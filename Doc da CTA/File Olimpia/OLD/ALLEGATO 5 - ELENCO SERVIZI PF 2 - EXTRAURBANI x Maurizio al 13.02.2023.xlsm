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X3500M5\scuola\Linea\APPALTO 2022_2025\"/>
    </mc:Choice>
  </mc:AlternateContent>
  <bookViews>
    <workbookView xWindow="28860" yWindow="-6465" windowWidth="27075" windowHeight="13890"/>
  </bookViews>
  <sheets>
    <sheet name="Extraurbano " sheetId="86" r:id="rId1"/>
    <sheet name="Forfait" sheetId="89" r:id="rId2"/>
    <sheet name="Integrazioni" sheetId="90" r:id="rId3"/>
  </sheets>
  <externalReferences>
    <externalReference r:id="rId4"/>
    <externalReference r:id="rId5"/>
  </externalReferences>
  <definedNames>
    <definedName name="_xlnm._FilterDatabase" localSheetId="0" hidden="1">'Extraurbano '!$A$1:$BZ$996</definedName>
    <definedName name="_xlnm._FilterDatabase" localSheetId="1" hidden="1">Forfait!$A$1:$E$22</definedName>
    <definedName name="ago">#REF!</definedName>
    <definedName name="anno">#REF!</definedName>
    <definedName name="anno2002">#REF!</definedName>
    <definedName name="apr">#REF!</definedName>
    <definedName name="aprile2002">#REF!</definedName>
    <definedName name="_xlnm.Print_Area" localSheetId="0">'Extraurbano '!$C$1:$K$944</definedName>
    <definedName name="autov">[1]tabelle!#REF!</definedName>
    <definedName name="COVID3">#REF!</definedName>
    <definedName name="daily">[1]tabelle!#REF!</definedName>
    <definedName name="dic">#REF!</definedName>
    <definedName name="durc">#REF!</definedName>
    <definedName name="esfes">#REF!</definedName>
    <definedName name="est">#REF!</definedName>
    <definedName name="estlv">#REF!</definedName>
    <definedName name="feb">#REF!</definedName>
    <definedName name="febbraio02">#REF!</definedName>
    <definedName name="fer">#REF!</definedName>
    <definedName name="ferlv">#REF!</definedName>
    <definedName name="fers">#REF!</definedName>
    <definedName name="fessc">#REF!</definedName>
    <definedName name="fest">#REF!</definedName>
    <definedName name="fsd">[2]tabelle!$E$6</definedName>
    <definedName name="gen">#REF!</definedName>
    <definedName name="gennaio02">#REF!</definedName>
    <definedName name="giest">#REF!</definedName>
    <definedName name="gifer">#REF!</definedName>
    <definedName name="giinv">#REF!</definedName>
    <definedName name="gins">#REF!</definedName>
    <definedName name="gio">#REF!</definedName>
    <definedName name="giorn">#REF!</definedName>
    <definedName name="giscol">#REF!</definedName>
    <definedName name="giu">#REF!</definedName>
    <definedName name="grande">[1]tabelle!#REF!</definedName>
    <definedName name="inv">#REF!</definedName>
    <definedName name="invlv">#REF!</definedName>
    <definedName name="istat">#REF!</definedName>
    <definedName name="Istat_18">#REF!</definedName>
    <definedName name="istat1">[1]tabelle!#REF!</definedName>
    <definedName name="istat11">#REF!</definedName>
    <definedName name="iva">#REF!</definedName>
    <definedName name="luest">#REF!</definedName>
    <definedName name="lufer">#REF!</definedName>
    <definedName name="lug">#REF!</definedName>
    <definedName name="luinv">#REF!</definedName>
    <definedName name="lun">#REF!</definedName>
    <definedName name="luns">#REF!</definedName>
    <definedName name="luscol">#REF!</definedName>
    <definedName name="maest">#REF!</definedName>
    <definedName name="mafer">#REF!</definedName>
    <definedName name="mag">#REF!</definedName>
    <definedName name="maggio2002">#REF!</definedName>
    <definedName name="mainv">#REF!</definedName>
    <definedName name="mans">#REF!</definedName>
    <definedName name="mar">#REF!</definedName>
    <definedName name="marzo">#REF!</definedName>
    <definedName name="mascol">#REF!</definedName>
    <definedName name="medio">[1]tabelle!#REF!</definedName>
    <definedName name="meest">#REF!</definedName>
    <definedName name="mefer">#REF!</definedName>
    <definedName name="meinv">#REF!</definedName>
    <definedName name="mens">#REF!</definedName>
    <definedName name="mer">#REF!</definedName>
    <definedName name="mescol">#REF!</definedName>
    <definedName name="nov">#REF!</definedName>
    <definedName name="novembre01">#REF!</definedName>
    <definedName name="nscol">#REF!</definedName>
    <definedName name="nscollv">#REF!</definedName>
    <definedName name="oggi">#REF!</definedName>
    <definedName name="opdis">#REF!</definedName>
    <definedName name="oppar">#REF!</definedName>
    <definedName name="opw">#REF!</definedName>
    <definedName name="ott">#REF!</definedName>
    <definedName name="ottobre01">#REF!</definedName>
    <definedName name="pari">#REF!</definedName>
    <definedName name="postfest">#REF!</definedName>
    <definedName name="prefes">#REF!</definedName>
    <definedName name="sab">#REF!</definedName>
    <definedName name="sadgad">[2]giorni!$H$1:$H$65536</definedName>
    <definedName name="saest">#REF!</definedName>
    <definedName name="sainv">#REF!</definedName>
    <definedName name="sans">#REF!</definedName>
    <definedName name="scol">#REF!</definedName>
    <definedName name="scollv">#REF!</definedName>
    <definedName name="scols">#REF!</definedName>
    <definedName name="servizi">#REF!</definedName>
    <definedName name="set">#REF!</definedName>
    <definedName name="_xlnm.Print_Titles" localSheetId="0">'Extraurbano '!$1:$1</definedName>
    <definedName name="ToCopy">'Extraurbano '!$A$1:$R$1205</definedName>
    <definedName name="totale">#REF!</definedName>
    <definedName name="veest">#REF!</definedName>
    <definedName name="vefer">#REF!</definedName>
    <definedName name="veinv">#REF!</definedName>
    <definedName name="ven">#REF!</definedName>
    <definedName name="vens">#REF!</definedName>
    <definedName name="vescol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X988" i="86" l="1"/>
  <c r="AX989" i="86"/>
  <c r="AX990" i="86"/>
  <c r="BM990" i="86" s="1"/>
  <c r="AX991" i="86"/>
  <c r="AX992" i="86"/>
  <c r="AX993" i="86"/>
  <c r="AX994" i="86"/>
  <c r="BM994" i="86" s="1"/>
  <c r="BM989" i="86" l="1"/>
  <c r="BM993" i="86"/>
  <c r="BM992" i="86"/>
  <c r="BM988" i="86"/>
  <c r="BM991" i="86"/>
  <c r="AX975" i="86" l="1"/>
  <c r="AX976" i="86"/>
  <c r="AX977" i="86"/>
  <c r="AX978" i="86"/>
  <c r="AX979" i="86"/>
  <c r="AX980" i="86"/>
  <c r="AX981" i="86"/>
  <c r="AX982" i="86"/>
  <c r="AX983" i="86"/>
  <c r="K983" i="86"/>
  <c r="K982" i="86"/>
  <c r="K977" i="86"/>
  <c r="K976" i="86"/>
  <c r="K981" i="86"/>
  <c r="K980" i="86"/>
  <c r="K979" i="86"/>
  <c r="K978" i="86"/>
  <c r="K975" i="86"/>
  <c r="BM978" i="86" l="1"/>
  <c r="BM975" i="86"/>
  <c r="BM983" i="86"/>
  <c r="BM982" i="86"/>
  <c r="BM981" i="86"/>
  <c r="BM980" i="86"/>
  <c r="BM979" i="86"/>
  <c r="BM977" i="86"/>
  <c r="BM976" i="86"/>
  <c r="K974" i="86"/>
  <c r="AX974" i="86"/>
  <c r="BM974" i="86" l="1"/>
  <c r="AX987" i="86"/>
  <c r="K987" i="86"/>
  <c r="BM987" i="86" l="1"/>
  <c r="BX467" i="86"/>
  <c r="BX459" i="86"/>
  <c r="AX985" i="86" l="1"/>
  <c r="AX986" i="86"/>
  <c r="AX984" i="86"/>
  <c r="BM972" i="86"/>
  <c r="BM985" i="86" l="1"/>
  <c r="BM984" i="86"/>
  <c r="BM986" i="86"/>
  <c r="BM973" i="86" l="1"/>
  <c r="BM962" i="86" l="1"/>
  <c r="BM963" i="86"/>
  <c r="BM964" i="86"/>
  <c r="BM961" i="86"/>
  <c r="I950" i="86" l="1"/>
  <c r="AX950" i="86" l="1"/>
  <c r="BM950" i="86" l="1"/>
  <c r="AV134" i="86"/>
  <c r="AX956" i="86" l="1"/>
  <c r="BM956" i="86" s="1"/>
  <c r="AX965" i="86" l="1"/>
  <c r="BM965" i="86" s="1"/>
  <c r="AX969" i="86"/>
  <c r="BM969" i="86" s="1"/>
  <c r="AX970" i="86"/>
  <c r="BM970" i="86" s="1"/>
  <c r="K968" i="86"/>
  <c r="AX968" i="86"/>
  <c r="BM968" i="86" s="1"/>
  <c r="AX971" i="86"/>
  <c r="BM971" i="86" l="1"/>
  <c r="AX966" i="86" l="1"/>
  <c r="AX967" i="86"/>
  <c r="BM967" i="86" s="1"/>
  <c r="BM966" i="86" l="1"/>
  <c r="AM16" i="90"/>
  <c r="AX960" i="86"/>
  <c r="K960" i="86"/>
  <c r="AX958" i="86"/>
  <c r="K958" i="86"/>
  <c r="BM954" i="86"/>
  <c r="BM3" i="86"/>
  <c r="BM5" i="86"/>
  <c r="BM6" i="86"/>
  <c r="BM8" i="86"/>
  <c r="BM9" i="86"/>
  <c r="BM11" i="86"/>
  <c r="BM14" i="86"/>
  <c r="BM17" i="86"/>
  <c r="BM18" i="86"/>
  <c r="BM50" i="86"/>
  <c r="BM51" i="86"/>
  <c r="BM95" i="86"/>
  <c r="BM96" i="86"/>
  <c r="BM97" i="86"/>
  <c r="BM98" i="86"/>
  <c r="BM99" i="86"/>
  <c r="BM100" i="86"/>
  <c r="BM101" i="86"/>
  <c r="BM102" i="86"/>
  <c r="BM103" i="86"/>
  <c r="BM104" i="86"/>
  <c r="BM106" i="86"/>
  <c r="BM107" i="86"/>
  <c r="BM116" i="86"/>
  <c r="BM118" i="86"/>
  <c r="BM124" i="86"/>
  <c r="BM138" i="86"/>
  <c r="BM147" i="86"/>
  <c r="BM169" i="86"/>
  <c r="BM170" i="86"/>
  <c r="BM208" i="86"/>
  <c r="BM212" i="86"/>
  <c r="BM216" i="86"/>
  <c r="BM217" i="86"/>
  <c r="BM218" i="86"/>
  <c r="BM219" i="86"/>
  <c r="BM220" i="86"/>
  <c r="BM253" i="86"/>
  <c r="BM265" i="86"/>
  <c r="BM271" i="86"/>
  <c r="BM275" i="86"/>
  <c r="BM278" i="86"/>
  <c r="BM281" i="86"/>
  <c r="BM284" i="86"/>
  <c r="BM287" i="86"/>
  <c r="BM294" i="86"/>
  <c r="BM301" i="86"/>
  <c r="BM302" i="86"/>
  <c r="BM306" i="86"/>
  <c r="BM309" i="86"/>
  <c r="BM391" i="86"/>
  <c r="BM394" i="86"/>
  <c r="BM400" i="86"/>
  <c r="BM421" i="86"/>
  <c r="BM422" i="86"/>
  <c r="BM455" i="86"/>
  <c r="BM456" i="86"/>
  <c r="BM463" i="86"/>
  <c r="BM465" i="86"/>
  <c r="BM466" i="86"/>
  <c r="BM468" i="86"/>
  <c r="BM469" i="86"/>
  <c r="BM470" i="86"/>
  <c r="BM472" i="86"/>
  <c r="BM473" i="86"/>
  <c r="BM477" i="86"/>
  <c r="BM478" i="86"/>
  <c r="BM493" i="86"/>
  <c r="BM494" i="86"/>
  <c r="BM497" i="86"/>
  <c r="BM499" i="86"/>
  <c r="BM501" i="86"/>
  <c r="BM514" i="86"/>
  <c r="BM515" i="86"/>
  <c r="BM569" i="86"/>
  <c r="BM570" i="86"/>
  <c r="BM578" i="86"/>
  <c r="BM594" i="86"/>
  <c r="BM601" i="86"/>
  <c r="BM602" i="86"/>
  <c r="BM652" i="86"/>
  <c r="BM653" i="86"/>
  <c r="BM654" i="86"/>
  <c r="BM655" i="86"/>
  <c r="BM656" i="86"/>
  <c r="BM657" i="86"/>
  <c r="BM658" i="86"/>
  <c r="BM659" i="86"/>
  <c r="BM660" i="86"/>
  <c r="BM661" i="86"/>
  <c r="BM662" i="86"/>
  <c r="BM663" i="86"/>
  <c r="BM664" i="86"/>
  <c r="BM665" i="86"/>
  <c r="BM666" i="86"/>
  <c r="BM667" i="86"/>
  <c r="BM677" i="86"/>
  <c r="BM678" i="86"/>
  <c r="BM679" i="86"/>
  <c r="BM682" i="86"/>
  <c r="BM685" i="86"/>
  <c r="BM689" i="86"/>
  <c r="BM690" i="86"/>
  <c r="BM692" i="86"/>
  <c r="BM695" i="86"/>
  <c r="BM696" i="86"/>
  <c r="BM697" i="86"/>
  <c r="BM698" i="86"/>
  <c r="BM699" i="86"/>
  <c r="BM700" i="86"/>
  <c r="BM701" i="86"/>
  <c r="BM703" i="86"/>
  <c r="BM704" i="86"/>
  <c r="BM705" i="86"/>
  <c r="BM706" i="86"/>
  <c r="BM765" i="86"/>
  <c r="BM774" i="86"/>
  <c r="BM775" i="86"/>
  <c r="BM776" i="86"/>
  <c r="BM784" i="86"/>
  <c r="BM785" i="86"/>
  <c r="BM812" i="86"/>
  <c r="BM814" i="86"/>
  <c r="BM821" i="86"/>
  <c r="BM822" i="86"/>
  <c r="BM855" i="86"/>
  <c r="BM856" i="86"/>
  <c r="BM857" i="86"/>
  <c r="BM868" i="86"/>
  <c r="BM869" i="86"/>
  <c r="BM870" i="86"/>
  <c r="BM871" i="86"/>
  <c r="BM872" i="86"/>
  <c r="BM873" i="86"/>
  <c r="BM874" i="86"/>
  <c r="BM875" i="86"/>
  <c r="BM876" i="86"/>
  <c r="BM877" i="86"/>
  <c r="BM878" i="86"/>
  <c r="BM879" i="86"/>
  <c r="BM880" i="86"/>
  <c r="BM881" i="86"/>
  <c r="BM882" i="86"/>
  <c r="BM883" i="86"/>
  <c r="BM884" i="86"/>
  <c r="BM914" i="86"/>
  <c r="K957" i="86"/>
  <c r="K954" i="86"/>
  <c r="AX959" i="86"/>
  <c r="I953" i="86"/>
  <c r="I944" i="86"/>
  <c r="BD944" i="86" s="1"/>
  <c r="K941" i="86"/>
  <c r="K937" i="86"/>
  <c r="I928" i="86"/>
  <c r="K927" i="86"/>
  <c r="K915" i="86"/>
  <c r="K889" i="86"/>
  <c r="K855" i="86"/>
  <c r="K833" i="86"/>
  <c r="I825" i="86"/>
  <c r="K818" i="86"/>
  <c r="K816" i="86"/>
  <c r="K781" i="86"/>
  <c r="I776" i="86"/>
  <c r="K759" i="86"/>
  <c r="I758" i="86"/>
  <c r="K755" i="86"/>
  <c r="K747" i="86"/>
  <c r="K746" i="86"/>
  <c r="K745" i="86"/>
  <c r="K744" i="86"/>
  <c r="I737" i="86"/>
  <c r="I729" i="86"/>
  <c r="I725" i="86"/>
  <c r="I724" i="86"/>
  <c r="BD724" i="86" s="1"/>
  <c r="K676" i="86"/>
  <c r="K675" i="86"/>
  <c r="K644" i="86"/>
  <c r="K627" i="86"/>
  <c r="K626" i="86"/>
  <c r="K625" i="86"/>
  <c r="K624" i="86"/>
  <c r="K623" i="86"/>
  <c r="K622" i="86"/>
  <c r="K621" i="86"/>
  <c r="K620" i="86"/>
  <c r="K612" i="86"/>
  <c r="K609" i="86"/>
  <c r="I609" i="86"/>
  <c r="I607" i="86"/>
  <c r="K505" i="86"/>
  <c r="K496" i="86"/>
  <c r="K491" i="86"/>
  <c r="K489" i="86"/>
  <c r="K485" i="86"/>
  <c r="K481" i="86"/>
  <c r="K466" i="86"/>
  <c r="K456" i="86"/>
  <c r="K434" i="86"/>
  <c r="I421" i="86"/>
  <c r="K413" i="86"/>
  <c r="K410" i="86"/>
  <c r="K406" i="86"/>
  <c r="K399" i="86"/>
  <c r="K398" i="86"/>
  <c r="K385" i="86"/>
  <c r="K373" i="86"/>
  <c r="K338" i="86"/>
  <c r="I338" i="86"/>
  <c r="I337" i="86"/>
  <c r="K256" i="86"/>
  <c r="K243" i="86"/>
  <c r="K241" i="86"/>
  <c r="K232" i="86"/>
  <c r="I208" i="86"/>
  <c r="K145" i="86"/>
  <c r="K135" i="86"/>
  <c r="K123" i="86"/>
  <c r="K70" i="86"/>
  <c r="K68" i="86"/>
  <c r="K66" i="86"/>
  <c r="K12" i="86"/>
  <c r="B9" i="90"/>
  <c r="AN9" i="90" s="1"/>
  <c r="BC828" i="86"/>
  <c r="BG828" i="86" s="1"/>
  <c r="BG834" i="86"/>
  <c r="AM15" i="90"/>
  <c r="AM14" i="90"/>
  <c r="AX955" i="86"/>
  <c r="AM13" i="90"/>
  <c r="AX462" i="86"/>
  <c r="AM12" i="90"/>
  <c r="AM11" i="90"/>
  <c r="AX945" i="86"/>
  <c r="BG933" i="86"/>
  <c r="BG921" i="86"/>
  <c r="BG920" i="86"/>
  <c r="BG919" i="86"/>
  <c r="BG918" i="86"/>
  <c r="BG917" i="86"/>
  <c r="BG916" i="86"/>
  <c r="BG905" i="86"/>
  <c r="BG902" i="86"/>
  <c r="BG900" i="86"/>
  <c r="BG897" i="86"/>
  <c r="BG886" i="86"/>
  <c r="BG885" i="86"/>
  <c r="BG847" i="86"/>
  <c r="BG846" i="86"/>
  <c r="BG830" i="86"/>
  <c r="BG824" i="86"/>
  <c r="BG788" i="86"/>
  <c r="BG787" i="86"/>
  <c r="BG777" i="86"/>
  <c r="BG763" i="86"/>
  <c r="BG760" i="86"/>
  <c r="BG759" i="86"/>
  <c r="BG758" i="86"/>
  <c r="BG757" i="86"/>
  <c r="BG748" i="86"/>
  <c r="BG721" i="86"/>
  <c r="BG717" i="86"/>
  <c r="BG694" i="86"/>
  <c r="BG688" i="86"/>
  <c r="BG687" i="86"/>
  <c r="BG668" i="86"/>
  <c r="BG643" i="86"/>
  <c r="BG642" i="86"/>
  <c r="BG632" i="86"/>
  <c r="BG619" i="86"/>
  <c r="BG616" i="86"/>
  <c r="BG604" i="86"/>
  <c r="BG600" i="86"/>
  <c r="BG566" i="86"/>
  <c r="BG564" i="86"/>
  <c r="BG563" i="86"/>
  <c r="BG562" i="86"/>
  <c r="BG535" i="86"/>
  <c r="BG534" i="86"/>
  <c r="BG533" i="86"/>
  <c r="BG532" i="86"/>
  <c r="BG511" i="86"/>
  <c r="BG510" i="86"/>
  <c r="BG457" i="86"/>
  <c r="BG453" i="86"/>
  <c r="BG452" i="86"/>
  <c r="BG420" i="86"/>
  <c r="BG401" i="86"/>
  <c r="BG390" i="86"/>
  <c r="BG389" i="86"/>
  <c r="BG374" i="86"/>
  <c r="BG373" i="86"/>
  <c r="BG372" i="86"/>
  <c r="BG371" i="86"/>
  <c r="BG347" i="86"/>
  <c r="BG338" i="86"/>
  <c r="BG319" i="86"/>
  <c r="BG318" i="86"/>
  <c r="BG317" i="86"/>
  <c r="BG311" i="86"/>
  <c r="BG256" i="86"/>
  <c r="BG255" i="86"/>
  <c r="BG244" i="86"/>
  <c r="BG235" i="86"/>
  <c r="BG224" i="86"/>
  <c r="BG222" i="86"/>
  <c r="BG221" i="86"/>
  <c r="BG211" i="86"/>
  <c r="BG205" i="86"/>
  <c r="BG179" i="86"/>
  <c r="BG178" i="86"/>
  <c r="BG155" i="86"/>
  <c r="BG128" i="86"/>
  <c r="BG127" i="86"/>
  <c r="BG126" i="86"/>
  <c r="BG115" i="86"/>
  <c r="BG114" i="86"/>
  <c r="BG113" i="86"/>
  <c r="BG112" i="86"/>
  <c r="BG111" i="86"/>
  <c r="BG84" i="86"/>
  <c r="BG83" i="86"/>
  <c r="BG77" i="86"/>
  <c r="BG76" i="86"/>
  <c r="BG62" i="86"/>
  <c r="BG59" i="86"/>
  <c r="BG58" i="86"/>
  <c r="BG52" i="86"/>
  <c r="BD819" i="86"/>
  <c r="BC819" i="86"/>
  <c r="BD817" i="86"/>
  <c r="BC817" i="86"/>
  <c r="BD760" i="86"/>
  <c r="BC760" i="86"/>
  <c r="BD564" i="86"/>
  <c r="BC564" i="86"/>
  <c r="BD445" i="86"/>
  <c r="BC445" i="86"/>
  <c r="BD444" i="86"/>
  <c r="BC444" i="86"/>
  <c r="BD441" i="86"/>
  <c r="BC441" i="86"/>
  <c r="BD440" i="86"/>
  <c r="BC440" i="86"/>
  <c r="BD431" i="86"/>
  <c r="BC431" i="86"/>
  <c r="BD427" i="86"/>
  <c r="BC427" i="86"/>
  <c r="BD176" i="86"/>
  <c r="BC176" i="86"/>
  <c r="BD174" i="86"/>
  <c r="BC174" i="86"/>
  <c r="BD71" i="86"/>
  <c r="BC71" i="86"/>
  <c r="BD69" i="86"/>
  <c r="BC69" i="86"/>
  <c r="BD67" i="86"/>
  <c r="BC67" i="86"/>
  <c r="BC504" i="86"/>
  <c r="BC503" i="86"/>
  <c r="AV492" i="86"/>
  <c r="BD492" i="86" s="1"/>
  <c r="AV484" i="86"/>
  <c r="AV476" i="86"/>
  <c r="BD476" i="86" s="1"/>
  <c r="AX952" i="86"/>
  <c r="AX957" i="86"/>
  <c r="AX951" i="86"/>
  <c r="AX949" i="86"/>
  <c r="AX948" i="86"/>
  <c r="AX947" i="86"/>
  <c r="AX946" i="86"/>
  <c r="AX854" i="86"/>
  <c r="BM854" i="86" s="1"/>
  <c r="AX722" i="86"/>
  <c r="BG722" i="86" s="1"/>
  <c r="AX628" i="86"/>
  <c r="AX531" i="86"/>
  <c r="AX518" i="86"/>
  <c r="BM518" i="86" s="1"/>
  <c r="AX517" i="86"/>
  <c r="AX516" i="86"/>
  <c r="AX513" i="86"/>
  <c r="AX495" i="86"/>
  <c r="AX479" i="86"/>
  <c r="AX471" i="86"/>
  <c r="AX464" i="86"/>
  <c r="AX454" i="86"/>
  <c r="AX414" i="86"/>
  <c r="AX411" i="86"/>
  <c r="AX408" i="86"/>
  <c r="BM408" i="86" s="1"/>
  <c r="AX404" i="86"/>
  <c r="AX403" i="86"/>
  <c r="AX292" i="86"/>
  <c r="AX291" i="86"/>
  <c r="BM291" i="86" s="1"/>
  <c r="AX290" i="86"/>
  <c r="AX289" i="86"/>
  <c r="BM289" i="86" s="1"/>
  <c r="AX288" i="86"/>
  <c r="AX286" i="86"/>
  <c r="AX285" i="86"/>
  <c r="BM285" i="86" s="1"/>
  <c r="AX283" i="86"/>
  <c r="AX282" i="86"/>
  <c r="BM282" i="86" s="1"/>
  <c r="AX280" i="86"/>
  <c r="BM280" i="86" s="1"/>
  <c r="AX279" i="86"/>
  <c r="AX277" i="86"/>
  <c r="AX276" i="86"/>
  <c r="AX274" i="86"/>
  <c r="AX273" i="86"/>
  <c r="AX272" i="86"/>
  <c r="AX270" i="86"/>
  <c r="AX269" i="86"/>
  <c r="BM269" i="86" s="1"/>
  <c r="AX268" i="86"/>
  <c r="BM268" i="86" s="1"/>
  <c r="AX267" i="86"/>
  <c r="AX266" i="86"/>
  <c r="BM266" i="86" s="1"/>
  <c r="AX264" i="86"/>
  <c r="AX263" i="86"/>
  <c r="AX262" i="86"/>
  <c r="AX260" i="86"/>
  <c r="AX259" i="86"/>
  <c r="AX258" i="86"/>
  <c r="BC68" i="86"/>
  <c r="AC28" i="89"/>
  <c r="AC27" i="89"/>
  <c r="AC26" i="89"/>
  <c r="AC25" i="89"/>
  <c r="AC24" i="89"/>
  <c r="AB23" i="89"/>
  <c r="AB22" i="89"/>
  <c r="AB21" i="89"/>
  <c r="AB20" i="89"/>
  <c r="Y19" i="89"/>
  <c r="AB19" i="89" s="1"/>
  <c r="AB18" i="89"/>
  <c r="AB17" i="89"/>
  <c r="AB16" i="89"/>
  <c r="AB15" i="89"/>
  <c r="AB14" i="89"/>
  <c r="AB13" i="89"/>
  <c r="AB12" i="89"/>
  <c r="AB11" i="89"/>
  <c r="Y10" i="89"/>
  <c r="AB10" i="89" s="1"/>
  <c r="AB9" i="89"/>
  <c r="C9" i="89"/>
  <c r="AB8" i="89"/>
  <c r="AB7" i="89"/>
  <c r="Y6" i="89"/>
  <c r="AB6" i="89" s="1"/>
  <c r="AB5" i="89"/>
  <c r="AB4" i="89"/>
  <c r="AB3" i="89"/>
  <c r="D2" i="89"/>
  <c r="AB2" i="89" s="1"/>
  <c r="BC512" i="86"/>
  <c r="BD512" i="86"/>
  <c r="AM10" i="90"/>
  <c r="AN2" i="90"/>
  <c r="AM4" i="90"/>
  <c r="AM3" i="90"/>
  <c r="AV437" i="86"/>
  <c r="BC437" i="86" s="1"/>
  <c r="AV641" i="86"/>
  <c r="BC641" i="86" s="1"/>
  <c r="AV640" i="86"/>
  <c r="AV637" i="86"/>
  <c r="AV636" i="86"/>
  <c r="AV639" i="86"/>
  <c r="AV638" i="86"/>
  <c r="BC638" i="86" s="1"/>
  <c r="AV635" i="86"/>
  <c r="BC635" i="86" s="1"/>
  <c r="AV634" i="86"/>
  <c r="AV591" i="86"/>
  <c r="BD591" i="86" s="1"/>
  <c r="AV593" i="86"/>
  <c r="BD134" i="86"/>
  <c r="BF420" i="86"/>
  <c r="BF335" i="86"/>
  <c r="BF308" i="86"/>
  <c r="BE420" i="86"/>
  <c r="BE335" i="86"/>
  <c r="BE308" i="86"/>
  <c r="BD943" i="86"/>
  <c r="BD942" i="86"/>
  <c r="BD941" i="86"/>
  <c r="BD940" i="86"/>
  <c r="BD939" i="86"/>
  <c r="BD938" i="86"/>
  <c r="BD937" i="86"/>
  <c r="BD936" i="86"/>
  <c r="BD935" i="86"/>
  <c r="BD933" i="86"/>
  <c r="BD931" i="86"/>
  <c r="BD929" i="86"/>
  <c r="BD927" i="86"/>
  <c r="BD926" i="86"/>
  <c r="BD925" i="86"/>
  <c r="BD924" i="86"/>
  <c r="BD923" i="86"/>
  <c r="BD922" i="86"/>
  <c r="BD921" i="86"/>
  <c r="BD920" i="86"/>
  <c r="BD919" i="86"/>
  <c r="BD918" i="86"/>
  <c r="BD917" i="86"/>
  <c r="BD916" i="86"/>
  <c r="BD915" i="86"/>
  <c r="BD905" i="86"/>
  <c r="BD902" i="86"/>
  <c r="BD901" i="86"/>
  <c r="BD900" i="86"/>
  <c r="BD899" i="86"/>
  <c r="BD898" i="86"/>
  <c r="BD897" i="86"/>
  <c r="BD896" i="86"/>
  <c r="BD895" i="86"/>
  <c r="BD894" i="86"/>
  <c r="BD893" i="86"/>
  <c r="BD892" i="86"/>
  <c r="BD891" i="86"/>
  <c r="BD890" i="86"/>
  <c r="BD889" i="86"/>
  <c r="BD888" i="86"/>
  <c r="BD887" i="86"/>
  <c r="BD886" i="86"/>
  <c r="BD885" i="86"/>
  <c r="BD867" i="86"/>
  <c r="BD866" i="86"/>
  <c r="BD864" i="86"/>
  <c r="BD863" i="86"/>
  <c r="BD860" i="86"/>
  <c r="BD852" i="86"/>
  <c r="BD850" i="86"/>
  <c r="BD849" i="86"/>
  <c r="BD848" i="86"/>
  <c r="BD847" i="86"/>
  <c r="BD846" i="86"/>
  <c r="BD839" i="86"/>
  <c r="BD834" i="86"/>
  <c r="BD833" i="86"/>
  <c r="BD832" i="86"/>
  <c r="BD831" i="86"/>
  <c r="BD830" i="86"/>
  <c r="BD828" i="86"/>
  <c r="BD824" i="86"/>
  <c r="BD818" i="86"/>
  <c r="BD816" i="86"/>
  <c r="BD811" i="86"/>
  <c r="BD810" i="86"/>
  <c r="BD809" i="86"/>
  <c r="BD808" i="86"/>
  <c r="BD807" i="86"/>
  <c r="BD806" i="86"/>
  <c r="BD805" i="86"/>
  <c r="BD804" i="86"/>
  <c r="BD803" i="86"/>
  <c r="BD802" i="86"/>
  <c r="BD801" i="86"/>
  <c r="BD800" i="86"/>
  <c r="BD799" i="86"/>
  <c r="BD798" i="86"/>
  <c r="BD797" i="86"/>
  <c r="BD796" i="86"/>
  <c r="BD795" i="86"/>
  <c r="BD794" i="86"/>
  <c r="BD793" i="86"/>
  <c r="BD792" i="86"/>
  <c r="BD791" i="86"/>
  <c r="BD790" i="86"/>
  <c r="BD789" i="86"/>
  <c r="BD788" i="86"/>
  <c r="BD787" i="86"/>
  <c r="BD786" i="86"/>
  <c r="BD783" i="86"/>
  <c r="BD782" i="86"/>
  <c r="BD781" i="86"/>
  <c r="BD780" i="86"/>
  <c r="BD779" i="86"/>
  <c r="BD778" i="86"/>
  <c r="BD777" i="86"/>
  <c r="BD770" i="86"/>
  <c r="BD769" i="86"/>
  <c r="BD768" i="86"/>
  <c r="BD767" i="86"/>
  <c r="BD766" i="86"/>
  <c r="BD764" i="86"/>
  <c r="BD763" i="86"/>
  <c r="BD761" i="86"/>
  <c r="BD759" i="86"/>
  <c r="BD757" i="86"/>
  <c r="BD756" i="86"/>
  <c r="BD755" i="86"/>
  <c r="BD754" i="86"/>
  <c r="BD753" i="86"/>
  <c r="BD752" i="86"/>
  <c r="BD751" i="86"/>
  <c r="BD750" i="86"/>
  <c r="BD749" i="86"/>
  <c r="BD748" i="86"/>
  <c r="BD747" i="86"/>
  <c r="BD746" i="86"/>
  <c r="BD745" i="86"/>
  <c r="BD744" i="86"/>
  <c r="BD743" i="86"/>
  <c r="BD742" i="86"/>
  <c r="BD741" i="86"/>
  <c r="BD739" i="86"/>
  <c r="BD736" i="86"/>
  <c r="BD735" i="86"/>
  <c r="BD734" i="86"/>
  <c r="BD733" i="86"/>
  <c r="BD732" i="86"/>
  <c r="BD731" i="86"/>
  <c r="BD730" i="86"/>
  <c r="BD728" i="86"/>
  <c r="BD727" i="86"/>
  <c r="BD726" i="86"/>
  <c r="BD723" i="86"/>
  <c r="BD721" i="86"/>
  <c r="BD717" i="86"/>
  <c r="BD716" i="86"/>
  <c r="BD715" i="86"/>
  <c r="BD714" i="86"/>
  <c r="BD713" i="86"/>
  <c r="BD712" i="86"/>
  <c r="BD710" i="86"/>
  <c r="BD708" i="86"/>
  <c r="BD707" i="86"/>
  <c r="BD694" i="86"/>
  <c r="BD693" i="86"/>
  <c r="BD688" i="86"/>
  <c r="BD687" i="86"/>
  <c r="BD686" i="86"/>
  <c r="BD684" i="86"/>
  <c r="BD683" i="86"/>
  <c r="BD681" i="86"/>
  <c r="BD680" i="86"/>
  <c r="BD676" i="86"/>
  <c r="BD675" i="86"/>
  <c r="BD674" i="86"/>
  <c r="BD673" i="86"/>
  <c r="BD672" i="86"/>
  <c r="BD671" i="86"/>
  <c r="BD670" i="86"/>
  <c r="BD669" i="86"/>
  <c r="BD668" i="86"/>
  <c r="BD651" i="86"/>
  <c r="BD650" i="86"/>
  <c r="BD649" i="86"/>
  <c r="BD648" i="86"/>
  <c r="BD647" i="86"/>
  <c r="BD646" i="86"/>
  <c r="BD645" i="86"/>
  <c r="BD644" i="86"/>
  <c r="BD643" i="86"/>
  <c r="BD642" i="86"/>
  <c r="BD633" i="86"/>
  <c r="BD632" i="86"/>
  <c r="BD627" i="86"/>
  <c r="BD626" i="86"/>
  <c r="BD624" i="86"/>
  <c r="BD623" i="86"/>
  <c r="BD622" i="86"/>
  <c r="BD621" i="86"/>
  <c r="BD620" i="86"/>
  <c r="BD619" i="86"/>
  <c r="BD618" i="86"/>
  <c r="BD617" i="86"/>
  <c r="BD616" i="86"/>
  <c r="BD615" i="86"/>
  <c r="BD614" i="86"/>
  <c r="BD613" i="86"/>
  <c r="BD612" i="86"/>
  <c r="BD611" i="86"/>
  <c r="BD610" i="86"/>
  <c r="BD608" i="86"/>
  <c r="BD606" i="86"/>
  <c r="BD605" i="86"/>
  <c r="BD604" i="86"/>
  <c r="BD603" i="86"/>
  <c r="BD600" i="86"/>
  <c r="BD598" i="86"/>
  <c r="BD597" i="86"/>
  <c r="BD596" i="86"/>
  <c r="BD595" i="86"/>
  <c r="BD590" i="86"/>
  <c r="BD589" i="86"/>
  <c r="BD588" i="86"/>
  <c r="BD587" i="86"/>
  <c r="BD585" i="86"/>
  <c r="BD584" i="86"/>
  <c r="BD583" i="86"/>
  <c r="BD582" i="86"/>
  <c r="BD581" i="86"/>
  <c r="BD580" i="86"/>
  <c r="BD579" i="86"/>
  <c r="BD577" i="86"/>
  <c r="BD576" i="86"/>
  <c r="BD575" i="86"/>
  <c r="BD574" i="86"/>
  <c r="BD573" i="86"/>
  <c r="BD572" i="86"/>
  <c r="BD571" i="86"/>
  <c r="BD568" i="86"/>
  <c r="BD567" i="86"/>
  <c r="BD566" i="86"/>
  <c r="BD563" i="86"/>
  <c r="BD562" i="86"/>
  <c r="BD560" i="86"/>
  <c r="BD559" i="86"/>
  <c r="BD558" i="86"/>
  <c r="BD557" i="86"/>
  <c r="BD556" i="86"/>
  <c r="BD555" i="86"/>
  <c r="BD554" i="86"/>
  <c r="BD553" i="86"/>
  <c r="BD552" i="86"/>
  <c r="BD551" i="86"/>
  <c r="BD550" i="86"/>
  <c r="BD549" i="86"/>
  <c r="BD548" i="86"/>
  <c r="BD547" i="86"/>
  <c r="BD546" i="86"/>
  <c r="BD545" i="86"/>
  <c r="BD544" i="86"/>
  <c r="BD543" i="86"/>
  <c r="BD542" i="86"/>
  <c r="BD541" i="86"/>
  <c r="BD540" i="86"/>
  <c r="BD539" i="86"/>
  <c r="BD538" i="86"/>
  <c r="BD537" i="86"/>
  <c r="BD536" i="86"/>
  <c r="BD535" i="86"/>
  <c r="BD534" i="86"/>
  <c r="BD533" i="86"/>
  <c r="BD532" i="86"/>
  <c r="BD528" i="86"/>
  <c r="BD527" i="86"/>
  <c r="BD526" i="86"/>
  <c r="BD525" i="86"/>
  <c r="BD524" i="86"/>
  <c r="BD523" i="86"/>
  <c r="BD522" i="86"/>
  <c r="BD521" i="86"/>
  <c r="BD520" i="86"/>
  <c r="BD519" i="86"/>
  <c r="BD511" i="86"/>
  <c r="BD510" i="86"/>
  <c r="BD508" i="86"/>
  <c r="BD507" i="86"/>
  <c r="BD505" i="86"/>
  <c r="BD504" i="86"/>
  <c r="BD503" i="86"/>
  <c r="BD502" i="86"/>
  <c r="BD500" i="86"/>
  <c r="BD496" i="86"/>
  <c r="BD491" i="86"/>
  <c r="BD490" i="86"/>
  <c r="BD489" i="86"/>
  <c r="BD487" i="86"/>
  <c r="BD486" i="86"/>
  <c r="BD485" i="86"/>
  <c r="BD483" i="86"/>
  <c r="BD482" i="86"/>
  <c r="BD481" i="86"/>
  <c r="BD480" i="86"/>
  <c r="BD475" i="86"/>
  <c r="BD474" i="86"/>
  <c r="BD461" i="86"/>
  <c r="BD458" i="86"/>
  <c r="BD457" i="86"/>
  <c r="BD453" i="86"/>
  <c r="BD450" i="86"/>
  <c r="BD447" i="86"/>
  <c r="BD446" i="86"/>
  <c r="BD443" i="86"/>
  <c r="BD442" i="86"/>
  <c r="BD439" i="86"/>
  <c r="BD438" i="86"/>
  <c r="BD436" i="86"/>
  <c r="BD435" i="86"/>
  <c r="BD434" i="86"/>
  <c r="BD433" i="86"/>
  <c r="BD432" i="86"/>
  <c r="BD430" i="86"/>
  <c r="BD429" i="86"/>
  <c r="BD428" i="86"/>
  <c r="BD426" i="86"/>
  <c r="BD425" i="86"/>
  <c r="BD424" i="86"/>
  <c r="BD418" i="86"/>
  <c r="BD417" i="86"/>
  <c r="BD416" i="86"/>
  <c r="BD415" i="86"/>
  <c r="BD413" i="86"/>
  <c r="BD412" i="86"/>
  <c r="BD409" i="86"/>
  <c r="BD407" i="86"/>
  <c r="BD406" i="86"/>
  <c r="BD405" i="86"/>
  <c r="BD402" i="86"/>
  <c r="BD401" i="86"/>
  <c r="BD399" i="86"/>
  <c r="BD398" i="86"/>
  <c r="BD396" i="86"/>
  <c r="BD395" i="86"/>
  <c r="BD393" i="86"/>
  <c r="BD392" i="86"/>
  <c r="BD390" i="86"/>
  <c r="BD389" i="86"/>
  <c r="BD388" i="86"/>
  <c r="BD387" i="86"/>
  <c r="BD386" i="86"/>
  <c r="BD385" i="86"/>
  <c r="BD384" i="86"/>
  <c r="BD383" i="86"/>
  <c r="BD382" i="86"/>
  <c r="BD381" i="86"/>
  <c r="BD380" i="86"/>
  <c r="BD379" i="86"/>
  <c r="BD378" i="86"/>
  <c r="BD377" i="86"/>
  <c r="BD376" i="86"/>
  <c r="BD375" i="86"/>
  <c r="BD374" i="86"/>
  <c r="BD373" i="86"/>
  <c r="BD372" i="86"/>
  <c r="BD371" i="86"/>
  <c r="BD370" i="86"/>
  <c r="BD369" i="86"/>
  <c r="BD368" i="86"/>
  <c r="BD367" i="86"/>
  <c r="BD366" i="86"/>
  <c r="BD365" i="86"/>
  <c r="BD364" i="86"/>
  <c r="BD363" i="86"/>
  <c r="BD362" i="86"/>
  <c r="BD361" i="86"/>
  <c r="BD360" i="86"/>
  <c r="BD359" i="86"/>
  <c r="BD358" i="86"/>
  <c r="BD357" i="86"/>
  <c r="BD356" i="86"/>
  <c r="BD355" i="86"/>
  <c r="BD354" i="86"/>
  <c r="BD353" i="86"/>
  <c r="BD352" i="86"/>
  <c r="BD351" i="86"/>
  <c r="BD350" i="86"/>
  <c r="BD349" i="86"/>
  <c r="BD348" i="86"/>
  <c r="BD347" i="86"/>
  <c r="BD346" i="86"/>
  <c r="BD345" i="86"/>
  <c r="BD344" i="86"/>
  <c r="BD343" i="86"/>
  <c r="BD342" i="86"/>
  <c r="BD341" i="86"/>
  <c r="BD340" i="86"/>
  <c r="BD339" i="86"/>
  <c r="BD333" i="86"/>
  <c r="BD332" i="86"/>
  <c r="BD331" i="86"/>
  <c r="BD330" i="86"/>
  <c r="BD329" i="86"/>
  <c r="BD328" i="86"/>
  <c r="BD327" i="86"/>
  <c r="BD325" i="86"/>
  <c r="BD323" i="86"/>
  <c r="BD321" i="86"/>
  <c r="BD320" i="86"/>
  <c r="BD319" i="86"/>
  <c r="BD318" i="86"/>
  <c r="BD317" i="86"/>
  <c r="BD315" i="86"/>
  <c r="BD314" i="86"/>
  <c r="BD313" i="86"/>
  <c r="BD312" i="86"/>
  <c r="BD311" i="86"/>
  <c r="BD305" i="86"/>
  <c r="BD304" i="86"/>
  <c r="BD303" i="86"/>
  <c r="BD300" i="86"/>
  <c r="BD299" i="86"/>
  <c r="BD298" i="86"/>
  <c r="BD297" i="86"/>
  <c r="BD296" i="86"/>
  <c r="BD295" i="86"/>
  <c r="BD261" i="86"/>
  <c r="BD257" i="86"/>
  <c r="BD256" i="86"/>
  <c r="BD255" i="86"/>
  <c r="BD251" i="86"/>
  <c r="BD250" i="86"/>
  <c r="BD249" i="86"/>
  <c r="BD248" i="86"/>
  <c r="BD247" i="86"/>
  <c r="BD246" i="86"/>
  <c r="BD245" i="86"/>
  <c r="BD244" i="86"/>
  <c r="BD243" i="86"/>
  <c r="BD242" i="86"/>
  <c r="BD241" i="86"/>
  <c r="BD240" i="86"/>
  <c r="BD239" i="86"/>
  <c r="BD238" i="86"/>
  <c r="BD237" i="86"/>
  <c r="BD236" i="86"/>
  <c r="BD235" i="86"/>
  <c r="BD234" i="86"/>
  <c r="BD233" i="86"/>
  <c r="BD232" i="86"/>
  <c r="BD231" i="86"/>
  <c r="BD229" i="86"/>
  <c r="BD228" i="86"/>
  <c r="BD227" i="86"/>
  <c r="BD226" i="86"/>
  <c r="BD225" i="86"/>
  <c r="BD224" i="86"/>
  <c r="BD223" i="86"/>
  <c r="BD222" i="86"/>
  <c r="BD221" i="86"/>
  <c r="BD215" i="86"/>
  <c r="BD214" i="86"/>
  <c r="BD213" i="86"/>
  <c r="BD211" i="86"/>
  <c r="BD210" i="86"/>
  <c r="BD209" i="86"/>
  <c r="BD205" i="86"/>
  <c r="BD204" i="86"/>
  <c r="BD203" i="86"/>
  <c r="BD202" i="86"/>
  <c r="BD201" i="86"/>
  <c r="BD200" i="86"/>
  <c r="BD199" i="86"/>
  <c r="BD198" i="86"/>
  <c r="BD197" i="86"/>
  <c r="BD196" i="86"/>
  <c r="BD195" i="86"/>
  <c r="BD194" i="86"/>
  <c r="BD193" i="86"/>
  <c r="BD192" i="86"/>
  <c r="BD191" i="86"/>
  <c r="BD190" i="86"/>
  <c r="BD189" i="86"/>
  <c r="BD188" i="86"/>
  <c r="BD187" i="86"/>
  <c r="BD186" i="86"/>
  <c r="BD185" i="86"/>
  <c r="BD184" i="86"/>
  <c r="BD182" i="86"/>
  <c r="BD181" i="86"/>
  <c r="BD180" i="86"/>
  <c r="BD179" i="86"/>
  <c r="BD178" i="86"/>
  <c r="BD177" i="86"/>
  <c r="BD175" i="86"/>
  <c r="BD173" i="86"/>
  <c r="BD172" i="86"/>
  <c r="BD171" i="86"/>
  <c r="BD168" i="86"/>
  <c r="BD167" i="86"/>
  <c r="BD166" i="86"/>
  <c r="BD164" i="86"/>
  <c r="BD163" i="86"/>
  <c r="BD162" i="86"/>
  <c r="BD155" i="86"/>
  <c r="BD153" i="86"/>
  <c r="BD152" i="86"/>
  <c r="BD151" i="86"/>
  <c r="BD150" i="86"/>
  <c r="BD149" i="86"/>
  <c r="BD148" i="86"/>
  <c r="BD146" i="86"/>
  <c r="BD145" i="86"/>
  <c r="BD144" i="86"/>
  <c r="BD143" i="86"/>
  <c r="BD142" i="86"/>
  <c r="BD141" i="86"/>
  <c r="BD136" i="86"/>
  <c r="BD135" i="86"/>
  <c r="BD133" i="86"/>
  <c r="BD132" i="86"/>
  <c r="BD131" i="86"/>
  <c r="BD129" i="86"/>
  <c r="BD128" i="86"/>
  <c r="BD127" i="86"/>
  <c r="BD126" i="86"/>
  <c r="BD123" i="86"/>
  <c r="BD121" i="86"/>
  <c r="BD120" i="86"/>
  <c r="BD119" i="86"/>
  <c r="BD115" i="86"/>
  <c r="BD114" i="86"/>
  <c r="BD112" i="86"/>
  <c r="BD111" i="86"/>
  <c r="BD110" i="86"/>
  <c r="BD109" i="86"/>
  <c r="BD108" i="86"/>
  <c r="BD105" i="86"/>
  <c r="BD94" i="86"/>
  <c r="BD93" i="86"/>
  <c r="BD92" i="86"/>
  <c r="BD91" i="86"/>
  <c r="BD90" i="86"/>
  <c r="BD89" i="86"/>
  <c r="BD88" i="86"/>
  <c r="BD87" i="86"/>
  <c r="BD86" i="86"/>
  <c r="BD85" i="86"/>
  <c r="BD84" i="86"/>
  <c r="BD83" i="86"/>
  <c r="BD82" i="86"/>
  <c r="BD81" i="86"/>
  <c r="BD80" i="86"/>
  <c r="BD79" i="86"/>
  <c r="BD78" i="86"/>
  <c r="BD77" i="86"/>
  <c r="BD76" i="86"/>
  <c r="BD75" i="86"/>
  <c r="BD74" i="86"/>
  <c r="BD73" i="86"/>
  <c r="BD72" i="86"/>
  <c r="BD70" i="86"/>
  <c r="BD68" i="86"/>
  <c r="BD66" i="86"/>
  <c r="BD65" i="86"/>
  <c r="BD64" i="86"/>
  <c r="BD63" i="86"/>
  <c r="BD62" i="86"/>
  <c r="BD61" i="86"/>
  <c r="BD60" i="86"/>
  <c r="BD59" i="86"/>
  <c r="BD58" i="86"/>
  <c r="BD55" i="86"/>
  <c r="BD54" i="86"/>
  <c r="BD52" i="86"/>
  <c r="BD49" i="86"/>
  <c r="BD48" i="86"/>
  <c r="BD47" i="86"/>
  <c r="BD46" i="86"/>
  <c r="BD45" i="86"/>
  <c r="BD44" i="86"/>
  <c r="BD43" i="86"/>
  <c r="BD42" i="86"/>
  <c r="BD41" i="86"/>
  <c r="BD40" i="86"/>
  <c r="BD39" i="86"/>
  <c r="BD38" i="86"/>
  <c r="BD37" i="86"/>
  <c r="BD36" i="86"/>
  <c r="BD35" i="86"/>
  <c r="BD34" i="86"/>
  <c r="BD33" i="86"/>
  <c r="BD32" i="86"/>
  <c r="BD31" i="86"/>
  <c r="BD30" i="86"/>
  <c r="BD29" i="86"/>
  <c r="BD28" i="86"/>
  <c r="BD27" i="86"/>
  <c r="BD26" i="86"/>
  <c r="BD25" i="86"/>
  <c r="BD24" i="86"/>
  <c r="BD23" i="86"/>
  <c r="BD22" i="86"/>
  <c r="BD21" i="86"/>
  <c r="BD20" i="86"/>
  <c r="BD19" i="86"/>
  <c r="BD13" i="86"/>
  <c r="BD12" i="86"/>
  <c r="BD10" i="86"/>
  <c r="BD7" i="86"/>
  <c r="BD4" i="86"/>
  <c r="BD2" i="86"/>
  <c r="BC943" i="86"/>
  <c r="BC942" i="86"/>
  <c r="BC941" i="86"/>
  <c r="BC940" i="86"/>
  <c r="BC939" i="86"/>
  <c r="BC938" i="86"/>
  <c r="BC937" i="86"/>
  <c r="BC936" i="86"/>
  <c r="BC935" i="86"/>
  <c r="BC933" i="86"/>
  <c r="BC931" i="86"/>
  <c r="BC929" i="86"/>
  <c r="BC927" i="86"/>
  <c r="BC926" i="86"/>
  <c r="BC925" i="86"/>
  <c r="BC924" i="86"/>
  <c r="BC923" i="86"/>
  <c r="BC922" i="86"/>
  <c r="BC921" i="86"/>
  <c r="BC920" i="86"/>
  <c r="BC919" i="86"/>
  <c r="BC918" i="86"/>
  <c r="BC917" i="86"/>
  <c r="BC916" i="86"/>
  <c r="BC915" i="86"/>
  <c r="BC905" i="86"/>
  <c r="BC902" i="86"/>
  <c r="BC901" i="86"/>
  <c r="BC900" i="86"/>
  <c r="BC899" i="86"/>
  <c r="BC898" i="86"/>
  <c r="BC897" i="86"/>
  <c r="BC896" i="86"/>
  <c r="BC895" i="86"/>
  <c r="BC894" i="86"/>
  <c r="BC893" i="86"/>
  <c r="BC892" i="86"/>
  <c r="BC891" i="86"/>
  <c r="BC890" i="86"/>
  <c r="BC889" i="86"/>
  <c r="BC888" i="86"/>
  <c r="BC887" i="86"/>
  <c r="BC886" i="86"/>
  <c r="BC885" i="86"/>
  <c r="BC867" i="86"/>
  <c r="BC866" i="86"/>
  <c r="BC864" i="86"/>
  <c r="BC863" i="86"/>
  <c r="BC860" i="86"/>
  <c r="BC852" i="86"/>
  <c r="BC850" i="86"/>
  <c r="BC849" i="86"/>
  <c r="BC848" i="86"/>
  <c r="BC847" i="86"/>
  <c r="BC846" i="86"/>
  <c r="BC839" i="86"/>
  <c r="BC834" i="86"/>
  <c r="BC833" i="86"/>
  <c r="BC832" i="86"/>
  <c r="BC831" i="86"/>
  <c r="BC830" i="86"/>
  <c r="BC824" i="86"/>
  <c r="BC818" i="86"/>
  <c r="BM818" i="86" s="1"/>
  <c r="BC816" i="86"/>
  <c r="BC811" i="86"/>
  <c r="BC810" i="86"/>
  <c r="BC809" i="86"/>
  <c r="BC808" i="86"/>
  <c r="BC807" i="86"/>
  <c r="BC806" i="86"/>
  <c r="BC805" i="86"/>
  <c r="BC804" i="86"/>
  <c r="BC803" i="86"/>
  <c r="BC802" i="86"/>
  <c r="BM802" i="86" s="1"/>
  <c r="BC801" i="86"/>
  <c r="BC800" i="86"/>
  <c r="BC799" i="86"/>
  <c r="BC798" i="86"/>
  <c r="BC797" i="86"/>
  <c r="BM797" i="86" s="1"/>
  <c r="BC796" i="86"/>
  <c r="BC795" i="86"/>
  <c r="BC794" i="86"/>
  <c r="BC793" i="86"/>
  <c r="BC792" i="86"/>
  <c r="BC791" i="86"/>
  <c r="BC790" i="86"/>
  <c r="BC789" i="86"/>
  <c r="BC788" i="86"/>
  <c r="BC787" i="86"/>
  <c r="BC786" i="86"/>
  <c r="BM786" i="86" s="1"/>
  <c r="BC783" i="86"/>
  <c r="BM783" i="86" s="1"/>
  <c r="BC782" i="86"/>
  <c r="BC781" i="86"/>
  <c r="BC780" i="86"/>
  <c r="BM780" i="86" s="1"/>
  <c r="BC779" i="86"/>
  <c r="BC778" i="86"/>
  <c r="BC777" i="86"/>
  <c r="BC770" i="86"/>
  <c r="BC769" i="86"/>
  <c r="BC768" i="86"/>
  <c r="BC767" i="86"/>
  <c r="BC766" i="86"/>
  <c r="BC764" i="86"/>
  <c r="BC763" i="86"/>
  <c r="BC761" i="86"/>
  <c r="BC759" i="86"/>
  <c r="BC757" i="86"/>
  <c r="BC756" i="86"/>
  <c r="BC755" i="86"/>
  <c r="BM755" i="86" s="1"/>
  <c r="BC754" i="86"/>
  <c r="BC753" i="86"/>
  <c r="BC752" i="86"/>
  <c r="BC751" i="86"/>
  <c r="BC750" i="86"/>
  <c r="BC749" i="86"/>
  <c r="BC748" i="86"/>
  <c r="BC747" i="86"/>
  <c r="BC746" i="86"/>
  <c r="BC745" i="86"/>
  <c r="BC744" i="86"/>
  <c r="BC743" i="86"/>
  <c r="BC742" i="86"/>
  <c r="BC741" i="86"/>
  <c r="BM741" i="86" s="1"/>
  <c r="BC739" i="86"/>
  <c r="BC736" i="86"/>
  <c r="BC735" i="86"/>
  <c r="BC734" i="86"/>
  <c r="BC733" i="86"/>
  <c r="BC732" i="86"/>
  <c r="BC731" i="86"/>
  <c r="BM731" i="86" s="1"/>
  <c r="BC730" i="86"/>
  <c r="BC728" i="86"/>
  <c r="BC727" i="86"/>
  <c r="BM727" i="86" s="1"/>
  <c r="BC726" i="86"/>
  <c r="BC723" i="86"/>
  <c r="BC721" i="86"/>
  <c r="BC717" i="86"/>
  <c r="BC716" i="86"/>
  <c r="BC715" i="86"/>
  <c r="BC714" i="86"/>
  <c r="BC713" i="86"/>
  <c r="BM713" i="86" s="1"/>
  <c r="BC712" i="86"/>
  <c r="BC710" i="86"/>
  <c r="BC708" i="86"/>
  <c r="BC707" i="86"/>
  <c r="BM707" i="86" s="1"/>
  <c r="BC694" i="86"/>
  <c r="BC693" i="86"/>
  <c r="BC688" i="86"/>
  <c r="BC687" i="86"/>
  <c r="BC686" i="86"/>
  <c r="BM686" i="86" s="1"/>
  <c r="BC684" i="86"/>
  <c r="BC683" i="86"/>
  <c r="BC681" i="86"/>
  <c r="BC680" i="86"/>
  <c r="BC676" i="86"/>
  <c r="BC675" i="86"/>
  <c r="BC674" i="86"/>
  <c r="BC673" i="86"/>
  <c r="BM673" i="86" s="1"/>
  <c r="BC672" i="86"/>
  <c r="BC671" i="86"/>
  <c r="BC670" i="86"/>
  <c r="BC669" i="86"/>
  <c r="BC668" i="86"/>
  <c r="BC651" i="86"/>
  <c r="BC650" i="86"/>
  <c r="BM650" i="86" s="1"/>
  <c r="BC649" i="86"/>
  <c r="BC648" i="86"/>
  <c r="BC647" i="86"/>
  <c r="BC646" i="86"/>
  <c r="BC645" i="86"/>
  <c r="BC644" i="86"/>
  <c r="BM644" i="86" s="1"/>
  <c r="BC643" i="86"/>
  <c r="BC642" i="86"/>
  <c r="BC633" i="86"/>
  <c r="BC632" i="86"/>
  <c r="BC627" i="86"/>
  <c r="BC626" i="86"/>
  <c r="BC624" i="86"/>
  <c r="BM624" i="86" s="1"/>
  <c r="BC623" i="86"/>
  <c r="BM623" i="86" s="1"/>
  <c r="BC622" i="86"/>
  <c r="BC621" i="86"/>
  <c r="BC620" i="86"/>
  <c r="BC619" i="86"/>
  <c r="BC618" i="86"/>
  <c r="BC617" i="86"/>
  <c r="BM617" i="86" s="1"/>
  <c r="BC616" i="86"/>
  <c r="BC615" i="86"/>
  <c r="BM615" i="86" s="1"/>
  <c r="BC614" i="86"/>
  <c r="BC613" i="86"/>
  <c r="BM613" i="86" s="1"/>
  <c r="BC612" i="86"/>
  <c r="BC611" i="86"/>
  <c r="BM611" i="86" s="1"/>
  <c r="BC610" i="86"/>
  <c r="BC608" i="86"/>
  <c r="BC606" i="86"/>
  <c r="BC605" i="86"/>
  <c r="BC604" i="86"/>
  <c r="BC603" i="86"/>
  <c r="BC600" i="86"/>
  <c r="BC598" i="86"/>
  <c r="BC597" i="86"/>
  <c r="BC596" i="86"/>
  <c r="BM596" i="86" s="1"/>
  <c r="BC595" i="86"/>
  <c r="BC590" i="86"/>
  <c r="BC589" i="86"/>
  <c r="BM589" i="86" s="1"/>
  <c r="BC588" i="86"/>
  <c r="BC587" i="86"/>
  <c r="BM587" i="86" s="1"/>
  <c r="BC585" i="86"/>
  <c r="BC584" i="86"/>
  <c r="BC583" i="86"/>
  <c r="BC582" i="86"/>
  <c r="BM582" i="86" s="1"/>
  <c r="BC581" i="86"/>
  <c r="BC580" i="86"/>
  <c r="BC579" i="86"/>
  <c r="BC577" i="86"/>
  <c r="BC576" i="86"/>
  <c r="BC575" i="86"/>
  <c r="BC574" i="86"/>
  <c r="BC573" i="86"/>
  <c r="BM573" i="86" s="1"/>
  <c r="BC572" i="86"/>
  <c r="BC571" i="86"/>
  <c r="BC568" i="86"/>
  <c r="BC567" i="86"/>
  <c r="BC566" i="86"/>
  <c r="BC563" i="86"/>
  <c r="BC562" i="86"/>
  <c r="BC560" i="86"/>
  <c r="BM560" i="86" s="1"/>
  <c r="BC559" i="86"/>
  <c r="BC558" i="86"/>
  <c r="BC557" i="86"/>
  <c r="BC556" i="86"/>
  <c r="BC555" i="86"/>
  <c r="BC554" i="86"/>
  <c r="BC553" i="86"/>
  <c r="BC552" i="86"/>
  <c r="BC551" i="86"/>
  <c r="BC550" i="86"/>
  <c r="BC549" i="86"/>
  <c r="BM549" i="86" s="1"/>
  <c r="BC548" i="86"/>
  <c r="BC547" i="86"/>
  <c r="BC546" i="86"/>
  <c r="BC545" i="86"/>
  <c r="BM545" i="86" s="1"/>
  <c r="BC544" i="86"/>
  <c r="BC543" i="86"/>
  <c r="BC542" i="86"/>
  <c r="BC541" i="86"/>
  <c r="BC540" i="86"/>
  <c r="BC539" i="86"/>
  <c r="BC538" i="86"/>
  <c r="BC537" i="86"/>
  <c r="BC536" i="86"/>
  <c r="BC535" i="86"/>
  <c r="BC534" i="86"/>
  <c r="BC533" i="86"/>
  <c r="BC532" i="86"/>
  <c r="BC528" i="86"/>
  <c r="BC527" i="86"/>
  <c r="BC526" i="86"/>
  <c r="BC525" i="86"/>
  <c r="BM525" i="86" s="1"/>
  <c r="BC524" i="86"/>
  <c r="BM524" i="86" s="1"/>
  <c r="BC523" i="86"/>
  <c r="BC522" i="86"/>
  <c r="BM522" i="86" s="1"/>
  <c r="BC521" i="86"/>
  <c r="BC520" i="86"/>
  <c r="BC519" i="86"/>
  <c r="BC511" i="86"/>
  <c r="BC510" i="86"/>
  <c r="BC508" i="86"/>
  <c r="BC507" i="86"/>
  <c r="BC505" i="86"/>
  <c r="BC502" i="86"/>
  <c r="BC500" i="86"/>
  <c r="BC496" i="86"/>
  <c r="BC491" i="86"/>
  <c r="BC490" i="86"/>
  <c r="BC489" i="86"/>
  <c r="BC487" i="86"/>
  <c r="BC486" i="86"/>
  <c r="BC485" i="86"/>
  <c r="BC483" i="86"/>
  <c r="BC482" i="86"/>
  <c r="BC481" i="86"/>
  <c r="BC480" i="86"/>
  <c r="BC475" i="86"/>
  <c r="BC474" i="86"/>
  <c r="BC461" i="86"/>
  <c r="BC458" i="86"/>
  <c r="BC457" i="86"/>
  <c r="BC453" i="86"/>
  <c r="BC450" i="86"/>
  <c r="BC447" i="86"/>
  <c r="BC446" i="86"/>
  <c r="BC443" i="86"/>
  <c r="BC442" i="86"/>
  <c r="BC439" i="86"/>
  <c r="BC438" i="86"/>
  <c r="BC436" i="86"/>
  <c r="BC435" i="86"/>
  <c r="BC434" i="86"/>
  <c r="BC433" i="86"/>
  <c r="BC432" i="86"/>
  <c r="BC430" i="86"/>
  <c r="BC429" i="86"/>
  <c r="BC428" i="86"/>
  <c r="BC426" i="86"/>
  <c r="BC425" i="86"/>
  <c r="BC424" i="86"/>
  <c r="BC418" i="86"/>
  <c r="BC417" i="86"/>
  <c r="BC416" i="86"/>
  <c r="BC415" i="86"/>
  <c r="BC413" i="86"/>
  <c r="BC412" i="86"/>
  <c r="BC409" i="86"/>
  <c r="BC407" i="86"/>
  <c r="BC406" i="86"/>
  <c r="BC405" i="86"/>
  <c r="BC402" i="86"/>
  <c r="BC401" i="86"/>
  <c r="BC399" i="86"/>
  <c r="BC398" i="86"/>
  <c r="BC396" i="86"/>
  <c r="BC395" i="86"/>
  <c r="BC393" i="86"/>
  <c r="BC392" i="86"/>
  <c r="BC390" i="86"/>
  <c r="BC389" i="86"/>
  <c r="BC388" i="86"/>
  <c r="BC387" i="86"/>
  <c r="BC386" i="86"/>
  <c r="BC385" i="86"/>
  <c r="BC384" i="86"/>
  <c r="BC383" i="86"/>
  <c r="BC382" i="86"/>
  <c r="BC381" i="86"/>
  <c r="BC380" i="86"/>
  <c r="BC379" i="86"/>
  <c r="BC378" i="86"/>
  <c r="BC377" i="86"/>
  <c r="BC376" i="86"/>
  <c r="BC375" i="86"/>
  <c r="BC374" i="86"/>
  <c r="BC373" i="86"/>
  <c r="BC372" i="86"/>
  <c r="BC371" i="86"/>
  <c r="BC370" i="86"/>
  <c r="BC369" i="86"/>
  <c r="BC368" i="86"/>
  <c r="BC367" i="86"/>
  <c r="BC366" i="86"/>
  <c r="BC365" i="86"/>
  <c r="BC364" i="86"/>
  <c r="BC363" i="86"/>
  <c r="BC362" i="86"/>
  <c r="BC361" i="86"/>
  <c r="BC360" i="86"/>
  <c r="BC359" i="86"/>
  <c r="BC358" i="86"/>
  <c r="BC357" i="86"/>
  <c r="BC356" i="86"/>
  <c r="BC355" i="86"/>
  <c r="BC354" i="86"/>
  <c r="BC353" i="86"/>
  <c r="BC352" i="86"/>
  <c r="BC351" i="86"/>
  <c r="BC350" i="86"/>
  <c r="BC349" i="86"/>
  <c r="BC348" i="86"/>
  <c r="BC347" i="86"/>
  <c r="BC346" i="86"/>
  <c r="BC345" i="86"/>
  <c r="BC344" i="86"/>
  <c r="BC343" i="86"/>
  <c r="BC342" i="86"/>
  <c r="BC341" i="86"/>
  <c r="BC340" i="86"/>
  <c r="BC339" i="86"/>
  <c r="BC333" i="86"/>
  <c r="BC332" i="86"/>
  <c r="BC331" i="86"/>
  <c r="BC330" i="86"/>
  <c r="BC329" i="86"/>
  <c r="BC328" i="86"/>
  <c r="BC327" i="86"/>
  <c r="BC325" i="86"/>
  <c r="BC323" i="86"/>
  <c r="BC321" i="86"/>
  <c r="BC320" i="86"/>
  <c r="BC319" i="86"/>
  <c r="BC318" i="86"/>
  <c r="BC317" i="86"/>
  <c r="BC315" i="86"/>
  <c r="BC314" i="86"/>
  <c r="BC313" i="86"/>
  <c r="BC312" i="86"/>
  <c r="BC311" i="86"/>
  <c r="BC305" i="86"/>
  <c r="BC304" i="86"/>
  <c r="BC303" i="86"/>
  <c r="BC300" i="86"/>
  <c r="BC299" i="86"/>
  <c r="BC298" i="86"/>
  <c r="BC297" i="86"/>
  <c r="BC296" i="86"/>
  <c r="BC295" i="86"/>
  <c r="BC261" i="86"/>
  <c r="BC257" i="86"/>
  <c r="BC256" i="86"/>
  <c r="BC255" i="86"/>
  <c r="BC251" i="86"/>
  <c r="BC250" i="86"/>
  <c r="BC249" i="86"/>
  <c r="BC248" i="86"/>
  <c r="BC247" i="86"/>
  <c r="BC246" i="86"/>
  <c r="BC245" i="86"/>
  <c r="BC244" i="86"/>
  <c r="BC243" i="86"/>
  <c r="BC242" i="86"/>
  <c r="BC241" i="86"/>
  <c r="BC240" i="86"/>
  <c r="BC239" i="86"/>
  <c r="BC238" i="86"/>
  <c r="BC237" i="86"/>
  <c r="BC236" i="86"/>
  <c r="BC235" i="86"/>
  <c r="BC234" i="86"/>
  <c r="BC233" i="86"/>
  <c r="BC232" i="86"/>
  <c r="BC231" i="86"/>
  <c r="BC229" i="86"/>
  <c r="BC228" i="86"/>
  <c r="BC227" i="86"/>
  <c r="BC226" i="86"/>
  <c r="BC225" i="86"/>
  <c r="BC224" i="86"/>
  <c r="BC223" i="86"/>
  <c r="BC222" i="86"/>
  <c r="BC221" i="86"/>
  <c r="BC215" i="86"/>
  <c r="BC214" i="86"/>
  <c r="BC213" i="86"/>
  <c r="BC211" i="86"/>
  <c r="BC210" i="86"/>
  <c r="BC209" i="86"/>
  <c r="BC205" i="86"/>
  <c r="BC204" i="86"/>
  <c r="BC203" i="86"/>
  <c r="BC202" i="86"/>
  <c r="BC201" i="86"/>
  <c r="BC200" i="86"/>
  <c r="BC199" i="86"/>
  <c r="BC198" i="86"/>
  <c r="BC197" i="86"/>
  <c r="BC196" i="86"/>
  <c r="BC195" i="86"/>
  <c r="BC194" i="86"/>
  <c r="BC193" i="86"/>
  <c r="BC192" i="86"/>
  <c r="BC191" i="86"/>
  <c r="BC190" i="86"/>
  <c r="BC189" i="86"/>
  <c r="BC188" i="86"/>
  <c r="BC187" i="86"/>
  <c r="BG187" i="86" s="1"/>
  <c r="BC186" i="86"/>
  <c r="BG186" i="86" s="1"/>
  <c r="BC185" i="86"/>
  <c r="BC184" i="86"/>
  <c r="BG184" i="86" s="1"/>
  <c r="BC182" i="86"/>
  <c r="BC181" i="86"/>
  <c r="BC180" i="86"/>
  <c r="BC179" i="86"/>
  <c r="BC178" i="86"/>
  <c r="BC177" i="86"/>
  <c r="BC175" i="86"/>
  <c r="BC173" i="86"/>
  <c r="BC172" i="86"/>
  <c r="BC171" i="86"/>
  <c r="BC168" i="86"/>
  <c r="BC167" i="86"/>
  <c r="BC166" i="86"/>
  <c r="BC164" i="86"/>
  <c r="BC163" i="86"/>
  <c r="BC162" i="86"/>
  <c r="BC155" i="86"/>
  <c r="BC153" i="86"/>
  <c r="BC152" i="86"/>
  <c r="BC151" i="86"/>
  <c r="BC150" i="86"/>
  <c r="BC149" i="86"/>
  <c r="BC148" i="86"/>
  <c r="BC146" i="86"/>
  <c r="BC145" i="86"/>
  <c r="BC144" i="86"/>
  <c r="BC143" i="86"/>
  <c r="BC142" i="86"/>
  <c r="BC141" i="86"/>
  <c r="BC136" i="86"/>
  <c r="BC135" i="86"/>
  <c r="BC133" i="86"/>
  <c r="BC132" i="86"/>
  <c r="BC131" i="86"/>
  <c r="BC129" i="86"/>
  <c r="BC128" i="86"/>
  <c r="BC127" i="86"/>
  <c r="BC126" i="86"/>
  <c r="BC123" i="86"/>
  <c r="BC121" i="86"/>
  <c r="BC120" i="86"/>
  <c r="BC119" i="86"/>
  <c r="BC115" i="86"/>
  <c r="BC114" i="86"/>
  <c r="BC112" i="86"/>
  <c r="BC111" i="86"/>
  <c r="BC110" i="86"/>
  <c r="BC109" i="86"/>
  <c r="BC108" i="86"/>
  <c r="BC105" i="86"/>
  <c r="BC94" i="86"/>
  <c r="BC93" i="86"/>
  <c r="BC92" i="86"/>
  <c r="BC91" i="86"/>
  <c r="BC90" i="86"/>
  <c r="BC89" i="86"/>
  <c r="BC88" i="86"/>
  <c r="BC87" i="86"/>
  <c r="BC86" i="86"/>
  <c r="BC85" i="86"/>
  <c r="BC84" i="86"/>
  <c r="BC83" i="86"/>
  <c r="BC82" i="86"/>
  <c r="BC81" i="86"/>
  <c r="BC80" i="86"/>
  <c r="BC79" i="86"/>
  <c r="BC78" i="86"/>
  <c r="BC77" i="86"/>
  <c r="BC76" i="86"/>
  <c r="BC75" i="86"/>
  <c r="BC74" i="86"/>
  <c r="BC73" i="86"/>
  <c r="BC72" i="86"/>
  <c r="BC70" i="86"/>
  <c r="BC66" i="86"/>
  <c r="BC65" i="86"/>
  <c r="BC64" i="86"/>
  <c r="BC63" i="86"/>
  <c r="BC62" i="86"/>
  <c r="BC61" i="86"/>
  <c r="BC60" i="86"/>
  <c r="BC59" i="86"/>
  <c r="BC58" i="86"/>
  <c r="BC55" i="86"/>
  <c r="BC54" i="86"/>
  <c r="BC52" i="86"/>
  <c r="BC49" i="86"/>
  <c r="BC48" i="86"/>
  <c r="BC47" i="86"/>
  <c r="BC46" i="86"/>
  <c r="BC45" i="86"/>
  <c r="BC44" i="86"/>
  <c r="BC43" i="86"/>
  <c r="BC42" i="86"/>
  <c r="BC41" i="86"/>
  <c r="BC40" i="86"/>
  <c r="BC39" i="86"/>
  <c r="BC38" i="86"/>
  <c r="BC37" i="86"/>
  <c r="BC36" i="86"/>
  <c r="BC35" i="86"/>
  <c r="BC34" i="86"/>
  <c r="BC33" i="86"/>
  <c r="BC32" i="86"/>
  <c r="BC31" i="86"/>
  <c r="BC30" i="86"/>
  <c r="BC29" i="86"/>
  <c r="BC28" i="86"/>
  <c r="BC27" i="86"/>
  <c r="BC26" i="86"/>
  <c r="BC25" i="86"/>
  <c r="BC24" i="86"/>
  <c r="BC23" i="86"/>
  <c r="BC22" i="86"/>
  <c r="BC21" i="86"/>
  <c r="BC20" i="86"/>
  <c r="BC19" i="86"/>
  <c r="BC13" i="86"/>
  <c r="BC12" i="86"/>
  <c r="BC10" i="86"/>
  <c r="BC7" i="86"/>
  <c r="BC4" i="86"/>
  <c r="BC2" i="86"/>
  <c r="AV853" i="86"/>
  <c r="BD853" i="86" s="1"/>
  <c r="AN3" i="90"/>
  <c r="AN5" i="90"/>
  <c r="AN6" i="90"/>
  <c r="AN7" i="90"/>
  <c r="AN8" i="90"/>
  <c r="AV419" i="86"/>
  <c r="AV410" i="86"/>
  <c r="BC410" i="86" s="1"/>
  <c r="AV467" i="86"/>
  <c r="AV459" i="86"/>
  <c r="AV140" i="86"/>
  <c r="AV845" i="86"/>
  <c r="BD845" i="86" s="1"/>
  <c r="AV561" i="86"/>
  <c r="AV206" i="86"/>
  <c r="BD206" i="86" s="1"/>
  <c r="AW827" i="86"/>
  <c r="BE827" i="86" s="1"/>
  <c r="AW826" i="86"/>
  <c r="AW932" i="86"/>
  <c r="BF932" i="86" s="1"/>
  <c r="AW930" i="86"/>
  <c r="AW913" i="86"/>
  <c r="BF913" i="86" s="1"/>
  <c r="AW912" i="86"/>
  <c r="AW911" i="86"/>
  <c r="BE911" i="86" s="1"/>
  <c r="AW909" i="86"/>
  <c r="AW16" i="86"/>
  <c r="AW15" i="86"/>
  <c r="AW451" i="86"/>
  <c r="BM451" i="86" s="1"/>
  <c r="AW448" i="86"/>
  <c r="AW336" i="86"/>
  <c r="AW310" i="86"/>
  <c r="BM310" i="86" s="1"/>
  <c r="AW307" i="86"/>
  <c r="AW165" i="86"/>
  <c r="AW161" i="86"/>
  <c r="BM161" i="86" s="1"/>
  <c r="AW160" i="86"/>
  <c r="AW159" i="86"/>
  <c r="AW158" i="86"/>
  <c r="BM158" i="86" s="1"/>
  <c r="AW157" i="86"/>
  <c r="AW156" i="86"/>
  <c r="AW154" i="86"/>
  <c r="BG154" i="86" s="1"/>
  <c r="AW631" i="86"/>
  <c r="BE631" i="86" s="1"/>
  <c r="AW630" i="86"/>
  <c r="AW629" i="86"/>
  <c r="AW122" i="86"/>
  <c r="AW907" i="86"/>
  <c r="AW906" i="86"/>
  <c r="BF906" i="86" s="1"/>
  <c r="BG829" i="86"/>
  <c r="BE829" i="86"/>
  <c r="BF829" i="86"/>
  <c r="AW859" i="86"/>
  <c r="AW858" i="86"/>
  <c r="BE858" i="86" s="1"/>
  <c r="AW844" i="86"/>
  <c r="AW861" i="86"/>
  <c r="AW840" i="86"/>
  <c r="AW838" i="86"/>
  <c r="AW837" i="86"/>
  <c r="BF837" i="86" s="1"/>
  <c r="AW823" i="86"/>
  <c r="AW820" i="86"/>
  <c r="AW740" i="86"/>
  <c r="AW720" i="86"/>
  <c r="BG720" i="86" s="1"/>
  <c r="AW719" i="86"/>
  <c r="AW718" i="86"/>
  <c r="AW772" i="86"/>
  <c r="BF772" i="86" s="1"/>
  <c r="AW773" i="86"/>
  <c r="BF773" i="86" s="1"/>
  <c r="AW771" i="86"/>
  <c r="BE771" i="86" s="1"/>
  <c r="AW835" i="86"/>
  <c r="AW843" i="86"/>
  <c r="AW842" i="86"/>
  <c r="BF842" i="86" s="1"/>
  <c r="AW836" i="86"/>
  <c r="AW815" i="86"/>
  <c r="AW813" i="86"/>
  <c r="BM813" i="86" s="1"/>
  <c r="AW530" i="86"/>
  <c r="BG530" i="86" s="1"/>
  <c r="AW529" i="86"/>
  <c r="AW207" i="86"/>
  <c r="BF207" i="86" s="1"/>
  <c r="AW130" i="86"/>
  <c r="BE130" i="86" s="1"/>
  <c r="AW139" i="86"/>
  <c r="BF139" i="86" s="1"/>
  <c r="AW137" i="86"/>
  <c r="AW599" i="86"/>
  <c r="AW691" i="86"/>
  <c r="AW711" i="86"/>
  <c r="AW709" i="86"/>
  <c r="BE709" i="86" s="1"/>
  <c r="AW702" i="86"/>
  <c r="AV53" i="86"/>
  <c r="AV904" i="86"/>
  <c r="BC904" i="86" s="1"/>
  <c r="AV903" i="86"/>
  <c r="AV865" i="86"/>
  <c r="BC865" i="86" s="1"/>
  <c r="AV841" i="86"/>
  <c r="AV934" i="86"/>
  <c r="AV910" i="86"/>
  <c r="AV908" i="86"/>
  <c r="BD908" i="86" s="1"/>
  <c r="AV183" i="86"/>
  <c r="AV125" i="86"/>
  <c r="BG125" i="86" s="1"/>
  <c r="AV423" i="86"/>
  <c r="AV326" i="86"/>
  <c r="BC326" i="86" s="1"/>
  <c r="AV337" i="86"/>
  <c r="AV324" i="86"/>
  <c r="BC324" i="86" s="1"/>
  <c r="AV738" i="86"/>
  <c r="AV334" i="86"/>
  <c r="BC334" i="86" s="1"/>
  <c r="AV509" i="86"/>
  <c r="BD509" i="86" s="1"/>
  <c r="AV316" i="86"/>
  <c r="BC316" i="86" s="1"/>
  <c r="AV57" i="86"/>
  <c r="AV56" i="86"/>
  <c r="AV117" i="86"/>
  <c r="BD117" i="86" s="1"/>
  <c r="AV252" i="86"/>
  <c r="AV254" i="86"/>
  <c r="AV230" i="86"/>
  <c r="AV851" i="86"/>
  <c r="AV862" i="86"/>
  <c r="BC862" i="86" s="1"/>
  <c r="AV397" i="86"/>
  <c r="BC397" i="86" s="1"/>
  <c r="AV625" i="86"/>
  <c r="AV762" i="86"/>
  <c r="AV592" i="86"/>
  <c r="AV586" i="86"/>
  <c r="AV449" i="86"/>
  <c r="BD449" i="86" s="1"/>
  <c r="AV460" i="86"/>
  <c r="BC758" i="86"/>
  <c r="BD758" i="86"/>
  <c r="BD338" i="86"/>
  <c r="BD928" i="86"/>
  <c r="BC928" i="86"/>
  <c r="BD729" i="86"/>
  <c r="BC725" i="86"/>
  <c r="BC737" i="86"/>
  <c r="BC944" i="86" l="1"/>
  <c r="BE720" i="86"/>
  <c r="BM768" i="86"/>
  <c r="BM708" i="86"/>
  <c r="BM557" i="86"/>
  <c r="BM612" i="86"/>
  <c r="BD737" i="86"/>
  <c r="BC338" i="86"/>
  <c r="BD609" i="86"/>
  <c r="BM567" i="86"/>
  <c r="BM645" i="86"/>
  <c r="BD337" i="86"/>
  <c r="AX953" i="86"/>
  <c r="BM953" i="86" s="1"/>
  <c r="BF130" i="86"/>
  <c r="BC729" i="86"/>
  <c r="BM729" i="86" s="1"/>
  <c r="BF827" i="86"/>
  <c r="BM119" i="86"/>
  <c r="BM566" i="86"/>
  <c r="BM730" i="86"/>
  <c r="BM598" i="86"/>
  <c r="BM531" i="86"/>
  <c r="BM115" i="86"/>
  <c r="BM626" i="86"/>
  <c r="BD326" i="86"/>
  <c r="BE837" i="86"/>
  <c r="BF720" i="86"/>
  <c r="BM720" i="86" s="1"/>
  <c r="BE773" i="86"/>
  <c r="BM773" i="86" s="1"/>
  <c r="BF631" i="86"/>
  <c r="BM631" i="86" s="1"/>
  <c r="BC934" i="86"/>
  <c r="BM157" i="86"/>
  <c r="BC125" i="86"/>
  <c r="BF771" i="86"/>
  <c r="BM771" i="86" s="1"/>
  <c r="BE913" i="86"/>
  <c r="BM913" i="86" s="1"/>
  <c r="BD460" i="86"/>
  <c r="BC449" i="86"/>
  <c r="BM959" i="86"/>
  <c r="BM806" i="86"/>
  <c r="BM809" i="86"/>
  <c r="BM793" i="86"/>
  <c r="BM542" i="86"/>
  <c r="BF529" i="86"/>
  <c r="BC337" i="86"/>
  <c r="BF530" i="86"/>
  <c r="BC117" i="86"/>
  <c r="BM117" i="86" s="1"/>
  <c r="BC460" i="86"/>
  <c r="BE842" i="86"/>
  <c r="BC853" i="86"/>
  <c r="BE530" i="86"/>
  <c r="BD324" i="86"/>
  <c r="BM324" i="86" s="1"/>
  <c r="BM835" i="86"/>
  <c r="BE772" i="86"/>
  <c r="BF858" i="86"/>
  <c r="BD607" i="86"/>
  <c r="BE930" i="86"/>
  <c r="BC724" i="86"/>
  <c r="BD904" i="86"/>
  <c r="BC254" i="86"/>
  <c r="BE529" i="86"/>
  <c r="BD934" i="86"/>
  <c r="BF930" i="86"/>
  <c r="BD397" i="86"/>
  <c r="BM397" i="86" s="1"/>
  <c r="BD254" i="86"/>
  <c r="BF709" i="86"/>
  <c r="BM709" i="86" s="1"/>
  <c r="BE932" i="86"/>
  <c r="BM932" i="86" s="1"/>
  <c r="BM159" i="86"/>
  <c r="BC607" i="86"/>
  <c r="BM562" i="86"/>
  <c r="BM87" i="86"/>
  <c r="BM365" i="86"/>
  <c r="BM381" i="86"/>
  <c r="BM385" i="86"/>
  <c r="BM502" i="86"/>
  <c r="BM574" i="86"/>
  <c r="BM688" i="86"/>
  <c r="BM748" i="86"/>
  <c r="BM960" i="86"/>
  <c r="BM553" i="86"/>
  <c r="BM955" i="86"/>
  <c r="BM441" i="86"/>
  <c r="BM819" i="86"/>
  <c r="BM777" i="86"/>
  <c r="BM260" i="86"/>
  <c r="BM581" i="86"/>
  <c r="BM676" i="86"/>
  <c r="BM528" i="86"/>
  <c r="BC134" i="86"/>
  <c r="BM134" i="86" s="1"/>
  <c r="BM513" i="86"/>
  <c r="BM710" i="86"/>
  <c r="BM300" i="86"/>
  <c r="BM433" i="86"/>
  <c r="BM943" i="86"/>
  <c r="BM828" i="86"/>
  <c r="BM72" i="86"/>
  <c r="BC591" i="86"/>
  <c r="BM20" i="86"/>
  <c r="BM246" i="86"/>
  <c r="BM395" i="86"/>
  <c r="BM364" i="86"/>
  <c r="BM736" i="86"/>
  <c r="BM505" i="86"/>
  <c r="BM759" i="86"/>
  <c r="BM833" i="86"/>
  <c r="BM895" i="86"/>
  <c r="BM942" i="86"/>
  <c r="BM70" i="86"/>
  <c r="BM181" i="86"/>
  <c r="BM351" i="86"/>
  <c r="BM369" i="86"/>
  <c r="BM264" i="86"/>
  <c r="BM749" i="86"/>
  <c r="BM745" i="86"/>
  <c r="BM805" i="86"/>
  <c r="BM288" i="86"/>
  <c r="BM259" i="86"/>
  <c r="BM958" i="86"/>
  <c r="BM274" i="86"/>
  <c r="BM558" i="86"/>
  <c r="BM946" i="86"/>
  <c r="BM377" i="86"/>
  <c r="BM480" i="86"/>
  <c r="BM539" i="86"/>
  <c r="BM590" i="86"/>
  <c r="BM605" i="86"/>
  <c r="BM753" i="86"/>
  <c r="BM769" i="86"/>
  <c r="BM779" i="86"/>
  <c r="BM411" i="86"/>
  <c r="BM471" i="86"/>
  <c r="BC492" i="86"/>
  <c r="BM492" i="86" s="1"/>
  <c r="BM176" i="86"/>
  <c r="BM464" i="86"/>
  <c r="BM789" i="86"/>
  <c r="BM68" i="86"/>
  <c r="BM543" i="86"/>
  <c r="BM715" i="86"/>
  <c r="BD484" i="86"/>
  <c r="BD635" i="86"/>
  <c r="BM576" i="86"/>
  <c r="BM951" i="86"/>
  <c r="BM551" i="86"/>
  <c r="BM462" i="86"/>
  <c r="BM45" i="86"/>
  <c r="BM74" i="86"/>
  <c r="BM86" i="86"/>
  <c r="BM90" i="86"/>
  <c r="BM94" i="86"/>
  <c r="BM123" i="86"/>
  <c r="BM129" i="86"/>
  <c r="BM143" i="86"/>
  <c r="BM148" i="86"/>
  <c r="BM152" i="86"/>
  <c r="BM168" i="86"/>
  <c r="BM226" i="86"/>
  <c r="BM231" i="86"/>
  <c r="BM235" i="86"/>
  <c r="BM243" i="86"/>
  <c r="BM247" i="86"/>
  <c r="BM251" i="86"/>
  <c r="BM323" i="86"/>
  <c r="BM329" i="86"/>
  <c r="BM362" i="86"/>
  <c r="BM366" i="86"/>
  <c r="BM396" i="86"/>
  <c r="BM416" i="86"/>
  <c r="BM425" i="86"/>
  <c r="BM450" i="86"/>
  <c r="BM461" i="86"/>
  <c r="BM486" i="86"/>
  <c r="BM491" i="86"/>
  <c r="BM801" i="86"/>
  <c r="BM672" i="86"/>
  <c r="BC484" i="86"/>
  <c r="BM555" i="86"/>
  <c r="BM69" i="86"/>
  <c r="BM572" i="86"/>
  <c r="BM286" i="86"/>
  <c r="BM64" i="86"/>
  <c r="BM510" i="86"/>
  <c r="BM894" i="86"/>
  <c r="BM931" i="86"/>
  <c r="BM937" i="86"/>
  <c r="BM512" i="86"/>
  <c r="BM758" i="86"/>
  <c r="BM30" i="86"/>
  <c r="BM63" i="86"/>
  <c r="BM896" i="86"/>
  <c r="BM927" i="86"/>
  <c r="BM36" i="86"/>
  <c r="BM55" i="86"/>
  <c r="BM61" i="86"/>
  <c r="BM132" i="86"/>
  <c r="BM203" i="86"/>
  <c r="BM215" i="86"/>
  <c r="BM311" i="86"/>
  <c r="BM340" i="86"/>
  <c r="BM356" i="86"/>
  <c r="BM380" i="86"/>
  <c r="BM388" i="86"/>
  <c r="BM399" i="86"/>
  <c r="BM438" i="86"/>
  <c r="BM382" i="86"/>
  <c r="BD640" i="86"/>
  <c r="BM194" i="86"/>
  <c r="BM214" i="86"/>
  <c r="BM386" i="86"/>
  <c r="BM917" i="86"/>
  <c r="BM248" i="86"/>
  <c r="BM426" i="86"/>
  <c r="BM541" i="86"/>
  <c r="BM949" i="86"/>
  <c r="BM532" i="86"/>
  <c r="BM239" i="86"/>
  <c r="BM346" i="86"/>
  <c r="BM643" i="86"/>
  <c r="BM237" i="86"/>
  <c r="BC476" i="86"/>
  <c r="BM244" i="86"/>
  <c r="BM754" i="86"/>
  <c r="BM649" i="86"/>
  <c r="BM175" i="86"/>
  <c r="BM384" i="86"/>
  <c r="BM603" i="86"/>
  <c r="BM716" i="86"/>
  <c r="BM495" i="86"/>
  <c r="BM261" i="86"/>
  <c r="BM350" i="86"/>
  <c r="BM370" i="86"/>
  <c r="BM548" i="86"/>
  <c r="BM606" i="86"/>
  <c r="BM620" i="86"/>
  <c r="BM633" i="86"/>
  <c r="BM712" i="86"/>
  <c r="BM272" i="86"/>
  <c r="BM414" i="86"/>
  <c r="BM847" i="86"/>
  <c r="BM496" i="86"/>
  <c r="BM4" i="86"/>
  <c r="BM52" i="86"/>
  <c r="BM314" i="86"/>
  <c r="BM398" i="86"/>
  <c r="BM807" i="86"/>
  <c r="BG185" i="86"/>
  <c r="BM197" i="86"/>
  <c r="BM205" i="86"/>
  <c r="BM222" i="86"/>
  <c r="BM333" i="86"/>
  <c r="BM354" i="86"/>
  <c r="BM402" i="86"/>
  <c r="BM442" i="86"/>
  <c r="BM481" i="86"/>
  <c r="BM544" i="86"/>
  <c r="BM556" i="86"/>
  <c r="BM577" i="86"/>
  <c r="BM694" i="86"/>
  <c r="BM726" i="86"/>
  <c r="BM735" i="86"/>
  <c r="BM750" i="86"/>
  <c r="BM794" i="86"/>
  <c r="BM866" i="86"/>
  <c r="BM891" i="86"/>
  <c r="BM899" i="86"/>
  <c r="BM941" i="86"/>
  <c r="BC593" i="86"/>
  <c r="BM517" i="86"/>
  <c r="BD638" i="86"/>
  <c r="BM511" i="86"/>
  <c r="BM925" i="86"/>
  <c r="BM13" i="86"/>
  <c r="BM34" i="86"/>
  <c r="BM46" i="86"/>
  <c r="BM79" i="86"/>
  <c r="BM91" i="86"/>
  <c r="BM136" i="86"/>
  <c r="BM153" i="86"/>
  <c r="BM171" i="86"/>
  <c r="BM227" i="86"/>
  <c r="BM240" i="86"/>
  <c r="BM347" i="86"/>
  <c r="BM367" i="86"/>
  <c r="BM432" i="86"/>
  <c r="BM443" i="86"/>
  <c r="BM474" i="86"/>
  <c r="BM681" i="86"/>
  <c r="BM743" i="86"/>
  <c r="BM799" i="86"/>
  <c r="BM811" i="86"/>
  <c r="BM850" i="86"/>
  <c r="BM374" i="86"/>
  <c r="BM646" i="86"/>
  <c r="BM409" i="86"/>
  <c r="BM766" i="86"/>
  <c r="BM781" i="86"/>
  <c r="BM948" i="86"/>
  <c r="BM325" i="86"/>
  <c r="BM233" i="86"/>
  <c r="BM213" i="86"/>
  <c r="BM195" i="86"/>
  <c r="BM38" i="86"/>
  <c r="BG223" i="86"/>
  <c r="BM193" i="86"/>
  <c r="BM201" i="86"/>
  <c r="BM313" i="86"/>
  <c r="BM435" i="86"/>
  <c r="BM540" i="86"/>
  <c r="BM669" i="86"/>
  <c r="BM790" i="86"/>
  <c r="BM887" i="86"/>
  <c r="BM922" i="86"/>
  <c r="BM926" i="86"/>
  <c r="BM938" i="86"/>
  <c r="BM335" i="86"/>
  <c r="BM378" i="86"/>
  <c r="BM798" i="86"/>
  <c r="BM746" i="86"/>
  <c r="BM298" i="86"/>
  <c r="BM42" i="86"/>
  <c r="BM105" i="86"/>
  <c r="BM144" i="86"/>
  <c r="BM177" i="86"/>
  <c r="BM190" i="86"/>
  <c r="BM299" i="86"/>
  <c r="BM319" i="86"/>
  <c r="BM343" i="86"/>
  <c r="BM371" i="86"/>
  <c r="BM383" i="86"/>
  <c r="BM405" i="86"/>
  <c r="BM436" i="86"/>
  <c r="BM526" i="86"/>
  <c r="BM537" i="86"/>
  <c r="BM791" i="86"/>
  <c r="BM803" i="86"/>
  <c r="BM48" i="86"/>
  <c r="BM65" i="86"/>
  <c r="BM256" i="86"/>
  <c r="BM568" i="86"/>
  <c r="BM26" i="86"/>
  <c r="BM824" i="86"/>
  <c r="BM406" i="86"/>
  <c r="BM164" i="86"/>
  <c r="BC640" i="86"/>
  <c r="BM417" i="86"/>
  <c r="BM131" i="86"/>
  <c r="BM921" i="86"/>
  <c r="BM28" i="86"/>
  <c r="BD593" i="86"/>
  <c r="BC639" i="86"/>
  <c r="BD639" i="86"/>
  <c r="BM290" i="86"/>
  <c r="BM404" i="86"/>
  <c r="BM944" i="86"/>
  <c r="BM928" i="86"/>
  <c r="BM19" i="86"/>
  <c r="BM27" i="86"/>
  <c r="BM35" i="86"/>
  <c r="BM39" i="86"/>
  <c r="BM54" i="86"/>
  <c r="BM76" i="86"/>
  <c r="BM84" i="86"/>
  <c r="BM92" i="86"/>
  <c r="BM145" i="86"/>
  <c r="BM166" i="86"/>
  <c r="BM687" i="86"/>
  <c r="BD641" i="86"/>
  <c r="BM641" i="86" s="1"/>
  <c r="BM516" i="86"/>
  <c r="BM628" i="86"/>
  <c r="BM947" i="86"/>
  <c r="BM10" i="86"/>
  <c r="BM44" i="86"/>
  <c r="BM191" i="86"/>
  <c r="BM249" i="86"/>
  <c r="BM331" i="86"/>
  <c r="BM376" i="86"/>
  <c r="BM413" i="86"/>
  <c r="BM475" i="86"/>
  <c r="BM483" i="86"/>
  <c r="BM489" i="86"/>
  <c r="BM504" i="86"/>
  <c r="BM535" i="86"/>
  <c r="BM632" i="86"/>
  <c r="BM864" i="86"/>
  <c r="BM890" i="86"/>
  <c r="BM898" i="86"/>
  <c r="BM154" i="86"/>
  <c r="BM7" i="86"/>
  <c r="BM43" i="86"/>
  <c r="BM80" i="86"/>
  <c r="BM108" i="86"/>
  <c r="BM232" i="86"/>
  <c r="BM305" i="86"/>
  <c r="BM330" i="86"/>
  <c r="BM387" i="86"/>
  <c r="BM420" i="86"/>
  <c r="BM902" i="86"/>
  <c r="BM918" i="86"/>
  <c r="BM23" i="86"/>
  <c r="BM60" i="86"/>
  <c r="BM127" i="86"/>
  <c r="BM150" i="86"/>
  <c r="BM198" i="86"/>
  <c r="BM202" i="86"/>
  <c r="BM209" i="86"/>
  <c r="BM236" i="86"/>
  <c r="BM182" i="86"/>
  <c r="BM600" i="86"/>
  <c r="BM363" i="86"/>
  <c r="BM47" i="86"/>
  <c r="BM379" i="86"/>
  <c r="BM453" i="86"/>
  <c r="BM187" i="86"/>
  <c r="BM693" i="86"/>
  <c r="BM734" i="86"/>
  <c r="BM559" i="86"/>
  <c r="BM113" i="86"/>
  <c r="BM111" i="86"/>
  <c r="BM604" i="86"/>
  <c r="BM863" i="86"/>
  <c r="BM885" i="86"/>
  <c r="BM920" i="86"/>
  <c r="BM924" i="86"/>
  <c r="BM929" i="86"/>
  <c r="BM12" i="86"/>
  <c r="BM21" i="86"/>
  <c r="BM49" i="86"/>
  <c r="BM66" i="86"/>
  <c r="BM133" i="86"/>
  <c r="BM192" i="86"/>
  <c r="BM211" i="86"/>
  <c r="BM238" i="86"/>
  <c r="BM257" i="86"/>
  <c r="BM303" i="86"/>
  <c r="BM341" i="86"/>
  <c r="BM407" i="86"/>
  <c r="BM434" i="86"/>
  <c r="BM614" i="86"/>
  <c r="BM618" i="86"/>
  <c r="BM651" i="86"/>
  <c r="BM671" i="86"/>
  <c r="BM733" i="86"/>
  <c r="BM756" i="86"/>
  <c r="BM782" i="86"/>
  <c r="BM788" i="86"/>
  <c r="BM800" i="86"/>
  <c r="BM860" i="86"/>
  <c r="BM919" i="86"/>
  <c r="BM923" i="86"/>
  <c r="BM503" i="86"/>
  <c r="BM174" i="86"/>
  <c r="BM431" i="86"/>
  <c r="BE137" i="86"/>
  <c r="BF137" i="86"/>
  <c r="BM508" i="86"/>
  <c r="BM534" i="86"/>
  <c r="BM550" i="86"/>
  <c r="BM571" i="86"/>
  <c r="BM816" i="86"/>
  <c r="BM114" i="86"/>
  <c r="BM162" i="86"/>
  <c r="BM940" i="86"/>
  <c r="BM229" i="86"/>
  <c r="BD57" i="86"/>
  <c r="BC57" i="86"/>
  <c r="BM307" i="86"/>
  <c r="BM546" i="86"/>
  <c r="BM81" i="86"/>
  <c r="BM146" i="86"/>
  <c r="BM204" i="86"/>
  <c r="BM297" i="86"/>
  <c r="BM328" i="86"/>
  <c r="BM353" i="86"/>
  <c r="BM332" i="86"/>
  <c r="BM321" i="86"/>
  <c r="BM85" i="86"/>
  <c r="BM849" i="86"/>
  <c r="BM520" i="86"/>
  <c r="BM527" i="86"/>
  <c r="BM580" i="86"/>
  <c r="BM584" i="86"/>
  <c r="BM831" i="86"/>
  <c r="BM893" i="86"/>
  <c r="BM901" i="86"/>
  <c r="BM2" i="86"/>
  <c r="BM37" i="86"/>
  <c r="BM73" i="86"/>
  <c r="BM200" i="86"/>
  <c r="BM349" i="86"/>
  <c r="BM184" i="86"/>
  <c r="BM523" i="86"/>
  <c r="BM627" i="86"/>
  <c r="BM848" i="86"/>
  <c r="BM892" i="86"/>
  <c r="BM939" i="86"/>
  <c r="BC634" i="86"/>
  <c r="BD634" i="86"/>
  <c r="BC636" i="86"/>
  <c r="BD636" i="86"/>
  <c r="BD437" i="86"/>
  <c r="BM361" i="86"/>
  <c r="BC53" i="86"/>
  <c r="BD53" i="86"/>
  <c r="BE711" i="86"/>
  <c r="BG156" i="86"/>
  <c r="BM160" i="86"/>
  <c r="BM29" i="86"/>
  <c r="BM33" i="86"/>
  <c r="BM188" i="86"/>
  <c r="BM225" i="86"/>
  <c r="BM234" i="86"/>
  <c r="BM242" i="86"/>
  <c r="BM250" i="86"/>
  <c r="BM312" i="86"/>
  <c r="BM345" i="86"/>
  <c r="BM401" i="86"/>
  <c r="BM424" i="86"/>
  <c r="BM458" i="86"/>
  <c r="BM490" i="86"/>
  <c r="BG454" i="86"/>
  <c r="BM867" i="86"/>
  <c r="BM507" i="86"/>
  <c r="BC423" i="86"/>
  <c r="BG423" i="86"/>
  <c r="BF336" i="86"/>
  <c r="BE336" i="86"/>
  <c r="BF826" i="86"/>
  <c r="BM770" i="86"/>
  <c r="BM277" i="86"/>
  <c r="BM283" i="86"/>
  <c r="BM622" i="86"/>
  <c r="BM900" i="86"/>
  <c r="BC252" i="86"/>
  <c r="BF836" i="86"/>
  <c r="BE836" i="86"/>
  <c r="BM621" i="86"/>
  <c r="BM670" i="86"/>
  <c r="BM674" i="86"/>
  <c r="BM258" i="86"/>
  <c r="BM263" i="86"/>
  <c r="BM563" i="86"/>
  <c r="BM787" i="86"/>
  <c r="BM675" i="86"/>
  <c r="BM714" i="86"/>
  <c r="BM752" i="86"/>
  <c r="BM810" i="86"/>
  <c r="BM78" i="86"/>
  <c r="BM180" i="86"/>
  <c r="BM778" i="86"/>
  <c r="BM75" i="86"/>
  <c r="BM355" i="86"/>
  <c r="BM412" i="86"/>
  <c r="BM552" i="86"/>
  <c r="BM680" i="86"/>
  <c r="BM886" i="86"/>
  <c r="BM829" i="86"/>
  <c r="BM89" i="86"/>
  <c r="BM121" i="86"/>
  <c r="BM142" i="86"/>
  <c r="BM167" i="86"/>
  <c r="BM427" i="86"/>
  <c r="BD903" i="86"/>
  <c r="BC903" i="86"/>
  <c r="BF912" i="86"/>
  <c r="BE912" i="86"/>
  <c r="BM533" i="86"/>
  <c r="BM817" i="86"/>
  <c r="BD410" i="86"/>
  <c r="BC625" i="86"/>
  <c r="BD625" i="86"/>
  <c r="BC738" i="86"/>
  <c r="BD738" i="86"/>
  <c r="BM165" i="86"/>
  <c r="BM186" i="86"/>
  <c r="BD862" i="86"/>
  <c r="BE906" i="86"/>
  <c r="BC609" i="86"/>
  <c r="BE907" i="86"/>
  <c r="BC230" i="86"/>
  <c r="BD230" i="86"/>
  <c r="BE122" i="86"/>
  <c r="BF122" i="86"/>
  <c r="BF740" i="86"/>
  <c r="BM276" i="86"/>
  <c r="BE630" i="86"/>
  <c r="BM173" i="86"/>
  <c r="BM368" i="86"/>
  <c r="BM588" i="86"/>
  <c r="BE823" i="86"/>
  <c r="BF823" i="86"/>
  <c r="BC561" i="86"/>
  <c r="BG561" i="86"/>
  <c r="BD561" i="86"/>
  <c r="BM722" i="86"/>
  <c r="BM32" i="86"/>
  <c r="BF630" i="86"/>
  <c r="BG845" i="86"/>
  <c r="BC845" i="86"/>
  <c r="BM126" i="86"/>
  <c r="BM149" i="86"/>
  <c r="BM616" i="86"/>
  <c r="BE843" i="86"/>
  <c r="BF843" i="86"/>
  <c r="BM255" i="86"/>
  <c r="BM339" i="86"/>
  <c r="BM595" i="86"/>
  <c r="BD725" i="86"/>
  <c r="BF840" i="86"/>
  <c r="BE840" i="86"/>
  <c r="BM457" i="86"/>
  <c r="BD910" i="86"/>
  <c r="BC910" i="86"/>
  <c r="BM952" i="86"/>
  <c r="BC509" i="86"/>
  <c r="BM22" i="86"/>
  <c r="BM521" i="86"/>
  <c r="BE909" i="86"/>
  <c r="BF909" i="86"/>
  <c r="BM933" i="86"/>
  <c r="BM742" i="86"/>
  <c r="BM668" i="86"/>
  <c r="BD252" i="86"/>
  <c r="BF844" i="86"/>
  <c r="BM109" i="86"/>
  <c r="BM447" i="86"/>
  <c r="BM245" i="86"/>
  <c r="BM327" i="86"/>
  <c r="BM59" i="86"/>
  <c r="BM390" i="86"/>
  <c r="BD586" i="86"/>
  <c r="BE859" i="86"/>
  <c r="BF911" i="86"/>
  <c r="BF702" i="86"/>
  <c r="BF859" i="86"/>
  <c r="BM83" i="86"/>
  <c r="BD316" i="86"/>
  <c r="BM897" i="86"/>
  <c r="BM308" i="86"/>
  <c r="BC586" i="86"/>
  <c r="BD125" i="86"/>
  <c r="BM564" i="86"/>
  <c r="BM315" i="86"/>
  <c r="BE702" i="86"/>
  <c r="BM642" i="86"/>
  <c r="BM372" i="86"/>
  <c r="BM120" i="86"/>
  <c r="BM270" i="86"/>
  <c r="BE844" i="86"/>
  <c r="BM429" i="86"/>
  <c r="BM610" i="86"/>
  <c r="BM479" i="86"/>
  <c r="BM945" i="86"/>
  <c r="BM792" i="86"/>
  <c r="BM93" i="86"/>
  <c r="BM151" i="86"/>
  <c r="BM373" i="86"/>
  <c r="BM519" i="86"/>
  <c r="BM763" i="86"/>
  <c r="BM888" i="86"/>
  <c r="BM262" i="86"/>
  <c r="BM342" i="86"/>
  <c r="BM358" i="86"/>
  <c r="BM723" i="86"/>
  <c r="BM764" i="86"/>
  <c r="BF711" i="86"/>
  <c r="BM757" i="86"/>
  <c r="BD423" i="86"/>
  <c r="BM295" i="86"/>
  <c r="BM359" i="86"/>
  <c r="BM392" i="86"/>
  <c r="BM487" i="86"/>
  <c r="BM267" i="86"/>
  <c r="AN29" i="90"/>
  <c r="BM62" i="86"/>
  <c r="BM110" i="86"/>
  <c r="BM135" i="86"/>
  <c r="BM761" i="86"/>
  <c r="BM444" i="86"/>
  <c r="BD637" i="86"/>
  <c r="BM77" i="86"/>
  <c r="BM179" i="86"/>
  <c r="BM357" i="86"/>
  <c r="BM796" i="86"/>
  <c r="BM935" i="86"/>
  <c r="BM317" i="86"/>
  <c r="BM25" i="86"/>
  <c r="BM41" i="86"/>
  <c r="BM163" i="86"/>
  <c r="BM199" i="86"/>
  <c r="BM224" i="86"/>
  <c r="BM241" i="86"/>
  <c r="BM296" i="86"/>
  <c r="BM320" i="86"/>
  <c r="BM344" i="86"/>
  <c r="BM360" i="86"/>
  <c r="BM393" i="86"/>
  <c r="BM418" i="86"/>
  <c r="BM446" i="86"/>
  <c r="BM579" i="86"/>
  <c r="BM721" i="86"/>
  <c r="BM221" i="86"/>
  <c r="BC637" i="86"/>
  <c r="BM448" i="86"/>
  <c r="BM619" i="86"/>
  <c r="BM648" i="86"/>
  <c r="BM684" i="86"/>
  <c r="BM739" i="86"/>
  <c r="BM82" i="86"/>
  <c r="BM538" i="86"/>
  <c r="BF719" i="86"/>
  <c r="BG719" i="86"/>
  <c r="BE719" i="86"/>
  <c r="BM839" i="86"/>
  <c r="BD183" i="86"/>
  <c r="BC183" i="86"/>
  <c r="BM889" i="86"/>
  <c r="BM575" i="86"/>
  <c r="BM647" i="86"/>
  <c r="BM834" i="86"/>
  <c r="BM936" i="86"/>
  <c r="BM58" i="86"/>
  <c r="BM128" i="86"/>
  <c r="BM389" i="86"/>
  <c r="BM485" i="86"/>
  <c r="BM597" i="86"/>
  <c r="BM683" i="86"/>
  <c r="BM744" i="86"/>
  <c r="BG762" i="86"/>
  <c r="BC762" i="86"/>
  <c r="BD762" i="86"/>
  <c r="BF691" i="86"/>
  <c r="BE691" i="86"/>
  <c r="BM916" i="86"/>
  <c r="BE599" i="86"/>
  <c r="BF599" i="86"/>
  <c r="BM155" i="86"/>
  <c r="BD825" i="86"/>
  <c r="BC825" i="86"/>
  <c r="BM717" i="86"/>
  <c r="BM830" i="86"/>
  <c r="BM415" i="86"/>
  <c r="BM71" i="86"/>
  <c r="BM760" i="86"/>
  <c r="BM318" i="86"/>
  <c r="BM452" i="86"/>
  <c r="BM915" i="86"/>
  <c r="BM196" i="86"/>
  <c r="BM957" i="86"/>
  <c r="BF718" i="86"/>
  <c r="BE718" i="86"/>
  <c r="BM24" i="86"/>
  <c r="BM40" i="86"/>
  <c r="BM375" i="86"/>
  <c r="BM804" i="86"/>
  <c r="AB30" i="89"/>
  <c r="BM273" i="86"/>
  <c r="BM905" i="86"/>
  <c r="BC592" i="86"/>
  <c r="BD592" i="86"/>
  <c r="BC908" i="86"/>
  <c r="BM482" i="86"/>
  <c r="BM832" i="86"/>
  <c r="BM178" i="86"/>
  <c r="BF629" i="86"/>
  <c r="BM15" i="86"/>
  <c r="BM808" i="86"/>
  <c r="BM292" i="86"/>
  <c r="BM440" i="86"/>
  <c r="BM846" i="86"/>
  <c r="BM348" i="86"/>
  <c r="BD334" i="86"/>
  <c r="BE820" i="86"/>
  <c r="BF820" i="86"/>
  <c r="BM16" i="86"/>
  <c r="BM279" i="86"/>
  <c r="BM403" i="86"/>
  <c r="BD851" i="86"/>
  <c r="BC851" i="86"/>
  <c r="BC841" i="86"/>
  <c r="BM31" i="86"/>
  <c r="BM88" i="86"/>
  <c r="BM172" i="86"/>
  <c r="BM189" i="86"/>
  <c r="BM304" i="86"/>
  <c r="BM430" i="86"/>
  <c r="BM547" i="86"/>
  <c r="BG718" i="86"/>
  <c r="BD865" i="86"/>
  <c r="BC419" i="86"/>
  <c r="BD419" i="86"/>
  <c r="BM608" i="86"/>
  <c r="BM747" i="86"/>
  <c r="BG140" i="86"/>
  <c r="BM210" i="86"/>
  <c r="BM352" i="86"/>
  <c r="BM728" i="86"/>
  <c r="AM29" i="90"/>
  <c r="AM32" i="90" s="1"/>
  <c r="AC30" i="89"/>
  <c r="BM112" i="86"/>
  <c r="BD841" i="86"/>
  <c r="BE207" i="86"/>
  <c r="BE838" i="86"/>
  <c r="BF838" i="86"/>
  <c r="BE629" i="86"/>
  <c r="BM767" i="86"/>
  <c r="BM141" i="86"/>
  <c r="BM228" i="86"/>
  <c r="BM428" i="86"/>
  <c r="BM500" i="86"/>
  <c r="BM583" i="86"/>
  <c r="BM795" i="86"/>
  <c r="BM852" i="86"/>
  <c r="BM536" i="86"/>
  <c r="BM732" i="86"/>
  <c r="BM67" i="86"/>
  <c r="BE861" i="86"/>
  <c r="BF861" i="86"/>
  <c r="BM751" i="86"/>
  <c r="BM585" i="86"/>
  <c r="BM445" i="86"/>
  <c r="BM439" i="86"/>
  <c r="BM554" i="86"/>
  <c r="BC206" i="86"/>
  <c r="BD56" i="86"/>
  <c r="BC56" i="86"/>
  <c r="BF907" i="86"/>
  <c r="BG316" i="86"/>
  <c r="BG529" i="86"/>
  <c r="BE740" i="86"/>
  <c r="BE139" i="86"/>
  <c r="BE826" i="86"/>
  <c r="BM815" i="86"/>
  <c r="BM449" i="86" l="1"/>
  <c r="BM338" i="86"/>
  <c r="BM737" i="86"/>
  <c r="BM130" i="86"/>
  <c r="BM827" i="86"/>
  <c r="BM337" i="86"/>
  <c r="BM837" i="86"/>
  <c r="BM326" i="86"/>
  <c r="BM460" i="86"/>
  <c r="BM125" i="86"/>
  <c r="BM853" i="86"/>
  <c r="BM772" i="86"/>
  <c r="BM530" i="86"/>
  <c r="BM842" i="86"/>
  <c r="BM930" i="86"/>
  <c r="BM724" i="86"/>
  <c r="BM254" i="86"/>
  <c r="BM934" i="86"/>
  <c r="BM607" i="86"/>
  <c r="BM904" i="86"/>
  <c r="BM858" i="86"/>
  <c r="BM484" i="86"/>
  <c r="BM591" i="86"/>
  <c r="BM640" i="86"/>
  <c r="BM638" i="86"/>
  <c r="BM844" i="86"/>
  <c r="BM476" i="86"/>
  <c r="BM911" i="86"/>
  <c r="BM423" i="86"/>
  <c r="BM185" i="86"/>
  <c r="BM635" i="86"/>
  <c r="BM593" i="86"/>
  <c r="BM137" i="86"/>
  <c r="BM836" i="86"/>
  <c r="BM336" i="86"/>
  <c r="BM639" i="86"/>
  <c r="BM636" i="86"/>
  <c r="BM725" i="86"/>
  <c r="BM122" i="86"/>
  <c r="BM437" i="86"/>
  <c r="BM910" i="86"/>
  <c r="BM56" i="86"/>
  <c r="BM223" i="86"/>
  <c r="BM859" i="86"/>
  <c r="BM912" i="86"/>
  <c r="BM903" i="86"/>
  <c r="BM410" i="86"/>
  <c r="BM57" i="86"/>
  <c r="BM156" i="86"/>
  <c r="BM509" i="86"/>
  <c r="BM53" i="86"/>
  <c r="BM454" i="86"/>
  <c r="BM634" i="86"/>
  <c r="BM843" i="86"/>
  <c r="BM909" i="86"/>
  <c r="BM840" i="86"/>
  <c r="BM738" i="86"/>
  <c r="BM599" i="86"/>
  <c r="BM586" i="86"/>
  <c r="BM625" i="86"/>
  <c r="BM845" i="86"/>
  <c r="BM609" i="86"/>
  <c r="BM561" i="86"/>
  <c r="BM711" i="86"/>
  <c r="BM252" i="86"/>
  <c r="BM906" i="86"/>
  <c r="AB33" i="89"/>
  <c r="BM630" i="86"/>
  <c r="BM823" i="86"/>
  <c r="BM862" i="86"/>
  <c r="BM230" i="86"/>
  <c r="BM702" i="86"/>
  <c r="BM529" i="86"/>
  <c r="BM206" i="86"/>
  <c r="BM762" i="86"/>
  <c r="BM838" i="86"/>
  <c r="BM592" i="86"/>
  <c r="BM183" i="86"/>
  <c r="BM719" i="86"/>
  <c r="BM825" i="86"/>
  <c r="BM865" i="86"/>
  <c r="BM691" i="86"/>
  <c r="BM718" i="86"/>
  <c r="BM637" i="86"/>
  <c r="BM316" i="86"/>
  <c r="BM419" i="86"/>
  <c r="BM861" i="86"/>
  <c r="BM826" i="86"/>
  <c r="BM841" i="86"/>
  <c r="BM629" i="86"/>
  <c r="BM207" i="86"/>
  <c r="BM907" i="86"/>
  <c r="BM140" i="86"/>
  <c r="BM139" i="86"/>
  <c r="BM820" i="86"/>
  <c r="BM740" i="86"/>
  <c r="BM851" i="86"/>
  <c r="BM334" i="86"/>
  <c r="BM908" i="86"/>
  <c r="T4" i="86" l="1"/>
  <c r="U4" i="89"/>
  <c r="U4" i="90"/>
</calcChain>
</file>

<file path=xl/comments1.xml><?xml version="1.0" encoding="utf-8"?>
<comments xmlns="http://schemas.openxmlformats.org/spreadsheetml/2006/main">
  <authors>
    <author>Olimpia Kanellatu</author>
    <author>Demattè Adriano</author>
    <author xml:space="preserve"> </author>
  </authors>
  <commentList>
    <comment ref="BK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23 e 31 dicembre stabilimento chiuso</t>
        </r>
      </text>
    </comment>
    <comment ref="BI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K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23 e 31 dicembre stabilimento chiuso</t>
        </r>
      </text>
    </comment>
    <comment ref="BI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I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K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23 e 31 dicembre stabilimento chiuso</t>
        </r>
      </text>
    </comment>
    <comment ref="BI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festiva estiva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H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festiva estiva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deroga e in attesa di commissione tecnica per autorizzare il mezzo da 12 m FW757WP-50p</t>
        </r>
      </text>
    </comment>
    <comment ref="J63" authorId="0" shapeId="0">
      <text>
        <r>
          <rPr>
            <sz val="9"/>
            <color indexed="81"/>
            <rFont val="Tahoma"/>
            <family val="2"/>
          </rPr>
          <t>LS: ok per il 9 posti., come previsto nello scorso appalto. Succ. valutiamo se è necessario il 17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0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si chiede autorizzazione del 9 posti vista l'utenza che non supera le 3-4 persone</t>
        </r>
      </text>
    </comment>
    <comment ref="BI10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31/10 stabilimento chiuso
</t>
        </r>
      </text>
    </comment>
    <comment ref="BL10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anche il 06/01 festivo</t>
        </r>
      </text>
    </comment>
    <comment ref="BL10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rientro anche il 06/01 festivo</t>
        </r>
      </text>
    </comment>
    <comment ref="AV1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inverno 132,76 x 45 gg estate 92,76*13gg</t>
        </r>
      </text>
    </comment>
    <comment ref="AV13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24 il lunedì (€ 3) - 14,40 da martedì a venerdì (€ 1,80) portati a € 2,00 = € 16,00
</t>
        </r>
      </text>
    </comment>
    <comment ref="J135" authorId="0" shapeId="0">
      <text>
        <r>
          <rPr>
            <b/>
            <sz val="9"/>
            <color indexed="81"/>
            <rFont val="Tahoma"/>
            <family val="2"/>
          </rPr>
          <t>LS: 20p vanno bene da valutare a settembre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km 5,50</t>
        </r>
      </text>
    </comment>
    <comment ref="G1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è stata aggiunta Ville a.s. 22/23
</t>
        </r>
      </text>
    </comment>
    <comment ref="AV1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palù-cembra 25 + 3x3,5km per l'aggiunta di ville a.s. 22/23</t>
        </r>
      </text>
    </comment>
    <comment ref="L1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M1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O1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L1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M1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O1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L1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M1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O1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L1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M1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O1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L1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M1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O1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L1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M1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O1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L1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M1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O1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L1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M1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O1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L1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01/10/2022 Oscar svolge servizio al posto di Paolat</t>
        </r>
      </text>
    </comment>
    <comment ref="M1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O1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ex Paolat - reimmatricolato Oscar Viaggi</t>
        </r>
      </text>
    </comment>
    <comment ref="J206" authorId="0" shapeId="0">
      <text>
        <r>
          <rPr>
            <b/>
            <sz val="9"/>
            <color indexed="81"/>
            <rFont val="Tahoma"/>
            <family val="2"/>
          </rPr>
          <t>LS: La corsa titolare e bis presente nel precedente appalto sono state unita in unica corsa con mezzo da 50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09" authorId="0" shapeId="0">
      <text>
        <r>
          <rPr>
            <b/>
            <sz val="9"/>
            <color indexed="81"/>
            <rFont val="Tahoma"/>
            <family val="2"/>
          </rPr>
          <t>LS: Corretto 50 posti, per maggior utenza.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10" authorId="0" shapeId="0">
      <text>
        <r>
          <rPr>
            <b/>
            <sz val="9"/>
            <color indexed="81"/>
            <rFont val="Tahoma"/>
            <family val="2"/>
          </rPr>
          <t>LS: Unite corsa bis + titolare del precedente appalto in unica corsa con mezzo da 50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11" authorId="0" shapeId="0">
      <text>
        <r>
          <rPr>
            <b/>
            <sz val="9"/>
            <color indexed="81"/>
            <rFont val="Tahoma"/>
            <family val="2"/>
          </rPr>
          <t>LS: Lasciamo 20 posti ma va bene anche il mezzo 17 posti. In base all'utenza di sett. Valuteremo.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21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non era presente nei conteggi</t>
        </r>
      </text>
    </comment>
    <comment ref="J234" authorId="0" shapeId="0">
      <text>
        <r>
          <rPr>
            <b/>
            <sz val="9"/>
            <color indexed="81"/>
            <rFont val="Tahoma"/>
            <family val="2"/>
          </rPr>
          <t>LS: ok 8p come nel precedente appalto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4" authorId="0" shapeId="0">
      <text>
        <r>
          <rPr>
            <b/>
            <sz val="9"/>
            <color indexed="81"/>
            <rFont val="Tahoma"/>
            <family val="2"/>
          </rPr>
          <t>LS: Era autorizzato un 9 posti ma anche nello scorso appalto era richiesto un 29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5" authorId="0" shapeId="0">
      <text>
        <r>
          <rPr>
            <b/>
            <sz val="9"/>
            <color indexed="81"/>
            <rFont val="Tahoma"/>
            <family val="2"/>
          </rPr>
          <t>LS: Inserito mezzo uguale alla corsa n. 655 linea 124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km 37</t>
        </r>
      </text>
    </comment>
    <comment ref="M2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M2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M27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M28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J293" authorId="0" shapeId="0">
      <text>
        <r>
          <rPr>
            <b/>
            <sz val="9"/>
            <color indexed="81"/>
            <rFont val="Tahoma"/>
            <family val="2"/>
          </rPr>
          <t>LS: Ok per il 17 posti in caso valutiamo più avanti se è necessario il 19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30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17/09 corsa sospesa per manifestazione ciclistica</t>
        </r>
      </text>
    </comment>
    <comment ref="BH31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17/09 corsa sospesa per manifestazione ciclistica</t>
        </r>
      </text>
    </comment>
    <comment ref="K32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cancellare perché già prevista nella riga 270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servizio Sarcatour</t>
        </r>
      </text>
    </comment>
    <comment ref="H3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solo invernale
</t>
        </r>
      </text>
    </comment>
    <comment ref="BH3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sopressa il 18/09 per manifestazione ciclistica
</t>
        </r>
      </text>
    </comment>
    <comment ref="BH3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sopressa il 18/09 per manifestazione ciclistica
</t>
        </r>
      </text>
    </comment>
    <comment ref="H3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post festiva + covid</t>
        </r>
      </text>
    </comment>
    <comment ref="J388" authorId="0" shapeId="0">
      <text>
        <r>
          <rPr>
            <b/>
            <sz val="9"/>
            <color indexed="81"/>
            <rFont val="Tahoma"/>
            <family val="2"/>
          </rPr>
          <t>LS: ok per il 22 posti., come previsto nello scorso appalto. Succ. valutiamo se è necessario il 50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98" authorId="0" shapeId="0">
      <text>
        <r>
          <rPr>
            <b/>
            <sz val="9"/>
            <color indexed="81"/>
            <rFont val="Tahoma"/>
            <family val="2"/>
          </rPr>
          <t>LS: ok per il 18 posti., come previsto nello scorso appalto. Succ. valutiamo se è necessario il 22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99" authorId="0" shapeId="0">
      <text>
        <r>
          <rPr>
            <b/>
            <sz val="9"/>
            <color indexed="81"/>
            <rFont val="Tahoma"/>
            <family val="2"/>
          </rPr>
          <t>LS: ok per il 28 posti., come previsto nello scorso appalto. Succ. valutiamo se è necessario il 44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39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recupero giorni errati sett-ott-nov-dic 2022</t>
        </r>
      </text>
    </comment>
    <comment ref="J401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0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contattare Fruner per il 2023</t>
        </r>
      </text>
    </comment>
    <comment ref="A40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contattare Fruner per il 2023</t>
        </r>
      </text>
    </comment>
    <comment ref="H40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soppresso il sabato dal 28/01/2023
</t>
        </r>
      </text>
    </comment>
    <comment ref="AA40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soppresso il sabato dal 28/01/2023</t>
        </r>
      </text>
    </comment>
    <comment ref="BL40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soppresso il sabto dal 28/01/2023
</t>
        </r>
      </text>
    </comment>
    <comment ref="AV41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 37,80 x 33 gg ma,gio 80,87 x 68 gg</t>
        </r>
      </text>
    </comment>
    <comment ref="BL41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recupero giorni errati sett-ott-nov-dic 2022</t>
        </r>
      </text>
    </comment>
    <comment ref="J416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18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29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41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24 dal lunedì al giovedì - 12,60 il venerdì </t>
        </r>
      </text>
    </comment>
    <comment ref="M42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M42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M42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BJ42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svolta anche mercoledì 2 novembre</t>
        </r>
      </text>
    </comment>
    <comment ref="AV43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lu-gio 108 (3 €) ve 102,59 (2,85) </t>
        </r>
      </text>
    </comment>
    <comment ref="M44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M45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AV4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fisso 122,45 + 0,55xkm</t>
        </r>
      </text>
    </comment>
    <comment ref="BX4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recupero mese dicembre</t>
        </r>
      </text>
    </comment>
    <comment ref="G4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11/04 corsa svolta da Filippi nuovamente al posto di Tn Service - è stato aggiunto Storo a.s. 22/23</t>
        </r>
      </text>
    </comment>
    <comment ref="I460" authorId="0" shapeId="0">
      <text>
        <r>
          <rPr>
            <b/>
            <sz val="9"/>
            <color indexed="81"/>
            <rFont val="Tahoma"/>
            <family val="2"/>
          </rPr>
          <t xml:space="preserve">Olimpia Kanellatu: 
</t>
        </r>
        <r>
          <rPr>
            <sz val="9"/>
            <color indexed="81"/>
            <rFont val="Tahoma"/>
            <family val="2"/>
          </rPr>
          <t>inseriti da TT 3,2 km in più per partenza da Storo invece di Ca' Rossa</t>
        </r>
      </text>
    </comment>
    <comment ref="AV46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fisso 122,45 + 0,55xkm</t>
        </r>
      </text>
    </comment>
    <comment ref="BX46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recupero mese dicembre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 utilizzare fino a agosto'23 che raggiunge i 13 anni</t>
        </r>
      </text>
    </comment>
    <comment ref="AV4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lu,ma,gio 111 (3 €) me-ve 66,60 (1,80) portati a 3 euro
</t>
        </r>
      </text>
    </comment>
    <comment ref="AV47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servizio ex Grassi</t>
        </r>
      </text>
    </comment>
    <comment ref="H48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festiva estiva</t>
        </r>
      </text>
    </comment>
    <comment ref="AV48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trovata solo corsa di andata nei conteggi</t>
        </r>
      </text>
    </comment>
    <comment ref="AV48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servizio ex Grassi</t>
        </r>
      </text>
    </comment>
    <comment ref="AV49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servizio ex Grassi</t>
        </r>
      </text>
    </comment>
    <comment ref="H50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INTRODOTTO SABATO</t>
        </r>
      </text>
    </comment>
    <comment ref="AV50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nei conteggi ho trovato invernale dal lunedì al venerdì
</t>
        </r>
      </text>
    </comment>
    <comment ref="G50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fino a Spiazzo Rendena</t>
        </r>
      </text>
    </comment>
    <comment ref="I50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 km Vestone - Tione sono 54 - la corsa in capitolato arrivava fino a Spiazzo Rendenza con 9 km in più</t>
        </r>
      </text>
    </comment>
    <comment ref="J510" authorId="0" shapeId="0">
      <text>
        <r>
          <rPr>
            <b/>
            <sz val="9"/>
            <color indexed="81"/>
            <rFont val="Tahoma"/>
            <family val="2"/>
          </rPr>
          <t xml:space="preserve">LS: ok per il 9 posti. Succ. valutiamo se necessario 16 posti.
</t>
        </r>
      </text>
    </comment>
    <comment ref="J511" authorId="0" shapeId="0">
      <text>
        <r>
          <rPr>
            <b/>
            <sz val="9"/>
            <color indexed="81"/>
            <rFont val="Tahoma"/>
            <family val="2"/>
          </rPr>
          <t xml:space="preserve">LS: Capienza corretta non è più suddivisa tra periodo con e senza intensificazione.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Riesumata: 
</t>
        </r>
        <r>
          <rPr>
            <b/>
            <sz val="9"/>
            <color indexed="81"/>
            <rFont val="Tahoma"/>
            <family val="2"/>
          </rPr>
          <t>L.S.:</t>
        </r>
        <r>
          <rPr>
            <sz val="9"/>
            <color indexed="81"/>
            <rFont val="Tahoma"/>
            <family val="2"/>
          </rPr>
          <t xml:space="preserve"> Modificato l'orario inizialmente previsto</t>
        </r>
      </text>
    </comment>
    <comment ref="H51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 Festiva invernale
dal 1 dic a 31 marzo</t>
        </r>
      </text>
    </comment>
    <comment ref="O52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53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H53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dal lunedì al sabato</t>
        </r>
      </text>
    </comment>
    <comment ref="G5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c'era scritto Luserna-Caldonazzo</t>
        </r>
      </text>
    </comment>
    <comment ref="I5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19km</t>
        </r>
      </text>
    </comment>
    <comment ref="AV5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77,70 luserna - caldonazzo + 22,50 caldonazzo - pergine</t>
        </r>
      </text>
    </comment>
    <comment ref="L5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richiesta a Italbus</t>
        </r>
      </text>
    </comment>
    <comment ref="J584" authorId="0" shapeId="0">
      <text>
        <r>
          <rPr>
            <b/>
            <sz val="9"/>
            <color indexed="81"/>
            <rFont val="Tahoma"/>
            <family val="2"/>
          </rPr>
          <t>LS: ok per il 9 posti. Succ. valutiamo se necessario 14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58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101,83 giovedì e 139,49 venerdì</t>
        </r>
      </text>
    </comment>
    <comment ref="AV59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101,92 dal lunedì al venerdì - 46,80 il sabato (1,80) portato a € 2,00= € 52,00</t>
        </r>
      </text>
    </comment>
    <comment ref="BK59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28/12 svolto bis per presenza 10 pax ulteriori</t>
        </r>
      </text>
    </comment>
    <comment ref="BL59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il 03/01/23 svolto bis per maggiore utenza</t>
        </r>
      </text>
    </comment>
    <comment ref="AV59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lu-gio 72,76 - venerdì 21,60 (1,80) portati a € 2,00 = € 24,00</t>
        </r>
      </text>
    </comment>
    <comment ref="H6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frequenza invernale e estiva
</t>
        </r>
      </text>
    </comment>
    <comment ref="K6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gg corretti 202 e non 252</t>
        </r>
      </text>
    </comment>
    <comment ref="AV63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V63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V63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AV63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AV63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V63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36 (€ 3,00) ma ve 22,81 (€ 1,90) portato a € 2,00 ma e ve = € 24 (giorni 104)</t>
        </r>
      </text>
    </comment>
    <comment ref="AV6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AV64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 45 (€ 3,00) ma ve 28,52 (€ 1,90) portato a € 2,00 ma e ve = € 30 (giorni 104)</t>
        </r>
      </text>
    </comment>
    <comment ref="L64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Busmania
</t>
        </r>
      </text>
    </comment>
    <comment ref="Q643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Q644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J645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645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Q647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J648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648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L64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Busmania
</t>
        </r>
      </text>
    </comment>
    <comment ref="Q649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Q650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Q651" authorId="0" shapeId="0">
      <text>
        <r>
          <rPr>
            <b/>
            <sz val="9"/>
            <color indexed="81"/>
            <rFont val="Tahoma"/>
            <family val="2"/>
          </rPr>
          <t xml:space="preserve">Olimpia Kanellatu:
</t>
        </r>
        <r>
          <rPr>
            <sz val="9"/>
            <color indexed="81"/>
            <rFont val="Tahoma"/>
            <family val="2"/>
          </rPr>
          <t xml:space="preserve">mezzo utilizzabile a.s. 22/23 fino a compimento 13° anno
</t>
        </r>
      </text>
    </comment>
    <comment ref="O65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I6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10 km</t>
        </r>
      </text>
    </comment>
    <comment ref="O6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5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5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5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I6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vedi storno km per sostituzione corsa - righe finali file</t>
        </r>
      </text>
    </comment>
    <comment ref="O6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5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6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6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6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6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I66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10 km</t>
        </r>
      </text>
    </comment>
    <comment ref="O66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6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6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7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J671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67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J672" authorId="0" shapeId="0">
      <text>
        <r>
          <rPr>
            <b/>
            <sz val="9"/>
            <color indexed="81"/>
            <rFont val="Tahoma"/>
            <family val="2"/>
          </rPr>
          <t>LS: Ok per il 24 posti in caso valutiamo più avanti se è necessario il 29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6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7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O67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J687" authorId="0" shapeId="0">
      <text>
        <r>
          <rPr>
            <b/>
            <sz val="9"/>
            <color indexed="81"/>
            <rFont val="Tahoma"/>
            <family val="2"/>
          </rPr>
          <t>LS: Ok per il 16 posti in caso valutiamo più avanti se è necessario il 22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88" authorId="0" shapeId="0">
      <text>
        <r>
          <rPr>
            <b/>
            <sz val="9"/>
            <color indexed="81"/>
            <rFont val="Tahoma"/>
            <family val="2"/>
          </rPr>
          <t>LS: Ok per il 16 posti in caso valutiamo più avanti se è necessario il 22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71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invernale feriale</t>
        </r>
      </text>
    </comment>
    <comment ref="J721" authorId="0" shapeId="0">
      <text>
        <r>
          <rPr>
            <b/>
            <sz val="9"/>
            <color indexed="81"/>
            <rFont val="Tahoma"/>
            <family val="2"/>
          </rPr>
          <t>LS: Ok per il 9 posti in caso valutiamo più avanti se è necessario il 19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723" authorId="0" shapeId="0">
      <text>
        <r>
          <rPr>
            <b/>
            <sz val="9"/>
            <color indexed="81"/>
            <rFont val="Tahoma"/>
            <family val="2"/>
          </rPr>
          <t>LS: Ok per il 9 posti in caso valutiamo più avanti se è necessario il 19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73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me-gio 25,20 x 69gg lu-me-ve 35 x 105 gg</t>
        </r>
      </text>
    </comment>
    <comment ref="BK7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svolta anche venerdì 23/12 per scuole Veneto aperte</t>
        </r>
      </text>
    </comment>
    <comment ref="J762" authorId="0" shapeId="0">
      <text>
        <r>
          <rPr>
            <b/>
            <sz val="9"/>
            <color indexed="81"/>
            <rFont val="Tahoma"/>
            <family val="2"/>
          </rPr>
          <t>LS: Ok 9 posti per la tratta Cavedago-Andalo. Successivamente valutiamo se utilizzare il 50 posti</t>
        </r>
      </text>
    </comment>
    <comment ref="J770" authorId="0" shapeId="0">
      <text>
        <r>
          <rPr>
            <b/>
            <sz val="9"/>
            <color indexed="81"/>
            <rFont val="Tahoma"/>
            <family val="2"/>
          </rPr>
          <t>LS: Ok per il 45 posti in caso valutiamo più avanti se è necessario il 50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7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12 km - si compensa con la 511</t>
        </r>
      </text>
    </comment>
    <comment ref="I77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10 km - si compensa con la 510</t>
        </r>
      </text>
    </comment>
    <comment ref="I780" authorId="0" shapeId="0">
      <text>
        <r>
          <rPr>
            <b/>
            <sz val="9"/>
            <color indexed="81"/>
            <rFont val="Tahoma"/>
            <family val="2"/>
          </rPr>
          <t>LS: Vericherò con il controllore se è ancora necessario terminare a Raut visto che comunque passiamo da bivio Raut per arrivare a Toss. I km sono corretti se termina a Toss (altrim. 10,6km)</t>
        </r>
      </text>
    </comment>
    <comment ref="J792" authorId="0" shapeId="0">
      <text>
        <r>
          <rPr>
            <b/>
            <sz val="9"/>
            <color indexed="81"/>
            <rFont val="Tahoma"/>
            <family val="2"/>
          </rPr>
          <t>LS: Ok per il 20 posti in caso valutiamo più avanti se è necessario il 30 posti.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00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11,4</t>
        </r>
      </text>
    </comment>
    <comment ref="L828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ex Gorini Luigi</t>
        </r>
      </text>
    </comment>
    <comment ref="L829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ex Gorini Luigi</t>
        </r>
      </text>
    </comment>
    <comment ref="L834" authorId="0" shapeId="0">
      <text>
        <r>
          <rPr>
            <b/>
            <sz val="9"/>
            <color indexed="81"/>
            <rFont val="Tahoma"/>
            <charset val="1"/>
          </rPr>
          <t>Olimpia Kanellatu:</t>
        </r>
        <r>
          <rPr>
            <sz val="9"/>
            <color indexed="81"/>
            <rFont val="Tahoma"/>
            <charset val="1"/>
          </rPr>
          <t xml:space="preserve">
ex Gorini Luigi</t>
        </r>
      </text>
    </comment>
    <comment ref="BK839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corsa svolta anche venerdì 23/12 per scuole aperte in Alto Adige</t>
        </r>
      </text>
    </comment>
    <comment ref="J845" authorId="0" shapeId="0">
      <text>
        <r>
          <rPr>
            <b/>
            <sz val="9"/>
            <color indexed="81"/>
            <rFont val="Tahoma"/>
            <family val="2"/>
          </rPr>
          <t>LS: Ok 20. Succ. valutiamo se è necessario utilizzare 40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84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96,49+34,92 x il bis</t>
        </r>
      </text>
    </comment>
    <comment ref="H8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scolastica solo martedì</t>
        </r>
      </text>
    </comment>
    <comment ref="H85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feriale invernale estivo
</t>
        </r>
      </text>
    </comment>
    <comment ref="J860" authorId="0" shapeId="0">
      <text>
        <r>
          <rPr>
            <b/>
            <sz val="9"/>
            <color indexed="81"/>
            <rFont val="Tahoma"/>
            <family val="2"/>
          </rPr>
          <t>LS: Ok utilizzare mezzo con capienza ridotto. Succ. valutiamo se è necessario il 50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86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feriale invernale estivo
</t>
        </r>
      </text>
    </comment>
    <comment ref="J86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anno scorso svolto con due mezzi - il 2° mezzo non serve (email TT 08/08/2022)</t>
        </r>
      </text>
    </comment>
    <comment ref="J86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2 mezzi (email TT 08/08/22)</t>
        </r>
      </text>
    </comment>
    <comment ref="BH88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I88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K88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RICOMINCIATI TURNI ALTERNATI NEL POMERIGGIO DEL 12/12/22</t>
        </r>
      </text>
    </comment>
    <comment ref="BH88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K887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Nel 2021 non lavorato con questa frequenza</t>
        </r>
      </text>
    </comment>
    <comment ref="BH88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BH88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I88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H89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I89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K89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RICOMINCIATI TURNI ALTERNATI NEL POMERIGGIO DEL 12/12/22</t>
        </r>
      </text>
    </comment>
    <comment ref="BH89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turni alternati fino al 10/09</t>
        </r>
      </text>
    </comment>
    <comment ref="K895" authorId="1" shapeId="0">
      <text>
        <r>
          <rPr>
            <b/>
            <sz val="9"/>
            <color indexed="81"/>
            <rFont val="Tahoma"/>
            <family val="2"/>
          </rPr>
          <t xml:space="preserve">Demattè Adriano:
</t>
        </r>
        <r>
          <rPr>
            <sz val="9"/>
            <color indexed="81"/>
            <rFont val="Tahoma"/>
            <family val="2"/>
          </rPr>
          <t>c.sa periodica (usati gg. 2021)</t>
        </r>
      </text>
    </comment>
    <comment ref="BH89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BI89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turno a giornata dal 12/09</t>
        </r>
      </text>
    </comment>
    <comment ref="I896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in capitolato erano 17,50</t>
        </r>
      </text>
    </comment>
    <comment ref="J907" authorId="0" shapeId="0">
      <text>
        <r>
          <rPr>
            <b/>
            <sz val="9"/>
            <color indexed="81"/>
            <rFont val="Tahoma"/>
            <family val="2"/>
          </rPr>
          <t>LS: Ok 16 posti. Succ. valutiamo se è necessario i 19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08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15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10" authorId="2" shapeId="0">
      <text>
        <r>
          <rPr>
            <sz val="8"/>
            <color indexed="81"/>
            <rFont val="Tahoma"/>
            <family val="2"/>
          </rPr>
          <t xml:space="preserve">la titolarità del mezzo è soggetta a variazione in base al numero degli alunni sui servizi speciali come l'anno scorso
</t>
        </r>
        <r>
          <rPr>
            <b/>
            <sz val="8"/>
            <color indexed="81"/>
            <rFont val="Tahoma"/>
            <family val="2"/>
          </rPr>
          <t>LS: Ok 9 posti. Succ. valutiamo se è necessario i 15 posti</t>
        </r>
      </text>
    </comment>
    <comment ref="J934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35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36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4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era dal lunedì al sabato</t>
        </r>
      </text>
    </comment>
    <comment ref="J941" authorId="0" shapeId="0">
      <text>
        <r>
          <rPr>
            <b/>
            <sz val="9"/>
            <color indexed="81"/>
            <rFont val="Tahoma"/>
            <family val="2"/>
          </rPr>
          <t>LS: Ok 9 posti. Succ. valutiamo se è necessario i 16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945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tariffa concordata con direzione</t>
        </r>
      </text>
    </comment>
    <comment ref="BI94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venerdì 28/10 sostituito da giovedì 27/10</t>
        </r>
      </text>
    </comment>
    <comment ref="BJ950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recupero settembre e ottobre erroneamente non corrisposto</t>
        </r>
      </text>
    </comment>
    <comment ref="J951" authorId="0" shapeId="0">
      <text>
        <r>
          <rPr>
            <b/>
            <sz val="9"/>
            <color indexed="81"/>
            <rFont val="Tahoma"/>
            <family val="2"/>
          </rPr>
          <t>LS: ok per il 9 posti., come previsto nello scorso appalto. Succ. valutiamo se è necessario il 20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J951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corsa sospesa da 30/09/22
</t>
        </r>
      </text>
    </comment>
    <comment ref="BK951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corsa sospesa da 30/09/22
</t>
        </r>
      </text>
    </comment>
    <comment ref="G953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dal 11/04 corsa svolta da Filippi nuovamente al posto di Tn Service - è stato aggiunto Storo a.s. 22/23</t>
        </r>
      </text>
    </comment>
    <comment ref="I953" authorId="0" shapeId="0">
      <text>
        <r>
          <rPr>
            <b/>
            <sz val="9"/>
            <color indexed="81"/>
            <rFont val="Tahoma"/>
            <family val="2"/>
          </rPr>
          <t xml:space="preserve">Olimpia Kanellatu: 
</t>
        </r>
        <r>
          <rPr>
            <sz val="9"/>
            <color indexed="81"/>
            <rFont val="Tahoma"/>
            <family val="2"/>
          </rPr>
          <t>inseriti da TT 3,2 km in più per partenza da Storo invece di Ca' Rossa</t>
        </r>
      </text>
    </comment>
    <comment ref="AX954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prezzo concordato con la direzione</t>
        </r>
      </text>
    </comment>
    <comment ref="BH954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9 gg, ma la c.sa è iniziata il 26/9/22</t>
        </r>
      </text>
    </comment>
    <comment ref="BH955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15 gg, ma la c.sa è iniziata il 27/9
</t>
        </r>
      </text>
    </comment>
    <comment ref="J957" authorId="0" shapeId="0">
      <text>
        <r>
          <rPr>
            <b/>
            <sz val="9"/>
            <color indexed="81"/>
            <rFont val="Tahoma"/>
            <family val="2"/>
          </rPr>
          <t>LS: ok per il 28 posti., come previsto nello scorso appalto. Succ. valutiamo se è necessario il 44 posti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957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3 gg, ma c.sa iniziata 28/9</t>
        </r>
      </text>
    </comment>
    <comment ref="BI959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era 8, ma c.sa istituita da 11/10/22</t>
        </r>
      </text>
    </comment>
    <comment ref="BJ96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72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ex 645
</t>
        </r>
      </text>
    </comment>
    <comment ref="O972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mezzo utilizzabile a.s. 22/23 fino a compimento 13° anno</t>
        </r>
      </text>
    </comment>
    <comment ref="B973" authorId="1" shapeId="0">
      <text>
        <r>
          <rPr>
            <b/>
            <sz val="9"/>
            <color indexed="81"/>
            <rFont val="Tahoma"/>
            <family val="2"/>
          </rPr>
          <t>Demattè Adriano:</t>
        </r>
        <r>
          <rPr>
            <sz val="9"/>
            <color indexed="81"/>
            <rFont val="Tahoma"/>
            <family val="2"/>
          </rPr>
          <t xml:space="preserve">
ex 111
</t>
        </r>
      </text>
    </comment>
  </commentList>
</comments>
</file>

<file path=xl/comments2.xml><?xml version="1.0" encoding="utf-8"?>
<comments xmlns="http://schemas.openxmlformats.org/spreadsheetml/2006/main">
  <authors>
    <author>Olimpia Kanellatu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13,08 km in più x modifica percorso Borghetto scol lu-ve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9,2 km in più per modifica percorso Borghetto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Olimpia Kanellatu:</t>
        </r>
        <r>
          <rPr>
            <sz val="9"/>
            <color indexed="81"/>
            <rFont val="Tahoma"/>
            <family val="2"/>
          </rPr>
          <t xml:space="preserve">
ex servizio Sarcatour</t>
        </r>
      </text>
    </comment>
  </commentList>
</comments>
</file>

<file path=xl/sharedStrings.xml><?xml version="1.0" encoding="utf-8"?>
<sst xmlns="http://schemas.openxmlformats.org/spreadsheetml/2006/main" count="16277" uniqueCount="2096">
  <si>
    <t>Trento-Vigo Cavedine</t>
  </si>
  <si>
    <t>estiva feriale</t>
  </si>
  <si>
    <t>Trento-Drena</t>
  </si>
  <si>
    <t>Trento-Centa</t>
  </si>
  <si>
    <t>Lavarone-Trento</t>
  </si>
  <si>
    <t>Trento-Lavarone</t>
  </si>
  <si>
    <t>Viote-Trento</t>
  </si>
  <si>
    <t>Trento-Viote</t>
  </si>
  <si>
    <t>Lagolo-Trento</t>
  </si>
  <si>
    <t>Trento-Lagolo</t>
  </si>
  <si>
    <t>Trento-Rovereto</t>
  </si>
  <si>
    <t>Rovereto-Trento</t>
  </si>
  <si>
    <t>Trento-Borgo V.</t>
  </si>
  <si>
    <t>Levico T. - Borgo V.</t>
  </si>
  <si>
    <t>scolastica solo sabato</t>
  </si>
  <si>
    <t>Baselga-Trento</t>
  </si>
  <si>
    <t>Mezzolombardo-Fai-Santel</t>
  </si>
  <si>
    <t>Molveno-Mezzocorona</t>
  </si>
  <si>
    <t>feriale</t>
  </si>
  <si>
    <t>Trento-Civezzano</t>
  </si>
  <si>
    <t>estiva dal lunedì al venerdì feriale</t>
  </si>
  <si>
    <t>Civezzano-Trento</t>
  </si>
  <si>
    <t>Trento-Grauno</t>
  </si>
  <si>
    <t>Cavalese-Trento</t>
  </si>
  <si>
    <t>Trento-Baselga</t>
  </si>
  <si>
    <t>Baitoni-Tione</t>
  </si>
  <si>
    <t>Tione-Baitoni</t>
  </si>
  <si>
    <t>Rovereto-Pozzacchio</t>
  </si>
  <si>
    <t>Rovereto-Camposilvano</t>
  </si>
  <si>
    <t>Vò Sinistro - Ala Fs</t>
  </si>
  <si>
    <t>Ala Fs - Vò Sinistro</t>
  </si>
  <si>
    <t>Avio - Masi d'Avio</t>
  </si>
  <si>
    <t>Masi d'Avio - Ala Fs</t>
  </si>
  <si>
    <t>Avio CC - Ala FS</t>
  </si>
  <si>
    <t>Avio - Ala Fs</t>
  </si>
  <si>
    <t>Ala Fs - Avio</t>
  </si>
  <si>
    <t>Ala Fs-Avio</t>
  </si>
  <si>
    <t>Avio-Ala Fs</t>
  </si>
  <si>
    <t>Riva-Baitoni</t>
  </si>
  <si>
    <t>invernale non scolastica feriale</t>
  </si>
  <si>
    <t>Pergine-Hacleri</t>
  </si>
  <si>
    <t>Hacleri-pergine</t>
  </si>
  <si>
    <t>Menas-Pellizzano</t>
  </si>
  <si>
    <t>Pellizzano-Menas</t>
  </si>
  <si>
    <t>Laives-Trento</t>
  </si>
  <si>
    <t>Trento-Laives</t>
  </si>
  <si>
    <t>Toss-Mezzolombardo</t>
  </si>
  <si>
    <t>Mezzolombardo-Toss</t>
  </si>
  <si>
    <t>Raut-Toss-Mezzolombardo</t>
  </si>
  <si>
    <t>Roverè della Luna-Mezzolombardo</t>
  </si>
  <si>
    <t>Mezzolombardo-Roverè della Luna</t>
  </si>
  <si>
    <t>Mezzocorona-Faedo</t>
  </si>
  <si>
    <t>Faedo-Mezzocorona</t>
  </si>
  <si>
    <t>Mechel-Cles</t>
  </si>
  <si>
    <t>Cles-Mechel</t>
  </si>
  <si>
    <t>Cles-Fondo</t>
  </si>
  <si>
    <t>Fondo-Cles</t>
  </si>
  <si>
    <t>Cles-Tuenno-Portolo</t>
  </si>
  <si>
    <t>Romallo-Cles</t>
  </si>
  <si>
    <t>Cles-Romallo</t>
  </si>
  <si>
    <t>Portolo-Cles</t>
  </si>
  <si>
    <t>Cles-Portolo</t>
  </si>
  <si>
    <t>Tres-Cles</t>
  </si>
  <si>
    <t>Mollaro-Tres</t>
  </si>
  <si>
    <t>Cles-Lanza</t>
  </si>
  <si>
    <t>Lanza-Cles</t>
  </si>
  <si>
    <t>Cles-Livo-Bresimo</t>
  </si>
  <si>
    <t>Cles-Bresimo-Lanza</t>
  </si>
  <si>
    <t>Bresimo-Livo-Cles</t>
  </si>
  <si>
    <t>Lanza-Bresimo-Cles</t>
  </si>
  <si>
    <t>Mendola-Fondo</t>
  </si>
  <si>
    <t>Cles-Mendola</t>
  </si>
  <si>
    <t>Fondo-Dermulo</t>
  </si>
  <si>
    <t>Sfruz-Dermulo</t>
  </si>
  <si>
    <t>Sfruz-Cles</t>
  </si>
  <si>
    <t>Cis-Cles</t>
  </si>
  <si>
    <t>Cles-Cis</t>
  </si>
  <si>
    <t>Civezzano-Bosco</t>
  </si>
  <si>
    <t>Bosco-Civezzano</t>
  </si>
  <si>
    <t>Pergine-Civezzano-Bosco</t>
  </si>
  <si>
    <t>Olle-Borgo</t>
  </si>
  <si>
    <t>Borgo-Olle</t>
  </si>
  <si>
    <t>Ronchi Borgo</t>
  </si>
  <si>
    <t>Borgo-Ronchi</t>
  </si>
  <si>
    <t>Borgo -Torcegno</t>
  </si>
  <si>
    <t>Samone-Borgo</t>
  </si>
  <si>
    <t>Torcegno-Borgo</t>
  </si>
  <si>
    <t>Borgo-Torcegno</t>
  </si>
  <si>
    <t>percorso</t>
  </si>
  <si>
    <t>ora arr.</t>
  </si>
  <si>
    <t>ora part.</t>
  </si>
  <si>
    <t>Linea</t>
  </si>
  <si>
    <t xml:space="preserve"> </t>
  </si>
  <si>
    <t>19</t>
  </si>
  <si>
    <t>Posti autobus</t>
  </si>
  <si>
    <t xml:space="preserve">frequenza </t>
  </si>
  <si>
    <t>n.
corsa</t>
  </si>
  <si>
    <t>scolastica 
da lunedì a sabato</t>
  </si>
  <si>
    <t>8/ 8</t>
  </si>
  <si>
    <t>20</t>
  </si>
  <si>
    <t>07.05 Sover-Segonzano-Sevignano-Faver bv</t>
  </si>
  <si>
    <t>50</t>
  </si>
  <si>
    <t>Scolastica
solo lunedì</t>
  </si>
  <si>
    <t>scolastica 
da lunedì a venerdì</t>
  </si>
  <si>
    <t xml:space="preserve">Forti Lardaro-Praso-Daone
</t>
  </si>
  <si>
    <t>feriale
estiva</t>
  </si>
  <si>
    <t xml:space="preserve">Drena - Vigo Cavedine </t>
  </si>
  <si>
    <t>feriale
non scolastica</t>
  </si>
  <si>
    <t>feriale 
solo mercoledì</t>
  </si>
  <si>
    <t>Cembra - Segonzano - Valcava</t>
  </si>
  <si>
    <t>Valcava - Segonzano - Cembra</t>
  </si>
  <si>
    <t>54</t>
  </si>
  <si>
    <t>Cles - Castelfondo</t>
  </si>
  <si>
    <t>Tavon - Cles - Cles piazza Fiera</t>
  </si>
  <si>
    <t>Mechel Cles</t>
  </si>
  <si>
    <t>Cles piazza Fiera - Mechel</t>
  </si>
  <si>
    <t>8</t>
  </si>
  <si>
    <t>Fondo  - Fondo (Vasio)  - Fondo</t>
  </si>
  <si>
    <t xml:space="preserve">Fondo (Vasio) - Fondo </t>
  </si>
  <si>
    <t xml:space="preserve">scolastica 
solo venerdì </t>
  </si>
  <si>
    <t>Malè-Somrabbi</t>
  </si>
  <si>
    <t>Bolentina - Montes -Malè</t>
  </si>
  <si>
    <t>Malè - Bolentina</t>
  </si>
  <si>
    <t>scolastica 
solo giorno di sabato</t>
  </si>
  <si>
    <t>Bolentina - Malè</t>
  </si>
  <si>
    <t>15</t>
  </si>
  <si>
    <t>Cles - Cis</t>
  </si>
  <si>
    <t>36</t>
  </si>
  <si>
    <t>Tres (Predaia)-Tres - Taio</t>
  </si>
  <si>
    <t>Tres - Taio</t>
  </si>
  <si>
    <t xml:space="preserve">Dermulo - Coredo - Sfruz </t>
  </si>
  <si>
    <t>Rovereto-Terragnolo - Serrada - Folgaria</t>
  </si>
  <si>
    <t>Serrada - Terragnolo - Rovereto F.S.</t>
  </si>
  <si>
    <t>Mezzomonte - Guardia di Folgaria</t>
  </si>
  <si>
    <t>feriale 
solo martedì</t>
  </si>
  <si>
    <t>Folgaria - Mezzomonte - Guardia di Fogaria</t>
  </si>
  <si>
    <t>invernale feriale 
solo martedì</t>
  </si>
  <si>
    <t>Guardia di Folgaria - Mezzomonte - Folgaria</t>
  </si>
  <si>
    <t>estiva feriale 
solo giorno di martedì</t>
  </si>
  <si>
    <t>Guardia di Folgaria - Mezzomonte</t>
  </si>
  <si>
    <t>Pergine - Tenna - Levico</t>
  </si>
  <si>
    <t>Pergine - Fierozzo - Hacleri - Palù del Fersina</t>
  </si>
  <si>
    <t xml:space="preserve">Palù del Fersina - Viarago - Pergine </t>
  </si>
  <si>
    <t>invernale festivo 
no durante intensificazione: Ponte Immacolata-1° decade aprile)</t>
  </si>
  <si>
    <t>Fucine - Vermiglio</t>
  </si>
  <si>
    <t>Ponte di Legno - Fucine - Malè</t>
  </si>
  <si>
    <t>16</t>
  </si>
  <si>
    <t>Masi di Cavalese - Cavalese</t>
  </si>
  <si>
    <t>Cavalese - Masi di Cavalese</t>
  </si>
  <si>
    <t xml:space="preserve">Cavalese - Varena - Cavalese </t>
  </si>
  <si>
    <t>Tesero - Stava</t>
  </si>
  <si>
    <t>Stava - Tesero</t>
  </si>
  <si>
    <t>Monte Terlago - Trento</t>
  </si>
  <si>
    <t>Trento - Monte Terlago</t>
  </si>
  <si>
    <t>Trento - Aldeno - Garniga</t>
  </si>
  <si>
    <t>feriale 
da lunedì a venerdì</t>
  </si>
  <si>
    <t>24</t>
  </si>
  <si>
    <t>festiva</t>
  </si>
  <si>
    <t>Garniga Vecchia - Garniga - Aldeno - Trento</t>
  </si>
  <si>
    <t>Trento - Aldeno - Garniga - garniga Vecchia</t>
  </si>
  <si>
    <t>Trento - Aldeno - Garniga - Garniga Vecchia</t>
  </si>
  <si>
    <t>invernale feriale 
solo sabato</t>
  </si>
  <si>
    <t>Aldeno - Garniga - Ganiga Vecchia</t>
  </si>
  <si>
    <t>Trento - Terlago - Monte Terlago</t>
  </si>
  <si>
    <t>35</t>
  </si>
  <si>
    <t>55</t>
  </si>
  <si>
    <t>Trento (via Giusti e giro scuole) - Verla (bis)</t>
  </si>
  <si>
    <t>9</t>
  </si>
  <si>
    <t>Regnana-Centrale</t>
  </si>
  <si>
    <t>Centrale-Regnana</t>
  </si>
  <si>
    <t>Bedollo - Svaldi</t>
  </si>
  <si>
    <t>Svaldi - Bedollo</t>
  </si>
  <si>
    <t>Valcava - Brusago</t>
  </si>
  <si>
    <t>6</t>
  </si>
  <si>
    <t>Fiorè - Baselga di Pinè</t>
  </si>
  <si>
    <t>Carbonare - Vigolo Vattaro - Trento (corsa bis)</t>
  </si>
  <si>
    <t>Crescino - Sporminore</t>
  </si>
  <si>
    <t>Crescino - Dercolo - Quetta - Campodenno - Sporminore</t>
  </si>
  <si>
    <t>Crescino Sporminore (bis corsa diretta)</t>
  </si>
  <si>
    <t xml:space="preserve">Lover - Sporminore </t>
  </si>
  <si>
    <t>invernale feriale 
solo venerdì</t>
  </si>
  <si>
    <t xml:space="preserve"> Ponte Arche - Tione ( corsa bis)</t>
  </si>
  <si>
    <t>Tione - Ponte Arche (corsa bis)</t>
  </si>
  <si>
    <t>57</t>
  </si>
  <si>
    <t>Scancio di Segonzano  - Trento giro scuole (corsa bis)</t>
  </si>
  <si>
    <t>Calavino-Dro</t>
  </si>
  <si>
    <t>Drò - Drena - Vigo Cavedine</t>
  </si>
  <si>
    <t>Sarche-Pergolese</t>
  </si>
  <si>
    <t>30</t>
  </si>
  <si>
    <t>Calavino-Riva del Garda</t>
  </si>
  <si>
    <t xml:space="preserve">Tiarno - Storo - Condino - Pieve di Bono </t>
  </si>
  <si>
    <t>56</t>
  </si>
  <si>
    <t>Sarche - Ponte Arche - Tione</t>
  </si>
  <si>
    <t>Ponte Arche - Trento (corsa bis)</t>
  </si>
  <si>
    <t>scolastica 
da lunedì a giovedì</t>
  </si>
  <si>
    <t>Trento - Fornace - Albiano</t>
  </si>
  <si>
    <t>S.Lorenzo - Molveno</t>
  </si>
  <si>
    <t>Andogno - S.Lorenzo in B.</t>
  </si>
  <si>
    <t xml:space="preserve">S.Lorenzo in B.- Andogno </t>
  </si>
  <si>
    <t>Ponte Arche - S.Lorenzo in Banale</t>
  </si>
  <si>
    <t>S.Lorenzo in Banale - Ponte Arche</t>
  </si>
  <si>
    <t>S.Lorenzo in Banale - Molveno</t>
  </si>
  <si>
    <t>Calceranica-Caldonazzo-Levico-Borgo
(C.sa bis sostitutiva treno)</t>
  </si>
  <si>
    <t>invernale
da lunedì a venerdì</t>
  </si>
  <si>
    <t>Vezzano Apt-V.Cavedine</t>
  </si>
  <si>
    <t>V.Cavedine-Trento</t>
  </si>
  <si>
    <t>festiva invernale</t>
  </si>
  <si>
    <t>Monte Terlago - Cadine - Forte Bus del Vela</t>
  </si>
  <si>
    <t>Sopramomnte - Monte Terlago</t>
  </si>
  <si>
    <t>Monte Terlago - Sopramonte</t>
  </si>
  <si>
    <t>Terlago - Covelo - Maso Ariol - Monte Terlago</t>
  </si>
  <si>
    <t>Sopramonte - Monte Terlago</t>
  </si>
  <si>
    <t>Terlago - Sopramonte</t>
  </si>
  <si>
    <t>Trento - Terlago - Covelo -Ciago - Monte Terlago</t>
  </si>
  <si>
    <t>M.Terlago-Covelo-Terlago-TN</t>
  </si>
  <si>
    <t>Monte Terlago - Covelo - Terlago - TN</t>
  </si>
  <si>
    <t>L. Lamar -M.Terlago 17.55  (Prolungamento)</t>
  </si>
  <si>
    <t>Terlago bivio - M.te Terlago</t>
  </si>
  <si>
    <t>M.te Terlago - Laghi Lamar (prolungamento)</t>
  </si>
  <si>
    <t>Cadine - Terlago - M.terlago</t>
  </si>
  <si>
    <t>Vezzano - Fraveggio - Ciago - Ranzo (settimane pari)</t>
  </si>
  <si>
    <t>Vezzano Apt - Ranzo - Margone</t>
  </si>
  <si>
    <t xml:space="preserve">scolastica 
solo martedì e giovedì </t>
  </si>
  <si>
    <t>Vezzano Apt - Ciago (bis)</t>
  </si>
  <si>
    <t>Margone - Ranzo - Vezzano bivio sud</t>
  </si>
  <si>
    <t>Sardagna - Trento</t>
  </si>
  <si>
    <t>Trento - Sardagna</t>
  </si>
  <si>
    <t>Kamauz - Maso Tingerla (prolungamento)</t>
  </si>
  <si>
    <t>25</t>
  </si>
  <si>
    <t>Pergine - Canezza - Kamauz</t>
  </si>
  <si>
    <t>Roveda bivio - Kamauz</t>
  </si>
  <si>
    <t>Kamuz - Roveda Bivio</t>
  </si>
  <si>
    <t>Kamauz - Roveda Bivio</t>
  </si>
  <si>
    <t>Ala F.S. - Ronchi di Ala ( Ponzolotti)</t>
  </si>
  <si>
    <t>29</t>
  </si>
  <si>
    <t>Ronchi di Ala (Ponzolotti) - Ala F.S.</t>
  </si>
  <si>
    <t>Ala F.S.- Ronchi di Ala</t>
  </si>
  <si>
    <t>Vigo Cavedine - Masi di Vigo</t>
  </si>
  <si>
    <t>Masi di Vigo - Vigo Cavedine</t>
  </si>
  <si>
    <t>feriale 
solo martedì e venerdì</t>
  </si>
  <si>
    <t>Cogolo - Celentino paese</t>
  </si>
  <si>
    <t>Comasine - Cogolo</t>
  </si>
  <si>
    <t>scolastica 
 sabato</t>
  </si>
  <si>
    <t>Strombiano- Celentino Bivio</t>
  </si>
  <si>
    <t>Celentino paese - Celentino Bivio</t>
  </si>
  <si>
    <t>scolastica
lun+merc+giov+ven</t>
  </si>
  <si>
    <t>Claiano bv-Ortisè-Menas</t>
  </si>
  <si>
    <t>Cusiano - Passo Tonale</t>
  </si>
  <si>
    <t xml:space="preserve">Passo Tonale - Vermiglio - Fucine -Pellizzano - Mezzana -  Dimaro </t>
  </si>
  <si>
    <t>Passo Tonale - Stavel - Vermiglio</t>
  </si>
  <si>
    <t>Menas - Pellizzano</t>
  </si>
  <si>
    <t>estiva
lunedi-venerdì</t>
  </si>
  <si>
    <t>Santel-Mezzolombardo</t>
  </si>
  <si>
    <t>scolastica 
sabato</t>
  </si>
  <si>
    <t>41</t>
  </si>
  <si>
    <t>Tesero-Palù di Giovo</t>
  </si>
  <si>
    <t>Cembra - Scancio di Segonzano</t>
  </si>
  <si>
    <t>S.Michele - Cembra</t>
  </si>
  <si>
    <t>Valda - Faver - Cembra - Ville - S.Michele</t>
  </si>
  <si>
    <t>Palù di Giovo - Ville di Giovo - Verla</t>
  </si>
  <si>
    <t>Verla - Palù di Giovo, nei gg. senza scuola  e estivi   transita da Ville di Giovo</t>
  </si>
  <si>
    <t>Verla - Palù di Giovo</t>
  </si>
  <si>
    <t>Palù di Giovo - Verla</t>
  </si>
  <si>
    <t>Grauno - Trento</t>
  </si>
  <si>
    <t>47</t>
  </si>
  <si>
    <t>Cembra - Trento (corsa bis)</t>
  </si>
  <si>
    <t>Cembra - Capriana</t>
  </si>
  <si>
    <t>estiva feriale 
dal lunedì al venerdì</t>
  </si>
  <si>
    <t>Levico - Borgo Valsugana</t>
  </si>
  <si>
    <t>22</t>
  </si>
  <si>
    <t>Tione - Montagne</t>
  </si>
  <si>
    <t>Ponte Arche - S.Lorenzo - Molveno</t>
  </si>
  <si>
    <t>Montagne-Tione</t>
  </si>
  <si>
    <t>Preore-Montagne</t>
  </si>
  <si>
    <t>invernale giornaliera</t>
  </si>
  <si>
    <t>Tione - M. di Campiglio C.Carlo Magno</t>
  </si>
  <si>
    <t>Tione - Baitoni</t>
  </si>
  <si>
    <t>Ponte Arche - Cavrasto - Bivedo</t>
  </si>
  <si>
    <t>Ponte Arche - Fiavè - Lundo - Comano</t>
  </si>
  <si>
    <t>Ponte Arche - Sclemo - S.Lorenzo</t>
  </si>
  <si>
    <t>Ponte Arche - Stenico - Sclemo</t>
  </si>
  <si>
    <t>Sclemo - Stenico - Ponte Arche</t>
  </si>
  <si>
    <t>scolastica 
solo venerdì</t>
  </si>
  <si>
    <t xml:space="preserve">Pieve di Bono (loc. Creto) - Prezzo </t>
  </si>
  <si>
    <t xml:space="preserve">Condino-Pieve di Bono - Strada </t>
  </si>
  <si>
    <t>Prezzo - Pieve di Bono</t>
  </si>
  <si>
    <t>Por - Pieve di Bono (loc. Strada)</t>
  </si>
  <si>
    <t>Castel Condino - Cimego</t>
  </si>
  <si>
    <t>Cimone bivio Pietra - Vigile</t>
  </si>
  <si>
    <t>Vigile - Cimone bivio Pietra</t>
  </si>
  <si>
    <t>estiva feriale 
solo giorno di giovedì</t>
  </si>
  <si>
    <t>Solaiolo - Cavalese                                          al martedì partenza alle 14.30</t>
  </si>
  <si>
    <t>Cavalese - Solaiolo                                                         al martedi partenza alle 14.15</t>
  </si>
  <si>
    <t>feriale 
solo giovedì</t>
  </si>
  <si>
    <t>Falesina - Pergine</t>
  </si>
  <si>
    <t>Pergine - Falesina</t>
  </si>
  <si>
    <t xml:space="preserve">Sveseri Bivio - Facendi </t>
  </si>
  <si>
    <t xml:space="preserve">Sover-Montesover                                        </t>
  </si>
  <si>
    <t>Sover - Montesover</t>
  </si>
  <si>
    <t>Montesover- Gabard (prolungamento c.sa 67)</t>
  </si>
  <si>
    <t>Montesover - Sover</t>
  </si>
  <si>
    <t>Facendi  - Sveseri Bivio</t>
  </si>
  <si>
    <t>Casatta - Sover</t>
  </si>
  <si>
    <t>Piscine - Sover</t>
  </si>
  <si>
    <t>Ischia-Pergine V
(c.sa bis a L.423)</t>
  </si>
  <si>
    <t>Lases - Trento Port'Aquila (corsa bis)</t>
  </si>
  <si>
    <t>Regnana Alta-Centrale B.</t>
  </si>
  <si>
    <t xml:space="preserve">Baselga di Pinè - S.Mauro </t>
  </si>
  <si>
    <t>S.Mauro - Baselga di Pinè</t>
  </si>
  <si>
    <t>4</t>
  </si>
  <si>
    <t>Baselga di Pinè - Fiorè</t>
  </si>
  <si>
    <t>scolastica
mar+gio</t>
  </si>
  <si>
    <t>Predazzo sc.-Bellamonte</t>
  </si>
  <si>
    <t>Bellamonte - Predazzo sc.</t>
  </si>
  <si>
    <t>Tregiovo - Revò</t>
  </si>
  <si>
    <t>Revò - Tregiovo</t>
  </si>
  <si>
    <t>Brez - Salobbi</t>
  </si>
  <si>
    <t>Salobbi - Brez</t>
  </si>
  <si>
    <t>Castelfondo - Revò - Cles</t>
  </si>
  <si>
    <t>Serso-Pergine V. 
C.sa bis L.417</t>
  </si>
  <si>
    <t>Levico (S.P. 228 maso Rosso) - Borgo - Feltre Vellai</t>
  </si>
  <si>
    <t>Pergine - Frassilongo - Fierozzo - Hacleri</t>
  </si>
  <si>
    <t>Sicina - Casatta</t>
  </si>
  <si>
    <t>Casatta - Sicina</t>
  </si>
  <si>
    <t xml:space="preserve">Sicina - Casatta - Pradel </t>
  </si>
  <si>
    <t xml:space="preserve">estiva feriale </t>
  </si>
  <si>
    <t>Grumes - Giro masi</t>
  </si>
  <si>
    <t>Pregasina - Riva del Garda</t>
  </si>
  <si>
    <t>Rovereto-Piazza Terragnolo - Zoreri</t>
  </si>
  <si>
    <t>Zoreri-Piazza Terragnolo-Rovereto</t>
  </si>
  <si>
    <t>feriale invernale 
martedì e giovedì</t>
  </si>
  <si>
    <t>17</t>
  </si>
  <si>
    <t>Piazza di Terragnolo -Zoreri - Geroli</t>
  </si>
  <si>
    <t>Geroli - Piazza di Terragnolo - Zencheri           (ore 6.50 prolungamento per Valle e Costa)</t>
  </si>
  <si>
    <t>Folgaria - Rovereto F.S.  (corsa bis)</t>
  </si>
  <si>
    <t>S. Pellegrino - Moena</t>
  </si>
  <si>
    <t>Moena - S.Pellegrino</t>
  </si>
  <si>
    <t>Moena - Falcade</t>
  </si>
  <si>
    <t>Falcade - Moena</t>
  </si>
  <si>
    <t xml:space="preserve"> Borgo vals. - Ronchi Valsugana  giro masi</t>
  </si>
  <si>
    <t>Ronchi Valsugana  giro masi - Borgo vals.</t>
  </si>
  <si>
    <t>Levico -Vigolo vattaro</t>
  </si>
  <si>
    <t xml:space="preserve">Pergine - Levico - Centa </t>
  </si>
  <si>
    <t>Vigolo Vattaro - Levico</t>
  </si>
  <si>
    <t>Centa - Calceranica</t>
  </si>
  <si>
    <t>Vattaro - Vigolo Vattaro (corsa bis)</t>
  </si>
  <si>
    <t>Centa - Trento</t>
  </si>
  <si>
    <t>feriale non scolastica
da lunedì a sabato</t>
  </si>
  <si>
    <t>Centa - Pergine</t>
  </si>
  <si>
    <t>Bosentino - Vigolo Vattaro (corsa bis)</t>
  </si>
  <si>
    <t>Pian dei Pradi - Trento (corsa bis)</t>
  </si>
  <si>
    <t>Aldeno - Pomarolo</t>
  </si>
  <si>
    <t>Sarche - Pergolese - Pietramurata</t>
  </si>
  <si>
    <t>Due Laghi - S. Massenza</t>
  </si>
  <si>
    <t>S. Massenza - Due laghi</t>
  </si>
  <si>
    <t>20,00</t>
  </si>
  <si>
    <t>Albaredo - Raossi</t>
  </si>
  <si>
    <t>Raossi - Albaredo</t>
  </si>
  <si>
    <t>Ometto - Raossi</t>
  </si>
  <si>
    <t>Raossi - Ometto</t>
  </si>
  <si>
    <t>Raossi -Ometto</t>
  </si>
  <si>
    <t>feriale non scolastica 
da lunedì a venerdì</t>
  </si>
  <si>
    <t>Rovereto - Raossi</t>
  </si>
  <si>
    <t>Ometto - Rovereto</t>
  </si>
  <si>
    <t>feriale 
solo lunedì e giovedì</t>
  </si>
  <si>
    <t>Pian delle Fugazze - Raossi</t>
  </si>
  <si>
    <t>Raossi - Pian delle Fugazze</t>
  </si>
  <si>
    <t>Valmorbia - Raossi</t>
  </si>
  <si>
    <t>Raossi - Valmorbia</t>
  </si>
  <si>
    <t>Calvola - Ville del Monte</t>
  </si>
  <si>
    <t xml:space="preserve">scolastica 
da lunedì a giovedì </t>
  </si>
  <si>
    <t>Fiavè-V.Lomaso-P.Arche
prolungamento 16.35 Riva-Fiavè</t>
  </si>
  <si>
    <t xml:space="preserve">Riva del Garda - Pregasina </t>
  </si>
  <si>
    <t xml:space="preserve">Riva del Garda - Tenno - Fiavè </t>
  </si>
  <si>
    <t>Scolastica
lun+mar+gio+ven</t>
  </si>
  <si>
    <t>Tiarno Sopra - Storo</t>
  </si>
  <si>
    <t xml:space="preserve">Condino - Brione </t>
  </si>
  <si>
    <t>Storo - Lodrone - Baitoni</t>
  </si>
  <si>
    <t>scolastica 
solo venerdì e sabato</t>
  </si>
  <si>
    <t>Bondone - Ponte Caffaro bivio</t>
  </si>
  <si>
    <t>Brione - Condino</t>
  </si>
  <si>
    <t>Bondone - Baitoni</t>
  </si>
  <si>
    <t>Massimeno - Giustino</t>
  </si>
  <si>
    <t>Mori FS - Mori Bar Centrale</t>
  </si>
  <si>
    <t>Mori - Besagno - Brentonico</t>
  </si>
  <si>
    <t>Pergine - Civezzano</t>
  </si>
  <si>
    <t>Fornace - Civezzano 7.11 - Pergine</t>
  </si>
  <si>
    <t xml:space="preserve">Civezzano-Fornace </t>
  </si>
  <si>
    <t xml:space="preserve">Ville del Monte - Ponte Arche </t>
  </si>
  <si>
    <t xml:space="preserve">scolastica 
lun+mar+mer+ven </t>
  </si>
  <si>
    <t>Ville del Monte - Calvola</t>
  </si>
  <si>
    <t>S.Croce - Ponte Arche</t>
  </si>
  <si>
    <t>Villa-Sesto bivio - Ponte Arche - Tione (corsa bis)</t>
  </si>
  <si>
    <t>Ponte Arche - Lundo</t>
  </si>
  <si>
    <t>Lundo - Ponte Arche</t>
  </si>
  <si>
    <t>Luserna - Caldonazzo</t>
  </si>
  <si>
    <t xml:space="preserve">feriale solo 
lunedì e mercoledì </t>
  </si>
  <si>
    <t>Borgo Vals. - Roncegno giro masi</t>
  </si>
  <si>
    <t xml:space="preserve">invernale feriale 
solo lunedì e mercoledì </t>
  </si>
  <si>
    <t xml:space="preserve">Roncegno giro Masi - Borgo Vals. </t>
  </si>
  <si>
    <t xml:space="preserve">estivo feriale
solo giorni di lunedì e mercoledì </t>
  </si>
  <si>
    <t>Masi di Imer - Pozza di fassa</t>
  </si>
  <si>
    <t>Spormaggiore-Trento</t>
  </si>
  <si>
    <t>scolastica lunedì</t>
  </si>
  <si>
    <t>scolastica venerdì</t>
  </si>
  <si>
    <t>Ponte Arche-Trento</t>
  </si>
  <si>
    <t>40</t>
  </si>
  <si>
    <t xml:space="preserve">Mezzolombardo-Nave S.Rocco-Mezzolombardo </t>
  </si>
  <si>
    <t>Trento FTM-Mezzolombardo FTM  (serv. Sostitutivo treno)</t>
  </si>
  <si>
    <t>Caldonazzo-Pergine</t>
  </si>
  <si>
    <t>Rizzolaga-Sover</t>
  </si>
  <si>
    <t>Malè-Cogolo</t>
  </si>
  <si>
    <t>Fucine - Pejo</t>
  </si>
  <si>
    <t>Mezzocorona - Faedo</t>
  </si>
  <si>
    <t>Faedo - Mezzocorona</t>
  </si>
  <si>
    <t xml:space="preserve">Scancio di Segonzano-Lases
in coinc. con c.sa Tte da Ist. Alberghiero Tesero </t>
  </si>
  <si>
    <t xml:space="preserve">scolastica
martedì </t>
  </si>
  <si>
    <t>Sover-Scancio di Segonzano</t>
  </si>
  <si>
    <t>Dermulo-Coredo-Sfruz</t>
  </si>
  <si>
    <t>S. Orsola Mantovani- Mala - Viarago - Pergine (corsa bis)</t>
  </si>
  <si>
    <t>Grumes-Capriana</t>
  </si>
  <si>
    <t xml:space="preserve">scolastica 
solo  lun-mar-gio </t>
  </si>
  <si>
    <t xml:space="preserve">Cavalese - Veronza </t>
  </si>
  <si>
    <t>Estiva
lunedì-sabato</t>
  </si>
  <si>
    <t>Estiva
lunedì-venerdì</t>
  </si>
  <si>
    <t>Trento FTM - Lavis - Mezzolombardo</t>
  </si>
  <si>
    <t>Feriale invernale
giovedì</t>
  </si>
  <si>
    <t>Pergine-Fierozzo-Palu' F.-S.Orsola-Pergine</t>
  </si>
  <si>
    <t>Festiva</t>
  </si>
  <si>
    <t>Cles-Mezzana-Fucine-Peio</t>
  </si>
  <si>
    <t>P.di Bono Borel - Castel Condino</t>
  </si>
  <si>
    <t>Maso Tingherla-Kamauz (prolungamento c.sa x Roveda bv)</t>
  </si>
  <si>
    <t>Baselga P.-Rizzolaga (prolungamento c.sa x Sover)</t>
  </si>
  <si>
    <t>Pregasina bv.-Pregasina</t>
  </si>
  <si>
    <t>Faver loc.Ponciac-Cembra loc.Molini-Cembra</t>
  </si>
  <si>
    <t>Comasine bv.-Strombiano-Celentino</t>
  </si>
  <si>
    <t>scolastica
solo mart-merc-ven</t>
  </si>
  <si>
    <t>Comasine bv-Comasine paese-Comasine bv</t>
  </si>
  <si>
    <t>Trento - Covelo-Ciago-Monte Terlago</t>
  </si>
  <si>
    <t>Trento-Vezzano-v.Cavedine</t>
  </si>
  <si>
    <t>feriale estivo + senza scuola
da lunedì a venerdì</t>
  </si>
  <si>
    <t>Molveno-Andalo-Mezzolombardo</t>
  </si>
  <si>
    <t>Centa-Bosentino-V.Vattaro-Trento</t>
  </si>
  <si>
    <t>Invernale 
festiva</t>
  </si>
  <si>
    <t>Trento-V.Vattaro-Bosentino-Centa</t>
  </si>
  <si>
    <t>Monte Terlago-Ciago-Vezzano-V.Cavedine</t>
  </si>
  <si>
    <t>invernale 
festiva</t>
  </si>
  <si>
    <t>Pellizzano-Claiano bv.-Menas</t>
  </si>
  <si>
    <t>Garniga V.-Garniga-Aldeno-Ravina-Trento</t>
  </si>
  <si>
    <t>Invernale
festiva</t>
  </si>
  <si>
    <t>Riva-Bezzecca-Concei-Tiarno</t>
  </si>
  <si>
    <t>Invernale no scuola
lun-ven</t>
  </si>
  <si>
    <t>Tiarno-Concei-Bezzecca-Riva</t>
  </si>
  <si>
    <t>Trento-V.Vattaro-Bosentino-Centa-Carbonare</t>
  </si>
  <si>
    <t>Carbonare-Centa-Bosentino-V.Vattaro-Trento</t>
  </si>
  <si>
    <t>Storo-Tremalzo bv.-Tiarno</t>
  </si>
  <si>
    <t>Tiarno-Tremalzo bv.-Storo</t>
  </si>
  <si>
    <t>estiva 
martedì feriale</t>
  </si>
  <si>
    <t>Cavalese-Ospedale-Cavalese</t>
  </si>
  <si>
    <t>Mezzolombardo-Vigo di Ton-Toss</t>
  </si>
  <si>
    <t>Storo-Baitoni</t>
  </si>
  <si>
    <t>Vigo Cavedine-Dro</t>
  </si>
  <si>
    <t>Dro-Riva del Garda</t>
  </si>
  <si>
    <t>Revò-Tregiovo</t>
  </si>
  <si>
    <t>scolastica 
mar-gio-ven-sab</t>
  </si>
  <si>
    <t xml:space="preserve">Trento-Levico (prolungamento c.sa per Feltre </t>
  </si>
  <si>
    <t>scolastica 
lunedì + post festivi</t>
  </si>
  <si>
    <t>Drò - Drena - Vigo Cavedine-Calavino</t>
  </si>
  <si>
    <t>Lagolo-Lasino</t>
  </si>
  <si>
    <t>Caldonazzo  FS-Luserna</t>
  </si>
  <si>
    <t>Ville d.Monte S.Antonio-Fiavè-Ponte Arche</t>
  </si>
  <si>
    <t>Mezzocorona FS-Campodenno-Cles</t>
  </si>
  <si>
    <t>Mezzolombardo - Denno -Cles</t>
  </si>
  <si>
    <t>Cles-Campodenno-Mezzocorona FS</t>
  </si>
  <si>
    <t>feriale
sabato</t>
  </si>
  <si>
    <t>feriale invernale
sabato</t>
  </si>
  <si>
    <t>Lavis FTM-Nave S.Rocco-Mezzolombardo</t>
  </si>
  <si>
    <t>Mezzolombardo-Nave S.Rocco-Lavis FTM</t>
  </si>
  <si>
    <t>invernale
lunedì-sabato</t>
  </si>
  <si>
    <t>Crescino-Spormaggiore-Molveno</t>
  </si>
  <si>
    <t>Deggiano-Mastellina FTM</t>
  </si>
  <si>
    <t>Tiarno - Storo-Baitoni-Darzo-P.di Bono</t>
  </si>
  <si>
    <t xml:space="preserve">Cimego-Castel Condino </t>
  </si>
  <si>
    <t xml:space="preserve">Sfuz- Credai 
(prolungamento c.sa Dermulo - Coredo - Sfruz) </t>
  </si>
  <si>
    <t>Pregasina bivio-Pregasina</t>
  </si>
  <si>
    <t>Valle S.Felice - Rovereto (c.sa bis)</t>
  </si>
  <si>
    <t xml:space="preserve">Cles - Cis </t>
  </si>
  <si>
    <t xml:space="preserve">Cis - Cles </t>
  </si>
  <si>
    <t>Tesero - Stava (dal 19/11/18)</t>
  </si>
  <si>
    <t>Stava - Cavalese (dal 19/11/18)</t>
  </si>
  <si>
    <t>Trento-Pergine-Levico-Borgo</t>
  </si>
  <si>
    <t>Dimaro staz.FTM-Campiglio-S.A.Mavignola</t>
  </si>
  <si>
    <t>invernale 
da lunedì a sabato</t>
  </si>
  <si>
    <t>Dermulo FTM-Mezzocorona FS</t>
  </si>
  <si>
    <t>Lago Cavedine Trebi-Sarche</t>
  </si>
  <si>
    <t>Sarche-Lago Cavedine Trebi</t>
  </si>
  <si>
    <t>Fondo-Romeno-Dermulo-Cles</t>
  </si>
  <si>
    <t>Lasino-Lagolo</t>
  </si>
  <si>
    <t>estiva
lun-mer-gio</t>
  </si>
  <si>
    <t>Lagolo-Lasino-Vezzano</t>
  </si>
  <si>
    <t xml:space="preserve">estiva
feriale </t>
  </si>
  <si>
    <t>Trento-Pergine-Baselga Pinè</t>
  </si>
  <si>
    <t>Moena-Passo S.Pellegrino</t>
  </si>
  <si>
    <t>Passo S. Pellegrino-Moena</t>
  </si>
  <si>
    <t>Moena-Passo S.Pellegrino-Falcade</t>
  </si>
  <si>
    <t>Falcade-Passo S. Pellegrino-Moena</t>
  </si>
  <si>
    <t>Mezzolombardo-Termon</t>
  </si>
  <si>
    <t>Mezzolombardo-Denno-Cles</t>
  </si>
  <si>
    <t xml:space="preserve">estiva
sabato </t>
  </si>
  <si>
    <t>Mezzocorona Fs-S.Michele a/A</t>
  </si>
  <si>
    <t>Borgo-Levico-Caldonazzo-Trento</t>
  </si>
  <si>
    <t>Trento-Pergine-gallerie-Levico-Borgo</t>
  </si>
  <si>
    <t>Trento-Sardagna-Vason-Viote</t>
  </si>
  <si>
    <t>Viote-Vason-Sardagna-Trento</t>
  </si>
  <si>
    <t>Luserna-Caldonazzo</t>
  </si>
  <si>
    <t>Caldonazzo-Luserna</t>
  </si>
  <si>
    <t xml:space="preserve">Folgaria - Rovereto </t>
  </si>
  <si>
    <t>Rovereto-Pian della Fugazze</t>
  </si>
  <si>
    <t>Pian delle Fugazze-Rovereto</t>
  </si>
  <si>
    <t>Stramentizzo - Casatta</t>
  </si>
  <si>
    <t>estiva+inv
festiva</t>
  </si>
  <si>
    <t>S. Michele-Mezzolombardo-Spormaggire-Molveno</t>
  </si>
  <si>
    <t>53</t>
  </si>
  <si>
    <t>Molveno-Dorsino</t>
  </si>
  <si>
    <t>festiva 
invernale</t>
  </si>
  <si>
    <t>Denno FTM-Moncovo-Truzzi bivio-Toss</t>
  </si>
  <si>
    <t>Mezzzolombardo-Termon</t>
  </si>
  <si>
    <t>Baitoni-Bondone</t>
  </si>
  <si>
    <t xml:space="preserve">scolastica 
solo sabato </t>
  </si>
  <si>
    <t>Mezzocorona FS-Denno-Cles</t>
  </si>
  <si>
    <t>Pozza Fassa-Predazzo-P.so Rolle-Fiera P.-Imer</t>
  </si>
  <si>
    <t>Mezzocorona FS-S. Michele Ist. Agrario
prolungamento c.sa per Cembra</t>
  </si>
  <si>
    <t>scolastica 
solo mar-gio-ven</t>
  </si>
  <si>
    <t>scolastica
sabato</t>
  </si>
  <si>
    <t>Scancio di Segonzano-Sevignano
prolungamento  c.sa Cembra-Scancio</t>
  </si>
  <si>
    <t>Roveda bivio - Kamauz-Maso Tingherla</t>
  </si>
  <si>
    <t>Verla - Palù di Giovo (strada breve)</t>
  </si>
  <si>
    <t>scolastica 
solo Venerdì</t>
  </si>
  <si>
    <t>Tione-P.Arche</t>
  </si>
  <si>
    <t>P.Arche-Tione</t>
  </si>
  <si>
    <t>Fiavè-P.Arche</t>
  </si>
  <si>
    <t>Lundo-P.Arche</t>
  </si>
  <si>
    <t>Tione-Trento</t>
  </si>
  <si>
    <t>Trento-Tione</t>
  </si>
  <si>
    <t>P.Arche-Lundo</t>
  </si>
  <si>
    <t>P.Arche-S. Lorenzo in B.</t>
  </si>
  <si>
    <t>Vezzano APT-Vigo Cavedine-Drena</t>
  </si>
  <si>
    <t>festiva invernale
invernale</t>
  </si>
  <si>
    <t>Mezzolombardo - Nave s. Rocco - Trento (dal 12/09/19)</t>
  </si>
  <si>
    <t>festiva 
estiva</t>
  </si>
  <si>
    <t>invernale + estiva
festiva</t>
  </si>
  <si>
    <t>14</t>
  </si>
  <si>
    <t>S.Agnese-Civezzano</t>
  </si>
  <si>
    <t>Mezzolombardo-Mezzocorona FS</t>
  </si>
  <si>
    <t>6.20 S.Antonio di Mavignola-Campiglio-Dimaro</t>
  </si>
  <si>
    <t>Marilleva 1400 - Marilleva 900</t>
  </si>
  <si>
    <t>Ponte Arche - S.Croce Bleggio</t>
  </si>
  <si>
    <t xml:space="preserve">scolastica 
lun+merc+ven </t>
  </si>
  <si>
    <t>Toss-Raut 
(prolungamento c.sa da Denno FTM-Toss)</t>
  </si>
  <si>
    <t>scolastica 
gio+ven</t>
  </si>
  <si>
    <t>scolastica 
lun+mar+mer</t>
  </si>
  <si>
    <t xml:space="preserve">Ponte Caffaro - Bondone </t>
  </si>
  <si>
    <t>Rovereto - Folgaria</t>
  </si>
  <si>
    <t>Crescino-Sporminore</t>
  </si>
  <si>
    <t xml:space="preserve">Passo Tonale - Vermiglio </t>
  </si>
  <si>
    <t>Pergine-Palù del Fersina</t>
  </si>
  <si>
    <t>feriale estiva
da lunedì a venerdì</t>
  </si>
  <si>
    <t>Luserna-Caldonazzo-Pergine</t>
  </si>
  <si>
    <t>Invernale feriale
solo giovedì</t>
  </si>
  <si>
    <t>Riva-Sarche (c.sa bis)</t>
  </si>
  <si>
    <t>Borgo V. - Ronchi</t>
  </si>
  <si>
    <t>Ronchi - Borgo V.</t>
  </si>
  <si>
    <t>Trento - Pergine</t>
  </si>
  <si>
    <t>Lavarone - V.Vattaro</t>
  </si>
  <si>
    <t>Pian dei Pradi - Lavarone</t>
  </si>
  <si>
    <t>Cavizzana - Malè</t>
  </si>
  <si>
    <t>estiva
2° e 4° mercoledì feriale</t>
  </si>
  <si>
    <t>Malè - Cavizzana</t>
  </si>
  <si>
    <t>Bivedo-P.Arche</t>
  </si>
  <si>
    <t>Tione-C.C.Magno</t>
  </si>
  <si>
    <t>C.C.Magno-Tione</t>
  </si>
  <si>
    <t>Malè-Marrilleva 1400</t>
  </si>
  <si>
    <t>Marilleva 1400 - Malè</t>
  </si>
  <si>
    <t>Mezzana FTM - Pejo</t>
  </si>
  <si>
    <t>Pejo - Fucine</t>
  </si>
  <si>
    <t>Tione-Tione-Ospedale-Tione</t>
  </si>
  <si>
    <t>invernale
feriale sabato</t>
  </si>
  <si>
    <t>Tione-Ragoli-Trento</t>
  </si>
  <si>
    <t>non scolastica 
da lunedì a sabato</t>
  </si>
  <si>
    <t>non scolastica 
da lunedì a venerdì</t>
  </si>
  <si>
    <t>estiva 
da lunedì a giovedì</t>
  </si>
  <si>
    <t>Ala F.S. - Ronchi di Ala + (Ponzolotti)</t>
  </si>
  <si>
    <t>(Ponzolotti) + Ronchi di Ala - Ala F.S.</t>
  </si>
  <si>
    <t xml:space="preserve">scolastica 
da lunedì a venerdì; 
non scolastici 
solo lun-merc-ven  </t>
  </si>
  <si>
    <t>Kamauz - Canezza - Pergine
+1,8km prolungamento bar sole</t>
  </si>
  <si>
    <t xml:space="preserve">Terzolas Revò o 12.20 Terzolas Revò per turni alternati </t>
  </si>
  <si>
    <t>invernale 
da lun a sab 
(sospesa gg chiusura magazzino Melinda)</t>
  </si>
  <si>
    <t xml:space="preserve">Terzolas - Revò turno a giornata     </t>
  </si>
  <si>
    <t>invernale
da lunedì a venerdì (sospesa gg chiusura magazzino Melinda)</t>
  </si>
  <si>
    <t xml:space="preserve">Terzolas - Revò turno a giornata  </t>
  </si>
  <si>
    <t>Revò - Terzolas o 20.00 Terzolas - Revò per turni alternati</t>
  </si>
  <si>
    <t xml:space="preserve">Revò - Terzolas turno a giornata </t>
  </si>
  <si>
    <t>feriale 
da lunedì a venerdì corsa operai 
(sospesa gg chiusura magazzino Melinda)</t>
  </si>
  <si>
    <t>Vermiglio - Mezzana
(periodo NON di intensificazione: fino al 7/12 e dopo Pasqua circa)</t>
  </si>
  <si>
    <t>Fucine - Mezzana
(periodo di intensificazione: dal 8/12 a Pasqua circa)</t>
  </si>
  <si>
    <t>Ceniga-Dro - Sarche - Trento (corsa bis)</t>
  </si>
  <si>
    <t>Km  corsa/servizio</t>
  </si>
  <si>
    <t>Servizio a chiamata Elastibus del Chiese fino Tione 2^ navetta Elastibus Bondone)</t>
  </si>
  <si>
    <t>Servizio a chiamata Elastibus del Chiese fino Tione 1^ navetta Elastibus Pieve Bono)</t>
  </si>
  <si>
    <t>Vezzano -Vigo Cavedine-Drena</t>
  </si>
  <si>
    <t>Trento-Terlago-M.te Terlago-Ciago-Vezzano-Vigo Cavedine-Drena</t>
  </si>
  <si>
    <t>Baitoni-Riva</t>
  </si>
  <si>
    <t>Riva d.G-Ponte Arche</t>
  </si>
  <si>
    <t>Ponte Arche - Riva del Garda</t>
  </si>
  <si>
    <t>Ponte Arche - Riva d.G</t>
  </si>
  <si>
    <t>estiva 
dal lunedì al venerdì feriale</t>
  </si>
  <si>
    <t>invernale non scolastica 
feriale</t>
  </si>
  <si>
    <t>scolastica 
solo lunedì e postfest.</t>
  </si>
  <si>
    <t>Scolastica
venerdì+prefest. infrasett.</t>
  </si>
  <si>
    <t xml:space="preserve">Trento-Sover </t>
  </si>
  <si>
    <t xml:space="preserve">Trento-Fornace-Sover </t>
  </si>
  <si>
    <t>Luserna-Lavarone-Carbonare-Folgaria-Calliano-Rovereto,</t>
  </si>
  <si>
    <t>Raossi - Piano Vallarsa -P. Fugazze - Camposilvano</t>
  </si>
  <si>
    <t xml:space="preserve">Camposilvano - Speccheri  - Raossi </t>
  </si>
  <si>
    <t xml:space="preserve">Vanza - Anghebeni-S.Anna.-Anghebeni-Raossi </t>
  </si>
  <si>
    <t>feriale 
solo martedì mercoledì e venerdì</t>
  </si>
  <si>
    <t>Ala - Ronchi di Ala -Ponzolotti</t>
  </si>
  <si>
    <t>Ponzolotti - Ronchi di Ala -  Ala F.S.</t>
  </si>
  <si>
    <t>Garniga Vecchia- Garniga T. - Aldeno - Trento</t>
  </si>
  <si>
    <t>Pergine-Fierozzo-Palu' F.-S.Orsola-Pergine (estate ore 12.45)</t>
  </si>
  <si>
    <t>Portolo-Tuenno-Cles</t>
  </si>
  <si>
    <t>Lanza-Livo</t>
  </si>
  <si>
    <t>scolastica 
da martedì a venerdì 
(esclusi giorni postfest.)</t>
  </si>
  <si>
    <t>scolastica 
solo lunedì e posfest.</t>
  </si>
  <si>
    <t>scolastica 
da martedì a venerdì 
(esclusi giorni postfest)</t>
  </si>
  <si>
    <t>Albiano-Lases-Segonzano</t>
  </si>
  <si>
    <t>Cavalese - Tesero - Tesero Casa Riposo - Masi - Cavalese</t>
  </si>
  <si>
    <t>invernale feriale 
da lunedì a sabato 
(periodo intensificazione circa 20 dic- fine marzo)</t>
  </si>
  <si>
    <t>feriale invernale 
lun-ven-sab e gg. pre e postfest.
(non si effettua nel periodo di effettuazione 20 dic-fine marzo))</t>
  </si>
  <si>
    <t>Pergine - Bosentino-V.Vattaro</t>
  </si>
  <si>
    <t>Pergine - Caldonazzo-Luserna</t>
  </si>
  <si>
    <t>Trento - Vigolo Vattaro -Centa</t>
  </si>
  <si>
    <t>Mezzomonte-Guardia di Folgaria</t>
  </si>
  <si>
    <t>Pian delle Fugazze - Camposilvano- Speccheri- Raossi</t>
  </si>
  <si>
    <t>Ala-Serravalle-Chizzola-Ala</t>
  </si>
  <si>
    <t>Ala Fs-Serravalle-Chizzola-Pilcante</t>
  </si>
  <si>
    <t>invernale non scolastico lunedì-venerdì</t>
  </si>
  <si>
    <t>Trento- Giro Città-Nogarè-Baselga-Montesover</t>
  </si>
  <si>
    <t>scolastica 
solo sabato</t>
  </si>
  <si>
    <t>Hacleri-Canezza Bar al Sole-Pergine</t>
  </si>
  <si>
    <t>Hacleri-Pergine</t>
  </si>
  <si>
    <t>Mezzolombardo-Fai-
Andalo Maso Toscana</t>
  </si>
  <si>
    <t>invernale feriale
sabato</t>
  </si>
  <si>
    <t xml:space="preserve">Mezzolombardo - Nave s. Rocco - Trento </t>
  </si>
  <si>
    <t>Cles-Coredo-Merlonga-Sfruz</t>
  </si>
  <si>
    <t>Credaia-Sfruz-Tavon-Dermulo</t>
  </si>
  <si>
    <t>Sfruz-Tavon-Dermulo</t>
  </si>
  <si>
    <t>Dermulo-Tavon-Sfruz</t>
  </si>
  <si>
    <t>scolastica 
martedì-mercoledì-venerdì</t>
  </si>
  <si>
    <t xml:space="preserve">scolastica dal lunedì al giovedì </t>
  </si>
  <si>
    <t>Dermulo - Dambel - Cavareno - Don - Cavareno - Fondo</t>
  </si>
  <si>
    <t>Cles-Dermulo-Romeno-Fondo</t>
  </si>
  <si>
    <t>scolastica 
mart+merc+giov+ven</t>
  </si>
  <si>
    <t>Vermiglio-Stavel-Vallon-Passo Tonale</t>
  </si>
  <si>
    <t>Pellizzano-Castello-Menas</t>
  </si>
  <si>
    <t>Menas-Castello-Pellizzano</t>
  </si>
  <si>
    <t>Capriana-Grauno</t>
  </si>
  <si>
    <t>Scolastica
mart+merc</t>
  </si>
  <si>
    <t xml:space="preserve">scolastica 
lunedì </t>
  </si>
  <si>
    <t>Maso Gabard-Rizzolaga-Baselga</t>
  </si>
  <si>
    <t>Cembra - Scancio di Segonzano - Sevignano</t>
  </si>
  <si>
    <t>Capriana-Grumes-Valda
(prolungamento c.sa per S.Michele)</t>
  </si>
  <si>
    <t>Capriana-Grumese - Valda 
(prolungamento c.sa per S.Michele)</t>
  </si>
  <si>
    <t>Vezzano Apt- Margone</t>
  </si>
  <si>
    <t>Drena-Vigo Cavedine -Vezzano</t>
  </si>
  <si>
    <t>Vigo Cavedine - Vezzano -Trento</t>
  </si>
  <si>
    <t>Drena-Vigo Cavedine-Vezzano</t>
  </si>
  <si>
    <t>Monte Terlago - Cadine</t>
  </si>
  <si>
    <t>Tavodo-Andogno - S.Lorenzo in B.</t>
  </si>
  <si>
    <t>S.Lorenzo in B.-Tavodo</t>
  </si>
  <si>
    <t>Ponte Arche - Cares - Sesto bivio</t>
  </si>
  <si>
    <t xml:space="preserve">scolastica 
solo lunedì martedì e giovedì </t>
  </si>
  <si>
    <t>Castellir - Bellamonte-Predazzo</t>
  </si>
  <si>
    <t>Predazzo-Bellamonte - Castellir</t>
  </si>
  <si>
    <t>Civezzano Ist. De Carneri - Civezzano-Pergine V.</t>
  </si>
  <si>
    <t xml:space="preserve">Drena - Masi di Vigo C. -  Vigo Cavedine </t>
  </si>
  <si>
    <t>Vigo Cavedine - Masi di Vigio C. - Drena</t>
  </si>
  <si>
    <t>Trento - Monte Terlago (estate ore 18.40)</t>
  </si>
  <si>
    <t>Feriale 
estiva + no scuola</t>
  </si>
  <si>
    <t>Pieve di Bono-Storo-Riva</t>
  </si>
  <si>
    <t xml:space="preserve">Tiarno-Tremalzo bv.-Storo
</t>
  </si>
  <si>
    <t>Tiarno Off.Mariani-Bezzecca-Riva del Garda</t>
  </si>
  <si>
    <t>invernale 
solo sabato non scol.</t>
  </si>
  <si>
    <t>Ca' Rossa-Fontanedo-Tione-Istituto</t>
  </si>
  <si>
    <t>Vigo Cavedine - Masi di Vigo - Drena</t>
  </si>
  <si>
    <t>Maso Tingherla-Kamauz - Roveda Bivio</t>
  </si>
  <si>
    <t xml:space="preserve">Pergine-Hacleri </t>
  </si>
  <si>
    <t>Cavedago-Fai-Andalo-Molveno</t>
  </si>
  <si>
    <t>Celentino Bivio - Strombiano - Celentino Paese</t>
  </si>
  <si>
    <t>Loc. Ruc Riccomassimo-Lodrone</t>
  </si>
  <si>
    <t>5</t>
  </si>
  <si>
    <t>Ponte Caffaro-Storo-Baitoni</t>
  </si>
  <si>
    <t>Raossi - Vanza (in estate ore 10.35)</t>
  </si>
  <si>
    <t>Roncegno giro Masi - Borgo Vals.
  la partenza ad ore 8.00 solo mesi di luglio e agosto (con orario estivo giu e set ore 9.00)</t>
  </si>
  <si>
    <t>Molveno-Fai-Mezzocorona</t>
  </si>
  <si>
    <t>Mezzocorona-Spormaggiore-Molveno</t>
  </si>
  <si>
    <t>Maso S. Lorenzo - S. Felice  Fierozzo</t>
  </si>
  <si>
    <t>Rovereto - Pozzacchio</t>
  </si>
  <si>
    <t>Invernale
sabato</t>
  </si>
  <si>
    <t>Riva del Garda - Ponte Arche</t>
  </si>
  <si>
    <t>nr. gg</t>
  </si>
  <si>
    <t>scolastica 
solo lun+mer</t>
  </si>
  <si>
    <t>feriale 
da martedì a sabato</t>
  </si>
  <si>
    <t>scolastica 
lunedì (settimane pari)</t>
  </si>
  <si>
    <t xml:space="preserve">Vigo Cavedine - Drena </t>
  </si>
  <si>
    <t>DITTA</t>
  </si>
  <si>
    <t>MDL s.r.l.</t>
  </si>
  <si>
    <t xml:space="preserve">S. DUE DI SARTORELLI  LUCA </t>
  </si>
  <si>
    <t>DMG</t>
  </si>
  <si>
    <t>M.G.M. DI CASARI MARCO</t>
  </si>
  <si>
    <t>FERSINA TOUR S.R.L</t>
  </si>
  <si>
    <t xml:space="preserve">MONAUNI CARLO S.N.C. DI MONAUNI GERARDO E C. </t>
  </si>
  <si>
    <t xml:space="preserve">VPT SRL </t>
  </si>
  <si>
    <t xml:space="preserve">PERINI FRANCO </t>
  </si>
  <si>
    <t>AUTONOLEGGIO DI GUADAGNINI FERDINANDO E ZAMPIERI DAVID S.N.C.</t>
  </si>
  <si>
    <t xml:space="preserve">SIGNORI SI PARTE DI DONINI IORAM </t>
  </si>
  <si>
    <t>GROFF TOUR DI TATTI CARLA</t>
  </si>
  <si>
    <t>GROFF PAOLO</t>
  </si>
  <si>
    <t>AUTONOLEGGI VISINTAINER di VISINTAINER FRANCESCO</t>
  </si>
  <si>
    <t>ITALBUS S.N.C. DI CASAGRANDE ARMANDO E CHRISTIAN &amp; C.</t>
  </si>
  <si>
    <t>GROFF  ALFREDO</t>
  </si>
  <si>
    <t>x</t>
  </si>
  <si>
    <t xml:space="preserve">Pineta Faedo-S.Michele-Mezzocorona </t>
  </si>
  <si>
    <t xml:space="preserve">PAOLAT GROUP SNC DI PAOLAT GIORGIO &amp; C. </t>
  </si>
  <si>
    <t>VITO DI PEDRON VITTORIA</t>
  </si>
  <si>
    <t>OSCAR VIAGGI DI FORMOLO OSCAR</t>
  </si>
  <si>
    <t>TAXI  ZETA DI ZAMPIERI SERGIO</t>
  </si>
  <si>
    <t>DESILVESTRO TAXI E VIAGGI SRL</t>
  </si>
  <si>
    <t>HOTEL AL BIVIO SRL</t>
  </si>
  <si>
    <t xml:space="preserve">ZAMPEDRI STEFANO </t>
  </si>
  <si>
    <t>SARCATOUR s.r.l.</t>
  </si>
  <si>
    <t>TRENTINOBUS SRL</t>
  </si>
  <si>
    <t>SOLETANA VIAGGI S.R.L.</t>
  </si>
  <si>
    <t>PEDERZOLLI DENIS</t>
  </si>
  <si>
    <t>CLUB DELLAI S.R.L.</t>
  </si>
  <si>
    <t>NICE srl</t>
  </si>
  <si>
    <t>RIGOTTI FLAVIO</t>
  </si>
  <si>
    <t>FABIO VIAGGI SRL</t>
  </si>
  <si>
    <t>AUTONOLEGGI FILIPPI S.R.L. UNIPERSONALE</t>
  </si>
  <si>
    <t>FRUNER VIAGGI IN EUROPA DI FRUNER TATIANA E SIMONE FRUNER SAS</t>
  </si>
  <si>
    <t xml:space="preserve">AUTOSERVIZI MATTUZZI CLAUDIO &amp; C. S.N.C. </t>
  </si>
  <si>
    <t xml:space="preserve">MAESTRI AUGUSTO &amp; C. S.N.C. </t>
  </si>
  <si>
    <t xml:space="preserve">EUROTOUR SERVICE (IN SIGLA E.T.S.) DI AZZOLINI LUCA &amp; C. S.N.C. </t>
  </si>
  <si>
    <t>TN SERVICE LORENZI A CAPITALE RIDOTTO S.R.L. DI TAVELLI ANDREA</t>
  </si>
  <si>
    <t>BUS MANIA srl</t>
  </si>
  <si>
    <t>AUTOFFICINA LUNELLI DI LUNELLI STEFANO &amp; C. S.N.C.</t>
  </si>
  <si>
    <t xml:space="preserve">STENGHELE SRL  </t>
  </si>
  <si>
    <t>TOMA SPEED DI TOMASELLI PIERGIORGIO</t>
  </si>
  <si>
    <t>AUTONOLEGGI PEGORARO S.N.C. di PEGORARO LUCIANO &amp; C.</t>
  </si>
  <si>
    <t>ANDREOLLI FRANCO</t>
  </si>
  <si>
    <t>AUTOSERVIZI ANDREOLLI SNC DI ANDREOLLI PAOLO &amp; C.</t>
  </si>
  <si>
    <t>VALDUGA FRANCESCO</t>
  </si>
  <si>
    <t>PEDRINOLLA GRAZIANO s.r.l.</t>
  </si>
  <si>
    <t xml:space="preserve">TOLLER S.N.C. DI TOLLER CALLISTO E C. </t>
  </si>
  <si>
    <t>TODESCHI AUTONOLEGGI SRL</t>
  </si>
  <si>
    <t xml:space="preserve">BUS MANIA SRL </t>
  </si>
  <si>
    <t>PEDRINOLLA FABRIZIO</t>
  </si>
  <si>
    <t>MARTINA MATTEO</t>
  </si>
  <si>
    <t xml:space="preserve">MARTINA MATTEO </t>
  </si>
  <si>
    <t>MARGON DIEGO</t>
  </si>
  <si>
    <t>ANGELI CAMILLO</t>
  </si>
  <si>
    <t xml:space="preserve">SVALDI PIERINO </t>
  </si>
  <si>
    <t>FONTANARI SERGIO</t>
  </si>
  <si>
    <t>VALBUS S.R.L.</t>
  </si>
  <si>
    <t>PERGBUS DI FUCHS MARIO E C. S.N.C.</t>
  </si>
  <si>
    <t>PLANCHEL RENATO</t>
  </si>
  <si>
    <t xml:space="preserve">ERIKA TOURS SRL </t>
  </si>
  <si>
    <t>GENZIANA S.r.l.</t>
  </si>
  <si>
    <t>VIAGGI FORMOLO S.A.S. DI FORMOLO ANGELO &amp; C.</t>
  </si>
  <si>
    <t xml:space="preserve">VIAGGI CICOLINI S.R.L .  </t>
  </si>
  <si>
    <t>ALPINABUS DI MARTINTONI MAURO</t>
  </si>
  <si>
    <t>FIABA VIAGGI SNC DI FANTI MILVA</t>
  </si>
  <si>
    <t xml:space="preserve">BUCELLA IVANO </t>
  </si>
  <si>
    <t>VIAGGI CORNELIO DI FLESSATI NICOLA E C. S.N.C.</t>
  </si>
  <si>
    <t>BIANCANEVE VIAGGI DI
 DALLATORRE MARCO</t>
  </si>
  <si>
    <t xml:space="preserve">TONALE VIAGGI DI PANIZZA CLAUDIO </t>
  </si>
  <si>
    <t xml:space="preserve">TAXI-MINIBUS-AUTOBUS PANIZZA S.A.S. DI ZENDELI ILIR </t>
  </si>
  <si>
    <t>PATERNOSTER LORENZO</t>
  </si>
  <si>
    <t>FE856YK</t>
  </si>
  <si>
    <t>FM492NR</t>
  </si>
  <si>
    <t>FN174MX</t>
  </si>
  <si>
    <t>FF721CS</t>
  </si>
  <si>
    <t>FX036WC</t>
  </si>
  <si>
    <t>EV877GJ</t>
  </si>
  <si>
    <t>GG128PN</t>
  </si>
  <si>
    <t>FT942AZ</t>
  </si>
  <si>
    <t>FN299MX</t>
  </si>
  <si>
    <t>CS792NG</t>
  </si>
  <si>
    <t>FG405XM</t>
  </si>
  <si>
    <t>bacino 2 estate 2021</t>
  </si>
  <si>
    <t>NUOVA</t>
  </si>
  <si>
    <t>inverno</t>
  </si>
  <si>
    <t>estate</t>
  </si>
  <si>
    <t>lun</t>
  </si>
  <si>
    <t>mart</t>
  </si>
  <si>
    <t>merc</t>
  </si>
  <si>
    <t>giov</t>
  </si>
  <si>
    <t>ven</t>
  </si>
  <si>
    <t>sab</t>
  </si>
  <si>
    <t>fest</t>
  </si>
  <si>
    <t>postfest</t>
  </si>
  <si>
    <t>prefest</t>
  </si>
  <si>
    <t>fer</t>
  </si>
  <si>
    <t>scol</t>
  </si>
  <si>
    <t>estiva da lun a sab (sospesa gg chiusura magazzino Melinda)</t>
  </si>
  <si>
    <t>estiva da lunedì a venerdì corsa operai (sospesa gg chiusura magazzino Melinda)</t>
  </si>
  <si>
    <t>non scol lun</t>
  </si>
  <si>
    <t>non scol mart</t>
  </si>
  <si>
    <t>non scol merc</t>
  </si>
  <si>
    <t>non scol giov</t>
  </si>
  <si>
    <t>non scol ven</t>
  </si>
  <si>
    <t>non scol sab</t>
  </si>
  <si>
    <t>no postfest</t>
  </si>
  <si>
    <t>MEZZO TITOLARE</t>
  </si>
  <si>
    <t>posti mezzo titolare</t>
  </si>
  <si>
    <t>FP041BC</t>
  </si>
  <si>
    <t>GA014HT</t>
  </si>
  <si>
    <t>18</t>
  </si>
  <si>
    <t>FT016JR</t>
  </si>
  <si>
    <t>FZ904BE</t>
  </si>
  <si>
    <t>FW770WP</t>
  </si>
  <si>
    <t>FZ556KF</t>
  </si>
  <si>
    <t>FF887CS</t>
  </si>
  <si>
    <t>FN113MX</t>
  </si>
  <si>
    <t>FX671LT</t>
  </si>
  <si>
    <t>ER906KZ</t>
  </si>
  <si>
    <t>FG831XD</t>
  </si>
  <si>
    <t>FN589MX</t>
  </si>
  <si>
    <t>FL778HC</t>
  </si>
  <si>
    <t>FC208RJ</t>
  </si>
  <si>
    <t>GF141FZ</t>
  </si>
  <si>
    <t xml:space="preserve"> GF141FZ</t>
  </si>
  <si>
    <t>FR770WP</t>
  </si>
  <si>
    <t>GE316VX</t>
  </si>
  <si>
    <t>FN483MX</t>
  </si>
  <si>
    <t>ER857KZ</t>
  </si>
  <si>
    <t xml:space="preserve"> ED494MM</t>
  </si>
  <si>
    <t>ES852SX</t>
  </si>
  <si>
    <t>FF899CS</t>
  </si>
  <si>
    <t>FN117MX</t>
  </si>
  <si>
    <t>FF723CS</t>
  </si>
  <si>
    <t>FZ047KX</t>
  </si>
  <si>
    <t xml:space="preserve"> GC807JF</t>
  </si>
  <si>
    <t>GC807JF</t>
  </si>
  <si>
    <t>FT217LV</t>
  </si>
  <si>
    <t>FE926YK</t>
  </si>
  <si>
    <t>EV659LA</t>
  </si>
  <si>
    <t>FZ000KS</t>
  </si>
  <si>
    <t>FZ894BE</t>
  </si>
  <si>
    <t>FZ898BE</t>
  </si>
  <si>
    <t>FZ906BE</t>
  </si>
  <si>
    <t>FE205HG</t>
  </si>
  <si>
    <t>EY732LP</t>
  </si>
  <si>
    <t>GA996ER</t>
  </si>
  <si>
    <t>FR777WP</t>
  </si>
  <si>
    <t>GG078PN</t>
  </si>
  <si>
    <t>FN293MX</t>
  </si>
  <si>
    <t>FC109RJ</t>
  </si>
  <si>
    <t>FY964HP</t>
  </si>
  <si>
    <t>FW755WP</t>
  </si>
  <si>
    <t>FW720WP</t>
  </si>
  <si>
    <t>FS198ZG</t>
  </si>
  <si>
    <t>FS248ZL</t>
  </si>
  <si>
    <t>FC395RJ</t>
  </si>
  <si>
    <t>GA057TM</t>
  </si>
  <si>
    <t>GH502KX</t>
  </si>
  <si>
    <t>EZ997DM</t>
  </si>
  <si>
    <t>GC624CS</t>
  </si>
  <si>
    <t>FY975HP</t>
  </si>
  <si>
    <t>FL561HC</t>
  </si>
  <si>
    <t>GE457VX</t>
  </si>
  <si>
    <t>FB913BJ</t>
  </si>
  <si>
    <t>FZ987BE</t>
  </si>
  <si>
    <t>GA701ER</t>
  </si>
  <si>
    <t>FG050NA</t>
  </si>
  <si>
    <t>FB997BJ</t>
  </si>
  <si>
    <t>FR892WP</t>
  </si>
  <si>
    <t>EK946GV</t>
  </si>
  <si>
    <t>FW907WP</t>
  </si>
  <si>
    <t>EP445NZ</t>
  </si>
  <si>
    <t>EK645JA</t>
  </si>
  <si>
    <t>FF601CS</t>
  </si>
  <si>
    <t>FL557HC</t>
  </si>
  <si>
    <t>EH342PM</t>
  </si>
  <si>
    <t>FN568MX</t>
  </si>
  <si>
    <t>FE091HG</t>
  </si>
  <si>
    <t>GA938ER</t>
  </si>
  <si>
    <t>GE347VX</t>
  </si>
  <si>
    <t>GA984ER</t>
  </si>
  <si>
    <t>FN426MX</t>
  </si>
  <si>
    <t>GE453VX</t>
  </si>
  <si>
    <t>GE452VX</t>
  </si>
  <si>
    <t>GC658CS</t>
  </si>
  <si>
    <t>GC466NL</t>
  </si>
  <si>
    <t>GJ181FP</t>
  </si>
  <si>
    <t>EW959KB</t>
  </si>
  <si>
    <t>FV001FA</t>
  </si>
  <si>
    <t>FC321RJ</t>
  </si>
  <si>
    <t xml:space="preserve">Ville-Palù di Giovo-Cembra </t>
  </si>
  <si>
    <t>GH464KX</t>
  </si>
  <si>
    <t>FS184ZG</t>
  </si>
  <si>
    <t>EL182VV</t>
  </si>
  <si>
    <t>EV696LA</t>
  </si>
  <si>
    <t>ET415HZ</t>
  </si>
  <si>
    <t>GH078PC</t>
  </si>
  <si>
    <t>FA893GW</t>
  </si>
  <si>
    <t>FT944AZ</t>
  </si>
  <si>
    <t>FE022HG</t>
  </si>
  <si>
    <t xml:space="preserve"> EP148JJ </t>
  </si>
  <si>
    <t>FE293HG</t>
  </si>
  <si>
    <t>EJ941ZA</t>
  </si>
  <si>
    <t>FR781WP</t>
  </si>
  <si>
    <t>ED930MM</t>
  </si>
  <si>
    <t xml:space="preserve"> GE371BA</t>
  </si>
  <si>
    <t>FJ988YE</t>
  </si>
  <si>
    <t>GH106PC</t>
  </si>
  <si>
    <t>FF891CS</t>
  </si>
  <si>
    <t>EN920NH</t>
  </si>
  <si>
    <t>FL934HC</t>
  </si>
  <si>
    <t>GE439VX</t>
  </si>
  <si>
    <t>GH441KX</t>
  </si>
  <si>
    <t>GH658ZZ</t>
  </si>
  <si>
    <t>FV524FA</t>
  </si>
  <si>
    <t>GG613WS</t>
  </si>
  <si>
    <t>GA007TD</t>
  </si>
  <si>
    <t>EW749GD</t>
  </si>
  <si>
    <t>FA989GW</t>
  </si>
  <si>
    <t>FP560ED</t>
  </si>
  <si>
    <t>Trento-Sover-Cavalese</t>
  </si>
  <si>
    <t>Trento-Cembra-Cavalese</t>
  </si>
  <si>
    <t>FH845YZ</t>
  </si>
  <si>
    <t>ET848ZJ</t>
  </si>
  <si>
    <t>FW821WP</t>
  </si>
  <si>
    <t>FR952WP</t>
  </si>
  <si>
    <t>FK791WG</t>
  </si>
  <si>
    <t>FA895BD</t>
  </si>
  <si>
    <t>EV936EW</t>
  </si>
  <si>
    <t>FL596HC</t>
  </si>
  <si>
    <t>FV978FS</t>
  </si>
  <si>
    <t>FC188RJ</t>
  </si>
  <si>
    <t>ET984ZJ</t>
  </si>
  <si>
    <t>ER716KZ</t>
  </si>
  <si>
    <t xml:space="preserve">FT534CV </t>
  </si>
  <si>
    <t xml:space="preserve">
FZ889KY
</t>
  </si>
  <si>
    <t>FJ097PL</t>
  </si>
  <si>
    <t>FB912BJ</t>
  </si>
  <si>
    <t>EX903HC</t>
  </si>
  <si>
    <t xml:space="preserve"> EX903HC</t>
  </si>
  <si>
    <t>GA903ER</t>
  </si>
  <si>
    <t>ER747KZ</t>
  </si>
  <si>
    <t>EZ827RB</t>
  </si>
  <si>
    <t>EZ779XL</t>
  </si>
  <si>
    <t>EZ943DM</t>
  </si>
  <si>
    <t>FY833HP</t>
  </si>
  <si>
    <t>GA901ZZ</t>
  </si>
  <si>
    <t>FN025MX</t>
  </si>
  <si>
    <t>EJ940ZA</t>
  </si>
  <si>
    <t>FW832WP</t>
  </si>
  <si>
    <t>EC937AD</t>
  </si>
  <si>
    <t>GC420NL</t>
  </si>
  <si>
    <t>FZ833BE</t>
  </si>
  <si>
    <t>FH993YZ</t>
  </si>
  <si>
    <t>GG015PN</t>
  </si>
  <si>
    <t xml:space="preserve"> FL916HC</t>
  </si>
  <si>
    <t xml:space="preserve"> FE599HG</t>
  </si>
  <si>
    <t>EW792KB</t>
  </si>
  <si>
    <t>FH992YZ</t>
  </si>
  <si>
    <t>FR981TK</t>
  </si>
  <si>
    <t>EX037JY</t>
  </si>
  <si>
    <t>ED726MM</t>
  </si>
  <si>
    <t>GH569KX</t>
  </si>
  <si>
    <t>GK228BZ</t>
  </si>
  <si>
    <t>FZ783BE</t>
  </si>
  <si>
    <t>57+18 in piedi</t>
  </si>
  <si>
    <t>GG487PS</t>
  </si>
  <si>
    <t>COSTO CTA ex lotto 1</t>
  </si>
  <si>
    <t>COSTO CTA ex lotto 2</t>
  </si>
  <si>
    <t>forfait ex lotto 2</t>
  </si>
  <si>
    <t>integrazione</t>
  </si>
  <si>
    <t xml:space="preserve">COSTO GIORNALIERO FORFAIT x + CORSE  </t>
  </si>
  <si>
    <t>cod integr 1</t>
  </si>
  <si>
    <t>cod integr 2</t>
  </si>
  <si>
    <t>cod integr 3</t>
  </si>
  <si>
    <t>cod integr 4</t>
  </si>
  <si>
    <t>cod integr 5</t>
  </si>
  <si>
    <t>cod integr 6</t>
  </si>
  <si>
    <t>cod integr 7</t>
  </si>
  <si>
    <t>cod integr 8</t>
  </si>
  <si>
    <t>cod integr 9</t>
  </si>
  <si>
    <t>cod integr 10</t>
  </si>
  <si>
    <t>cod integr 11</t>
  </si>
  <si>
    <t>cod integr 12</t>
  </si>
  <si>
    <t>MARTINA MATTEO 1</t>
  </si>
  <si>
    <t>MARTINA MATTEO 2</t>
  </si>
  <si>
    <t xml:space="preserve">COSTO ANNUO 12 mesi FORFAIT x + CORSE  </t>
  </si>
  <si>
    <t>PEDRINOLLA GRAZIANO s.r.l. 1</t>
  </si>
  <si>
    <t>PEDRINOLLA GRAZIANO s.r.l. 2</t>
  </si>
  <si>
    <t>PERINI FRANCO 1</t>
  </si>
  <si>
    <t>PERINI FRANCO 2</t>
  </si>
  <si>
    <t>PERINI FRANCO 3</t>
  </si>
  <si>
    <t>PERINI FRANCO 4</t>
  </si>
  <si>
    <t>SOLETANA VIAGGI S.R.L. 1</t>
  </si>
  <si>
    <t>SOLETANA VIAGGI S.R.L. 2</t>
  </si>
  <si>
    <t>MAESTRI AUGUSTO &amp; C. S.N.C.  Forfait</t>
  </si>
  <si>
    <t>SOLETANA VIAGGI S.R.L. 3</t>
  </si>
  <si>
    <t>SOLETANA VIAGGI S.R.L. 4</t>
  </si>
  <si>
    <t>TRENTINOBUS SRL forfait</t>
  </si>
  <si>
    <t>COSTO CTA NUOVA</t>
  </si>
  <si>
    <t>costo annuo ex lotto 2</t>
  </si>
  <si>
    <t>forfait Giudicarie estivo</t>
  </si>
  <si>
    <t>gg</t>
  </si>
  <si>
    <t>mesi</t>
  </si>
  <si>
    <t>costo annuo Giudicarie estivo</t>
  </si>
  <si>
    <t>anno</t>
  </si>
  <si>
    <t>costo annuo ex lotto1</t>
  </si>
  <si>
    <t>Integr GIORNALIERA ex lotto 2</t>
  </si>
  <si>
    <t>Integr MENSILE 10 mesi ex lotto 1</t>
  </si>
  <si>
    <t>costo annuo ex lotto2</t>
  </si>
  <si>
    <t xml:space="preserve"> FN744MW</t>
  </si>
  <si>
    <t>EL182VV GH464KX (9)</t>
  </si>
  <si>
    <t>fascia capienza mezzi</t>
  </si>
  <si>
    <t>Veronza - Aguai - Carano - Cavalese</t>
  </si>
  <si>
    <t>Penedallo-Bosco-Civezzano-Trento</t>
  </si>
  <si>
    <t>Bellamonte - Predazzo</t>
  </si>
  <si>
    <t>feriale estiva</t>
  </si>
  <si>
    <t>invernale + estiva
lunedì-sabato</t>
  </si>
  <si>
    <t>Monte Terlago - Terlago - Trento</t>
  </si>
  <si>
    <t xml:space="preserve">S.Lorenzo in Banale - Villa Banale - Ponte Arche </t>
  </si>
  <si>
    <t>Luserna - Caldonazzo - Pergine</t>
  </si>
  <si>
    <t>feriale invernale
da lunedì a venerdì</t>
  </si>
  <si>
    <t>invernale scolastico
lunedì-sabato</t>
  </si>
  <si>
    <t xml:space="preserve">scolastica 
solo martedì </t>
  </si>
  <si>
    <t>scolastica 
solo giovedì</t>
  </si>
  <si>
    <t>feriale invernale</t>
  </si>
  <si>
    <t xml:space="preserve">Terzolas Revò o 12.15 Terzolas Revò per turni alternati </t>
  </si>
  <si>
    <t>FF182VP</t>
  </si>
  <si>
    <t>AUMENTO € 2,00 9-35 POSTI ex lotto1</t>
  </si>
  <si>
    <t>AUMENTO € 2,00 9-35 POSTI ex lotto2</t>
  </si>
  <si>
    <t>AUMENTO € 3,00 36-60 POSTI ex lotto1</t>
  </si>
  <si>
    <t>AUMENTO € 3,00 36-60 POSTI ex lotto2</t>
  </si>
  <si>
    <t>Fornace - Pian del Gacc (ore 14:00 part. il sabato)</t>
  </si>
  <si>
    <t>Civezzano Ist. De Carneri - 7:12 Civezzano-Pergine V.</t>
  </si>
  <si>
    <t>(Ponzolotti)+Ronchi di Ala - Ala F.S.</t>
  </si>
  <si>
    <t>274/275</t>
  </si>
  <si>
    <t>276/277</t>
  </si>
  <si>
    <t>278/279</t>
  </si>
  <si>
    <t>Lausen polo scol. - Canal S.Bovo - Ronco Chiesa</t>
  </si>
  <si>
    <t>518/509</t>
  </si>
  <si>
    <t>Lover - Dercolo-Cles (tratta Lover - Dercolo extracap.)</t>
  </si>
  <si>
    <t>197/198</t>
  </si>
  <si>
    <t>Loc. Roncio - Mezzana FTM</t>
  </si>
  <si>
    <t>NUOVA PREV. N. 02/2022</t>
  </si>
  <si>
    <t>FB779BJ</t>
  </si>
  <si>
    <t>EX946HC</t>
  </si>
  <si>
    <t>GK152EV</t>
  </si>
  <si>
    <t>Vestone - Tione</t>
  </si>
  <si>
    <t>Festiva invernale</t>
  </si>
  <si>
    <t>invernale lunedì-venerdì</t>
  </si>
  <si>
    <t>FR792WP</t>
  </si>
  <si>
    <t>SRT S.R.L.</t>
  </si>
  <si>
    <t>FE259HG</t>
  </si>
  <si>
    <t>FD479MP</t>
  </si>
  <si>
    <t>FF736CS</t>
  </si>
  <si>
    <t>FG976XM</t>
  </si>
  <si>
    <t>FX671LT + FR784WP</t>
  </si>
  <si>
    <t>30 + 21</t>
  </si>
  <si>
    <t>GJ571MK</t>
  </si>
  <si>
    <t>GJ553MK</t>
  </si>
  <si>
    <t xml:space="preserve">S.Giacomo - Brentonico </t>
  </si>
  <si>
    <t>FL716HC</t>
  </si>
  <si>
    <t>Cis - Cles</t>
  </si>
  <si>
    <t>Cis - Cles + Sc. Medie (+2° mezzo 7:12 Cis - 7:17 Mostizzolo)</t>
  </si>
  <si>
    <t>aggiornato percorso</t>
  </si>
  <si>
    <t xml:space="preserve">FZ889KY + FJ097PL
</t>
  </si>
  <si>
    <t>24 + 21</t>
  </si>
  <si>
    <t>Pozza di Fassa - Trento Autost.</t>
  </si>
  <si>
    <t>scolastica di venerdì a settimane alterne</t>
  </si>
  <si>
    <t>DOLOMITI RENT A CAR S.N.C. DI ROMOR MARSHA &amp; C.</t>
  </si>
  <si>
    <t>NUOVA PREV. N. 03/2022</t>
  </si>
  <si>
    <t>VIAGGI VALFASSA S.R.L.</t>
  </si>
  <si>
    <t>FR797WP</t>
  </si>
  <si>
    <t>Trento Autost. - Pozza di Fassa</t>
  </si>
  <si>
    <t>festivi esclusi precedenti a vacanza scol a settimane alterne</t>
  </si>
  <si>
    <t>Scolastica lun+gio+ven</t>
  </si>
  <si>
    <t>dal 26/09/2022 era solo mar+mer</t>
  </si>
  <si>
    <t>Prolungamento Fiavè loc. Curè - Favrio-Cornelle-Fiavè</t>
  </si>
  <si>
    <t>scolastica mercoledì</t>
  </si>
  <si>
    <t>dal 28/09/2022 era solo lu+ma+gio</t>
  </si>
  <si>
    <t>Ala F.S. - Ronchi di Ala prolungamento per fermata loc. Rocca</t>
  </si>
  <si>
    <t>frequenza</t>
  </si>
  <si>
    <t>annuale feriale sab</t>
  </si>
  <si>
    <t>annuale feriale lu-ve</t>
  </si>
  <si>
    <t>scolastica lu-ve</t>
  </si>
  <si>
    <t>invernale festiva</t>
  </si>
  <si>
    <t>estiva festiva</t>
  </si>
  <si>
    <t>scolastica lu, ma, me, gio</t>
  </si>
  <si>
    <t>scolastica lu-sa</t>
  </si>
  <si>
    <t>estiva feriale lu-sa</t>
  </si>
  <si>
    <t>invernale feriale lu-ve</t>
  </si>
  <si>
    <t>estiva feriale lu-ve</t>
  </si>
  <si>
    <t>invernale feriale no scol lu-sa</t>
  </si>
  <si>
    <t>scolastica sab</t>
  </si>
  <si>
    <t>invernale feriale lu-sa</t>
  </si>
  <si>
    <t>annuale feriale lu-sa</t>
  </si>
  <si>
    <t>annuale feriale ma, me, gio, ve, sab</t>
  </si>
  <si>
    <t>annuale festiva</t>
  </si>
  <si>
    <t>scolastica ma, me</t>
  </si>
  <si>
    <t>scolastica ma</t>
  </si>
  <si>
    <t>estiva feriale lu-sa + no scol lu-ve</t>
  </si>
  <si>
    <t>estiva feriale sab</t>
  </si>
  <si>
    <t>scolastica lu</t>
  </si>
  <si>
    <t>scolastica ve</t>
  </si>
  <si>
    <t>scolastica ma, gio</t>
  </si>
  <si>
    <t>scolastica lu + postfest</t>
  </si>
  <si>
    <t>scolastica ve + prefest</t>
  </si>
  <si>
    <t>annuale feriale me</t>
  </si>
  <si>
    <t>scolastica ma, me, gio, ve (no postfest)</t>
  </si>
  <si>
    <t>invernale feriale sab</t>
  </si>
  <si>
    <t>estiva feriale lu, me, gio</t>
  </si>
  <si>
    <t>scolastica lu sett. Pari</t>
  </si>
  <si>
    <t>estiva feriale lu-sa + no scol lu-sa</t>
  </si>
  <si>
    <t>scolastica lu, me, ve</t>
  </si>
  <si>
    <t>scolastica lu, ma, me, ve</t>
  </si>
  <si>
    <t>scolastica lu, ma, gio, ve</t>
  </si>
  <si>
    <t>invernale feriale no scol lu-ve</t>
  </si>
  <si>
    <t>scolastica ve, sa</t>
  </si>
  <si>
    <t>scolastica ma, gio, ve</t>
  </si>
  <si>
    <t>scolastica gio, ve</t>
  </si>
  <si>
    <t>scolastica lu, me</t>
  </si>
  <si>
    <t>scolastica lu, ma, me</t>
  </si>
  <si>
    <t>invernale feriale ven</t>
  </si>
  <si>
    <t>estiva feriale gio</t>
  </si>
  <si>
    <t>estiva feriale lu-gio</t>
  </si>
  <si>
    <t>invernale feriale gio</t>
  </si>
  <si>
    <t>estiva feriale ma</t>
  </si>
  <si>
    <t>invernale feriale ma</t>
  </si>
  <si>
    <t>annuale feriale ma</t>
  </si>
  <si>
    <t>annuale feriale lu, gio</t>
  </si>
  <si>
    <t>annuale feriale ma, me, ve</t>
  </si>
  <si>
    <t>invernale feriale ma, gio</t>
  </si>
  <si>
    <t>scolastica lu-ve + non scol lu, me, ve</t>
  </si>
  <si>
    <t>annuale feriale gio</t>
  </si>
  <si>
    <t>estiva feriale lu, me</t>
  </si>
  <si>
    <t>invernale feriale lu, me</t>
  </si>
  <si>
    <t>scolastica ma, me, ve</t>
  </si>
  <si>
    <t>scolastica gio</t>
  </si>
  <si>
    <t>scolastica ma, gio, ve, sab</t>
  </si>
  <si>
    <t>scolastica lu, me, gio, ve</t>
  </si>
  <si>
    <t>estiva feriale me (solo 2° e 4° mese)</t>
  </si>
  <si>
    <t>annuale feriale ma, ve</t>
  </si>
  <si>
    <t>scolastica ma, me, gio, ve</t>
  </si>
  <si>
    <t>scolastica ve a settimane alterne</t>
  </si>
  <si>
    <t>scolastica festiva a settimane alterne</t>
  </si>
  <si>
    <t>scolastica lu, gio, ve</t>
  </si>
  <si>
    <t>scolastica me</t>
  </si>
  <si>
    <t>n° righe capitolato: 928</t>
  </si>
  <si>
    <t>frequenza corretta da capitolato</t>
  </si>
  <si>
    <t>km corretti da capitolato</t>
  </si>
  <si>
    <t>variazione da capitolato</t>
  </si>
  <si>
    <t>variazione km capitolato</t>
  </si>
  <si>
    <t>EX673MT</t>
  </si>
  <si>
    <t>ED770MM 9 pp + FZ898BE 55pp</t>
  </si>
  <si>
    <t>Prolungamento Storo Sp.69 (km 2) - Ca' Rossa</t>
  </si>
  <si>
    <t>MARTINA MATTEO 3</t>
  </si>
  <si>
    <t>MARTINA MATTEO 4</t>
  </si>
  <si>
    <t>65 bis</t>
  </si>
  <si>
    <t>66 bis</t>
  </si>
  <si>
    <t>67 bis</t>
  </si>
  <si>
    <t>FN744MW</t>
  </si>
  <si>
    <t>scolastica di lunedì, mercoledì e venerdì</t>
  </si>
  <si>
    <t>scolastica di martedì e giovedì</t>
  </si>
  <si>
    <t>AUTOSERVIZI MATTUZZI CLAUDIO &amp; C. S.N.C.</t>
  </si>
  <si>
    <t>169 bis</t>
  </si>
  <si>
    <t>170 bis</t>
  </si>
  <si>
    <t>Estiva
lunedì-sabato a mesi alterni</t>
  </si>
  <si>
    <t>420 bis</t>
  </si>
  <si>
    <t>423 bis</t>
  </si>
  <si>
    <t>432 bis</t>
  </si>
  <si>
    <t>435 bis</t>
  </si>
  <si>
    <t>445 bis</t>
  </si>
  <si>
    <t>Estiva lunedì-venerdì</t>
  </si>
  <si>
    <t>Estiva sabato</t>
  </si>
  <si>
    <t>MAESTRI AUGUSTO &amp; C. S.N.C.</t>
  </si>
  <si>
    <t>454 bis</t>
  </si>
  <si>
    <t>551 bis</t>
  </si>
  <si>
    <t>scolastica a mesi alterni
da lunedì a venerdì</t>
  </si>
  <si>
    <t>STENGHELE SRL</t>
  </si>
  <si>
    <t>GJ549MK</t>
  </si>
  <si>
    <t>746 bis</t>
  </si>
  <si>
    <t>scolastica il sabato</t>
  </si>
  <si>
    <t>802 bis</t>
  </si>
  <si>
    <t>803 bis</t>
  </si>
  <si>
    <t>VIAGGI CICOLINI S.R.L .</t>
  </si>
  <si>
    <t>ERIKA TOURS SRL</t>
  </si>
  <si>
    <t>TAXI VIAGGI VALENTINELLI DI VALENTINELLI GIORGIO &amp; C. SNC</t>
  </si>
  <si>
    <t>Integr corse nuove</t>
  </si>
  <si>
    <t>Integrazione 20 euro &lt;7:00</t>
  </si>
  <si>
    <t>Tres (Predaia)-via Predaia inc. v. Tavana</t>
  </si>
  <si>
    <t>tot forfait annuo</t>
  </si>
  <si>
    <t>tot integrazioni annue</t>
  </si>
  <si>
    <t>giorni di sostituzione SRT concordato con direzione</t>
  </si>
  <si>
    <t>note appalto</t>
  </si>
  <si>
    <t>MEZZO DI RISERVA 1</t>
  </si>
  <si>
    <t>posti mezzo di riserva 1</t>
  </si>
  <si>
    <t xml:space="preserve">MEZZO DI RISERVA 2 </t>
  </si>
  <si>
    <t>FL557HC (MDL)</t>
  </si>
  <si>
    <t>FL781HC</t>
  </si>
  <si>
    <t>FA989GW (Perini)</t>
  </si>
  <si>
    <t>FF182VP (Perini)</t>
  </si>
  <si>
    <t>23+20</t>
  </si>
  <si>
    <t>FE629SK</t>
  </si>
  <si>
    <t>FL596HC (Sarcatour)</t>
  </si>
  <si>
    <t>FW907WP solo al sabato</t>
  </si>
  <si>
    <t xml:space="preserve"> FC376RJ</t>
  </si>
  <si>
    <t>FN339MX</t>
  </si>
  <si>
    <t>FC376RJ</t>
  </si>
  <si>
    <t>FG707GA</t>
  </si>
  <si>
    <t>CJ625MG</t>
  </si>
  <si>
    <t>FX408CM</t>
  </si>
  <si>
    <t>FH962KW</t>
  </si>
  <si>
    <t>EW035MJ</t>
  </si>
  <si>
    <t>FY974HP</t>
  </si>
  <si>
    <t>FR820WP (Fersina Tour)</t>
  </si>
  <si>
    <t>FN583MX</t>
  </si>
  <si>
    <t>FR784WP</t>
  </si>
  <si>
    <t/>
  </si>
  <si>
    <t>DZ957SD</t>
  </si>
  <si>
    <t>GH779KX</t>
  </si>
  <si>
    <t>GH738AD</t>
  </si>
  <si>
    <t>EN858WY</t>
  </si>
  <si>
    <t>ED494MM</t>
  </si>
  <si>
    <t xml:space="preserve"> FN299MX</t>
  </si>
  <si>
    <t>EZ992DM</t>
  </si>
  <si>
    <t>FZ897BE</t>
  </si>
  <si>
    <t>FZ896BE</t>
  </si>
  <si>
    <t>FW184AM</t>
  </si>
  <si>
    <t>FB808BJ</t>
  </si>
  <si>
    <t>FA919GW</t>
  </si>
  <si>
    <t>EZ943DM (solo orario invernale)</t>
  </si>
  <si>
    <t>GK228BZ (sabato)</t>
  </si>
  <si>
    <t>CS792NG (il venerdì)</t>
  </si>
  <si>
    <t xml:space="preserve">GH658ZZ
no mart-ven </t>
  </si>
  <si>
    <t>FC144RJ</t>
  </si>
  <si>
    <t>ES314MS</t>
  </si>
  <si>
    <t>GJ655MK</t>
  </si>
  <si>
    <t>FE585HG</t>
  </si>
  <si>
    <t>FN191MX (Pedrinolla Gr.)</t>
  </si>
  <si>
    <t>FH120DD</t>
  </si>
  <si>
    <t>GA991ZZ</t>
  </si>
  <si>
    <t>FW865WP</t>
  </si>
  <si>
    <t>FY999HP</t>
  </si>
  <si>
    <t>FN678GD</t>
  </si>
  <si>
    <t>FS143ZG</t>
  </si>
  <si>
    <t>FN217MX (Corn Adolfo)</t>
  </si>
  <si>
    <t>FF849CS</t>
  </si>
  <si>
    <t xml:space="preserve"> FZ898BE</t>
  </si>
  <si>
    <t xml:space="preserve"> FZ906BE</t>
  </si>
  <si>
    <t xml:space="preserve"> FZ901BE</t>
  </si>
  <si>
    <t>FZ901BE</t>
  </si>
  <si>
    <t>GC698CS</t>
  </si>
  <si>
    <t>ER846KZ</t>
  </si>
  <si>
    <t xml:space="preserve">FF849CS </t>
  </si>
  <si>
    <t>60</t>
  </si>
  <si>
    <t>FK451EC</t>
  </si>
  <si>
    <t>FZ889KY</t>
  </si>
  <si>
    <t>FN391MX</t>
  </si>
  <si>
    <t>DT209DB</t>
  </si>
  <si>
    <t xml:space="preserve"> FZ889KY</t>
  </si>
  <si>
    <t>GH911KX (Gorini)</t>
  </si>
  <si>
    <t>FC384RJ</t>
  </si>
  <si>
    <t>EJ947ZA</t>
  </si>
  <si>
    <t>FC200RJ</t>
  </si>
  <si>
    <t>FR346WN</t>
  </si>
  <si>
    <t>FW902WP</t>
  </si>
  <si>
    <t>GC751CS</t>
  </si>
  <si>
    <t>GA900ER</t>
  </si>
  <si>
    <t>GA902ER</t>
  </si>
  <si>
    <t>ER506KZ</t>
  </si>
  <si>
    <t>FL803HC</t>
  </si>
  <si>
    <t>FS184ZG  FL803HC (9)</t>
  </si>
  <si>
    <t>GE374VX</t>
  </si>
  <si>
    <t>FR853MY</t>
  </si>
  <si>
    <t>FR796WP</t>
  </si>
  <si>
    <t>FR320WN</t>
  </si>
  <si>
    <t>Cles-Mezzana-Fucine</t>
  </si>
  <si>
    <t>FP633ED</t>
  </si>
  <si>
    <t>FM515LT</t>
  </si>
  <si>
    <t>GC951CS</t>
  </si>
  <si>
    <t>Cod. Fermata Partenza</t>
  </si>
  <si>
    <t>FERMATA PARTENZA</t>
  </si>
  <si>
    <t>Cod. Fermata Arrivo</t>
  </si>
  <si>
    <t>FERMATA ARRIVO</t>
  </si>
  <si>
    <t xml:space="preserve">  0001FS</t>
  </si>
  <si>
    <t xml:space="preserve">TRENTO (Stazione FS)         </t>
  </si>
  <si>
    <t xml:space="preserve">  1169SB</t>
  </si>
  <si>
    <t xml:space="preserve">Laives - Stabilimento Seeber </t>
  </si>
  <si>
    <t xml:space="preserve">  0001VG</t>
  </si>
  <si>
    <t xml:space="preserve">Trento(Via Giusti)           </t>
  </si>
  <si>
    <t xml:space="preserve">VERLA                        </t>
  </si>
  <si>
    <t xml:space="preserve">TRENTO   (Autostaz.)         </t>
  </si>
  <si>
    <t xml:space="preserve">CAVALESE  (Autostaz.)        </t>
  </si>
  <si>
    <t xml:space="preserve">ALBIANO                      </t>
  </si>
  <si>
    <t xml:space="preserve">TRENTO (Autostaz.)         </t>
  </si>
  <si>
    <t xml:space="preserve">SOVER                        </t>
  </si>
  <si>
    <t xml:space="preserve">  MEZZOLOMBARDO                </t>
  </si>
  <si>
    <t xml:space="preserve">  6113AD</t>
  </si>
  <si>
    <t xml:space="preserve">Rovere' (Trentinalatte)      </t>
  </si>
  <si>
    <t xml:space="preserve">  1070OS</t>
  </si>
  <si>
    <t xml:space="preserve">Cavalese (Ospedale)          </t>
  </si>
  <si>
    <t xml:space="preserve">  1250AT</t>
  </si>
  <si>
    <t xml:space="preserve">Moena (Albergo Trentino)     </t>
  </si>
  <si>
    <t xml:space="preserve">FALCADE                      </t>
  </si>
  <si>
    <t xml:space="preserve">  1253CM</t>
  </si>
  <si>
    <t xml:space="preserve">  P.S.PELLEGRINO (FUN.)        </t>
  </si>
  <si>
    <t xml:space="preserve">P.S.PELLEGRINO (FUN.)        </t>
  </si>
  <si>
    <t xml:space="preserve">VIOTE                        </t>
  </si>
  <si>
    <t xml:space="preserve">CALAVINO                     </t>
  </si>
  <si>
    <t xml:space="preserve">RIVA DEL G. (Autostaz.)      </t>
  </si>
  <si>
    <t xml:space="preserve">DRENA                        </t>
  </si>
  <si>
    <t xml:space="preserve">  2040RR</t>
  </si>
  <si>
    <t>VEZZANO (Piazza)</t>
  </si>
  <si>
    <t xml:space="preserve">DRO                          </t>
  </si>
  <si>
    <t xml:space="preserve">VIGO CAVEDINE                </t>
  </si>
  <si>
    <t xml:space="preserve">VEZZANO (Piazza)             </t>
  </si>
  <si>
    <t xml:space="preserve">S.Massenza                   </t>
  </si>
  <si>
    <t xml:space="preserve">Due Laghi                    </t>
  </si>
  <si>
    <t xml:space="preserve">  2023AL</t>
  </si>
  <si>
    <t xml:space="preserve">M.TERLAGO (H. 2 Laghi)       </t>
  </si>
  <si>
    <t xml:space="preserve">CASTEL CONDINO               </t>
  </si>
  <si>
    <t xml:space="preserve">Cimego                       </t>
  </si>
  <si>
    <t xml:space="preserve">PREGASINA                    </t>
  </si>
  <si>
    <t xml:space="preserve">Pregasina Bivio              </t>
  </si>
  <si>
    <t xml:space="preserve">  3100SV</t>
  </si>
  <si>
    <t xml:space="preserve">ROVERETO (Via Savioli)       </t>
  </si>
  <si>
    <t xml:space="preserve">PIAN DELLE FUGAZZE           </t>
  </si>
  <si>
    <t xml:space="preserve">ROVERETO (Via Manzoni)       </t>
  </si>
  <si>
    <t xml:space="preserve">VALCAVA                      </t>
  </si>
  <si>
    <t xml:space="preserve">BRUSAGO                      </t>
  </si>
  <si>
    <t xml:space="preserve">Svaldi                       </t>
  </si>
  <si>
    <t xml:space="preserve">BEDOLLO                      </t>
  </si>
  <si>
    <t xml:space="preserve">  6120ST</t>
  </si>
  <si>
    <t xml:space="preserve">Mezzolombardo (V.Devigili)   </t>
  </si>
  <si>
    <t xml:space="preserve">  1010MT</t>
  </si>
  <si>
    <t xml:space="preserve">LAVIS (Staz. FTM)            </t>
  </si>
  <si>
    <t xml:space="preserve">  1010CS</t>
  </si>
  <si>
    <t>LAVIS</t>
  </si>
  <si>
    <t xml:space="preserve">LANZA DI RUMO                </t>
  </si>
  <si>
    <t xml:space="preserve">CLES (Autostaz.)             </t>
  </si>
  <si>
    <t xml:space="preserve">MALE'                        </t>
  </si>
  <si>
    <t xml:space="preserve">SOMRABBI                     </t>
  </si>
  <si>
    <t xml:space="preserve">  1059SO</t>
  </si>
  <si>
    <t xml:space="preserve">Solaiolo Basso               </t>
  </si>
  <si>
    <t xml:space="preserve">  1081CA</t>
  </si>
  <si>
    <t xml:space="preserve">Grumes maso Casel            </t>
  </si>
  <si>
    <t xml:space="preserve">  1081RR</t>
  </si>
  <si>
    <t>GRUMES</t>
  </si>
  <si>
    <t xml:space="preserve">  1079PC</t>
  </si>
  <si>
    <t xml:space="preserve">Faver Via Ponciach, civ. 1   </t>
  </si>
  <si>
    <t xml:space="preserve">  1078RR</t>
  </si>
  <si>
    <t xml:space="preserve">Cembra           </t>
  </si>
  <si>
    <t>CEMBRA</t>
  </si>
  <si>
    <t xml:space="preserve">CAPRIANA                     </t>
  </si>
  <si>
    <t xml:space="preserve">Valda                        </t>
  </si>
  <si>
    <t xml:space="preserve">S.Michele a/Adige            </t>
  </si>
  <si>
    <t xml:space="preserve">GRAUNO                       </t>
  </si>
  <si>
    <t xml:space="preserve">  1081TO</t>
  </si>
  <si>
    <t xml:space="preserve">Grumes maso Todescat         </t>
  </si>
  <si>
    <t xml:space="preserve">Tesero                       </t>
  </si>
  <si>
    <t>1075CP</t>
  </si>
  <si>
    <t xml:space="preserve">Palu' di G. (C.Polisportivo)  </t>
  </si>
  <si>
    <t xml:space="preserve">  1113MO</t>
  </si>
  <si>
    <t xml:space="preserve">Albiano (Via Roma)           </t>
  </si>
  <si>
    <t xml:space="preserve">  1118SB</t>
  </si>
  <si>
    <t xml:space="preserve">Scancio S. (Snack Bar)       </t>
  </si>
  <si>
    <t xml:space="preserve">Piscine                      </t>
  </si>
  <si>
    <t xml:space="preserve">  1118SR</t>
  </si>
  <si>
    <t>Scancio S.(Snack Bar)</t>
  </si>
  <si>
    <t xml:space="preserve">  1112PE</t>
  </si>
  <si>
    <t xml:space="preserve">LASES Pesa                   </t>
  </si>
  <si>
    <t xml:space="preserve">  0001PA</t>
  </si>
  <si>
    <t>TRENTO  Port'Aquila</t>
  </si>
  <si>
    <t xml:space="preserve">  1079FB</t>
  </si>
  <si>
    <t xml:space="preserve">Faver bivio                  </t>
  </si>
  <si>
    <t xml:space="preserve">CIVEZZANO                    </t>
  </si>
  <si>
    <t xml:space="preserve">FORNACE                      </t>
  </si>
  <si>
    <t xml:space="preserve">  1138VC</t>
  </si>
  <si>
    <t xml:space="preserve">Pian del Gac"Villaggio"      </t>
  </si>
  <si>
    <t xml:space="preserve">  1087FL</t>
  </si>
  <si>
    <t xml:space="preserve">Stramentizzo (Bivio)         </t>
  </si>
  <si>
    <t xml:space="preserve">CASATTA di VALFL.            </t>
  </si>
  <si>
    <t xml:space="preserve">SCANCIO SEGONZANO            </t>
  </si>
  <si>
    <t xml:space="preserve">LASES (Pesa)                 </t>
  </si>
  <si>
    <t xml:space="preserve">CIVEZZANO </t>
  </si>
  <si>
    <t xml:space="preserve">TRENTO Autostaz.              </t>
  </si>
  <si>
    <t>Ville di Giovo</t>
  </si>
  <si>
    <t xml:space="preserve">PALU' DI GIOVO               </t>
  </si>
  <si>
    <t xml:space="preserve">FAEDO PINETA                 </t>
  </si>
  <si>
    <t xml:space="preserve">  MEZZOCORONA FERROVIA         </t>
  </si>
  <si>
    <t xml:space="preserve">  6100FS</t>
  </si>
  <si>
    <t xml:space="preserve">  MEZZOCORONA (St. FS)         </t>
  </si>
  <si>
    <t xml:space="preserve">  6120EM</t>
  </si>
  <si>
    <t xml:space="preserve">Mezz.do Ex Sc. Media  (via Rotaliana)       </t>
  </si>
  <si>
    <t xml:space="preserve">Masi di Cavalese             </t>
  </si>
  <si>
    <t xml:space="preserve">  1152HV</t>
  </si>
  <si>
    <t xml:space="preserve">V.VERONZA (H.Veronza)        </t>
  </si>
  <si>
    <t xml:space="preserve">Stava                        </t>
  </si>
  <si>
    <t xml:space="preserve">  1070SE</t>
  </si>
  <si>
    <t xml:space="preserve">SICINA                       </t>
  </si>
  <si>
    <t xml:space="preserve">Pradel                       </t>
  </si>
  <si>
    <t xml:space="preserve">  4100CI</t>
  </si>
  <si>
    <t xml:space="preserve">PERGINE (C.Intermodale)      </t>
  </si>
  <si>
    <t xml:space="preserve">  1100OX</t>
  </si>
  <si>
    <t xml:space="preserve">Civezzano Scuola Media       </t>
  </si>
  <si>
    <t xml:space="preserve">  4100RR</t>
  </si>
  <si>
    <t>PERGINE V. (P.Gavazzi)</t>
  </si>
  <si>
    <t>1100OX</t>
  </si>
  <si>
    <t>Civezzano Scuola Media</t>
  </si>
  <si>
    <t>4100CI</t>
  </si>
  <si>
    <t xml:space="preserve">PERGINE V. Intermodale        </t>
  </si>
  <si>
    <t xml:space="preserve">BOSCO di CIVEZZANO           </t>
  </si>
  <si>
    <t xml:space="preserve">S.AGNESE                     </t>
  </si>
  <si>
    <t xml:space="preserve">  1100SR</t>
  </si>
  <si>
    <t xml:space="preserve">Civezzano (Quadrivio )       </t>
  </si>
  <si>
    <t xml:space="preserve">MONTESOVER                   </t>
  </si>
  <si>
    <t xml:space="preserve">  1123SA</t>
  </si>
  <si>
    <t>Facendi V.S.Antonio(Capitello)</t>
  </si>
  <si>
    <t xml:space="preserve">Sveseri  Bivio               </t>
  </si>
  <si>
    <t xml:space="preserve">  4060MG</t>
  </si>
  <si>
    <t xml:space="preserve">Brusago (Maso Gabart)        </t>
  </si>
  <si>
    <t xml:space="preserve">  4025UP</t>
  </si>
  <si>
    <t xml:space="preserve">BASELGA P. (Municipio)       </t>
  </si>
  <si>
    <t xml:space="preserve">  1221HT</t>
  </si>
  <si>
    <t xml:space="preserve">Bellamonte (H.Torretta)      </t>
  </si>
  <si>
    <t xml:space="preserve">PREDAZZO (Autostaz.)         </t>
  </si>
  <si>
    <t xml:space="preserve">  1221CS</t>
  </si>
  <si>
    <t xml:space="preserve">Castelir di Bellamonte       </t>
  </si>
  <si>
    <t xml:space="preserve">  1220SM</t>
  </si>
  <si>
    <t xml:space="preserve">Predazzo - Scuole Medie      </t>
  </si>
  <si>
    <t xml:space="preserve">  1220SC</t>
  </si>
  <si>
    <t xml:space="preserve">Predazzo(C.so Degasperi)     </t>
  </si>
  <si>
    <t xml:space="preserve">  5111RR</t>
  </si>
  <si>
    <t>Masi di Imer</t>
  </si>
  <si>
    <t xml:space="preserve">POZZA DI FASSA               </t>
  </si>
  <si>
    <t xml:space="preserve">  0954IA</t>
  </si>
  <si>
    <t xml:space="preserve">S.Michele a/A.- Ist. Agrario </t>
  </si>
  <si>
    <t xml:space="preserve">Sevignano                    </t>
  </si>
  <si>
    <t xml:space="preserve">PONTE ARCHE (Autost.)        </t>
  </si>
  <si>
    <t xml:space="preserve">TIONE (Autostazione)         </t>
  </si>
  <si>
    <t xml:space="preserve">LAGOLO                       </t>
  </si>
  <si>
    <t xml:space="preserve">Lasino                       </t>
  </si>
  <si>
    <t xml:space="preserve">  2620RO</t>
  </si>
  <si>
    <t xml:space="preserve">Sardagna (Rotatoria)         </t>
  </si>
  <si>
    <t xml:space="preserve">MARGONE                      </t>
  </si>
  <si>
    <t xml:space="preserve">  2040SN</t>
  </si>
  <si>
    <t xml:space="preserve">Vezzano Sud                  </t>
  </si>
  <si>
    <t xml:space="preserve">  2040SD</t>
  </si>
  <si>
    <t xml:space="preserve">Vezzano Apt                  </t>
  </si>
  <si>
    <t xml:space="preserve">Ciago                        </t>
  </si>
  <si>
    <t xml:space="preserve">RANZO                        </t>
  </si>
  <si>
    <t xml:space="preserve">Ceniga                       </t>
  </si>
  <si>
    <t xml:space="preserve">  2058TB</t>
  </si>
  <si>
    <t xml:space="preserve">Lago di Cavedine (Trebi)     </t>
  </si>
  <si>
    <t xml:space="preserve">  2120RR</t>
  </si>
  <si>
    <t xml:space="preserve">SARCHE (Centro Comm.)        </t>
  </si>
  <si>
    <t xml:space="preserve">SARCHE (Cassa Rurale)        </t>
  </si>
  <si>
    <t xml:space="preserve">  2125FA</t>
  </si>
  <si>
    <t xml:space="preserve">Pietramurata </t>
  </si>
  <si>
    <t xml:space="preserve">Pergolese                    </t>
  </si>
  <si>
    <t xml:space="preserve">  0001PL</t>
  </si>
  <si>
    <t xml:space="preserve">"Forte Bus de Vela"         </t>
  </si>
  <si>
    <t xml:space="preserve">  2010RR</t>
  </si>
  <si>
    <t>Cadine</t>
  </si>
  <si>
    <t xml:space="preserve">Cadine                       </t>
  </si>
  <si>
    <t xml:space="preserve">Laghi di Lamar               </t>
  </si>
  <si>
    <t xml:space="preserve">Terlago bivio                </t>
  </si>
  <si>
    <t xml:space="preserve">MONTE TERLAGO (P.zza)        </t>
  </si>
  <si>
    <t xml:space="preserve">TERLAGO                      </t>
  </si>
  <si>
    <t xml:space="preserve">  2215RR</t>
  </si>
  <si>
    <t>Sclemo</t>
  </si>
  <si>
    <t xml:space="preserve">S.LORENZO IN B.              </t>
  </si>
  <si>
    <t xml:space="preserve">MOLVENO (Centro)             </t>
  </si>
  <si>
    <t xml:space="preserve">  2219CH</t>
  </si>
  <si>
    <t xml:space="preserve">S.Lorenzo (Chiesa)           </t>
  </si>
  <si>
    <t xml:space="preserve">Andogno                      </t>
  </si>
  <si>
    <t xml:space="preserve">  2216SR</t>
  </si>
  <si>
    <t>Tavodo (incr.S.P.)</t>
  </si>
  <si>
    <t xml:space="preserve">  2216SP</t>
  </si>
  <si>
    <t xml:space="preserve">Tavodo (SP)                  </t>
  </si>
  <si>
    <t xml:space="preserve">  0956RR</t>
  </si>
  <si>
    <t>MOLVENO</t>
  </si>
  <si>
    <t xml:space="preserve">Dorsino                      </t>
  </si>
  <si>
    <t xml:space="preserve">LUNDO                        </t>
  </si>
  <si>
    <t xml:space="preserve">BIVEDO                       </t>
  </si>
  <si>
    <t xml:space="preserve">Villa di Bleggio             </t>
  </si>
  <si>
    <t xml:space="preserve">SANTA CROCE                  </t>
  </si>
  <si>
    <t xml:space="preserve">Sesto bivio                  </t>
  </si>
  <si>
    <t xml:space="preserve">  2185BR</t>
  </si>
  <si>
    <t>Fiave' (Bar Aurora)</t>
  </si>
  <si>
    <t xml:space="preserve">  2185CU</t>
  </si>
  <si>
    <t xml:space="preserve">Fiave' Curè                  </t>
  </si>
  <si>
    <t xml:space="preserve">  2185CN</t>
  </si>
  <si>
    <t xml:space="preserve">Cornelle                     </t>
  </si>
  <si>
    <t xml:space="preserve">Calvola                      </t>
  </si>
  <si>
    <t xml:space="preserve">Ville del Monte              </t>
  </si>
  <si>
    <t xml:space="preserve">  2221SA</t>
  </si>
  <si>
    <t xml:space="preserve">Villa S.Antonio              </t>
  </si>
  <si>
    <t>2170RR</t>
  </si>
  <si>
    <t>Comano Terme</t>
  </si>
  <si>
    <t xml:space="preserve">  2185RR</t>
  </si>
  <si>
    <t>FIAVE'</t>
  </si>
  <si>
    <t xml:space="preserve">  2301RR</t>
  </si>
  <si>
    <t>Forti di Lardaro</t>
  </si>
  <si>
    <t xml:space="preserve">DAONE                        </t>
  </si>
  <si>
    <t xml:space="preserve">Por                          </t>
  </si>
  <si>
    <t xml:space="preserve">  2304RR</t>
  </si>
  <si>
    <t>Strada</t>
  </si>
  <si>
    <t xml:space="preserve">Ponte Cimego                 </t>
  </si>
  <si>
    <t xml:space="preserve">  2305BO</t>
  </si>
  <si>
    <t xml:space="preserve">Pieve di Bono (Tratt.Borel)  </t>
  </si>
  <si>
    <t xml:space="preserve">BAITONI                      </t>
  </si>
  <si>
    <t xml:space="preserve">PIEVE DI BONO                </t>
  </si>
  <si>
    <t>2156MR</t>
  </si>
  <si>
    <t>Tiarno di Sopra-Mariani</t>
  </si>
  <si>
    <t xml:space="preserve">STORO                        </t>
  </si>
  <si>
    <t xml:space="preserve">  2156RR</t>
  </si>
  <si>
    <t>TIARNO DI SOPRA</t>
  </si>
  <si>
    <t xml:space="preserve">  2314RR</t>
  </si>
  <si>
    <t xml:space="preserve">Bondone                      </t>
  </si>
  <si>
    <t xml:space="preserve">  2314RU</t>
  </si>
  <si>
    <t xml:space="preserve">Storo Al Ruch                 </t>
  </si>
  <si>
    <t xml:space="preserve">  2321RR</t>
  </si>
  <si>
    <t>Lodrone</t>
  </si>
  <si>
    <t xml:space="preserve">Brione di Condino            </t>
  </si>
  <si>
    <t xml:space="preserve">CONDINO                      </t>
  </si>
  <si>
    <t xml:space="preserve">Ponte Caffaro Bivio          </t>
  </si>
  <si>
    <t xml:space="preserve">  2313RR</t>
  </si>
  <si>
    <t>Ca' Rossa</t>
  </si>
  <si>
    <t xml:space="preserve">  2290IS</t>
  </si>
  <si>
    <t xml:space="preserve">Tione - Istituto             </t>
  </si>
  <si>
    <t xml:space="preserve">Prezzo                       </t>
  </si>
  <si>
    <t xml:space="preserve">BAITONI       </t>
  </si>
  <si>
    <t xml:space="preserve">TIONE Autostazione            </t>
  </si>
  <si>
    <t xml:space="preserve">  2322BP</t>
  </si>
  <si>
    <t xml:space="preserve">Ponte Caffaro Bar Ponte      </t>
  </si>
  <si>
    <t xml:space="preserve">Ponte Caffaro bivio          </t>
  </si>
  <si>
    <t xml:space="preserve">VESTONE                      </t>
  </si>
  <si>
    <t xml:space="preserve">Preore                       </t>
  </si>
  <si>
    <t xml:space="preserve">MONTAGNE (Binio)             </t>
  </si>
  <si>
    <t xml:space="preserve">  2055ST</t>
  </si>
  <si>
    <t xml:space="preserve">Masi di Sotto  civ. 6        </t>
  </si>
  <si>
    <t xml:space="preserve">CAMPO CARLOMAGNO             </t>
  </si>
  <si>
    <t xml:space="preserve">Massimeno                    </t>
  </si>
  <si>
    <t xml:space="preserve">Giustino                     </t>
  </si>
  <si>
    <t xml:space="preserve">  TIONE Autostazione            </t>
  </si>
  <si>
    <t xml:space="preserve">CAMPO CARLOMAGNO              </t>
  </si>
  <si>
    <t xml:space="preserve">  2621SD</t>
  </si>
  <si>
    <t xml:space="preserve">Sopramonte     </t>
  </si>
  <si>
    <t xml:space="preserve">Sopramonte                 </t>
  </si>
  <si>
    <t xml:space="preserve">  3100FR</t>
  </si>
  <si>
    <t>ROVERETO (Staz.F.S.)</t>
  </si>
  <si>
    <t xml:space="preserve">  3100FS</t>
  </si>
  <si>
    <t xml:space="preserve">Vigile                       </t>
  </si>
  <si>
    <t xml:space="preserve">  3670PI</t>
  </si>
  <si>
    <t xml:space="preserve">Cimone - Bivio Pietra        </t>
  </si>
  <si>
    <t xml:space="preserve">GARNIGA VECCHIA              </t>
  </si>
  <si>
    <t xml:space="preserve">ALDENO                       </t>
  </si>
  <si>
    <t xml:space="preserve">GARNIGA TERME                </t>
  </si>
  <si>
    <t xml:space="preserve">LUSERNA                      </t>
  </si>
  <si>
    <t xml:space="preserve">  4270PT</t>
  </si>
  <si>
    <t>Caldonazzo</t>
  </si>
  <si>
    <t xml:space="preserve">CARBONARE                    </t>
  </si>
  <si>
    <t xml:space="preserve">CENTA                        </t>
  </si>
  <si>
    <t xml:space="preserve">  4260RR</t>
  </si>
  <si>
    <t>Calceranica al Lago</t>
  </si>
  <si>
    <t>Pian Dei Pradi</t>
  </si>
  <si>
    <t xml:space="preserve">VATTARO                      </t>
  </si>
  <si>
    <t xml:space="preserve">VIGOLO VATTARO               </t>
  </si>
  <si>
    <t xml:space="preserve">Bosentino                    </t>
  </si>
  <si>
    <t xml:space="preserve">  4300SP</t>
  </si>
  <si>
    <t xml:space="preserve">Levico T.-Via Roma, 61       </t>
  </si>
  <si>
    <t xml:space="preserve">  4270FS</t>
  </si>
  <si>
    <t xml:space="preserve">Caldonazzo - Staz. FS        </t>
  </si>
  <si>
    <t xml:space="preserve">LAVARONE CAPPELLA            </t>
  </si>
  <si>
    <t xml:space="preserve">TRENTO   (Autostaz.)          </t>
  </si>
  <si>
    <t xml:space="preserve">LAVARONE CAPPELLA             </t>
  </si>
  <si>
    <t xml:space="preserve">  4300IC</t>
  </si>
  <si>
    <t>Levico T.-Istituto Comprensivo</t>
  </si>
  <si>
    <t xml:space="preserve">Passo S.Valentino            </t>
  </si>
  <si>
    <t xml:space="preserve">BRENTONICO                   </t>
  </si>
  <si>
    <t xml:space="preserve">  3542UR</t>
  </si>
  <si>
    <t xml:space="preserve">Mori di fronte Mc Donald's   </t>
  </si>
  <si>
    <t xml:space="preserve">Mori (Stazione F.S.)         </t>
  </si>
  <si>
    <t xml:space="preserve">MORI (Bar Centrale)          </t>
  </si>
  <si>
    <t xml:space="preserve">Guardia di Folgaria          </t>
  </si>
  <si>
    <t xml:space="preserve">Mezzomonte                   </t>
  </si>
  <si>
    <t xml:space="preserve">  3045SP</t>
  </si>
  <si>
    <t xml:space="preserve">FOLGARIA (Palasport)         </t>
  </si>
  <si>
    <t xml:space="preserve">  3045NU</t>
  </si>
  <si>
    <t xml:space="preserve">Folgaria - P.le N.Unite      </t>
  </si>
  <si>
    <t xml:space="preserve">VALLE S.FELICE               </t>
  </si>
  <si>
    <t xml:space="preserve">  3100PC</t>
  </si>
  <si>
    <t xml:space="preserve">Rovereto - Ist. don Milani   </t>
  </si>
  <si>
    <t xml:space="preserve">RONZO CHIENIS                </t>
  </si>
  <si>
    <t xml:space="preserve">Pomarolo                     </t>
  </si>
  <si>
    <t xml:space="preserve">RAOSSI                       </t>
  </si>
  <si>
    <t xml:space="preserve">Valmorbia                    </t>
  </si>
  <si>
    <t xml:space="preserve">  CAMPOSILVANO                 </t>
  </si>
  <si>
    <t xml:space="preserve">  3155SP</t>
  </si>
  <si>
    <t xml:space="preserve">Vanza paese incr. SP50       </t>
  </si>
  <si>
    <t xml:space="preserve">Vanza SP50                   </t>
  </si>
  <si>
    <t xml:space="preserve">POZZACCHIO                   </t>
  </si>
  <si>
    <t xml:space="preserve">OMETTO                       </t>
  </si>
  <si>
    <t xml:space="preserve">  3100VP</t>
  </si>
  <si>
    <t xml:space="preserve">ROVERETO (Aut.-V.Paoli)      </t>
  </si>
  <si>
    <t xml:space="preserve">ROVERETO  (Autostaz.)        </t>
  </si>
  <si>
    <t xml:space="preserve">Albaredo                     </t>
  </si>
  <si>
    <t xml:space="preserve">  3047RR</t>
  </si>
  <si>
    <t>SERRADA</t>
  </si>
  <si>
    <t xml:space="preserve">Geroli                       </t>
  </si>
  <si>
    <t xml:space="preserve">PIAZZA DI TERRAGNOLO         </t>
  </si>
  <si>
    <t xml:space="preserve">Zoreri-Soldati               </t>
  </si>
  <si>
    <t xml:space="preserve">  3045PG</t>
  </si>
  <si>
    <t xml:space="preserve">Folgaria (Via Battisti)      </t>
  </si>
  <si>
    <t xml:space="preserve">  3358PL</t>
  </si>
  <si>
    <t xml:space="preserve">Vo' Sinistro (Pass.Livello)  </t>
  </si>
  <si>
    <t xml:space="preserve">  3346FS</t>
  </si>
  <si>
    <t xml:space="preserve">ALA (Staz. FS)               </t>
  </si>
  <si>
    <t xml:space="preserve">  3350VB</t>
  </si>
  <si>
    <t xml:space="preserve">AVIO (Via M.Baldo)           </t>
  </si>
  <si>
    <t xml:space="preserve">  3350CC</t>
  </si>
  <si>
    <t xml:space="preserve">Avio (carabinieri)           </t>
  </si>
  <si>
    <t xml:space="preserve">Pilcante                     </t>
  </si>
  <si>
    <t xml:space="preserve">MASI D'AVIO                  </t>
  </si>
  <si>
    <t xml:space="preserve">  3346OR</t>
  </si>
  <si>
    <t>ALA (Ospedale bivio)</t>
  </si>
  <si>
    <t xml:space="preserve">ALA (Ospedale bivio).        </t>
  </si>
  <si>
    <t xml:space="preserve">  3337PO</t>
  </si>
  <si>
    <t xml:space="preserve">Ponzolotti                   </t>
  </si>
  <si>
    <t xml:space="preserve">Ronchi di Ala                </t>
  </si>
  <si>
    <t xml:space="preserve">LEVICO T.  (Autostaz.)       </t>
  </si>
  <si>
    <t xml:space="preserve">  4400VA</t>
  </si>
  <si>
    <t xml:space="preserve">BORGO VALS. (Valli)          </t>
  </si>
  <si>
    <t xml:space="preserve">BORGO V.(C.Intermodale)      </t>
  </si>
  <si>
    <t xml:space="preserve">Rizzolaga                    </t>
  </si>
  <si>
    <t xml:space="preserve">Fiore'                       </t>
  </si>
  <si>
    <t xml:space="preserve">SAMONE                       </t>
  </si>
  <si>
    <t xml:space="preserve">TORCEGNO                     </t>
  </si>
  <si>
    <t xml:space="preserve">OLLE                         </t>
  </si>
  <si>
    <t xml:space="preserve">Ronchi (Zurli)               </t>
  </si>
  <si>
    <t xml:space="preserve">RONCHI VALSUGANA             </t>
  </si>
  <si>
    <t xml:space="preserve">  4123RR</t>
  </si>
  <si>
    <t>S.ORSOLA</t>
  </si>
  <si>
    <t xml:space="preserve">  4100SA</t>
  </si>
  <si>
    <t xml:space="preserve">Pergine V. Scuole Andreatta  </t>
  </si>
  <si>
    <t xml:space="preserve">Serso                        </t>
  </si>
  <si>
    <t xml:space="preserve">PALU' del F.                 </t>
  </si>
  <si>
    <t>4126BA</t>
  </si>
  <si>
    <t>Battisti</t>
  </si>
  <si>
    <t xml:space="preserve">Maso Tingherla               </t>
  </si>
  <si>
    <t xml:space="preserve">KAMAUZ                       </t>
  </si>
  <si>
    <t xml:space="preserve">Hacleri                      </t>
  </si>
  <si>
    <t xml:space="preserve">Roveda bivio                 </t>
  </si>
  <si>
    <t xml:space="preserve">  4142SL</t>
  </si>
  <si>
    <t>S.Felice Fierozzo Maso Lorenzo</t>
  </si>
  <si>
    <t>S. Felice Fierozzo</t>
  </si>
  <si>
    <t xml:space="preserve">ISCHIA DI PERGINE            </t>
  </si>
  <si>
    <t xml:space="preserve">  4300PM</t>
  </si>
  <si>
    <t xml:space="preserve">LEVICO T.( Via Avancini)     </t>
  </si>
  <si>
    <t xml:space="preserve">Falesina                     </t>
  </si>
  <si>
    <t xml:space="preserve">  4048AL</t>
  </si>
  <si>
    <t xml:space="preserve">Regnana Alta                 </t>
  </si>
  <si>
    <t xml:space="preserve">CENTRALE DI BEDOLLO          </t>
  </si>
  <si>
    <t xml:space="preserve">REGNANA                      </t>
  </si>
  <si>
    <t xml:space="preserve">S.MAURO                      </t>
  </si>
  <si>
    <t xml:space="preserve">BASELGA di PINE' (Lago)      </t>
  </si>
  <si>
    <t xml:space="preserve">RONCEGNO TERME               </t>
  </si>
  <si>
    <t xml:space="preserve">  4400OS</t>
  </si>
  <si>
    <t xml:space="preserve">BORGO VALS.(Ospedale)        </t>
  </si>
  <si>
    <t xml:space="preserve">CANAL S.BOVO                 </t>
  </si>
  <si>
    <t xml:space="preserve">RONCO CHIESA                 </t>
  </si>
  <si>
    <t xml:space="preserve">  4300BB</t>
  </si>
  <si>
    <t xml:space="preserve"> LEVICO TERME(SP.228)         </t>
  </si>
  <si>
    <t xml:space="preserve">LEVICO TERME(SP.228)         </t>
  </si>
  <si>
    <t xml:space="preserve">Feltre-Vellai                </t>
  </si>
  <si>
    <t xml:space="preserve">DERMULO                      </t>
  </si>
  <si>
    <t xml:space="preserve">Cavedago                     </t>
  </si>
  <si>
    <t xml:space="preserve">Santel (S.p. 64)             </t>
  </si>
  <si>
    <t xml:space="preserve">SPORMAGGIORE                 </t>
  </si>
  <si>
    <t xml:space="preserve">Crescino             </t>
  </si>
  <si>
    <t xml:space="preserve">  6137MT</t>
  </si>
  <si>
    <t xml:space="preserve">Andalo - Maso Toscana        </t>
  </si>
  <si>
    <t xml:space="preserve">  6126RA</t>
  </si>
  <si>
    <t xml:space="preserve">Raut                         </t>
  </si>
  <si>
    <t xml:space="preserve">TOSS                         </t>
  </si>
  <si>
    <t xml:space="preserve">  6150TM</t>
  </si>
  <si>
    <t xml:space="preserve">Denno  FTM                  </t>
  </si>
  <si>
    <t xml:space="preserve">Dercolo (Bivio)              </t>
  </si>
  <si>
    <t xml:space="preserve">Lover                        </t>
  </si>
  <si>
    <t xml:space="preserve">Sporminore                   </t>
  </si>
  <si>
    <t xml:space="preserve">  6143OT</t>
  </si>
  <si>
    <t xml:space="preserve">Sporminore civ. 86           </t>
  </si>
  <si>
    <t xml:space="preserve">Termon                       </t>
  </si>
  <si>
    <t xml:space="preserve">  6120SM</t>
  </si>
  <si>
    <t xml:space="preserve">Mezzolombardo Sc. Media      </t>
  </si>
  <si>
    <t xml:space="preserve">PORTOLO                      </t>
  </si>
  <si>
    <t xml:space="preserve">  6220PF</t>
  </si>
  <si>
    <t xml:space="preserve">Cles (Piazza Fiera)          </t>
  </si>
  <si>
    <t xml:space="preserve">MECHEL                       </t>
  </si>
  <si>
    <t xml:space="preserve">  6191TA</t>
  </si>
  <si>
    <t>Tres Via Predaia inc. V.Tavana</t>
  </si>
  <si>
    <t xml:space="preserve">  6190SM</t>
  </si>
  <si>
    <t xml:space="preserve">Taio (Plesso Scolastico)     </t>
  </si>
  <si>
    <t xml:space="preserve">  6170ST</t>
  </si>
  <si>
    <t xml:space="preserve">MOLLARO (Staz.FTM)           </t>
  </si>
  <si>
    <t xml:space="preserve">Tres                         </t>
  </si>
  <si>
    <t>6504CR</t>
  </si>
  <si>
    <t>Credai</t>
  </si>
  <si>
    <t xml:space="preserve">SFRUZ                        </t>
  </si>
  <si>
    <t xml:space="preserve">Tavon                        </t>
  </si>
  <si>
    <t xml:space="preserve">  6580CA</t>
  </si>
  <si>
    <t xml:space="preserve">FONDO (Via Garibaldi)        </t>
  </si>
  <si>
    <t xml:space="preserve">PASSO MENDOLA                </t>
  </si>
  <si>
    <t xml:space="preserve">Castelfondo                  </t>
  </si>
  <si>
    <t xml:space="preserve">Fondo loc. Vasio             </t>
  </si>
  <si>
    <t xml:space="preserve">  6675AN</t>
  </si>
  <si>
    <t xml:space="preserve">Salobbi  Bacheca Comunale    </t>
  </si>
  <si>
    <t xml:space="preserve">Brez                         </t>
  </si>
  <si>
    <t xml:space="preserve">Tregiovo                     </t>
  </si>
  <si>
    <t xml:space="preserve">Revo'                        </t>
  </si>
  <si>
    <t xml:space="preserve">Romallo                      </t>
  </si>
  <si>
    <t>6675SA</t>
  </si>
  <si>
    <t xml:space="preserve">Salobbi   </t>
  </si>
  <si>
    <t xml:space="preserve">CIS                          </t>
  </si>
  <si>
    <t>46.36513832853683, 11.029254119523086</t>
  </si>
  <si>
    <t>15 Via delle Scuole</t>
  </si>
  <si>
    <t xml:space="preserve">BRESIMO                      </t>
  </si>
  <si>
    <t xml:space="preserve">LIVO                         </t>
  </si>
  <si>
    <t xml:space="preserve">Terzolas (Bivio paese)       </t>
  </si>
  <si>
    <t xml:space="preserve">  6655ME</t>
  </si>
  <si>
    <t xml:space="preserve">Revo'  (Magazzino Melinda)   </t>
  </si>
  <si>
    <t xml:space="preserve">BOLENTINA                    </t>
  </si>
  <si>
    <t xml:space="preserve">S.Antonio di Mavignola       </t>
  </si>
  <si>
    <t xml:space="preserve">  6340ST</t>
  </si>
  <si>
    <t xml:space="preserve">DIMARO (Staz. FTM)           </t>
  </si>
  <si>
    <t xml:space="preserve">  2470RR</t>
  </si>
  <si>
    <t>S.Antonio di Mavignola</t>
  </si>
  <si>
    <t xml:space="preserve">  6382SO</t>
  </si>
  <si>
    <t xml:space="preserve">MARILLEVA 1400               </t>
  </si>
  <si>
    <t xml:space="preserve">Marilleva 900                </t>
  </si>
  <si>
    <t xml:space="preserve">  6382SS</t>
  </si>
  <si>
    <t xml:space="preserve">MARILLEVA 1400 Solaria       </t>
  </si>
  <si>
    <t xml:space="preserve">MENAS                        </t>
  </si>
  <si>
    <t xml:space="preserve">PELLIZZANO                   </t>
  </si>
  <si>
    <t xml:space="preserve">Claiano Bivio                </t>
  </si>
  <si>
    <t xml:space="preserve">Celentino Bivio              </t>
  </si>
  <si>
    <t xml:space="preserve">  6402PA</t>
  </si>
  <si>
    <t xml:space="preserve">Celentino paese              </t>
  </si>
  <si>
    <t xml:space="preserve">  6402ST</t>
  </si>
  <si>
    <t xml:space="preserve">Strombiano                   </t>
  </si>
  <si>
    <t xml:space="preserve">  6350DP</t>
  </si>
  <si>
    <t xml:space="preserve">Deggiano Paese               </t>
  </si>
  <si>
    <t xml:space="preserve">Mastellina   Staz. FTM                </t>
  </si>
  <si>
    <t>6270TM</t>
  </si>
  <si>
    <t>Cavizzana</t>
  </si>
  <si>
    <t xml:space="preserve">  6403PA</t>
  </si>
  <si>
    <t xml:space="preserve">Comasine paese               </t>
  </si>
  <si>
    <t xml:space="preserve">COGOLO                       </t>
  </si>
  <si>
    <t xml:space="preserve">Comasine bivio               </t>
  </si>
  <si>
    <t xml:space="preserve">  6220MS</t>
  </si>
  <si>
    <t xml:space="preserve">Cles - Negozio Mascotti      </t>
  </si>
  <si>
    <t xml:space="preserve">PEIO                         </t>
  </si>
  <si>
    <t xml:space="preserve">FUCINE                       </t>
  </si>
  <si>
    <t xml:space="preserve">  6380MT</t>
  </si>
  <si>
    <t xml:space="preserve">Mezzana (staz FTM)           </t>
  </si>
  <si>
    <t xml:space="preserve">PASSO TONALE                 </t>
  </si>
  <si>
    <t xml:space="preserve">VERMIGLIO                    </t>
  </si>
  <si>
    <t xml:space="preserve">  6408NO</t>
  </si>
  <si>
    <t xml:space="preserve">Vermiglio nord               </t>
  </si>
  <si>
    <t xml:space="preserve">  6340PT</t>
  </si>
  <si>
    <t xml:space="preserve">DIMARO (Ponte)               </t>
  </si>
  <si>
    <t xml:space="preserve">Cusiano                      </t>
  </si>
  <si>
    <t>4260Z936W929:Z944X952W941:Z944W626:Z944</t>
  </si>
  <si>
    <t xml:space="preserve">Calceranica al Lago          </t>
  </si>
  <si>
    <t xml:space="preserve">  6380RO</t>
  </si>
  <si>
    <t xml:space="preserve">  Località Roncio               </t>
  </si>
  <si>
    <t>6380TM</t>
  </si>
  <si>
    <t xml:space="preserve">MEZZANA FTM                  </t>
  </si>
  <si>
    <t>1300IA</t>
  </si>
  <si>
    <t xml:space="preserve">Pozza di Fassa-Istituto Arte  </t>
  </si>
  <si>
    <t>1300UP</t>
  </si>
  <si>
    <t xml:space="preserve">POZZA DI FASSA </t>
  </si>
  <si>
    <t>CAPRIANA</t>
  </si>
  <si>
    <t xml:space="preserve">  GRAUNO                        </t>
  </si>
  <si>
    <t>2313RR</t>
  </si>
  <si>
    <t>SP 69</t>
  </si>
  <si>
    <t xml:space="preserve">FUCINE </t>
  </si>
  <si>
    <t>data inizio</t>
  </si>
  <si>
    <t>data fine</t>
  </si>
  <si>
    <t>data inizio 1</t>
  </si>
  <si>
    <t>data fine 1</t>
  </si>
  <si>
    <t>posti mezzo di riserva 2</t>
  </si>
  <si>
    <t>giorni settembre 2022</t>
  </si>
  <si>
    <t>giorni ottobre 2022</t>
  </si>
  <si>
    <t>giorni novembre 2022</t>
  </si>
  <si>
    <t>giorni dicembre 2022</t>
  </si>
  <si>
    <t>annuale feriale lu, me</t>
  </si>
  <si>
    <t>Estiva lunedì-sabato agosto/settembre</t>
  </si>
  <si>
    <t>Estiva lunedì-sabato giugno/luglio</t>
  </si>
  <si>
    <t>estiva feriale lu-sa agosto/settembre</t>
  </si>
  <si>
    <t>estiva feriale lu-sa giugno/luglio</t>
  </si>
  <si>
    <t>scolastica lu-ve ott-dic-febb-apr-giu</t>
  </si>
  <si>
    <t>scolastica lu-ve sett-nov-genn-mar-magg</t>
  </si>
  <si>
    <t>estiva feriale lu-sa giugno/agosto</t>
  </si>
  <si>
    <t>estiva feriale lu-sa luglio/settembre</t>
  </si>
  <si>
    <t>invernale feriale lu-sa (in intensificazione linea 123)</t>
  </si>
  <si>
    <t>invernale feriale lu, ve, sab + prefest + postfest (eccetto intensificazione linea 123)</t>
  </si>
  <si>
    <t>invernale feriale lu-ve (in intensificazione linea 646)</t>
  </si>
  <si>
    <t>invernale feriale lu-sa (eccetto intensificazione linea 646)</t>
  </si>
  <si>
    <t>invernale festivo (eccetto intensificazione linea 646)</t>
  </si>
  <si>
    <t>annuale feriale lu-ve elastibus</t>
  </si>
  <si>
    <t>estiva feriale lu-sa melinda</t>
  </si>
  <si>
    <t>annuale feriale lu-ve a giornata melinda</t>
  </si>
  <si>
    <t>invernale feriale lu-sa a turni melinda</t>
  </si>
  <si>
    <t>estiva feriale lu-ve melinda</t>
  </si>
  <si>
    <t>invernale feriale lu-ve melinda</t>
  </si>
  <si>
    <t>costo/corsa</t>
  </si>
  <si>
    <t>frequenza forfait / integrazioni</t>
  </si>
  <si>
    <t>costo forfait / integrazioni</t>
  </si>
  <si>
    <t>mensile</t>
  </si>
  <si>
    <t>gg forfait / integrazioni sett'22</t>
  </si>
  <si>
    <t>INTEGRAZIONE SOSTITUZIONI</t>
  </si>
  <si>
    <t>NUOVA frequenza corretta da capitolato</t>
  </si>
  <si>
    <t>dal 12/09/2022 inserimento loc. Rocca come all'andata</t>
  </si>
  <si>
    <t>dal 12/09/2022 partenza da Storo SP69</t>
  </si>
  <si>
    <t>dal 11/10/2022 nuova</t>
  </si>
  <si>
    <t>extra</t>
  </si>
  <si>
    <t>FH962KW (MDL)</t>
  </si>
  <si>
    <t>55 24</t>
  </si>
  <si>
    <t>EW749GD (Perini)</t>
  </si>
  <si>
    <t>GH658ZZ (Perini)</t>
  </si>
  <si>
    <t>GD933VT</t>
  </si>
  <si>
    <t>62  61</t>
  </si>
  <si>
    <t>FF887CS (Aut. Filippi)</t>
  </si>
  <si>
    <t>Verla bivio - Ville di Giovo - Verla deviazione Tesero - Palù</t>
  </si>
  <si>
    <t>1072BV</t>
  </si>
  <si>
    <t xml:space="preserve">Verla (Bivio)                 </t>
  </si>
  <si>
    <t>dal 03/10/2022 prolungamento</t>
  </si>
  <si>
    <t xml:space="preserve">Favrio  </t>
  </si>
  <si>
    <t xml:space="preserve">  2185CA</t>
  </si>
  <si>
    <t xml:space="preserve">Fiave' (Caseificio)           </t>
  </si>
  <si>
    <t>dal 12/09/2022 al 30/09/2022</t>
  </si>
  <si>
    <t>dal 12/10/2022 prolungamento</t>
  </si>
  <si>
    <t>Solaiolo Alto - Solaiolo</t>
  </si>
  <si>
    <t>Solaiolo Alto</t>
  </si>
  <si>
    <t>ES278NX</t>
  </si>
  <si>
    <t>FR599WM</t>
  </si>
  <si>
    <t>EK526JA</t>
  </si>
  <si>
    <t>EN513NH</t>
  </si>
  <si>
    <t xml:space="preserve"> FY946HP</t>
  </si>
  <si>
    <t>FR981TK (Groff Tour)</t>
  </si>
  <si>
    <t>EX931HC</t>
  </si>
  <si>
    <t>FR820WP</t>
  </si>
  <si>
    <t>EJ873ZA</t>
  </si>
  <si>
    <t>FF501YE</t>
  </si>
  <si>
    <t>9+7</t>
  </si>
  <si>
    <t>20+7</t>
  </si>
  <si>
    <t>ER812KZ</t>
  </si>
  <si>
    <t>EZ866DM</t>
  </si>
  <si>
    <t>FJ863YE</t>
  </si>
  <si>
    <t>GH939KX</t>
  </si>
  <si>
    <t>GH658ZZ
no mart-ven e sab.</t>
  </si>
  <si>
    <t>GH658ZZ no mart e ven</t>
  </si>
  <si>
    <t>EX007PS</t>
  </si>
  <si>
    <t>FN308MX</t>
  </si>
  <si>
    <t>FE584HG</t>
  </si>
  <si>
    <t>FR954WP</t>
  </si>
  <si>
    <t>FM433JT</t>
  </si>
  <si>
    <t>FT942AZ (lu-ve)</t>
  </si>
  <si>
    <t xml:space="preserve"> FW805WP</t>
  </si>
  <si>
    <t>FE271HG</t>
  </si>
  <si>
    <t>GE387VX</t>
  </si>
  <si>
    <t>FZ734BE</t>
  </si>
  <si>
    <t>GC523CS</t>
  </si>
  <si>
    <t xml:space="preserve"> ED909MM</t>
  </si>
  <si>
    <t>FF724CS</t>
  </si>
  <si>
    <t>ED909MM /solo al sabato GC523CS (23)</t>
  </si>
  <si>
    <t>FG963XM</t>
  </si>
  <si>
    <t>FE301HG</t>
  </si>
  <si>
    <t>EM088EK</t>
  </si>
  <si>
    <t>FV848NS</t>
  </si>
  <si>
    <t>FL648HC</t>
  </si>
  <si>
    <t>GE316VX (Busmania)</t>
  </si>
  <si>
    <t>FN191MX</t>
  </si>
  <si>
    <t>FR576WM</t>
  </si>
  <si>
    <t>EX952HC</t>
  </si>
  <si>
    <t>FL786HC</t>
  </si>
  <si>
    <t>FN143MX</t>
  </si>
  <si>
    <t>FL606HC</t>
  </si>
  <si>
    <t>GE440VX</t>
  </si>
  <si>
    <t>a seguito cancellazione corsa 19.55 sarche-tione concordato con direzione</t>
  </si>
  <si>
    <t>gg forfait / integrazioni ott'22</t>
  </si>
  <si>
    <t>GG008PL</t>
  </si>
  <si>
    <t>48/56</t>
  </si>
  <si>
    <t>57/31</t>
  </si>
  <si>
    <t>24/31</t>
  </si>
  <si>
    <t>(Fai Miravalle) - Cortalta-Trento</t>
  </si>
  <si>
    <t>6135MV</t>
  </si>
  <si>
    <t xml:space="preserve">Fai Paganella - Miravalle     </t>
  </si>
  <si>
    <t>(Solaiolo Alto extracapitolato) - Solaiolo basso - Cavalese</t>
  </si>
  <si>
    <t>46.294100387964086, 11.389613582411105</t>
  </si>
  <si>
    <t>Ronzo-V.S.Felice.Mori-Rovereto</t>
  </si>
  <si>
    <t>EJ855RC (Fersina Tour)</t>
  </si>
  <si>
    <t>EL182VV (Paternoster )</t>
  </si>
  <si>
    <t xml:space="preserve"> EM401DR (Groff Tour)</t>
  </si>
  <si>
    <t>FA981GW (Planchel)</t>
  </si>
  <si>
    <t>FE259HG (DMG)</t>
  </si>
  <si>
    <t>FF736CS (Taxizeta)</t>
  </si>
  <si>
    <t>FG962XM (Giacomelli)</t>
  </si>
  <si>
    <t>FH992YZ (VITO VIAGGI)</t>
  </si>
  <si>
    <t>FK451EC (Erika Tours)</t>
  </si>
  <si>
    <t>FN554MX (MDL)</t>
  </si>
  <si>
    <t>FT534CV (Stenghele)</t>
  </si>
  <si>
    <t>FT942AZ (Tn Service)</t>
  </si>
  <si>
    <t xml:space="preserve">FV001FA (Vito Viaggi) </t>
  </si>
  <si>
    <t>FY240VT FR993WP</t>
  </si>
  <si>
    <t xml:space="preserve">FZ047KX GC807JF
</t>
  </si>
  <si>
    <t>FZ833BE (Trentinobus)</t>
  </si>
  <si>
    <t>GC807JF FR993WP</t>
  </si>
  <si>
    <t>GE457VX (Groff Tour)</t>
  </si>
  <si>
    <t>GK228BZ (TN Service)</t>
  </si>
  <si>
    <t>DT209DB FZ889KY</t>
  </si>
  <si>
    <t>EK710SE (Paolat)</t>
  </si>
  <si>
    <t>ER857KZ (Club dellai)</t>
  </si>
  <si>
    <t>EV659LA (Erika Tours) / FK451EC (Erika Tours)</t>
  </si>
  <si>
    <t>FA989GW (Perini) / FL781HC (Perini)</t>
  </si>
  <si>
    <t>FE205HG (Fersina Tour) / FY999HP (Fersina Tour)</t>
  </si>
  <si>
    <t>FE585HG  FF601CS (Martina)</t>
  </si>
  <si>
    <t>FE599HG (Viaggi Cicolini)</t>
  </si>
  <si>
    <t>FR777WP (Fersina Tour)</t>
  </si>
  <si>
    <t>FZ863BE (Giacomelli)</t>
  </si>
  <si>
    <t>FZ889KY (Valentinelli) / FK451EC (Erika Tours)</t>
  </si>
  <si>
    <t>GE308VX (D'Amico)</t>
  </si>
  <si>
    <t>scolastica</t>
  </si>
  <si>
    <t>dal 30/11/2022 nuova</t>
  </si>
  <si>
    <t>Pergolese</t>
  </si>
  <si>
    <t>eliminata dal 30/11/2022</t>
  </si>
  <si>
    <t>invernale lunedì-sabato</t>
  </si>
  <si>
    <t>Stramentizzo bv - Sover</t>
  </si>
  <si>
    <t>scolastica martedì e mercoledì</t>
  </si>
  <si>
    <t>BAZZAVAN S.A.S. DI BAZZANELLA ANDREA</t>
  </si>
  <si>
    <t>Stramentizzo (Bivio)</t>
  </si>
  <si>
    <t>1087FL</t>
  </si>
  <si>
    <t>SOVER</t>
  </si>
  <si>
    <t>GC917HM</t>
  </si>
  <si>
    <t>GG058PN</t>
  </si>
  <si>
    <t>dal 28/11/2022 nuova</t>
  </si>
  <si>
    <t>102-103</t>
  </si>
  <si>
    <t>Cembra-Sevignano-Civezzano sc. Media</t>
  </si>
  <si>
    <t>dal 29/11/2022 nuova</t>
  </si>
  <si>
    <t>scolastica il martedì</t>
  </si>
  <si>
    <t>scolastica il lunedì</t>
  </si>
  <si>
    <t>6408NO</t>
  </si>
  <si>
    <t>Vermiglio nord</t>
  </si>
  <si>
    <t>Ponte di Legno - Vermiglio</t>
  </si>
  <si>
    <t>46.25536943397489, 10.509713206468964</t>
  </si>
  <si>
    <t xml:space="preserve">Ponte di Legno - P.le Cida </t>
  </si>
  <si>
    <t>dal 21/11/2022 nuova</t>
  </si>
  <si>
    <t>Cles - Lanza di Rumo</t>
  </si>
  <si>
    <t>CLES (Autostaz.)</t>
  </si>
  <si>
    <t>LANZA DI RUMO</t>
  </si>
  <si>
    <t>eliminata dal 02/11/2022</t>
  </si>
  <si>
    <t>FE205HG (ditta Fersina)</t>
  </si>
  <si>
    <t>sostituisce corsa 131 linea 102</t>
  </si>
  <si>
    <t>Lisignago - Trento (corsa bis) storno km corsa sostituita</t>
  </si>
  <si>
    <t>Santel - Mezzolombardo</t>
  </si>
  <si>
    <t>Santel (S.p. 64)</t>
  </si>
  <si>
    <t>eliminata dal 14/11/2022</t>
  </si>
  <si>
    <t>dal 02/11/2022 prolungamento</t>
  </si>
  <si>
    <t>km x forfait sett'22</t>
  </si>
  <si>
    <t>km x forfait ott'22</t>
  </si>
  <si>
    <t>gg forfait / integrazioni nov'22</t>
  </si>
  <si>
    <t>km x forfait nov'22</t>
  </si>
  <si>
    <t>dal 27/09/2022 prolungamento sostituito il 02/11</t>
  </si>
  <si>
    <t>21</t>
  </si>
  <si>
    <t>dal 12/09/2022 prolungamento corsa riga 773</t>
  </si>
  <si>
    <t>Lover - Dercolo prolungamento corsa Dercolo - Cles</t>
  </si>
  <si>
    <t>sostituzione</t>
  </si>
  <si>
    <t>EY198WJ</t>
  </si>
  <si>
    <t>FA895BD (FL781HC+FA989GW Perini già autorizzate in caso di cambio titolarità)</t>
  </si>
  <si>
    <t>FN676GD</t>
  </si>
  <si>
    <t>gg forfait / integrazioni dic'22</t>
  </si>
  <si>
    <t>km x forfait dic'22</t>
  </si>
  <si>
    <t>Luserna-Lavarone-Carbonare-Folgaria-Calliano-Rovereto (ore 16:20 dal 26/12/22 al 19/03/23)</t>
  </si>
  <si>
    <t>Rovereto-Calliano-Folgaria-Carbonare-Lavarone-Luserna (ore 18:15 dal 26/12/22 al 19/03/23)</t>
  </si>
  <si>
    <t>GK082FC</t>
  </si>
  <si>
    <t xml:space="preserve">FF887CS </t>
  </si>
  <si>
    <t>GL551LP</t>
  </si>
  <si>
    <t>GK228BZ (TN Service) GL551LP</t>
  </si>
  <si>
    <t>57 37</t>
  </si>
  <si>
    <t>EV877GJ (ditta Italbus)</t>
  </si>
  <si>
    <t>GC658CS (ditta Nice srl)</t>
  </si>
  <si>
    <t>GA984ER (ditta Nice srl)</t>
  </si>
  <si>
    <t>FW970WP</t>
  </si>
  <si>
    <t>ATP SRLS</t>
  </si>
  <si>
    <t>GA984ER (ditta Nice srl) FN426MX (ditta Nice srl)</t>
  </si>
  <si>
    <t>23  20</t>
  </si>
  <si>
    <t>FN426MX (ditta Nice srl)</t>
  </si>
  <si>
    <t>GG008PL (ditta Nice srl)  FN426MX (ditta Nice srl)</t>
  </si>
  <si>
    <t>50  20</t>
  </si>
  <si>
    <t>deviazione Bastianelli</t>
  </si>
  <si>
    <t>Denno FTM-Moncovo-Truzzi bivio-Toss-Raut</t>
  </si>
  <si>
    <t>Mezzolombardo-Toss-Mezzolombardo</t>
  </si>
  <si>
    <t>FN362MX</t>
  </si>
  <si>
    <t>FH120DD  FY870HP</t>
  </si>
  <si>
    <t>21                                    9</t>
  </si>
  <si>
    <t>dal 19/01/2023 nuova</t>
  </si>
  <si>
    <t>ARCO  Autostaz.</t>
  </si>
  <si>
    <t>3100VP</t>
  </si>
  <si>
    <t xml:space="preserve">ROVERETO Via Paoli            </t>
  </si>
  <si>
    <t>Arco - Rovereto</t>
  </si>
  <si>
    <t>Trento - Riva del Garda</t>
  </si>
  <si>
    <t xml:space="preserve">RIVA DEL G. Autostaz.         </t>
  </si>
  <si>
    <t>Rovereto - Trento</t>
  </si>
  <si>
    <t>GJ968MK</t>
  </si>
  <si>
    <t>GE453VX (Nice srl)</t>
  </si>
  <si>
    <t>GG008PL (Nice srl)</t>
  </si>
  <si>
    <t>scolastica lu, ma, gio</t>
  </si>
  <si>
    <t>GJ981MK</t>
  </si>
  <si>
    <t>55+30</t>
  </si>
  <si>
    <t>giorni gennaio 2023</t>
  </si>
  <si>
    <t>gg forfait / integrazioni genn'23</t>
  </si>
  <si>
    <t>km x forfait genn'23</t>
  </si>
  <si>
    <r>
      <t>scolastica da lunedì</t>
    </r>
    <r>
      <rPr>
        <strike/>
        <sz val="10"/>
        <rFont val="Arial"/>
        <family val="2"/>
      </rPr>
      <t xml:space="preserve"> a sabato</t>
    </r>
    <r>
      <rPr>
        <sz val="10"/>
        <rFont val="Arial"/>
        <family val="2"/>
      </rPr>
      <t xml:space="preserve"> al venerdì</t>
    </r>
  </si>
  <si>
    <t>dal 23/01/2023 deviazione corsa riga 119</t>
  </si>
  <si>
    <t>Tesero-Masi di Cavalese-Tesero</t>
  </si>
  <si>
    <t>1151RR</t>
  </si>
  <si>
    <t>Masi (dir. Cavalese)</t>
  </si>
  <si>
    <t>dal 16/01/2023 deviazione corsa riga 575</t>
  </si>
  <si>
    <t>Monterovere- Masetti bivio- Monterovere</t>
  </si>
  <si>
    <t>45.954338764437104, 11.294710272070128</t>
  </si>
  <si>
    <t>Masetti bivio</t>
  </si>
  <si>
    <t>Monterovere</t>
  </si>
  <si>
    <t>Garniga Terme - Covelo deviazione</t>
  </si>
  <si>
    <t>Covelo - Garniga Terme deviazione</t>
  </si>
  <si>
    <t>dal 19/01/2023 deviazione corsa riga 526</t>
  </si>
  <si>
    <t>dal 19/01/2023 deviazione corsa riga 528</t>
  </si>
  <si>
    <t>dal 19/01/2023 deviazione corsa riga 529</t>
  </si>
  <si>
    <t>dal 19/01/2023 deviazione corsa riga 531</t>
  </si>
  <si>
    <t>dal 19/01/2023 deviazione corsa riga 535</t>
  </si>
  <si>
    <t>dal 19/01/2023 deviazione corsa riga 538</t>
  </si>
  <si>
    <t>dal 19/01/2023 deviazione corsa riga 544</t>
  </si>
  <si>
    <t>dal 19/01/2023 deviazione corsa riga 546</t>
  </si>
  <si>
    <t>dal 19/01/2023 deviazione corsa riga 548</t>
  </si>
  <si>
    <t>45.97896101961809, 11.071275326875115</t>
  </si>
  <si>
    <t>Covelo Piazzale pizzeria</t>
  </si>
  <si>
    <t>temp. soppressa dal 19/01/2023 x ch.strd</t>
  </si>
  <si>
    <t>dal 19/01/2023 x chiusura strada</t>
  </si>
  <si>
    <t>Garniga Vecchia - Cimone</t>
  </si>
  <si>
    <t>Feriale</t>
  </si>
  <si>
    <t>loc. Gatter - Garniga V-Aldeno
non transita da Cimone</t>
  </si>
  <si>
    <t>Cimone-Garniga T.</t>
  </si>
  <si>
    <t>Feriale
da lunedì a venerdì</t>
  </si>
  <si>
    <t>Garniga T.-Cimone</t>
  </si>
  <si>
    <t>Aldeno-Garniga V.</t>
  </si>
  <si>
    <t>Garniga V.-Aldeno</t>
  </si>
  <si>
    <t>Feriale
sabato</t>
  </si>
  <si>
    <t>correggere giorni</t>
  </si>
  <si>
    <t>completare</t>
  </si>
  <si>
    <t>estiva feriale lu, ma, me, ve</t>
  </si>
  <si>
    <r>
      <t xml:space="preserve">Favrio - </t>
    </r>
    <r>
      <rPr>
        <strike/>
        <sz val="10"/>
        <rFont val="Arial"/>
        <family val="2"/>
      </rPr>
      <t>Dasindo</t>
    </r>
    <r>
      <rPr>
        <sz val="10"/>
        <rFont val="Arial"/>
        <family val="2"/>
      </rPr>
      <t xml:space="preserve"> - Fiavè loc. Curè -</t>
    </r>
    <r>
      <rPr>
        <strike/>
        <sz val="10"/>
        <rFont val="Arial"/>
        <family val="2"/>
      </rPr>
      <t xml:space="preserve"> Cornelle</t>
    </r>
    <r>
      <rPr>
        <sz val="10"/>
        <rFont val="Arial"/>
        <family val="2"/>
      </rPr>
      <t xml:space="preserve"> - Fiavè</t>
    </r>
  </si>
  <si>
    <t>eliminata nuova dall'inizio</t>
  </si>
  <si>
    <t>Eliminata già compresa - corsa nuova - dall'inizio</t>
  </si>
  <si>
    <t>NULLA</t>
  </si>
  <si>
    <t>Eliminata già compresa (ditta Nice)</t>
  </si>
  <si>
    <t>Eliminata dall'inizio (Sarcatour)</t>
  </si>
  <si>
    <t>Eliminata dall'inizio (Soletana)</t>
  </si>
  <si>
    <t>Eliminata (Soletana)</t>
  </si>
  <si>
    <t>invernale feriale no scol sab</t>
  </si>
  <si>
    <t>sostituita da corsa 401 linea 334 da Avio dal 05/11/2022</t>
  </si>
  <si>
    <t>sostituisce corsa 401 linea 334 da Avio dal 05/11/2022</t>
  </si>
  <si>
    <t>sostituita con linea 611 dal 02/11/2022</t>
  </si>
  <si>
    <t>GK153FC</t>
  </si>
  <si>
    <t>GA840ER</t>
  </si>
  <si>
    <t>FS483LF           FM522KR</t>
  </si>
  <si>
    <t>44  55</t>
  </si>
  <si>
    <t>GA844ER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</si>
</sst>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_-;\-* #,##0_-;_-* &quot;-&quot;_-;_-@_-"/>
    <numFmt numFmtId="165" formatCode="_-&quot;€&quot;\ * #,##0.00_-;\-&quot;€&quot;\ * #,##0.00_-;_-&quot;€&quot;\ * &quot;-&quot;??_-;_-@_-"/>
    <numFmt numFmtId="166" formatCode="_-* #,##0.00_-;\-* #,##0.00_-;_-* &quot;-&quot;??_-;_-@_-"/>
    <numFmt numFmtId="167" formatCode="000"/>
    <numFmt numFmtId="168" formatCode="_-* #,##0_-;\-* #,##0_-;_-* &quot;-&quot;??_-;_-@_-"/>
  </numFmts>
  <fonts count="51">
    <font>
      <sz val="10"/>
      <name val="Tahoma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name val="Tahoma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name val="Tahoma"/>
      <family val="2"/>
    </font>
    <font>
      <strike/>
      <sz val="8"/>
      <name val="Arial"/>
      <family val="2"/>
    </font>
    <font>
      <strike/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1"/>
      <color theme="1"/>
      <name val="Liberation Sans"/>
    </font>
    <font>
      <sz val="10"/>
      <color rgb="FF333333"/>
      <name val="Liberation Sans"/>
    </font>
    <font>
      <sz val="8"/>
      <color rgb="FF0070C0"/>
      <name val="Arial"/>
      <family val="2"/>
    </font>
    <font>
      <sz val="10"/>
      <color rgb="FF0070C0"/>
      <name val="Tahoma"/>
      <family val="2"/>
    </font>
    <font>
      <strike/>
      <sz val="8"/>
      <color rgb="FFFF0000"/>
      <name val="Arial"/>
      <family val="2"/>
    </font>
    <font>
      <b/>
      <sz val="8"/>
      <color rgb="FF0070C0"/>
      <name val="Arial"/>
      <family val="2"/>
    </font>
    <font>
      <sz val="8"/>
      <color rgb="FFFF0000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9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4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52">
    <xf numFmtId="0" fontId="0" fillId="0" borderId="0"/>
    <xf numFmtId="0" fontId="28" fillId="0" borderId="0"/>
    <xf numFmtId="0" fontId="29" fillId="3" borderId="0"/>
    <xf numFmtId="0" fontId="29" fillId="4" borderId="0"/>
    <xf numFmtId="0" fontId="28" fillId="5" borderId="0"/>
    <xf numFmtId="0" fontId="30" fillId="6" borderId="0"/>
    <xf numFmtId="0" fontId="31" fillId="7" borderId="0"/>
    <xf numFmtId="0" fontId="32" fillId="0" borderId="0"/>
    <xf numFmtId="0" fontId="33" fillId="8" borderId="0"/>
    <xf numFmtId="0" fontId="34" fillId="0" borderId="0"/>
    <xf numFmtId="0" fontId="35" fillId="0" borderId="0"/>
    <xf numFmtId="0" fontId="36" fillId="0" borderId="0"/>
    <xf numFmtId="166" fontId="1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0" fillId="0" borderId="0" applyFont="0" applyFill="0" applyBorder="0" applyAlignment="0" applyProtection="0"/>
    <xf numFmtId="166" fontId="9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7" fillId="0" borderId="0" applyFont="0" applyFill="0" applyBorder="0" applyAlignment="0" applyProtection="0"/>
    <xf numFmtId="166" fontId="5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37" fillId="9" borderId="0"/>
    <xf numFmtId="0" fontId="27" fillId="0" borderId="0"/>
    <xf numFmtId="0" fontId="19" fillId="0" borderId="0"/>
    <xf numFmtId="0" fontId="10" fillId="0" borderId="0"/>
    <xf numFmtId="0" fontId="3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0" fillId="0" borderId="0"/>
    <xf numFmtId="0" fontId="10" fillId="0" borderId="0"/>
    <xf numFmtId="0" fontId="39" fillId="9" borderId="5"/>
    <xf numFmtId="9" fontId="12" fillId="0" borderId="0" applyFont="0" applyFill="0" applyBorder="0" applyAlignment="0" applyProtection="0"/>
    <xf numFmtId="0" fontId="38" fillId="0" borderId="0"/>
    <xf numFmtId="0" fontId="38" fillId="0" borderId="0"/>
    <xf numFmtId="165" fontId="1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0" fillId="0" borderId="0"/>
  </cellStyleXfs>
  <cellXfs count="230">
    <xf numFmtId="0" fontId="0" fillId="0" borderId="0" xfId="0"/>
    <xf numFmtId="0" fontId="11" fillId="0" borderId="0" xfId="43" applyFont="1" applyFill="1" applyBorder="1" applyAlignment="1">
      <alignment vertical="center" wrapText="1"/>
    </xf>
    <xf numFmtId="0" fontId="11" fillId="0" borderId="0" xfId="43" applyFont="1" applyFill="1" applyBorder="1" applyAlignment="1">
      <alignment horizontal="center" vertical="center" wrapText="1"/>
    </xf>
    <xf numFmtId="0" fontId="10" fillId="0" borderId="0" xfId="43" applyFont="1" applyFill="1" applyBorder="1" applyAlignment="1">
      <alignment horizontal="center" vertical="center" wrapText="1"/>
    </xf>
    <xf numFmtId="0" fontId="10" fillId="0" borderId="0" xfId="43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0" fillId="0" borderId="0" xfId="0" applyFont="1"/>
    <xf numFmtId="0" fontId="11" fillId="10" borderId="0" xfId="43" applyFont="1" applyFill="1" applyBorder="1" applyAlignment="1">
      <alignment horizontal="center" vertical="center" wrapText="1"/>
    </xf>
    <xf numFmtId="165" fontId="11" fillId="0" borderId="0" xfId="48" applyFont="1" applyFill="1" applyBorder="1" applyAlignment="1">
      <alignment horizontal="center" vertical="center" wrapText="1"/>
    </xf>
    <xf numFmtId="165" fontId="0" fillId="0" borderId="0" xfId="48" applyFont="1"/>
    <xf numFmtId="0" fontId="11" fillId="0" borderId="0" xfId="0" applyFont="1" applyBorder="1" applyAlignment="1">
      <alignment vertical="center" wrapText="1"/>
    </xf>
    <xf numFmtId="0" fontId="11" fillId="11" borderId="0" xfId="0" applyFont="1" applyFill="1" applyBorder="1" applyAlignment="1">
      <alignment vertical="center" wrapText="1"/>
    </xf>
    <xf numFmtId="0" fontId="12" fillId="0" borderId="0" xfId="0" applyFont="1"/>
    <xf numFmtId="165" fontId="0" fillId="0" borderId="0" xfId="0" applyNumberFormat="1"/>
    <xf numFmtId="0" fontId="0" fillId="0" borderId="0" xfId="0" applyAlignment="1">
      <alignment wrapText="1"/>
    </xf>
    <xf numFmtId="0" fontId="0" fillId="12" borderId="0" xfId="0" applyFill="1"/>
    <xf numFmtId="44" fontId="0" fillId="0" borderId="0" xfId="0" applyNumberFormat="1"/>
    <xf numFmtId="0" fontId="40" fillId="0" borderId="0" xfId="0" applyFont="1" applyFill="1" applyAlignment="1">
      <alignment horizontal="center"/>
    </xf>
    <xf numFmtId="0" fontId="11" fillId="0" borderId="0" xfId="43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center" wrapText="1"/>
    </xf>
    <xf numFmtId="0" fontId="11" fillId="0" borderId="0" xfId="0" applyFont="1" applyBorder="1" applyAlignment="1">
      <alignment horizontal="center" wrapText="1"/>
    </xf>
    <xf numFmtId="0" fontId="11" fillId="0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 wrapText="1"/>
    </xf>
    <xf numFmtId="0" fontId="40" fillId="0" borderId="0" xfId="43" applyFont="1" applyFill="1" applyBorder="1" applyAlignment="1">
      <alignment horizontal="center" wrapText="1"/>
    </xf>
    <xf numFmtId="0" fontId="40" fillId="0" borderId="0" xfId="0" applyFont="1" applyBorder="1" applyAlignment="1">
      <alignment horizontal="center"/>
    </xf>
    <xf numFmtId="0" fontId="40" fillId="0" borderId="0" xfId="43" applyFont="1" applyBorder="1" applyAlignment="1">
      <alignment horizontal="center" wrapText="1"/>
    </xf>
    <xf numFmtId="0" fontId="40" fillId="0" borderId="0" xfId="0" applyFont="1" applyBorder="1" applyAlignment="1">
      <alignment horizontal="center" wrapText="1"/>
    </xf>
    <xf numFmtId="0" fontId="40" fillId="0" borderId="0" xfId="0" applyFont="1" applyFill="1" applyBorder="1" applyAlignment="1">
      <alignment horizontal="center"/>
    </xf>
    <xf numFmtId="0" fontId="40" fillId="0" borderId="0" xfId="43" applyFont="1" applyFill="1" applyAlignment="1">
      <alignment horizontal="center" wrapText="1"/>
    </xf>
    <xf numFmtId="0" fontId="41" fillId="0" borderId="0" xfId="0" applyFont="1" applyFill="1" applyAlignment="1">
      <alignment horizontal="center"/>
    </xf>
    <xf numFmtId="0" fontId="11" fillId="0" borderId="1" xfId="0" applyFont="1" applyBorder="1" applyAlignment="1">
      <alignment horizontal="center" wrapText="1"/>
    </xf>
    <xf numFmtId="0" fontId="11" fillId="13" borderId="0" xfId="0" applyFont="1" applyFill="1" applyBorder="1" applyAlignment="1">
      <alignment horizontal="center" wrapText="1"/>
    </xf>
    <xf numFmtId="165" fontId="12" fillId="12" borderId="0" xfId="48" applyFont="1" applyFill="1"/>
    <xf numFmtId="0" fontId="24" fillId="0" borderId="0" xfId="0" applyFont="1" applyFill="1"/>
    <xf numFmtId="0" fontId="12" fillId="0" borderId="0" xfId="0" applyFont="1" applyFill="1"/>
    <xf numFmtId="0" fontId="24" fillId="0" borderId="0" xfId="0" applyFont="1"/>
    <xf numFmtId="0" fontId="0" fillId="0" borderId="0" xfId="0" applyFont="1" applyFill="1"/>
    <xf numFmtId="165" fontId="24" fillId="0" borderId="0" xfId="48" applyFont="1"/>
    <xf numFmtId="0" fontId="40" fillId="12" borderId="0" xfId="0" applyFont="1" applyFill="1" applyBorder="1" applyAlignment="1">
      <alignment horizontal="center" wrapText="1"/>
    </xf>
    <xf numFmtId="0" fontId="40" fillId="12" borderId="0" xfId="43" applyFont="1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165" fontId="11" fillId="0" borderId="0" xfId="48" applyFont="1" applyFill="1" applyBorder="1" applyAlignment="1">
      <alignment horizontal="center" wrapText="1"/>
    </xf>
    <xf numFmtId="165" fontId="11" fillId="0" borderId="0" xfId="48" applyFont="1" applyBorder="1" applyAlignment="1">
      <alignment horizontal="center" wrapText="1"/>
    </xf>
    <xf numFmtId="0" fontId="11" fillId="14" borderId="0" xfId="43" applyFont="1" applyFill="1" applyBorder="1" applyAlignment="1">
      <alignment horizontal="center" wrapText="1"/>
    </xf>
    <xf numFmtId="165" fontId="11" fillId="15" borderId="0" xfId="48" applyFont="1" applyFill="1" applyBorder="1" applyAlignment="1">
      <alignment horizontal="center" wrapText="1"/>
    </xf>
    <xf numFmtId="0" fontId="11" fillId="13" borderId="0" xfId="43" applyFont="1" applyFill="1" applyBorder="1" applyAlignment="1">
      <alignment horizontal="center" wrapText="1"/>
    </xf>
    <xf numFmtId="0" fontId="11" fillId="0" borderId="0" xfId="43" applyFont="1" applyFill="1" applyAlignment="1">
      <alignment horizontal="center" wrapText="1"/>
    </xf>
    <xf numFmtId="0" fontId="11" fillId="0" borderId="0" xfId="43" applyFont="1" applyBorder="1" applyAlignment="1">
      <alignment horizontal="center" wrapText="1"/>
    </xf>
    <xf numFmtId="0" fontId="11" fillId="0" borderId="0" xfId="43" applyFont="1" applyFill="1" applyBorder="1" applyAlignment="1">
      <alignment horizontal="center"/>
    </xf>
    <xf numFmtId="165" fontId="11" fillId="16" borderId="0" xfId="48" applyFont="1" applyFill="1" applyBorder="1" applyAlignment="1">
      <alignment horizontal="center" wrapText="1"/>
    </xf>
    <xf numFmtId="165" fontId="11" fillId="13" borderId="0" xfId="48" applyFont="1" applyFill="1" applyBorder="1" applyAlignment="1">
      <alignment horizontal="center" wrapText="1"/>
    </xf>
    <xf numFmtId="0" fontId="11" fillId="11" borderId="0" xfId="0" applyFont="1" applyFill="1" applyBorder="1" applyAlignment="1">
      <alignment horizontal="center" wrapText="1"/>
    </xf>
    <xf numFmtId="0" fontId="42" fillId="0" borderId="0" xfId="43" applyFont="1" applyFill="1" applyBorder="1" applyAlignment="1">
      <alignment horizontal="center" wrapText="1"/>
    </xf>
    <xf numFmtId="0" fontId="0" fillId="0" borderId="0" xfId="0" applyFill="1" applyBorder="1" applyAlignment="1">
      <alignment horizontal="center"/>
    </xf>
    <xf numFmtId="0" fontId="0" fillId="13" borderId="0" xfId="0" applyFill="1" applyAlignment="1">
      <alignment horizontal="center"/>
    </xf>
    <xf numFmtId="44" fontId="11" fillId="0" borderId="0" xfId="43" applyNumberFormat="1" applyFont="1" applyFill="1" applyBorder="1" applyAlignment="1">
      <alignment horizontal="center" wrapText="1"/>
    </xf>
    <xf numFmtId="0" fontId="24" fillId="0" borderId="0" xfId="0" applyFont="1" applyAlignment="1">
      <alignment horizontal="right"/>
    </xf>
    <xf numFmtId="44" fontId="24" fillId="0" borderId="0" xfId="0" applyNumberFormat="1" applyFont="1"/>
    <xf numFmtId="165" fontId="0" fillId="0" borderId="0" xfId="48" applyFont="1" applyFill="1" applyBorder="1"/>
    <xf numFmtId="165" fontId="11" fillId="14" borderId="0" xfId="48" applyFont="1" applyFill="1" applyBorder="1" applyAlignment="1">
      <alignment horizontal="center" wrapText="1"/>
    </xf>
    <xf numFmtId="165" fontId="12" fillId="17" borderId="0" xfId="48" applyFont="1" applyFill="1"/>
    <xf numFmtId="0" fontId="40" fillId="13" borderId="0" xfId="0" applyFont="1" applyFill="1" applyBorder="1" applyAlignment="1">
      <alignment horizontal="center" wrapText="1"/>
    </xf>
    <xf numFmtId="14" fontId="40" fillId="0" borderId="0" xfId="0" applyNumberFormat="1" applyFont="1" applyFill="1" applyBorder="1" applyAlignment="1">
      <alignment horizontal="center" wrapText="1"/>
    </xf>
    <xf numFmtId="14" fontId="40" fillId="0" borderId="0" xfId="0" applyNumberFormat="1" applyFont="1" applyFill="1" applyAlignment="1">
      <alignment horizontal="center"/>
    </xf>
    <xf numFmtId="0" fontId="23" fillId="0" borderId="0" xfId="43" applyFont="1" applyFill="1" applyBorder="1" applyAlignment="1">
      <alignment horizontal="center" vertical="top" wrapText="1"/>
    </xf>
    <xf numFmtId="165" fontId="11" fillId="10" borderId="0" xfId="48" applyFont="1" applyFill="1" applyBorder="1" applyAlignment="1">
      <alignment horizontal="center" vertical="top" wrapText="1"/>
    </xf>
    <xf numFmtId="0" fontId="11" fillId="10" borderId="0" xfId="43" applyFont="1" applyFill="1" applyBorder="1" applyAlignment="1">
      <alignment horizontal="center" vertical="top"/>
    </xf>
    <xf numFmtId="0" fontId="11" fillId="10" borderId="0" xfId="43" applyFont="1" applyFill="1" applyBorder="1" applyAlignment="1">
      <alignment horizontal="center" vertical="top" wrapText="1"/>
    </xf>
    <xf numFmtId="165" fontId="11" fillId="0" borderId="0" xfId="48" applyFont="1" applyFill="1" applyBorder="1" applyAlignment="1">
      <alignment horizontal="center" vertical="top" wrapText="1"/>
    </xf>
    <xf numFmtId="0" fontId="43" fillId="0" borderId="0" xfId="42" applyFont="1" applyFill="1" applyBorder="1" applyAlignment="1">
      <alignment horizontal="center" vertical="top" wrapText="1"/>
    </xf>
    <xf numFmtId="0" fontId="43" fillId="0" borderId="0" xfId="43" applyFont="1" applyFill="1" applyBorder="1" applyAlignment="1">
      <alignment horizontal="center" vertical="top" wrapText="1"/>
    </xf>
    <xf numFmtId="0" fontId="43" fillId="0" borderId="0" xfId="0" applyFont="1" applyBorder="1" applyAlignment="1">
      <alignment horizontal="center" vertical="top" wrapText="1"/>
    </xf>
    <xf numFmtId="0" fontId="11" fillId="0" borderId="0" xfId="43" applyFont="1" applyFill="1" applyBorder="1" applyAlignment="1">
      <alignment horizontal="center" vertical="top" wrapText="1"/>
    </xf>
    <xf numFmtId="49" fontId="40" fillId="0" borderId="0" xfId="0" applyNumberFormat="1" applyFont="1" applyFill="1" applyBorder="1" applyAlignment="1">
      <alignment horizontal="center" wrapText="1"/>
    </xf>
    <xf numFmtId="49" fontId="40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/>
    </xf>
    <xf numFmtId="0" fontId="11" fillId="0" borderId="0" xfId="45" applyNumberFormat="1" applyFont="1" applyFill="1" applyBorder="1" applyAlignment="1">
      <alignment horizontal="center" wrapText="1"/>
    </xf>
    <xf numFmtId="0" fontId="11" fillId="0" borderId="0" xfId="43" applyNumberFormat="1" applyFont="1" applyFill="1" applyBorder="1" applyAlignment="1">
      <alignment horizontal="center" wrapText="1"/>
    </xf>
    <xf numFmtId="165" fontId="11" fillId="0" borderId="0" xfId="0" applyNumberFormat="1" applyFont="1" applyFill="1" applyBorder="1" applyAlignment="1">
      <alignment horizontal="center" wrapText="1"/>
    </xf>
    <xf numFmtId="44" fontId="11" fillId="15" borderId="0" xfId="43" applyNumberFormat="1" applyFont="1" applyFill="1" applyBorder="1" applyAlignment="1">
      <alignment horizontal="center" wrapText="1"/>
    </xf>
    <xf numFmtId="44" fontId="11" fillId="18" borderId="0" xfId="43" applyNumberFormat="1" applyFont="1" applyFill="1" applyBorder="1" applyAlignment="1">
      <alignment horizontal="center" wrapText="1"/>
    </xf>
    <xf numFmtId="0" fontId="11" fillId="19" borderId="0" xfId="43" applyFont="1" applyFill="1" applyBorder="1" applyAlignment="1">
      <alignment vertical="center" wrapText="1"/>
    </xf>
    <xf numFmtId="0" fontId="0" fillId="19" borderId="0" xfId="0" applyFill="1"/>
    <xf numFmtId="0" fontId="1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0" xfId="3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 wrapText="1"/>
    </xf>
    <xf numFmtId="0" fontId="22" fillId="0" borderId="0" xfId="42" applyFont="1" applyFill="1" applyBorder="1" applyAlignment="1">
      <alignment horizontal="center" vertical="center" wrapText="1"/>
    </xf>
    <xf numFmtId="0" fontId="23" fillId="0" borderId="0" xfId="43" applyFont="1" applyFill="1" applyBorder="1" applyAlignment="1">
      <alignment horizontal="center" vertical="center" wrapText="1"/>
    </xf>
    <xf numFmtId="0" fontId="17" fillId="2" borderId="1" xfId="43" applyFont="1" applyFill="1" applyBorder="1" applyAlignment="1">
      <alignment horizontal="center" vertical="center" wrapText="1"/>
    </xf>
    <xf numFmtId="2" fontId="17" fillId="2" borderId="1" xfId="43" applyNumberFormat="1" applyFont="1" applyFill="1" applyBorder="1" applyAlignment="1">
      <alignment horizontal="center" vertical="center" wrapText="1"/>
    </xf>
    <xf numFmtId="167" fontId="10" fillId="0" borderId="1" xfId="42" applyNumberFormat="1" applyFont="1" applyFill="1" applyBorder="1" applyAlignment="1">
      <alignment horizontal="center" vertical="center"/>
    </xf>
    <xf numFmtId="0" fontId="10" fillId="0" borderId="1" xfId="43" applyFont="1" applyFill="1" applyBorder="1" applyAlignment="1">
      <alignment horizontal="center" vertical="center" wrapText="1"/>
    </xf>
    <xf numFmtId="20" fontId="10" fillId="0" borderId="1" xfId="43" applyNumberFormat="1" applyFont="1" applyFill="1" applyBorder="1" applyAlignment="1">
      <alignment horizontal="center" vertical="center" wrapText="1"/>
    </xf>
    <xf numFmtId="0" fontId="10" fillId="0" borderId="1" xfId="43" applyNumberFormat="1" applyFont="1" applyFill="1" applyBorder="1" applyAlignment="1">
      <alignment horizontal="center" vertical="center" wrapText="1"/>
    </xf>
    <xf numFmtId="2" fontId="10" fillId="0" borderId="1" xfId="43" applyNumberFormat="1" applyFont="1" applyFill="1" applyBorder="1" applyAlignment="1">
      <alignment horizontal="center" vertical="center" wrapText="1"/>
    </xf>
    <xf numFmtId="1" fontId="10" fillId="0" borderId="1" xfId="43" applyNumberFormat="1" applyFont="1" applyFill="1" applyBorder="1" applyAlignment="1">
      <alignment horizontal="center" vertical="center" wrapText="1"/>
    </xf>
    <xf numFmtId="168" fontId="10" fillId="0" borderId="1" xfId="12" applyNumberFormat="1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 wrapText="1"/>
    </xf>
    <xf numFmtId="0" fontId="10" fillId="0" borderId="1" xfId="42" applyFont="1" applyFill="1" applyBorder="1" applyAlignment="1">
      <alignment horizontal="center" vertical="center"/>
    </xf>
    <xf numFmtId="20" fontId="10" fillId="0" borderId="1" xfId="42" applyNumberFormat="1" applyFont="1" applyFill="1" applyBorder="1" applyAlignment="1">
      <alignment horizontal="center" vertical="center"/>
    </xf>
    <xf numFmtId="0" fontId="10" fillId="0" borderId="1" xfId="42" applyFont="1" applyFill="1" applyBorder="1" applyAlignment="1">
      <alignment horizontal="center" vertical="center" wrapText="1"/>
    </xf>
    <xf numFmtId="1" fontId="10" fillId="0" borderId="1" xfId="42" applyNumberFormat="1" applyFont="1" applyFill="1" applyBorder="1" applyAlignment="1">
      <alignment horizontal="center" vertical="center"/>
    </xf>
    <xf numFmtId="20" fontId="10" fillId="13" borderId="1" xfId="43" applyNumberFormat="1" applyFont="1" applyFill="1" applyBorder="1" applyAlignment="1">
      <alignment horizontal="center" vertical="center" wrapText="1"/>
    </xf>
    <xf numFmtId="0" fontId="10" fillId="13" borderId="1" xfId="43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20" fontId="10" fillId="13" borderId="1" xfId="42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8" fontId="10" fillId="13" borderId="1" xfId="12" applyNumberFormat="1" applyFont="1" applyFill="1" applyBorder="1" applyAlignment="1">
      <alignment horizontal="center" vertical="center" wrapText="1"/>
    </xf>
    <xf numFmtId="0" fontId="22" fillId="0" borderId="0" xfId="43" applyFont="1" applyFill="1" applyBorder="1" applyAlignment="1">
      <alignment horizontal="center" vertical="center" wrapText="1"/>
    </xf>
    <xf numFmtId="0" fontId="23" fillId="13" borderId="0" xfId="43" applyFont="1" applyFill="1" applyBorder="1" applyAlignment="1">
      <alignment horizontal="center" vertical="center" wrapText="1"/>
    </xf>
    <xf numFmtId="0" fontId="11" fillId="0" borderId="0" xfId="43" applyFont="1" applyBorder="1" applyAlignment="1">
      <alignment horizontal="center" vertical="center" wrapText="1"/>
    </xf>
    <xf numFmtId="0" fontId="21" fillId="0" borderId="0" xfId="0" applyFont="1" applyFill="1" applyAlignment="1">
      <alignment horizontal="center" vertical="center" wrapText="1"/>
    </xf>
    <xf numFmtId="0" fontId="11" fillId="0" borderId="0" xfId="31" applyFont="1" applyFill="1" applyBorder="1" applyAlignment="1">
      <alignment horizontal="center" vertical="center" wrapText="1"/>
    </xf>
    <xf numFmtId="0" fontId="10" fillId="13" borderId="1" xfId="42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0" xfId="31" applyFont="1" applyBorder="1" applyAlignment="1">
      <alignment horizontal="center" vertical="center" wrapText="1"/>
    </xf>
    <xf numFmtId="2" fontId="10" fillId="13" borderId="1" xfId="43" applyNumberFormat="1" applyFont="1" applyFill="1" applyBorder="1" applyAlignment="1">
      <alignment horizontal="center" vertical="center" wrapText="1"/>
    </xf>
    <xf numFmtId="0" fontId="10" fillId="13" borderId="1" xfId="42" applyFont="1" applyFill="1" applyBorder="1" applyAlignment="1">
      <alignment horizontal="center" vertical="center"/>
    </xf>
    <xf numFmtId="1" fontId="10" fillId="13" borderId="1" xfId="43" applyNumberFormat="1" applyFont="1" applyFill="1" applyBorder="1" applyAlignment="1">
      <alignment horizontal="center" vertical="center" wrapText="1"/>
    </xf>
    <xf numFmtId="0" fontId="10" fillId="13" borderId="1" xfId="43" applyNumberFormat="1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20" fontId="10" fillId="13" borderId="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1" fontId="10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20" fontId="10" fillId="0" borderId="1" xfId="0" applyNumberFormat="1" applyFont="1" applyFill="1" applyBorder="1" applyAlignment="1">
      <alignment horizontal="center" vertical="center"/>
    </xf>
    <xf numFmtId="168" fontId="10" fillId="0" borderId="1" xfId="12" applyNumberFormat="1" applyFont="1" applyFill="1" applyBorder="1" applyAlignment="1">
      <alignment horizontal="center" vertical="center"/>
    </xf>
    <xf numFmtId="0" fontId="20" fillId="0" borderId="1" xfId="43" applyFont="1" applyFill="1" applyBorder="1" applyAlignment="1">
      <alignment horizontal="center" vertical="center" wrapText="1"/>
    </xf>
    <xf numFmtId="0" fontId="11" fillId="0" borderId="1" xfId="31" applyFont="1" applyFill="1" applyBorder="1" applyAlignment="1">
      <alignment horizontal="center" vertical="center" wrapText="1"/>
    </xf>
    <xf numFmtId="0" fontId="11" fillId="0" borderId="1" xfId="31" applyFont="1" applyBorder="1" applyAlignment="1">
      <alignment horizontal="center" vertical="center" wrapText="1"/>
    </xf>
    <xf numFmtId="168" fontId="10" fillId="13" borderId="1" xfId="12" applyNumberFormat="1" applyFont="1" applyFill="1" applyBorder="1" applyAlignment="1">
      <alignment horizontal="center" vertical="center"/>
    </xf>
    <xf numFmtId="20" fontId="10" fillId="0" borderId="2" xfId="43" applyNumberFormat="1" applyFont="1" applyFill="1" applyBorder="1" applyAlignment="1">
      <alignment horizontal="center" vertical="center" wrapText="1"/>
    </xf>
    <xf numFmtId="0" fontId="10" fillId="0" borderId="2" xfId="43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0" fontId="10" fillId="0" borderId="3" xfId="43" applyFont="1" applyFill="1" applyBorder="1" applyAlignment="1">
      <alignment horizontal="center" vertical="center" wrapText="1"/>
    </xf>
    <xf numFmtId="20" fontId="10" fillId="0" borderId="1" xfId="0" applyNumberFormat="1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 wrapText="1"/>
    </xf>
    <xf numFmtId="20" fontId="10" fillId="13" borderId="1" xfId="42" applyNumberFormat="1" applyFont="1" applyFill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168" fontId="10" fillId="0" borderId="1" xfId="0" applyNumberFormat="1" applyFont="1" applyFill="1" applyBorder="1" applyAlignment="1">
      <alignment horizontal="center" vertical="center"/>
    </xf>
    <xf numFmtId="2" fontId="11" fillId="0" borderId="0" xfId="43" applyNumberFormat="1" applyFont="1" applyFill="1" applyBorder="1" applyAlignment="1">
      <alignment horizontal="center" vertical="center" wrapText="1"/>
    </xf>
    <xf numFmtId="1" fontId="11" fillId="0" borderId="0" xfId="43" applyNumberFormat="1" applyFont="1" applyFill="1" applyBorder="1" applyAlignment="1">
      <alignment horizontal="center" vertical="center" wrapText="1"/>
    </xf>
    <xf numFmtId="168" fontId="11" fillId="0" borderId="0" xfId="12" applyNumberFormat="1" applyFont="1" applyFill="1" applyBorder="1" applyAlignment="1">
      <alignment horizontal="center" vertical="center" wrapText="1"/>
    </xf>
    <xf numFmtId="2" fontId="11" fillId="0" borderId="0" xfId="43" applyNumberFormat="1" applyFont="1" applyBorder="1" applyAlignment="1">
      <alignment horizontal="center" vertical="center" wrapText="1"/>
    </xf>
    <xf numFmtId="168" fontId="11" fillId="0" borderId="0" xfId="12" applyNumberFormat="1" applyFont="1" applyBorder="1" applyAlignment="1">
      <alignment horizontal="center" vertical="center" wrapText="1"/>
    </xf>
    <xf numFmtId="0" fontId="11" fillId="13" borderId="0" xfId="0" applyFont="1" applyFill="1" applyBorder="1" applyAlignment="1">
      <alignment horizontal="center" vertical="center" wrapText="1"/>
    </xf>
    <xf numFmtId="20" fontId="10" fillId="0" borderId="1" xfId="43" applyNumberFormat="1" applyFont="1" applyFill="1" applyBorder="1" applyAlignment="1">
      <alignment horizontal="center" wrapText="1"/>
    </xf>
    <xf numFmtId="0" fontId="10" fillId="13" borderId="1" xfId="43" applyFont="1" applyFill="1" applyBorder="1" applyAlignment="1">
      <alignment horizontal="center" wrapText="1"/>
    </xf>
    <xf numFmtId="20" fontId="10" fillId="13" borderId="1" xfId="43" applyNumberFormat="1" applyFont="1" applyFill="1" applyBorder="1" applyAlignment="1">
      <alignment horizontal="center" wrapText="1"/>
    </xf>
    <xf numFmtId="0" fontId="11" fillId="20" borderId="0" xfId="43" applyFont="1" applyFill="1" applyBorder="1" applyAlignment="1">
      <alignment horizontal="center" vertical="center" wrapText="1"/>
    </xf>
    <xf numFmtId="0" fontId="23" fillId="20" borderId="0" xfId="43" applyFont="1" applyFill="1" applyBorder="1" applyAlignment="1">
      <alignment horizontal="center" vertical="center" wrapText="1"/>
    </xf>
    <xf numFmtId="0" fontId="10" fillId="20" borderId="1" xfId="43" applyFont="1" applyFill="1" applyBorder="1" applyAlignment="1">
      <alignment horizontal="center" vertical="center" wrapText="1"/>
    </xf>
    <xf numFmtId="0" fontId="10" fillId="20" borderId="1" xfId="43" applyNumberFormat="1" applyFont="1" applyFill="1" applyBorder="1" applyAlignment="1">
      <alignment horizontal="center" vertical="center" wrapText="1"/>
    </xf>
    <xf numFmtId="20" fontId="10" fillId="20" borderId="1" xfId="43" applyNumberFormat="1" applyFont="1" applyFill="1" applyBorder="1" applyAlignment="1">
      <alignment horizontal="center" vertical="center" wrapText="1"/>
    </xf>
    <xf numFmtId="2" fontId="10" fillId="20" borderId="1" xfId="43" applyNumberFormat="1" applyFont="1" applyFill="1" applyBorder="1" applyAlignment="1">
      <alignment horizontal="center" vertical="center" wrapText="1"/>
    </xf>
    <xf numFmtId="1" fontId="10" fillId="20" borderId="1" xfId="43" applyNumberFormat="1" applyFont="1" applyFill="1" applyBorder="1" applyAlignment="1">
      <alignment horizontal="center" vertical="center" wrapText="1"/>
    </xf>
    <xf numFmtId="168" fontId="10" fillId="20" borderId="1" xfId="12" applyNumberFormat="1" applyFont="1" applyFill="1" applyBorder="1" applyAlignment="1">
      <alignment horizontal="center" vertical="center"/>
    </xf>
    <xf numFmtId="0" fontId="11" fillId="20" borderId="1" xfId="0" applyFont="1" applyFill="1" applyBorder="1" applyAlignment="1">
      <alignment horizontal="center" vertical="center" wrapText="1"/>
    </xf>
    <xf numFmtId="0" fontId="11" fillId="20" borderId="0" xfId="0" applyFont="1" applyFill="1" applyBorder="1" applyAlignment="1">
      <alignment horizontal="center" wrapText="1"/>
    </xf>
    <xf numFmtId="0" fontId="11" fillId="20" borderId="0" xfId="43" applyFont="1" applyFill="1" applyBorder="1" applyAlignment="1">
      <alignment horizontal="center" wrapText="1"/>
    </xf>
    <xf numFmtId="44" fontId="11" fillId="20" borderId="0" xfId="43" applyNumberFormat="1" applyFont="1" applyFill="1" applyBorder="1" applyAlignment="1">
      <alignment horizontal="center" wrapText="1"/>
    </xf>
    <xf numFmtId="165" fontId="11" fillId="20" borderId="0" xfId="48" applyFont="1" applyFill="1" applyBorder="1" applyAlignment="1">
      <alignment horizontal="center" wrapText="1"/>
    </xf>
    <xf numFmtId="168" fontId="10" fillId="20" borderId="1" xfId="12" applyNumberFormat="1" applyFont="1" applyFill="1" applyBorder="1" applyAlignment="1">
      <alignment horizontal="center" vertical="center" wrapText="1"/>
    </xf>
    <xf numFmtId="0" fontId="40" fillId="20" borderId="0" xfId="0" applyFont="1" applyFill="1" applyBorder="1" applyAlignment="1">
      <alignment horizontal="center" wrapText="1"/>
    </xf>
    <xf numFmtId="0" fontId="10" fillId="20" borderId="1" xfId="42" applyFont="1" applyFill="1" applyBorder="1" applyAlignment="1">
      <alignment horizontal="center" vertical="center"/>
    </xf>
    <xf numFmtId="20" fontId="10" fillId="20" borderId="1" xfId="42" applyNumberFormat="1" applyFont="1" applyFill="1" applyBorder="1" applyAlignment="1">
      <alignment horizontal="center" vertical="center"/>
    </xf>
    <xf numFmtId="0" fontId="10" fillId="20" borderId="1" xfId="42" applyFont="1" applyFill="1" applyBorder="1" applyAlignment="1">
      <alignment horizontal="center" vertical="center" wrapText="1"/>
    </xf>
    <xf numFmtId="1" fontId="10" fillId="20" borderId="1" xfId="42" applyNumberFormat="1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20" fontId="10" fillId="20" borderId="1" xfId="0" applyNumberFormat="1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 wrapText="1"/>
    </xf>
    <xf numFmtId="1" fontId="10" fillId="20" borderId="1" xfId="0" applyNumberFormat="1" applyFont="1" applyFill="1" applyBorder="1" applyAlignment="1">
      <alignment horizontal="center" vertical="center"/>
    </xf>
    <xf numFmtId="0" fontId="11" fillId="20" borderId="0" xfId="0" applyFont="1" applyFill="1" applyBorder="1" applyAlignment="1">
      <alignment horizontal="center" vertical="center" wrapText="1"/>
    </xf>
    <xf numFmtId="14" fontId="40" fillId="20" borderId="0" xfId="0" applyNumberFormat="1" applyFont="1" applyFill="1" applyBorder="1" applyAlignment="1">
      <alignment horizontal="center" wrapText="1"/>
    </xf>
    <xf numFmtId="0" fontId="40" fillId="20" borderId="0" xfId="43" applyFont="1" applyFill="1" applyBorder="1" applyAlignment="1">
      <alignment horizontal="center" wrapText="1"/>
    </xf>
    <xf numFmtId="14" fontId="40" fillId="20" borderId="0" xfId="0" applyNumberFormat="1" applyFont="1" applyFill="1" applyAlignment="1">
      <alignment horizontal="center"/>
    </xf>
    <xf numFmtId="0" fontId="11" fillId="20" borderId="0" xfId="0" applyFont="1" applyFill="1" applyBorder="1" applyAlignment="1">
      <alignment horizontal="center" vertical="center"/>
    </xf>
    <xf numFmtId="0" fontId="22" fillId="0" borderId="0" xfId="43" applyFont="1" applyFill="1" applyBorder="1" applyAlignment="1">
      <alignment horizontal="center" wrapText="1"/>
    </xf>
    <xf numFmtId="166" fontId="11" fillId="0" borderId="0" xfId="12" applyFont="1" applyFill="1" applyBorder="1" applyAlignment="1">
      <alignment horizontal="center" wrapText="1"/>
    </xf>
    <xf numFmtId="20" fontId="10" fillId="13" borderId="4" xfId="0" applyNumberFormat="1" applyFont="1" applyFill="1" applyBorder="1" applyAlignment="1">
      <alignment horizontal="center" vertical="center" wrapText="1"/>
    </xf>
    <xf numFmtId="0" fontId="10" fillId="13" borderId="4" xfId="0" applyFont="1" applyFill="1" applyBorder="1" applyAlignment="1">
      <alignment horizontal="center" vertical="center" wrapText="1"/>
    </xf>
    <xf numFmtId="165" fontId="0" fillId="12" borderId="0" xfId="48" applyFont="1" applyFill="1"/>
    <xf numFmtId="44" fontId="11" fillId="12" borderId="0" xfId="43" applyNumberFormat="1" applyFont="1" applyFill="1" applyBorder="1" applyAlignment="1">
      <alignment horizontal="center" wrapText="1"/>
    </xf>
    <xf numFmtId="0" fontId="11" fillId="13" borderId="0" xfId="0" applyFont="1" applyFill="1" applyAlignment="1">
      <alignment horizontal="center" vertical="center" wrapText="1"/>
    </xf>
    <xf numFmtId="0" fontId="11" fillId="13" borderId="0" xfId="0" applyFont="1" applyFill="1" applyAlignment="1">
      <alignment horizontal="center" vertical="center"/>
    </xf>
    <xf numFmtId="0" fontId="11" fillId="13" borderId="0" xfId="0" applyFont="1" applyFill="1" applyBorder="1" applyAlignment="1">
      <alignment horizontal="center" vertical="center"/>
    </xf>
    <xf numFmtId="0" fontId="11" fillId="13" borderId="0" xfId="43" applyFont="1" applyFill="1" applyBorder="1" applyAlignment="1">
      <alignment horizontal="center" vertical="center" wrapText="1"/>
    </xf>
    <xf numFmtId="166" fontId="44" fillId="0" borderId="0" xfId="12" applyFont="1" applyFill="1" applyBorder="1" applyAlignment="1">
      <alignment horizontal="center" wrapText="1"/>
    </xf>
    <xf numFmtId="0" fontId="11" fillId="20" borderId="1" xfId="43" applyFont="1" applyFill="1" applyBorder="1" applyAlignment="1">
      <alignment horizontal="center" vertical="center" wrapText="1"/>
    </xf>
    <xf numFmtId="14" fontId="11" fillId="0" borderId="0" xfId="0" applyNumberFormat="1" applyFont="1" applyFill="1" applyAlignment="1">
      <alignment horizontal="center"/>
    </xf>
    <xf numFmtId="0" fontId="25" fillId="13" borderId="0" xfId="43" applyFont="1" applyFill="1" applyBorder="1" applyAlignment="1">
      <alignment horizontal="center" wrapText="1"/>
    </xf>
    <xf numFmtId="0" fontId="25" fillId="0" borderId="0" xfId="43" applyFont="1" applyFill="1" applyBorder="1" applyAlignment="1">
      <alignment horizontal="center" wrapText="1"/>
    </xf>
    <xf numFmtId="44" fontId="11" fillId="13" borderId="0" xfId="43" applyNumberFormat="1" applyFont="1" applyFill="1" applyBorder="1" applyAlignment="1">
      <alignment horizontal="center" wrapText="1"/>
    </xf>
    <xf numFmtId="166" fontId="11" fillId="12" borderId="0" xfId="12" applyFont="1" applyFill="1" applyBorder="1" applyAlignment="1">
      <alignment horizontal="center" wrapText="1"/>
    </xf>
    <xf numFmtId="0" fontId="45" fillId="12" borderId="0" xfId="43" applyFont="1" applyFill="1" applyBorder="1" applyAlignment="1">
      <alignment horizontal="center" wrapText="1"/>
    </xf>
    <xf numFmtId="0" fontId="46" fillId="12" borderId="0" xfId="43" applyFont="1" applyFill="1" applyBorder="1" applyAlignment="1">
      <alignment horizontal="center" wrapText="1"/>
    </xf>
    <xf numFmtId="49" fontId="40" fillId="20" borderId="0" xfId="0" applyNumberFormat="1" applyFont="1" applyFill="1" applyBorder="1" applyAlignment="1">
      <alignment horizontal="center" wrapText="1"/>
    </xf>
    <xf numFmtId="0" fontId="47" fillId="12" borderId="0" xfId="43" applyFont="1" applyFill="1" applyBorder="1" applyAlignment="1">
      <alignment horizontal="center" wrapText="1"/>
    </xf>
    <xf numFmtId="0" fontId="48" fillId="12" borderId="0" xfId="43" applyFont="1" applyFill="1" applyBorder="1" applyAlignment="1">
      <alignment horizontal="center" wrapText="1"/>
    </xf>
    <xf numFmtId="14" fontId="40" fillId="12" borderId="0" xfId="0" applyNumberFormat="1" applyFont="1" applyFill="1" applyBorder="1" applyAlignment="1">
      <alignment horizontal="center" wrapText="1"/>
    </xf>
    <xf numFmtId="0" fontId="40" fillId="21" borderId="0" xfId="0" applyFont="1" applyFill="1" applyBorder="1" applyAlignment="1">
      <alignment horizontal="center"/>
    </xf>
    <xf numFmtId="0" fontId="11" fillId="20" borderId="0" xfId="0" applyFont="1" applyFill="1" applyBorder="1" applyAlignment="1">
      <alignment horizontal="center"/>
    </xf>
    <xf numFmtId="0" fontId="22" fillId="0" borderId="0" xfId="43" applyFont="1" applyFill="1" applyBorder="1" applyAlignment="1">
      <alignment horizontal="center" vertical="top" wrapText="1"/>
    </xf>
    <xf numFmtId="0" fontId="10" fillId="12" borderId="1" xfId="43" applyFont="1" applyFill="1" applyBorder="1" applyAlignment="1">
      <alignment horizontal="center" vertical="center" wrapText="1"/>
    </xf>
    <xf numFmtId="0" fontId="11" fillId="12" borderId="0" xfId="43" applyFont="1" applyFill="1" applyBorder="1" applyAlignment="1">
      <alignment horizontal="center" wrapText="1"/>
    </xf>
    <xf numFmtId="0" fontId="44" fillId="0" borderId="0" xfId="43" applyFont="1" applyFill="1" applyBorder="1" applyAlignment="1">
      <alignment horizontal="center" wrapText="1"/>
    </xf>
    <xf numFmtId="0" fontId="40" fillId="22" borderId="0" xfId="0" applyFont="1" applyFill="1" applyBorder="1" applyAlignment="1">
      <alignment horizontal="center" wrapText="1"/>
    </xf>
    <xf numFmtId="0" fontId="40" fillId="22" borderId="0" xfId="43" applyFont="1" applyFill="1" applyBorder="1" applyAlignment="1">
      <alignment horizontal="center" wrapText="1"/>
    </xf>
    <xf numFmtId="165" fontId="11" fillId="22" borderId="0" xfId="48" applyFont="1" applyFill="1" applyBorder="1" applyAlignment="1">
      <alignment horizontal="center" wrapText="1"/>
    </xf>
    <xf numFmtId="0" fontId="0" fillId="23" borderId="0" xfId="0" applyFill="1"/>
    <xf numFmtId="44" fontId="0" fillId="23" borderId="0" xfId="0" applyNumberFormat="1" applyFill="1"/>
    <xf numFmtId="0" fontId="11" fillId="23" borderId="1" xfId="0" applyFont="1" applyFill="1" applyBorder="1" applyAlignment="1">
      <alignment horizontal="center" vertical="center" wrapText="1"/>
    </xf>
    <xf numFmtId="165" fontId="0" fillId="23" borderId="0" xfId="48" applyFont="1" applyFill="1"/>
    <xf numFmtId="1" fontId="22" fillId="0" borderId="0" xfId="43" applyNumberFormat="1" applyFont="1" applyFill="1" applyBorder="1" applyAlignment="1">
      <alignment horizontal="center" vertical="top" wrapText="1"/>
    </xf>
    <xf numFmtId="1" fontId="11" fillId="0" borderId="0" xfId="43" applyNumberFormat="1" applyFont="1" applyFill="1" applyBorder="1" applyAlignment="1">
      <alignment horizontal="center" wrapText="1"/>
    </xf>
    <xf numFmtId="49" fontId="44" fillId="0" borderId="0" xfId="0" applyNumberFormat="1" applyFont="1" applyFill="1" applyBorder="1" applyAlignment="1">
      <alignment horizontal="center" wrapText="1"/>
    </xf>
    <xf numFmtId="44" fontId="44" fillId="0" borderId="0" xfId="43" applyNumberFormat="1" applyFont="1" applyFill="1" applyBorder="1" applyAlignment="1">
      <alignment horizontal="center" wrapText="1"/>
    </xf>
    <xf numFmtId="14" fontId="11" fillId="20" borderId="0" xfId="0" applyNumberFormat="1" applyFont="1" applyFill="1" applyBorder="1" applyAlignment="1">
      <alignment horizontal="center" wrapText="1"/>
    </xf>
    <xf numFmtId="0" fontId="11" fillId="12" borderId="1" xfId="0" applyFont="1" applyFill="1" applyBorder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0" fontId="11" fillId="12" borderId="0" xfId="43" applyFont="1" applyFill="1" applyBorder="1" applyAlignment="1">
      <alignment horizontal="center" vertical="center" wrapText="1"/>
    </xf>
    <xf numFmtId="0" fontId="11" fillId="12" borderId="0" xfId="0" applyFont="1" applyFill="1" applyBorder="1" applyAlignment="1">
      <alignment horizontal="center" vertical="center" wrapText="1"/>
    </xf>
    <xf numFmtId="0" fontId="11" fillId="12" borderId="0" xfId="0" applyFont="1" applyFill="1" applyBorder="1" applyAlignment="1">
      <alignment horizontal="center" vertical="center"/>
    </xf>
  </cellXfs>
  <cellStyles count="52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 (user)" xfId="9"/>
    <cellStyle name="Heading 1" xfId="10"/>
    <cellStyle name="Heading 2" xfId="11"/>
    <cellStyle name="Migliaia" xfId="12" builtinId="3"/>
    <cellStyle name="Migliaia [0] 2" xfId="13"/>
    <cellStyle name="Migliaia [0] 3" xfId="14"/>
    <cellStyle name="Migliaia 2" xfId="15"/>
    <cellStyle name="Migliaia 2 2" xfId="16"/>
    <cellStyle name="Migliaia 2 2 2" xfId="17"/>
    <cellStyle name="Migliaia 2 2 2 2" xfId="18"/>
    <cellStyle name="Migliaia 3" xfId="19"/>
    <cellStyle name="Migliaia 4" xfId="20"/>
    <cellStyle name="Migliaia 5" xfId="21"/>
    <cellStyle name="Migliaia 6" xfId="22"/>
    <cellStyle name="Migliaia 7" xfId="23"/>
    <cellStyle name="Migliaia 8" xfId="24"/>
    <cellStyle name="Migliaia 9" xfId="25"/>
    <cellStyle name="Neutral" xfId="26"/>
    <cellStyle name="Normale" xfId="0" builtinId="0"/>
    <cellStyle name="Normale 10" xfId="27"/>
    <cellStyle name="Normale 11" xfId="28"/>
    <cellStyle name="Normale 11 2" xfId="29"/>
    <cellStyle name="Normale 12" xfId="30"/>
    <cellStyle name="Normale 2" xfId="31"/>
    <cellStyle name="Normale 2 2" xfId="32"/>
    <cellStyle name="Normale 2 2 2" xfId="33"/>
    <cellStyle name="Normale 3" xfId="34"/>
    <cellStyle name="Normale 4" xfId="35"/>
    <cellStyle name="Normale 4 2" xfId="36"/>
    <cellStyle name="Normale 5" xfId="37"/>
    <cellStyle name="Normale 6" xfId="38"/>
    <cellStyle name="Normale 7" xfId="39"/>
    <cellStyle name="Normale 8" xfId="40"/>
    <cellStyle name="Normale 9" xfId="41"/>
    <cellStyle name="Normale_Copia di ALLEGATO_2_LOTTO_DUE_con autobus in usufrutto  exel" xfId="42"/>
    <cellStyle name="Normale_Elenco servizi capitolato appalto 2012-14" xfId="43"/>
    <cellStyle name="Note" xfId="44"/>
    <cellStyle name="Percentuale" xfId="45" builtinId="5"/>
    <cellStyle name="Status" xfId="46"/>
    <cellStyle name="Text" xfId="47"/>
    <cellStyle name="Valuta" xfId="48" builtinId="4"/>
    <cellStyle name="Valuta 2" xfId="49"/>
    <cellStyle name="Valuta 3" xfId="50"/>
    <cellStyle name="Warning" xfId="51"/>
  </cellStyles>
  <dxfs count="450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0000"/>
      </font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1" defaultTableStyle="Stile tabella 1" defaultPivotStyle="PivotStyleLight16">
    <tableStyle name="Stile tabella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utonoleggiatori/FATTURE/Fatture%202016-2017%20Extraurban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utonoleggiatori/Copia%20di%20WWW%20NEW%20FATTURE%202005%20bi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iorni"/>
      <sheetName val="tabelle"/>
      <sheetName val="Calcolo saldo 2015-16"/>
      <sheetName val="Calcolo fatturazione 2016-17"/>
      <sheetName val="Km 2016"/>
      <sheetName val="Conguaglio Lotto 2"/>
      <sheetName val="Pivot x conguaglio"/>
      <sheetName val="Chiusura Borghetto"/>
      <sheetName val="Calcoli L.2"/>
      <sheetName val="Pivot L.2"/>
      <sheetName val="Lotto 2"/>
      <sheetName val="In detrazione"/>
      <sheetName val="Mattuzzi-Predaia"/>
      <sheetName val="No appalto PAT"/>
      <sheetName val="riassunto"/>
      <sheetName val="Chk km"/>
      <sheetName val=" Lotto 1 "/>
      <sheetName val="dic-16"/>
      <sheetName val="nov-16"/>
      <sheetName val="ott-16"/>
      <sheetName val="Ago-16"/>
      <sheetName val="Lug-16"/>
      <sheetName val="Giu-16"/>
      <sheetName val="Mag-16"/>
      <sheetName val="Apr-16"/>
      <sheetName val="Mar-16"/>
      <sheetName val="Feb-16"/>
      <sheetName val="gen-16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iorni"/>
      <sheetName val="tabelle"/>
      <sheetName val="Foglio1"/>
      <sheetName val="fattura"/>
      <sheetName val="targheautisti"/>
      <sheetName val="nol"/>
      <sheetName val="SET 04"/>
    </sheetNames>
    <sheetDataSet>
      <sheetData sheetId="0">
        <row r="1">
          <cell r="H1" t="str">
            <v>scol</v>
          </cell>
        </row>
        <row r="2">
          <cell r="H2">
            <v>19</v>
          </cell>
        </row>
        <row r="3">
          <cell r="H3">
            <v>22</v>
          </cell>
        </row>
        <row r="4">
          <cell r="H4">
            <v>27</v>
          </cell>
        </row>
        <row r="5">
          <cell r="H5">
            <v>22</v>
          </cell>
        </row>
        <row r="6">
          <cell r="H6">
            <v>25</v>
          </cell>
        </row>
        <row r="7">
          <cell r="H7">
            <v>4</v>
          </cell>
        </row>
        <row r="8">
          <cell r="H8">
            <v>0</v>
          </cell>
        </row>
        <row r="9">
          <cell r="H9">
            <v>0</v>
          </cell>
        </row>
        <row r="10">
          <cell r="H10">
            <v>16</v>
          </cell>
        </row>
        <row r="11">
          <cell r="H11">
            <v>26</v>
          </cell>
        </row>
        <row r="12">
          <cell r="H12">
            <v>25</v>
          </cell>
        </row>
        <row r="13">
          <cell r="H13">
            <v>18</v>
          </cell>
        </row>
        <row r="14">
          <cell r="H14">
            <v>204</v>
          </cell>
        </row>
        <row r="31">
          <cell r="H31" t="str">
            <v>scol</v>
          </cell>
        </row>
        <row r="32">
          <cell r="H32">
            <v>22</v>
          </cell>
        </row>
        <row r="34">
          <cell r="H34">
            <v>0</v>
          </cell>
        </row>
      </sheetData>
      <sheetData sheetId="1">
        <row r="6">
          <cell r="E6" t="str">
            <v>A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>
    <pageSetUpPr fitToPage="1"/>
  </sheetPr>
  <dimension ref="A1:BZ1030"/>
  <sheetViews>
    <sheetView tabSelected="1" zoomScaleNormal="100" workbookViewId="0">
      <pane ySplit="1" topLeftCell="A2" activePane="bottomLeft" state="frozen"/>
      <selection activeCell="E16" sqref="E16"/>
      <selection pane="bottomLeft" activeCell="E1006" sqref="E1006"/>
    </sheetView>
  </sheetViews>
  <sheetFormatPr defaultRowHeight="11.25"/>
  <cols>
    <col min="1" max="1" width="16.85546875" style="2" customWidth="1"/>
    <col min="2" max="2" width="9.140625" style="2"/>
    <col min="3" max="3" width="10.7109375" style="114" bestFit="1" customWidth="1"/>
    <col min="4" max="4" width="8.28515625" style="114" customWidth="1"/>
    <col min="5" max="5" width="9.7109375" style="114" bestFit="1" customWidth="1"/>
    <col min="6" max="6" width="8.7109375" style="114" bestFit="1" customWidth="1"/>
    <col min="7" max="7" width="25.7109375" style="2" customWidth="1"/>
    <col min="8" max="8" width="18.42578125" style="2" customWidth="1"/>
    <col min="9" max="9" width="9.42578125" style="150" customWidth="1"/>
    <col min="10" max="10" width="9.28515625" style="148" customWidth="1"/>
    <col min="11" max="11" width="11.5703125" style="151" customWidth="1"/>
    <col min="12" max="12" width="19.42578125" style="2" customWidth="1"/>
    <col min="13" max="17" width="11" style="2" customWidth="1"/>
    <col min="18" max="18" width="11.5703125" style="2" customWidth="1"/>
    <col min="19" max="19" width="9.140625" style="18" customWidth="1"/>
    <col min="20" max="20" width="13.42578125" style="18" customWidth="1"/>
    <col min="21" max="21" width="9.140625" style="18" customWidth="1"/>
    <col min="22" max="22" width="15.42578125" style="18" customWidth="1"/>
    <col min="23" max="23" width="15" style="18" customWidth="1"/>
    <col min="24" max="26" width="13.5703125" style="18" customWidth="1"/>
    <col min="27" max="27" width="24.140625" style="18" customWidth="1"/>
    <col min="28" max="28" width="5" style="18" customWidth="1"/>
    <col min="29" max="29" width="5.7109375" style="18" customWidth="1"/>
    <col min="30" max="30" width="4.5703125" style="18" customWidth="1"/>
    <col min="31" max="31" width="5" style="18" customWidth="1"/>
    <col min="32" max="32" width="4.5703125" style="18" customWidth="1"/>
    <col min="33" max="33" width="5.140625" style="18" customWidth="1"/>
    <col min="34" max="34" width="5.5703125" style="18" customWidth="1"/>
    <col min="35" max="36" width="4.5703125" style="18" customWidth="1"/>
    <col min="37" max="37" width="4.140625" style="18" customWidth="1"/>
    <col min="38" max="38" width="5.140625" style="18" customWidth="1"/>
    <col min="39" max="39" width="5" style="18" customWidth="1"/>
    <col min="40" max="40" width="5.28515625" style="18" customWidth="1"/>
    <col min="41" max="41" width="4.5703125" style="18" customWidth="1"/>
    <col min="42" max="42" width="4.42578125" style="18" customWidth="1"/>
    <col min="43" max="43" width="5.28515625" style="18" customWidth="1"/>
    <col min="44" max="44" width="5.42578125" style="18" customWidth="1"/>
    <col min="45" max="45" width="5.140625" style="18" customWidth="1"/>
    <col min="46" max="46" width="4.5703125" style="18" customWidth="1"/>
    <col min="47" max="47" width="4.140625" style="18" customWidth="1"/>
    <col min="48" max="49" width="10.28515625" style="41" customWidth="1"/>
    <col min="50" max="50" width="9.140625" style="18" customWidth="1"/>
    <col min="51" max="52" width="19.7109375" style="48" customWidth="1"/>
    <col min="53" max="53" width="11.7109375" style="18" customWidth="1"/>
    <col min="54" max="54" width="9.140625" style="18" customWidth="1"/>
    <col min="55" max="55" width="11.7109375" style="18" customWidth="1"/>
    <col min="56" max="56" width="14.140625" style="18" customWidth="1"/>
    <col min="57" max="58" width="10.85546875" style="18" customWidth="1"/>
    <col min="59" max="59" width="9.140625" style="41" customWidth="1"/>
    <col min="60" max="64" width="9.140625" style="18" customWidth="1"/>
    <col min="65" max="65" width="11.140625" style="18" customWidth="1"/>
    <col min="66" max="66" width="10.140625" style="18" customWidth="1"/>
    <col min="67" max="74" width="9.5703125" style="18" customWidth="1"/>
    <col min="75" max="75" width="9.5703125" style="221" customWidth="1"/>
    <col min="76" max="76" width="9.5703125" style="18" customWidth="1"/>
    <col min="77" max="77" width="12.42578125" style="18" customWidth="1"/>
    <col min="78" max="78" width="14.28515625" style="18" customWidth="1"/>
    <col min="79" max="79" width="10.42578125" style="18" bestFit="1" customWidth="1"/>
    <col min="80" max="16384" width="9.140625" style="18"/>
  </cols>
  <sheetData>
    <row r="1" spans="1:78" s="72" customFormat="1" ht="45">
      <c r="A1" s="88" t="s">
        <v>1211</v>
      </c>
      <c r="B1" s="89" t="s">
        <v>1165</v>
      </c>
      <c r="C1" s="90" t="s">
        <v>91</v>
      </c>
      <c r="D1" s="90" t="s">
        <v>96</v>
      </c>
      <c r="E1" s="90" t="s">
        <v>90</v>
      </c>
      <c r="F1" s="90" t="s">
        <v>89</v>
      </c>
      <c r="G1" s="90" t="s">
        <v>88</v>
      </c>
      <c r="H1" s="90" t="s">
        <v>95</v>
      </c>
      <c r="I1" s="91" t="s">
        <v>606</v>
      </c>
      <c r="J1" s="90" t="s">
        <v>94</v>
      </c>
      <c r="K1" s="90" t="s">
        <v>710</v>
      </c>
      <c r="L1" s="90" t="s">
        <v>715</v>
      </c>
      <c r="M1" s="88" t="s">
        <v>823</v>
      </c>
      <c r="N1" s="88" t="s">
        <v>824</v>
      </c>
      <c r="O1" s="88" t="s">
        <v>1212</v>
      </c>
      <c r="P1" s="88" t="s">
        <v>1213</v>
      </c>
      <c r="Q1" s="88" t="s">
        <v>1214</v>
      </c>
      <c r="R1" s="88" t="s">
        <v>1810</v>
      </c>
      <c r="S1" s="71" t="s">
        <v>1298</v>
      </c>
      <c r="T1" s="70" t="s">
        <v>1299</v>
      </c>
      <c r="U1" s="71" t="s">
        <v>1300</v>
      </c>
      <c r="V1" s="70" t="s">
        <v>1301</v>
      </c>
      <c r="W1" s="69" t="s">
        <v>1806</v>
      </c>
      <c r="X1" s="69" t="s">
        <v>1807</v>
      </c>
      <c r="Y1" s="69" t="s">
        <v>1808</v>
      </c>
      <c r="Z1" s="69" t="s">
        <v>1809</v>
      </c>
      <c r="AA1" s="69" t="s">
        <v>1099</v>
      </c>
      <c r="AB1" s="70" t="s">
        <v>801</v>
      </c>
      <c r="AC1" s="70" t="s">
        <v>802</v>
      </c>
      <c r="AD1" s="70" t="s">
        <v>812</v>
      </c>
      <c r="AE1" s="70" t="s">
        <v>813</v>
      </c>
      <c r="AF1" s="70" t="s">
        <v>803</v>
      </c>
      <c r="AG1" s="70" t="s">
        <v>804</v>
      </c>
      <c r="AH1" s="70" t="s">
        <v>805</v>
      </c>
      <c r="AI1" s="70" t="s">
        <v>806</v>
      </c>
      <c r="AJ1" s="70" t="s">
        <v>807</v>
      </c>
      <c r="AK1" s="70" t="s">
        <v>808</v>
      </c>
      <c r="AL1" s="70" t="s">
        <v>809</v>
      </c>
      <c r="AM1" s="70" t="s">
        <v>810</v>
      </c>
      <c r="AN1" s="70" t="s">
        <v>822</v>
      </c>
      <c r="AO1" s="70" t="s">
        <v>811</v>
      </c>
      <c r="AP1" s="70" t="s">
        <v>816</v>
      </c>
      <c r="AQ1" s="70" t="s">
        <v>817</v>
      </c>
      <c r="AR1" s="70" t="s">
        <v>818</v>
      </c>
      <c r="AS1" s="70" t="s">
        <v>819</v>
      </c>
      <c r="AT1" s="70" t="s">
        <v>820</v>
      </c>
      <c r="AU1" s="70" t="s">
        <v>821</v>
      </c>
      <c r="AV1" s="65" t="s">
        <v>985</v>
      </c>
      <c r="AW1" s="65" t="s">
        <v>986</v>
      </c>
      <c r="AX1" s="65" t="s">
        <v>1017</v>
      </c>
      <c r="AY1" s="66" t="s">
        <v>987</v>
      </c>
      <c r="AZ1" s="66" t="s">
        <v>1019</v>
      </c>
      <c r="BA1" s="67" t="s">
        <v>988</v>
      </c>
      <c r="BB1" s="68" t="s">
        <v>1030</v>
      </c>
      <c r="BC1" s="68" t="s">
        <v>1046</v>
      </c>
      <c r="BD1" s="68" t="s">
        <v>1048</v>
      </c>
      <c r="BE1" s="68" t="s">
        <v>1047</v>
      </c>
      <c r="BF1" s="68" t="s">
        <v>1049</v>
      </c>
      <c r="BG1" s="68" t="s">
        <v>1206</v>
      </c>
      <c r="BH1" s="64" t="s">
        <v>1811</v>
      </c>
      <c r="BI1" s="64" t="s">
        <v>1812</v>
      </c>
      <c r="BJ1" s="64" t="s">
        <v>1813</v>
      </c>
      <c r="BK1" s="64" t="s">
        <v>1814</v>
      </c>
      <c r="BL1" s="64" t="s">
        <v>2039</v>
      </c>
      <c r="BM1" s="72" t="s">
        <v>1835</v>
      </c>
      <c r="BN1" s="72" t="s">
        <v>1836</v>
      </c>
      <c r="BO1" s="72" t="s">
        <v>1839</v>
      </c>
      <c r="BP1" s="72" t="s">
        <v>1988</v>
      </c>
      <c r="BQ1" s="72" t="s">
        <v>1910</v>
      </c>
      <c r="BR1" s="72" t="s">
        <v>1989</v>
      </c>
      <c r="BS1" s="72" t="s">
        <v>1990</v>
      </c>
      <c r="BT1" s="72" t="s">
        <v>1991</v>
      </c>
      <c r="BU1" s="72" t="s">
        <v>2000</v>
      </c>
      <c r="BV1" s="72" t="s">
        <v>2001</v>
      </c>
      <c r="BW1" s="220" t="s">
        <v>2040</v>
      </c>
      <c r="BX1" s="209" t="s">
        <v>2041</v>
      </c>
      <c r="BY1" s="72" t="s">
        <v>1837</v>
      </c>
      <c r="BZ1" s="72" t="s">
        <v>1840</v>
      </c>
    </row>
    <row r="2" spans="1:78" ht="25.5">
      <c r="B2" s="89">
        <v>1</v>
      </c>
      <c r="C2" s="92">
        <v>91</v>
      </c>
      <c r="D2" s="93">
        <v>492</v>
      </c>
      <c r="E2" s="94">
        <v>0.52430555555555558</v>
      </c>
      <c r="F2" s="94">
        <v>0.56944444444444442</v>
      </c>
      <c r="G2" s="94" t="s">
        <v>45</v>
      </c>
      <c r="H2" s="95" t="s">
        <v>474</v>
      </c>
      <c r="I2" s="96">
        <v>50</v>
      </c>
      <c r="J2" s="97">
        <v>50</v>
      </c>
      <c r="K2" s="98">
        <v>50</v>
      </c>
      <c r="L2" s="99" t="s">
        <v>1069</v>
      </c>
      <c r="M2" s="152" t="s">
        <v>2037</v>
      </c>
      <c r="N2" s="152" t="s">
        <v>2038</v>
      </c>
      <c r="O2" s="100" t="s">
        <v>1846</v>
      </c>
      <c r="P2" s="100">
        <v>54</v>
      </c>
      <c r="Q2" s="83" t="s">
        <v>1215</v>
      </c>
      <c r="R2" s="84">
        <v>53</v>
      </c>
      <c r="S2" s="26" t="s">
        <v>1302</v>
      </c>
      <c r="T2" s="26" t="s">
        <v>1303</v>
      </c>
      <c r="U2" s="26" t="s">
        <v>1304</v>
      </c>
      <c r="V2" s="26" t="s">
        <v>1305</v>
      </c>
      <c r="W2" s="62">
        <v>44805</v>
      </c>
      <c r="X2" s="62">
        <v>45169</v>
      </c>
      <c r="Y2" s="62"/>
      <c r="Z2" s="62"/>
      <c r="AA2" s="22" t="s">
        <v>1100</v>
      </c>
      <c r="AB2" s="23" t="s">
        <v>731</v>
      </c>
      <c r="AC2" s="23" t="s">
        <v>731</v>
      </c>
      <c r="AD2" s="23" t="s">
        <v>731</v>
      </c>
      <c r="AE2" s="23"/>
      <c r="AF2" s="23"/>
      <c r="AG2" s="23"/>
      <c r="AH2" s="23"/>
      <c r="AI2" s="23"/>
      <c r="AJ2" s="23"/>
      <c r="AK2" s="23" t="s">
        <v>731</v>
      </c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42">
        <v>150</v>
      </c>
      <c r="AY2" s="42"/>
      <c r="AZ2" s="42"/>
      <c r="BB2" s="43">
        <v>2</v>
      </c>
      <c r="BC2" s="41">
        <f>IF(AND((AV2/I2)&lt;2,BB2=1),(I2*2)-AV2,0)</f>
        <v>0</v>
      </c>
      <c r="BD2" s="41">
        <f>IF(AND((AV2/I2)&lt;3,BB2=2),(I2*3)-AV2,0)</f>
        <v>0</v>
      </c>
      <c r="BG2" s="18"/>
      <c r="BH2" s="18">
        <v>4</v>
      </c>
      <c r="BI2" s="18">
        <v>5</v>
      </c>
      <c r="BJ2" s="18">
        <v>4</v>
      </c>
      <c r="BK2" s="18">
        <v>3</v>
      </c>
      <c r="BL2" s="18">
        <v>4</v>
      </c>
      <c r="BM2" s="55">
        <f>SUM(AV2:AX2)+SUM(BC2:BD2)+SUM(BE2:BF2)+BG2</f>
        <v>150</v>
      </c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</row>
    <row r="3" spans="1:78" ht="25.5">
      <c r="B3" s="89">
        <v>2</v>
      </c>
      <c r="C3" s="92">
        <v>91</v>
      </c>
      <c r="D3" s="101">
        <v>492</v>
      </c>
      <c r="E3" s="102">
        <v>0.52430555555555558</v>
      </c>
      <c r="F3" s="102">
        <v>0.56944444444444442</v>
      </c>
      <c r="G3" s="103" t="s">
        <v>45</v>
      </c>
      <c r="H3" s="93" t="s">
        <v>155</v>
      </c>
      <c r="I3" s="101">
        <v>50</v>
      </c>
      <c r="J3" s="104">
        <v>50</v>
      </c>
      <c r="K3" s="98">
        <v>245</v>
      </c>
      <c r="L3" s="99" t="s">
        <v>1069</v>
      </c>
      <c r="M3" s="152" t="s">
        <v>2037</v>
      </c>
      <c r="N3" s="152" t="s">
        <v>2038</v>
      </c>
      <c r="O3" s="100" t="s">
        <v>1846</v>
      </c>
      <c r="P3" s="100">
        <v>54</v>
      </c>
      <c r="Q3" s="83" t="s">
        <v>1215</v>
      </c>
      <c r="R3" s="84">
        <v>53</v>
      </c>
      <c r="S3" s="26" t="s">
        <v>1302</v>
      </c>
      <c r="T3" s="26" t="s">
        <v>1303</v>
      </c>
      <c r="U3" s="26" t="s">
        <v>1304</v>
      </c>
      <c r="V3" s="26" t="s">
        <v>1305</v>
      </c>
      <c r="W3" s="62">
        <v>44805</v>
      </c>
      <c r="X3" s="62">
        <v>45169</v>
      </c>
      <c r="Y3" s="62"/>
      <c r="Z3" s="62"/>
      <c r="AA3" s="22" t="s">
        <v>1101</v>
      </c>
      <c r="AB3" s="23" t="s">
        <v>731</v>
      </c>
      <c r="AC3" s="23" t="s">
        <v>731</v>
      </c>
      <c r="AD3" s="23" t="s">
        <v>731</v>
      </c>
      <c r="AE3" s="23"/>
      <c r="AF3" s="23" t="s">
        <v>731</v>
      </c>
      <c r="AG3" s="23" t="s">
        <v>731</v>
      </c>
      <c r="AH3" s="23" t="s">
        <v>731</v>
      </c>
      <c r="AI3" s="23" t="s">
        <v>731</v>
      </c>
      <c r="AJ3" s="23" t="s">
        <v>731</v>
      </c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Y3" s="20" t="s">
        <v>717</v>
      </c>
      <c r="AZ3" s="20"/>
      <c r="BB3" s="43">
        <v>2</v>
      </c>
      <c r="BD3" s="41"/>
      <c r="BG3" s="18"/>
      <c r="BH3" s="18">
        <v>22</v>
      </c>
      <c r="BI3" s="45">
        <v>20</v>
      </c>
      <c r="BJ3" s="18">
        <v>21</v>
      </c>
      <c r="BK3" s="18">
        <v>20</v>
      </c>
      <c r="BL3" s="18">
        <v>21</v>
      </c>
      <c r="BM3" s="55">
        <f>SUM(AV3:AX3)+SUM(BC3:BD3)+SUM(BE3:BF3)+BG3</f>
        <v>0</v>
      </c>
      <c r="BN3" s="55" t="s">
        <v>1101</v>
      </c>
      <c r="BO3" s="77">
        <v>22</v>
      </c>
      <c r="BP3" s="77"/>
      <c r="BQ3" s="77">
        <v>20</v>
      </c>
      <c r="BR3" s="77"/>
      <c r="BS3" s="77">
        <v>21</v>
      </c>
      <c r="BT3" s="77"/>
      <c r="BU3" s="77">
        <v>20</v>
      </c>
      <c r="BV3" s="77"/>
      <c r="BW3" s="77">
        <v>21</v>
      </c>
      <c r="BX3" s="77"/>
      <c r="BY3" s="55">
        <v>400</v>
      </c>
    </row>
    <row r="4" spans="1:78" ht="25.5">
      <c r="B4" s="89">
        <v>3</v>
      </c>
      <c r="C4" s="92">
        <v>91</v>
      </c>
      <c r="D4" s="93">
        <v>493</v>
      </c>
      <c r="E4" s="94">
        <v>0.59375</v>
      </c>
      <c r="F4" s="94">
        <v>0.63541666666666663</v>
      </c>
      <c r="G4" s="94" t="s">
        <v>44</v>
      </c>
      <c r="H4" s="95" t="s">
        <v>474</v>
      </c>
      <c r="I4" s="96">
        <v>50</v>
      </c>
      <c r="J4" s="97">
        <v>50</v>
      </c>
      <c r="K4" s="98">
        <v>50</v>
      </c>
      <c r="L4" s="99" t="s">
        <v>1069</v>
      </c>
      <c r="M4" s="152" t="s">
        <v>2037</v>
      </c>
      <c r="N4" s="152" t="s">
        <v>2038</v>
      </c>
      <c r="O4" s="100" t="s">
        <v>1846</v>
      </c>
      <c r="P4" s="100">
        <v>54</v>
      </c>
      <c r="Q4" s="83" t="s">
        <v>1215</v>
      </c>
      <c r="R4" s="84">
        <v>53</v>
      </c>
      <c r="S4" s="26" t="s">
        <v>1304</v>
      </c>
      <c r="T4" s="26" t="e">
        <f>SUM('Extraurbano '!#REF!)</f>
        <v>#REF!</v>
      </c>
      <c r="U4" s="26" t="s">
        <v>1302</v>
      </c>
      <c r="V4" s="26" t="s">
        <v>1303</v>
      </c>
      <c r="W4" s="62">
        <v>44805</v>
      </c>
      <c r="X4" s="62">
        <v>45169</v>
      </c>
      <c r="Y4" s="62"/>
      <c r="Z4" s="62"/>
      <c r="AA4" s="22" t="s">
        <v>1100</v>
      </c>
      <c r="AB4" s="23" t="s">
        <v>731</v>
      </c>
      <c r="AC4" s="23" t="s">
        <v>731</v>
      </c>
      <c r="AD4" s="23" t="s">
        <v>731</v>
      </c>
      <c r="AE4" s="23"/>
      <c r="AF4" s="23"/>
      <c r="AG4" s="23"/>
      <c r="AH4" s="23"/>
      <c r="AI4" s="23"/>
      <c r="AJ4" s="23"/>
      <c r="AK4" s="23" t="s">
        <v>731</v>
      </c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42">
        <v>150</v>
      </c>
      <c r="AY4" s="42"/>
      <c r="AZ4" s="42"/>
      <c r="BB4" s="43">
        <v>2</v>
      </c>
      <c r="BC4" s="41">
        <f>IF(AND((AV4/I4)&lt;2,BB4=1),(I4*2)-AV4,0)</f>
        <v>0</v>
      </c>
      <c r="BD4" s="41">
        <f>IF(AND((AV4/I4)&lt;3,BB4=2),(I4*3)-AV4,0)</f>
        <v>0</v>
      </c>
      <c r="BG4" s="18"/>
      <c r="BH4" s="18">
        <v>4</v>
      </c>
      <c r="BI4" s="18">
        <v>5</v>
      </c>
      <c r="BJ4" s="18">
        <v>4</v>
      </c>
      <c r="BK4" s="18">
        <v>3</v>
      </c>
      <c r="BL4" s="18">
        <v>4</v>
      </c>
      <c r="BM4" s="55">
        <f>SUM(AV4:AX4)+SUM(BC4:BD4)+SUM(BE4:BF4)+BG4</f>
        <v>150</v>
      </c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</row>
    <row r="5" spans="1:78" ht="33.75">
      <c r="B5" s="89">
        <v>4</v>
      </c>
      <c r="C5" s="92">
        <v>91</v>
      </c>
      <c r="D5" s="101">
        <v>493</v>
      </c>
      <c r="E5" s="102">
        <v>0.59375</v>
      </c>
      <c r="F5" s="102">
        <v>0.63541666666666663</v>
      </c>
      <c r="G5" s="103" t="s">
        <v>44</v>
      </c>
      <c r="H5" s="93" t="s">
        <v>155</v>
      </c>
      <c r="I5" s="101">
        <v>50</v>
      </c>
      <c r="J5" s="104">
        <v>50</v>
      </c>
      <c r="K5" s="98">
        <v>245</v>
      </c>
      <c r="L5" s="99" t="s">
        <v>1069</v>
      </c>
      <c r="M5" s="152" t="s">
        <v>2037</v>
      </c>
      <c r="N5" s="152" t="s">
        <v>2038</v>
      </c>
      <c r="O5" s="100" t="s">
        <v>1846</v>
      </c>
      <c r="P5" s="100">
        <v>54</v>
      </c>
      <c r="Q5" s="83" t="s">
        <v>1215</v>
      </c>
      <c r="R5" s="84">
        <v>53</v>
      </c>
      <c r="S5" s="26" t="s">
        <v>1304</v>
      </c>
      <c r="T5" s="26" t="s">
        <v>1305</v>
      </c>
      <c r="U5" s="26" t="s">
        <v>1302</v>
      </c>
      <c r="V5" s="26" t="s">
        <v>1303</v>
      </c>
      <c r="W5" s="62">
        <v>44805</v>
      </c>
      <c r="X5" s="62">
        <v>45169</v>
      </c>
      <c r="Y5" s="62"/>
      <c r="Z5" s="62"/>
      <c r="AA5" s="22" t="s">
        <v>1101</v>
      </c>
      <c r="AB5" s="23" t="s">
        <v>731</v>
      </c>
      <c r="AC5" s="23" t="s">
        <v>731</v>
      </c>
      <c r="AD5" s="23" t="s">
        <v>731</v>
      </c>
      <c r="AE5" s="23"/>
      <c r="AF5" s="23" t="s">
        <v>731</v>
      </c>
      <c r="AG5" s="23" t="s">
        <v>731</v>
      </c>
      <c r="AH5" s="23" t="s">
        <v>731</v>
      </c>
      <c r="AI5" s="23" t="s">
        <v>731</v>
      </c>
      <c r="AJ5" s="23" t="s">
        <v>731</v>
      </c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Y5" s="20" t="s">
        <v>717</v>
      </c>
      <c r="AZ5" s="20"/>
      <c r="BB5" s="43">
        <v>2</v>
      </c>
      <c r="BD5" s="41"/>
      <c r="BG5" s="18"/>
      <c r="BH5" s="18">
        <v>22</v>
      </c>
      <c r="BI5" s="45">
        <v>20</v>
      </c>
      <c r="BJ5" s="18">
        <v>21</v>
      </c>
      <c r="BK5" s="18">
        <v>20</v>
      </c>
      <c r="BL5" s="18">
        <v>21</v>
      </c>
      <c r="BM5" s="55">
        <f>SUM(AV5:AX5)+SUM(BC5:BD5)+SUM(BE5:BF5)+BG5</f>
        <v>0</v>
      </c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</row>
    <row r="6" spans="1:78" ht="25.5">
      <c r="B6" s="89">
        <v>5</v>
      </c>
      <c r="C6" s="92">
        <v>91</v>
      </c>
      <c r="D6" s="101">
        <v>494</v>
      </c>
      <c r="E6" s="102">
        <v>0.86458333333333337</v>
      </c>
      <c r="F6" s="102">
        <v>0.90625</v>
      </c>
      <c r="G6" s="103" t="s">
        <v>45</v>
      </c>
      <c r="H6" s="93" t="s">
        <v>155</v>
      </c>
      <c r="I6" s="101">
        <v>50</v>
      </c>
      <c r="J6" s="104">
        <v>50</v>
      </c>
      <c r="K6" s="98">
        <v>245</v>
      </c>
      <c r="L6" s="99" t="s">
        <v>1069</v>
      </c>
      <c r="M6" s="152" t="s">
        <v>2037</v>
      </c>
      <c r="N6" s="152" t="s">
        <v>2038</v>
      </c>
      <c r="O6" s="100" t="s">
        <v>1846</v>
      </c>
      <c r="P6" s="100">
        <v>54</v>
      </c>
      <c r="Q6" s="83" t="s">
        <v>1215</v>
      </c>
      <c r="R6" s="84">
        <v>53</v>
      </c>
      <c r="S6" s="26" t="s">
        <v>1302</v>
      </c>
      <c r="T6" s="26" t="s">
        <v>1303</v>
      </c>
      <c r="U6" s="26" t="s">
        <v>1304</v>
      </c>
      <c r="V6" s="26" t="s">
        <v>1305</v>
      </c>
      <c r="W6" s="62">
        <v>44805</v>
      </c>
      <c r="X6" s="62">
        <v>45169</v>
      </c>
      <c r="Y6" s="62"/>
      <c r="Z6" s="62"/>
      <c r="AA6" s="22" t="s">
        <v>1101</v>
      </c>
      <c r="AB6" s="23" t="s">
        <v>731</v>
      </c>
      <c r="AC6" s="23" t="s">
        <v>731</v>
      </c>
      <c r="AD6" s="23" t="s">
        <v>731</v>
      </c>
      <c r="AE6" s="23"/>
      <c r="AF6" s="23" t="s">
        <v>731</v>
      </c>
      <c r="AG6" s="23" t="s">
        <v>731</v>
      </c>
      <c r="AH6" s="23" t="s">
        <v>731</v>
      </c>
      <c r="AI6" s="23" t="s">
        <v>731</v>
      </c>
      <c r="AJ6" s="23" t="s">
        <v>731</v>
      </c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Y6" s="20" t="s">
        <v>717</v>
      </c>
      <c r="AZ6" s="20"/>
      <c r="BB6" s="43">
        <v>2</v>
      </c>
      <c r="BD6" s="41"/>
      <c r="BG6" s="18"/>
      <c r="BH6" s="18">
        <v>22</v>
      </c>
      <c r="BI6" s="45">
        <v>20</v>
      </c>
      <c r="BJ6" s="18">
        <v>21</v>
      </c>
      <c r="BK6" s="18">
        <v>20</v>
      </c>
      <c r="BL6" s="18">
        <v>21</v>
      </c>
      <c r="BM6" s="55">
        <f>SUM(AV6:AX6)+SUM(BC6:BD6)+SUM(BE6:BF6)+BG6</f>
        <v>0</v>
      </c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</row>
    <row r="7" spans="1:78" ht="33.75">
      <c r="B7" s="89">
        <v>6</v>
      </c>
      <c r="C7" s="92">
        <v>91</v>
      </c>
      <c r="D7" s="93">
        <v>495</v>
      </c>
      <c r="E7" s="94">
        <v>0.92361111111111116</v>
      </c>
      <c r="F7" s="94">
        <v>0.96527777777777779</v>
      </c>
      <c r="G7" s="94" t="s">
        <v>44</v>
      </c>
      <c r="H7" s="95" t="s">
        <v>474</v>
      </c>
      <c r="I7" s="96">
        <v>50</v>
      </c>
      <c r="J7" s="97">
        <v>50</v>
      </c>
      <c r="K7" s="98">
        <v>50</v>
      </c>
      <c r="L7" s="99" t="s">
        <v>1069</v>
      </c>
      <c r="M7" s="152" t="s">
        <v>2037</v>
      </c>
      <c r="N7" s="152" t="s">
        <v>2038</v>
      </c>
      <c r="O7" s="100" t="s">
        <v>1846</v>
      </c>
      <c r="P7" s="100">
        <v>54</v>
      </c>
      <c r="Q7" s="83" t="s">
        <v>1215</v>
      </c>
      <c r="R7" s="84">
        <v>53</v>
      </c>
      <c r="S7" s="26" t="s">
        <v>1304</v>
      </c>
      <c r="T7" s="26" t="s">
        <v>1305</v>
      </c>
      <c r="U7" s="26" t="s">
        <v>1302</v>
      </c>
      <c r="V7" s="26" t="s">
        <v>1303</v>
      </c>
      <c r="W7" s="62">
        <v>44805</v>
      </c>
      <c r="X7" s="62">
        <v>45169</v>
      </c>
      <c r="Y7" s="62"/>
      <c r="Z7" s="62"/>
      <c r="AA7" s="22" t="s">
        <v>1100</v>
      </c>
      <c r="AB7" s="23" t="s">
        <v>731</v>
      </c>
      <c r="AC7" s="23" t="s">
        <v>731</v>
      </c>
      <c r="AD7" s="23" t="s">
        <v>731</v>
      </c>
      <c r="AE7" s="23"/>
      <c r="AF7" s="23"/>
      <c r="AG7" s="23"/>
      <c r="AH7" s="23"/>
      <c r="AI7" s="23"/>
      <c r="AJ7" s="23"/>
      <c r="AK7" s="23" t="s">
        <v>731</v>
      </c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42">
        <v>150</v>
      </c>
      <c r="AY7" s="42"/>
      <c r="AZ7" s="42"/>
      <c r="BB7" s="43">
        <v>2</v>
      </c>
      <c r="BC7" s="41">
        <f>IF(AND((AV7/I7)&lt;2,BB7=1),(I7*2)-AV7,0)</f>
        <v>0</v>
      </c>
      <c r="BD7" s="41">
        <f>IF(AND((AV7/I7)&lt;3,BB7=2),(I7*3)-AV7,0)</f>
        <v>0</v>
      </c>
      <c r="BG7" s="18"/>
      <c r="BH7" s="18">
        <v>4</v>
      </c>
      <c r="BI7" s="18">
        <v>5</v>
      </c>
      <c r="BJ7" s="18">
        <v>4</v>
      </c>
      <c r="BK7" s="18">
        <v>3</v>
      </c>
      <c r="BL7" s="18">
        <v>4</v>
      </c>
      <c r="BM7" s="55">
        <f>SUM(AV7:AX7)+SUM(BC7:BD7)+SUM(BE7:BF7)+BG7</f>
        <v>150</v>
      </c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</row>
    <row r="8" spans="1:78" ht="25.5">
      <c r="B8" s="89">
        <v>7</v>
      </c>
      <c r="C8" s="92">
        <v>91</v>
      </c>
      <c r="D8" s="101">
        <v>495</v>
      </c>
      <c r="E8" s="102">
        <v>0.92361111111111116</v>
      </c>
      <c r="F8" s="102">
        <v>0.96527777777777779</v>
      </c>
      <c r="G8" s="103" t="s">
        <v>44</v>
      </c>
      <c r="H8" s="93" t="s">
        <v>155</v>
      </c>
      <c r="I8" s="101">
        <v>50</v>
      </c>
      <c r="J8" s="104">
        <v>50</v>
      </c>
      <c r="K8" s="98">
        <v>245</v>
      </c>
      <c r="L8" s="99" t="s">
        <v>1069</v>
      </c>
      <c r="M8" s="152" t="s">
        <v>2037</v>
      </c>
      <c r="N8" s="152" t="s">
        <v>2038</v>
      </c>
      <c r="O8" s="100" t="s">
        <v>1846</v>
      </c>
      <c r="P8" s="100">
        <v>54</v>
      </c>
      <c r="Q8" s="83" t="s">
        <v>1215</v>
      </c>
      <c r="R8" s="84">
        <v>53</v>
      </c>
      <c r="S8" s="26" t="s">
        <v>1304</v>
      </c>
      <c r="T8" s="152" t="s">
        <v>2038</v>
      </c>
      <c r="U8" s="26" t="s">
        <v>1302</v>
      </c>
      <c r="V8" s="26" t="s">
        <v>1303</v>
      </c>
      <c r="W8" s="62">
        <v>44805</v>
      </c>
      <c r="X8" s="62">
        <v>45169</v>
      </c>
      <c r="Y8" s="62"/>
      <c r="Z8" s="62"/>
      <c r="AA8" s="22" t="s">
        <v>1101</v>
      </c>
      <c r="AB8" s="23" t="s">
        <v>731</v>
      </c>
      <c r="AC8" s="23" t="s">
        <v>731</v>
      </c>
      <c r="AD8" s="23" t="s">
        <v>731</v>
      </c>
      <c r="AE8" s="23"/>
      <c r="AF8" s="23" t="s">
        <v>731</v>
      </c>
      <c r="AG8" s="23" t="s">
        <v>731</v>
      </c>
      <c r="AH8" s="23" t="s">
        <v>731</v>
      </c>
      <c r="AI8" s="23" t="s">
        <v>731</v>
      </c>
      <c r="AJ8" s="23" t="s">
        <v>731</v>
      </c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Y8" s="20" t="s">
        <v>717</v>
      </c>
      <c r="AZ8" s="20"/>
      <c r="BB8" s="43">
        <v>2</v>
      </c>
      <c r="BD8" s="41"/>
      <c r="BG8" s="18"/>
      <c r="BH8" s="18">
        <v>22</v>
      </c>
      <c r="BI8" s="45">
        <v>20</v>
      </c>
      <c r="BJ8" s="18">
        <v>21</v>
      </c>
      <c r="BK8" s="18">
        <v>20</v>
      </c>
      <c r="BL8" s="18">
        <v>21</v>
      </c>
      <c r="BM8" s="55">
        <f>SUM(AV8:AX8)+SUM(BC8:BD8)+SUM(BE8:BF8)+BG8</f>
        <v>0</v>
      </c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</row>
    <row r="9" spans="1:78" ht="45">
      <c r="B9" s="89">
        <v>8</v>
      </c>
      <c r="C9" s="93">
        <v>102</v>
      </c>
      <c r="D9" s="93">
        <v>146</v>
      </c>
      <c r="E9" s="94">
        <v>0.55277777777777781</v>
      </c>
      <c r="F9" s="94">
        <v>0.5805555555555556</v>
      </c>
      <c r="G9" s="93" t="s">
        <v>166</v>
      </c>
      <c r="H9" s="93" t="s">
        <v>103</v>
      </c>
      <c r="I9" s="96">
        <v>19</v>
      </c>
      <c r="J9" s="97" t="s">
        <v>165</v>
      </c>
      <c r="K9" s="98">
        <v>174</v>
      </c>
      <c r="L9" s="99" t="s">
        <v>745</v>
      </c>
      <c r="M9" s="83" t="s">
        <v>900</v>
      </c>
      <c r="N9" s="83">
        <v>57</v>
      </c>
      <c r="O9" s="190" t="s">
        <v>1911</v>
      </c>
      <c r="P9" s="193">
        <v>50</v>
      </c>
      <c r="Q9" s="83" t="s">
        <v>1944</v>
      </c>
      <c r="R9" s="85" t="s">
        <v>1912</v>
      </c>
      <c r="S9" s="26" t="s">
        <v>1306</v>
      </c>
      <c r="T9" s="26" t="s">
        <v>1307</v>
      </c>
      <c r="U9" s="26">
        <v>1072</v>
      </c>
      <c r="V9" s="26" t="s">
        <v>1308</v>
      </c>
      <c r="W9" s="62">
        <v>44816</v>
      </c>
      <c r="X9" s="62">
        <v>45086</v>
      </c>
      <c r="Y9" s="62"/>
      <c r="Z9" s="62"/>
      <c r="AA9" s="22" t="s">
        <v>1102</v>
      </c>
      <c r="AB9" s="23"/>
      <c r="AC9" s="23"/>
      <c r="AD9" s="23"/>
      <c r="AE9" s="23" t="s">
        <v>731</v>
      </c>
      <c r="AF9" s="23" t="s">
        <v>731</v>
      </c>
      <c r="AG9" s="23" t="s">
        <v>731</v>
      </c>
      <c r="AH9" s="23" t="s">
        <v>731</v>
      </c>
      <c r="AI9" s="23" t="s">
        <v>731</v>
      </c>
      <c r="AJ9" s="23" t="s">
        <v>731</v>
      </c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42">
        <v>34.200000000000003</v>
      </c>
      <c r="AW9" s="18"/>
      <c r="AY9" s="42"/>
      <c r="AZ9" s="42"/>
      <c r="BB9" s="43">
        <v>2</v>
      </c>
      <c r="BC9" s="44"/>
      <c r="BD9" s="44"/>
      <c r="BG9" s="18"/>
      <c r="BH9" s="18">
        <v>15</v>
      </c>
      <c r="BI9" s="18">
        <v>20</v>
      </c>
      <c r="BJ9" s="18">
        <v>21</v>
      </c>
      <c r="BK9" s="18">
        <v>15</v>
      </c>
      <c r="BL9" s="18">
        <v>17</v>
      </c>
      <c r="BM9" s="55">
        <f>SUM(AV9:AX9)+SUM(BC9:BD9)+SUM(BE9:BF9)+BG9</f>
        <v>34.200000000000003</v>
      </c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</row>
    <row r="10" spans="1:78" ht="25.5">
      <c r="B10" s="89">
        <v>9</v>
      </c>
      <c r="C10" s="93">
        <v>103</v>
      </c>
      <c r="D10" s="95">
        <v>110</v>
      </c>
      <c r="E10" s="94">
        <v>0.51388888888888895</v>
      </c>
      <c r="F10" s="105">
        <v>0.59166666666666667</v>
      </c>
      <c r="G10" s="106" t="s">
        <v>938</v>
      </c>
      <c r="H10" s="93" t="s">
        <v>524</v>
      </c>
      <c r="I10" s="96">
        <v>62</v>
      </c>
      <c r="J10" s="97" t="s">
        <v>406</v>
      </c>
      <c r="K10" s="98">
        <v>45</v>
      </c>
      <c r="L10" s="99" t="s">
        <v>723</v>
      </c>
      <c r="M10" s="83" t="s">
        <v>936</v>
      </c>
      <c r="N10" s="83">
        <v>48</v>
      </c>
      <c r="O10" s="83" t="s">
        <v>1045</v>
      </c>
      <c r="P10" s="83">
        <v>45</v>
      </c>
      <c r="Q10" s="100" t="s">
        <v>1216</v>
      </c>
      <c r="R10" s="107">
        <v>56</v>
      </c>
      <c r="S10" s="26">
        <v>1</v>
      </c>
      <c r="T10" s="26" t="s">
        <v>1309</v>
      </c>
      <c r="U10" s="26">
        <v>1070</v>
      </c>
      <c r="V10" s="26" t="s">
        <v>1310</v>
      </c>
      <c r="W10" s="63">
        <v>44816</v>
      </c>
      <c r="X10" s="63">
        <v>45100</v>
      </c>
      <c r="Y10" s="63"/>
      <c r="Z10" s="63"/>
      <c r="AA10" s="17" t="s">
        <v>1103</v>
      </c>
      <c r="AB10" s="23" t="s">
        <v>731</v>
      </c>
      <c r="AC10" s="23"/>
      <c r="AD10" s="23"/>
      <c r="AE10" s="23"/>
      <c r="AF10" s="23"/>
      <c r="AG10" s="23"/>
      <c r="AH10" s="23"/>
      <c r="AI10" s="23"/>
      <c r="AJ10" s="23"/>
      <c r="AK10" s="23"/>
      <c r="AL10" s="23" t="s">
        <v>731</v>
      </c>
      <c r="AM10" s="23"/>
      <c r="AN10" s="23"/>
      <c r="AO10" s="23"/>
      <c r="AP10" s="23"/>
      <c r="AQ10" s="23"/>
      <c r="AR10" s="23"/>
      <c r="AS10" s="23"/>
      <c r="AT10" s="23"/>
      <c r="AU10" s="23"/>
      <c r="AV10" s="42">
        <v>186</v>
      </c>
      <c r="AY10" s="42"/>
      <c r="AZ10" s="42"/>
      <c r="BB10" s="43">
        <v>2</v>
      </c>
      <c r="BC10" s="41">
        <f>IF(AND((AV10/I10)&lt;2,BB10=1),(I10*2)-AV10,0)</f>
        <v>0</v>
      </c>
      <c r="BD10" s="41">
        <f>IF(AND((AV10/I10)&lt;3,BB10=2),(I10*3)-AV10,0)</f>
        <v>0</v>
      </c>
      <c r="BG10" s="18"/>
      <c r="BH10" s="18">
        <v>2</v>
      </c>
      <c r="BI10" s="18">
        <v>5</v>
      </c>
      <c r="BJ10" s="18">
        <v>5</v>
      </c>
      <c r="BK10" s="18">
        <v>6</v>
      </c>
      <c r="BL10" s="18">
        <v>6</v>
      </c>
      <c r="BM10" s="55">
        <f>SUM(AV10:AX10)+SUM(BC10:BD10)+SUM(BE10:BF10)+BG10</f>
        <v>186</v>
      </c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</row>
    <row r="11" spans="1:78" ht="25.5">
      <c r="B11" s="89">
        <v>10</v>
      </c>
      <c r="C11" s="101">
        <v>103</v>
      </c>
      <c r="D11" s="101">
        <v>110</v>
      </c>
      <c r="E11" s="102">
        <v>0.51388888888888895</v>
      </c>
      <c r="F11" s="108">
        <v>0.59166666666666667</v>
      </c>
      <c r="G11" s="106" t="s">
        <v>938</v>
      </c>
      <c r="H11" s="93" t="s">
        <v>549</v>
      </c>
      <c r="I11" s="101">
        <v>62</v>
      </c>
      <c r="J11" s="104">
        <v>30</v>
      </c>
      <c r="K11" s="98">
        <v>13</v>
      </c>
      <c r="L11" s="99" t="s">
        <v>723</v>
      </c>
      <c r="M11" s="83" t="s">
        <v>936</v>
      </c>
      <c r="N11" s="83">
        <v>48</v>
      </c>
      <c r="O11" s="83" t="s">
        <v>1045</v>
      </c>
      <c r="P11" s="83">
        <v>45</v>
      </c>
      <c r="Q11" s="100" t="s">
        <v>1216</v>
      </c>
      <c r="R11" s="107">
        <v>56</v>
      </c>
      <c r="S11" s="26">
        <v>1</v>
      </c>
      <c r="T11" s="26">
        <v>524859.14</v>
      </c>
      <c r="U11" s="26">
        <v>1070</v>
      </c>
      <c r="V11" s="26" t="s">
        <v>1310</v>
      </c>
      <c r="W11" s="63">
        <v>44562</v>
      </c>
      <c r="X11" s="63">
        <v>44815</v>
      </c>
      <c r="Y11" s="63">
        <v>45101</v>
      </c>
      <c r="Z11" s="63">
        <v>45169</v>
      </c>
      <c r="AA11" s="17" t="s">
        <v>1104</v>
      </c>
      <c r="AB11" s="23"/>
      <c r="AC11" s="23" t="s">
        <v>731</v>
      </c>
      <c r="AD11" s="23"/>
      <c r="AE11" s="23"/>
      <c r="AF11" s="23"/>
      <c r="AG11" s="23"/>
      <c r="AH11" s="23"/>
      <c r="AI11" s="23"/>
      <c r="AJ11" s="23"/>
      <c r="AK11" s="23"/>
      <c r="AL11" s="23" t="s">
        <v>731</v>
      </c>
      <c r="AM11" s="23"/>
      <c r="AN11" s="23"/>
      <c r="AO11" s="23"/>
      <c r="AP11" s="23"/>
      <c r="AQ11" s="23"/>
      <c r="AR11" s="23"/>
      <c r="AS11" s="23"/>
      <c r="AT11" s="23"/>
      <c r="AU11" s="23"/>
      <c r="AY11" s="19" t="s">
        <v>1007</v>
      </c>
      <c r="AZ11" s="19"/>
      <c r="BB11" s="45">
        <v>1</v>
      </c>
      <c r="BD11" s="41"/>
      <c r="BG11" s="18"/>
      <c r="BH11" s="18">
        <v>2</v>
      </c>
      <c r="BI11" s="18">
        <v>0</v>
      </c>
      <c r="BJ11" s="18">
        <v>0</v>
      </c>
      <c r="BK11" s="18">
        <v>0</v>
      </c>
      <c r="BL11" s="18">
        <v>0</v>
      </c>
      <c r="BM11" s="55">
        <f>SUM(AV11:AX11)+SUM(BC11:BD11)+SUM(BE11:BF11)+BG11</f>
        <v>0</v>
      </c>
      <c r="BN11" s="55" t="s">
        <v>1104</v>
      </c>
      <c r="BO11" s="77">
        <v>2</v>
      </c>
      <c r="BP11" s="77"/>
      <c r="BQ11" s="77">
        <v>0</v>
      </c>
      <c r="BR11" s="77"/>
      <c r="BS11" s="77">
        <v>0</v>
      </c>
      <c r="BT11" s="77"/>
      <c r="BU11" s="77">
        <v>0</v>
      </c>
      <c r="BV11" s="77"/>
      <c r="BW11" s="77">
        <v>0</v>
      </c>
      <c r="BX11" s="77"/>
      <c r="BY11" s="55">
        <v>350</v>
      </c>
    </row>
    <row r="12" spans="1:78" ht="25.5">
      <c r="B12" s="89">
        <v>11</v>
      </c>
      <c r="C12" s="93">
        <v>103</v>
      </c>
      <c r="D12" s="93">
        <v>118</v>
      </c>
      <c r="E12" s="94">
        <v>0.69444444444444453</v>
      </c>
      <c r="F12" s="94">
        <v>0.72916666666666663</v>
      </c>
      <c r="G12" s="93" t="s">
        <v>195</v>
      </c>
      <c r="H12" s="93" t="s">
        <v>194</v>
      </c>
      <c r="I12" s="96">
        <v>27</v>
      </c>
      <c r="J12" s="97" t="s">
        <v>165</v>
      </c>
      <c r="K12" s="98">
        <f>34+34+36+33</f>
        <v>137</v>
      </c>
      <c r="L12" s="99" t="s">
        <v>1069</v>
      </c>
      <c r="M12" s="152" t="s">
        <v>2037</v>
      </c>
      <c r="N12" s="152" t="s">
        <v>2038</v>
      </c>
      <c r="O12" s="83" t="s">
        <v>1217</v>
      </c>
      <c r="P12" s="83">
        <v>48</v>
      </c>
      <c r="Q12" s="83" t="s">
        <v>1218</v>
      </c>
      <c r="R12" s="107">
        <v>45</v>
      </c>
      <c r="S12" s="26">
        <v>1</v>
      </c>
      <c r="T12" s="26" t="s">
        <v>1309</v>
      </c>
      <c r="U12" s="26">
        <v>1113</v>
      </c>
      <c r="V12" s="26" t="s">
        <v>1311</v>
      </c>
      <c r="W12" s="62">
        <v>44816</v>
      </c>
      <c r="X12" s="62">
        <v>45086</v>
      </c>
      <c r="Y12" s="62"/>
      <c r="Z12" s="62"/>
      <c r="AA12" s="24" t="s">
        <v>1105</v>
      </c>
      <c r="AB12" s="23"/>
      <c r="AC12" s="23"/>
      <c r="AD12" s="23"/>
      <c r="AE12" s="23" t="s">
        <v>731</v>
      </c>
      <c r="AF12" s="23" t="s">
        <v>731</v>
      </c>
      <c r="AG12" s="23" t="s">
        <v>731</v>
      </c>
      <c r="AH12" s="23" t="s">
        <v>731</v>
      </c>
      <c r="AI12" s="23" t="s">
        <v>731</v>
      </c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42">
        <v>81</v>
      </c>
      <c r="AY12" s="42"/>
      <c r="AZ12" s="42"/>
      <c r="BB12" s="43">
        <v>2</v>
      </c>
      <c r="BC12" s="41">
        <f>IF(AND((AV12/I12)&lt;2,BB12=1),(I12*2)-AV12,0)</f>
        <v>0</v>
      </c>
      <c r="BD12" s="41">
        <f>IF(AND((AV12/I12)&lt;3,BB12=2),(I12*3)-AV12,0)</f>
        <v>0</v>
      </c>
      <c r="BG12" s="18"/>
      <c r="BH12" s="18">
        <v>12</v>
      </c>
      <c r="BI12" s="18">
        <v>16</v>
      </c>
      <c r="BJ12" s="18">
        <v>17</v>
      </c>
      <c r="BK12" s="18">
        <v>12</v>
      </c>
      <c r="BL12" s="18">
        <v>14</v>
      </c>
      <c r="BM12" s="55">
        <f>SUM(AV12:AX12)+SUM(BC12:BD12)+SUM(BE12:BF12)+BG12</f>
        <v>81</v>
      </c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</row>
    <row r="13" spans="1:78" ht="25.5">
      <c r="B13" s="89">
        <v>12</v>
      </c>
      <c r="C13" s="93">
        <v>103</v>
      </c>
      <c r="D13" s="95">
        <v>119</v>
      </c>
      <c r="E13" s="94">
        <v>0.70833333333333337</v>
      </c>
      <c r="F13" s="105">
        <v>0.78611111111111109</v>
      </c>
      <c r="G13" s="93" t="s">
        <v>23</v>
      </c>
      <c r="H13" s="93" t="s">
        <v>524</v>
      </c>
      <c r="I13" s="96">
        <v>62</v>
      </c>
      <c r="J13" s="97" t="s">
        <v>406</v>
      </c>
      <c r="K13" s="98">
        <v>45</v>
      </c>
      <c r="L13" s="99" t="s">
        <v>723</v>
      </c>
      <c r="M13" s="83" t="s">
        <v>936</v>
      </c>
      <c r="N13" s="83">
        <v>48</v>
      </c>
      <c r="O13" s="83" t="s">
        <v>1045</v>
      </c>
      <c r="P13" s="83">
        <v>45</v>
      </c>
      <c r="Q13" s="100" t="s">
        <v>1216</v>
      </c>
      <c r="R13" s="107">
        <v>56</v>
      </c>
      <c r="S13" s="26">
        <v>1070</v>
      </c>
      <c r="T13" s="26" t="s">
        <v>1310</v>
      </c>
      <c r="U13" s="26">
        <v>1</v>
      </c>
      <c r="V13" s="26" t="s">
        <v>1312</v>
      </c>
      <c r="W13" s="63">
        <v>44816</v>
      </c>
      <c r="X13" s="63">
        <v>45100</v>
      </c>
      <c r="Y13" s="63"/>
      <c r="Z13" s="63"/>
      <c r="AA13" s="17" t="s">
        <v>1103</v>
      </c>
      <c r="AB13" s="23" t="s">
        <v>731</v>
      </c>
      <c r="AC13" s="23"/>
      <c r="AD13" s="23"/>
      <c r="AE13" s="23"/>
      <c r="AF13" s="23"/>
      <c r="AG13" s="23"/>
      <c r="AH13" s="23"/>
      <c r="AI13" s="23"/>
      <c r="AJ13" s="23"/>
      <c r="AK13" s="23"/>
      <c r="AL13" s="23" t="s">
        <v>731</v>
      </c>
      <c r="AM13" s="23"/>
      <c r="AN13" s="23"/>
      <c r="AO13" s="23"/>
      <c r="AP13" s="23"/>
      <c r="AQ13" s="23"/>
      <c r="AR13" s="23"/>
      <c r="AS13" s="23"/>
      <c r="AT13" s="23"/>
      <c r="AU13" s="23"/>
      <c r="AV13" s="41">
        <v>186</v>
      </c>
      <c r="AY13" s="41"/>
      <c r="AZ13" s="41"/>
      <c r="BB13" s="43">
        <v>2</v>
      </c>
      <c r="BC13" s="41">
        <f>IF(AND((AV13/I13)&lt;2,BB13=1),(I13*2)-AV13,0)</f>
        <v>0</v>
      </c>
      <c r="BD13" s="41">
        <f>IF(AND((AV13/I13)&lt;3,BB13=2),(I13*3)-AV13,0)</f>
        <v>0</v>
      </c>
      <c r="BG13" s="18"/>
      <c r="BH13" s="18">
        <v>2</v>
      </c>
      <c r="BI13" s="18">
        <v>5</v>
      </c>
      <c r="BJ13" s="18">
        <v>5</v>
      </c>
      <c r="BK13" s="18">
        <v>6</v>
      </c>
      <c r="BL13" s="18">
        <v>6</v>
      </c>
      <c r="BM13" s="55">
        <f>SUM(AV13:AX13)+SUM(BC13:BD13)+SUM(BE13:BF13)+BG13</f>
        <v>186</v>
      </c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</row>
    <row r="14" spans="1:78" ht="25.5">
      <c r="B14" s="89">
        <v>13</v>
      </c>
      <c r="C14" s="101">
        <v>103</v>
      </c>
      <c r="D14" s="101">
        <v>119</v>
      </c>
      <c r="E14" s="102">
        <v>0.70833333333333337</v>
      </c>
      <c r="F14" s="102">
        <v>0.78888888888888886</v>
      </c>
      <c r="G14" s="103" t="s">
        <v>23</v>
      </c>
      <c r="H14" s="93" t="s">
        <v>549</v>
      </c>
      <c r="I14" s="101">
        <v>62</v>
      </c>
      <c r="J14" s="104">
        <v>30</v>
      </c>
      <c r="K14" s="98">
        <v>13</v>
      </c>
      <c r="L14" s="99" t="s">
        <v>723</v>
      </c>
      <c r="M14" s="83" t="s">
        <v>936</v>
      </c>
      <c r="N14" s="83">
        <v>48</v>
      </c>
      <c r="O14" s="83" t="s">
        <v>1045</v>
      </c>
      <c r="P14" s="83">
        <v>45</v>
      </c>
      <c r="Q14" s="100" t="s">
        <v>1216</v>
      </c>
      <c r="R14" s="107">
        <v>56</v>
      </c>
      <c r="S14" s="26">
        <v>1070</v>
      </c>
      <c r="T14" s="26" t="s">
        <v>1310</v>
      </c>
      <c r="U14" s="26">
        <v>1</v>
      </c>
      <c r="V14" s="26" t="s">
        <v>1312</v>
      </c>
      <c r="W14" s="63">
        <v>44562</v>
      </c>
      <c r="X14" s="63">
        <v>44815</v>
      </c>
      <c r="Y14" s="63">
        <v>45101</v>
      </c>
      <c r="Z14" s="63">
        <v>45169</v>
      </c>
      <c r="AA14" s="17" t="s">
        <v>1104</v>
      </c>
      <c r="AB14" s="23"/>
      <c r="AC14" s="23" t="s">
        <v>731</v>
      </c>
      <c r="AD14" s="23"/>
      <c r="AE14" s="23"/>
      <c r="AF14" s="23"/>
      <c r="AG14" s="23"/>
      <c r="AH14" s="23"/>
      <c r="AI14" s="23"/>
      <c r="AJ14" s="23"/>
      <c r="AK14" s="23"/>
      <c r="AL14" s="23" t="s">
        <v>731</v>
      </c>
      <c r="AM14" s="23"/>
      <c r="AN14" s="23"/>
      <c r="AO14" s="23"/>
      <c r="AP14" s="23"/>
      <c r="AQ14" s="23"/>
      <c r="AR14" s="23"/>
      <c r="AS14" s="23"/>
      <c r="AT14" s="23"/>
      <c r="AU14" s="23"/>
      <c r="AY14" s="19" t="s">
        <v>1008</v>
      </c>
      <c r="AZ14" s="19"/>
      <c r="BB14" s="45">
        <v>1</v>
      </c>
      <c r="BD14" s="41"/>
      <c r="BG14" s="18"/>
      <c r="BH14" s="18">
        <v>2</v>
      </c>
      <c r="BI14" s="18">
        <v>0</v>
      </c>
      <c r="BJ14" s="18">
        <v>0</v>
      </c>
      <c r="BK14" s="18">
        <v>0</v>
      </c>
      <c r="BL14" s="18">
        <v>0</v>
      </c>
      <c r="BM14" s="55">
        <f>SUM(AV14:AX14)+SUM(BC14:BD14)+SUM(BE14:BF14)+BG14</f>
        <v>0</v>
      </c>
      <c r="BN14" s="55" t="s">
        <v>1104</v>
      </c>
      <c r="BO14" s="77">
        <v>2</v>
      </c>
      <c r="BP14" s="77"/>
      <c r="BQ14" s="77">
        <v>0</v>
      </c>
      <c r="BR14" s="77"/>
      <c r="BS14" s="77">
        <v>0</v>
      </c>
      <c r="BT14" s="77"/>
      <c r="BU14" s="77">
        <v>0</v>
      </c>
      <c r="BV14" s="77"/>
      <c r="BW14" s="77">
        <v>0</v>
      </c>
      <c r="BX14" s="77"/>
      <c r="BY14" s="55">
        <v>350</v>
      </c>
    </row>
    <row r="15" spans="1:78" ht="45">
      <c r="B15" s="89">
        <v>14</v>
      </c>
      <c r="C15" s="101">
        <v>103</v>
      </c>
      <c r="D15" s="101">
        <v>124</v>
      </c>
      <c r="E15" s="102">
        <v>0.77430555555555547</v>
      </c>
      <c r="F15" s="108">
        <v>0.83333333333333337</v>
      </c>
      <c r="G15" s="103" t="s">
        <v>620</v>
      </c>
      <c r="H15" s="103" t="s">
        <v>474</v>
      </c>
      <c r="I15" s="101">
        <v>48</v>
      </c>
      <c r="J15" s="104">
        <v>50</v>
      </c>
      <c r="K15" s="98">
        <v>50</v>
      </c>
      <c r="L15" s="99" t="s">
        <v>2013</v>
      </c>
      <c r="M15" s="193" t="s">
        <v>2033</v>
      </c>
      <c r="N15" s="193">
        <v>57</v>
      </c>
      <c r="O15" s="83" t="s">
        <v>2034</v>
      </c>
      <c r="P15" s="83">
        <v>57</v>
      </c>
      <c r="Q15" s="83" t="s">
        <v>1945</v>
      </c>
      <c r="R15" s="2">
        <v>57</v>
      </c>
      <c r="S15" s="26">
        <v>1</v>
      </c>
      <c r="T15" s="26" t="s">
        <v>1309</v>
      </c>
      <c r="U15" s="26">
        <v>1122</v>
      </c>
      <c r="V15" s="26" t="s">
        <v>1313</v>
      </c>
      <c r="W15" s="62">
        <v>44805</v>
      </c>
      <c r="X15" s="62">
        <v>45169</v>
      </c>
      <c r="Y15" s="62"/>
      <c r="Z15" s="62"/>
      <c r="AA15" s="22" t="s">
        <v>1100</v>
      </c>
      <c r="AB15" s="23" t="s">
        <v>731</v>
      </c>
      <c r="AC15" s="23" t="s">
        <v>731</v>
      </c>
      <c r="AD15" s="23" t="s">
        <v>731</v>
      </c>
      <c r="AE15" s="23"/>
      <c r="AF15" s="23"/>
      <c r="AG15" s="23"/>
      <c r="AH15" s="23"/>
      <c r="AI15" s="23"/>
      <c r="AJ15" s="23"/>
      <c r="AK15" s="23" t="s">
        <v>731</v>
      </c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W15" s="41">
        <f>2.6*44</f>
        <v>114.4</v>
      </c>
      <c r="AY15" s="41"/>
      <c r="AZ15" s="41"/>
      <c r="BB15" s="43">
        <v>2</v>
      </c>
      <c r="BD15" s="41"/>
      <c r="BE15" s="44"/>
      <c r="BF15" s="44"/>
      <c r="BG15" s="18"/>
      <c r="BH15" s="18">
        <v>4</v>
      </c>
      <c r="BI15" s="18">
        <v>5</v>
      </c>
      <c r="BJ15" s="18">
        <v>4</v>
      </c>
      <c r="BK15" s="18">
        <v>5</v>
      </c>
      <c r="BL15" s="18">
        <v>4</v>
      </c>
      <c r="BM15" s="55">
        <f>SUM(AV15:AX15)+SUM(BC15:BD15)+SUM(BE15:BF15)+BG15</f>
        <v>114.4</v>
      </c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</row>
    <row r="16" spans="1:78" ht="45">
      <c r="B16" s="89">
        <v>15</v>
      </c>
      <c r="C16" s="101">
        <v>103</v>
      </c>
      <c r="D16" s="101">
        <v>124</v>
      </c>
      <c r="E16" s="102">
        <v>0.77430555555555547</v>
      </c>
      <c r="F16" s="102">
        <v>0.82638888888888884</v>
      </c>
      <c r="G16" s="103" t="s">
        <v>619</v>
      </c>
      <c r="H16" s="93" t="s">
        <v>155</v>
      </c>
      <c r="I16" s="101">
        <v>44</v>
      </c>
      <c r="J16" s="104">
        <v>50</v>
      </c>
      <c r="K16" s="98">
        <v>252</v>
      </c>
      <c r="L16" s="99" t="s">
        <v>2013</v>
      </c>
      <c r="M16" s="193" t="s">
        <v>2033</v>
      </c>
      <c r="N16" s="193">
        <v>57</v>
      </c>
      <c r="O16" s="190" t="s">
        <v>2035</v>
      </c>
      <c r="P16" s="193">
        <v>50</v>
      </c>
      <c r="Q16" s="83" t="s">
        <v>1945</v>
      </c>
      <c r="R16" s="2">
        <v>57</v>
      </c>
      <c r="S16" s="26">
        <v>1</v>
      </c>
      <c r="T16" s="26" t="s">
        <v>1309</v>
      </c>
      <c r="U16" s="26">
        <v>1122</v>
      </c>
      <c r="V16" s="26" t="s">
        <v>1313</v>
      </c>
      <c r="W16" s="62">
        <v>44805</v>
      </c>
      <c r="X16" s="62">
        <v>45169</v>
      </c>
      <c r="Y16" s="62"/>
      <c r="Z16" s="62"/>
      <c r="AA16" s="22" t="s">
        <v>1101</v>
      </c>
      <c r="AB16" s="23" t="s">
        <v>731</v>
      </c>
      <c r="AC16" s="23" t="s">
        <v>731</v>
      </c>
      <c r="AD16" s="23" t="s">
        <v>731</v>
      </c>
      <c r="AE16" s="23"/>
      <c r="AF16" s="23" t="s">
        <v>731</v>
      </c>
      <c r="AG16" s="23" t="s">
        <v>731</v>
      </c>
      <c r="AH16" s="23" t="s">
        <v>731</v>
      </c>
      <c r="AI16" s="23" t="s">
        <v>731</v>
      </c>
      <c r="AJ16" s="23" t="s">
        <v>731</v>
      </c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W16" s="41">
        <f>2.6*44</f>
        <v>114.4</v>
      </c>
      <c r="AY16" s="41"/>
      <c r="AZ16" s="41"/>
      <c r="BB16" s="43">
        <v>2</v>
      </c>
      <c r="BD16" s="41"/>
      <c r="BE16" s="44"/>
      <c r="BF16" s="44"/>
      <c r="BG16" s="18"/>
      <c r="BH16" s="18">
        <v>22</v>
      </c>
      <c r="BI16" s="18">
        <v>21</v>
      </c>
      <c r="BJ16" s="18">
        <v>21</v>
      </c>
      <c r="BK16" s="18">
        <v>20</v>
      </c>
      <c r="BL16" s="18">
        <v>21</v>
      </c>
      <c r="BM16" s="55">
        <f>SUM(AV16:AX16)+SUM(BC16:BD16)+SUM(BE16:BF16)+BG16</f>
        <v>114.4</v>
      </c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</row>
    <row r="17" spans="1:77" ht="33.75">
      <c r="B17" s="89">
        <v>16</v>
      </c>
      <c r="C17" s="101">
        <v>107</v>
      </c>
      <c r="D17" s="101">
        <v>570</v>
      </c>
      <c r="E17" s="102">
        <v>0.71180555555555547</v>
      </c>
      <c r="F17" s="102">
        <v>0.72638888888888886</v>
      </c>
      <c r="G17" s="103" t="s">
        <v>50</v>
      </c>
      <c r="H17" s="93" t="s">
        <v>97</v>
      </c>
      <c r="I17" s="101">
        <v>15</v>
      </c>
      <c r="J17" s="104">
        <v>30</v>
      </c>
      <c r="K17" s="98">
        <v>208</v>
      </c>
      <c r="L17" s="99" t="s">
        <v>2013</v>
      </c>
      <c r="M17" s="193" t="s">
        <v>2033</v>
      </c>
      <c r="N17" s="193">
        <v>57</v>
      </c>
      <c r="O17" s="83" t="s">
        <v>2034</v>
      </c>
      <c r="P17" s="83">
        <v>57</v>
      </c>
      <c r="Q17" s="83" t="s">
        <v>1948</v>
      </c>
      <c r="R17" s="83" t="s">
        <v>983</v>
      </c>
      <c r="S17" s="26">
        <v>6120</v>
      </c>
      <c r="T17" s="26" t="s">
        <v>1314</v>
      </c>
      <c r="U17" s="26" t="s">
        <v>1315</v>
      </c>
      <c r="V17" s="26" t="s">
        <v>1316</v>
      </c>
      <c r="W17" s="62">
        <v>44816</v>
      </c>
      <c r="X17" s="62">
        <v>45086</v>
      </c>
      <c r="Y17" s="62"/>
      <c r="Z17" s="62"/>
      <c r="AA17" s="22" t="s">
        <v>1106</v>
      </c>
      <c r="AB17" s="23"/>
      <c r="AC17" s="23"/>
      <c r="AD17" s="23"/>
      <c r="AE17" s="23" t="s">
        <v>731</v>
      </c>
      <c r="AF17" s="23" t="s">
        <v>731</v>
      </c>
      <c r="AG17" s="23" t="s">
        <v>731</v>
      </c>
      <c r="AH17" s="23" t="s">
        <v>731</v>
      </c>
      <c r="AI17" s="23" t="s">
        <v>731</v>
      </c>
      <c r="AJ17" s="23" t="s">
        <v>731</v>
      </c>
      <c r="AK17" s="23" t="s">
        <v>731</v>
      </c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W17" s="18"/>
      <c r="AY17" s="20" t="s">
        <v>722</v>
      </c>
      <c r="AZ17" s="20"/>
      <c r="BB17" s="45">
        <v>1</v>
      </c>
      <c r="BD17" s="41"/>
      <c r="BG17" s="18"/>
      <c r="BH17" s="18">
        <v>17</v>
      </c>
      <c r="BI17" s="18">
        <v>25</v>
      </c>
      <c r="BJ17" s="18">
        <v>25</v>
      </c>
      <c r="BK17" s="18">
        <v>18</v>
      </c>
      <c r="BL17" s="18">
        <v>20</v>
      </c>
      <c r="BM17" s="55">
        <f>SUM(AV17:AX17)+SUM(BC17:BD17)+SUM(BE17:BF17)+BG17</f>
        <v>0</v>
      </c>
      <c r="BN17" s="55" t="s">
        <v>1106</v>
      </c>
      <c r="BO17" s="77">
        <v>17</v>
      </c>
      <c r="BP17" s="77"/>
      <c r="BQ17" s="77">
        <v>25</v>
      </c>
      <c r="BR17" s="77"/>
      <c r="BS17" s="77">
        <v>25</v>
      </c>
      <c r="BT17" s="77"/>
      <c r="BU17" s="77">
        <v>18</v>
      </c>
      <c r="BV17" s="77"/>
      <c r="BW17" s="77">
        <v>20</v>
      </c>
      <c r="BX17" s="77"/>
      <c r="BY17" s="55">
        <v>165</v>
      </c>
    </row>
    <row r="18" spans="1:77" ht="25.5">
      <c r="B18" s="89">
        <v>17</v>
      </c>
      <c r="C18" s="101">
        <v>107</v>
      </c>
      <c r="D18" s="101">
        <v>571</v>
      </c>
      <c r="E18" s="102">
        <v>0.72638888888888886</v>
      </c>
      <c r="F18" s="102">
        <v>0.7402777777777777</v>
      </c>
      <c r="G18" s="103" t="s">
        <v>49</v>
      </c>
      <c r="H18" s="93" t="s">
        <v>97</v>
      </c>
      <c r="I18" s="101">
        <v>15</v>
      </c>
      <c r="J18" s="104">
        <v>30</v>
      </c>
      <c r="K18" s="98">
        <v>208</v>
      </c>
      <c r="L18" s="99" t="s">
        <v>2013</v>
      </c>
      <c r="M18" s="193" t="s">
        <v>2033</v>
      </c>
      <c r="N18" s="193">
        <v>57</v>
      </c>
      <c r="O18" s="190" t="s">
        <v>2035</v>
      </c>
      <c r="P18" s="193">
        <v>50</v>
      </c>
      <c r="Q18" s="83" t="s">
        <v>1948</v>
      </c>
      <c r="R18" s="83" t="s">
        <v>983</v>
      </c>
      <c r="S18" s="26" t="s">
        <v>1315</v>
      </c>
      <c r="T18" s="26" t="s">
        <v>1316</v>
      </c>
      <c r="U18" s="26">
        <v>6120</v>
      </c>
      <c r="V18" s="26" t="s">
        <v>1314</v>
      </c>
      <c r="W18" s="62">
        <v>44816</v>
      </c>
      <c r="X18" s="62">
        <v>45086</v>
      </c>
      <c r="Y18" s="62"/>
      <c r="Z18" s="62"/>
      <c r="AA18" s="22" t="s">
        <v>1106</v>
      </c>
      <c r="AB18" s="23"/>
      <c r="AC18" s="23"/>
      <c r="AD18" s="23"/>
      <c r="AE18" s="23" t="s">
        <v>731</v>
      </c>
      <c r="AF18" s="23" t="s">
        <v>731</v>
      </c>
      <c r="AG18" s="23" t="s">
        <v>731</v>
      </c>
      <c r="AH18" s="23" t="s">
        <v>731</v>
      </c>
      <c r="AI18" s="23" t="s">
        <v>731</v>
      </c>
      <c r="AJ18" s="23" t="s">
        <v>731</v>
      </c>
      <c r="AK18" s="23" t="s">
        <v>731</v>
      </c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W18" s="18"/>
      <c r="AY18" s="20" t="s">
        <v>722</v>
      </c>
      <c r="AZ18" s="20"/>
      <c r="BB18" s="45">
        <v>1</v>
      </c>
      <c r="BD18" s="41"/>
      <c r="BG18" s="18"/>
      <c r="BH18" s="18">
        <v>17</v>
      </c>
      <c r="BI18" s="18">
        <v>25</v>
      </c>
      <c r="BJ18" s="18">
        <v>25</v>
      </c>
      <c r="BK18" s="18">
        <v>18</v>
      </c>
      <c r="BL18" s="18">
        <v>20</v>
      </c>
      <c r="BM18" s="55">
        <f>SUM(AV18:AX18)+SUM(BC18:BD18)+SUM(BE18:BF18)+BG18</f>
        <v>0</v>
      </c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</row>
    <row r="19" spans="1:77" ht="25.5">
      <c r="B19" s="89">
        <v>18</v>
      </c>
      <c r="C19" s="93">
        <v>120</v>
      </c>
      <c r="D19" s="95">
        <v>178</v>
      </c>
      <c r="E19" s="94">
        <v>0.62013888888888891</v>
      </c>
      <c r="F19" s="94">
        <v>0.62708333333333333</v>
      </c>
      <c r="G19" s="93" t="s">
        <v>458</v>
      </c>
      <c r="H19" s="93" t="s">
        <v>524</v>
      </c>
      <c r="I19" s="96">
        <v>4</v>
      </c>
      <c r="J19" s="97" t="s">
        <v>406</v>
      </c>
      <c r="K19" s="98">
        <v>45</v>
      </c>
      <c r="L19" s="109" t="s">
        <v>723</v>
      </c>
      <c r="M19" s="83" t="s">
        <v>936</v>
      </c>
      <c r="N19" s="83">
        <v>48</v>
      </c>
      <c r="O19" s="83" t="s">
        <v>1045</v>
      </c>
      <c r="P19" s="83">
        <v>45</v>
      </c>
      <c r="Q19" s="100" t="s">
        <v>1216</v>
      </c>
      <c r="R19" s="107">
        <v>56</v>
      </c>
      <c r="S19" s="26" t="s">
        <v>1317</v>
      </c>
      <c r="T19" s="26" t="s">
        <v>1318</v>
      </c>
      <c r="U19" s="26">
        <v>1070</v>
      </c>
      <c r="V19" s="26" t="s">
        <v>1310</v>
      </c>
      <c r="W19" s="63">
        <v>44816</v>
      </c>
      <c r="X19" s="63">
        <v>45100</v>
      </c>
      <c r="Y19" s="63"/>
      <c r="Z19" s="63"/>
      <c r="AA19" s="17" t="s">
        <v>1103</v>
      </c>
      <c r="AB19" s="23" t="s">
        <v>731</v>
      </c>
      <c r="AC19" s="23"/>
      <c r="AD19" s="23"/>
      <c r="AE19" s="23"/>
      <c r="AF19" s="23"/>
      <c r="AG19" s="23"/>
      <c r="AH19" s="23"/>
      <c r="AI19" s="23"/>
      <c r="AJ19" s="23"/>
      <c r="AK19" s="23"/>
      <c r="AL19" s="23" t="s">
        <v>731</v>
      </c>
      <c r="AM19" s="23"/>
      <c r="AN19" s="23"/>
      <c r="AO19" s="23"/>
      <c r="AP19" s="23"/>
      <c r="AQ19" s="23"/>
      <c r="AR19" s="23"/>
      <c r="AS19" s="23"/>
      <c r="AT19" s="23"/>
      <c r="AU19" s="23"/>
      <c r="AV19" s="42">
        <v>12</v>
      </c>
      <c r="AY19" s="42"/>
      <c r="AZ19" s="42"/>
      <c r="BB19" s="43">
        <v>2</v>
      </c>
      <c r="BC19" s="41">
        <f>IF(AND((AV19/I19)&lt;2,BB19=1),(I19*2)-AV19,0)</f>
        <v>0</v>
      </c>
      <c r="BD19" s="41">
        <f>IF(AND((AV19/I19)&lt;3,BB19=2),(I19*3)-AV19,0)</f>
        <v>0</v>
      </c>
      <c r="BG19" s="18"/>
      <c r="BH19" s="18">
        <v>2</v>
      </c>
      <c r="BI19" s="18">
        <v>5</v>
      </c>
      <c r="BJ19" s="18">
        <v>5</v>
      </c>
      <c r="BK19" s="18">
        <v>6</v>
      </c>
      <c r="BL19" s="18">
        <v>6</v>
      </c>
      <c r="BM19" s="55">
        <f>SUM(AV19:AX19)+SUM(BC19:BD19)+SUM(BE19:BF19)+BG19</f>
        <v>12</v>
      </c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</row>
    <row r="20" spans="1:77" ht="25.5">
      <c r="B20" s="89">
        <v>19</v>
      </c>
      <c r="C20" s="93">
        <v>120</v>
      </c>
      <c r="D20" s="95">
        <v>55</v>
      </c>
      <c r="E20" s="94">
        <v>0.66180555555555554</v>
      </c>
      <c r="F20" s="94">
        <v>0.66875000000000007</v>
      </c>
      <c r="G20" s="93" t="s">
        <v>458</v>
      </c>
      <c r="H20" s="93" t="s">
        <v>549</v>
      </c>
      <c r="I20" s="96">
        <v>4</v>
      </c>
      <c r="J20" s="97" t="s">
        <v>93</v>
      </c>
      <c r="K20" s="98">
        <v>13</v>
      </c>
      <c r="L20" s="99" t="s">
        <v>723</v>
      </c>
      <c r="M20" s="83" t="s">
        <v>936</v>
      </c>
      <c r="N20" s="83">
        <v>48</v>
      </c>
      <c r="O20" s="83" t="s">
        <v>1045</v>
      </c>
      <c r="P20" s="83">
        <v>45</v>
      </c>
      <c r="Q20" s="100" t="s">
        <v>1216</v>
      </c>
      <c r="R20" s="107">
        <v>56</v>
      </c>
      <c r="S20" s="26">
        <v>1070</v>
      </c>
      <c r="T20" s="26" t="s">
        <v>1310</v>
      </c>
      <c r="U20" s="26" t="s">
        <v>1317</v>
      </c>
      <c r="V20" s="26" t="s">
        <v>1318</v>
      </c>
      <c r="W20" s="63">
        <v>44562</v>
      </c>
      <c r="X20" s="63">
        <v>44815</v>
      </c>
      <c r="Y20" s="63">
        <v>45101</v>
      </c>
      <c r="Z20" s="63">
        <v>45169</v>
      </c>
      <c r="AA20" s="17" t="s">
        <v>1104</v>
      </c>
      <c r="AB20" s="23"/>
      <c r="AC20" s="23" t="s">
        <v>731</v>
      </c>
      <c r="AD20" s="23"/>
      <c r="AE20" s="23"/>
      <c r="AF20" s="23"/>
      <c r="AG20" s="23"/>
      <c r="AH20" s="23"/>
      <c r="AI20" s="23"/>
      <c r="AJ20" s="23"/>
      <c r="AK20" s="23"/>
      <c r="AL20" s="23" t="s">
        <v>731</v>
      </c>
      <c r="AM20" s="23"/>
      <c r="AN20" s="23"/>
      <c r="AO20" s="23"/>
      <c r="AP20" s="23"/>
      <c r="AQ20" s="23"/>
      <c r="AR20" s="23"/>
      <c r="AS20" s="23"/>
      <c r="AT20" s="23"/>
      <c r="AU20" s="23"/>
      <c r="AV20" s="42">
        <v>18</v>
      </c>
      <c r="AY20" s="42"/>
      <c r="AZ20" s="42"/>
      <c r="BB20" s="45">
        <v>1</v>
      </c>
      <c r="BC20" s="41">
        <f>IF(AND((AV20/I20)&lt;2,BB20=1),(I20*2)-AV20,0)</f>
        <v>0</v>
      </c>
      <c r="BD20" s="41">
        <f>IF(AND((AV20/I20)&lt;3,BB20=2),(I20*3)-AV20,0)</f>
        <v>0</v>
      </c>
      <c r="BG20" s="18"/>
      <c r="BH20" s="18">
        <v>2</v>
      </c>
      <c r="BI20" s="18">
        <v>0</v>
      </c>
      <c r="BJ20" s="18">
        <v>0</v>
      </c>
      <c r="BK20" s="18">
        <v>0</v>
      </c>
      <c r="BL20" s="18">
        <v>0</v>
      </c>
      <c r="BM20" s="55">
        <f>SUM(AV20:AX20)+SUM(BC20:BD20)+SUM(BE20:BF20)+BG20</f>
        <v>18</v>
      </c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</row>
    <row r="21" spans="1:77" ht="25.5">
      <c r="B21" s="89">
        <v>20</v>
      </c>
      <c r="C21" s="93">
        <v>120</v>
      </c>
      <c r="D21" s="95">
        <v>90</v>
      </c>
      <c r="E21" s="94">
        <v>0.66180555555555554</v>
      </c>
      <c r="F21" s="94">
        <v>0.66875000000000007</v>
      </c>
      <c r="G21" s="93" t="s">
        <v>458</v>
      </c>
      <c r="H21" s="93" t="s">
        <v>524</v>
      </c>
      <c r="I21" s="96">
        <v>4</v>
      </c>
      <c r="J21" s="97" t="s">
        <v>406</v>
      </c>
      <c r="K21" s="98">
        <v>45</v>
      </c>
      <c r="L21" s="109" t="s">
        <v>723</v>
      </c>
      <c r="M21" s="83" t="s">
        <v>936</v>
      </c>
      <c r="N21" s="83">
        <v>48</v>
      </c>
      <c r="O21" s="83" t="s">
        <v>1045</v>
      </c>
      <c r="P21" s="83">
        <v>45</v>
      </c>
      <c r="Q21" s="100" t="s">
        <v>1216</v>
      </c>
      <c r="R21" s="107">
        <v>56</v>
      </c>
      <c r="S21" s="26">
        <v>1070</v>
      </c>
      <c r="T21" s="26" t="s">
        <v>1310</v>
      </c>
      <c r="U21" s="26" t="s">
        <v>1317</v>
      </c>
      <c r="V21" s="26" t="s">
        <v>1318</v>
      </c>
      <c r="W21" s="63">
        <v>44816</v>
      </c>
      <c r="X21" s="63">
        <v>45100</v>
      </c>
      <c r="Y21" s="63"/>
      <c r="Z21" s="63"/>
      <c r="AA21" s="17" t="s">
        <v>1103</v>
      </c>
      <c r="AB21" s="23" t="s">
        <v>731</v>
      </c>
      <c r="AC21" s="23"/>
      <c r="AD21" s="23"/>
      <c r="AE21" s="23"/>
      <c r="AF21" s="23"/>
      <c r="AG21" s="23"/>
      <c r="AH21" s="23"/>
      <c r="AI21" s="23"/>
      <c r="AJ21" s="23"/>
      <c r="AK21" s="23"/>
      <c r="AL21" s="23" t="s">
        <v>731</v>
      </c>
      <c r="AM21" s="23"/>
      <c r="AN21" s="23"/>
      <c r="AO21" s="23"/>
      <c r="AP21" s="23"/>
      <c r="AQ21" s="23"/>
      <c r="AR21" s="23"/>
      <c r="AS21" s="23"/>
      <c r="AT21" s="23"/>
      <c r="AU21" s="23"/>
      <c r="AV21" s="42">
        <v>12</v>
      </c>
      <c r="AY21" s="42"/>
      <c r="AZ21" s="42"/>
      <c r="BB21" s="43">
        <v>2</v>
      </c>
      <c r="BC21" s="41">
        <f>IF(AND((AV21/I21)&lt;2,BB21=1),(I21*2)-AV21,0)</f>
        <v>0</v>
      </c>
      <c r="BD21" s="41">
        <f>IF(AND((AV21/I21)&lt;3,BB21=2),(I21*3)-AV21,0)</f>
        <v>0</v>
      </c>
      <c r="BG21" s="18"/>
      <c r="BH21" s="18">
        <v>2</v>
      </c>
      <c r="BI21" s="18">
        <v>5</v>
      </c>
      <c r="BJ21" s="18">
        <v>5</v>
      </c>
      <c r="BK21" s="18">
        <v>6</v>
      </c>
      <c r="BL21" s="18">
        <v>6</v>
      </c>
      <c r="BM21" s="55">
        <f>SUM(AV21:AX21)+SUM(BC21:BD21)+SUM(BE21:BF21)+BG21</f>
        <v>12</v>
      </c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</row>
    <row r="22" spans="1:77" ht="33.75">
      <c r="B22" s="89">
        <v>21</v>
      </c>
      <c r="C22" s="93">
        <v>123</v>
      </c>
      <c r="D22" s="93">
        <v>172</v>
      </c>
      <c r="E22" s="94">
        <v>0.36805555555555558</v>
      </c>
      <c r="F22" s="94">
        <v>0.40138888888888885</v>
      </c>
      <c r="G22" s="93" t="s">
        <v>337</v>
      </c>
      <c r="H22" s="93" t="s">
        <v>423</v>
      </c>
      <c r="I22" s="96">
        <v>22</v>
      </c>
      <c r="J22" s="97" t="s">
        <v>101</v>
      </c>
      <c r="K22" s="98">
        <v>67</v>
      </c>
      <c r="L22" s="99" t="s">
        <v>737</v>
      </c>
      <c r="M22" s="152" t="s">
        <v>2022</v>
      </c>
      <c r="N22" s="152">
        <v>43</v>
      </c>
      <c r="O22" s="83" t="s">
        <v>1935</v>
      </c>
      <c r="P22" s="83" t="s">
        <v>1219</v>
      </c>
      <c r="R22" s="83"/>
      <c r="S22" s="26" t="s">
        <v>1319</v>
      </c>
      <c r="T22" s="26" t="s">
        <v>1320</v>
      </c>
      <c r="U22" s="26">
        <v>1255</v>
      </c>
      <c r="V22" s="26" t="s">
        <v>1321</v>
      </c>
      <c r="W22" s="63">
        <v>44562</v>
      </c>
      <c r="X22" s="63">
        <v>44815</v>
      </c>
      <c r="Y22" s="63">
        <v>45101</v>
      </c>
      <c r="Z22" s="63">
        <v>45169</v>
      </c>
      <c r="AA22" s="23" t="s">
        <v>1107</v>
      </c>
      <c r="AB22" s="23"/>
      <c r="AC22" s="23" t="s">
        <v>731</v>
      </c>
      <c r="AD22" s="23" t="s">
        <v>731</v>
      </c>
      <c r="AE22" s="23"/>
      <c r="AF22" s="23" t="s">
        <v>731</v>
      </c>
      <c r="AG22" s="23" t="s">
        <v>731</v>
      </c>
      <c r="AH22" s="23" t="s">
        <v>731</v>
      </c>
      <c r="AI22" s="23" t="s">
        <v>731</v>
      </c>
      <c r="AJ22" s="23" t="s">
        <v>731</v>
      </c>
      <c r="AK22" s="23" t="s">
        <v>731</v>
      </c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42">
        <v>63.39</v>
      </c>
      <c r="AW22" s="18"/>
      <c r="AY22" s="42"/>
      <c r="AZ22" s="42"/>
      <c r="BB22" s="43">
        <v>2</v>
      </c>
      <c r="BC22" s="41">
        <f>IF(AND((AV22/I22)&lt;2,BB22=1),(I22*2)-AV22,0)</f>
        <v>0</v>
      </c>
      <c r="BD22" s="41">
        <f>IF(AND((AV22/I22)&lt;3,BB22=2),(I22*3)-AV22,0)</f>
        <v>2.6099999999999994</v>
      </c>
      <c r="BG22" s="18"/>
      <c r="BH22" s="18">
        <v>9</v>
      </c>
      <c r="BI22" s="18">
        <v>0</v>
      </c>
      <c r="BJ22" s="18">
        <v>0</v>
      </c>
      <c r="BK22" s="18">
        <v>0</v>
      </c>
      <c r="BL22" s="18">
        <v>0</v>
      </c>
      <c r="BM22" s="55">
        <f>SUM(AV22:AX22)+SUM(BC22:BD22)+SUM(BE22:BF22)+BG22</f>
        <v>66</v>
      </c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</row>
    <row r="23" spans="1:77" ht="33.75">
      <c r="B23" s="89">
        <v>22</v>
      </c>
      <c r="C23" s="93">
        <v>123</v>
      </c>
      <c r="D23" s="93">
        <v>172</v>
      </c>
      <c r="E23" s="94">
        <v>0.36805555555555558</v>
      </c>
      <c r="F23" s="94">
        <v>0.39374999999999999</v>
      </c>
      <c r="G23" s="93" t="s">
        <v>504</v>
      </c>
      <c r="H23" s="93" t="s">
        <v>549</v>
      </c>
      <c r="I23" s="96">
        <v>22</v>
      </c>
      <c r="J23" s="97" t="s">
        <v>101</v>
      </c>
      <c r="K23" s="98">
        <v>13</v>
      </c>
      <c r="L23" s="99" t="s">
        <v>737</v>
      </c>
      <c r="M23" s="152" t="s">
        <v>2022</v>
      </c>
      <c r="N23" s="152">
        <v>43</v>
      </c>
      <c r="O23" s="83" t="s">
        <v>1935</v>
      </c>
      <c r="P23" s="83" t="s">
        <v>1219</v>
      </c>
      <c r="R23" s="83"/>
      <c r="S23" s="26" t="s">
        <v>1319</v>
      </c>
      <c r="T23" s="26" t="s">
        <v>1320</v>
      </c>
      <c r="U23" s="26">
        <v>1255</v>
      </c>
      <c r="V23" s="26" t="s">
        <v>1321</v>
      </c>
      <c r="W23" s="63">
        <v>44562</v>
      </c>
      <c r="X23" s="63">
        <v>44815</v>
      </c>
      <c r="Y23" s="63">
        <v>45101</v>
      </c>
      <c r="Z23" s="63">
        <v>45169</v>
      </c>
      <c r="AA23" s="17" t="s">
        <v>1104</v>
      </c>
      <c r="AB23" s="23"/>
      <c r="AC23" s="23" t="s">
        <v>731</v>
      </c>
      <c r="AD23" s="23"/>
      <c r="AE23" s="23"/>
      <c r="AF23" s="23"/>
      <c r="AG23" s="23"/>
      <c r="AH23" s="23"/>
      <c r="AI23" s="23"/>
      <c r="AJ23" s="23"/>
      <c r="AK23" s="23"/>
      <c r="AL23" s="23" t="s">
        <v>731</v>
      </c>
      <c r="AM23" s="23"/>
      <c r="AN23" s="23"/>
      <c r="AO23" s="23"/>
      <c r="AP23" s="23"/>
      <c r="AQ23" s="23"/>
      <c r="AR23" s="23"/>
      <c r="AS23" s="23"/>
      <c r="AT23" s="23"/>
      <c r="AU23" s="23"/>
      <c r="AV23" s="42">
        <v>66</v>
      </c>
      <c r="AW23" s="18"/>
      <c r="AY23" s="42"/>
      <c r="AZ23" s="42"/>
      <c r="BB23" s="43">
        <v>2</v>
      </c>
      <c r="BC23" s="41">
        <f>IF(AND((AV23/I23)&lt;2,BB23=1),(I23*2)-AV23,0)</f>
        <v>0</v>
      </c>
      <c r="BD23" s="41">
        <f>IF(AND((AV23/I23)&lt;3,BB23=2),(I23*3)-AV23,0)</f>
        <v>0</v>
      </c>
      <c r="BG23" s="18"/>
      <c r="BH23" s="18">
        <v>2</v>
      </c>
      <c r="BI23" s="18">
        <v>0</v>
      </c>
      <c r="BJ23" s="18">
        <v>0</v>
      </c>
      <c r="BK23" s="18">
        <v>0</v>
      </c>
      <c r="BL23" s="18">
        <v>0</v>
      </c>
      <c r="BM23" s="55">
        <f>SUM(AV23:AX23)+SUM(BC23:BD23)+SUM(BE23:BF23)+BG23</f>
        <v>66</v>
      </c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</row>
    <row r="24" spans="1:77" ht="33.75">
      <c r="B24" s="89">
        <v>23</v>
      </c>
      <c r="C24" s="93">
        <v>123</v>
      </c>
      <c r="D24" s="93">
        <v>173</v>
      </c>
      <c r="E24" s="94">
        <v>0.40069444444444446</v>
      </c>
      <c r="F24" s="94">
        <v>0.42638888888888887</v>
      </c>
      <c r="G24" s="93" t="s">
        <v>338</v>
      </c>
      <c r="H24" s="93" t="s">
        <v>1</v>
      </c>
      <c r="I24" s="96">
        <v>22</v>
      </c>
      <c r="J24" s="97" t="s">
        <v>101</v>
      </c>
      <c r="K24" s="98">
        <v>67</v>
      </c>
      <c r="L24" s="99" t="s">
        <v>737</v>
      </c>
      <c r="M24" s="152" t="s">
        <v>2022</v>
      </c>
      <c r="N24" s="152">
        <v>43</v>
      </c>
      <c r="O24" s="83" t="s">
        <v>1935</v>
      </c>
      <c r="P24" s="83" t="s">
        <v>1219</v>
      </c>
      <c r="R24" s="83"/>
      <c r="S24" s="26">
        <v>1255</v>
      </c>
      <c r="T24" s="26" t="s">
        <v>1321</v>
      </c>
      <c r="U24" s="26" t="s">
        <v>1319</v>
      </c>
      <c r="V24" s="26" t="s">
        <v>1320</v>
      </c>
      <c r="W24" s="63">
        <v>44562</v>
      </c>
      <c r="X24" s="63">
        <v>44815</v>
      </c>
      <c r="Y24" s="63">
        <v>45101</v>
      </c>
      <c r="Z24" s="63">
        <v>45169</v>
      </c>
      <c r="AA24" s="23" t="s">
        <v>1107</v>
      </c>
      <c r="AB24" s="23"/>
      <c r="AC24" s="23" t="s">
        <v>731</v>
      </c>
      <c r="AD24" s="23" t="s">
        <v>731</v>
      </c>
      <c r="AE24" s="23"/>
      <c r="AF24" s="23" t="s">
        <v>731</v>
      </c>
      <c r="AG24" s="23" t="s">
        <v>731</v>
      </c>
      <c r="AH24" s="23" t="s">
        <v>731</v>
      </c>
      <c r="AI24" s="23" t="s">
        <v>731</v>
      </c>
      <c r="AJ24" s="23" t="s">
        <v>731</v>
      </c>
      <c r="AK24" s="23" t="s">
        <v>731</v>
      </c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42">
        <v>63.39</v>
      </c>
      <c r="AW24" s="18"/>
      <c r="AY24" s="42"/>
      <c r="AZ24" s="42"/>
      <c r="BB24" s="43">
        <v>2</v>
      </c>
      <c r="BC24" s="41">
        <f>IF(AND((AV24/I24)&lt;2,BB24=1),(I24*2)-AV24,0)</f>
        <v>0</v>
      </c>
      <c r="BD24" s="41">
        <f>IF(AND((AV24/I24)&lt;3,BB24=2),(I24*3)-AV24,0)</f>
        <v>2.6099999999999994</v>
      </c>
      <c r="BG24" s="18"/>
      <c r="BH24" s="18">
        <v>9</v>
      </c>
      <c r="BI24" s="18">
        <v>0</v>
      </c>
      <c r="BJ24" s="18">
        <v>0</v>
      </c>
      <c r="BK24" s="18">
        <v>0</v>
      </c>
      <c r="BL24" s="18">
        <v>0</v>
      </c>
      <c r="BM24" s="55">
        <f>SUM(AV24:AX24)+SUM(BC24:BD24)+SUM(BE24:BF24)+BG24</f>
        <v>66</v>
      </c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</row>
    <row r="25" spans="1:77" ht="33.75">
      <c r="B25" s="89">
        <v>24</v>
      </c>
      <c r="C25" s="93">
        <v>123</v>
      </c>
      <c r="D25" s="93">
        <v>173</v>
      </c>
      <c r="E25" s="94">
        <v>0.40069444444444446</v>
      </c>
      <c r="F25" s="94">
        <v>0.42638888888888887</v>
      </c>
      <c r="G25" s="93" t="s">
        <v>505</v>
      </c>
      <c r="H25" s="93" t="s">
        <v>549</v>
      </c>
      <c r="I25" s="96">
        <v>22</v>
      </c>
      <c r="J25" s="97" t="s">
        <v>101</v>
      </c>
      <c r="K25" s="98">
        <v>13</v>
      </c>
      <c r="L25" s="99" t="s">
        <v>737</v>
      </c>
      <c r="M25" s="152" t="s">
        <v>2022</v>
      </c>
      <c r="N25" s="152">
        <v>43</v>
      </c>
      <c r="O25" s="83" t="s">
        <v>1935</v>
      </c>
      <c r="P25" s="83" t="s">
        <v>1219</v>
      </c>
      <c r="R25" s="83"/>
      <c r="S25" s="26">
        <v>1255</v>
      </c>
      <c r="T25" s="26" t="s">
        <v>1321</v>
      </c>
      <c r="U25" s="26" t="s">
        <v>1319</v>
      </c>
      <c r="V25" s="26" t="s">
        <v>1320</v>
      </c>
      <c r="W25" s="63">
        <v>44562</v>
      </c>
      <c r="X25" s="63">
        <v>44815</v>
      </c>
      <c r="Y25" s="63">
        <v>45101</v>
      </c>
      <c r="Z25" s="63">
        <v>45169</v>
      </c>
      <c r="AA25" s="17" t="s">
        <v>1104</v>
      </c>
      <c r="AB25" s="23"/>
      <c r="AC25" s="23" t="s">
        <v>731</v>
      </c>
      <c r="AD25" s="23"/>
      <c r="AE25" s="23"/>
      <c r="AF25" s="23"/>
      <c r="AG25" s="23"/>
      <c r="AH25" s="23"/>
      <c r="AI25" s="23"/>
      <c r="AJ25" s="23"/>
      <c r="AK25" s="23"/>
      <c r="AL25" s="23" t="s">
        <v>731</v>
      </c>
      <c r="AM25" s="23"/>
      <c r="AN25" s="23"/>
      <c r="AO25" s="23"/>
      <c r="AP25" s="23"/>
      <c r="AQ25" s="23"/>
      <c r="AR25" s="23"/>
      <c r="AS25" s="23"/>
      <c r="AT25" s="23"/>
      <c r="AU25" s="23"/>
      <c r="AV25" s="42">
        <v>66</v>
      </c>
      <c r="AW25" s="18"/>
      <c r="AY25" s="42"/>
      <c r="AZ25" s="42"/>
      <c r="BB25" s="43">
        <v>2</v>
      </c>
      <c r="BC25" s="41">
        <f>IF(AND((AV25/I25)&lt;2,BB25=1),(I25*2)-AV25,0)</f>
        <v>0</v>
      </c>
      <c r="BD25" s="41">
        <f>IF(AND((AV25/I25)&lt;3,BB25=2),(I25*3)-AV25,0)</f>
        <v>0</v>
      </c>
      <c r="BG25" s="18"/>
      <c r="BH25" s="18">
        <v>2</v>
      </c>
      <c r="BI25" s="18">
        <v>0</v>
      </c>
      <c r="BJ25" s="18">
        <v>0</v>
      </c>
      <c r="BK25" s="18">
        <v>0</v>
      </c>
      <c r="BL25" s="18">
        <v>0</v>
      </c>
      <c r="BM25" s="55">
        <f>SUM(AV25:AX25)+SUM(BC25:BD25)+SUM(BE25:BF25)+BG25</f>
        <v>66</v>
      </c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</row>
    <row r="26" spans="1:77" ht="33.75">
      <c r="B26" s="89">
        <v>25</v>
      </c>
      <c r="C26" s="93">
        <v>123</v>
      </c>
      <c r="D26" s="93">
        <v>174</v>
      </c>
      <c r="E26" s="94">
        <v>0.43055555555555558</v>
      </c>
      <c r="F26" s="105">
        <v>0.46875</v>
      </c>
      <c r="G26" s="93" t="s">
        <v>336</v>
      </c>
      <c r="H26" s="93" t="s">
        <v>1</v>
      </c>
      <c r="I26" s="96">
        <v>12</v>
      </c>
      <c r="J26" s="97" t="s">
        <v>101</v>
      </c>
      <c r="K26" s="98">
        <v>67</v>
      </c>
      <c r="L26" s="99" t="s">
        <v>737</v>
      </c>
      <c r="M26" s="152" t="s">
        <v>2022</v>
      </c>
      <c r="N26" s="152">
        <v>43</v>
      </c>
      <c r="O26" s="83" t="s">
        <v>1935</v>
      </c>
      <c r="P26" s="83" t="s">
        <v>1219</v>
      </c>
      <c r="R26" s="83"/>
      <c r="S26" s="26" t="s">
        <v>1319</v>
      </c>
      <c r="T26" s="26" t="s">
        <v>1320</v>
      </c>
      <c r="U26" s="26" t="s">
        <v>1322</v>
      </c>
      <c r="V26" s="26" t="s">
        <v>1323</v>
      </c>
      <c r="W26" s="63">
        <v>44562</v>
      </c>
      <c r="X26" s="63">
        <v>44815</v>
      </c>
      <c r="Y26" s="63">
        <v>45101</v>
      </c>
      <c r="Z26" s="63">
        <v>45169</v>
      </c>
      <c r="AA26" s="23" t="s">
        <v>1107</v>
      </c>
      <c r="AB26" s="23"/>
      <c r="AC26" s="23" t="s">
        <v>731</v>
      </c>
      <c r="AD26" s="23" t="s">
        <v>731</v>
      </c>
      <c r="AE26" s="23"/>
      <c r="AF26" s="23" t="s">
        <v>731</v>
      </c>
      <c r="AG26" s="23" t="s">
        <v>731</v>
      </c>
      <c r="AH26" s="23" t="s">
        <v>731</v>
      </c>
      <c r="AI26" s="23" t="s">
        <v>731</v>
      </c>
      <c r="AJ26" s="23" t="s">
        <v>731</v>
      </c>
      <c r="AK26" s="23" t="s">
        <v>731</v>
      </c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42">
        <v>21.6</v>
      </c>
      <c r="AW26" s="18"/>
      <c r="AY26" s="42"/>
      <c r="AZ26" s="42"/>
      <c r="BB26" s="43">
        <v>2</v>
      </c>
      <c r="BC26" s="41">
        <f>IF(AND((AV26/I26)&lt;2,BB26=1),(I26*2)-AV26,0)</f>
        <v>0</v>
      </c>
      <c r="BD26" s="41">
        <f>IF(AND((AV26/I26)&lt;3,BB26=2),(I26*3)-AV26,0)</f>
        <v>14.399999999999999</v>
      </c>
      <c r="BG26" s="18"/>
      <c r="BH26" s="18">
        <v>9</v>
      </c>
      <c r="BI26" s="18">
        <v>0</v>
      </c>
      <c r="BJ26" s="18">
        <v>0</v>
      </c>
      <c r="BK26" s="18">
        <v>0</v>
      </c>
      <c r="BL26" s="18">
        <v>0</v>
      </c>
      <c r="BM26" s="55">
        <f>SUM(AV26:AX26)+SUM(BC26:BD26)+SUM(BE26:BF26)+BG26</f>
        <v>36</v>
      </c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</row>
    <row r="27" spans="1:77" ht="33.75">
      <c r="B27" s="89">
        <v>26</v>
      </c>
      <c r="C27" s="93">
        <v>123</v>
      </c>
      <c r="D27" s="93">
        <v>174</v>
      </c>
      <c r="E27" s="94">
        <v>0.43055555555555558</v>
      </c>
      <c r="F27" s="105">
        <v>0.4458333333333333</v>
      </c>
      <c r="G27" s="93" t="s">
        <v>502</v>
      </c>
      <c r="H27" s="93" t="s">
        <v>549</v>
      </c>
      <c r="I27" s="96">
        <v>12</v>
      </c>
      <c r="J27" s="97" t="s">
        <v>101</v>
      </c>
      <c r="K27" s="98">
        <v>13</v>
      </c>
      <c r="L27" s="99" t="s">
        <v>737</v>
      </c>
      <c r="M27" s="152" t="s">
        <v>2022</v>
      </c>
      <c r="N27" s="152">
        <v>43</v>
      </c>
      <c r="O27" s="83" t="s">
        <v>1935</v>
      </c>
      <c r="P27" s="83" t="s">
        <v>1219</v>
      </c>
      <c r="R27" s="83"/>
      <c r="S27" s="26" t="s">
        <v>1319</v>
      </c>
      <c r="T27" s="26" t="s">
        <v>1320</v>
      </c>
      <c r="U27" s="26" t="s">
        <v>1322</v>
      </c>
      <c r="V27" s="26" t="s">
        <v>1323</v>
      </c>
      <c r="W27" s="63">
        <v>44562</v>
      </c>
      <c r="X27" s="63">
        <v>44815</v>
      </c>
      <c r="Y27" s="63">
        <v>45101</v>
      </c>
      <c r="Z27" s="63">
        <v>45169</v>
      </c>
      <c r="AA27" s="17" t="s">
        <v>1104</v>
      </c>
      <c r="AB27" s="23"/>
      <c r="AC27" s="23" t="s">
        <v>731</v>
      </c>
      <c r="AD27" s="23"/>
      <c r="AE27" s="23"/>
      <c r="AF27" s="23"/>
      <c r="AG27" s="23"/>
      <c r="AH27" s="23"/>
      <c r="AI27" s="23"/>
      <c r="AJ27" s="23"/>
      <c r="AK27" s="23"/>
      <c r="AL27" s="23" t="s">
        <v>731</v>
      </c>
      <c r="AM27" s="23"/>
      <c r="AN27" s="23"/>
      <c r="AO27" s="23"/>
      <c r="AP27" s="23"/>
      <c r="AQ27" s="23"/>
      <c r="AR27" s="23"/>
      <c r="AS27" s="23"/>
      <c r="AT27" s="23"/>
      <c r="AU27" s="23"/>
      <c r="AV27" s="42">
        <v>36</v>
      </c>
      <c r="AW27" s="18"/>
      <c r="AY27" s="42"/>
      <c r="AZ27" s="42"/>
      <c r="BB27" s="43">
        <v>2</v>
      </c>
      <c r="BC27" s="41">
        <f>IF(AND((AV27/I27)&lt;2,BB27=1),(I27*2)-AV27,0)</f>
        <v>0</v>
      </c>
      <c r="BD27" s="41">
        <f>IF(AND((AV27/I27)&lt;3,BB27=2),(I27*3)-AV27,0)</f>
        <v>0</v>
      </c>
      <c r="BG27" s="18"/>
      <c r="BH27" s="18">
        <v>2</v>
      </c>
      <c r="BI27" s="18">
        <v>0</v>
      </c>
      <c r="BJ27" s="18">
        <v>0</v>
      </c>
      <c r="BK27" s="18">
        <v>0</v>
      </c>
      <c r="BL27" s="18">
        <v>0</v>
      </c>
      <c r="BM27" s="55">
        <f>SUM(AV27:AX27)+SUM(BC27:BD27)+SUM(BE27:BF27)+BG27</f>
        <v>36</v>
      </c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</row>
    <row r="28" spans="1:77" ht="33.75">
      <c r="A28" s="110" t="s">
        <v>1166</v>
      </c>
      <c r="B28" s="89">
        <v>27</v>
      </c>
      <c r="C28" s="93">
        <v>123</v>
      </c>
      <c r="D28" s="93">
        <v>175</v>
      </c>
      <c r="E28" s="94">
        <v>0.44930555555555557</v>
      </c>
      <c r="F28" s="94">
        <v>0.46527777777777773</v>
      </c>
      <c r="G28" s="93" t="s">
        <v>503</v>
      </c>
      <c r="H28" s="106" t="s">
        <v>1034</v>
      </c>
      <c r="I28" s="96">
        <v>12</v>
      </c>
      <c r="J28" s="97" t="s">
        <v>101</v>
      </c>
      <c r="K28" s="111">
        <v>67</v>
      </c>
      <c r="L28" s="99" t="s">
        <v>737</v>
      </c>
      <c r="M28" s="152" t="s">
        <v>2022</v>
      </c>
      <c r="N28" s="152">
        <v>43</v>
      </c>
      <c r="O28" s="83" t="s">
        <v>1935</v>
      </c>
      <c r="P28" s="83" t="s">
        <v>1219</v>
      </c>
      <c r="R28" s="83"/>
      <c r="S28" s="26" t="s">
        <v>1322</v>
      </c>
      <c r="T28" s="26" t="s">
        <v>1324</v>
      </c>
      <c r="U28" s="26" t="s">
        <v>1319</v>
      </c>
      <c r="V28" s="26" t="s">
        <v>1320</v>
      </c>
      <c r="W28" s="63">
        <v>44562</v>
      </c>
      <c r="X28" s="63">
        <v>44815</v>
      </c>
      <c r="Y28" s="63">
        <v>45101</v>
      </c>
      <c r="Z28" s="63">
        <v>45169</v>
      </c>
      <c r="AA28" s="23" t="s">
        <v>1107</v>
      </c>
      <c r="AB28" s="23"/>
      <c r="AC28" s="23" t="s">
        <v>731</v>
      </c>
      <c r="AD28" s="23" t="s">
        <v>731</v>
      </c>
      <c r="AE28" s="23"/>
      <c r="AF28" s="23" t="s">
        <v>731</v>
      </c>
      <c r="AG28" s="23" t="s">
        <v>731</v>
      </c>
      <c r="AH28" s="23" t="s">
        <v>731</v>
      </c>
      <c r="AI28" s="23" t="s">
        <v>731</v>
      </c>
      <c r="AJ28" s="23" t="s">
        <v>731</v>
      </c>
      <c r="AK28" s="23" t="s">
        <v>731</v>
      </c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42">
        <v>21.6</v>
      </c>
      <c r="AW28" s="18"/>
      <c r="AY28" s="42"/>
      <c r="AZ28" s="42"/>
      <c r="BB28" s="43">
        <v>2</v>
      </c>
      <c r="BC28" s="41">
        <f>IF(AND((AV28/I28)&lt;2,BB28=1),(I28*2)-AV28,0)</f>
        <v>0</v>
      </c>
      <c r="BD28" s="41">
        <f>IF(AND((AV28/I28)&lt;3,BB28=2),(I28*3)-AV28,0)</f>
        <v>14.399999999999999</v>
      </c>
      <c r="BG28" s="18"/>
      <c r="BH28" s="18">
        <v>9</v>
      </c>
      <c r="BI28" s="18">
        <v>0</v>
      </c>
      <c r="BJ28" s="18">
        <v>0</v>
      </c>
      <c r="BK28" s="18">
        <v>0</v>
      </c>
      <c r="BL28" s="18">
        <v>0</v>
      </c>
      <c r="BM28" s="55">
        <f>SUM(AV28:AX28)+SUM(BC28:BD28)+SUM(BE28:BF28)+BG28</f>
        <v>36</v>
      </c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</row>
    <row r="29" spans="1:77" ht="33.75">
      <c r="B29" s="89">
        <v>28</v>
      </c>
      <c r="C29" s="93">
        <v>123</v>
      </c>
      <c r="D29" s="93">
        <v>175</v>
      </c>
      <c r="E29" s="94">
        <v>0.44930555555555557</v>
      </c>
      <c r="F29" s="94">
        <v>0.46527777777777773</v>
      </c>
      <c r="G29" s="93" t="s">
        <v>335</v>
      </c>
      <c r="H29" s="93" t="s">
        <v>549</v>
      </c>
      <c r="I29" s="96">
        <v>12</v>
      </c>
      <c r="J29" s="97" t="s">
        <v>101</v>
      </c>
      <c r="K29" s="98">
        <v>13</v>
      </c>
      <c r="L29" s="99" t="s">
        <v>737</v>
      </c>
      <c r="M29" s="152" t="s">
        <v>2022</v>
      </c>
      <c r="N29" s="152">
        <v>43</v>
      </c>
      <c r="O29" s="83" t="s">
        <v>1935</v>
      </c>
      <c r="P29" s="83" t="s">
        <v>1219</v>
      </c>
      <c r="R29" s="83"/>
      <c r="S29" s="26" t="s">
        <v>1322</v>
      </c>
      <c r="T29" s="26" t="s">
        <v>1324</v>
      </c>
      <c r="U29" s="26" t="s">
        <v>1319</v>
      </c>
      <c r="V29" s="26" t="s">
        <v>1320</v>
      </c>
      <c r="W29" s="63">
        <v>44562</v>
      </c>
      <c r="X29" s="63">
        <v>44815</v>
      </c>
      <c r="Y29" s="63">
        <v>45101</v>
      </c>
      <c r="Z29" s="63">
        <v>45169</v>
      </c>
      <c r="AA29" s="17" t="s">
        <v>1104</v>
      </c>
      <c r="AB29" s="23"/>
      <c r="AC29" s="23" t="s">
        <v>731</v>
      </c>
      <c r="AD29" s="23"/>
      <c r="AE29" s="23"/>
      <c r="AF29" s="23"/>
      <c r="AG29" s="23"/>
      <c r="AH29" s="23"/>
      <c r="AI29" s="23"/>
      <c r="AJ29" s="23"/>
      <c r="AK29" s="23"/>
      <c r="AL29" s="23" t="s">
        <v>731</v>
      </c>
      <c r="AM29" s="23"/>
      <c r="AN29" s="23"/>
      <c r="AO29" s="23"/>
      <c r="AP29" s="23"/>
      <c r="AQ29" s="23"/>
      <c r="AR29" s="23"/>
      <c r="AS29" s="23"/>
      <c r="AT29" s="23"/>
      <c r="AU29" s="23"/>
      <c r="AV29" s="42">
        <v>36</v>
      </c>
      <c r="AW29" s="18"/>
      <c r="AY29" s="42"/>
      <c r="AZ29" s="42"/>
      <c r="BB29" s="43">
        <v>2</v>
      </c>
      <c r="BC29" s="41">
        <f>IF(AND((AV29/I29)&lt;2,BB29=1),(I29*2)-AV29,0)</f>
        <v>0</v>
      </c>
      <c r="BD29" s="41">
        <f>IF(AND((AV29/I29)&lt;3,BB29=2),(I29*3)-AV29,0)</f>
        <v>0</v>
      </c>
      <c r="BG29" s="18"/>
      <c r="BH29" s="18">
        <v>2</v>
      </c>
      <c r="BI29" s="18">
        <v>0</v>
      </c>
      <c r="BJ29" s="18">
        <v>0</v>
      </c>
      <c r="BK29" s="18">
        <v>0</v>
      </c>
      <c r="BL29" s="18">
        <v>0</v>
      </c>
      <c r="BM29" s="55">
        <f>SUM(AV29:AX29)+SUM(BC29:BD29)+SUM(BE29:BF29)+BG29</f>
        <v>36</v>
      </c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</row>
    <row r="30" spans="1:77" ht="33.75">
      <c r="B30" s="89">
        <v>29</v>
      </c>
      <c r="C30" s="93">
        <v>123</v>
      </c>
      <c r="D30" s="93">
        <v>176</v>
      </c>
      <c r="E30" s="94">
        <v>0.47222222222222227</v>
      </c>
      <c r="F30" s="94">
        <v>0.48749999999999999</v>
      </c>
      <c r="G30" s="93" t="s">
        <v>502</v>
      </c>
      <c r="H30" s="93" t="s">
        <v>500</v>
      </c>
      <c r="I30" s="96">
        <v>12</v>
      </c>
      <c r="J30" s="97" t="s">
        <v>101</v>
      </c>
      <c r="K30" s="98">
        <v>67</v>
      </c>
      <c r="L30" s="99" t="s">
        <v>737</v>
      </c>
      <c r="M30" s="152" t="s">
        <v>2022</v>
      </c>
      <c r="N30" s="152">
        <v>43</v>
      </c>
      <c r="O30" s="83" t="s">
        <v>1935</v>
      </c>
      <c r="P30" s="83" t="s">
        <v>1219</v>
      </c>
      <c r="R30" s="83"/>
      <c r="S30" s="26" t="s">
        <v>1319</v>
      </c>
      <c r="T30" s="26" t="s">
        <v>1320</v>
      </c>
      <c r="U30" s="26" t="s">
        <v>1322</v>
      </c>
      <c r="V30" s="26" t="s">
        <v>1323</v>
      </c>
      <c r="W30" s="63">
        <v>44562</v>
      </c>
      <c r="X30" s="63">
        <v>44815</v>
      </c>
      <c r="Y30" s="63">
        <v>45101</v>
      </c>
      <c r="Z30" s="63">
        <v>45169</v>
      </c>
      <c r="AA30" s="23" t="s">
        <v>1107</v>
      </c>
      <c r="AB30" s="23"/>
      <c r="AC30" s="23" t="s">
        <v>731</v>
      </c>
      <c r="AD30" s="23" t="s">
        <v>731</v>
      </c>
      <c r="AE30" s="23"/>
      <c r="AF30" s="23" t="s">
        <v>731</v>
      </c>
      <c r="AG30" s="23" t="s">
        <v>731</v>
      </c>
      <c r="AH30" s="23" t="s">
        <v>731</v>
      </c>
      <c r="AI30" s="23" t="s">
        <v>731</v>
      </c>
      <c r="AJ30" s="23" t="s">
        <v>731</v>
      </c>
      <c r="AK30" s="23" t="s">
        <v>731</v>
      </c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42">
        <v>36</v>
      </c>
      <c r="AW30" s="18"/>
      <c r="AY30" s="42"/>
      <c r="AZ30" s="42"/>
      <c r="BB30" s="43">
        <v>2</v>
      </c>
      <c r="BC30" s="41">
        <f>IF(AND((AV30/I30)&lt;2,BB30=1),(I30*2)-AV30,0)</f>
        <v>0</v>
      </c>
      <c r="BD30" s="41">
        <f>IF(AND((AV30/I30)&lt;3,BB30=2),(I30*3)-AV30,0)</f>
        <v>0</v>
      </c>
      <c r="BG30" s="18"/>
      <c r="BH30" s="18">
        <v>9</v>
      </c>
      <c r="BI30" s="18">
        <v>0</v>
      </c>
      <c r="BJ30" s="18">
        <v>0</v>
      </c>
      <c r="BK30" s="18">
        <v>0</v>
      </c>
      <c r="BL30" s="18">
        <v>0</v>
      </c>
      <c r="BM30" s="55">
        <f>SUM(AV30:AX30)+SUM(BC30:BD30)+SUM(BE30:BF30)+BG30</f>
        <v>36</v>
      </c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</row>
    <row r="31" spans="1:77" ht="33.75">
      <c r="B31" s="89">
        <v>30</v>
      </c>
      <c r="C31" s="93">
        <v>123</v>
      </c>
      <c r="D31" s="93">
        <v>176</v>
      </c>
      <c r="E31" s="94">
        <v>0.47222222222222227</v>
      </c>
      <c r="F31" s="94">
        <v>0.48749999999999999</v>
      </c>
      <c r="G31" s="93" t="s">
        <v>502</v>
      </c>
      <c r="H31" s="93" t="s">
        <v>549</v>
      </c>
      <c r="I31" s="96">
        <v>12</v>
      </c>
      <c r="J31" s="97" t="s">
        <v>101</v>
      </c>
      <c r="K31" s="98">
        <v>13</v>
      </c>
      <c r="L31" s="99" t="s">
        <v>737</v>
      </c>
      <c r="M31" s="152" t="s">
        <v>2022</v>
      </c>
      <c r="N31" s="152">
        <v>43</v>
      </c>
      <c r="O31" s="83" t="s">
        <v>1935</v>
      </c>
      <c r="P31" s="83" t="s">
        <v>1219</v>
      </c>
      <c r="R31" s="83"/>
      <c r="S31" s="26" t="s">
        <v>1319</v>
      </c>
      <c r="T31" s="26" t="s">
        <v>1320</v>
      </c>
      <c r="U31" s="26" t="s">
        <v>1322</v>
      </c>
      <c r="V31" s="26" t="s">
        <v>1323</v>
      </c>
      <c r="W31" s="63">
        <v>44562</v>
      </c>
      <c r="X31" s="63">
        <v>44815</v>
      </c>
      <c r="Y31" s="63">
        <v>45101</v>
      </c>
      <c r="Z31" s="63">
        <v>45169</v>
      </c>
      <c r="AA31" s="17" t="s">
        <v>1104</v>
      </c>
      <c r="AB31" s="23"/>
      <c r="AC31" s="23" t="s">
        <v>731</v>
      </c>
      <c r="AD31" s="23"/>
      <c r="AE31" s="23"/>
      <c r="AF31" s="23"/>
      <c r="AG31" s="23"/>
      <c r="AH31" s="23"/>
      <c r="AI31" s="23"/>
      <c r="AJ31" s="23"/>
      <c r="AK31" s="23"/>
      <c r="AL31" s="23" t="s">
        <v>731</v>
      </c>
      <c r="AM31" s="23"/>
      <c r="AN31" s="23"/>
      <c r="AO31" s="23"/>
      <c r="AP31" s="23"/>
      <c r="AQ31" s="23"/>
      <c r="AR31" s="23"/>
      <c r="AS31" s="23"/>
      <c r="AT31" s="23"/>
      <c r="AU31" s="23"/>
      <c r="AV31" s="42">
        <v>36</v>
      </c>
      <c r="AW31" s="18"/>
      <c r="AY31" s="42"/>
      <c r="AZ31" s="42"/>
      <c r="BB31" s="43">
        <v>2</v>
      </c>
      <c r="BC31" s="41">
        <f>IF(AND((AV31/I31)&lt;2,BB31=1),(I31*2)-AV31,0)</f>
        <v>0</v>
      </c>
      <c r="BD31" s="41">
        <f>IF(AND((AV31/I31)&lt;3,BB31=2),(I31*3)-AV31,0)</f>
        <v>0</v>
      </c>
      <c r="BG31" s="18"/>
      <c r="BH31" s="18">
        <v>2</v>
      </c>
      <c r="BI31" s="18">
        <v>0</v>
      </c>
      <c r="BJ31" s="18">
        <v>0</v>
      </c>
      <c r="BK31" s="18">
        <v>0</v>
      </c>
      <c r="BL31" s="18">
        <v>0</v>
      </c>
      <c r="BM31" s="55">
        <f>SUM(AV31:AX31)+SUM(BC31:BD31)+SUM(BE31:BF31)+BG31</f>
        <v>36</v>
      </c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</row>
    <row r="32" spans="1:77" ht="33.75">
      <c r="B32" s="89">
        <v>31</v>
      </c>
      <c r="C32" s="93">
        <v>123</v>
      </c>
      <c r="D32" s="93">
        <v>177</v>
      </c>
      <c r="E32" s="94">
        <v>0.4909722222222222</v>
      </c>
      <c r="F32" s="94">
        <v>0.50694444444444442</v>
      </c>
      <c r="G32" s="93" t="s">
        <v>503</v>
      </c>
      <c r="H32" s="93" t="s">
        <v>500</v>
      </c>
      <c r="I32" s="96">
        <v>12</v>
      </c>
      <c r="J32" s="97" t="s">
        <v>101</v>
      </c>
      <c r="K32" s="98">
        <v>67</v>
      </c>
      <c r="L32" s="99" t="s">
        <v>737</v>
      </c>
      <c r="M32" s="152" t="s">
        <v>2022</v>
      </c>
      <c r="N32" s="152">
        <v>43</v>
      </c>
      <c r="O32" s="83" t="s">
        <v>1935</v>
      </c>
      <c r="P32" s="83" t="s">
        <v>1219</v>
      </c>
      <c r="R32" s="83"/>
      <c r="S32" s="26" t="s">
        <v>1322</v>
      </c>
      <c r="T32" s="26" t="s">
        <v>1324</v>
      </c>
      <c r="U32" s="26" t="s">
        <v>1319</v>
      </c>
      <c r="V32" s="26" t="s">
        <v>1320</v>
      </c>
      <c r="W32" s="63">
        <v>44562</v>
      </c>
      <c r="X32" s="63">
        <v>44815</v>
      </c>
      <c r="Y32" s="63">
        <v>45101</v>
      </c>
      <c r="Z32" s="63">
        <v>45169</v>
      </c>
      <c r="AA32" s="23" t="s">
        <v>1107</v>
      </c>
      <c r="AB32" s="23"/>
      <c r="AC32" s="23" t="s">
        <v>731</v>
      </c>
      <c r="AD32" s="23" t="s">
        <v>731</v>
      </c>
      <c r="AE32" s="23"/>
      <c r="AF32" s="23" t="s">
        <v>731</v>
      </c>
      <c r="AG32" s="23" t="s">
        <v>731</v>
      </c>
      <c r="AH32" s="23" t="s">
        <v>731</v>
      </c>
      <c r="AI32" s="23" t="s">
        <v>731</v>
      </c>
      <c r="AJ32" s="23" t="s">
        <v>731</v>
      </c>
      <c r="AK32" s="23" t="s">
        <v>731</v>
      </c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42">
        <v>36</v>
      </c>
      <c r="AW32" s="18"/>
      <c r="AY32" s="42"/>
      <c r="AZ32" s="42"/>
      <c r="BB32" s="43">
        <v>2</v>
      </c>
      <c r="BC32" s="41">
        <f>IF(AND((AV32/I32)&lt;2,BB32=1),(I32*2)-AV32,0)</f>
        <v>0</v>
      </c>
      <c r="BD32" s="41">
        <f>IF(AND((AV32/I32)&lt;3,BB32=2),(I32*3)-AV32,0)</f>
        <v>0</v>
      </c>
      <c r="BG32" s="18"/>
      <c r="BH32" s="18">
        <v>9</v>
      </c>
      <c r="BI32" s="18">
        <v>0</v>
      </c>
      <c r="BJ32" s="18">
        <v>0</v>
      </c>
      <c r="BK32" s="18">
        <v>0</v>
      </c>
      <c r="BL32" s="18">
        <v>0</v>
      </c>
      <c r="BM32" s="55">
        <f>SUM(AV32:AX32)+SUM(BC32:BD32)+SUM(BE32:BF32)+BG32</f>
        <v>36</v>
      </c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</row>
    <row r="33" spans="1:78" ht="33.75">
      <c r="B33" s="89">
        <v>32</v>
      </c>
      <c r="C33" s="93">
        <v>123</v>
      </c>
      <c r="D33" s="93">
        <v>177</v>
      </c>
      <c r="E33" s="94">
        <v>0.4909722222222222</v>
      </c>
      <c r="F33" s="94">
        <v>0.50694444444444442</v>
      </c>
      <c r="G33" s="93" t="s">
        <v>503</v>
      </c>
      <c r="H33" s="93" t="s">
        <v>549</v>
      </c>
      <c r="I33" s="96">
        <v>12</v>
      </c>
      <c r="J33" s="97" t="s">
        <v>101</v>
      </c>
      <c r="K33" s="98">
        <v>13</v>
      </c>
      <c r="L33" s="99" t="s">
        <v>737</v>
      </c>
      <c r="M33" s="152" t="s">
        <v>2022</v>
      </c>
      <c r="N33" s="152">
        <v>43</v>
      </c>
      <c r="O33" s="83" t="s">
        <v>1935</v>
      </c>
      <c r="P33" s="83" t="s">
        <v>1219</v>
      </c>
      <c r="R33" s="83"/>
      <c r="S33" s="26" t="s">
        <v>1322</v>
      </c>
      <c r="T33" s="26" t="s">
        <v>1324</v>
      </c>
      <c r="U33" s="26" t="s">
        <v>1319</v>
      </c>
      <c r="V33" s="26" t="s">
        <v>1320</v>
      </c>
      <c r="W33" s="63">
        <v>44562</v>
      </c>
      <c r="X33" s="63">
        <v>44815</v>
      </c>
      <c r="Y33" s="63">
        <v>45101</v>
      </c>
      <c r="Z33" s="63">
        <v>45169</v>
      </c>
      <c r="AA33" s="17" t="s">
        <v>1104</v>
      </c>
      <c r="AB33" s="23"/>
      <c r="AC33" s="23" t="s">
        <v>731</v>
      </c>
      <c r="AD33" s="23"/>
      <c r="AE33" s="23"/>
      <c r="AF33" s="23"/>
      <c r="AG33" s="23"/>
      <c r="AH33" s="23"/>
      <c r="AI33" s="23"/>
      <c r="AJ33" s="23"/>
      <c r="AK33" s="23"/>
      <c r="AL33" s="23" t="s">
        <v>731</v>
      </c>
      <c r="AM33" s="23"/>
      <c r="AN33" s="23"/>
      <c r="AO33" s="23"/>
      <c r="AP33" s="23"/>
      <c r="AQ33" s="23"/>
      <c r="AR33" s="23"/>
      <c r="AS33" s="23"/>
      <c r="AT33" s="23"/>
      <c r="AU33" s="23"/>
      <c r="AV33" s="42">
        <v>36</v>
      </c>
      <c r="AW33" s="18"/>
      <c r="AY33" s="42"/>
      <c r="AZ33" s="42"/>
      <c r="BB33" s="43">
        <v>2</v>
      </c>
      <c r="BC33" s="41">
        <f>IF(AND((AV33/I33)&lt;2,BB33=1),(I33*2)-AV33,0)</f>
        <v>0</v>
      </c>
      <c r="BD33" s="41">
        <f>IF(AND((AV33/I33)&lt;3,BB33=2),(I33*3)-AV33,0)</f>
        <v>0</v>
      </c>
      <c r="BG33" s="18"/>
      <c r="BH33" s="18">
        <v>2</v>
      </c>
      <c r="BI33" s="18">
        <v>0</v>
      </c>
      <c r="BJ33" s="18">
        <v>0</v>
      </c>
      <c r="BK33" s="18">
        <v>0</v>
      </c>
      <c r="BL33" s="18">
        <v>0</v>
      </c>
      <c r="BM33" s="55">
        <f>SUM(AV33:AX33)+SUM(BC33:BD33)+SUM(BE33:BF33)+BG33</f>
        <v>36</v>
      </c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</row>
    <row r="34" spans="1:78" ht="33.75">
      <c r="B34" s="89">
        <v>33</v>
      </c>
      <c r="C34" s="93">
        <v>123</v>
      </c>
      <c r="D34" s="93">
        <v>178</v>
      </c>
      <c r="E34" s="94">
        <v>0.57638888888888895</v>
      </c>
      <c r="F34" s="94">
        <v>0.59166666666666667</v>
      </c>
      <c r="G34" s="93" t="s">
        <v>502</v>
      </c>
      <c r="H34" s="93" t="s">
        <v>500</v>
      </c>
      <c r="I34" s="96">
        <v>12</v>
      </c>
      <c r="J34" s="97" t="s">
        <v>101</v>
      </c>
      <c r="K34" s="98">
        <v>67</v>
      </c>
      <c r="L34" s="99" t="s">
        <v>737</v>
      </c>
      <c r="M34" s="152" t="s">
        <v>2022</v>
      </c>
      <c r="N34" s="152">
        <v>43</v>
      </c>
      <c r="O34" s="83" t="s">
        <v>1935</v>
      </c>
      <c r="P34" s="83" t="s">
        <v>1219</v>
      </c>
      <c r="R34" s="83"/>
      <c r="S34" s="26" t="s">
        <v>1319</v>
      </c>
      <c r="T34" s="26" t="s">
        <v>1320</v>
      </c>
      <c r="U34" s="26" t="s">
        <v>1322</v>
      </c>
      <c r="V34" s="26" t="s">
        <v>1323</v>
      </c>
      <c r="W34" s="63">
        <v>44562</v>
      </c>
      <c r="X34" s="63">
        <v>44815</v>
      </c>
      <c r="Y34" s="63">
        <v>45101</v>
      </c>
      <c r="Z34" s="63">
        <v>45169</v>
      </c>
      <c r="AA34" s="23" t="s">
        <v>1107</v>
      </c>
      <c r="AB34" s="23"/>
      <c r="AC34" s="23" t="s">
        <v>731</v>
      </c>
      <c r="AD34" s="23" t="s">
        <v>731</v>
      </c>
      <c r="AE34" s="23"/>
      <c r="AF34" s="23" t="s">
        <v>731</v>
      </c>
      <c r="AG34" s="23" t="s">
        <v>731</v>
      </c>
      <c r="AH34" s="23" t="s">
        <v>731</v>
      </c>
      <c r="AI34" s="23" t="s">
        <v>731</v>
      </c>
      <c r="AJ34" s="23" t="s">
        <v>731</v>
      </c>
      <c r="AK34" s="23" t="s">
        <v>731</v>
      </c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42">
        <v>36</v>
      </c>
      <c r="AW34" s="18"/>
      <c r="AY34" s="42"/>
      <c r="AZ34" s="42"/>
      <c r="BB34" s="43">
        <v>2</v>
      </c>
      <c r="BC34" s="41">
        <f>IF(AND((AV34/I34)&lt;2,BB34=1),(I34*2)-AV34,0)</f>
        <v>0</v>
      </c>
      <c r="BD34" s="41">
        <f>IF(AND((AV34/I34)&lt;3,BB34=2),(I34*3)-AV34,0)</f>
        <v>0</v>
      </c>
      <c r="BG34" s="18"/>
      <c r="BH34" s="18">
        <v>9</v>
      </c>
      <c r="BI34" s="18">
        <v>0</v>
      </c>
      <c r="BJ34" s="18">
        <v>0</v>
      </c>
      <c r="BK34" s="18">
        <v>0</v>
      </c>
      <c r="BL34" s="18">
        <v>0</v>
      </c>
      <c r="BM34" s="55">
        <f>SUM(AV34:AX34)+SUM(BC34:BD34)+SUM(BE34:BF34)+BG34</f>
        <v>36</v>
      </c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</row>
    <row r="35" spans="1:78" ht="33.75">
      <c r="B35" s="89">
        <v>34</v>
      </c>
      <c r="C35" s="93">
        <v>123</v>
      </c>
      <c r="D35" s="93">
        <v>178</v>
      </c>
      <c r="E35" s="94">
        <v>0.57638888888888895</v>
      </c>
      <c r="F35" s="94">
        <v>0.59166666666666667</v>
      </c>
      <c r="G35" s="93" t="s">
        <v>502</v>
      </c>
      <c r="H35" s="93" t="s">
        <v>549</v>
      </c>
      <c r="I35" s="96">
        <v>12</v>
      </c>
      <c r="J35" s="97" t="s">
        <v>101</v>
      </c>
      <c r="K35" s="98">
        <v>13</v>
      </c>
      <c r="L35" s="99" t="s">
        <v>737</v>
      </c>
      <c r="M35" s="152" t="s">
        <v>2022</v>
      </c>
      <c r="N35" s="152">
        <v>43</v>
      </c>
      <c r="O35" s="83" t="s">
        <v>1935</v>
      </c>
      <c r="P35" s="83" t="s">
        <v>1219</v>
      </c>
      <c r="R35" s="83"/>
      <c r="S35" s="26" t="s">
        <v>1319</v>
      </c>
      <c r="T35" s="26" t="s">
        <v>1320</v>
      </c>
      <c r="U35" s="26" t="s">
        <v>1322</v>
      </c>
      <c r="V35" s="26" t="s">
        <v>1323</v>
      </c>
      <c r="W35" s="63">
        <v>44562</v>
      </c>
      <c r="X35" s="63">
        <v>44815</v>
      </c>
      <c r="Y35" s="63">
        <v>45101</v>
      </c>
      <c r="Z35" s="63">
        <v>45169</v>
      </c>
      <c r="AA35" s="17" t="s">
        <v>1104</v>
      </c>
      <c r="AB35" s="23"/>
      <c r="AC35" s="23" t="s">
        <v>731</v>
      </c>
      <c r="AD35" s="23"/>
      <c r="AE35" s="23"/>
      <c r="AF35" s="23"/>
      <c r="AG35" s="23"/>
      <c r="AH35" s="23"/>
      <c r="AI35" s="23"/>
      <c r="AJ35" s="23"/>
      <c r="AK35" s="23"/>
      <c r="AL35" s="23" t="s">
        <v>731</v>
      </c>
      <c r="AM35" s="23"/>
      <c r="AN35" s="23"/>
      <c r="AO35" s="23"/>
      <c r="AP35" s="23"/>
      <c r="AQ35" s="23"/>
      <c r="AR35" s="23"/>
      <c r="AS35" s="23"/>
      <c r="AT35" s="23"/>
      <c r="AU35" s="23"/>
      <c r="AV35" s="42">
        <v>36</v>
      </c>
      <c r="AW35" s="18"/>
      <c r="AY35" s="42"/>
      <c r="AZ35" s="42"/>
      <c r="BB35" s="43">
        <v>2</v>
      </c>
      <c r="BC35" s="41">
        <f>IF(AND((AV35/I35)&lt;2,BB35=1),(I35*2)-AV35,0)</f>
        <v>0</v>
      </c>
      <c r="BD35" s="41">
        <f>IF(AND((AV35/I35)&lt;3,BB35=2),(I35*3)-AV35,0)</f>
        <v>0</v>
      </c>
      <c r="BG35" s="18"/>
      <c r="BH35" s="18">
        <v>2</v>
      </c>
      <c r="BI35" s="18">
        <v>0</v>
      </c>
      <c r="BJ35" s="18">
        <v>0</v>
      </c>
      <c r="BK35" s="18">
        <v>0</v>
      </c>
      <c r="BL35" s="18">
        <v>0</v>
      </c>
      <c r="BM35" s="55">
        <f>SUM(AV35:AX35)+SUM(BC35:BD35)+SUM(BE35:BF35)+BG35</f>
        <v>36</v>
      </c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</row>
    <row r="36" spans="1:78" ht="33.75">
      <c r="B36" s="89">
        <v>35</v>
      </c>
      <c r="C36" s="93">
        <v>123</v>
      </c>
      <c r="D36" s="93">
        <v>179</v>
      </c>
      <c r="E36" s="94">
        <v>0.59722222222222221</v>
      </c>
      <c r="F36" s="94">
        <v>0.61249999999999993</v>
      </c>
      <c r="G36" s="93" t="s">
        <v>503</v>
      </c>
      <c r="H36" s="93" t="s">
        <v>500</v>
      </c>
      <c r="I36" s="96">
        <v>12</v>
      </c>
      <c r="J36" s="97" t="s">
        <v>101</v>
      </c>
      <c r="K36" s="98">
        <v>67</v>
      </c>
      <c r="L36" s="99" t="s">
        <v>737</v>
      </c>
      <c r="M36" s="152" t="s">
        <v>2022</v>
      </c>
      <c r="N36" s="152">
        <v>43</v>
      </c>
      <c r="O36" s="83" t="s">
        <v>1935</v>
      </c>
      <c r="P36" s="83" t="s">
        <v>1219</v>
      </c>
      <c r="R36" s="83"/>
      <c r="S36" s="26" t="s">
        <v>1322</v>
      </c>
      <c r="T36" s="26" t="s">
        <v>1324</v>
      </c>
      <c r="U36" s="26" t="s">
        <v>1319</v>
      </c>
      <c r="V36" s="26" t="s">
        <v>1320</v>
      </c>
      <c r="W36" s="63">
        <v>44562</v>
      </c>
      <c r="X36" s="63">
        <v>44815</v>
      </c>
      <c r="Y36" s="63">
        <v>45101</v>
      </c>
      <c r="Z36" s="63">
        <v>45169</v>
      </c>
      <c r="AA36" s="23" t="s">
        <v>1107</v>
      </c>
      <c r="AB36" s="23"/>
      <c r="AC36" s="23" t="s">
        <v>731</v>
      </c>
      <c r="AD36" s="23" t="s">
        <v>731</v>
      </c>
      <c r="AE36" s="23"/>
      <c r="AF36" s="23" t="s">
        <v>731</v>
      </c>
      <c r="AG36" s="23" t="s">
        <v>731</v>
      </c>
      <c r="AH36" s="23" t="s">
        <v>731</v>
      </c>
      <c r="AI36" s="23" t="s">
        <v>731</v>
      </c>
      <c r="AJ36" s="23" t="s">
        <v>731</v>
      </c>
      <c r="AK36" s="23" t="s">
        <v>731</v>
      </c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42">
        <v>36</v>
      </c>
      <c r="AW36" s="18"/>
      <c r="AY36" s="42"/>
      <c r="AZ36" s="42"/>
      <c r="BB36" s="43">
        <v>2</v>
      </c>
      <c r="BC36" s="41">
        <f>IF(AND((AV36/I36)&lt;2,BB36=1),(I36*2)-AV36,0)</f>
        <v>0</v>
      </c>
      <c r="BD36" s="41">
        <f>IF(AND((AV36/I36)&lt;3,BB36=2),(I36*3)-AV36,0)</f>
        <v>0</v>
      </c>
      <c r="BG36" s="18"/>
      <c r="BH36" s="18">
        <v>9</v>
      </c>
      <c r="BI36" s="18">
        <v>0</v>
      </c>
      <c r="BJ36" s="18">
        <v>0</v>
      </c>
      <c r="BK36" s="18">
        <v>0</v>
      </c>
      <c r="BL36" s="18">
        <v>0</v>
      </c>
      <c r="BM36" s="55">
        <f>SUM(AV36:AX36)+SUM(BC36:BD36)+SUM(BE36:BF36)+BG36</f>
        <v>36</v>
      </c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</row>
    <row r="37" spans="1:78" s="46" customFormat="1" ht="33.75">
      <c r="A37" s="2"/>
      <c r="B37" s="89">
        <v>36</v>
      </c>
      <c r="C37" s="93">
        <v>123</v>
      </c>
      <c r="D37" s="93">
        <v>179</v>
      </c>
      <c r="E37" s="94">
        <v>0.59722222222222221</v>
      </c>
      <c r="F37" s="94">
        <v>0.61249999999999993</v>
      </c>
      <c r="G37" s="93" t="s">
        <v>503</v>
      </c>
      <c r="H37" s="93" t="s">
        <v>549</v>
      </c>
      <c r="I37" s="96">
        <v>12</v>
      </c>
      <c r="J37" s="97" t="s">
        <v>101</v>
      </c>
      <c r="K37" s="98">
        <v>13</v>
      </c>
      <c r="L37" s="99" t="s">
        <v>737</v>
      </c>
      <c r="M37" s="152" t="s">
        <v>2022</v>
      </c>
      <c r="N37" s="152">
        <v>43</v>
      </c>
      <c r="O37" s="83" t="s">
        <v>1935</v>
      </c>
      <c r="P37" s="83" t="s">
        <v>1219</v>
      </c>
      <c r="Q37" s="2"/>
      <c r="R37" s="83"/>
      <c r="S37" s="26" t="s">
        <v>1322</v>
      </c>
      <c r="T37" s="26" t="s">
        <v>1324</v>
      </c>
      <c r="U37" s="26" t="s">
        <v>1319</v>
      </c>
      <c r="V37" s="26" t="s">
        <v>1320</v>
      </c>
      <c r="W37" s="63">
        <v>44562</v>
      </c>
      <c r="X37" s="63">
        <v>44815</v>
      </c>
      <c r="Y37" s="63">
        <v>45101</v>
      </c>
      <c r="Z37" s="63">
        <v>45169</v>
      </c>
      <c r="AA37" s="17" t="s">
        <v>1104</v>
      </c>
      <c r="AB37" s="23"/>
      <c r="AC37" s="23" t="s">
        <v>731</v>
      </c>
      <c r="AD37" s="23"/>
      <c r="AE37" s="23"/>
      <c r="AF37" s="23"/>
      <c r="AG37" s="23"/>
      <c r="AH37" s="23"/>
      <c r="AI37" s="23"/>
      <c r="AJ37" s="23"/>
      <c r="AK37" s="23"/>
      <c r="AL37" s="23" t="s">
        <v>731</v>
      </c>
      <c r="AM37" s="23"/>
      <c r="AN37" s="23"/>
      <c r="AO37" s="23"/>
      <c r="AP37" s="23"/>
      <c r="AQ37" s="23"/>
      <c r="AR37" s="23"/>
      <c r="AS37" s="23"/>
      <c r="AT37" s="23"/>
      <c r="AU37" s="23"/>
      <c r="AV37" s="42">
        <v>36</v>
      </c>
      <c r="AW37" s="18"/>
      <c r="AX37" s="18"/>
      <c r="AY37" s="42"/>
      <c r="AZ37" s="42"/>
      <c r="BA37" s="18"/>
      <c r="BB37" s="43">
        <v>2</v>
      </c>
      <c r="BC37" s="41">
        <f>IF(AND((AV37/I37)&lt;2,BB37=1),(I37*2)-AV37,0)</f>
        <v>0</v>
      </c>
      <c r="BD37" s="41">
        <f>IF(AND((AV37/I37)&lt;3,BB37=2),(I37*3)-AV37,0)</f>
        <v>0</v>
      </c>
      <c r="BE37" s="18"/>
      <c r="BF37" s="18"/>
      <c r="BG37" s="18"/>
      <c r="BH37" s="18">
        <v>2</v>
      </c>
      <c r="BI37" s="18">
        <v>0</v>
      </c>
      <c r="BJ37" s="18">
        <v>0</v>
      </c>
      <c r="BK37" s="18">
        <v>0</v>
      </c>
      <c r="BL37" s="18">
        <v>0</v>
      </c>
      <c r="BM37" s="55">
        <f>SUM(AV37:AX37)+SUM(BC37:BD37)+SUM(BE37:BF37)+BG37</f>
        <v>36</v>
      </c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18"/>
    </row>
    <row r="38" spans="1:78" ht="33.75">
      <c r="B38" s="89">
        <v>37</v>
      </c>
      <c r="C38" s="93">
        <v>123</v>
      </c>
      <c r="D38" s="93">
        <v>180</v>
      </c>
      <c r="E38" s="94">
        <v>0.65972222222222221</v>
      </c>
      <c r="F38" s="94">
        <v>0.67499999999999993</v>
      </c>
      <c r="G38" s="93" t="s">
        <v>502</v>
      </c>
      <c r="H38" s="93" t="s">
        <v>500</v>
      </c>
      <c r="I38" s="96">
        <v>12</v>
      </c>
      <c r="J38" s="97" t="s">
        <v>101</v>
      </c>
      <c r="K38" s="98">
        <v>67</v>
      </c>
      <c r="L38" s="99" t="s">
        <v>737</v>
      </c>
      <c r="M38" s="152" t="s">
        <v>2022</v>
      </c>
      <c r="N38" s="152">
        <v>43</v>
      </c>
      <c r="O38" s="83" t="s">
        <v>1935</v>
      </c>
      <c r="P38" s="83" t="s">
        <v>1219</v>
      </c>
      <c r="R38" s="83"/>
      <c r="S38" s="26" t="s">
        <v>1319</v>
      </c>
      <c r="T38" s="26" t="s">
        <v>1320</v>
      </c>
      <c r="U38" s="26" t="s">
        <v>1322</v>
      </c>
      <c r="V38" s="26" t="s">
        <v>1323</v>
      </c>
      <c r="W38" s="63">
        <v>44562</v>
      </c>
      <c r="X38" s="63">
        <v>44815</v>
      </c>
      <c r="Y38" s="63">
        <v>45101</v>
      </c>
      <c r="Z38" s="63">
        <v>45169</v>
      </c>
      <c r="AA38" s="23" t="s">
        <v>1107</v>
      </c>
      <c r="AB38" s="23"/>
      <c r="AC38" s="23" t="s">
        <v>731</v>
      </c>
      <c r="AD38" s="23" t="s">
        <v>731</v>
      </c>
      <c r="AE38" s="23"/>
      <c r="AF38" s="23" t="s">
        <v>731</v>
      </c>
      <c r="AG38" s="23" t="s">
        <v>731</v>
      </c>
      <c r="AH38" s="23" t="s">
        <v>731</v>
      </c>
      <c r="AI38" s="23" t="s">
        <v>731</v>
      </c>
      <c r="AJ38" s="23" t="s">
        <v>731</v>
      </c>
      <c r="AK38" s="23" t="s">
        <v>731</v>
      </c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42">
        <v>36</v>
      </c>
      <c r="AW38" s="18"/>
      <c r="AY38" s="42"/>
      <c r="AZ38" s="42"/>
      <c r="BB38" s="43">
        <v>2</v>
      </c>
      <c r="BC38" s="41">
        <f>IF(AND((AV38/I38)&lt;2,BB38=1),(I38*2)-AV38,0)</f>
        <v>0</v>
      </c>
      <c r="BD38" s="41">
        <f>IF(AND((AV38/I38)&lt;3,BB38=2),(I38*3)-AV38,0)</f>
        <v>0</v>
      </c>
      <c r="BG38" s="18"/>
      <c r="BH38" s="18">
        <v>9</v>
      </c>
      <c r="BI38" s="18">
        <v>0</v>
      </c>
      <c r="BJ38" s="18">
        <v>0</v>
      </c>
      <c r="BK38" s="18">
        <v>0</v>
      </c>
      <c r="BL38" s="18">
        <v>0</v>
      </c>
      <c r="BM38" s="55">
        <f>SUM(AV38:AX38)+SUM(BC38:BD38)+SUM(BE38:BF38)+BG38</f>
        <v>36</v>
      </c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</row>
    <row r="39" spans="1:78" ht="33.75">
      <c r="B39" s="89">
        <v>38</v>
      </c>
      <c r="C39" s="93">
        <v>123</v>
      </c>
      <c r="D39" s="93">
        <v>180</v>
      </c>
      <c r="E39" s="94">
        <v>0.65972222222222221</v>
      </c>
      <c r="F39" s="94">
        <v>0.67499999999999993</v>
      </c>
      <c r="G39" s="93" t="s">
        <v>502</v>
      </c>
      <c r="H39" s="93" t="s">
        <v>549</v>
      </c>
      <c r="I39" s="96">
        <v>12</v>
      </c>
      <c r="J39" s="97" t="s">
        <v>101</v>
      </c>
      <c r="K39" s="98">
        <v>13</v>
      </c>
      <c r="L39" s="99" t="s">
        <v>737</v>
      </c>
      <c r="M39" s="152" t="s">
        <v>2022</v>
      </c>
      <c r="N39" s="152">
        <v>43</v>
      </c>
      <c r="O39" s="83" t="s">
        <v>1935</v>
      </c>
      <c r="P39" s="83" t="s">
        <v>1219</v>
      </c>
      <c r="R39" s="83"/>
      <c r="S39" s="26" t="s">
        <v>1319</v>
      </c>
      <c r="T39" s="26" t="s">
        <v>1320</v>
      </c>
      <c r="U39" s="26" t="s">
        <v>1322</v>
      </c>
      <c r="V39" s="26" t="s">
        <v>1323</v>
      </c>
      <c r="W39" s="63">
        <v>44562</v>
      </c>
      <c r="X39" s="63">
        <v>44815</v>
      </c>
      <c r="Y39" s="63">
        <v>45101</v>
      </c>
      <c r="Z39" s="63">
        <v>45169</v>
      </c>
      <c r="AA39" s="17" t="s">
        <v>1104</v>
      </c>
      <c r="AB39" s="23"/>
      <c r="AC39" s="23" t="s">
        <v>731</v>
      </c>
      <c r="AD39" s="23"/>
      <c r="AE39" s="23"/>
      <c r="AF39" s="23"/>
      <c r="AG39" s="23"/>
      <c r="AH39" s="23"/>
      <c r="AI39" s="23"/>
      <c r="AJ39" s="23"/>
      <c r="AK39" s="23"/>
      <c r="AL39" s="23" t="s">
        <v>731</v>
      </c>
      <c r="AM39" s="23"/>
      <c r="AN39" s="23"/>
      <c r="AO39" s="23"/>
      <c r="AP39" s="23"/>
      <c r="AQ39" s="23"/>
      <c r="AR39" s="23"/>
      <c r="AS39" s="23"/>
      <c r="AT39" s="23"/>
      <c r="AU39" s="23"/>
      <c r="AV39" s="42">
        <v>36</v>
      </c>
      <c r="AW39" s="18"/>
      <c r="AY39" s="42"/>
      <c r="AZ39" s="42"/>
      <c r="BB39" s="43">
        <v>2</v>
      </c>
      <c r="BC39" s="41">
        <f>IF(AND((AV39/I39)&lt;2,BB39=1),(I39*2)-AV39,0)</f>
        <v>0</v>
      </c>
      <c r="BD39" s="41">
        <f>IF(AND((AV39/I39)&lt;3,BB39=2),(I39*3)-AV39,0)</f>
        <v>0</v>
      </c>
      <c r="BE39" s="46"/>
      <c r="BF39" s="46"/>
      <c r="BG39" s="46"/>
      <c r="BH39" s="18">
        <v>2</v>
      </c>
      <c r="BI39" s="18">
        <v>0</v>
      </c>
      <c r="BJ39" s="18">
        <v>0</v>
      </c>
      <c r="BK39" s="18">
        <v>0</v>
      </c>
      <c r="BL39" s="18">
        <v>0</v>
      </c>
      <c r="BM39" s="55">
        <f>SUM(AV39:AX39)+SUM(BC39:BD39)+SUM(BE39:BF39)+BG39</f>
        <v>36</v>
      </c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46"/>
    </row>
    <row r="40" spans="1:78" ht="33.75">
      <c r="B40" s="89">
        <v>39</v>
      </c>
      <c r="C40" s="93">
        <v>123</v>
      </c>
      <c r="D40" s="93">
        <v>181</v>
      </c>
      <c r="E40" s="94">
        <v>0.67847222222222225</v>
      </c>
      <c r="F40" s="94">
        <v>0.69374999999999998</v>
      </c>
      <c r="G40" s="93" t="s">
        <v>503</v>
      </c>
      <c r="H40" s="93" t="s">
        <v>500</v>
      </c>
      <c r="I40" s="96">
        <v>12</v>
      </c>
      <c r="J40" s="97" t="s">
        <v>101</v>
      </c>
      <c r="K40" s="98">
        <v>67</v>
      </c>
      <c r="L40" s="99" t="s">
        <v>737</v>
      </c>
      <c r="M40" s="152" t="s">
        <v>2022</v>
      </c>
      <c r="N40" s="152">
        <v>43</v>
      </c>
      <c r="O40" s="83" t="s">
        <v>1935</v>
      </c>
      <c r="P40" s="83" t="s">
        <v>1219</v>
      </c>
      <c r="R40" s="83"/>
      <c r="S40" s="26" t="s">
        <v>1322</v>
      </c>
      <c r="T40" s="26" t="s">
        <v>1324</v>
      </c>
      <c r="U40" s="26" t="s">
        <v>1319</v>
      </c>
      <c r="V40" s="26" t="s">
        <v>1320</v>
      </c>
      <c r="W40" s="63">
        <v>44562</v>
      </c>
      <c r="X40" s="63">
        <v>44815</v>
      </c>
      <c r="Y40" s="63">
        <v>45101</v>
      </c>
      <c r="Z40" s="63">
        <v>45169</v>
      </c>
      <c r="AA40" s="23" t="s">
        <v>1107</v>
      </c>
      <c r="AB40" s="23"/>
      <c r="AC40" s="23" t="s">
        <v>731</v>
      </c>
      <c r="AD40" s="23" t="s">
        <v>731</v>
      </c>
      <c r="AE40" s="23"/>
      <c r="AF40" s="23" t="s">
        <v>731</v>
      </c>
      <c r="AG40" s="23" t="s">
        <v>731</v>
      </c>
      <c r="AH40" s="23" t="s">
        <v>731</v>
      </c>
      <c r="AI40" s="23" t="s">
        <v>731</v>
      </c>
      <c r="AJ40" s="23" t="s">
        <v>731</v>
      </c>
      <c r="AK40" s="23" t="s">
        <v>731</v>
      </c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42">
        <v>36</v>
      </c>
      <c r="AW40" s="18"/>
      <c r="AY40" s="42"/>
      <c r="AZ40" s="42"/>
      <c r="BB40" s="43">
        <v>2</v>
      </c>
      <c r="BC40" s="41">
        <f>IF(AND((AV40/I40)&lt;2,BB40=1),(I40*2)-AV40,0)</f>
        <v>0</v>
      </c>
      <c r="BD40" s="41">
        <f>IF(AND((AV40/I40)&lt;3,BB40=2),(I40*3)-AV40,0)</f>
        <v>0</v>
      </c>
      <c r="BG40" s="18"/>
      <c r="BH40" s="18">
        <v>9</v>
      </c>
      <c r="BI40" s="18">
        <v>0</v>
      </c>
      <c r="BJ40" s="18">
        <v>0</v>
      </c>
      <c r="BK40" s="18">
        <v>0</v>
      </c>
      <c r="BL40" s="18">
        <v>0</v>
      </c>
      <c r="BM40" s="55">
        <f>SUM(AV40:AX40)+SUM(BC40:BD40)+SUM(BE40:BF40)+BG40</f>
        <v>36</v>
      </c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</row>
    <row r="41" spans="1:78" ht="33.75">
      <c r="B41" s="89">
        <v>40</v>
      </c>
      <c r="C41" s="93">
        <v>123</v>
      </c>
      <c r="D41" s="93">
        <v>181</v>
      </c>
      <c r="E41" s="94">
        <v>0.67847222222222225</v>
      </c>
      <c r="F41" s="94">
        <v>0.69374999999999998</v>
      </c>
      <c r="G41" s="93" t="s">
        <v>503</v>
      </c>
      <c r="H41" s="93" t="s">
        <v>549</v>
      </c>
      <c r="I41" s="96">
        <v>12</v>
      </c>
      <c r="J41" s="97" t="s">
        <v>101</v>
      </c>
      <c r="K41" s="98">
        <v>13</v>
      </c>
      <c r="L41" s="99" t="s">
        <v>737</v>
      </c>
      <c r="M41" s="152" t="s">
        <v>2022</v>
      </c>
      <c r="N41" s="152">
        <v>43</v>
      </c>
      <c r="O41" s="83" t="s">
        <v>1935</v>
      </c>
      <c r="P41" s="83" t="s">
        <v>1219</v>
      </c>
      <c r="R41" s="83"/>
      <c r="S41" s="26" t="s">
        <v>1322</v>
      </c>
      <c r="T41" s="26" t="s">
        <v>1324</v>
      </c>
      <c r="U41" s="26" t="s">
        <v>1319</v>
      </c>
      <c r="V41" s="26" t="s">
        <v>1320</v>
      </c>
      <c r="W41" s="63">
        <v>44562</v>
      </c>
      <c r="X41" s="63">
        <v>44815</v>
      </c>
      <c r="Y41" s="63">
        <v>45101</v>
      </c>
      <c r="Z41" s="63">
        <v>45169</v>
      </c>
      <c r="AA41" s="17" t="s">
        <v>1104</v>
      </c>
      <c r="AB41" s="23"/>
      <c r="AC41" s="23" t="s">
        <v>731</v>
      </c>
      <c r="AD41" s="23"/>
      <c r="AE41" s="23"/>
      <c r="AF41" s="23"/>
      <c r="AG41" s="23"/>
      <c r="AH41" s="23"/>
      <c r="AI41" s="23"/>
      <c r="AJ41" s="23"/>
      <c r="AK41" s="23"/>
      <c r="AL41" s="23" t="s">
        <v>731</v>
      </c>
      <c r="AM41" s="23"/>
      <c r="AN41" s="23"/>
      <c r="AO41" s="23"/>
      <c r="AP41" s="23"/>
      <c r="AQ41" s="23"/>
      <c r="AR41" s="23"/>
      <c r="AS41" s="23"/>
      <c r="AT41" s="23"/>
      <c r="AU41" s="23"/>
      <c r="AV41" s="42">
        <v>36</v>
      </c>
      <c r="AW41" s="18"/>
      <c r="AY41" s="42"/>
      <c r="AZ41" s="42"/>
      <c r="BB41" s="43">
        <v>2</v>
      </c>
      <c r="BC41" s="41">
        <f>IF(AND((AV41/I41)&lt;2,BB41=1),(I41*2)-AV41,0)</f>
        <v>0</v>
      </c>
      <c r="BD41" s="41">
        <f>IF(AND((AV41/I41)&lt;3,BB41=2),(I41*3)-AV41,0)</f>
        <v>0</v>
      </c>
      <c r="BG41" s="18"/>
      <c r="BH41" s="18">
        <v>2</v>
      </c>
      <c r="BI41" s="18">
        <v>0</v>
      </c>
      <c r="BJ41" s="18">
        <v>0</v>
      </c>
      <c r="BK41" s="18">
        <v>0</v>
      </c>
      <c r="BL41" s="18">
        <v>0</v>
      </c>
      <c r="BM41" s="55">
        <f>SUM(AV41:AX41)+SUM(BC41:BD41)+SUM(BE41:BF41)+BG41</f>
        <v>36</v>
      </c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</row>
    <row r="42" spans="1:78" ht="33.75">
      <c r="B42" s="89">
        <v>41</v>
      </c>
      <c r="C42" s="93">
        <v>123</v>
      </c>
      <c r="D42" s="93">
        <v>182</v>
      </c>
      <c r="E42" s="94">
        <v>0.70138888888888884</v>
      </c>
      <c r="F42" s="94">
        <v>0.7270833333333333</v>
      </c>
      <c r="G42" s="93" t="s">
        <v>337</v>
      </c>
      <c r="H42" s="93" t="s">
        <v>1</v>
      </c>
      <c r="I42" s="96">
        <v>22</v>
      </c>
      <c r="J42" s="97" t="s">
        <v>101</v>
      </c>
      <c r="K42" s="98">
        <v>67</v>
      </c>
      <c r="L42" s="99" t="s">
        <v>737</v>
      </c>
      <c r="M42" s="152" t="s">
        <v>2022</v>
      </c>
      <c r="N42" s="152">
        <v>43</v>
      </c>
      <c r="O42" s="83" t="s">
        <v>1935</v>
      </c>
      <c r="P42" s="83" t="s">
        <v>1219</v>
      </c>
      <c r="R42" s="83"/>
      <c r="S42" s="26" t="s">
        <v>1319</v>
      </c>
      <c r="T42" s="26" t="s">
        <v>1320</v>
      </c>
      <c r="U42" s="26">
        <v>1255</v>
      </c>
      <c r="V42" s="26" t="s">
        <v>1321</v>
      </c>
      <c r="W42" s="63">
        <v>44562</v>
      </c>
      <c r="X42" s="63">
        <v>44815</v>
      </c>
      <c r="Y42" s="63">
        <v>45101</v>
      </c>
      <c r="Z42" s="63">
        <v>45169</v>
      </c>
      <c r="AA42" s="23" t="s">
        <v>1107</v>
      </c>
      <c r="AB42" s="23"/>
      <c r="AC42" s="23" t="s">
        <v>731</v>
      </c>
      <c r="AD42" s="23" t="s">
        <v>731</v>
      </c>
      <c r="AE42" s="23"/>
      <c r="AF42" s="23" t="s">
        <v>731</v>
      </c>
      <c r="AG42" s="23" t="s">
        <v>731</v>
      </c>
      <c r="AH42" s="23" t="s">
        <v>731</v>
      </c>
      <c r="AI42" s="23" t="s">
        <v>731</v>
      </c>
      <c r="AJ42" s="23" t="s">
        <v>731</v>
      </c>
      <c r="AK42" s="23" t="s">
        <v>731</v>
      </c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42">
        <v>63.39</v>
      </c>
      <c r="AW42" s="18"/>
      <c r="AY42" s="42"/>
      <c r="AZ42" s="42"/>
      <c r="BB42" s="43">
        <v>2</v>
      </c>
      <c r="BC42" s="41">
        <f>IF(AND((AV42/I42)&lt;2,BB42=1),(I42*2)-AV42,0)</f>
        <v>0</v>
      </c>
      <c r="BD42" s="41">
        <f>IF(AND((AV42/I42)&lt;3,BB42=2),(I42*3)-AV42,0)</f>
        <v>2.6099999999999994</v>
      </c>
      <c r="BG42" s="18"/>
      <c r="BH42" s="18">
        <v>9</v>
      </c>
      <c r="BI42" s="18">
        <v>0</v>
      </c>
      <c r="BJ42" s="18">
        <v>0</v>
      </c>
      <c r="BK42" s="18">
        <v>0</v>
      </c>
      <c r="BL42" s="18">
        <v>0</v>
      </c>
      <c r="BM42" s="55">
        <f>SUM(AV42:AX42)+SUM(BC42:BD42)+SUM(BE42:BF42)+BG42</f>
        <v>66</v>
      </c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</row>
    <row r="43" spans="1:78" ht="33.75">
      <c r="B43" s="89">
        <v>42</v>
      </c>
      <c r="C43" s="93">
        <v>123</v>
      </c>
      <c r="D43" s="93">
        <v>182</v>
      </c>
      <c r="E43" s="94">
        <v>0.70138888888888884</v>
      </c>
      <c r="F43" s="94">
        <v>0.7270833333333333</v>
      </c>
      <c r="G43" s="93" t="s">
        <v>504</v>
      </c>
      <c r="H43" s="93" t="s">
        <v>549</v>
      </c>
      <c r="I43" s="96">
        <v>22</v>
      </c>
      <c r="J43" s="97" t="s">
        <v>101</v>
      </c>
      <c r="K43" s="98">
        <v>13</v>
      </c>
      <c r="L43" s="99" t="s">
        <v>737</v>
      </c>
      <c r="M43" s="152" t="s">
        <v>2022</v>
      </c>
      <c r="N43" s="152">
        <v>43</v>
      </c>
      <c r="O43" s="83" t="s">
        <v>1935</v>
      </c>
      <c r="P43" s="83" t="s">
        <v>1219</v>
      </c>
      <c r="R43" s="83"/>
      <c r="S43" s="26" t="s">
        <v>1319</v>
      </c>
      <c r="T43" s="26" t="s">
        <v>1320</v>
      </c>
      <c r="U43" s="26">
        <v>1255</v>
      </c>
      <c r="V43" s="26" t="s">
        <v>1321</v>
      </c>
      <c r="W43" s="63">
        <v>44562</v>
      </c>
      <c r="X43" s="63">
        <v>44815</v>
      </c>
      <c r="Y43" s="63">
        <v>45101</v>
      </c>
      <c r="Z43" s="63">
        <v>45169</v>
      </c>
      <c r="AA43" s="17" t="s">
        <v>1104</v>
      </c>
      <c r="AB43" s="23"/>
      <c r="AC43" s="23" t="s">
        <v>731</v>
      </c>
      <c r="AD43" s="23"/>
      <c r="AE43" s="23"/>
      <c r="AF43" s="23"/>
      <c r="AG43" s="23"/>
      <c r="AH43" s="23"/>
      <c r="AI43" s="23"/>
      <c r="AJ43" s="23"/>
      <c r="AK43" s="23"/>
      <c r="AL43" s="23" t="s">
        <v>731</v>
      </c>
      <c r="AM43" s="23"/>
      <c r="AN43" s="23"/>
      <c r="AO43" s="23"/>
      <c r="AP43" s="23"/>
      <c r="AQ43" s="23"/>
      <c r="AR43" s="23"/>
      <c r="AS43" s="23"/>
      <c r="AT43" s="23"/>
      <c r="AU43" s="23"/>
      <c r="AV43" s="42">
        <v>66</v>
      </c>
      <c r="AW43" s="18"/>
      <c r="AY43" s="42"/>
      <c r="AZ43" s="42"/>
      <c r="BB43" s="43">
        <v>2</v>
      </c>
      <c r="BC43" s="41">
        <f>IF(AND((AV43/I43)&lt;2,BB43=1),(I43*2)-AV43,0)</f>
        <v>0</v>
      </c>
      <c r="BD43" s="41">
        <f>IF(AND((AV43/I43)&lt;3,BB43=2),(I43*3)-AV43,0)</f>
        <v>0</v>
      </c>
      <c r="BG43" s="18"/>
      <c r="BH43" s="18">
        <v>2</v>
      </c>
      <c r="BI43" s="18">
        <v>0</v>
      </c>
      <c r="BJ43" s="18">
        <v>0</v>
      </c>
      <c r="BK43" s="18">
        <v>0</v>
      </c>
      <c r="BL43" s="18">
        <v>0</v>
      </c>
      <c r="BM43" s="55">
        <f>SUM(AV43:AX43)+SUM(BC43:BD43)+SUM(BE43:BF43)+BG43</f>
        <v>66</v>
      </c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</row>
    <row r="44" spans="1:78" ht="33.75">
      <c r="B44" s="89">
        <v>43</v>
      </c>
      <c r="C44" s="93">
        <v>123</v>
      </c>
      <c r="D44" s="93">
        <v>183</v>
      </c>
      <c r="E44" s="94">
        <v>0.73402777777777783</v>
      </c>
      <c r="F44" s="94">
        <v>0.7597222222222223</v>
      </c>
      <c r="G44" s="93" t="s">
        <v>505</v>
      </c>
      <c r="H44" s="93" t="s">
        <v>1</v>
      </c>
      <c r="I44" s="96">
        <v>22</v>
      </c>
      <c r="J44" s="97" t="s">
        <v>101</v>
      </c>
      <c r="K44" s="98">
        <v>67</v>
      </c>
      <c r="L44" s="99" t="s">
        <v>737</v>
      </c>
      <c r="M44" s="152" t="s">
        <v>2022</v>
      </c>
      <c r="N44" s="152">
        <v>43</v>
      </c>
      <c r="O44" s="83" t="s">
        <v>1935</v>
      </c>
      <c r="P44" s="83" t="s">
        <v>1219</v>
      </c>
      <c r="R44" s="83"/>
      <c r="S44" s="26">
        <v>1255</v>
      </c>
      <c r="T44" s="26" t="s">
        <v>1321</v>
      </c>
      <c r="U44" s="26" t="s">
        <v>1319</v>
      </c>
      <c r="V44" s="26" t="s">
        <v>1320</v>
      </c>
      <c r="W44" s="63">
        <v>44562</v>
      </c>
      <c r="X44" s="63">
        <v>44815</v>
      </c>
      <c r="Y44" s="63">
        <v>45101</v>
      </c>
      <c r="Z44" s="63">
        <v>45169</v>
      </c>
      <c r="AA44" s="23" t="s">
        <v>1107</v>
      </c>
      <c r="AB44" s="23"/>
      <c r="AC44" s="23" t="s">
        <v>731</v>
      </c>
      <c r="AD44" s="23" t="s">
        <v>731</v>
      </c>
      <c r="AE44" s="23"/>
      <c r="AF44" s="23" t="s">
        <v>731</v>
      </c>
      <c r="AG44" s="23" t="s">
        <v>731</v>
      </c>
      <c r="AH44" s="23" t="s">
        <v>731</v>
      </c>
      <c r="AI44" s="23" t="s">
        <v>731</v>
      </c>
      <c r="AJ44" s="23" t="s">
        <v>731</v>
      </c>
      <c r="AK44" s="23" t="s">
        <v>731</v>
      </c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42">
        <v>63.39</v>
      </c>
      <c r="AW44" s="18"/>
      <c r="AY44" s="42"/>
      <c r="AZ44" s="42"/>
      <c r="BB44" s="43">
        <v>2</v>
      </c>
      <c r="BC44" s="41">
        <f>IF(AND((AV44/I44)&lt;2,BB44=1),(I44*2)-AV44,0)</f>
        <v>0</v>
      </c>
      <c r="BD44" s="41">
        <f>IF(AND((AV44/I44)&lt;3,BB44=2),(I44*3)-AV44,0)</f>
        <v>2.6099999999999994</v>
      </c>
      <c r="BG44" s="18"/>
      <c r="BH44" s="18">
        <v>9</v>
      </c>
      <c r="BI44" s="18">
        <v>0</v>
      </c>
      <c r="BJ44" s="18">
        <v>0</v>
      </c>
      <c r="BK44" s="18">
        <v>0</v>
      </c>
      <c r="BL44" s="18">
        <v>0</v>
      </c>
      <c r="BM44" s="55">
        <f>SUM(AV44:AX44)+SUM(BC44:BD44)+SUM(BE44:BF44)+BG44</f>
        <v>66</v>
      </c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</row>
    <row r="45" spans="1:78" ht="33.75">
      <c r="B45" s="89">
        <v>44</v>
      </c>
      <c r="C45" s="93">
        <v>123</v>
      </c>
      <c r="D45" s="93">
        <v>183</v>
      </c>
      <c r="E45" s="94">
        <v>0.73402777777777783</v>
      </c>
      <c r="F45" s="94">
        <v>0.7597222222222223</v>
      </c>
      <c r="G45" s="93" t="s">
        <v>505</v>
      </c>
      <c r="H45" s="93" t="s">
        <v>549</v>
      </c>
      <c r="I45" s="96">
        <v>22</v>
      </c>
      <c r="J45" s="97" t="s">
        <v>101</v>
      </c>
      <c r="K45" s="98">
        <v>13</v>
      </c>
      <c r="L45" s="99" t="s">
        <v>737</v>
      </c>
      <c r="M45" s="152" t="s">
        <v>2022</v>
      </c>
      <c r="N45" s="152">
        <v>43</v>
      </c>
      <c r="O45" s="83" t="s">
        <v>1935</v>
      </c>
      <c r="P45" s="83" t="s">
        <v>1219</v>
      </c>
      <c r="R45" s="83"/>
      <c r="S45" s="26">
        <v>1255</v>
      </c>
      <c r="T45" s="26" t="s">
        <v>1321</v>
      </c>
      <c r="U45" s="26" t="s">
        <v>1319</v>
      </c>
      <c r="V45" s="26" t="s">
        <v>1320</v>
      </c>
      <c r="W45" s="63">
        <v>44562</v>
      </c>
      <c r="X45" s="63">
        <v>44815</v>
      </c>
      <c r="Y45" s="63">
        <v>45101</v>
      </c>
      <c r="Z45" s="63">
        <v>45169</v>
      </c>
      <c r="AA45" s="17" t="s">
        <v>1104</v>
      </c>
      <c r="AB45" s="23"/>
      <c r="AC45" s="23" t="s">
        <v>731</v>
      </c>
      <c r="AD45" s="23"/>
      <c r="AE45" s="23"/>
      <c r="AF45" s="23"/>
      <c r="AG45" s="23"/>
      <c r="AH45" s="23"/>
      <c r="AI45" s="23"/>
      <c r="AJ45" s="23"/>
      <c r="AK45" s="23"/>
      <c r="AL45" s="23" t="s">
        <v>731</v>
      </c>
      <c r="AM45" s="23"/>
      <c r="AN45" s="23"/>
      <c r="AO45" s="23"/>
      <c r="AP45" s="23"/>
      <c r="AQ45" s="23"/>
      <c r="AR45" s="23"/>
      <c r="AS45" s="23"/>
      <c r="AT45" s="23"/>
      <c r="AU45" s="23"/>
      <c r="AV45" s="42">
        <v>66</v>
      </c>
      <c r="AW45" s="18"/>
      <c r="AY45" s="42"/>
      <c r="AZ45" s="42"/>
      <c r="BB45" s="43">
        <v>2</v>
      </c>
      <c r="BC45" s="41">
        <f>IF(AND((AV45/I45)&lt;2,BB45=1),(I45*2)-AV45,0)</f>
        <v>0</v>
      </c>
      <c r="BD45" s="41">
        <f>IF(AND((AV45/I45)&lt;3,BB45=2),(I45*3)-AV45,0)</f>
        <v>0</v>
      </c>
      <c r="BG45" s="18"/>
      <c r="BH45" s="18">
        <v>2</v>
      </c>
      <c r="BI45" s="18">
        <v>0</v>
      </c>
      <c r="BJ45" s="18">
        <v>0</v>
      </c>
      <c r="BK45" s="18">
        <v>0</v>
      </c>
      <c r="BL45" s="18">
        <v>0</v>
      </c>
      <c r="BM45" s="55">
        <f>SUM(AV45:AX45)+SUM(BC45:BD45)+SUM(BE45:BF45)+BG45</f>
        <v>66</v>
      </c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</row>
    <row r="46" spans="1:78" ht="33.75">
      <c r="B46" s="89">
        <v>45</v>
      </c>
      <c r="C46" s="93">
        <v>123</v>
      </c>
      <c r="D46" s="93">
        <v>184</v>
      </c>
      <c r="E46" s="94">
        <v>0.77083333333333337</v>
      </c>
      <c r="F46" s="94">
        <v>0.78611111111111109</v>
      </c>
      <c r="G46" s="93" t="s">
        <v>336</v>
      </c>
      <c r="H46" s="93" t="s">
        <v>1</v>
      </c>
      <c r="I46" s="96">
        <v>12</v>
      </c>
      <c r="J46" s="97" t="s">
        <v>101</v>
      </c>
      <c r="K46" s="98">
        <v>67</v>
      </c>
      <c r="L46" s="99" t="s">
        <v>737</v>
      </c>
      <c r="M46" s="152" t="s">
        <v>2022</v>
      </c>
      <c r="N46" s="152">
        <v>43</v>
      </c>
      <c r="O46" s="83" t="s">
        <v>1935</v>
      </c>
      <c r="P46" s="83" t="s">
        <v>1219</v>
      </c>
      <c r="R46" s="83"/>
      <c r="S46" s="26" t="s">
        <v>1319</v>
      </c>
      <c r="T46" s="26" t="s">
        <v>1320</v>
      </c>
      <c r="U46" s="26" t="s">
        <v>1322</v>
      </c>
      <c r="V46" s="26" t="s">
        <v>1323</v>
      </c>
      <c r="W46" s="63">
        <v>44562</v>
      </c>
      <c r="X46" s="63">
        <v>44815</v>
      </c>
      <c r="Y46" s="63">
        <v>45101</v>
      </c>
      <c r="Z46" s="63">
        <v>45169</v>
      </c>
      <c r="AA46" s="23" t="s">
        <v>1107</v>
      </c>
      <c r="AB46" s="23"/>
      <c r="AC46" s="23" t="s">
        <v>731</v>
      </c>
      <c r="AD46" s="23" t="s">
        <v>731</v>
      </c>
      <c r="AE46" s="23"/>
      <c r="AF46" s="23" t="s">
        <v>731</v>
      </c>
      <c r="AG46" s="23" t="s">
        <v>731</v>
      </c>
      <c r="AH46" s="23" t="s">
        <v>731</v>
      </c>
      <c r="AI46" s="23" t="s">
        <v>731</v>
      </c>
      <c r="AJ46" s="23" t="s">
        <v>731</v>
      </c>
      <c r="AK46" s="23" t="s">
        <v>731</v>
      </c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42">
        <v>34.58</v>
      </c>
      <c r="AW46" s="18"/>
      <c r="AY46" s="42"/>
      <c r="AZ46" s="42"/>
      <c r="BB46" s="43">
        <v>2</v>
      </c>
      <c r="BC46" s="41">
        <f>IF(AND((AV46/I46)&lt;2,BB46=1),(I46*2)-AV46,0)</f>
        <v>0</v>
      </c>
      <c r="BD46" s="41">
        <f>IF(AND((AV46/I46)&lt;3,BB46=2),(I46*3)-AV46,0)</f>
        <v>1.4200000000000017</v>
      </c>
      <c r="BG46" s="18"/>
      <c r="BH46" s="18">
        <v>9</v>
      </c>
      <c r="BI46" s="18">
        <v>0</v>
      </c>
      <c r="BJ46" s="18">
        <v>0</v>
      </c>
      <c r="BK46" s="18">
        <v>0</v>
      </c>
      <c r="BL46" s="18">
        <v>0</v>
      </c>
      <c r="BM46" s="55">
        <f>SUM(AV46:AX46)+SUM(BC46:BD46)+SUM(BE46:BF46)+BG46</f>
        <v>36</v>
      </c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</row>
    <row r="47" spans="1:78" ht="33.75">
      <c r="B47" s="89">
        <v>46</v>
      </c>
      <c r="C47" s="93">
        <v>123</v>
      </c>
      <c r="D47" s="93">
        <v>184</v>
      </c>
      <c r="E47" s="94">
        <v>0.77083333333333337</v>
      </c>
      <c r="F47" s="94">
        <v>0.78611111111111109</v>
      </c>
      <c r="G47" s="93" t="s">
        <v>502</v>
      </c>
      <c r="H47" s="93" t="s">
        <v>549</v>
      </c>
      <c r="I47" s="96">
        <v>12</v>
      </c>
      <c r="J47" s="97" t="s">
        <v>101</v>
      </c>
      <c r="K47" s="98">
        <v>13</v>
      </c>
      <c r="L47" s="99" t="s">
        <v>737</v>
      </c>
      <c r="M47" s="152" t="s">
        <v>2022</v>
      </c>
      <c r="N47" s="152">
        <v>43</v>
      </c>
      <c r="O47" s="83" t="s">
        <v>1935</v>
      </c>
      <c r="P47" s="83" t="s">
        <v>1219</v>
      </c>
      <c r="R47" s="83"/>
      <c r="S47" s="26" t="s">
        <v>1319</v>
      </c>
      <c r="T47" s="26" t="s">
        <v>1320</v>
      </c>
      <c r="U47" s="26" t="s">
        <v>1322</v>
      </c>
      <c r="V47" s="26" t="s">
        <v>1323</v>
      </c>
      <c r="W47" s="63">
        <v>44562</v>
      </c>
      <c r="X47" s="63">
        <v>44815</v>
      </c>
      <c r="Y47" s="63">
        <v>45101</v>
      </c>
      <c r="Z47" s="63">
        <v>45169</v>
      </c>
      <c r="AA47" s="17" t="s">
        <v>1104</v>
      </c>
      <c r="AB47" s="23"/>
      <c r="AC47" s="23" t="s">
        <v>731</v>
      </c>
      <c r="AD47" s="23"/>
      <c r="AE47" s="23"/>
      <c r="AF47" s="23"/>
      <c r="AG47" s="23"/>
      <c r="AH47" s="23"/>
      <c r="AI47" s="23"/>
      <c r="AJ47" s="23"/>
      <c r="AK47" s="23"/>
      <c r="AL47" s="23" t="s">
        <v>731</v>
      </c>
      <c r="AM47" s="23"/>
      <c r="AN47" s="23"/>
      <c r="AO47" s="23"/>
      <c r="AP47" s="23"/>
      <c r="AQ47" s="23"/>
      <c r="AR47" s="23"/>
      <c r="AS47" s="23"/>
      <c r="AT47" s="23"/>
      <c r="AU47" s="23"/>
      <c r="AV47" s="42">
        <v>36</v>
      </c>
      <c r="AW47" s="18"/>
      <c r="AY47" s="42"/>
      <c r="AZ47" s="42"/>
      <c r="BB47" s="43">
        <v>2</v>
      </c>
      <c r="BC47" s="41">
        <f>IF(AND((AV47/I47)&lt;2,BB47=1),(I47*2)-AV47,0)</f>
        <v>0</v>
      </c>
      <c r="BD47" s="41">
        <f>IF(AND((AV47/I47)&lt;3,BB47=2),(I47*3)-AV47,0)</f>
        <v>0</v>
      </c>
      <c r="BG47" s="18"/>
      <c r="BH47" s="18">
        <v>2</v>
      </c>
      <c r="BI47" s="18">
        <v>0</v>
      </c>
      <c r="BJ47" s="18">
        <v>0</v>
      </c>
      <c r="BK47" s="18">
        <v>0</v>
      </c>
      <c r="BL47" s="18">
        <v>0</v>
      </c>
      <c r="BM47" s="55">
        <f>SUM(AV47:AX47)+SUM(BC47:BD47)+SUM(BE47:BF47)+BG47</f>
        <v>36</v>
      </c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</row>
    <row r="48" spans="1:78" ht="33.75">
      <c r="A48" s="110" t="s">
        <v>1166</v>
      </c>
      <c r="B48" s="89">
        <v>47</v>
      </c>
      <c r="C48" s="93">
        <v>123</v>
      </c>
      <c r="D48" s="93">
        <v>185</v>
      </c>
      <c r="E48" s="94">
        <v>0.78819444444444453</v>
      </c>
      <c r="F48" s="94">
        <v>0.80347222222222225</v>
      </c>
      <c r="G48" s="93" t="s">
        <v>503</v>
      </c>
      <c r="H48" s="106" t="s">
        <v>1034</v>
      </c>
      <c r="I48" s="96">
        <v>12</v>
      </c>
      <c r="J48" s="97" t="s">
        <v>101</v>
      </c>
      <c r="K48" s="111">
        <v>67</v>
      </c>
      <c r="L48" s="99" t="s">
        <v>737</v>
      </c>
      <c r="M48" s="152" t="s">
        <v>2022</v>
      </c>
      <c r="N48" s="152">
        <v>43</v>
      </c>
      <c r="O48" s="83" t="s">
        <v>1935</v>
      </c>
      <c r="P48" s="83" t="s">
        <v>1219</v>
      </c>
      <c r="R48" s="83"/>
      <c r="S48" s="26" t="s">
        <v>1322</v>
      </c>
      <c r="T48" s="26" t="s">
        <v>1324</v>
      </c>
      <c r="U48" s="26" t="s">
        <v>1319</v>
      </c>
      <c r="V48" s="26" t="s">
        <v>1320</v>
      </c>
      <c r="W48" s="63">
        <v>44562</v>
      </c>
      <c r="X48" s="63">
        <v>44815</v>
      </c>
      <c r="Y48" s="63">
        <v>45101</v>
      </c>
      <c r="Z48" s="63">
        <v>45169</v>
      </c>
      <c r="AA48" s="23" t="s">
        <v>1107</v>
      </c>
      <c r="AB48" s="23"/>
      <c r="AC48" s="23" t="s">
        <v>731</v>
      </c>
      <c r="AD48" s="23" t="s">
        <v>731</v>
      </c>
      <c r="AE48" s="23"/>
      <c r="AF48" s="23" t="s">
        <v>731</v>
      </c>
      <c r="AG48" s="23" t="s">
        <v>731</v>
      </c>
      <c r="AH48" s="23" t="s">
        <v>731</v>
      </c>
      <c r="AI48" s="23" t="s">
        <v>731</v>
      </c>
      <c r="AJ48" s="23" t="s">
        <v>731</v>
      </c>
      <c r="AK48" s="23" t="s">
        <v>731</v>
      </c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42">
        <v>34.58</v>
      </c>
      <c r="AW48" s="18"/>
      <c r="AY48" s="42"/>
      <c r="AZ48" s="42"/>
      <c r="BB48" s="43">
        <v>2</v>
      </c>
      <c r="BC48" s="41">
        <f>IF(AND((AV48/I48)&lt;2,BB48=1),(I48*2)-AV48,0)</f>
        <v>0</v>
      </c>
      <c r="BD48" s="41">
        <f>IF(AND((AV48/I48)&lt;3,BB48=2),(I48*3)-AV48,0)</f>
        <v>1.4200000000000017</v>
      </c>
      <c r="BG48" s="18"/>
      <c r="BH48" s="18">
        <v>9</v>
      </c>
      <c r="BI48" s="18">
        <v>0</v>
      </c>
      <c r="BJ48" s="18">
        <v>0</v>
      </c>
      <c r="BK48" s="18">
        <v>0</v>
      </c>
      <c r="BL48" s="18">
        <v>0</v>
      </c>
      <c r="BM48" s="55">
        <f>SUM(AV48:AX48)+SUM(BC48:BD48)+SUM(BE48:BF48)+BG48</f>
        <v>36</v>
      </c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</row>
    <row r="49" spans="1:78" ht="33.75">
      <c r="B49" s="89">
        <v>48</v>
      </c>
      <c r="C49" s="93">
        <v>123</v>
      </c>
      <c r="D49" s="93">
        <v>185</v>
      </c>
      <c r="E49" s="94">
        <v>0.78819444444444453</v>
      </c>
      <c r="F49" s="94">
        <v>0.80347222222222225</v>
      </c>
      <c r="G49" s="93" t="s">
        <v>503</v>
      </c>
      <c r="H49" s="93" t="s">
        <v>549</v>
      </c>
      <c r="I49" s="96">
        <v>12</v>
      </c>
      <c r="J49" s="97" t="s">
        <v>101</v>
      </c>
      <c r="K49" s="98">
        <v>13</v>
      </c>
      <c r="L49" s="99" t="s">
        <v>737</v>
      </c>
      <c r="M49" s="152" t="s">
        <v>2022</v>
      </c>
      <c r="N49" s="152">
        <v>43</v>
      </c>
      <c r="O49" s="83" t="s">
        <v>1935</v>
      </c>
      <c r="P49" s="83" t="s">
        <v>1219</v>
      </c>
      <c r="R49" s="83"/>
      <c r="S49" s="26" t="s">
        <v>1322</v>
      </c>
      <c r="T49" s="26" t="s">
        <v>1324</v>
      </c>
      <c r="U49" s="26" t="s">
        <v>1319</v>
      </c>
      <c r="V49" s="26" t="s">
        <v>1320</v>
      </c>
      <c r="W49" s="63">
        <v>44562</v>
      </c>
      <c r="X49" s="63">
        <v>44815</v>
      </c>
      <c r="Y49" s="63">
        <v>45101</v>
      </c>
      <c r="Z49" s="63">
        <v>45169</v>
      </c>
      <c r="AA49" s="17" t="s">
        <v>1104</v>
      </c>
      <c r="AB49" s="23"/>
      <c r="AC49" s="23" t="s">
        <v>731</v>
      </c>
      <c r="AD49" s="23"/>
      <c r="AE49" s="23"/>
      <c r="AF49" s="23"/>
      <c r="AG49" s="23"/>
      <c r="AH49" s="23"/>
      <c r="AI49" s="23"/>
      <c r="AJ49" s="23"/>
      <c r="AK49" s="23"/>
      <c r="AL49" s="23" t="s">
        <v>731</v>
      </c>
      <c r="AM49" s="23"/>
      <c r="AN49" s="23"/>
      <c r="AO49" s="23"/>
      <c r="AP49" s="23"/>
      <c r="AQ49" s="23"/>
      <c r="AR49" s="23"/>
      <c r="AS49" s="23"/>
      <c r="AT49" s="23"/>
      <c r="AU49" s="23"/>
      <c r="AV49" s="42">
        <v>36</v>
      </c>
      <c r="AW49" s="18"/>
      <c r="AY49" s="42"/>
      <c r="AZ49" s="42"/>
      <c r="BB49" s="43">
        <v>2</v>
      </c>
      <c r="BC49" s="41">
        <f>IF(AND((AV49/I49)&lt;2,BB49=1),(I49*2)-AV49,0)</f>
        <v>0</v>
      </c>
      <c r="BD49" s="41">
        <f>IF(AND((AV49/I49)&lt;3,BB49=2),(I49*3)-AV49,0)</f>
        <v>0</v>
      </c>
      <c r="BG49" s="18"/>
      <c r="BH49" s="18">
        <v>2</v>
      </c>
      <c r="BI49" s="18">
        <v>0</v>
      </c>
      <c r="BJ49" s="18">
        <v>0</v>
      </c>
      <c r="BK49" s="18">
        <v>0</v>
      </c>
      <c r="BL49" s="18">
        <v>0</v>
      </c>
      <c r="BM49" s="55">
        <f>SUM(AV49:AX49)+SUM(BC49:BD49)+SUM(BE49:BF49)+BG49</f>
        <v>36</v>
      </c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</row>
    <row r="50" spans="1:78" ht="25.5">
      <c r="B50" s="89">
        <v>49</v>
      </c>
      <c r="C50" s="101">
        <v>202</v>
      </c>
      <c r="D50" s="101">
        <v>92</v>
      </c>
      <c r="E50" s="102">
        <v>0.32291666666666669</v>
      </c>
      <c r="F50" s="102">
        <v>0.3611111111111111</v>
      </c>
      <c r="G50" s="103" t="s">
        <v>7</v>
      </c>
      <c r="H50" s="93" t="s">
        <v>549</v>
      </c>
      <c r="I50" s="101">
        <v>24</v>
      </c>
      <c r="J50" s="104">
        <v>30</v>
      </c>
      <c r="K50" s="98">
        <v>13</v>
      </c>
      <c r="L50" s="99" t="s">
        <v>723</v>
      </c>
      <c r="M50" s="83" t="s">
        <v>1045</v>
      </c>
      <c r="N50" s="83">
        <v>45</v>
      </c>
      <c r="O50" s="83" t="s">
        <v>936</v>
      </c>
      <c r="P50" s="83">
        <v>48</v>
      </c>
      <c r="Q50" s="190" t="s">
        <v>1997</v>
      </c>
      <c r="R50" s="191">
        <v>45</v>
      </c>
      <c r="S50" s="26">
        <v>1</v>
      </c>
      <c r="T50" s="26" t="s">
        <v>1309</v>
      </c>
      <c r="U50" s="26">
        <v>2660</v>
      </c>
      <c r="V50" s="26" t="s">
        <v>1325</v>
      </c>
      <c r="W50" s="63">
        <v>44562</v>
      </c>
      <c r="X50" s="63">
        <v>44815</v>
      </c>
      <c r="Y50" s="63">
        <v>45101</v>
      </c>
      <c r="Z50" s="63">
        <v>45169</v>
      </c>
      <c r="AA50" s="17" t="s">
        <v>1104</v>
      </c>
      <c r="AB50" s="23"/>
      <c r="AC50" s="23" t="s">
        <v>731</v>
      </c>
      <c r="AD50" s="23"/>
      <c r="AE50" s="23"/>
      <c r="AF50" s="23"/>
      <c r="AG50" s="23"/>
      <c r="AH50" s="23"/>
      <c r="AI50" s="23"/>
      <c r="AJ50" s="23"/>
      <c r="AK50" s="23"/>
      <c r="AL50" s="23" t="s">
        <v>731</v>
      </c>
      <c r="AM50" s="23"/>
      <c r="AN50" s="23"/>
      <c r="AO50" s="23"/>
      <c r="AP50" s="23"/>
      <c r="AQ50" s="23"/>
      <c r="AR50" s="23"/>
      <c r="AS50" s="23"/>
      <c r="AT50" s="23"/>
      <c r="AU50" s="23"/>
      <c r="AW50" s="18"/>
      <c r="AY50" s="19" t="s">
        <v>1009</v>
      </c>
      <c r="AZ50" s="19"/>
      <c r="BB50" s="45">
        <v>1</v>
      </c>
      <c r="BD50" s="41"/>
      <c r="BG50" s="18"/>
      <c r="BH50" s="18">
        <v>2</v>
      </c>
      <c r="BI50" s="18">
        <v>0</v>
      </c>
      <c r="BJ50" s="18">
        <v>0</v>
      </c>
      <c r="BK50" s="18">
        <v>0</v>
      </c>
      <c r="BL50" s="18">
        <v>0</v>
      </c>
      <c r="BM50" s="55">
        <f>SUM(AV50:AX50)+SUM(BC50:BD50)+SUM(BE50:BF50)+BG50</f>
        <v>0</v>
      </c>
      <c r="BN50" s="55" t="s">
        <v>1104</v>
      </c>
      <c r="BO50" s="77">
        <v>2</v>
      </c>
      <c r="BP50" s="77"/>
      <c r="BQ50" s="77">
        <v>0</v>
      </c>
      <c r="BR50" s="77"/>
      <c r="BS50" s="77">
        <v>0</v>
      </c>
      <c r="BT50" s="77"/>
      <c r="BU50" s="77">
        <v>0</v>
      </c>
      <c r="BV50" s="77"/>
      <c r="BW50" s="77">
        <v>0</v>
      </c>
      <c r="BX50" s="77"/>
      <c r="BY50" s="55">
        <v>350</v>
      </c>
    </row>
    <row r="51" spans="1:78" ht="25.5">
      <c r="B51" s="89">
        <v>50</v>
      </c>
      <c r="C51" s="101">
        <v>202</v>
      </c>
      <c r="D51" s="101">
        <v>85</v>
      </c>
      <c r="E51" s="102">
        <v>0.36458333333333331</v>
      </c>
      <c r="F51" s="102">
        <v>0.40277777777777773</v>
      </c>
      <c r="G51" s="103" t="s">
        <v>6</v>
      </c>
      <c r="H51" s="93" t="s">
        <v>549</v>
      </c>
      <c r="I51" s="101">
        <v>24</v>
      </c>
      <c r="J51" s="104">
        <v>30</v>
      </c>
      <c r="K51" s="98">
        <v>13</v>
      </c>
      <c r="L51" s="99" t="s">
        <v>723</v>
      </c>
      <c r="M51" s="83" t="s">
        <v>1045</v>
      </c>
      <c r="N51" s="83">
        <v>45</v>
      </c>
      <c r="O51" s="83" t="s">
        <v>936</v>
      </c>
      <c r="P51" s="83">
        <v>48</v>
      </c>
      <c r="Q51" s="190" t="s">
        <v>1997</v>
      </c>
      <c r="R51" s="191">
        <v>45</v>
      </c>
      <c r="S51" s="26">
        <v>2660</v>
      </c>
      <c r="T51" s="26" t="s">
        <v>1325</v>
      </c>
      <c r="U51" s="26">
        <v>1</v>
      </c>
      <c r="V51" s="26" t="s">
        <v>1312</v>
      </c>
      <c r="W51" s="63">
        <v>44562</v>
      </c>
      <c r="X51" s="63">
        <v>44815</v>
      </c>
      <c r="Y51" s="63">
        <v>45101</v>
      </c>
      <c r="Z51" s="63">
        <v>45169</v>
      </c>
      <c r="AA51" s="17" t="s">
        <v>1104</v>
      </c>
      <c r="AB51" s="23"/>
      <c r="AC51" s="23" t="s">
        <v>731</v>
      </c>
      <c r="AD51" s="23"/>
      <c r="AE51" s="23"/>
      <c r="AF51" s="23"/>
      <c r="AG51" s="23"/>
      <c r="AH51" s="23"/>
      <c r="AI51" s="23"/>
      <c r="AJ51" s="23"/>
      <c r="AK51" s="23"/>
      <c r="AL51" s="23" t="s">
        <v>731</v>
      </c>
      <c r="AM51" s="23"/>
      <c r="AN51" s="23"/>
      <c r="AO51" s="23"/>
      <c r="AP51" s="23"/>
      <c r="AQ51" s="23"/>
      <c r="AR51" s="23"/>
      <c r="AS51" s="23"/>
      <c r="AT51" s="23"/>
      <c r="AU51" s="23"/>
      <c r="AW51" s="18"/>
      <c r="AY51" s="19" t="s">
        <v>1009</v>
      </c>
      <c r="AZ51" s="19"/>
      <c r="BB51" s="45">
        <v>1</v>
      </c>
      <c r="BD51" s="41"/>
      <c r="BG51" s="18"/>
      <c r="BH51" s="18">
        <v>2</v>
      </c>
      <c r="BI51" s="18">
        <v>0</v>
      </c>
      <c r="BJ51" s="18">
        <v>0</v>
      </c>
      <c r="BK51" s="18">
        <v>0</v>
      </c>
      <c r="BL51" s="18">
        <v>0</v>
      </c>
      <c r="BM51" s="55">
        <f>SUM(AV51:AX51)+SUM(BC51:BD51)+SUM(BE51:BF51)+BG51</f>
        <v>0</v>
      </c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</row>
    <row r="52" spans="1:78" ht="90">
      <c r="B52" s="89">
        <v>51</v>
      </c>
      <c r="C52" s="93">
        <v>204</v>
      </c>
      <c r="D52" s="95">
        <v>148</v>
      </c>
      <c r="E52" s="94">
        <v>0.27777777777777779</v>
      </c>
      <c r="F52" s="94">
        <v>0.3263888888888889</v>
      </c>
      <c r="G52" s="93" t="s">
        <v>189</v>
      </c>
      <c r="H52" s="93" t="s">
        <v>97</v>
      </c>
      <c r="I52" s="96">
        <v>34</v>
      </c>
      <c r="J52" s="97" t="s">
        <v>101</v>
      </c>
      <c r="K52" s="98">
        <v>208</v>
      </c>
      <c r="L52" s="99" t="s">
        <v>740</v>
      </c>
      <c r="M52" s="83" t="s">
        <v>944</v>
      </c>
      <c r="N52" s="83">
        <v>55</v>
      </c>
      <c r="O52" s="83" t="s">
        <v>1220</v>
      </c>
      <c r="P52" s="83">
        <v>54</v>
      </c>
      <c r="Q52" s="152" t="s">
        <v>1998</v>
      </c>
      <c r="R52" s="87">
        <v>57</v>
      </c>
      <c r="S52" s="26">
        <v>2048</v>
      </c>
      <c r="T52" s="26" t="s">
        <v>1326</v>
      </c>
      <c r="U52" s="26">
        <v>960</v>
      </c>
      <c r="V52" s="26" t="s">
        <v>1327</v>
      </c>
      <c r="W52" s="62">
        <v>44816</v>
      </c>
      <c r="X52" s="62">
        <v>45086</v>
      </c>
      <c r="Y52" s="62"/>
      <c r="Z52" s="62"/>
      <c r="AA52" s="22" t="s">
        <v>1106</v>
      </c>
      <c r="AB52" s="23"/>
      <c r="AC52" s="23"/>
      <c r="AD52" s="23"/>
      <c r="AE52" s="23" t="s">
        <v>731</v>
      </c>
      <c r="AF52" s="23" t="s">
        <v>731</v>
      </c>
      <c r="AG52" s="23" t="s">
        <v>731</v>
      </c>
      <c r="AH52" s="23" t="s">
        <v>731</v>
      </c>
      <c r="AI52" s="23" t="s">
        <v>731</v>
      </c>
      <c r="AJ52" s="23" t="s">
        <v>731</v>
      </c>
      <c r="AK52" s="23" t="s">
        <v>731</v>
      </c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42">
        <v>102</v>
      </c>
      <c r="AW52" s="18"/>
      <c r="AY52" s="42"/>
      <c r="AZ52" s="42"/>
      <c r="BB52" s="43">
        <v>2</v>
      </c>
      <c r="BC52" s="41">
        <f>IF(AND((AV52/I52)&lt;2,BB52=1),(I52*2)-AV52,0)</f>
        <v>0</v>
      </c>
      <c r="BD52" s="41">
        <f>IF(AND((AV52/I52)&lt;3,BB52=2),(I52*3)-AV52,0)</f>
        <v>0</v>
      </c>
      <c r="BG52" s="41">
        <f>IF((AV52+AW52+AX52)&lt;20,(20-(AV52+AW52+AX52)),0)</f>
        <v>0</v>
      </c>
      <c r="BH52" s="18">
        <v>17</v>
      </c>
      <c r="BI52" s="18">
        <v>25</v>
      </c>
      <c r="BJ52" s="18">
        <v>25</v>
      </c>
      <c r="BK52" s="18">
        <v>18</v>
      </c>
      <c r="BL52" s="18">
        <v>20</v>
      </c>
      <c r="BM52" s="55">
        <f>SUM(AV52:AX52)+SUM(BC52:BD52)+SUM(BE52:BF52)+BG52</f>
        <v>102</v>
      </c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</row>
    <row r="53" spans="1:78" ht="25.5">
      <c r="A53" s="112"/>
      <c r="B53" s="89">
        <v>52</v>
      </c>
      <c r="C53" s="93">
        <v>204</v>
      </c>
      <c r="D53" s="93">
        <v>281</v>
      </c>
      <c r="E53" s="94">
        <v>0.30416666666666664</v>
      </c>
      <c r="F53" s="105">
        <v>0.32500000000000001</v>
      </c>
      <c r="G53" s="93" t="s">
        <v>674</v>
      </c>
      <c r="H53" s="93" t="s">
        <v>155</v>
      </c>
      <c r="I53" s="96">
        <v>16.899999999999999</v>
      </c>
      <c r="J53" s="97" t="s">
        <v>101</v>
      </c>
      <c r="K53" s="98">
        <v>252</v>
      </c>
      <c r="L53" s="99" t="s">
        <v>745</v>
      </c>
      <c r="M53" s="83" t="s">
        <v>901</v>
      </c>
      <c r="N53" s="83">
        <v>36</v>
      </c>
      <c r="O53" s="190" t="s">
        <v>1911</v>
      </c>
      <c r="P53" s="193">
        <v>50</v>
      </c>
      <c r="Q53" s="83" t="s">
        <v>1218</v>
      </c>
      <c r="R53" s="85">
        <v>45</v>
      </c>
      <c r="S53" s="26">
        <v>2057</v>
      </c>
      <c r="T53" s="26" t="s">
        <v>1328</v>
      </c>
      <c r="U53" s="26" t="s">
        <v>1329</v>
      </c>
      <c r="V53" s="26" t="s">
        <v>1330</v>
      </c>
      <c r="W53" s="62">
        <v>44805</v>
      </c>
      <c r="X53" s="62">
        <v>45169</v>
      </c>
      <c r="Y53" s="62"/>
      <c r="Z53" s="62"/>
      <c r="AA53" s="22" t="s">
        <v>1101</v>
      </c>
      <c r="AB53" s="23" t="s">
        <v>731</v>
      </c>
      <c r="AC53" s="23" t="s">
        <v>731</v>
      </c>
      <c r="AD53" s="23" t="s">
        <v>731</v>
      </c>
      <c r="AE53" s="23"/>
      <c r="AF53" s="23" t="s">
        <v>731</v>
      </c>
      <c r="AG53" s="23" t="s">
        <v>731</v>
      </c>
      <c r="AH53" s="23" t="s">
        <v>731</v>
      </c>
      <c r="AI53" s="23" t="s">
        <v>731</v>
      </c>
      <c r="AJ53" s="23" t="s">
        <v>731</v>
      </c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42">
        <f>11.7+98.65</f>
        <v>110.35000000000001</v>
      </c>
      <c r="AW53" s="18"/>
      <c r="AY53" s="42"/>
      <c r="AZ53" s="42"/>
      <c r="BB53" s="43">
        <v>2</v>
      </c>
      <c r="BC53" s="41">
        <f>IF(AND((AV53/I53)&lt;2,BB53=1),(I53*2)-AV53,0)</f>
        <v>0</v>
      </c>
      <c r="BD53" s="41">
        <f>IF(AND((AV53/I53)&lt;3,BB53=2),(I53*3)-AV53,0)</f>
        <v>0</v>
      </c>
      <c r="BG53" s="18"/>
      <c r="BH53" s="18">
        <v>22</v>
      </c>
      <c r="BI53" s="18">
        <v>21</v>
      </c>
      <c r="BJ53" s="18">
        <v>21</v>
      </c>
      <c r="BK53" s="18">
        <v>20</v>
      </c>
      <c r="BL53" s="18">
        <v>21</v>
      </c>
      <c r="BM53" s="55">
        <f>SUM(AV53:AX53)+SUM(BC53:BD53)+SUM(BE53:BF53)+BG53</f>
        <v>110.35000000000001</v>
      </c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</row>
    <row r="54" spans="1:78" ht="25.5">
      <c r="B54" s="89">
        <v>53</v>
      </c>
      <c r="C54" s="93">
        <v>204</v>
      </c>
      <c r="D54" s="95">
        <v>375</v>
      </c>
      <c r="E54" s="105">
        <v>0.59861111111111109</v>
      </c>
      <c r="F54" s="105">
        <v>0.60902777777777783</v>
      </c>
      <c r="G54" s="93" t="s">
        <v>186</v>
      </c>
      <c r="H54" s="93" t="s">
        <v>97</v>
      </c>
      <c r="I54" s="96">
        <v>10</v>
      </c>
      <c r="J54" s="97" t="s">
        <v>93</v>
      </c>
      <c r="K54" s="98">
        <v>208</v>
      </c>
      <c r="L54" s="99" t="s">
        <v>1069</v>
      </c>
      <c r="Q54" s="83" t="s">
        <v>1221</v>
      </c>
      <c r="R54" s="84">
        <v>17</v>
      </c>
      <c r="S54" s="26">
        <v>2127</v>
      </c>
      <c r="T54" s="26" t="s">
        <v>1331</v>
      </c>
      <c r="U54" s="26">
        <v>2054</v>
      </c>
      <c r="V54" s="26" t="s">
        <v>1332</v>
      </c>
      <c r="W54" s="62">
        <v>44816</v>
      </c>
      <c r="X54" s="62">
        <v>45086</v>
      </c>
      <c r="Y54" s="62"/>
      <c r="Z54" s="62"/>
      <c r="AA54" s="22" t="s">
        <v>1106</v>
      </c>
      <c r="AB54" s="23"/>
      <c r="AC54" s="23"/>
      <c r="AD54" s="23"/>
      <c r="AE54" s="23" t="s">
        <v>731</v>
      </c>
      <c r="AF54" s="23" t="s">
        <v>731</v>
      </c>
      <c r="AG54" s="23" t="s">
        <v>731</v>
      </c>
      <c r="AH54" s="23" t="s">
        <v>731</v>
      </c>
      <c r="AI54" s="23" t="s">
        <v>731</v>
      </c>
      <c r="AJ54" s="23" t="s">
        <v>731</v>
      </c>
      <c r="AK54" s="23" t="s">
        <v>731</v>
      </c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42">
        <v>55.48</v>
      </c>
      <c r="AW54" s="18"/>
      <c r="AY54" s="42"/>
      <c r="AZ54" s="42"/>
      <c r="BB54" s="45">
        <v>1</v>
      </c>
      <c r="BC54" s="41">
        <f>IF(AND((AV54/I54)&lt;2,BB54=1),(I54*2)-AV54,0)</f>
        <v>0</v>
      </c>
      <c r="BD54" s="41">
        <f>IF(AND((AV54/I54)&lt;3,BB54=2),(I54*3)-AV54,0)</f>
        <v>0</v>
      </c>
      <c r="BG54" s="18"/>
      <c r="BH54" s="18">
        <v>17</v>
      </c>
      <c r="BI54" s="18">
        <v>25</v>
      </c>
      <c r="BJ54" s="18">
        <v>25</v>
      </c>
      <c r="BK54" s="18">
        <v>18</v>
      </c>
      <c r="BL54" s="18">
        <v>20</v>
      </c>
      <c r="BM54" s="55">
        <f>SUM(AV54:AX54)+SUM(BC54:BD54)+SUM(BE54:BF54)+BG54</f>
        <v>55.48</v>
      </c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</row>
    <row r="55" spans="1:78" ht="25.5">
      <c r="B55" s="89">
        <v>54</v>
      </c>
      <c r="C55" s="93">
        <v>204</v>
      </c>
      <c r="D55" s="95">
        <v>414</v>
      </c>
      <c r="E55" s="105">
        <v>0.60416666666666663</v>
      </c>
      <c r="F55" s="105">
        <v>0.62638888888888888</v>
      </c>
      <c r="G55" s="93" t="s">
        <v>185</v>
      </c>
      <c r="H55" s="93" t="s">
        <v>103</v>
      </c>
      <c r="I55" s="96">
        <v>16</v>
      </c>
      <c r="J55" s="97" t="s">
        <v>93</v>
      </c>
      <c r="K55" s="98">
        <v>174</v>
      </c>
      <c r="L55" s="99" t="s">
        <v>1069</v>
      </c>
      <c r="O55" s="83" t="s">
        <v>1849</v>
      </c>
      <c r="P55" s="83">
        <v>23</v>
      </c>
      <c r="Q55" s="83" t="s">
        <v>1848</v>
      </c>
      <c r="R55" s="84">
        <v>23</v>
      </c>
      <c r="S55" s="26">
        <v>2048</v>
      </c>
      <c r="T55" s="26" t="s">
        <v>1326</v>
      </c>
      <c r="U55" s="26">
        <v>2127</v>
      </c>
      <c r="V55" s="26" t="s">
        <v>1331</v>
      </c>
      <c r="W55" s="62">
        <v>44816</v>
      </c>
      <c r="X55" s="62">
        <v>45086</v>
      </c>
      <c r="Y55" s="62"/>
      <c r="Z55" s="62"/>
      <c r="AA55" s="22" t="s">
        <v>1102</v>
      </c>
      <c r="AB55" s="23"/>
      <c r="AC55" s="23"/>
      <c r="AD55" s="23"/>
      <c r="AE55" s="23" t="s">
        <v>731</v>
      </c>
      <c r="AF55" s="23" t="s">
        <v>731</v>
      </c>
      <c r="AG55" s="23" t="s">
        <v>731</v>
      </c>
      <c r="AH55" s="23" t="s">
        <v>731</v>
      </c>
      <c r="AI55" s="23" t="s">
        <v>731</v>
      </c>
      <c r="AJ55" s="23" t="s">
        <v>731</v>
      </c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42">
        <v>28.8</v>
      </c>
      <c r="AW55" s="18"/>
      <c r="AY55" s="42"/>
      <c r="AZ55" s="42"/>
      <c r="BB55" s="45">
        <v>1</v>
      </c>
      <c r="BC55" s="41">
        <f>IF(AND((AV55/I55)&lt;2,BB55=1),(I55*2)-AV55,0)</f>
        <v>3.1999999999999993</v>
      </c>
      <c r="BD55" s="41">
        <f>IF(AND((AV55/I55)&lt;3,BB55=2),(I55*3)-AV55,0)</f>
        <v>0</v>
      </c>
      <c r="BG55" s="18"/>
      <c r="BH55" s="18">
        <v>15</v>
      </c>
      <c r="BI55" s="18">
        <v>20</v>
      </c>
      <c r="BJ55" s="18">
        <v>21</v>
      </c>
      <c r="BK55" s="18">
        <v>15</v>
      </c>
      <c r="BL55" s="18">
        <v>17</v>
      </c>
      <c r="BM55" s="55">
        <f>SUM(AV55:AX55)+SUM(BC55:BD55)+SUM(BE55:BF55)+BG55</f>
        <v>32</v>
      </c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41">
        <v>8</v>
      </c>
    </row>
    <row r="56" spans="1:78" ht="25.5">
      <c r="B56" s="89">
        <v>55</v>
      </c>
      <c r="C56" s="93">
        <v>204</v>
      </c>
      <c r="D56" s="93">
        <v>200</v>
      </c>
      <c r="E56" s="94">
        <v>0.68888888888888899</v>
      </c>
      <c r="F56" s="105">
        <v>0.7104166666666667</v>
      </c>
      <c r="G56" s="93" t="s">
        <v>609</v>
      </c>
      <c r="H56" s="93" t="s">
        <v>203</v>
      </c>
      <c r="I56" s="96">
        <v>17.899999999999999</v>
      </c>
      <c r="J56" s="97" t="s">
        <v>165</v>
      </c>
      <c r="K56" s="98">
        <v>202</v>
      </c>
      <c r="L56" s="99" t="s">
        <v>745</v>
      </c>
      <c r="M56" s="83" t="s">
        <v>901</v>
      </c>
      <c r="N56" s="83">
        <v>36</v>
      </c>
      <c r="O56" s="190" t="s">
        <v>1911</v>
      </c>
      <c r="P56" s="193">
        <v>50</v>
      </c>
      <c r="Q56" s="83" t="s">
        <v>1218</v>
      </c>
      <c r="R56" s="85">
        <v>45</v>
      </c>
      <c r="S56" s="26" t="s">
        <v>1329</v>
      </c>
      <c r="T56" s="26" t="s">
        <v>1333</v>
      </c>
      <c r="U56" s="26">
        <v>2057</v>
      </c>
      <c r="V56" s="26" t="s">
        <v>1328</v>
      </c>
      <c r="W56" s="63">
        <v>44816</v>
      </c>
      <c r="X56" s="63">
        <v>45100</v>
      </c>
      <c r="Y56" s="63"/>
      <c r="Z56" s="63"/>
      <c r="AA56" s="22" t="s">
        <v>1108</v>
      </c>
      <c r="AB56" s="23" t="s">
        <v>731</v>
      </c>
      <c r="AC56" s="23"/>
      <c r="AD56" s="23" t="s">
        <v>731</v>
      </c>
      <c r="AE56" s="23"/>
      <c r="AF56" s="23" t="s">
        <v>731</v>
      </c>
      <c r="AG56" s="23" t="s">
        <v>731</v>
      </c>
      <c r="AH56" s="23" t="s">
        <v>731</v>
      </c>
      <c r="AI56" s="23" t="s">
        <v>731</v>
      </c>
      <c r="AJ56" s="23" t="s">
        <v>731</v>
      </c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42">
        <f>44.52+11.7</f>
        <v>56.22</v>
      </c>
      <c r="AW56" s="18"/>
      <c r="AY56" s="42"/>
      <c r="AZ56" s="42"/>
      <c r="BB56" s="43">
        <v>2</v>
      </c>
      <c r="BC56" s="41">
        <f>IF(AND((AV56/I56)&lt;2,BB56=1),(I56*2)-AV56,0)</f>
        <v>0</v>
      </c>
      <c r="BD56" s="41">
        <f>IF(AND((AV56/I56)&lt;3,BB56=2),(I56*3)-AV56,0)</f>
        <v>0</v>
      </c>
      <c r="BG56" s="18"/>
      <c r="BH56" s="18">
        <v>15</v>
      </c>
      <c r="BI56" s="18">
        <v>21</v>
      </c>
      <c r="BJ56" s="18">
        <v>21</v>
      </c>
      <c r="BK56" s="18">
        <v>20</v>
      </c>
      <c r="BL56" s="18">
        <v>21</v>
      </c>
      <c r="BM56" s="55">
        <f>SUM(AV56:AX56)+SUM(BC56:BD56)+SUM(BE56:BF56)+BG56</f>
        <v>56.22</v>
      </c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</row>
    <row r="57" spans="1:78" ht="25.5">
      <c r="B57" s="89">
        <v>56</v>
      </c>
      <c r="C57" s="93">
        <v>204</v>
      </c>
      <c r="D57" s="93">
        <v>282</v>
      </c>
      <c r="E57" s="94">
        <v>0.69374999999999998</v>
      </c>
      <c r="F57" s="105">
        <v>0.71458333333333324</v>
      </c>
      <c r="G57" s="93" t="s">
        <v>609</v>
      </c>
      <c r="H57" s="93" t="s">
        <v>424</v>
      </c>
      <c r="I57" s="96">
        <v>17.899999999999999</v>
      </c>
      <c r="J57" s="97" t="s">
        <v>165</v>
      </c>
      <c r="K57" s="98">
        <v>55</v>
      </c>
      <c r="L57" s="99" t="s">
        <v>745</v>
      </c>
      <c r="M57" s="83" t="s">
        <v>900</v>
      </c>
      <c r="N57" s="83">
        <v>57</v>
      </c>
      <c r="O57" s="190" t="s">
        <v>1911</v>
      </c>
      <c r="P57" s="193">
        <v>50</v>
      </c>
      <c r="Q57" s="83" t="s">
        <v>1218</v>
      </c>
      <c r="R57" s="85">
        <v>45</v>
      </c>
      <c r="S57" s="26" t="s">
        <v>1329</v>
      </c>
      <c r="T57" s="26" t="s">
        <v>1333</v>
      </c>
      <c r="U57" s="26">
        <v>2057</v>
      </c>
      <c r="V57" s="26" t="s">
        <v>1328</v>
      </c>
      <c r="W57" s="63">
        <v>44562</v>
      </c>
      <c r="X57" s="63">
        <v>44815</v>
      </c>
      <c r="Y57" s="63">
        <v>45101</v>
      </c>
      <c r="Z57" s="63">
        <v>45169</v>
      </c>
      <c r="AA57" s="22" t="s">
        <v>1109</v>
      </c>
      <c r="AB57" s="23"/>
      <c r="AC57" s="23" t="s">
        <v>731</v>
      </c>
      <c r="AD57" s="23" t="s">
        <v>731</v>
      </c>
      <c r="AE57" s="23"/>
      <c r="AF57" s="23" t="s">
        <v>731</v>
      </c>
      <c r="AG57" s="23" t="s">
        <v>731</v>
      </c>
      <c r="AH57" s="23" t="s">
        <v>731</v>
      </c>
      <c r="AI57" s="23" t="s">
        <v>731</v>
      </c>
      <c r="AJ57" s="23" t="s">
        <v>731</v>
      </c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42">
        <f>44.52+11.7</f>
        <v>56.22</v>
      </c>
      <c r="AW57" s="18"/>
      <c r="AY57" s="42"/>
      <c r="AZ57" s="42"/>
      <c r="BB57" s="43">
        <v>2</v>
      </c>
      <c r="BC57" s="41">
        <f>IF(AND((AV57/I57)&lt;2,BB57=1),(I57*2)-AV57,0)</f>
        <v>0</v>
      </c>
      <c r="BD57" s="41">
        <f>IF(AND((AV57/I57)&lt;3,BB57=2),(I57*3)-AV57,0)</f>
        <v>0</v>
      </c>
      <c r="BG57" s="18"/>
      <c r="BH57" s="18">
        <v>7</v>
      </c>
      <c r="BI57" s="18">
        <v>0</v>
      </c>
      <c r="BJ57" s="18">
        <v>0</v>
      </c>
      <c r="BK57" s="18">
        <v>0</v>
      </c>
      <c r="BL57" s="18">
        <v>0</v>
      </c>
      <c r="BM57" s="55">
        <f>SUM(AV57:AX57)+SUM(BC57:BD57)+SUM(BE57:BF57)+BG57</f>
        <v>56.22</v>
      </c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</row>
    <row r="58" spans="1:78" ht="25.5">
      <c r="B58" s="89">
        <v>57</v>
      </c>
      <c r="C58" s="93">
        <v>205</v>
      </c>
      <c r="D58" s="93">
        <v>59</v>
      </c>
      <c r="E58" s="94">
        <v>0.28611111111111115</v>
      </c>
      <c r="F58" s="94">
        <v>0.2902777777777778</v>
      </c>
      <c r="G58" s="93" t="s">
        <v>354</v>
      </c>
      <c r="H58" s="93" t="s">
        <v>267</v>
      </c>
      <c r="I58" s="96">
        <v>1</v>
      </c>
      <c r="J58" s="97" t="s">
        <v>93</v>
      </c>
      <c r="K58" s="98">
        <v>55</v>
      </c>
      <c r="L58" s="99" t="s">
        <v>745</v>
      </c>
      <c r="M58" s="83" t="s">
        <v>899</v>
      </c>
      <c r="N58" s="83">
        <v>20</v>
      </c>
      <c r="O58" s="83" t="s">
        <v>898</v>
      </c>
      <c r="P58" s="83">
        <v>23</v>
      </c>
      <c r="Q58" s="83" t="s">
        <v>902</v>
      </c>
      <c r="R58" s="85">
        <v>24</v>
      </c>
      <c r="S58" s="26">
        <v>2101</v>
      </c>
      <c r="T58" s="26" t="s">
        <v>1334</v>
      </c>
      <c r="U58" s="26">
        <v>2100</v>
      </c>
      <c r="V58" s="26" t="s">
        <v>1335</v>
      </c>
      <c r="W58" s="63">
        <v>44562</v>
      </c>
      <c r="X58" s="63">
        <v>44815</v>
      </c>
      <c r="Y58" s="63">
        <v>45101</v>
      </c>
      <c r="Z58" s="63">
        <v>45169</v>
      </c>
      <c r="AA58" s="22" t="s">
        <v>1109</v>
      </c>
      <c r="AB58" s="23"/>
      <c r="AC58" s="23" t="s">
        <v>731</v>
      </c>
      <c r="AD58" s="23" t="s">
        <v>731</v>
      </c>
      <c r="AE58" s="23"/>
      <c r="AF58" s="23" t="s">
        <v>731</v>
      </c>
      <c r="AG58" s="23" t="s">
        <v>731</v>
      </c>
      <c r="AH58" s="23" t="s">
        <v>731</v>
      </c>
      <c r="AI58" s="23" t="s">
        <v>731</v>
      </c>
      <c r="AJ58" s="23" t="s">
        <v>731</v>
      </c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42">
        <v>11.87</v>
      </c>
      <c r="AW58" s="18"/>
      <c r="AY58" s="42"/>
      <c r="AZ58" s="42"/>
      <c r="BB58" s="45">
        <v>1</v>
      </c>
      <c r="BC58" s="41">
        <f>IF(AND((AV58/I58)&lt;2,BB58=1),(I58*2)-AV58,0)</f>
        <v>0</v>
      </c>
      <c r="BD58" s="41">
        <f>IF(AND((AV58/I58)&lt;3,BB58=2),(I58*3)-AV58,0)</f>
        <v>0</v>
      </c>
      <c r="BG58" s="41">
        <f>IF((AV58+AW58+AX58)&lt;20,(20-(AV58+AW58+AX58)),0)</f>
        <v>8.1300000000000008</v>
      </c>
      <c r="BH58" s="18">
        <v>7</v>
      </c>
      <c r="BI58" s="18">
        <v>0</v>
      </c>
      <c r="BJ58" s="18">
        <v>0</v>
      </c>
      <c r="BK58" s="18">
        <v>0</v>
      </c>
      <c r="BL58" s="18">
        <v>0</v>
      </c>
      <c r="BM58" s="55">
        <f>SUM(AV58:AX58)+SUM(BC58:BD58)+SUM(BE58:BF58)+BG58</f>
        <v>20</v>
      </c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</row>
    <row r="59" spans="1:78" ht="38.25">
      <c r="B59" s="89">
        <v>58</v>
      </c>
      <c r="C59" s="93">
        <v>205</v>
      </c>
      <c r="D59" s="93">
        <v>397</v>
      </c>
      <c r="E59" s="94">
        <v>0.28611111111111115</v>
      </c>
      <c r="F59" s="105">
        <v>0.28819444444444448</v>
      </c>
      <c r="G59" s="93" t="s">
        <v>354</v>
      </c>
      <c r="H59" s="95" t="s">
        <v>347</v>
      </c>
      <c r="I59" s="96">
        <v>1</v>
      </c>
      <c r="J59" s="97" t="s">
        <v>93</v>
      </c>
      <c r="K59" s="98">
        <v>29</v>
      </c>
      <c r="L59" s="99" t="s">
        <v>745</v>
      </c>
      <c r="M59" s="83" t="s">
        <v>899</v>
      </c>
      <c r="N59" s="83">
        <v>20</v>
      </c>
      <c r="O59" s="83" t="s">
        <v>898</v>
      </c>
      <c r="P59" s="83">
        <v>23</v>
      </c>
      <c r="Q59" s="83" t="s">
        <v>902</v>
      </c>
      <c r="R59" s="85">
        <v>24</v>
      </c>
      <c r="S59" s="26">
        <v>2101</v>
      </c>
      <c r="T59" s="26" t="s">
        <v>1334</v>
      </c>
      <c r="U59" s="26">
        <v>2100</v>
      </c>
      <c r="V59" s="26" t="s">
        <v>1335</v>
      </c>
      <c r="W59" s="63">
        <v>44816</v>
      </c>
      <c r="X59" s="63">
        <v>45100</v>
      </c>
      <c r="Y59" s="63"/>
      <c r="Z59" s="63"/>
      <c r="AA59" s="22" t="s">
        <v>1110</v>
      </c>
      <c r="AB59" s="23" t="s">
        <v>731</v>
      </c>
      <c r="AC59" s="23"/>
      <c r="AD59" s="23" t="s">
        <v>731</v>
      </c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 t="s">
        <v>731</v>
      </c>
      <c r="AQ59" s="23" t="s">
        <v>731</v>
      </c>
      <c r="AR59" s="23" t="s">
        <v>731</v>
      </c>
      <c r="AS59" s="23" t="s">
        <v>731</v>
      </c>
      <c r="AT59" s="23" t="s">
        <v>731</v>
      </c>
      <c r="AU59" s="23" t="s">
        <v>731</v>
      </c>
      <c r="AV59" s="42">
        <v>11.87</v>
      </c>
      <c r="AW59" s="18"/>
      <c r="AY59" s="42"/>
      <c r="AZ59" s="42"/>
      <c r="BB59" s="45">
        <v>1</v>
      </c>
      <c r="BC59" s="41">
        <f>IF(AND((AV59/I59)&lt;2,BB59=1),(I59*2)-AV59,0)</f>
        <v>0</v>
      </c>
      <c r="BD59" s="41">
        <f>IF(AND((AV59/I59)&lt;3,BB59=2),(I59*3)-AV59,0)</f>
        <v>0</v>
      </c>
      <c r="BG59" s="41">
        <f>IF((AV59+AW59+AX59)&lt;20,(20-(AV59+AW59+AX59)),0)</f>
        <v>8.1300000000000008</v>
      </c>
      <c r="BH59" s="18">
        <v>0</v>
      </c>
      <c r="BI59" s="18">
        <v>1</v>
      </c>
      <c r="BJ59" s="18">
        <v>0</v>
      </c>
      <c r="BK59" s="18">
        <v>7</v>
      </c>
      <c r="BL59" s="18">
        <v>5</v>
      </c>
      <c r="BM59" s="55">
        <f>SUM(AV59:AX59)+SUM(BC59:BD59)+SUM(BE59:BF59)+BG59</f>
        <v>20</v>
      </c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</row>
    <row r="60" spans="1:78" ht="25.5">
      <c r="B60" s="89">
        <v>59</v>
      </c>
      <c r="C60" s="93">
        <v>205</v>
      </c>
      <c r="D60" s="93">
        <v>400</v>
      </c>
      <c r="E60" s="94">
        <v>0.74305555555555547</v>
      </c>
      <c r="F60" s="94">
        <v>0.74444444444444446</v>
      </c>
      <c r="G60" s="93" t="s">
        <v>353</v>
      </c>
      <c r="H60" s="93" t="s">
        <v>103</v>
      </c>
      <c r="I60" s="96">
        <v>1.5</v>
      </c>
      <c r="J60" s="97" t="s">
        <v>93</v>
      </c>
      <c r="K60" s="98">
        <v>174</v>
      </c>
      <c r="L60" s="99" t="s">
        <v>745</v>
      </c>
      <c r="M60" s="83" t="s">
        <v>899</v>
      </c>
      <c r="N60" s="83">
        <v>20</v>
      </c>
      <c r="O60" s="83" t="s">
        <v>898</v>
      </c>
      <c r="P60" s="83">
        <v>23</v>
      </c>
      <c r="Q60" s="83" t="s">
        <v>902</v>
      </c>
      <c r="R60" s="85">
        <v>24</v>
      </c>
      <c r="S60" s="26">
        <v>2100</v>
      </c>
      <c r="T60" s="26" t="s">
        <v>1335</v>
      </c>
      <c r="U60" s="26">
        <v>2101</v>
      </c>
      <c r="V60" s="26" t="s">
        <v>1334</v>
      </c>
      <c r="W60" s="62">
        <v>44816</v>
      </c>
      <c r="X60" s="62">
        <v>45086</v>
      </c>
      <c r="Y60" s="62"/>
      <c r="Z60" s="62"/>
      <c r="AA60" s="22" t="s">
        <v>1102</v>
      </c>
      <c r="AB60" s="23"/>
      <c r="AC60" s="23"/>
      <c r="AD60" s="23"/>
      <c r="AE60" s="23" t="s">
        <v>731</v>
      </c>
      <c r="AF60" s="23" t="s">
        <v>731</v>
      </c>
      <c r="AG60" s="23" t="s">
        <v>731</v>
      </c>
      <c r="AH60" s="23" t="s">
        <v>731</v>
      </c>
      <c r="AI60" s="23" t="s">
        <v>731</v>
      </c>
      <c r="AJ60" s="23" t="s">
        <v>731</v>
      </c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42">
        <v>11.87</v>
      </c>
      <c r="AW60" s="18"/>
      <c r="AY60" s="42"/>
      <c r="AZ60" s="42"/>
      <c r="BB60" s="45">
        <v>1</v>
      </c>
      <c r="BC60" s="41">
        <f>IF(AND((AV60/I60)&lt;2,BB60=1),(I60*2)-AV60,0)</f>
        <v>0</v>
      </c>
      <c r="BD60" s="41">
        <f>IF(AND((AV60/I60)&lt;3,BB60=2),(I60*3)-AV60,0)</f>
        <v>0</v>
      </c>
      <c r="BG60" s="18"/>
      <c r="BH60" s="18">
        <v>15</v>
      </c>
      <c r="BI60" s="18">
        <v>20</v>
      </c>
      <c r="BJ60" s="18">
        <v>21</v>
      </c>
      <c r="BK60" s="18">
        <v>15</v>
      </c>
      <c r="BL60" s="18">
        <v>17</v>
      </c>
      <c r="BM60" s="55">
        <f>SUM(AV60:AX60)+SUM(BC60:BD60)+SUM(BE60:BF60)+BG60</f>
        <v>11.87</v>
      </c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</row>
    <row r="61" spans="1:78" ht="25.5">
      <c r="B61" s="89">
        <v>60</v>
      </c>
      <c r="C61" s="93">
        <v>206</v>
      </c>
      <c r="D61" s="93">
        <v>124</v>
      </c>
      <c r="E61" s="94">
        <v>0.67361111111111116</v>
      </c>
      <c r="F61" s="94">
        <v>0.70138888888888884</v>
      </c>
      <c r="G61" s="93" t="s">
        <v>163</v>
      </c>
      <c r="H61" s="93" t="s">
        <v>203</v>
      </c>
      <c r="I61" s="96">
        <v>18.3</v>
      </c>
      <c r="J61" s="97" t="s">
        <v>164</v>
      </c>
      <c r="K61" s="98">
        <v>202</v>
      </c>
      <c r="L61" s="99" t="s">
        <v>745</v>
      </c>
      <c r="M61" s="83" t="s">
        <v>902</v>
      </c>
      <c r="N61" s="83">
        <v>23</v>
      </c>
      <c r="O61" s="83" t="s">
        <v>901</v>
      </c>
      <c r="P61" s="83">
        <v>36</v>
      </c>
      <c r="R61" s="83"/>
      <c r="S61" s="26">
        <v>1</v>
      </c>
      <c r="T61" s="26" t="s">
        <v>1309</v>
      </c>
      <c r="U61" s="26" t="s">
        <v>1336</v>
      </c>
      <c r="V61" s="26" t="s">
        <v>1337</v>
      </c>
      <c r="W61" s="63">
        <v>44816</v>
      </c>
      <c r="X61" s="63">
        <v>45100</v>
      </c>
      <c r="Y61" s="63"/>
      <c r="Z61" s="63"/>
      <c r="AA61" s="22" t="s">
        <v>1108</v>
      </c>
      <c r="AB61" s="23" t="s">
        <v>731</v>
      </c>
      <c r="AC61" s="23"/>
      <c r="AD61" s="23" t="s">
        <v>731</v>
      </c>
      <c r="AE61" s="23"/>
      <c r="AF61" s="23" t="s">
        <v>731</v>
      </c>
      <c r="AG61" s="23" t="s">
        <v>731</v>
      </c>
      <c r="AH61" s="23" t="s">
        <v>731</v>
      </c>
      <c r="AI61" s="23" t="s">
        <v>731</v>
      </c>
      <c r="AJ61" s="23" t="s">
        <v>731</v>
      </c>
      <c r="AK61" s="25"/>
      <c r="AL61" s="25"/>
      <c r="AM61" s="25"/>
      <c r="AN61" s="25"/>
      <c r="AO61" s="23"/>
      <c r="AP61" s="23"/>
      <c r="AQ61" s="23"/>
      <c r="AR61" s="23"/>
      <c r="AS61" s="23"/>
      <c r="AT61" s="23"/>
      <c r="AU61" s="23"/>
      <c r="AV61" s="42">
        <v>75.33</v>
      </c>
      <c r="AW61" s="47"/>
      <c r="AX61" s="47"/>
      <c r="AY61" s="42"/>
      <c r="AZ61" s="42"/>
      <c r="BA61" s="47"/>
      <c r="BB61" s="45">
        <v>1</v>
      </c>
      <c r="BC61" s="41">
        <f>IF(AND((AV61/I61)&lt;2,BB61=1),(I61*2)-AV61,0)</f>
        <v>0</v>
      </c>
      <c r="BD61" s="41">
        <f>IF(AND((AV61/I61)&lt;3,BB61=2),(I61*3)-AV61,0)</f>
        <v>0</v>
      </c>
      <c r="BG61" s="18"/>
      <c r="BH61" s="18">
        <v>15</v>
      </c>
      <c r="BI61" s="18">
        <v>21</v>
      </c>
      <c r="BJ61" s="18">
        <v>21</v>
      </c>
      <c r="BK61" s="18">
        <v>20</v>
      </c>
      <c r="BL61" s="18">
        <v>21</v>
      </c>
      <c r="BM61" s="55">
        <f>SUM(AV61:AX61)+SUM(BC61:BD61)+SUM(BE61:BF61)+BG61</f>
        <v>75.33</v>
      </c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</row>
    <row r="62" spans="1:78" ht="25.5">
      <c r="B62" s="89">
        <v>61</v>
      </c>
      <c r="C62" s="93">
        <v>213</v>
      </c>
      <c r="D62" s="93">
        <v>5</v>
      </c>
      <c r="E62" s="94">
        <v>0.28819444444444448</v>
      </c>
      <c r="F62" s="94">
        <v>0.2986111111111111</v>
      </c>
      <c r="G62" s="93" t="s">
        <v>287</v>
      </c>
      <c r="H62" s="93" t="s">
        <v>97</v>
      </c>
      <c r="I62" s="96">
        <v>3.7</v>
      </c>
      <c r="J62" s="97" t="s">
        <v>234</v>
      </c>
      <c r="K62" s="98">
        <v>208</v>
      </c>
      <c r="L62" s="109" t="s">
        <v>751</v>
      </c>
      <c r="M62" s="83" t="s">
        <v>886</v>
      </c>
      <c r="N62" s="83">
        <v>21</v>
      </c>
      <c r="O62" s="83" t="s">
        <v>1222</v>
      </c>
      <c r="P62" s="84">
        <v>9</v>
      </c>
      <c r="S62" s="26">
        <v>2324</v>
      </c>
      <c r="T62" s="26" t="s">
        <v>1338</v>
      </c>
      <c r="U62" s="26">
        <v>2310</v>
      </c>
      <c r="V62" s="26" t="s">
        <v>1339</v>
      </c>
      <c r="W62" s="62">
        <v>44816</v>
      </c>
      <c r="X62" s="62">
        <v>45086</v>
      </c>
      <c r="Y62" s="62"/>
      <c r="Z62" s="62"/>
      <c r="AA62" s="22" t="s">
        <v>1106</v>
      </c>
      <c r="AB62" s="23"/>
      <c r="AC62" s="23"/>
      <c r="AD62" s="23"/>
      <c r="AE62" s="23" t="s">
        <v>731</v>
      </c>
      <c r="AF62" s="23" t="s">
        <v>731</v>
      </c>
      <c r="AG62" s="23" t="s">
        <v>731</v>
      </c>
      <c r="AH62" s="23" t="s">
        <v>731</v>
      </c>
      <c r="AI62" s="23" t="s">
        <v>731</v>
      </c>
      <c r="AJ62" s="23" t="s">
        <v>731</v>
      </c>
      <c r="AK62" s="23" t="s">
        <v>731</v>
      </c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42">
        <v>25.6</v>
      </c>
      <c r="AY62" s="42"/>
      <c r="AZ62" s="42"/>
      <c r="BB62" s="45">
        <v>1</v>
      </c>
      <c r="BC62" s="41">
        <f>IF(AND((AV62/I62)&lt;2,BB62=1),(I62*2)-AV62,0)</f>
        <v>0</v>
      </c>
      <c r="BD62" s="41">
        <f>IF(AND((AV62/I62)&lt;3,BB62=2),(I62*3)-AV62,0)</f>
        <v>0</v>
      </c>
      <c r="BG62" s="41">
        <f>IF((AV62+AW62+AX62)&lt;20,(20-(AV62+AW62+AX62)),0)</f>
        <v>0</v>
      </c>
      <c r="BH62" s="18">
        <v>17</v>
      </c>
      <c r="BI62" s="18">
        <v>25</v>
      </c>
      <c r="BJ62" s="18">
        <v>25</v>
      </c>
      <c r="BK62" s="18">
        <v>18</v>
      </c>
      <c r="BL62" s="18">
        <v>20</v>
      </c>
      <c r="BM62" s="55">
        <f>SUM(AV62:AX62)+SUM(BC62:BD62)+SUM(BE62:BF62)+BG62</f>
        <v>25.6</v>
      </c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</row>
    <row r="63" spans="1:78" ht="45">
      <c r="B63" s="89">
        <v>62</v>
      </c>
      <c r="C63" s="93">
        <v>214</v>
      </c>
      <c r="D63" s="93"/>
      <c r="E63" s="94">
        <v>0.30833333333333335</v>
      </c>
      <c r="F63" s="94">
        <v>0.32291666666666669</v>
      </c>
      <c r="G63" s="93" t="s">
        <v>327</v>
      </c>
      <c r="H63" s="93" t="s">
        <v>97</v>
      </c>
      <c r="I63" s="96">
        <v>10.5</v>
      </c>
      <c r="J63" s="97" t="s">
        <v>331</v>
      </c>
      <c r="K63" s="98">
        <v>208</v>
      </c>
      <c r="L63" s="109" t="s">
        <v>752</v>
      </c>
      <c r="M63" s="83" t="s">
        <v>1028</v>
      </c>
      <c r="N63" s="83">
        <v>9</v>
      </c>
      <c r="O63" s="83" t="s">
        <v>1223</v>
      </c>
      <c r="P63" s="83">
        <v>9</v>
      </c>
      <c r="R63" s="83"/>
      <c r="S63" s="26">
        <v>2160</v>
      </c>
      <c r="T63" s="26" t="s">
        <v>1340</v>
      </c>
      <c r="U63" s="26">
        <v>960</v>
      </c>
      <c r="V63" s="26" t="s">
        <v>1327</v>
      </c>
      <c r="W63" s="62">
        <v>44816</v>
      </c>
      <c r="X63" s="62">
        <v>45086</v>
      </c>
      <c r="Y63" s="62"/>
      <c r="Z63" s="62"/>
      <c r="AA63" s="22" t="s">
        <v>1106</v>
      </c>
      <c r="AB63" s="23"/>
      <c r="AC63" s="23"/>
      <c r="AD63" s="23"/>
      <c r="AE63" s="23" t="s">
        <v>731</v>
      </c>
      <c r="AF63" s="23" t="s">
        <v>731</v>
      </c>
      <c r="AG63" s="23" t="s">
        <v>731</v>
      </c>
      <c r="AH63" s="23" t="s">
        <v>731</v>
      </c>
      <c r="AI63" s="23" t="s">
        <v>731</v>
      </c>
      <c r="AJ63" s="23" t="s">
        <v>731</v>
      </c>
      <c r="AK63" s="23" t="s">
        <v>731</v>
      </c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42">
        <v>31.5</v>
      </c>
      <c r="AY63" s="42"/>
      <c r="AZ63" s="42"/>
      <c r="BB63" s="45">
        <v>1</v>
      </c>
      <c r="BC63" s="41">
        <f>IF(AND((AV63/I63)&lt;2,BB63=1),(I63*2)-AV63,0)</f>
        <v>0</v>
      </c>
      <c r="BD63" s="41">
        <f>IF(AND((AV63/I63)&lt;3,BB63=2),(I63*3)-AV63,0)</f>
        <v>0</v>
      </c>
      <c r="BG63" s="18"/>
      <c r="BH63" s="18">
        <v>17</v>
      </c>
      <c r="BI63" s="18">
        <v>25</v>
      </c>
      <c r="BJ63" s="18">
        <v>25</v>
      </c>
      <c r="BK63" s="18">
        <v>18</v>
      </c>
      <c r="BL63" s="18">
        <v>20</v>
      </c>
      <c r="BM63" s="55">
        <f>SUM(AV63:AX63)+SUM(BC63:BD63)+SUM(BE63:BF63)+BG63</f>
        <v>31.5</v>
      </c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</row>
    <row r="64" spans="1:78" ht="45">
      <c r="B64" s="89">
        <v>63</v>
      </c>
      <c r="C64" s="93">
        <v>214</v>
      </c>
      <c r="D64" s="93">
        <v>616</v>
      </c>
      <c r="E64" s="94">
        <v>0.54305555555555551</v>
      </c>
      <c r="F64" s="94">
        <v>0.54583333333333328</v>
      </c>
      <c r="G64" s="93" t="s">
        <v>433</v>
      </c>
      <c r="H64" s="93" t="s">
        <v>533</v>
      </c>
      <c r="I64" s="96">
        <v>3.1</v>
      </c>
      <c r="J64" s="97" t="s">
        <v>116</v>
      </c>
      <c r="K64" s="98">
        <v>34</v>
      </c>
      <c r="L64" s="109" t="s">
        <v>752</v>
      </c>
      <c r="M64" s="83" t="s">
        <v>1028</v>
      </c>
      <c r="N64" s="83">
        <v>9</v>
      </c>
      <c r="O64" s="83" t="s">
        <v>1223</v>
      </c>
      <c r="P64" s="83">
        <v>9</v>
      </c>
      <c r="R64" s="83"/>
      <c r="S64" s="26">
        <v>2163</v>
      </c>
      <c r="T64" s="26" t="s">
        <v>1341</v>
      </c>
      <c r="U64" s="26">
        <v>2160</v>
      </c>
      <c r="V64" s="26" t="s">
        <v>1340</v>
      </c>
      <c r="W64" s="62">
        <v>44816</v>
      </c>
      <c r="X64" s="62">
        <v>45086</v>
      </c>
      <c r="Y64" s="62"/>
      <c r="Z64" s="62"/>
      <c r="AA64" s="23" t="s">
        <v>1111</v>
      </c>
      <c r="AB64" s="23"/>
      <c r="AC64" s="23"/>
      <c r="AD64" s="23"/>
      <c r="AE64" s="23" t="s">
        <v>731</v>
      </c>
      <c r="AF64" s="23"/>
      <c r="AG64" s="23"/>
      <c r="AH64" s="23"/>
      <c r="AI64" s="23"/>
      <c r="AJ64" s="23"/>
      <c r="AK64" s="23" t="s">
        <v>731</v>
      </c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42">
        <v>18.899999999999999</v>
      </c>
      <c r="AY64" s="42"/>
      <c r="AZ64" s="42"/>
      <c r="BB64" s="45">
        <v>1</v>
      </c>
      <c r="BC64" s="41">
        <f>IF(AND((AV64/I64)&lt;2,BB64=1),(I64*2)-AV64,0)</f>
        <v>0</v>
      </c>
      <c r="BD64" s="41">
        <f>IF(AND((AV64/I64)&lt;3,BB64=2),(I64*3)-AV64,0)</f>
        <v>0</v>
      </c>
      <c r="BG64" s="18"/>
      <c r="BH64" s="18">
        <v>2</v>
      </c>
      <c r="BI64" s="18">
        <v>5</v>
      </c>
      <c r="BJ64" s="18">
        <v>4</v>
      </c>
      <c r="BK64" s="18">
        <v>3</v>
      </c>
      <c r="BL64" s="18">
        <v>3</v>
      </c>
      <c r="BM64" s="55">
        <f>SUM(AV64:AX64)+SUM(BC64:BD64)+SUM(BE64:BF64)+BG64</f>
        <v>18.899999999999999</v>
      </c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</row>
    <row r="65" spans="2:77" ht="45">
      <c r="B65" s="89">
        <v>64</v>
      </c>
      <c r="C65" s="93">
        <v>214</v>
      </c>
      <c r="D65" s="93">
        <v>49</v>
      </c>
      <c r="E65" s="94">
        <v>0.54861111111111105</v>
      </c>
      <c r="F65" s="94">
        <v>0.58680555555555558</v>
      </c>
      <c r="G65" s="93" t="s">
        <v>327</v>
      </c>
      <c r="H65" s="93" t="s">
        <v>253</v>
      </c>
      <c r="I65" s="96">
        <v>10.5</v>
      </c>
      <c r="J65" s="97" t="s">
        <v>116</v>
      </c>
      <c r="K65" s="98">
        <v>34</v>
      </c>
      <c r="L65" s="109" t="s">
        <v>752</v>
      </c>
      <c r="M65" s="87" t="s">
        <v>1028</v>
      </c>
      <c r="N65" s="87">
        <v>9</v>
      </c>
      <c r="O65" s="87" t="s">
        <v>1223</v>
      </c>
      <c r="P65" s="87">
        <v>9</v>
      </c>
      <c r="R65" s="87"/>
      <c r="S65" s="26">
        <v>2160</v>
      </c>
      <c r="T65" s="26" t="s">
        <v>1340</v>
      </c>
      <c r="U65" s="26">
        <v>960</v>
      </c>
      <c r="V65" s="26" t="s">
        <v>1327</v>
      </c>
      <c r="W65" s="62">
        <v>44816</v>
      </c>
      <c r="X65" s="62">
        <v>45086</v>
      </c>
      <c r="Y65" s="62"/>
      <c r="Z65" s="62"/>
      <c r="AA65" s="23" t="s">
        <v>1111</v>
      </c>
      <c r="AB65" s="23"/>
      <c r="AC65" s="23"/>
      <c r="AD65" s="23"/>
      <c r="AE65" s="23" t="s">
        <v>731</v>
      </c>
      <c r="AF65" s="23"/>
      <c r="AG65" s="23"/>
      <c r="AH65" s="23"/>
      <c r="AI65" s="23"/>
      <c r="AJ65" s="23"/>
      <c r="AK65" s="23" t="s">
        <v>731</v>
      </c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42">
        <v>18.899999999999999</v>
      </c>
      <c r="AY65" s="42"/>
      <c r="AZ65" s="42"/>
      <c r="BB65" s="45">
        <v>1</v>
      </c>
      <c r="BC65" s="41">
        <f>IF(AND((AV65/I65)&lt;2,BB65=1),(I65*2)-AV65,0)</f>
        <v>2.1000000000000014</v>
      </c>
      <c r="BD65" s="41">
        <f>IF(AND((AV65/I65)&lt;3,BB65=2),(I65*3)-AV65,0)</f>
        <v>0</v>
      </c>
      <c r="BG65" s="18"/>
      <c r="BH65" s="18">
        <v>2</v>
      </c>
      <c r="BI65" s="18">
        <v>5</v>
      </c>
      <c r="BJ65" s="18">
        <v>4</v>
      </c>
      <c r="BK65" s="18">
        <v>3</v>
      </c>
      <c r="BL65" s="18">
        <v>3</v>
      </c>
      <c r="BM65" s="55">
        <f>SUM(AV65:AX65)+SUM(BC65:BD65)+SUM(BE65:BF65)+BG65</f>
        <v>21</v>
      </c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</row>
    <row r="66" spans="2:77" ht="25.5">
      <c r="B66" s="89">
        <v>65</v>
      </c>
      <c r="C66" s="93">
        <v>214</v>
      </c>
      <c r="D66" s="93">
        <v>618</v>
      </c>
      <c r="E66" s="94">
        <v>0.5708333333333333</v>
      </c>
      <c r="F66" s="94">
        <v>0.57361111111111118</v>
      </c>
      <c r="G66" s="93" t="s">
        <v>433</v>
      </c>
      <c r="H66" s="106" t="s">
        <v>1179</v>
      </c>
      <c r="I66" s="96">
        <v>3.1</v>
      </c>
      <c r="J66" s="97" t="s">
        <v>116</v>
      </c>
      <c r="K66" s="111">
        <f>174-K67</f>
        <v>106</v>
      </c>
      <c r="L66" s="99" t="s">
        <v>1181</v>
      </c>
      <c r="M66" s="83" t="s">
        <v>837</v>
      </c>
      <c r="N66" s="83">
        <v>9</v>
      </c>
      <c r="O66" s="83" t="s">
        <v>838</v>
      </c>
      <c r="P66" s="83">
        <v>23</v>
      </c>
      <c r="Q66" s="83" t="s">
        <v>1224</v>
      </c>
      <c r="R66" s="87">
        <v>7</v>
      </c>
      <c r="S66" s="26">
        <v>2163</v>
      </c>
      <c r="T66" s="26" t="s">
        <v>1341</v>
      </c>
      <c r="U66" s="26">
        <v>2160</v>
      </c>
      <c r="V66" s="26" t="s">
        <v>1340</v>
      </c>
      <c r="W66" s="62">
        <v>44816</v>
      </c>
      <c r="X66" s="62">
        <v>45086</v>
      </c>
      <c r="Y66" s="62"/>
      <c r="Z66" s="62"/>
      <c r="AA66" s="22" t="s">
        <v>1131</v>
      </c>
      <c r="AB66" s="23"/>
      <c r="AC66" s="23"/>
      <c r="AD66" s="23"/>
      <c r="AE66" s="23" t="s">
        <v>731</v>
      </c>
      <c r="AF66" s="23" t="s">
        <v>731</v>
      </c>
      <c r="AG66" s="23"/>
      <c r="AH66" s="23" t="s">
        <v>731</v>
      </c>
      <c r="AI66" s="23"/>
      <c r="AJ66" s="23" t="s">
        <v>731</v>
      </c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41">
        <v>18.899999999999999</v>
      </c>
      <c r="AY66" s="41"/>
      <c r="AZ66" s="41"/>
      <c r="BB66" s="45">
        <v>1</v>
      </c>
      <c r="BC66" s="41">
        <f>IF(AND((AV66/I66)&lt;2,BB66=1),(I66*2)-AV66,0)</f>
        <v>0</v>
      </c>
      <c r="BD66" s="41">
        <f>IF(AND((AV66/I66)&lt;3,BB66=2),(I66*3)-AV66,0)</f>
        <v>0</v>
      </c>
      <c r="BG66" s="18"/>
      <c r="BH66" s="18">
        <v>9</v>
      </c>
      <c r="BI66" s="18">
        <v>12</v>
      </c>
      <c r="BJ66" s="18">
        <v>13</v>
      </c>
      <c r="BK66" s="18">
        <v>9</v>
      </c>
      <c r="BL66" s="18">
        <v>10</v>
      </c>
      <c r="BM66" s="55">
        <f>SUM(AV66:AX66)+SUM(BC66:BD66)+SUM(BE66:BF66)+BG66</f>
        <v>18.899999999999999</v>
      </c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</row>
    <row r="67" spans="2:77" ht="45">
      <c r="B67" s="113" t="s">
        <v>1175</v>
      </c>
      <c r="C67" s="93">
        <v>214</v>
      </c>
      <c r="D67" s="93">
        <v>618</v>
      </c>
      <c r="E67" s="94">
        <v>0.5708333333333333</v>
      </c>
      <c r="F67" s="94">
        <v>0.57361111111111118</v>
      </c>
      <c r="G67" s="93" t="s">
        <v>433</v>
      </c>
      <c r="H67" s="106" t="s">
        <v>1180</v>
      </c>
      <c r="I67" s="96">
        <v>3.1</v>
      </c>
      <c r="J67" s="97" t="s">
        <v>116</v>
      </c>
      <c r="K67" s="111">
        <v>68</v>
      </c>
      <c r="L67" s="109" t="s">
        <v>752</v>
      </c>
      <c r="M67" s="83" t="s">
        <v>1178</v>
      </c>
      <c r="N67" s="83">
        <v>9</v>
      </c>
      <c r="O67" s="83" t="s">
        <v>1225</v>
      </c>
      <c r="P67" s="83">
        <v>9</v>
      </c>
      <c r="Q67" s="83"/>
      <c r="R67" s="83"/>
      <c r="S67" s="26">
        <v>2163</v>
      </c>
      <c r="T67" s="26" t="s">
        <v>1341</v>
      </c>
      <c r="U67" s="26">
        <v>2160</v>
      </c>
      <c r="V67" s="26" t="s">
        <v>1340</v>
      </c>
      <c r="W67" s="62">
        <v>44816</v>
      </c>
      <c r="X67" s="62">
        <v>45086</v>
      </c>
      <c r="Y67" s="62"/>
      <c r="Z67" s="62"/>
      <c r="AA67" s="22" t="s">
        <v>1122</v>
      </c>
      <c r="AB67" s="23"/>
      <c r="AC67" s="23"/>
      <c r="AD67" s="23"/>
      <c r="AE67" s="23" t="s">
        <v>731</v>
      </c>
      <c r="AF67" s="23"/>
      <c r="AG67" s="23" t="s">
        <v>731</v>
      </c>
      <c r="AH67" s="23"/>
      <c r="AI67" s="23" t="s">
        <v>731</v>
      </c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41">
        <v>18.899999999999999</v>
      </c>
      <c r="AY67" s="41"/>
      <c r="AZ67" s="41"/>
      <c r="BB67" s="45">
        <v>1</v>
      </c>
      <c r="BC67" s="41">
        <f>IF(AND((AV67/I67)&lt;2,BB67=1),(I67*2)-AV67,0)</f>
        <v>0</v>
      </c>
      <c r="BD67" s="41">
        <f>IF(AND((AV67/I67)&lt;3,BB67=2),(I67*3)-AV67,0)</f>
        <v>0</v>
      </c>
      <c r="BG67" s="18"/>
      <c r="BH67" s="18">
        <v>6</v>
      </c>
      <c r="BI67" s="18">
        <v>8</v>
      </c>
      <c r="BJ67" s="18">
        <v>8</v>
      </c>
      <c r="BK67" s="18">
        <v>6</v>
      </c>
      <c r="BL67" s="18">
        <v>7</v>
      </c>
      <c r="BM67" s="55">
        <f>SUM(AV67:AX67)+SUM(BC67:BD67)+SUM(BE67:BF67)+BG67</f>
        <v>18.899999999999999</v>
      </c>
      <c r="BN67" s="55"/>
      <c r="BO67" s="55"/>
      <c r="BP67" s="55"/>
      <c r="BQ67" s="55"/>
      <c r="BR67" s="55"/>
      <c r="BS67" s="55"/>
      <c r="BT67" s="55"/>
      <c r="BU67" s="55"/>
      <c r="BV67" s="55"/>
      <c r="BW67" s="55"/>
      <c r="BX67" s="55"/>
      <c r="BY67" s="55"/>
    </row>
    <row r="68" spans="2:77" ht="25.5">
      <c r="B68" s="89">
        <v>66</v>
      </c>
      <c r="C68" s="93">
        <v>214</v>
      </c>
      <c r="D68" s="93">
        <v>49</v>
      </c>
      <c r="E68" s="105">
        <v>0.60902777777777783</v>
      </c>
      <c r="F68" s="105">
        <v>0.62361111111111112</v>
      </c>
      <c r="G68" s="93" t="s">
        <v>327</v>
      </c>
      <c r="H68" s="106" t="s">
        <v>1179</v>
      </c>
      <c r="I68" s="96">
        <v>10.5</v>
      </c>
      <c r="J68" s="97" t="s">
        <v>98</v>
      </c>
      <c r="K68" s="111">
        <f>174-K69</f>
        <v>106</v>
      </c>
      <c r="L68" s="99" t="s">
        <v>1181</v>
      </c>
      <c r="M68" s="83" t="s">
        <v>837</v>
      </c>
      <c r="N68" s="83">
        <v>9</v>
      </c>
      <c r="O68" s="83" t="s">
        <v>838</v>
      </c>
      <c r="P68" s="83">
        <v>23</v>
      </c>
      <c r="Q68" s="83" t="s">
        <v>1224</v>
      </c>
      <c r="R68" s="87">
        <v>7</v>
      </c>
      <c r="S68" s="26">
        <v>2160</v>
      </c>
      <c r="T68" s="26" t="s">
        <v>1340</v>
      </c>
      <c r="U68" s="26">
        <v>960</v>
      </c>
      <c r="V68" s="26" t="s">
        <v>1327</v>
      </c>
      <c r="W68" s="62">
        <v>44816</v>
      </c>
      <c r="X68" s="62">
        <v>45086</v>
      </c>
      <c r="Y68" s="62"/>
      <c r="Z68" s="62"/>
      <c r="AA68" s="22" t="s">
        <v>1131</v>
      </c>
      <c r="AB68" s="23"/>
      <c r="AC68" s="23"/>
      <c r="AD68" s="23"/>
      <c r="AE68" s="23" t="s">
        <v>731</v>
      </c>
      <c r="AF68" s="23" t="s">
        <v>731</v>
      </c>
      <c r="AG68" s="23"/>
      <c r="AH68" s="23" t="s">
        <v>731</v>
      </c>
      <c r="AI68" s="23"/>
      <c r="AJ68" s="23" t="s">
        <v>731</v>
      </c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42">
        <v>18.899999999999999</v>
      </c>
      <c r="AY68" s="42"/>
      <c r="AZ68" s="42"/>
      <c r="BB68" s="45">
        <v>1</v>
      </c>
      <c r="BC68" s="41">
        <f>IF(AND((AV68/I68)&lt;2,BB68=1),(I68*2)-AV68,0)</f>
        <v>2.1000000000000014</v>
      </c>
      <c r="BD68" s="41">
        <f>IF(AND((AV68/I68)&lt;3,BB68=2),(I68*3)-AV68,0)</f>
        <v>0</v>
      </c>
      <c r="BG68" s="18"/>
      <c r="BH68" s="18">
        <v>9</v>
      </c>
      <c r="BI68" s="18">
        <v>12</v>
      </c>
      <c r="BJ68" s="18">
        <v>13</v>
      </c>
      <c r="BK68" s="18">
        <v>9</v>
      </c>
      <c r="BL68" s="18">
        <v>10</v>
      </c>
      <c r="BM68" s="55">
        <f>SUM(AV68:AX68)+SUM(BC68:BD68)+SUM(BE68:BF68)+BG68</f>
        <v>21</v>
      </c>
      <c r="BN68" s="55"/>
      <c r="BO68" s="55"/>
      <c r="BP68" s="55"/>
      <c r="BQ68" s="55"/>
      <c r="BR68" s="55"/>
      <c r="BS68" s="55"/>
      <c r="BT68" s="55"/>
      <c r="BU68" s="55"/>
      <c r="BV68" s="55"/>
      <c r="BW68" s="55"/>
      <c r="BX68" s="55"/>
      <c r="BY68" s="55"/>
    </row>
    <row r="69" spans="2:77" ht="45">
      <c r="B69" s="113" t="s">
        <v>1176</v>
      </c>
      <c r="C69" s="93">
        <v>214</v>
      </c>
      <c r="D69" s="93">
        <v>49</v>
      </c>
      <c r="E69" s="105">
        <v>0.60902777777777783</v>
      </c>
      <c r="F69" s="105">
        <v>0.62361111111111112</v>
      </c>
      <c r="G69" s="93" t="s">
        <v>327</v>
      </c>
      <c r="H69" s="106" t="s">
        <v>1180</v>
      </c>
      <c r="I69" s="96">
        <v>10.5</v>
      </c>
      <c r="J69" s="97" t="s">
        <v>98</v>
      </c>
      <c r="K69" s="111">
        <v>68</v>
      </c>
      <c r="L69" s="109" t="s">
        <v>752</v>
      </c>
      <c r="M69" s="83" t="s">
        <v>1178</v>
      </c>
      <c r="N69" s="83">
        <v>9</v>
      </c>
      <c r="O69" s="83" t="s">
        <v>1225</v>
      </c>
      <c r="P69" s="83">
        <v>9</v>
      </c>
      <c r="Q69" s="83"/>
      <c r="R69" s="83"/>
      <c r="S69" s="26">
        <v>2160</v>
      </c>
      <c r="T69" s="26" t="s">
        <v>1340</v>
      </c>
      <c r="U69" s="26">
        <v>960</v>
      </c>
      <c r="V69" s="26" t="s">
        <v>1327</v>
      </c>
      <c r="W69" s="62">
        <v>44816</v>
      </c>
      <c r="X69" s="62">
        <v>45086</v>
      </c>
      <c r="Y69" s="62"/>
      <c r="Z69" s="62"/>
      <c r="AA69" s="22" t="s">
        <v>1122</v>
      </c>
      <c r="AB69" s="23"/>
      <c r="AC69" s="23"/>
      <c r="AD69" s="23"/>
      <c r="AE69" s="23" t="s">
        <v>731</v>
      </c>
      <c r="AF69" s="23"/>
      <c r="AG69" s="23" t="s">
        <v>731</v>
      </c>
      <c r="AH69" s="23"/>
      <c r="AI69" s="23" t="s">
        <v>731</v>
      </c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42">
        <v>18.899999999999999</v>
      </c>
      <c r="AY69" s="42"/>
      <c r="AZ69" s="42"/>
      <c r="BB69" s="45">
        <v>1</v>
      </c>
      <c r="BC69" s="41">
        <f>IF(AND((AV69/I69)&lt;2,BB69=1),(I69*2)-AV69,0)</f>
        <v>2.1000000000000014</v>
      </c>
      <c r="BD69" s="41">
        <f>IF(AND((AV69/I69)&lt;3,BB69=2),(I69*3)-AV69,0)</f>
        <v>0</v>
      </c>
      <c r="BG69" s="18"/>
      <c r="BH69" s="18">
        <v>6</v>
      </c>
      <c r="BI69" s="18">
        <v>8</v>
      </c>
      <c r="BJ69" s="18">
        <v>8</v>
      </c>
      <c r="BK69" s="18">
        <v>6</v>
      </c>
      <c r="BL69" s="18">
        <v>7</v>
      </c>
      <c r="BM69" s="55">
        <f>SUM(AV69:AX69)+SUM(BC69:BD69)+SUM(BE69:BF69)+BG69</f>
        <v>21</v>
      </c>
      <c r="BN69" s="55"/>
      <c r="BO69" s="55"/>
      <c r="BP69" s="55"/>
      <c r="BQ69" s="55"/>
      <c r="BR69" s="55"/>
      <c r="BS69" s="55"/>
      <c r="BT69" s="55"/>
      <c r="BU69" s="55"/>
      <c r="BV69" s="55"/>
      <c r="BW69" s="55"/>
      <c r="BX69" s="55"/>
      <c r="BY69" s="55"/>
    </row>
    <row r="70" spans="2:77" ht="25.5">
      <c r="B70" s="89">
        <v>67</v>
      </c>
      <c r="C70" s="93">
        <v>214</v>
      </c>
      <c r="D70" s="93">
        <v>680</v>
      </c>
      <c r="E70" s="94">
        <v>0.60416666666666663</v>
      </c>
      <c r="F70" s="94">
        <v>0.6069444444444444</v>
      </c>
      <c r="G70" s="93" t="s">
        <v>484</v>
      </c>
      <c r="H70" s="106" t="s">
        <v>1179</v>
      </c>
      <c r="I70" s="96">
        <v>3.1</v>
      </c>
      <c r="J70" s="97" t="s">
        <v>98</v>
      </c>
      <c r="K70" s="111">
        <f>174-K71</f>
        <v>106</v>
      </c>
      <c r="L70" s="99" t="s">
        <v>1181</v>
      </c>
      <c r="M70" s="83" t="s">
        <v>837</v>
      </c>
      <c r="N70" s="83">
        <v>9</v>
      </c>
      <c r="O70" s="83" t="s">
        <v>838</v>
      </c>
      <c r="P70" s="83">
        <v>23</v>
      </c>
      <c r="Q70" s="83" t="s">
        <v>1224</v>
      </c>
      <c r="R70" s="87">
        <v>7</v>
      </c>
      <c r="S70" s="26">
        <v>2163</v>
      </c>
      <c r="T70" s="26" t="s">
        <v>1341</v>
      </c>
      <c r="U70" s="26">
        <v>2160</v>
      </c>
      <c r="V70" s="26" t="s">
        <v>1340</v>
      </c>
      <c r="W70" s="62">
        <v>44816</v>
      </c>
      <c r="X70" s="62">
        <v>45086</v>
      </c>
      <c r="Y70" s="62"/>
      <c r="Z70" s="62"/>
      <c r="AA70" s="22" t="s">
        <v>1131</v>
      </c>
      <c r="AB70" s="23"/>
      <c r="AC70" s="23"/>
      <c r="AD70" s="23"/>
      <c r="AE70" s="23" t="s">
        <v>731</v>
      </c>
      <c r="AF70" s="23" t="s">
        <v>731</v>
      </c>
      <c r="AG70" s="23"/>
      <c r="AH70" s="23" t="s">
        <v>731</v>
      </c>
      <c r="AI70" s="23"/>
      <c r="AJ70" s="23" t="s">
        <v>731</v>
      </c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42">
        <v>18.899999999999999</v>
      </c>
      <c r="AY70" s="42"/>
      <c r="AZ70" s="42"/>
      <c r="BB70" s="45">
        <v>1</v>
      </c>
      <c r="BC70" s="41">
        <f>IF(AND((AV70/I70)&lt;2,BB70=1),(I70*2)-AV70,0)</f>
        <v>0</v>
      </c>
      <c r="BD70" s="41">
        <f>IF(AND((AV70/I70)&lt;3,BB70=2),(I70*3)-AV70,0)</f>
        <v>0</v>
      </c>
      <c r="BG70" s="18"/>
      <c r="BH70" s="18">
        <v>9</v>
      </c>
      <c r="BI70" s="18">
        <v>12</v>
      </c>
      <c r="BJ70" s="18">
        <v>13</v>
      </c>
      <c r="BK70" s="18">
        <v>9</v>
      </c>
      <c r="BL70" s="18">
        <v>10</v>
      </c>
      <c r="BM70" s="55">
        <f>SUM(AV70:AX70)+SUM(BC70:BD70)+SUM(BE70:BF70)+BG70</f>
        <v>18.899999999999999</v>
      </c>
      <c r="BN70" s="55"/>
      <c r="BO70" s="55"/>
      <c r="BP70" s="55"/>
      <c r="BQ70" s="55"/>
      <c r="BR70" s="55"/>
      <c r="BS70" s="55"/>
      <c r="BT70" s="55"/>
      <c r="BU70" s="55"/>
      <c r="BV70" s="55"/>
      <c r="BW70" s="55"/>
      <c r="BX70" s="55"/>
      <c r="BY70" s="55"/>
    </row>
    <row r="71" spans="2:77" ht="45">
      <c r="B71" s="113" t="s">
        <v>1177</v>
      </c>
      <c r="C71" s="93">
        <v>214</v>
      </c>
      <c r="D71" s="93">
        <v>680</v>
      </c>
      <c r="E71" s="94">
        <v>0.60416666666666663</v>
      </c>
      <c r="F71" s="94">
        <v>0.6069444444444444</v>
      </c>
      <c r="G71" s="93" t="s">
        <v>484</v>
      </c>
      <c r="H71" s="106" t="s">
        <v>1180</v>
      </c>
      <c r="I71" s="96">
        <v>3.1</v>
      </c>
      <c r="J71" s="97" t="s">
        <v>98</v>
      </c>
      <c r="K71" s="111">
        <v>68</v>
      </c>
      <c r="L71" s="109" t="s">
        <v>752</v>
      </c>
      <c r="M71" s="83" t="s">
        <v>1178</v>
      </c>
      <c r="N71" s="83">
        <v>9</v>
      </c>
      <c r="O71" s="83" t="s">
        <v>1225</v>
      </c>
      <c r="P71" s="83">
        <v>9</v>
      </c>
      <c r="Q71" s="83"/>
      <c r="R71" s="83"/>
      <c r="S71" s="26">
        <v>2163</v>
      </c>
      <c r="T71" s="26" t="s">
        <v>1341</v>
      </c>
      <c r="U71" s="26">
        <v>2160</v>
      </c>
      <c r="V71" s="26" t="s">
        <v>1340</v>
      </c>
      <c r="W71" s="62">
        <v>44816</v>
      </c>
      <c r="X71" s="62">
        <v>45086</v>
      </c>
      <c r="Y71" s="62"/>
      <c r="Z71" s="62"/>
      <c r="AA71" s="22" t="s">
        <v>1122</v>
      </c>
      <c r="AB71" s="23"/>
      <c r="AC71" s="23"/>
      <c r="AD71" s="23"/>
      <c r="AE71" s="23" t="s">
        <v>731</v>
      </c>
      <c r="AF71" s="23"/>
      <c r="AG71" s="23" t="s">
        <v>731</v>
      </c>
      <c r="AH71" s="23"/>
      <c r="AI71" s="23" t="s">
        <v>731</v>
      </c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42">
        <v>18.899999999999999</v>
      </c>
      <c r="AY71" s="42"/>
      <c r="AZ71" s="42"/>
      <c r="BB71" s="45">
        <v>1</v>
      </c>
      <c r="BC71" s="41">
        <f>IF(AND((AV71/I71)&lt;2,BB71=1),(I71*2)-AV71,0)</f>
        <v>0</v>
      </c>
      <c r="BD71" s="41">
        <f>IF(AND((AV71/I71)&lt;3,BB71=2),(I71*3)-AV71,0)</f>
        <v>0</v>
      </c>
      <c r="BG71" s="18"/>
      <c r="BH71" s="18">
        <v>6</v>
      </c>
      <c r="BI71" s="18">
        <v>8</v>
      </c>
      <c r="BJ71" s="18">
        <v>8</v>
      </c>
      <c r="BK71" s="18">
        <v>6</v>
      </c>
      <c r="BL71" s="18">
        <v>7</v>
      </c>
      <c r="BM71" s="55">
        <f>SUM(AV71:AX71)+SUM(BC71:BD71)+SUM(BE71:BF71)+BG71</f>
        <v>18.899999999999999</v>
      </c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</row>
    <row r="72" spans="2:77" ht="25.5">
      <c r="B72" s="89">
        <v>68</v>
      </c>
      <c r="C72" s="93">
        <v>312</v>
      </c>
      <c r="D72" s="106">
        <v>730</v>
      </c>
      <c r="E72" s="94">
        <v>0.35416666666666669</v>
      </c>
      <c r="F72" s="94">
        <v>0.41250000000000003</v>
      </c>
      <c r="G72" s="103" t="s">
        <v>517</v>
      </c>
      <c r="H72" s="93" t="s">
        <v>520</v>
      </c>
      <c r="I72" s="96">
        <v>41</v>
      </c>
      <c r="J72" s="97" t="s">
        <v>188</v>
      </c>
      <c r="K72" s="98">
        <v>58</v>
      </c>
      <c r="L72" s="109" t="s">
        <v>764</v>
      </c>
      <c r="M72" s="83" t="s">
        <v>964</v>
      </c>
      <c r="N72" s="83">
        <v>16</v>
      </c>
      <c r="O72" s="100" t="s">
        <v>1226</v>
      </c>
      <c r="P72" s="100">
        <v>21</v>
      </c>
      <c r="Q72" s="83" t="s">
        <v>1227</v>
      </c>
      <c r="R72" s="87">
        <v>15</v>
      </c>
      <c r="S72" s="26" t="s">
        <v>1342</v>
      </c>
      <c r="T72" s="26" t="s">
        <v>1343</v>
      </c>
      <c r="U72" s="26">
        <v>3169</v>
      </c>
      <c r="V72" s="26" t="s">
        <v>1344</v>
      </c>
      <c r="W72" s="62">
        <v>44805</v>
      </c>
      <c r="X72" s="62">
        <v>45169</v>
      </c>
      <c r="Y72" s="62"/>
      <c r="Z72" s="62"/>
      <c r="AA72" s="22" t="s">
        <v>1115</v>
      </c>
      <c r="AB72" s="23" t="s">
        <v>731</v>
      </c>
      <c r="AC72" s="23" t="s">
        <v>731</v>
      </c>
      <c r="AD72" s="23"/>
      <c r="AE72" s="23"/>
      <c r="AF72" s="23"/>
      <c r="AG72" s="23"/>
      <c r="AH72" s="23"/>
      <c r="AI72" s="23"/>
      <c r="AJ72" s="23"/>
      <c r="AK72" s="23"/>
      <c r="AL72" s="23" t="s">
        <v>731</v>
      </c>
      <c r="AM72" s="23"/>
      <c r="AN72" s="23"/>
      <c r="AO72" s="23"/>
      <c r="AP72" s="23"/>
      <c r="AQ72" s="23"/>
      <c r="AR72" s="23"/>
      <c r="AS72" s="23"/>
      <c r="AT72" s="23"/>
      <c r="AU72" s="23"/>
      <c r="AV72" s="42">
        <v>123</v>
      </c>
      <c r="AW72" s="18"/>
      <c r="AY72" s="42"/>
      <c r="AZ72" s="42"/>
      <c r="BB72" s="45">
        <v>1</v>
      </c>
      <c r="BC72" s="41">
        <f>IF(AND((AV72/I72)&lt;2,BB72=1),(I72*2)-AV72,0)</f>
        <v>0</v>
      </c>
      <c r="BD72" s="41">
        <f>IF(AND((AV72/I72)&lt;3,BB72=2),(I72*3)-AV72,0)</f>
        <v>0</v>
      </c>
      <c r="BG72" s="18"/>
      <c r="BH72" s="18">
        <v>4</v>
      </c>
      <c r="BI72" s="18">
        <v>5</v>
      </c>
      <c r="BJ72" s="18">
        <v>5</v>
      </c>
      <c r="BK72" s="18">
        <v>6</v>
      </c>
      <c r="BL72" s="18">
        <v>6</v>
      </c>
      <c r="BM72" s="55">
        <f>SUM(AV72:AX72)+SUM(BC72:BD72)+SUM(BE72:BF72)+BG72</f>
        <v>123</v>
      </c>
      <c r="BN72" s="55"/>
      <c r="BO72" s="55"/>
      <c r="BP72" s="55"/>
      <c r="BQ72" s="55"/>
      <c r="BR72" s="55"/>
      <c r="BS72" s="55"/>
      <c r="BT72" s="55"/>
      <c r="BU72" s="55"/>
      <c r="BV72" s="55"/>
      <c r="BW72" s="55"/>
      <c r="BX72" s="55"/>
      <c r="BY72" s="55"/>
    </row>
    <row r="73" spans="2:77" ht="25.5">
      <c r="B73" s="89">
        <v>69</v>
      </c>
      <c r="C73" s="93">
        <v>312</v>
      </c>
      <c r="D73" s="106">
        <v>731</v>
      </c>
      <c r="E73" s="94">
        <v>0.41666666666666669</v>
      </c>
      <c r="F73" s="94">
        <v>0.46388888888888885</v>
      </c>
      <c r="G73" s="103" t="s">
        <v>518</v>
      </c>
      <c r="H73" s="93" t="s">
        <v>520</v>
      </c>
      <c r="I73" s="96">
        <v>32</v>
      </c>
      <c r="J73" s="97" t="s">
        <v>188</v>
      </c>
      <c r="K73" s="98">
        <v>58</v>
      </c>
      <c r="L73" s="109" t="s">
        <v>764</v>
      </c>
      <c r="M73" s="83" t="s">
        <v>964</v>
      </c>
      <c r="N73" s="83">
        <v>16</v>
      </c>
      <c r="O73" s="100" t="s">
        <v>1226</v>
      </c>
      <c r="P73" s="100">
        <v>21</v>
      </c>
      <c r="Q73" s="83" t="s">
        <v>1227</v>
      </c>
      <c r="R73" s="87">
        <v>15</v>
      </c>
      <c r="S73" s="26">
        <v>3169</v>
      </c>
      <c r="T73" s="26" t="s">
        <v>1344</v>
      </c>
      <c r="U73" s="26">
        <v>3100</v>
      </c>
      <c r="V73" s="26" t="s">
        <v>1345</v>
      </c>
      <c r="W73" s="62">
        <v>44805</v>
      </c>
      <c r="X73" s="62">
        <v>45169</v>
      </c>
      <c r="Y73" s="62"/>
      <c r="Z73" s="62"/>
      <c r="AA73" s="22" t="s">
        <v>1115</v>
      </c>
      <c r="AB73" s="23" t="s">
        <v>731</v>
      </c>
      <c r="AC73" s="23" t="s">
        <v>731</v>
      </c>
      <c r="AD73" s="23"/>
      <c r="AE73" s="23"/>
      <c r="AF73" s="23"/>
      <c r="AG73" s="23"/>
      <c r="AH73" s="23"/>
      <c r="AI73" s="23"/>
      <c r="AJ73" s="23"/>
      <c r="AK73" s="23"/>
      <c r="AL73" s="23" t="s">
        <v>731</v>
      </c>
      <c r="AM73" s="23"/>
      <c r="AN73" s="23"/>
      <c r="AO73" s="23"/>
      <c r="AP73" s="23"/>
      <c r="AQ73" s="23"/>
      <c r="AR73" s="23"/>
      <c r="AS73" s="23"/>
      <c r="AT73" s="23"/>
      <c r="AU73" s="23"/>
      <c r="AV73" s="42">
        <v>96</v>
      </c>
      <c r="AW73" s="18"/>
      <c r="AY73" s="42"/>
      <c r="AZ73" s="42"/>
      <c r="BB73" s="45">
        <v>1</v>
      </c>
      <c r="BC73" s="41">
        <f>IF(AND((AV73/I73)&lt;2,BB73=1),(I73*2)-AV73,0)</f>
        <v>0</v>
      </c>
      <c r="BD73" s="41">
        <f>IF(AND((AV73/I73)&lt;3,BB73=2),(I73*3)-AV73,0)</f>
        <v>0</v>
      </c>
      <c r="BG73" s="18"/>
      <c r="BH73" s="18">
        <v>4</v>
      </c>
      <c r="BI73" s="18">
        <v>5</v>
      </c>
      <c r="BJ73" s="18">
        <v>5</v>
      </c>
      <c r="BK73" s="18">
        <v>6</v>
      </c>
      <c r="BL73" s="18">
        <v>6</v>
      </c>
      <c r="BM73" s="55">
        <f>SUM(AV73:AX73)+SUM(BC73:BD73)+SUM(BE73:BF73)+BG73</f>
        <v>96</v>
      </c>
      <c r="BN73" s="55"/>
      <c r="BO73" s="55"/>
      <c r="BP73" s="55"/>
      <c r="BQ73" s="55"/>
      <c r="BR73" s="55"/>
      <c r="BS73" s="55"/>
      <c r="BT73" s="55"/>
      <c r="BU73" s="55"/>
      <c r="BV73" s="55"/>
      <c r="BW73" s="55"/>
      <c r="BX73" s="55"/>
      <c r="BY73" s="55"/>
    </row>
    <row r="74" spans="2:77" ht="25.5">
      <c r="B74" s="89">
        <v>70</v>
      </c>
      <c r="C74" s="93">
        <v>312</v>
      </c>
      <c r="D74" s="106">
        <v>732</v>
      </c>
      <c r="E74" s="94">
        <v>0.67361111111111116</v>
      </c>
      <c r="F74" s="94">
        <v>0.7319444444444444</v>
      </c>
      <c r="G74" s="103" t="s">
        <v>517</v>
      </c>
      <c r="H74" s="93" t="s">
        <v>520</v>
      </c>
      <c r="I74" s="96">
        <v>41</v>
      </c>
      <c r="J74" s="97" t="s">
        <v>188</v>
      </c>
      <c r="K74" s="98">
        <v>58</v>
      </c>
      <c r="L74" s="109" t="s">
        <v>764</v>
      </c>
      <c r="M74" s="83" t="s">
        <v>964</v>
      </c>
      <c r="N74" s="83">
        <v>16</v>
      </c>
      <c r="O74" s="100" t="s">
        <v>1226</v>
      </c>
      <c r="P74" s="100">
        <v>21</v>
      </c>
      <c r="Q74" s="83" t="s">
        <v>1227</v>
      </c>
      <c r="R74" s="87">
        <v>15</v>
      </c>
      <c r="S74" s="26" t="s">
        <v>1342</v>
      </c>
      <c r="T74" s="26" t="s">
        <v>1343</v>
      </c>
      <c r="U74" s="26">
        <v>3169</v>
      </c>
      <c r="V74" s="26" t="s">
        <v>1344</v>
      </c>
      <c r="W74" s="62">
        <v>44805</v>
      </c>
      <c r="X74" s="62">
        <v>45169</v>
      </c>
      <c r="Y74" s="62"/>
      <c r="Z74" s="62"/>
      <c r="AA74" s="22" t="s">
        <v>1115</v>
      </c>
      <c r="AB74" s="23" t="s">
        <v>731</v>
      </c>
      <c r="AC74" s="23" t="s">
        <v>731</v>
      </c>
      <c r="AD74" s="23"/>
      <c r="AE74" s="23"/>
      <c r="AF74" s="23"/>
      <c r="AG74" s="23"/>
      <c r="AH74" s="23"/>
      <c r="AI74" s="23"/>
      <c r="AJ74" s="23"/>
      <c r="AK74" s="23"/>
      <c r="AL74" s="23" t="s">
        <v>731</v>
      </c>
      <c r="AM74" s="23"/>
      <c r="AN74" s="23"/>
      <c r="AO74" s="23"/>
      <c r="AP74" s="23"/>
      <c r="AQ74" s="23"/>
      <c r="AR74" s="23"/>
      <c r="AS74" s="23"/>
      <c r="AT74" s="23"/>
      <c r="AU74" s="23"/>
      <c r="AV74" s="42">
        <v>123</v>
      </c>
      <c r="AW74" s="18"/>
      <c r="AY74" s="42"/>
      <c r="AZ74" s="42"/>
      <c r="BB74" s="45">
        <v>1</v>
      </c>
      <c r="BC74" s="41">
        <f>IF(AND((AV74/I74)&lt;2,BB74=1),(I74*2)-AV74,0)</f>
        <v>0</v>
      </c>
      <c r="BD74" s="41">
        <f>IF(AND((AV74/I74)&lt;3,BB74=2),(I74*3)-AV74,0)</f>
        <v>0</v>
      </c>
      <c r="BG74" s="18"/>
      <c r="BH74" s="18">
        <v>4</v>
      </c>
      <c r="BI74" s="18">
        <v>5</v>
      </c>
      <c r="BJ74" s="18">
        <v>5</v>
      </c>
      <c r="BK74" s="18">
        <v>6</v>
      </c>
      <c r="BL74" s="18">
        <v>6</v>
      </c>
      <c r="BM74" s="55">
        <f>SUM(AV74:AX74)+SUM(BC74:BD74)+SUM(BE74:BF74)+BG74</f>
        <v>123</v>
      </c>
      <c r="BN74" s="55"/>
      <c r="BO74" s="55"/>
      <c r="BP74" s="55"/>
      <c r="BQ74" s="55"/>
      <c r="BR74" s="55"/>
      <c r="BS74" s="55"/>
      <c r="BT74" s="55"/>
      <c r="BU74" s="55"/>
      <c r="BV74" s="55"/>
      <c r="BW74" s="55"/>
      <c r="BX74" s="55"/>
      <c r="BY74" s="55"/>
    </row>
    <row r="75" spans="2:77" ht="25.5">
      <c r="B75" s="89">
        <v>71</v>
      </c>
      <c r="C75" s="93">
        <v>312</v>
      </c>
      <c r="D75" s="106">
        <v>733</v>
      </c>
      <c r="E75" s="94">
        <v>0.73611111111111116</v>
      </c>
      <c r="F75" s="94">
        <v>0.78333333333333333</v>
      </c>
      <c r="G75" s="103" t="s">
        <v>518</v>
      </c>
      <c r="H75" s="93" t="s">
        <v>520</v>
      </c>
      <c r="I75" s="96">
        <v>32</v>
      </c>
      <c r="J75" s="97" t="s">
        <v>188</v>
      </c>
      <c r="K75" s="98">
        <v>58</v>
      </c>
      <c r="L75" s="109" t="s">
        <v>764</v>
      </c>
      <c r="M75" s="83" t="s">
        <v>964</v>
      </c>
      <c r="N75" s="83">
        <v>16</v>
      </c>
      <c r="O75" s="100" t="s">
        <v>1226</v>
      </c>
      <c r="P75" s="100">
        <v>21</v>
      </c>
      <c r="Q75" s="83" t="s">
        <v>1227</v>
      </c>
      <c r="R75" s="87">
        <v>15</v>
      </c>
      <c r="S75" s="26">
        <v>3169</v>
      </c>
      <c r="T75" s="26" t="s">
        <v>1344</v>
      </c>
      <c r="U75" s="26">
        <v>3100</v>
      </c>
      <c r="V75" s="26" t="s">
        <v>1345</v>
      </c>
      <c r="W75" s="62">
        <v>44805</v>
      </c>
      <c r="X75" s="62">
        <v>45169</v>
      </c>
      <c r="Y75" s="62"/>
      <c r="Z75" s="62"/>
      <c r="AA75" s="22" t="s">
        <v>1115</v>
      </c>
      <c r="AB75" s="23" t="s">
        <v>731</v>
      </c>
      <c r="AC75" s="23" t="s">
        <v>731</v>
      </c>
      <c r="AD75" s="23"/>
      <c r="AE75" s="23"/>
      <c r="AF75" s="23"/>
      <c r="AG75" s="23"/>
      <c r="AH75" s="23"/>
      <c r="AI75" s="23"/>
      <c r="AJ75" s="23"/>
      <c r="AK75" s="23"/>
      <c r="AL75" s="23" t="s">
        <v>731</v>
      </c>
      <c r="AM75" s="23"/>
      <c r="AN75" s="23"/>
      <c r="AO75" s="23"/>
      <c r="AP75" s="23"/>
      <c r="AQ75" s="23"/>
      <c r="AR75" s="23"/>
      <c r="AS75" s="23"/>
      <c r="AT75" s="23"/>
      <c r="AU75" s="23"/>
      <c r="AV75" s="42">
        <v>96</v>
      </c>
      <c r="AW75" s="18"/>
      <c r="AY75" s="42"/>
      <c r="AZ75" s="42"/>
      <c r="BB75" s="45">
        <v>1</v>
      </c>
      <c r="BC75" s="41">
        <f>IF(AND((AV75/I75)&lt;2,BB75=1),(I75*2)-AV75,0)</f>
        <v>0</v>
      </c>
      <c r="BD75" s="41">
        <f>IF(AND((AV75/I75)&lt;3,BB75=2),(I75*3)-AV75,0)</f>
        <v>0</v>
      </c>
      <c r="BG75" s="18"/>
      <c r="BH75" s="18">
        <v>4</v>
      </c>
      <c r="BI75" s="18">
        <v>5</v>
      </c>
      <c r="BJ75" s="18">
        <v>5</v>
      </c>
      <c r="BK75" s="18">
        <v>6</v>
      </c>
      <c r="BL75" s="18">
        <v>6</v>
      </c>
      <c r="BM75" s="55">
        <f>SUM(AV75:AX75)+SUM(BC75:BD75)+SUM(BE75:BF75)+BG75</f>
        <v>96</v>
      </c>
      <c r="BN75" s="55"/>
      <c r="BO75" s="55"/>
      <c r="BP75" s="55"/>
      <c r="BQ75" s="55"/>
      <c r="BR75" s="55"/>
      <c r="BS75" s="55"/>
      <c r="BT75" s="55"/>
      <c r="BU75" s="55"/>
      <c r="BV75" s="55"/>
      <c r="BW75" s="55"/>
      <c r="BX75" s="55"/>
      <c r="BY75" s="55"/>
    </row>
    <row r="76" spans="2:77" ht="25.5">
      <c r="B76" s="89">
        <v>72</v>
      </c>
      <c r="C76" s="93">
        <v>413</v>
      </c>
      <c r="D76" s="93">
        <v>11</v>
      </c>
      <c r="E76" s="94">
        <v>0.2673611111111111</v>
      </c>
      <c r="F76" s="94">
        <v>0.27291666666666664</v>
      </c>
      <c r="G76" s="93" t="s">
        <v>172</v>
      </c>
      <c r="H76" s="93" t="s">
        <v>97</v>
      </c>
      <c r="I76" s="96">
        <v>3</v>
      </c>
      <c r="J76" s="97" t="s">
        <v>93</v>
      </c>
      <c r="K76" s="98">
        <v>208</v>
      </c>
      <c r="L76" s="109" t="s">
        <v>771</v>
      </c>
      <c r="M76" s="152" t="s">
        <v>1864</v>
      </c>
      <c r="N76" s="152">
        <v>17</v>
      </c>
      <c r="O76" s="87" t="s">
        <v>930</v>
      </c>
      <c r="P76" s="87">
        <v>9</v>
      </c>
      <c r="R76" s="83"/>
      <c r="S76" s="26">
        <v>1121</v>
      </c>
      <c r="T76" s="26" t="s">
        <v>1346</v>
      </c>
      <c r="U76" s="26">
        <v>4060</v>
      </c>
      <c r="V76" s="26" t="s">
        <v>1347</v>
      </c>
      <c r="W76" s="62">
        <v>44816</v>
      </c>
      <c r="X76" s="62">
        <v>45086</v>
      </c>
      <c r="Y76" s="62"/>
      <c r="Z76" s="62"/>
      <c r="AA76" s="22" t="s">
        <v>1106</v>
      </c>
      <c r="AB76" s="23"/>
      <c r="AC76" s="23"/>
      <c r="AD76" s="23"/>
      <c r="AE76" s="23" t="s">
        <v>731</v>
      </c>
      <c r="AF76" s="23" t="s">
        <v>731</v>
      </c>
      <c r="AG76" s="23" t="s">
        <v>731</v>
      </c>
      <c r="AH76" s="23" t="s">
        <v>731</v>
      </c>
      <c r="AI76" s="23" t="s">
        <v>731</v>
      </c>
      <c r="AJ76" s="23" t="s">
        <v>731</v>
      </c>
      <c r="AK76" s="23" t="s">
        <v>731</v>
      </c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42">
        <v>18.46</v>
      </c>
      <c r="AW76" s="18"/>
      <c r="AY76" s="42"/>
      <c r="AZ76" s="42"/>
      <c r="BB76" s="45">
        <v>1</v>
      </c>
      <c r="BC76" s="41">
        <f>IF(AND((AV76/I76)&lt;2,BB76=1),(I76*2)-AV76,0)</f>
        <v>0</v>
      </c>
      <c r="BD76" s="41">
        <f>IF(AND((AV76/I76)&lt;3,BB76=2),(I76*3)-AV76,0)</f>
        <v>0</v>
      </c>
      <c r="BG76" s="41">
        <f>IF((AV76+AW76+AX76)&lt;20,(20-(AV76+AW76+AX76)),0)</f>
        <v>1.5399999999999991</v>
      </c>
      <c r="BH76" s="18">
        <v>17</v>
      </c>
      <c r="BI76" s="18">
        <v>25</v>
      </c>
      <c r="BJ76" s="18">
        <v>25</v>
      </c>
      <c r="BK76" s="18">
        <v>18</v>
      </c>
      <c r="BL76" s="18">
        <v>20</v>
      </c>
      <c r="BM76" s="55">
        <f>SUM(AV76:AX76)+SUM(BC76:BD76)+SUM(BE76:BF76)+BG76</f>
        <v>20</v>
      </c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</row>
    <row r="77" spans="2:77" ht="25.5">
      <c r="B77" s="89">
        <v>73</v>
      </c>
      <c r="C77" s="93">
        <v>428</v>
      </c>
      <c r="D77" s="93">
        <v>5</v>
      </c>
      <c r="E77" s="94">
        <v>0.27777777777777779</v>
      </c>
      <c r="F77" s="94">
        <v>0.28125</v>
      </c>
      <c r="G77" s="93" t="s">
        <v>171</v>
      </c>
      <c r="H77" s="93" t="s">
        <v>97</v>
      </c>
      <c r="I77" s="96">
        <v>2</v>
      </c>
      <c r="J77" s="97" t="s">
        <v>93</v>
      </c>
      <c r="K77" s="98">
        <v>208</v>
      </c>
      <c r="L77" s="99" t="s">
        <v>771</v>
      </c>
      <c r="M77" s="152" t="s">
        <v>1864</v>
      </c>
      <c r="N77" s="152">
        <v>17</v>
      </c>
      <c r="O77" s="87" t="s">
        <v>930</v>
      </c>
      <c r="P77" s="87">
        <v>9</v>
      </c>
      <c r="Q77" s="114"/>
      <c r="R77" s="83"/>
      <c r="S77" s="26">
        <v>4061</v>
      </c>
      <c r="T77" s="26" t="s">
        <v>1348</v>
      </c>
      <c r="U77" s="26">
        <v>4050</v>
      </c>
      <c r="V77" s="26" t="s">
        <v>1349</v>
      </c>
      <c r="W77" s="62">
        <v>44816</v>
      </c>
      <c r="X77" s="62">
        <v>45086</v>
      </c>
      <c r="Y77" s="62"/>
      <c r="Z77" s="62"/>
      <c r="AA77" s="22" t="s">
        <v>1106</v>
      </c>
      <c r="AB77" s="25"/>
      <c r="AC77" s="25"/>
      <c r="AD77" s="25"/>
      <c r="AE77" s="23" t="s">
        <v>731</v>
      </c>
      <c r="AF77" s="23" t="s">
        <v>731</v>
      </c>
      <c r="AG77" s="23" t="s">
        <v>731</v>
      </c>
      <c r="AH77" s="23" t="s">
        <v>731</v>
      </c>
      <c r="AI77" s="23" t="s">
        <v>731</v>
      </c>
      <c r="AJ77" s="23" t="s">
        <v>731</v>
      </c>
      <c r="AK77" s="23" t="s">
        <v>731</v>
      </c>
      <c r="AL77" s="25"/>
      <c r="AM77" s="25"/>
      <c r="AN77" s="25"/>
      <c r="AO77" s="25"/>
      <c r="AP77" s="23"/>
      <c r="AQ77" s="23"/>
      <c r="AR77" s="23"/>
      <c r="AS77" s="23"/>
      <c r="AT77" s="23"/>
      <c r="AU77" s="23"/>
      <c r="AV77" s="42">
        <v>11.41</v>
      </c>
      <c r="AW77" s="47"/>
      <c r="AX77" s="47"/>
      <c r="AY77" s="42"/>
      <c r="AZ77" s="42"/>
      <c r="BA77" s="47"/>
      <c r="BB77" s="45">
        <v>1</v>
      </c>
      <c r="BC77" s="41">
        <f>IF(AND((AV77/I77)&lt;2,BB77=1),(I77*2)-AV77,0)</f>
        <v>0</v>
      </c>
      <c r="BD77" s="41">
        <f>IF(AND((AV77/I77)&lt;3,BB77=2),(I77*3)-AV77,0)</f>
        <v>0</v>
      </c>
      <c r="BG77" s="41">
        <f>IF((AV77+AW77+AX77)&lt;20,(20-(AV77+AW77+AX77)),0)</f>
        <v>8.59</v>
      </c>
      <c r="BH77" s="18">
        <v>17</v>
      </c>
      <c r="BI77" s="18">
        <v>25</v>
      </c>
      <c r="BJ77" s="18">
        <v>25</v>
      </c>
      <c r="BK77" s="18">
        <v>18</v>
      </c>
      <c r="BL77" s="18">
        <v>20</v>
      </c>
      <c r="BM77" s="55">
        <f>SUM(AV77:AX77)+SUM(BC77:BD77)+SUM(BE77:BF77)+BG77</f>
        <v>20</v>
      </c>
      <c r="BN77" s="55"/>
      <c r="BO77" s="55"/>
      <c r="BP77" s="55"/>
      <c r="BQ77" s="55"/>
      <c r="BR77" s="55"/>
      <c r="BS77" s="55"/>
      <c r="BT77" s="55"/>
      <c r="BU77" s="55"/>
      <c r="BV77" s="55"/>
      <c r="BW77" s="55"/>
      <c r="BX77" s="55"/>
      <c r="BY77" s="55"/>
    </row>
    <row r="78" spans="2:77" ht="25.5">
      <c r="B78" s="89">
        <v>74</v>
      </c>
      <c r="C78" s="93">
        <v>428</v>
      </c>
      <c r="D78" s="93">
        <v>7</v>
      </c>
      <c r="E78" s="94">
        <v>0.30416666666666664</v>
      </c>
      <c r="F78" s="94">
        <v>0.30625000000000002</v>
      </c>
      <c r="G78" s="93" t="s">
        <v>171</v>
      </c>
      <c r="H78" s="93" t="s">
        <v>97</v>
      </c>
      <c r="I78" s="96">
        <v>2</v>
      </c>
      <c r="J78" s="97" t="s">
        <v>93</v>
      </c>
      <c r="K78" s="98">
        <v>208</v>
      </c>
      <c r="L78" s="99" t="s">
        <v>771</v>
      </c>
      <c r="M78" s="152" t="s">
        <v>1864</v>
      </c>
      <c r="N78" s="152">
        <v>17</v>
      </c>
      <c r="O78" s="87" t="s">
        <v>930</v>
      </c>
      <c r="P78" s="87">
        <v>9</v>
      </c>
      <c r="Q78" s="114"/>
      <c r="R78" s="83"/>
      <c r="S78" s="26">
        <v>4061</v>
      </c>
      <c r="T78" s="26" t="s">
        <v>1348</v>
      </c>
      <c r="U78" s="26">
        <v>4050</v>
      </c>
      <c r="V78" s="26" t="s">
        <v>1349</v>
      </c>
      <c r="W78" s="62">
        <v>44816</v>
      </c>
      <c r="X78" s="62">
        <v>45086</v>
      </c>
      <c r="Y78" s="62"/>
      <c r="Z78" s="62"/>
      <c r="AA78" s="22" t="s">
        <v>1106</v>
      </c>
      <c r="AB78" s="25"/>
      <c r="AC78" s="25"/>
      <c r="AD78" s="25"/>
      <c r="AE78" s="23" t="s">
        <v>731</v>
      </c>
      <c r="AF78" s="23" t="s">
        <v>731</v>
      </c>
      <c r="AG78" s="23" t="s">
        <v>731</v>
      </c>
      <c r="AH78" s="23" t="s">
        <v>731</v>
      </c>
      <c r="AI78" s="23" t="s">
        <v>731</v>
      </c>
      <c r="AJ78" s="23" t="s">
        <v>731</v>
      </c>
      <c r="AK78" s="23" t="s">
        <v>731</v>
      </c>
      <c r="AL78" s="25"/>
      <c r="AM78" s="25"/>
      <c r="AN78" s="25"/>
      <c r="AO78" s="25"/>
      <c r="AP78" s="23"/>
      <c r="AQ78" s="23"/>
      <c r="AR78" s="23"/>
      <c r="AS78" s="23"/>
      <c r="AT78" s="23"/>
      <c r="AU78" s="23"/>
      <c r="AV78" s="42">
        <v>11.41</v>
      </c>
      <c r="AW78" s="47"/>
      <c r="AX78" s="47"/>
      <c r="AY78" s="42"/>
      <c r="AZ78" s="42"/>
      <c r="BA78" s="47"/>
      <c r="BB78" s="45">
        <v>1</v>
      </c>
      <c r="BC78" s="41">
        <f>IF(AND((AV78/I78)&lt;2,BB78=1),(I78*2)-AV78,0)</f>
        <v>0</v>
      </c>
      <c r="BD78" s="41">
        <f>IF(AND((AV78/I78)&lt;3,BB78=2),(I78*3)-AV78,0)</f>
        <v>0</v>
      </c>
      <c r="BG78" s="18"/>
      <c r="BH78" s="18">
        <v>17</v>
      </c>
      <c r="BI78" s="18">
        <v>25</v>
      </c>
      <c r="BJ78" s="18">
        <v>25</v>
      </c>
      <c r="BK78" s="18">
        <v>18</v>
      </c>
      <c r="BL78" s="18">
        <v>20</v>
      </c>
      <c r="BM78" s="55">
        <f>SUM(AV78:AX78)+SUM(BC78:BD78)+SUM(BE78:BF78)+BG78</f>
        <v>11.41</v>
      </c>
      <c r="BN78" s="55"/>
      <c r="BO78" s="55"/>
      <c r="BP78" s="55"/>
      <c r="BQ78" s="55"/>
      <c r="BR78" s="55"/>
      <c r="BS78" s="55"/>
      <c r="BT78" s="55"/>
      <c r="BU78" s="55"/>
      <c r="BV78" s="55"/>
      <c r="BW78" s="55"/>
      <c r="BX78" s="55"/>
      <c r="BY78" s="55"/>
    </row>
    <row r="79" spans="2:77" ht="25.5">
      <c r="B79" s="89">
        <v>75</v>
      </c>
      <c r="C79" s="93">
        <v>428</v>
      </c>
      <c r="D79" s="93">
        <v>6</v>
      </c>
      <c r="E79" s="94">
        <v>0.55902777777777779</v>
      </c>
      <c r="F79" s="94">
        <v>0.56180555555555556</v>
      </c>
      <c r="G79" s="93" t="s">
        <v>170</v>
      </c>
      <c r="H79" s="93" t="s">
        <v>97</v>
      </c>
      <c r="I79" s="96">
        <v>2</v>
      </c>
      <c r="J79" s="97" t="s">
        <v>93</v>
      </c>
      <c r="K79" s="98">
        <v>208</v>
      </c>
      <c r="L79" s="99" t="s">
        <v>771</v>
      </c>
      <c r="M79" s="152" t="s">
        <v>1864</v>
      </c>
      <c r="N79" s="152">
        <v>17</v>
      </c>
      <c r="O79" s="87" t="s">
        <v>930</v>
      </c>
      <c r="P79" s="87">
        <v>9</v>
      </c>
      <c r="Q79" s="114"/>
      <c r="R79" s="83"/>
      <c r="S79" s="26">
        <v>4050</v>
      </c>
      <c r="T79" s="26" t="s">
        <v>1349</v>
      </c>
      <c r="U79" s="26">
        <v>4061</v>
      </c>
      <c r="V79" s="26" t="s">
        <v>1348</v>
      </c>
      <c r="W79" s="62">
        <v>44816</v>
      </c>
      <c r="X79" s="62">
        <v>45086</v>
      </c>
      <c r="Y79" s="62"/>
      <c r="Z79" s="62"/>
      <c r="AA79" s="22" t="s">
        <v>1106</v>
      </c>
      <c r="AB79" s="25"/>
      <c r="AC79" s="25"/>
      <c r="AD79" s="25"/>
      <c r="AE79" s="23" t="s">
        <v>731</v>
      </c>
      <c r="AF79" s="23" t="s">
        <v>731</v>
      </c>
      <c r="AG79" s="23" t="s">
        <v>731</v>
      </c>
      <c r="AH79" s="23" t="s">
        <v>731</v>
      </c>
      <c r="AI79" s="23" t="s">
        <v>731</v>
      </c>
      <c r="AJ79" s="23" t="s">
        <v>731</v>
      </c>
      <c r="AK79" s="23" t="s">
        <v>731</v>
      </c>
      <c r="AL79" s="25"/>
      <c r="AM79" s="25"/>
      <c r="AN79" s="25"/>
      <c r="AO79" s="25"/>
      <c r="AP79" s="23"/>
      <c r="AQ79" s="23"/>
      <c r="AR79" s="23"/>
      <c r="AS79" s="23"/>
      <c r="AT79" s="23"/>
      <c r="AU79" s="23"/>
      <c r="AV79" s="42">
        <v>11.41</v>
      </c>
      <c r="AW79" s="47"/>
      <c r="AX79" s="47"/>
      <c r="AY79" s="42"/>
      <c r="AZ79" s="42"/>
      <c r="BA79" s="47"/>
      <c r="BB79" s="45">
        <v>1</v>
      </c>
      <c r="BC79" s="41">
        <f>IF(AND((AV79/I79)&lt;2,BB79=1),(I79*2)-AV79,0)</f>
        <v>0</v>
      </c>
      <c r="BD79" s="41">
        <f>IF(AND((AV79/I79)&lt;3,BB79=2),(I79*3)-AV79,0)</f>
        <v>0</v>
      </c>
      <c r="BG79" s="18"/>
      <c r="BH79" s="18">
        <v>17</v>
      </c>
      <c r="BI79" s="18">
        <v>25</v>
      </c>
      <c r="BJ79" s="18">
        <v>25</v>
      </c>
      <c r="BK79" s="18">
        <v>18</v>
      </c>
      <c r="BL79" s="18">
        <v>20</v>
      </c>
      <c r="BM79" s="55">
        <f>SUM(AV79:AX79)+SUM(BC79:BD79)+SUM(BE79:BF79)+BG79</f>
        <v>11.41</v>
      </c>
      <c r="BN79" s="55"/>
      <c r="BO79" s="55"/>
      <c r="BP79" s="55"/>
      <c r="BQ79" s="55"/>
      <c r="BR79" s="55"/>
      <c r="BS79" s="55"/>
      <c r="BT79" s="55"/>
      <c r="BU79" s="55"/>
      <c r="BV79" s="55"/>
      <c r="BW79" s="55"/>
      <c r="BX79" s="55"/>
      <c r="BY79" s="55"/>
    </row>
    <row r="80" spans="2:77" ht="25.5">
      <c r="B80" s="89">
        <v>76</v>
      </c>
      <c r="C80" s="93">
        <v>428</v>
      </c>
      <c r="D80" s="93">
        <v>8</v>
      </c>
      <c r="E80" s="94">
        <v>0.59722222222222221</v>
      </c>
      <c r="F80" s="94">
        <v>0.6</v>
      </c>
      <c r="G80" s="93" t="s">
        <v>170</v>
      </c>
      <c r="H80" s="93" t="s">
        <v>97</v>
      </c>
      <c r="I80" s="96">
        <v>2</v>
      </c>
      <c r="J80" s="97" t="s">
        <v>93</v>
      </c>
      <c r="K80" s="98">
        <v>208</v>
      </c>
      <c r="L80" s="99" t="s">
        <v>771</v>
      </c>
      <c r="M80" s="152" t="s">
        <v>1864</v>
      </c>
      <c r="N80" s="152">
        <v>17</v>
      </c>
      <c r="O80" s="87" t="s">
        <v>930</v>
      </c>
      <c r="P80" s="87">
        <v>9</v>
      </c>
      <c r="Q80" s="114"/>
      <c r="R80" s="83"/>
      <c r="S80" s="26">
        <v>4050</v>
      </c>
      <c r="T80" s="26" t="s">
        <v>1349</v>
      </c>
      <c r="U80" s="26">
        <v>4061</v>
      </c>
      <c r="V80" s="26" t="s">
        <v>1348</v>
      </c>
      <c r="W80" s="62">
        <v>44816</v>
      </c>
      <c r="X80" s="62">
        <v>45086</v>
      </c>
      <c r="Y80" s="62"/>
      <c r="Z80" s="62"/>
      <c r="AA80" s="22" t="s">
        <v>1106</v>
      </c>
      <c r="AB80" s="25"/>
      <c r="AC80" s="25"/>
      <c r="AD80" s="25"/>
      <c r="AE80" s="23" t="s">
        <v>731</v>
      </c>
      <c r="AF80" s="23" t="s">
        <v>731</v>
      </c>
      <c r="AG80" s="23" t="s">
        <v>731</v>
      </c>
      <c r="AH80" s="23" t="s">
        <v>731</v>
      </c>
      <c r="AI80" s="23" t="s">
        <v>731</v>
      </c>
      <c r="AJ80" s="23" t="s">
        <v>731</v>
      </c>
      <c r="AK80" s="23" t="s">
        <v>731</v>
      </c>
      <c r="AL80" s="25"/>
      <c r="AM80" s="25"/>
      <c r="AN80" s="25"/>
      <c r="AO80" s="25"/>
      <c r="AP80" s="23"/>
      <c r="AQ80" s="23"/>
      <c r="AR80" s="23"/>
      <c r="AS80" s="23"/>
      <c r="AT80" s="23"/>
      <c r="AU80" s="23"/>
      <c r="AV80" s="42">
        <v>11.41</v>
      </c>
      <c r="AW80" s="47"/>
      <c r="AX80" s="47"/>
      <c r="AY80" s="42"/>
      <c r="AZ80" s="42"/>
      <c r="BA80" s="47"/>
      <c r="BB80" s="45">
        <v>1</v>
      </c>
      <c r="BC80" s="41">
        <f>IF(AND((AV80/I80)&lt;2,BB80=1),(I80*2)-AV80,0)</f>
        <v>0</v>
      </c>
      <c r="BD80" s="41">
        <f>IF(AND((AV80/I80)&lt;3,BB80=2),(I80*3)-AV80,0)</f>
        <v>0</v>
      </c>
      <c r="BG80" s="18"/>
      <c r="BH80" s="18">
        <v>17</v>
      </c>
      <c r="BI80" s="18">
        <v>25</v>
      </c>
      <c r="BJ80" s="18">
        <v>25</v>
      </c>
      <c r="BK80" s="18">
        <v>18</v>
      </c>
      <c r="BL80" s="18">
        <v>20</v>
      </c>
      <c r="BM80" s="55">
        <f>SUM(AV80:AX80)+SUM(BC80:BD80)+SUM(BE80:BF80)+BG80</f>
        <v>11.41</v>
      </c>
      <c r="BN80" s="55"/>
      <c r="BO80" s="55"/>
      <c r="BP80" s="55"/>
      <c r="BQ80" s="55"/>
      <c r="BR80" s="55"/>
      <c r="BS80" s="55"/>
      <c r="BT80" s="55"/>
      <c r="BU80" s="55"/>
      <c r="BV80" s="55"/>
      <c r="BW80" s="55"/>
      <c r="BX80" s="55"/>
      <c r="BY80" s="55"/>
    </row>
    <row r="81" spans="2:77" ht="25.5">
      <c r="B81" s="89">
        <v>77</v>
      </c>
      <c r="C81" s="93">
        <v>428</v>
      </c>
      <c r="D81" s="93">
        <v>10</v>
      </c>
      <c r="E81" s="94">
        <v>0.77430555555555547</v>
      </c>
      <c r="F81" s="94">
        <v>0.77708333333333324</v>
      </c>
      <c r="G81" s="93" t="s">
        <v>170</v>
      </c>
      <c r="H81" s="93" t="s">
        <v>103</v>
      </c>
      <c r="I81" s="96">
        <v>2</v>
      </c>
      <c r="J81" s="97" t="s">
        <v>93</v>
      </c>
      <c r="K81" s="98">
        <v>174</v>
      </c>
      <c r="L81" s="99" t="s">
        <v>771</v>
      </c>
      <c r="M81" s="152" t="s">
        <v>1864</v>
      </c>
      <c r="N81" s="152">
        <v>17</v>
      </c>
      <c r="O81" s="87" t="s">
        <v>930</v>
      </c>
      <c r="P81" s="87">
        <v>9</v>
      </c>
      <c r="Q81" s="114"/>
      <c r="R81" s="83"/>
      <c r="S81" s="26">
        <v>4050</v>
      </c>
      <c r="T81" s="26" t="s">
        <v>1349</v>
      </c>
      <c r="U81" s="26">
        <v>4061</v>
      </c>
      <c r="V81" s="26" t="s">
        <v>1348</v>
      </c>
      <c r="W81" s="62">
        <v>44816</v>
      </c>
      <c r="X81" s="62">
        <v>45086</v>
      </c>
      <c r="Y81" s="62"/>
      <c r="Z81" s="62"/>
      <c r="AA81" s="22" t="s">
        <v>1102</v>
      </c>
      <c r="AB81" s="25"/>
      <c r="AC81" s="25"/>
      <c r="AD81" s="25"/>
      <c r="AE81" s="23" t="s">
        <v>731</v>
      </c>
      <c r="AF81" s="23" t="s">
        <v>731</v>
      </c>
      <c r="AG81" s="23" t="s">
        <v>731</v>
      </c>
      <c r="AH81" s="23" t="s">
        <v>731</v>
      </c>
      <c r="AI81" s="23" t="s">
        <v>731</v>
      </c>
      <c r="AJ81" s="23" t="s">
        <v>731</v>
      </c>
      <c r="AK81" s="25"/>
      <c r="AL81" s="25"/>
      <c r="AM81" s="25"/>
      <c r="AN81" s="25"/>
      <c r="AO81" s="25"/>
      <c r="AP81" s="23"/>
      <c r="AQ81" s="23"/>
      <c r="AR81" s="23"/>
      <c r="AS81" s="23"/>
      <c r="AT81" s="23"/>
      <c r="AU81" s="25"/>
      <c r="AV81" s="42">
        <v>10</v>
      </c>
      <c r="AW81" s="47"/>
      <c r="AX81" s="47"/>
      <c r="AY81" s="42"/>
      <c r="AZ81" s="42"/>
      <c r="BA81" s="47"/>
      <c r="BB81" s="45">
        <v>1</v>
      </c>
      <c r="BC81" s="41">
        <f>IF(AND((AV81/I81)&lt;2,BB81=1),(I81*2)-AV81,0)</f>
        <v>0</v>
      </c>
      <c r="BD81" s="41">
        <f>IF(AND((AV81/I81)&lt;3,BB81=2),(I81*3)-AV81,0)</f>
        <v>0</v>
      </c>
      <c r="BG81" s="18"/>
      <c r="BH81" s="18">
        <v>15</v>
      </c>
      <c r="BI81" s="18">
        <v>20</v>
      </c>
      <c r="BJ81" s="18">
        <v>21</v>
      </c>
      <c r="BK81" s="18">
        <v>15</v>
      </c>
      <c r="BL81" s="18">
        <v>17</v>
      </c>
      <c r="BM81" s="55">
        <f>SUM(AV81:AX81)+SUM(BC81:BD81)+SUM(BE81:BF81)+BG81</f>
        <v>10</v>
      </c>
      <c r="BN81" s="55"/>
      <c r="BO81" s="55"/>
      <c r="BP81" s="55"/>
      <c r="BQ81" s="55"/>
      <c r="BR81" s="55"/>
      <c r="BS81" s="55"/>
      <c r="BT81" s="55"/>
      <c r="BU81" s="55"/>
      <c r="BV81" s="55"/>
      <c r="BW81" s="55"/>
      <c r="BX81" s="55"/>
      <c r="BY81" s="55"/>
    </row>
    <row r="82" spans="2:77" ht="45">
      <c r="B82" s="89">
        <v>78</v>
      </c>
      <c r="C82" s="93">
        <v>601</v>
      </c>
      <c r="D82" s="106">
        <v>696</v>
      </c>
      <c r="E82" s="94">
        <v>0.86458333333333337</v>
      </c>
      <c r="F82" s="94">
        <v>0.88680555555555562</v>
      </c>
      <c r="G82" s="93" t="s">
        <v>408</v>
      </c>
      <c r="H82" s="93" t="s">
        <v>478</v>
      </c>
      <c r="I82" s="96">
        <v>22</v>
      </c>
      <c r="J82" s="97" t="s">
        <v>93</v>
      </c>
      <c r="K82" s="98">
        <v>240</v>
      </c>
      <c r="L82" s="99" t="s">
        <v>2013</v>
      </c>
      <c r="M82" s="193" t="s">
        <v>2012</v>
      </c>
      <c r="N82" s="193">
        <v>23</v>
      </c>
      <c r="O82" s="83" t="s">
        <v>2010</v>
      </c>
      <c r="P82" s="83">
        <v>24</v>
      </c>
      <c r="Q82" s="100" t="s">
        <v>2017</v>
      </c>
      <c r="R82" s="2" t="s">
        <v>2018</v>
      </c>
      <c r="S82" s="26" t="s">
        <v>1302</v>
      </c>
      <c r="T82" s="26" t="s">
        <v>1303</v>
      </c>
      <c r="U82" s="26">
        <v>6120</v>
      </c>
      <c r="V82" s="26" t="s">
        <v>1314</v>
      </c>
      <c r="W82" s="63">
        <v>44816</v>
      </c>
      <c r="X82" s="63">
        <v>45100</v>
      </c>
      <c r="Y82" s="63"/>
      <c r="Z82" s="63"/>
      <c r="AA82" s="26" t="s">
        <v>1112</v>
      </c>
      <c r="AB82" s="23" t="s">
        <v>731</v>
      </c>
      <c r="AC82" s="23"/>
      <c r="AD82" s="23" t="s">
        <v>731</v>
      </c>
      <c r="AE82" s="23"/>
      <c r="AF82" s="23" t="s">
        <v>731</v>
      </c>
      <c r="AG82" s="23" t="s">
        <v>731</v>
      </c>
      <c r="AH82" s="23" t="s">
        <v>731</v>
      </c>
      <c r="AI82" s="23" t="s">
        <v>731</v>
      </c>
      <c r="AJ82" s="23" t="s">
        <v>731</v>
      </c>
      <c r="AK82" s="23" t="s">
        <v>731</v>
      </c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42">
        <v>55</v>
      </c>
      <c r="AY82" s="42"/>
      <c r="AZ82" s="42"/>
      <c r="BB82" s="45">
        <v>1</v>
      </c>
      <c r="BC82" s="41">
        <f>IF(AND((AV82/I82)&lt;2,BB82=1),(I82*2)-AV82,0)</f>
        <v>0</v>
      </c>
      <c r="BD82" s="41">
        <f>IF(AND((AV82/I82)&lt;3,BB82=2),(I82*3)-AV82,0)</f>
        <v>0</v>
      </c>
      <c r="BG82" s="18"/>
      <c r="BH82" s="18">
        <v>17</v>
      </c>
      <c r="BI82" s="18">
        <v>26</v>
      </c>
      <c r="BJ82" s="18">
        <v>25</v>
      </c>
      <c r="BK82" s="18">
        <v>25</v>
      </c>
      <c r="BL82" s="18">
        <v>25</v>
      </c>
      <c r="BM82" s="55">
        <f>SUM(AV82:AX82)+SUM(BC82:BD82)+SUM(BE82:BF82)+BG82</f>
        <v>55</v>
      </c>
      <c r="BN82" s="55"/>
      <c r="BO82" s="55"/>
      <c r="BP82" s="55"/>
      <c r="BQ82" s="55"/>
      <c r="BR82" s="55"/>
      <c r="BS82" s="55"/>
      <c r="BT82" s="55"/>
      <c r="BU82" s="55"/>
      <c r="BV82" s="55"/>
      <c r="BW82" s="55"/>
      <c r="BX82" s="55"/>
      <c r="BY82" s="55"/>
    </row>
    <row r="83" spans="2:77" ht="33.75">
      <c r="B83" s="89">
        <v>79</v>
      </c>
      <c r="C83" s="93">
        <v>611</v>
      </c>
      <c r="D83" s="93">
        <v>67</v>
      </c>
      <c r="E83" s="105">
        <v>0.2722222222222222</v>
      </c>
      <c r="F83" s="94">
        <v>0.30208333333333331</v>
      </c>
      <c r="G83" s="154" t="s">
        <v>1915</v>
      </c>
      <c r="H83" s="93" t="s">
        <v>97</v>
      </c>
      <c r="I83" s="96">
        <v>33</v>
      </c>
      <c r="J83" s="97" t="s">
        <v>188</v>
      </c>
      <c r="K83" s="98">
        <v>208</v>
      </c>
      <c r="L83" s="99" t="s">
        <v>735</v>
      </c>
      <c r="M83" s="152" t="s">
        <v>2004</v>
      </c>
      <c r="N83" s="152">
        <v>42</v>
      </c>
      <c r="O83" s="83" t="s">
        <v>1928</v>
      </c>
      <c r="P83" s="83">
        <v>31</v>
      </c>
      <c r="R83" s="83"/>
      <c r="S83" s="61" t="s">
        <v>1916</v>
      </c>
      <c r="T83" s="61" t="s">
        <v>1917</v>
      </c>
      <c r="U83" s="26" t="s">
        <v>1302</v>
      </c>
      <c r="V83" s="26" t="s">
        <v>1303</v>
      </c>
      <c r="W83" s="62">
        <v>44816</v>
      </c>
      <c r="X83" s="62">
        <v>45086</v>
      </c>
      <c r="Y83" s="62"/>
      <c r="Z83" s="62"/>
      <c r="AA83" s="22" t="s">
        <v>1106</v>
      </c>
      <c r="AB83" s="23"/>
      <c r="AC83" s="23"/>
      <c r="AD83" s="23"/>
      <c r="AE83" s="23" t="s">
        <v>731</v>
      </c>
      <c r="AF83" s="23" t="s">
        <v>731</v>
      </c>
      <c r="AG83" s="23" t="s">
        <v>731</v>
      </c>
      <c r="AH83" s="23" t="s">
        <v>731</v>
      </c>
      <c r="AI83" s="23" t="s">
        <v>731</v>
      </c>
      <c r="AJ83" s="23" t="s">
        <v>731</v>
      </c>
      <c r="AK83" s="23" t="s">
        <v>731</v>
      </c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42">
        <v>79.5</v>
      </c>
      <c r="AY83" s="42"/>
      <c r="AZ83" s="42"/>
      <c r="BB83" s="45">
        <v>1</v>
      </c>
      <c r="BC83" s="41">
        <f>IF(AND((AV83/I83)&lt;2,BB83=1),(I83*2)-AV83,0)</f>
        <v>0</v>
      </c>
      <c r="BD83" s="41">
        <f>IF(AND((AV83/I83)&lt;3,BB83=2),(I83*3)-AV83,0)</f>
        <v>0</v>
      </c>
      <c r="BG83" s="41">
        <f>IF((AV83+AW83+AX83)&lt;20,(20-(AV83+AW83+AX83)),0)</f>
        <v>0</v>
      </c>
      <c r="BH83" s="18">
        <v>17</v>
      </c>
      <c r="BI83" s="18">
        <v>25</v>
      </c>
      <c r="BJ83" s="18">
        <v>25</v>
      </c>
      <c r="BK83" s="18">
        <v>18</v>
      </c>
      <c r="BL83" s="18">
        <v>20</v>
      </c>
      <c r="BM83" s="55">
        <f>SUM(AV83:AX83)+SUM(BC83:BD83)+SUM(BE83:BF83)+BG83</f>
        <v>79.5</v>
      </c>
      <c r="BN83" s="55"/>
      <c r="BO83" s="55"/>
      <c r="BP83" s="55"/>
      <c r="BQ83" s="55"/>
      <c r="BR83" s="55"/>
      <c r="BS83" s="55"/>
      <c r="BT83" s="55"/>
      <c r="BU83" s="55"/>
      <c r="BV83" s="55"/>
      <c r="BW83" s="55"/>
      <c r="BX83" s="55"/>
      <c r="BY83" s="55"/>
    </row>
    <row r="84" spans="2:77" ht="25.5">
      <c r="B84" s="89">
        <v>80</v>
      </c>
      <c r="C84" s="93">
        <v>621</v>
      </c>
      <c r="D84" s="93">
        <v>239</v>
      </c>
      <c r="E84" s="105">
        <v>0.28680555555555554</v>
      </c>
      <c r="F84" s="94">
        <v>0.30972222222222223</v>
      </c>
      <c r="G84" s="93" t="s">
        <v>653</v>
      </c>
      <c r="H84" s="95" t="s">
        <v>123</v>
      </c>
      <c r="I84" s="96">
        <v>21</v>
      </c>
      <c r="J84" s="97" t="s">
        <v>165</v>
      </c>
      <c r="K84" s="98">
        <v>34</v>
      </c>
      <c r="L84" s="99" t="s">
        <v>1069</v>
      </c>
      <c r="M84" s="152" t="s">
        <v>2037</v>
      </c>
      <c r="N84" s="152" t="s">
        <v>2038</v>
      </c>
      <c r="O84" s="83" t="s">
        <v>1217</v>
      </c>
      <c r="P84" s="83">
        <v>48</v>
      </c>
      <c r="Q84" s="83" t="s">
        <v>1218</v>
      </c>
      <c r="R84" s="107">
        <v>45</v>
      </c>
      <c r="S84" s="26" t="s">
        <v>1350</v>
      </c>
      <c r="T84" s="26" t="s">
        <v>1351</v>
      </c>
      <c r="U84" s="26">
        <v>1</v>
      </c>
      <c r="V84" s="26" t="s">
        <v>1312</v>
      </c>
      <c r="W84" s="62">
        <v>44816</v>
      </c>
      <c r="X84" s="62">
        <v>45086</v>
      </c>
      <c r="Y84" s="62"/>
      <c r="Z84" s="62"/>
      <c r="AA84" s="22" t="s">
        <v>1111</v>
      </c>
      <c r="AB84" s="23"/>
      <c r="AC84" s="23"/>
      <c r="AD84" s="23"/>
      <c r="AE84" s="23" t="s">
        <v>731</v>
      </c>
      <c r="AF84" s="23"/>
      <c r="AG84" s="23"/>
      <c r="AH84" s="23"/>
      <c r="AI84" s="23"/>
      <c r="AJ84" s="23"/>
      <c r="AK84" s="23" t="s">
        <v>731</v>
      </c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42">
        <v>63</v>
      </c>
      <c r="AW84" s="42"/>
      <c r="AY84" s="18"/>
      <c r="AZ84" s="18"/>
      <c r="BB84" s="43">
        <v>2</v>
      </c>
      <c r="BC84" s="41">
        <f>IF(AND((AV84/I84)&lt;2,BB84=1),(I84*2)-AV84,0)</f>
        <v>0</v>
      </c>
      <c r="BD84" s="41">
        <f>IF(AND((AV84/I84)&lt;3,BB84=2),(I84*3)-AV84,0)</f>
        <v>0</v>
      </c>
      <c r="BG84" s="41">
        <f>IF((AV84+AW84+AX84)&lt;20,(20-(AV84+AW84+AX84)),0)</f>
        <v>0</v>
      </c>
      <c r="BH84" s="18">
        <v>2</v>
      </c>
      <c r="BI84" s="18">
        <v>5</v>
      </c>
      <c r="BJ84" s="18">
        <v>4</v>
      </c>
      <c r="BK84" s="18">
        <v>3</v>
      </c>
      <c r="BL84" s="18">
        <v>3</v>
      </c>
      <c r="BM84" s="55">
        <f>SUM(AV84:AX84)+SUM(BC84:BD84)+SUM(BE84:BF84)+BG84</f>
        <v>63</v>
      </c>
      <c r="BN84" s="55"/>
      <c r="BO84" s="55"/>
      <c r="BP84" s="55"/>
      <c r="BQ84" s="55"/>
      <c r="BR84" s="55"/>
      <c r="BS84" s="55"/>
      <c r="BT84" s="55"/>
      <c r="BU84" s="55"/>
      <c r="BV84" s="55"/>
      <c r="BW84" s="55"/>
      <c r="BX84" s="55"/>
      <c r="BY84" s="55"/>
    </row>
    <row r="85" spans="2:77" ht="25.5">
      <c r="B85" s="89">
        <v>81</v>
      </c>
      <c r="C85" s="93">
        <v>621</v>
      </c>
      <c r="D85" s="93">
        <v>966</v>
      </c>
      <c r="E85" s="94">
        <v>0.35416666666666669</v>
      </c>
      <c r="F85" s="94">
        <v>0.37083333333333335</v>
      </c>
      <c r="G85" s="93" t="s">
        <v>476</v>
      </c>
      <c r="H85" s="93" t="s">
        <v>500</v>
      </c>
      <c r="I85" s="96">
        <v>13.2</v>
      </c>
      <c r="J85" s="97" t="s">
        <v>93</v>
      </c>
      <c r="K85" s="98">
        <v>67</v>
      </c>
      <c r="L85" s="99" t="s">
        <v>735</v>
      </c>
      <c r="M85" s="152" t="s">
        <v>2004</v>
      </c>
      <c r="N85" s="152">
        <v>42</v>
      </c>
      <c r="O85" s="2" t="s">
        <v>904</v>
      </c>
      <c r="P85" s="2">
        <v>21</v>
      </c>
      <c r="Q85" s="83" t="s">
        <v>903</v>
      </c>
      <c r="R85" s="84">
        <v>24</v>
      </c>
      <c r="S85" s="26" t="s">
        <v>1352</v>
      </c>
      <c r="T85" s="26" t="s">
        <v>1353</v>
      </c>
      <c r="U85" s="26">
        <v>6120</v>
      </c>
      <c r="V85" s="26" t="s">
        <v>1314</v>
      </c>
      <c r="W85" s="63">
        <v>44562</v>
      </c>
      <c r="X85" s="63">
        <v>44815</v>
      </c>
      <c r="Y85" s="63">
        <v>45101</v>
      </c>
      <c r="Z85" s="63">
        <v>45169</v>
      </c>
      <c r="AA85" s="23" t="s">
        <v>1107</v>
      </c>
      <c r="AB85" s="23"/>
      <c r="AC85" s="23" t="s">
        <v>731</v>
      </c>
      <c r="AD85" s="23" t="s">
        <v>731</v>
      </c>
      <c r="AE85" s="23"/>
      <c r="AF85" s="23" t="s">
        <v>731</v>
      </c>
      <c r="AG85" s="23" t="s">
        <v>731</v>
      </c>
      <c r="AH85" s="23" t="s">
        <v>731</v>
      </c>
      <c r="AI85" s="23" t="s">
        <v>731</v>
      </c>
      <c r="AJ85" s="23" t="s">
        <v>731</v>
      </c>
      <c r="AK85" s="23" t="s">
        <v>731</v>
      </c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42">
        <v>39.6</v>
      </c>
      <c r="AW85" s="42"/>
      <c r="AY85" s="18"/>
      <c r="AZ85" s="18"/>
      <c r="BB85" s="45">
        <v>1</v>
      </c>
      <c r="BC85" s="41">
        <f>IF(AND((AV85/I85)&lt;2,BB85=1),(I85*2)-AV85,0)</f>
        <v>0</v>
      </c>
      <c r="BD85" s="41">
        <f>IF(AND((AV85/I85)&lt;3,BB85=2),(I85*3)-AV85,0)</f>
        <v>0</v>
      </c>
      <c r="BG85" s="18"/>
      <c r="BH85" s="18">
        <v>9</v>
      </c>
      <c r="BI85" s="18">
        <v>0</v>
      </c>
      <c r="BJ85" s="18">
        <v>0</v>
      </c>
      <c r="BK85" s="18">
        <v>0</v>
      </c>
      <c r="BL85" s="18">
        <v>0</v>
      </c>
      <c r="BM85" s="55">
        <f>SUM(AV85:AX85)+SUM(BC85:BD85)+SUM(BE85:BF85)+BG85</f>
        <v>39.6</v>
      </c>
      <c r="BN85" s="55"/>
      <c r="BO85" s="55"/>
      <c r="BP85" s="55"/>
      <c r="BQ85" s="55"/>
      <c r="BR85" s="55"/>
      <c r="BS85" s="55"/>
      <c r="BT85" s="55"/>
      <c r="BU85" s="55"/>
      <c r="BV85" s="55"/>
      <c r="BW85" s="55"/>
      <c r="BX85" s="55"/>
      <c r="BY85" s="55"/>
    </row>
    <row r="86" spans="2:77" ht="25.5">
      <c r="B86" s="89">
        <v>82</v>
      </c>
      <c r="C86" s="93">
        <v>621</v>
      </c>
      <c r="D86" s="93">
        <v>966</v>
      </c>
      <c r="E86" s="94">
        <v>0.35416666666666669</v>
      </c>
      <c r="F86" s="105">
        <v>0.37083333333333335</v>
      </c>
      <c r="G86" s="93" t="s">
        <v>476</v>
      </c>
      <c r="H86" s="93" t="s">
        <v>478</v>
      </c>
      <c r="I86" s="96">
        <v>13.2</v>
      </c>
      <c r="J86" s="97" t="s">
        <v>93</v>
      </c>
      <c r="K86" s="98">
        <v>240</v>
      </c>
      <c r="L86" s="99" t="s">
        <v>735</v>
      </c>
      <c r="M86" s="152" t="s">
        <v>2004</v>
      </c>
      <c r="N86" s="152">
        <v>42</v>
      </c>
      <c r="O86" s="83" t="s">
        <v>904</v>
      </c>
      <c r="P86" s="83">
        <v>21</v>
      </c>
      <c r="Q86" s="83" t="s">
        <v>903</v>
      </c>
      <c r="R86" s="84">
        <v>24</v>
      </c>
      <c r="S86" s="26" t="s">
        <v>1352</v>
      </c>
      <c r="T86" s="26" t="s">
        <v>1353</v>
      </c>
      <c r="U86" s="26">
        <v>6120</v>
      </c>
      <c r="V86" s="26" t="s">
        <v>1314</v>
      </c>
      <c r="W86" s="63">
        <v>44816</v>
      </c>
      <c r="X86" s="63">
        <v>45100</v>
      </c>
      <c r="Y86" s="63"/>
      <c r="Z86" s="63"/>
      <c r="AA86" s="26" t="s">
        <v>1112</v>
      </c>
      <c r="AB86" s="23" t="s">
        <v>731</v>
      </c>
      <c r="AC86" s="23"/>
      <c r="AD86" s="23" t="s">
        <v>731</v>
      </c>
      <c r="AE86" s="23"/>
      <c r="AF86" s="23" t="s">
        <v>731</v>
      </c>
      <c r="AG86" s="23" t="s">
        <v>731</v>
      </c>
      <c r="AH86" s="23" t="s">
        <v>731</v>
      </c>
      <c r="AI86" s="23" t="s">
        <v>731</v>
      </c>
      <c r="AJ86" s="23" t="s">
        <v>731</v>
      </c>
      <c r="AK86" s="23" t="s">
        <v>731</v>
      </c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42">
        <v>39.6</v>
      </c>
      <c r="AW86" s="42"/>
      <c r="AY86" s="18"/>
      <c r="AZ86" s="18"/>
      <c r="BB86" s="45">
        <v>1</v>
      </c>
      <c r="BC86" s="41">
        <f>IF(AND((AV86/I86)&lt;2,BB86=1),(I86*2)-AV86,0)</f>
        <v>0</v>
      </c>
      <c r="BD86" s="41">
        <f>IF(AND((AV86/I86)&lt;3,BB86=2),(I86*3)-AV86,0)</f>
        <v>0</v>
      </c>
      <c r="BG86" s="18"/>
      <c r="BH86" s="18">
        <v>17</v>
      </c>
      <c r="BI86" s="18">
        <v>26</v>
      </c>
      <c r="BJ86" s="18">
        <v>25</v>
      </c>
      <c r="BK86" s="18">
        <v>25</v>
      </c>
      <c r="BL86" s="18">
        <v>25</v>
      </c>
      <c r="BM86" s="55">
        <f>SUM(AV86:AX86)+SUM(BC86:BD86)+SUM(BE86:BF86)+BG86</f>
        <v>39.6</v>
      </c>
      <c r="BN86" s="55"/>
      <c r="BO86" s="55"/>
      <c r="BP86" s="55"/>
      <c r="BQ86" s="55"/>
      <c r="BR86" s="55"/>
      <c r="BS86" s="55"/>
      <c r="BT86" s="55"/>
      <c r="BU86" s="55"/>
      <c r="BV86" s="55"/>
      <c r="BW86" s="55"/>
      <c r="BX86" s="55"/>
      <c r="BY86" s="55"/>
    </row>
    <row r="87" spans="2:77" ht="33.75">
      <c r="B87" s="89">
        <v>83</v>
      </c>
      <c r="C87" s="93">
        <v>621</v>
      </c>
      <c r="D87" s="95">
        <v>241</v>
      </c>
      <c r="E87" s="94">
        <v>0.36458333333333331</v>
      </c>
      <c r="F87" s="94">
        <v>0.38958333333333334</v>
      </c>
      <c r="G87" s="93" t="s">
        <v>548</v>
      </c>
      <c r="H87" s="93" t="s">
        <v>547</v>
      </c>
      <c r="I87" s="96">
        <v>22</v>
      </c>
      <c r="J87" s="97" t="s">
        <v>406</v>
      </c>
      <c r="K87" s="98">
        <v>45</v>
      </c>
      <c r="L87" s="109" t="s">
        <v>723</v>
      </c>
      <c r="M87" s="83" t="s">
        <v>1045</v>
      </c>
      <c r="N87" s="83">
        <v>45</v>
      </c>
      <c r="O87" s="83" t="s">
        <v>936</v>
      </c>
      <c r="P87" s="83">
        <v>48</v>
      </c>
      <c r="Q87" s="190" t="s">
        <v>1997</v>
      </c>
      <c r="R87" s="191">
        <v>45</v>
      </c>
      <c r="S87" s="26">
        <v>6120</v>
      </c>
      <c r="T87" s="26" t="s">
        <v>1314</v>
      </c>
      <c r="U87" s="26">
        <v>1</v>
      </c>
      <c r="V87" s="26" t="s">
        <v>1312</v>
      </c>
      <c r="W87" s="63">
        <v>44816</v>
      </c>
      <c r="X87" s="63">
        <v>45100</v>
      </c>
      <c r="Y87" s="63"/>
      <c r="Z87" s="63"/>
      <c r="AA87" s="17" t="s">
        <v>1103</v>
      </c>
      <c r="AB87" s="23" t="s">
        <v>731</v>
      </c>
      <c r="AC87" s="23"/>
      <c r="AD87" s="23"/>
      <c r="AE87" s="23"/>
      <c r="AF87" s="23"/>
      <c r="AG87" s="23"/>
      <c r="AH87" s="23"/>
      <c r="AI87" s="23"/>
      <c r="AJ87" s="23"/>
      <c r="AK87" s="23"/>
      <c r="AL87" s="23" t="s">
        <v>731</v>
      </c>
      <c r="AM87" s="23"/>
      <c r="AN87" s="23"/>
      <c r="AO87" s="23"/>
      <c r="AP87" s="23"/>
      <c r="AQ87" s="23"/>
      <c r="AR87" s="23"/>
      <c r="AS87" s="23"/>
      <c r="AT87" s="23"/>
      <c r="AU87" s="23"/>
      <c r="AV87" s="42">
        <v>66</v>
      </c>
      <c r="AW87" s="42"/>
      <c r="AY87" s="18"/>
      <c r="AZ87" s="18"/>
      <c r="BB87" s="43">
        <v>2</v>
      </c>
      <c r="BC87" s="41">
        <f>IF(AND((AV87/I87)&lt;2,BB87=1),(I87*2)-AV87,0)</f>
        <v>0</v>
      </c>
      <c r="BD87" s="41">
        <f>IF(AND((AV87/I87)&lt;3,BB87=2),(I87*3)-AV87,0)</f>
        <v>0</v>
      </c>
      <c r="BG87" s="18"/>
      <c r="BH87" s="18">
        <v>2</v>
      </c>
      <c r="BI87" s="18">
        <v>5</v>
      </c>
      <c r="BJ87" s="18">
        <v>5</v>
      </c>
      <c r="BK87" s="18">
        <v>6</v>
      </c>
      <c r="BL87" s="18">
        <v>6</v>
      </c>
      <c r="BM87" s="55">
        <f>SUM(AV87:AX87)+SUM(BC87:BD87)+SUM(BE87:BF87)+BG87</f>
        <v>66</v>
      </c>
      <c r="BN87" s="55"/>
      <c r="BO87" s="55"/>
      <c r="BP87" s="55"/>
      <c r="BQ87" s="55"/>
      <c r="BR87" s="55"/>
      <c r="BS87" s="55"/>
      <c r="BT87" s="55"/>
      <c r="BU87" s="55"/>
      <c r="BV87" s="55"/>
      <c r="BW87" s="55"/>
      <c r="BX87" s="55"/>
      <c r="BY87" s="55"/>
    </row>
    <row r="88" spans="2:77" ht="33.75">
      <c r="B88" s="89">
        <v>84</v>
      </c>
      <c r="C88" s="93">
        <v>621</v>
      </c>
      <c r="D88" s="93">
        <v>987</v>
      </c>
      <c r="E88" s="94">
        <v>0.3743055555555555</v>
      </c>
      <c r="F88" s="105">
        <v>0.3888888888888889</v>
      </c>
      <c r="G88" s="93" t="s">
        <v>477</v>
      </c>
      <c r="H88" s="93" t="s">
        <v>478</v>
      </c>
      <c r="I88" s="96">
        <v>11.3</v>
      </c>
      <c r="J88" s="97" t="s">
        <v>93</v>
      </c>
      <c r="K88" s="98">
        <v>240</v>
      </c>
      <c r="L88" s="99" t="s">
        <v>735</v>
      </c>
      <c r="M88" s="152" t="s">
        <v>2004</v>
      </c>
      <c r="N88" s="152">
        <v>42</v>
      </c>
      <c r="O88" s="83" t="s">
        <v>904</v>
      </c>
      <c r="P88" s="83">
        <v>21</v>
      </c>
      <c r="Q88" s="83" t="s">
        <v>903</v>
      </c>
      <c r="R88" s="84">
        <v>24</v>
      </c>
      <c r="S88" s="26">
        <v>6120</v>
      </c>
      <c r="T88" s="26" t="s">
        <v>1314</v>
      </c>
      <c r="U88" s="26" t="s">
        <v>1354</v>
      </c>
      <c r="V88" s="26" t="s">
        <v>1355</v>
      </c>
      <c r="W88" s="63">
        <v>44816</v>
      </c>
      <c r="X88" s="63">
        <v>45100</v>
      </c>
      <c r="Y88" s="63"/>
      <c r="Z88" s="63"/>
      <c r="AA88" s="26" t="s">
        <v>1112</v>
      </c>
      <c r="AB88" s="23" t="s">
        <v>731</v>
      </c>
      <c r="AC88" s="23"/>
      <c r="AD88" s="23" t="s">
        <v>731</v>
      </c>
      <c r="AE88" s="23"/>
      <c r="AF88" s="23" t="s">
        <v>731</v>
      </c>
      <c r="AG88" s="23" t="s">
        <v>731</v>
      </c>
      <c r="AH88" s="23" t="s">
        <v>731</v>
      </c>
      <c r="AI88" s="23" t="s">
        <v>731</v>
      </c>
      <c r="AJ88" s="23" t="s">
        <v>731</v>
      </c>
      <c r="AK88" s="23" t="s">
        <v>731</v>
      </c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42">
        <v>33.9</v>
      </c>
      <c r="AW88" s="42"/>
      <c r="AY88" s="18"/>
      <c r="AZ88" s="18"/>
      <c r="BB88" s="45">
        <v>1</v>
      </c>
      <c r="BC88" s="41">
        <f>IF(AND((AV88/I88)&lt;2,BB88=1),(I88*2)-AV88,0)</f>
        <v>0</v>
      </c>
      <c r="BD88" s="41">
        <f>IF(AND((AV88/I88)&lt;3,BB88=2),(I88*3)-AV88,0)</f>
        <v>0</v>
      </c>
      <c r="BG88" s="18"/>
      <c r="BH88" s="18">
        <v>17</v>
      </c>
      <c r="BI88" s="18">
        <v>26</v>
      </c>
      <c r="BJ88" s="18">
        <v>25</v>
      </c>
      <c r="BK88" s="18">
        <v>25</v>
      </c>
      <c r="BL88" s="18">
        <v>25</v>
      </c>
      <c r="BM88" s="55">
        <f>SUM(AV88:AX88)+SUM(BC88:BD88)+SUM(BE88:BF88)+BG88</f>
        <v>33.9</v>
      </c>
      <c r="BN88" s="55"/>
      <c r="BO88" s="55"/>
      <c r="BP88" s="55"/>
      <c r="BQ88" s="55"/>
      <c r="BR88" s="55"/>
      <c r="BS88" s="55"/>
      <c r="BT88" s="55"/>
      <c r="BU88" s="55"/>
      <c r="BV88" s="55"/>
      <c r="BW88" s="55"/>
      <c r="BX88" s="55"/>
      <c r="BY88" s="55"/>
    </row>
    <row r="89" spans="2:77" ht="33.75">
      <c r="B89" s="89">
        <v>85</v>
      </c>
      <c r="C89" s="93">
        <v>621</v>
      </c>
      <c r="D89" s="93">
        <v>987</v>
      </c>
      <c r="E89" s="94">
        <v>0.3743055555555555</v>
      </c>
      <c r="F89" s="94">
        <v>0.3888888888888889</v>
      </c>
      <c r="G89" s="93" t="s">
        <v>477</v>
      </c>
      <c r="H89" s="93" t="s">
        <v>500</v>
      </c>
      <c r="I89" s="96">
        <v>11.3</v>
      </c>
      <c r="J89" s="97" t="s">
        <v>93</v>
      </c>
      <c r="K89" s="98">
        <v>67</v>
      </c>
      <c r="L89" s="99" t="s">
        <v>735</v>
      </c>
      <c r="M89" s="152" t="s">
        <v>2004</v>
      </c>
      <c r="N89" s="152">
        <v>42</v>
      </c>
      <c r="O89" s="83" t="s">
        <v>904</v>
      </c>
      <c r="P89" s="83">
        <v>21</v>
      </c>
      <c r="Q89" s="83" t="s">
        <v>903</v>
      </c>
      <c r="R89" s="84">
        <v>24</v>
      </c>
      <c r="S89" s="26">
        <v>6120</v>
      </c>
      <c r="T89" s="26" t="s">
        <v>1314</v>
      </c>
      <c r="U89" s="26" t="s">
        <v>1354</v>
      </c>
      <c r="V89" s="26" t="s">
        <v>1355</v>
      </c>
      <c r="W89" s="63">
        <v>44562</v>
      </c>
      <c r="X89" s="63">
        <v>44815</v>
      </c>
      <c r="Y89" s="63">
        <v>45101</v>
      </c>
      <c r="Z89" s="63">
        <v>45169</v>
      </c>
      <c r="AA89" s="23" t="s">
        <v>1107</v>
      </c>
      <c r="AB89" s="23"/>
      <c r="AC89" s="23" t="s">
        <v>731</v>
      </c>
      <c r="AD89" s="23" t="s">
        <v>731</v>
      </c>
      <c r="AE89" s="23"/>
      <c r="AF89" s="23" t="s">
        <v>731</v>
      </c>
      <c r="AG89" s="23" t="s">
        <v>731</v>
      </c>
      <c r="AH89" s="23" t="s">
        <v>731</v>
      </c>
      <c r="AI89" s="23" t="s">
        <v>731</v>
      </c>
      <c r="AJ89" s="23" t="s">
        <v>731</v>
      </c>
      <c r="AK89" s="23" t="s">
        <v>731</v>
      </c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42">
        <v>33.9</v>
      </c>
      <c r="AW89" s="42"/>
      <c r="AY89" s="18"/>
      <c r="AZ89" s="18"/>
      <c r="BB89" s="45">
        <v>1</v>
      </c>
      <c r="BC89" s="41">
        <f>IF(AND((AV89/I89)&lt;2,BB89=1),(I89*2)-AV89,0)</f>
        <v>0</v>
      </c>
      <c r="BD89" s="41">
        <f>IF(AND((AV89/I89)&lt;3,BB89=2),(I89*3)-AV89,0)</f>
        <v>0</v>
      </c>
      <c r="BG89" s="18"/>
      <c r="BH89" s="18">
        <v>9</v>
      </c>
      <c r="BI89" s="18">
        <v>0</v>
      </c>
      <c r="BJ89" s="18">
        <v>0</v>
      </c>
      <c r="BK89" s="18">
        <v>0</v>
      </c>
      <c r="BL89" s="18">
        <v>0</v>
      </c>
      <c r="BM89" s="55">
        <f>SUM(AV89:AX89)+SUM(BC89:BD89)+SUM(BE89:BF89)+BG89</f>
        <v>33.9</v>
      </c>
      <c r="BN89" s="55"/>
      <c r="BO89" s="55"/>
      <c r="BP89" s="55"/>
      <c r="BQ89" s="55"/>
      <c r="BR89" s="55"/>
      <c r="BS89" s="55"/>
      <c r="BT89" s="55"/>
      <c r="BU89" s="55"/>
      <c r="BV89" s="55"/>
      <c r="BW89" s="55"/>
      <c r="BX89" s="55"/>
      <c r="BY89" s="55"/>
    </row>
    <row r="90" spans="2:77" ht="25.5">
      <c r="B90" s="89">
        <v>86</v>
      </c>
      <c r="C90" s="93">
        <v>621</v>
      </c>
      <c r="D90" s="93">
        <v>968</v>
      </c>
      <c r="E90" s="94">
        <v>0.39305555555555555</v>
      </c>
      <c r="F90" s="94">
        <v>0.40972222222222227</v>
      </c>
      <c r="G90" s="93" t="s">
        <v>476</v>
      </c>
      <c r="H90" s="93" t="s">
        <v>500</v>
      </c>
      <c r="I90" s="96">
        <v>13.2</v>
      </c>
      <c r="J90" s="97" t="s">
        <v>93</v>
      </c>
      <c r="K90" s="98">
        <v>67</v>
      </c>
      <c r="L90" s="99" t="s">
        <v>735</v>
      </c>
      <c r="M90" s="152" t="s">
        <v>2004</v>
      </c>
      <c r="N90" s="152">
        <v>42</v>
      </c>
      <c r="O90" s="83" t="s">
        <v>904</v>
      </c>
      <c r="P90" s="83">
        <v>21</v>
      </c>
      <c r="Q90" s="83" t="s">
        <v>903</v>
      </c>
      <c r="R90" s="84">
        <v>24</v>
      </c>
      <c r="S90" s="26" t="s">
        <v>1352</v>
      </c>
      <c r="T90" s="26" t="s">
        <v>1353</v>
      </c>
      <c r="U90" s="26">
        <v>6120</v>
      </c>
      <c r="V90" s="26" t="s">
        <v>1314</v>
      </c>
      <c r="W90" s="63">
        <v>44562</v>
      </c>
      <c r="X90" s="63">
        <v>44815</v>
      </c>
      <c r="Y90" s="63">
        <v>45101</v>
      </c>
      <c r="Z90" s="63">
        <v>45169</v>
      </c>
      <c r="AA90" s="23" t="s">
        <v>1107</v>
      </c>
      <c r="AB90" s="23"/>
      <c r="AC90" s="23" t="s">
        <v>731</v>
      </c>
      <c r="AD90" s="23" t="s">
        <v>731</v>
      </c>
      <c r="AE90" s="23"/>
      <c r="AF90" s="23" t="s">
        <v>731</v>
      </c>
      <c r="AG90" s="23" t="s">
        <v>731</v>
      </c>
      <c r="AH90" s="23" t="s">
        <v>731</v>
      </c>
      <c r="AI90" s="23" t="s">
        <v>731</v>
      </c>
      <c r="AJ90" s="23" t="s">
        <v>731</v>
      </c>
      <c r="AK90" s="23" t="s">
        <v>731</v>
      </c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42">
        <v>39.6</v>
      </c>
      <c r="AW90" s="42"/>
      <c r="AY90" s="18"/>
      <c r="AZ90" s="18"/>
      <c r="BB90" s="45">
        <v>1</v>
      </c>
      <c r="BC90" s="41">
        <f>IF(AND((AV90/I90)&lt;2,BB90=1),(I90*2)-AV90,0)</f>
        <v>0</v>
      </c>
      <c r="BD90" s="41">
        <f>IF(AND((AV90/I90)&lt;3,BB90=2),(I90*3)-AV90,0)</f>
        <v>0</v>
      </c>
      <c r="BG90" s="18"/>
      <c r="BH90" s="18">
        <v>9</v>
      </c>
      <c r="BI90" s="18">
        <v>0</v>
      </c>
      <c r="BJ90" s="18">
        <v>0</v>
      </c>
      <c r="BK90" s="18">
        <v>0</v>
      </c>
      <c r="BL90" s="18">
        <v>0</v>
      </c>
      <c r="BM90" s="55">
        <f>SUM(AV90:AX90)+SUM(BC90:BD90)+SUM(BE90:BF90)+BG90</f>
        <v>39.6</v>
      </c>
      <c r="BN90" s="55"/>
      <c r="BO90" s="55"/>
      <c r="BP90" s="55"/>
      <c r="BQ90" s="55"/>
      <c r="BR90" s="55"/>
      <c r="BS90" s="55"/>
      <c r="BT90" s="55"/>
      <c r="BU90" s="55"/>
      <c r="BV90" s="55"/>
      <c r="BW90" s="55"/>
      <c r="BX90" s="55"/>
      <c r="BY90" s="55"/>
    </row>
    <row r="91" spans="2:77" ht="33.75">
      <c r="B91" s="89">
        <v>87</v>
      </c>
      <c r="C91" s="93">
        <v>621</v>
      </c>
      <c r="D91" s="93">
        <v>989</v>
      </c>
      <c r="E91" s="94">
        <v>0.49305555555555558</v>
      </c>
      <c r="F91" s="94">
        <v>0.50624999999999998</v>
      </c>
      <c r="G91" s="93" t="s">
        <v>477</v>
      </c>
      <c r="H91" s="93" t="s">
        <v>500</v>
      </c>
      <c r="I91" s="96">
        <v>11.3</v>
      </c>
      <c r="J91" s="97" t="s">
        <v>93</v>
      </c>
      <c r="K91" s="98">
        <v>67</v>
      </c>
      <c r="L91" s="99" t="s">
        <v>735</v>
      </c>
      <c r="M91" s="152" t="s">
        <v>2004</v>
      </c>
      <c r="N91" s="152">
        <v>42</v>
      </c>
      <c r="O91" s="83" t="s">
        <v>904</v>
      </c>
      <c r="P91" s="83">
        <v>21</v>
      </c>
      <c r="Q91" s="83" t="s">
        <v>903</v>
      </c>
      <c r="R91" s="84">
        <v>24</v>
      </c>
      <c r="S91" s="26">
        <v>6120</v>
      </c>
      <c r="T91" s="26" t="s">
        <v>1314</v>
      </c>
      <c r="U91" s="26" t="s">
        <v>1352</v>
      </c>
      <c r="V91" s="26" t="s">
        <v>1353</v>
      </c>
      <c r="W91" s="63">
        <v>44562</v>
      </c>
      <c r="X91" s="63">
        <v>44815</v>
      </c>
      <c r="Y91" s="63">
        <v>45101</v>
      </c>
      <c r="Z91" s="63">
        <v>45169</v>
      </c>
      <c r="AA91" s="23" t="s">
        <v>1107</v>
      </c>
      <c r="AB91" s="23"/>
      <c r="AC91" s="23" t="s">
        <v>731</v>
      </c>
      <c r="AD91" s="23" t="s">
        <v>731</v>
      </c>
      <c r="AE91" s="23"/>
      <c r="AF91" s="23" t="s">
        <v>731</v>
      </c>
      <c r="AG91" s="23" t="s">
        <v>731</v>
      </c>
      <c r="AH91" s="23" t="s">
        <v>731</v>
      </c>
      <c r="AI91" s="23" t="s">
        <v>731</v>
      </c>
      <c r="AJ91" s="23" t="s">
        <v>731</v>
      </c>
      <c r="AK91" s="23" t="s">
        <v>731</v>
      </c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42">
        <v>33.9</v>
      </c>
      <c r="AW91" s="42"/>
      <c r="AY91" s="18"/>
      <c r="AZ91" s="18"/>
      <c r="BB91" s="45">
        <v>1</v>
      </c>
      <c r="BC91" s="41">
        <f>IF(AND((AV91/I91)&lt;2,BB91=1),(I91*2)-AV91,0)</f>
        <v>0</v>
      </c>
      <c r="BD91" s="41">
        <f>IF(AND((AV91/I91)&lt;3,BB91=2),(I91*3)-AV91,0)</f>
        <v>0</v>
      </c>
      <c r="BG91" s="18"/>
      <c r="BH91" s="18">
        <v>9</v>
      </c>
      <c r="BI91" s="18">
        <v>0</v>
      </c>
      <c r="BJ91" s="18">
        <v>0</v>
      </c>
      <c r="BK91" s="18">
        <v>0</v>
      </c>
      <c r="BL91" s="18">
        <v>0</v>
      </c>
      <c r="BM91" s="55">
        <f>SUM(AV91:AX91)+SUM(BC91:BD91)+SUM(BE91:BF91)+BG91</f>
        <v>33.9</v>
      </c>
      <c r="BN91" s="55"/>
      <c r="BO91" s="55"/>
      <c r="BP91" s="55"/>
      <c r="BQ91" s="55"/>
      <c r="BR91" s="55"/>
      <c r="BS91" s="55"/>
      <c r="BT91" s="55"/>
      <c r="BU91" s="55"/>
      <c r="BV91" s="55"/>
      <c r="BW91" s="55"/>
      <c r="BX91" s="55"/>
      <c r="BY91" s="55"/>
    </row>
    <row r="92" spans="2:77" ht="25.5">
      <c r="B92" s="89">
        <v>88</v>
      </c>
      <c r="C92" s="93">
        <v>621</v>
      </c>
      <c r="D92" s="93">
        <v>970</v>
      </c>
      <c r="E92" s="94">
        <v>0.70138888888888884</v>
      </c>
      <c r="F92" s="105">
        <v>0.71805555555555556</v>
      </c>
      <c r="G92" s="93" t="s">
        <v>476</v>
      </c>
      <c r="H92" s="93" t="s">
        <v>478</v>
      </c>
      <c r="I92" s="96">
        <v>13.2</v>
      </c>
      <c r="J92" s="97" t="s">
        <v>93</v>
      </c>
      <c r="K92" s="98">
        <v>240</v>
      </c>
      <c r="L92" s="99" t="s">
        <v>735</v>
      </c>
      <c r="M92" s="152" t="s">
        <v>2004</v>
      </c>
      <c r="N92" s="152">
        <v>42</v>
      </c>
      <c r="O92" s="83" t="s">
        <v>1933</v>
      </c>
      <c r="P92" s="83">
        <v>24</v>
      </c>
      <c r="R92" s="83"/>
      <c r="S92" s="26" t="s">
        <v>1352</v>
      </c>
      <c r="T92" s="26" t="s">
        <v>1353</v>
      </c>
      <c r="U92" s="26">
        <v>6120</v>
      </c>
      <c r="V92" s="26" t="s">
        <v>1314</v>
      </c>
      <c r="W92" s="63">
        <v>44816</v>
      </c>
      <c r="X92" s="63">
        <v>45100</v>
      </c>
      <c r="Y92" s="63"/>
      <c r="Z92" s="63"/>
      <c r="AA92" s="26" t="s">
        <v>1112</v>
      </c>
      <c r="AB92" s="23" t="s">
        <v>731</v>
      </c>
      <c r="AC92" s="23"/>
      <c r="AD92" s="23" t="s">
        <v>731</v>
      </c>
      <c r="AE92" s="23"/>
      <c r="AF92" s="23" t="s">
        <v>731</v>
      </c>
      <c r="AG92" s="23" t="s">
        <v>731</v>
      </c>
      <c r="AH92" s="23" t="s">
        <v>731</v>
      </c>
      <c r="AI92" s="23" t="s">
        <v>731</v>
      </c>
      <c r="AJ92" s="23" t="s">
        <v>731</v>
      </c>
      <c r="AK92" s="23" t="s">
        <v>731</v>
      </c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42">
        <v>39.6</v>
      </c>
      <c r="AW92" s="42"/>
      <c r="AY92" s="18"/>
      <c r="AZ92" s="18"/>
      <c r="BB92" s="45">
        <v>1</v>
      </c>
      <c r="BC92" s="41">
        <f>IF(AND((AV92/I92)&lt;2,BB92=1),(I92*2)-AV92,0)</f>
        <v>0</v>
      </c>
      <c r="BD92" s="41">
        <f>IF(AND((AV92/I92)&lt;3,BB92=2),(I92*3)-AV92,0)</f>
        <v>0</v>
      </c>
      <c r="BG92" s="18"/>
      <c r="BH92" s="18">
        <v>17</v>
      </c>
      <c r="BI92" s="18">
        <v>26</v>
      </c>
      <c r="BJ92" s="18">
        <v>25</v>
      </c>
      <c r="BK92" s="18">
        <v>25</v>
      </c>
      <c r="BL92" s="18">
        <v>25</v>
      </c>
      <c r="BM92" s="55">
        <f>SUM(AV92:AX92)+SUM(BC92:BD92)+SUM(BE92:BF92)+BG92</f>
        <v>39.6</v>
      </c>
      <c r="BN92" s="55"/>
      <c r="BO92" s="55"/>
      <c r="BP92" s="55"/>
      <c r="BQ92" s="55"/>
      <c r="BR92" s="55"/>
      <c r="BS92" s="55"/>
      <c r="BT92" s="55"/>
      <c r="BU92" s="55"/>
      <c r="BV92" s="55"/>
      <c r="BW92" s="55"/>
      <c r="BX92" s="55"/>
      <c r="BY92" s="55"/>
    </row>
    <row r="93" spans="2:77" ht="25.5">
      <c r="B93" s="89">
        <v>89</v>
      </c>
      <c r="C93" s="93">
        <v>621</v>
      </c>
      <c r="D93" s="93">
        <v>970</v>
      </c>
      <c r="E93" s="94">
        <v>0.7055555555555556</v>
      </c>
      <c r="F93" s="94">
        <v>0.72222222222222221</v>
      </c>
      <c r="G93" s="93" t="s">
        <v>476</v>
      </c>
      <c r="H93" s="93" t="s">
        <v>500</v>
      </c>
      <c r="I93" s="96">
        <v>13.2</v>
      </c>
      <c r="J93" s="97" t="s">
        <v>93</v>
      </c>
      <c r="K93" s="98">
        <v>67</v>
      </c>
      <c r="L93" s="99" t="s">
        <v>735</v>
      </c>
      <c r="M93" s="152" t="s">
        <v>2004</v>
      </c>
      <c r="N93" s="152">
        <v>42</v>
      </c>
      <c r="O93" s="83" t="s">
        <v>904</v>
      </c>
      <c r="P93" s="83">
        <v>21</v>
      </c>
      <c r="Q93" s="83" t="s">
        <v>903</v>
      </c>
      <c r="R93" s="84">
        <v>24</v>
      </c>
      <c r="S93" s="26" t="s">
        <v>1352</v>
      </c>
      <c r="T93" s="26" t="s">
        <v>1353</v>
      </c>
      <c r="U93" s="26">
        <v>6120</v>
      </c>
      <c r="V93" s="26" t="s">
        <v>1314</v>
      </c>
      <c r="W93" s="63">
        <v>44562</v>
      </c>
      <c r="X93" s="63">
        <v>44815</v>
      </c>
      <c r="Y93" s="63">
        <v>45101</v>
      </c>
      <c r="Z93" s="63">
        <v>45169</v>
      </c>
      <c r="AA93" s="23" t="s">
        <v>1107</v>
      </c>
      <c r="AB93" s="23"/>
      <c r="AC93" s="23" t="s">
        <v>731</v>
      </c>
      <c r="AD93" s="23" t="s">
        <v>731</v>
      </c>
      <c r="AE93" s="23"/>
      <c r="AF93" s="23" t="s">
        <v>731</v>
      </c>
      <c r="AG93" s="23" t="s">
        <v>731</v>
      </c>
      <c r="AH93" s="23" t="s">
        <v>731</v>
      </c>
      <c r="AI93" s="23" t="s">
        <v>731</v>
      </c>
      <c r="AJ93" s="23" t="s">
        <v>731</v>
      </c>
      <c r="AK93" s="23" t="s">
        <v>731</v>
      </c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42">
        <v>39.6</v>
      </c>
      <c r="AW93" s="42"/>
      <c r="AY93" s="18"/>
      <c r="AZ93" s="18"/>
      <c r="BB93" s="45">
        <v>1</v>
      </c>
      <c r="BC93" s="41">
        <f>IF(AND((AV93/I93)&lt;2,BB93=1),(I93*2)-AV93,0)</f>
        <v>0</v>
      </c>
      <c r="BD93" s="41">
        <f>IF(AND((AV93/I93)&lt;3,BB93=2),(I93*3)-AV93,0)</f>
        <v>0</v>
      </c>
      <c r="BG93" s="18"/>
      <c r="BH93" s="18">
        <v>9</v>
      </c>
      <c r="BI93" s="18">
        <v>0</v>
      </c>
      <c r="BJ93" s="18">
        <v>0</v>
      </c>
      <c r="BK93" s="18">
        <v>0</v>
      </c>
      <c r="BL93" s="18">
        <v>0</v>
      </c>
      <c r="BM93" s="55">
        <f>SUM(AV93:AX93)+SUM(BC93:BD93)+SUM(BE93:BF93)+BG93</f>
        <v>39.6</v>
      </c>
      <c r="BN93" s="55"/>
      <c r="BO93" s="55"/>
      <c r="BP93" s="55"/>
      <c r="BQ93" s="55"/>
      <c r="BR93" s="55"/>
      <c r="BS93" s="55"/>
      <c r="BT93" s="55"/>
      <c r="BU93" s="55"/>
      <c r="BV93" s="55"/>
      <c r="BW93" s="55"/>
      <c r="BX93" s="55"/>
      <c r="BY93" s="55"/>
    </row>
    <row r="94" spans="2:77" ht="33.75">
      <c r="B94" s="89">
        <v>90</v>
      </c>
      <c r="C94" s="93">
        <v>621</v>
      </c>
      <c r="D94" s="93">
        <v>991</v>
      </c>
      <c r="E94" s="94">
        <v>0.72916666666666663</v>
      </c>
      <c r="F94" s="105">
        <v>0.74236111111111114</v>
      </c>
      <c r="G94" s="93" t="s">
        <v>477</v>
      </c>
      <c r="H94" s="93" t="s">
        <v>478</v>
      </c>
      <c r="I94" s="96">
        <v>11.3</v>
      </c>
      <c r="J94" s="97" t="s">
        <v>93</v>
      </c>
      <c r="K94" s="98">
        <v>240</v>
      </c>
      <c r="L94" s="99" t="s">
        <v>735</v>
      </c>
      <c r="M94" s="152" t="s">
        <v>2004</v>
      </c>
      <c r="N94" s="152">
        <v>42</v>
      </c>
      <c r="O94" s="83" t="s">
        <v>904</v>
      </c>
      <c r="P94" s="83">
        <v>21</v>
      </c>
      <c r="R94" s="83"/>
      <c r="S94" s="26">
        <v>6120</v>
      </c>
      <c r="T94" s="26" t="s">
        <v>1314</v>
      </c>
      <c r="U94" s="26" t="s">
        <v>1352</v>
      </c>
      <c r="V94" s="26" t="s">
        <v>1353</v>
      </c>
      <c r="W94" s="63">
        <v>44816</v>
      </c>
      <c r="X94" s="63">
        <v>45100</v>
      </c>
      <c r="Y94" s="63"/>
      <c r="Z94" s="63"/>
      <c r="AA94" s="26" t="s">
        <v>1112</v>
      </c>
      <c r="AB94" s="23" t="s">
        <v>731</v>
      </c>
      <c r="AC94" s="23"/>
      <c r="AD94" s="23" t="s">
        <v>731</v>
      </c>
      <c r="AE94" s="23"/>
      <c r="AF94" s="23" t="s">
        <v>731</v>
      </c>
      <c r="AG94" s="23" t="s">
        <v>731</v>
      </c>
      <c r="AH94" s="23" t="s">
        <v>731</v>
      </c>
      <c r="AI94" s="23" t="s">
        <v>731</v>
      </c>
      <c r="AJ94" s="23" t="s">
        <v>731</v>
      </c>
      <c r="AK94" s="23" t="s">
        <v>731</v>
      </c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42">
        <v>33.9</v>
      </c>
      <c r="AW94" s="42"/>
      <c r="AY94" s="18"/>
      <c r="AZ94" s="18"/>
      <c r="BB94" s="45">
        <v>1</v>
      </c>
      <c r="BC94" s="41">
        <f>IF(AND((AV94/I94)&lt;2,BB94=1),(I94*2)-AV94,0)</f>
        <v>0</v>
      </c>
      <c r="BD94" s="41">
        <f>IF(AND((AV94/I94)&lt;3,BB94=2),(I94*3)-AV94,0)</f>
        <v>0</v>
      </c>
      <c r="BG94" s="18"/>
      <c r="BH94" s="18">
        <v>17</v>
      </c>
      <c r="BI94" s="18">
        <v>26</v>
      </c>
      <c r="BJ94" s="18">
        <v>25</v>
      </c>
      <c r="BK94" s="18">
        <v>25</v>
      </c>
      <c r="BL94" s="18">
        <v>25</v>
      </c>
      <c r="BM94" s="55">
        <f>SUM(AV94:AX94)+SUM(BC94:BD94)+SUM(BE94:BF94)+BG94</f>
        <v>33.9</v>
      </c>
      <c r="BN94" s="55"/>
      <c r="BO94" s="55"/>
      <c r="BP94" s="55"/>
      <c r="BQ94" s="55"/>
      <c r="BR94" s="55"/>
      <c r="BS94" s="55"/>
      <c r="BT94" s="55"/>
      <c r="BU94" s="55"/>
      <c r="BV94" s="55"/>
      <c r="BW94" s="55"/>
      <c r="BX94" s="55"/>
      <c r="BY94" s="55"/>
    </row>
    <row r="95" spans="2:77" ht="33.75">
      <c r="B95" s="89">
        <v>91</v>
      </c>
      <c r="C95" s="101">
        <v>634</v>
      </c>
      <c r="D95" s="101">
        <v>537</v>
      </c>
      <c r="E95" s="102">
        <v>0.3611111111111111</v>
      </c>
      <c r="F95" s="102">
        <v>0.38472222222222219</v>
      </c>
      <c r="G95" s="103" t="s">
        <v>65</v>
      </c>
      <c r="H95" s="93" t="s">
        <v>443</v>
      </c>
      <c r="I95" s="101">
        <v>20</v>
      </c>
      <c r="J95" s="104">
        <v>19</v>
      </c>
      <c r="K95" s="98">
        <v>47</v>
      </c>
      <c r="L95" s="109" t="s">
        <v>783</v>
      </c>
      <c r="M95" s="83" t="s">
        <v>925</v>
      </c>
      <c r="N95" s="83">
        <v>21</v>
      </c>
      <c r="O95" s="83" t="s">
        <v>1865</v>
      </c>
      <c r="P95" s="83">
        <v>31</v>
      </c>
      <c r="Q95" s="83"/>
      <c r="R95" s="83"/>
      <c r="S95" s="26">
        <v>6755</v>
      </c>
      <c r="T95" s="26" t="s">
        <v>1356</v>
      </c>
      <c r="U95" s="26">
        <v>6220</v>
      </c>
      <c r="V95" s="26" t="s">
        <v>1357</v>
      </c>
      <c r="W95" s="63">
        <v>44816</v>
      </c>
      <c r="X95" s="63">
        <v>45100</v>
      </c>
      <c r="Y95" s="63"/>
      <c r="Z95" s="63"/>
      <c r="AA95" s="27" t="s">
        <v>1103</v>
      </c>
      <c r="AB95" s="23" t="s">
        <v>731</v>
      </c>
      <c r="AC95" s="23"/>
      <c r="AD95" s="23"/>
      <c r="AE95" s="23"/>
      <c r="AF95" s="23"/>
      <c r="AG95" s="23"/>
      <c r="AH95" s="23"/>
      <c r="AI95" s="23"/>
      <c r="AJ95" s="23"/>
      <c r="AK95" s="23"/>
      <c r="AL95" s="23" t="s">
        <v>731</v>
      </c>
      <c r="AM95" s="17"/>
      <c r="AN95" s="17"/>
      <c r="AO95" s="17"/>
      <c r="AP95" s="23"/>
      <c r="AQ95" s="23"/>
      <c r="AR95" s="23"/>
      <c r="AS95" s="23"/>
      <c r="AT95" s="23"/>
      <c r="AU95" s="23"/>
      <c r="AX95" s="40"/>
      <c r="AY95" s="20" t="s">
        <v>779</v>
      </c>
      <c r="AZ95" s="20"/>
      <c r="BA95" s="40"/>
      <c r="BB95" s="45">
        <v>1</v>
      </c>
      <c r="BD95" s="41"/>
      <c r="BG95" s="18"/>
      <c r="BH95" s="18">
        <v>2</v>
      </c>
      <c r="BI95" s="18">
        <v>5</v>
      </c>
      <c r="BJ95" s="18">
        <v>5</v>
      </c>
      <c r="BK95" s="18">
        <v>6</v>
      </c>
      <c r="BL95" s="18">
        <v>6</v>
      </c>
      <c r="BM95" s="55">
        <f>SUM(AV95:AX95)+SUM(BC95:BD95)+SUM(BE95:BF95)+BG95</f>
        <v>0</v>
      </c>
      <c r="BN95" s="55" t="s">
        <v>1838</v>
      </c>
      <c r="BO95" s="77">
        <v>1</v>
      </c>
      <c r="BP95" s="77"/>
      <c r="BQ95" s="77">
        <v>1</v>
      </c>
      <c r="BR95" s="77"/>
      <c r="BS95" s="77">
        <v>1</v>
      </c>
      <c r="BT95" s="77"/>
      <c r="BU95" s="77">
        <v>1</v>
      </c>
      <c r="BV95" s="77"/>
      <c r="BW95" s="77">
        <v>1</v>
      </c>
      <c r="BX95" s="77"/>
      <c r="BY95" s="55">
        <v>1666.6666666666667</v>
      </c>
    </row>
    <row r="96" spans="2:77" ht="33.75">
      <c r="B96" s="89">
        <v>92</v>
      </c>
      <c r="C96" s="101">
        <v>634</v>
      </c>
      <c r="D96" s="101">
        <v>535</v>
      </c>
      <c r="E96" s="102">
        <v>0.3611111111111111</v>
      </c>
      <c r="F96" s="102">
        <v>0.38472222222222219</v>
      </c>
      <c r="G96" s="103" t="s">
        <v>65</v>
      </c>
      <c r="H96" s="93" t="s">
        <v>549</v>
      </c>
      <c r="I96" s="101">
        <v>20</v>
      </c>
      <c r="J96" s="104">
        <v>19</v>
      </c>
      <c r="K96" s="98">
        <v>13</v>
      </c>
      <c r="L96" s="109" t="s">
        <v>783</v>
      </c>
      <c r="M96" s="83" t="s">
        <v>925</v>
      </c>
      <c r="N96" s="83">
        <v>21</v>
      </c>
      <c r="O96" s="83" t="s">
        <v>1865</v>
      </c>
      <c r="P96" s="83">
        <v>31</v>
      </c>
      <c r="Q96" s="83"/>
      <c r="R96" s="83"/>
      <c r="S96" s="26">
        <v>6755</v>
      </c>
      <c r="T96" s="26" t="s">
        <v>1356</v>
      </c>
      <c r="U96" s="26">
        <v>6220</v>
      </c>
      <c r="V96" s="26" t="s">
        <v>1357</v>
      </c>
      <c r="W96" s="63">
        <v>44562</v>
      </c>
      <c r="X96" s="63">
        <v>44815</v>
      </c>
      <c r="Y96" s="63">
        <v>45101</v>
      </c>
      <c r="Z96" s="63">
        <v>45169</v>
      </c>
      <c r="AA96" s="17" t="s">
        <v>1104</v>
      </c>
      <c r="AB96" s="17"/>
      <c r="AC96" s="23" t="s">
        <v>731</v>
      </c>
      <c r="AD96" s="23"/>
      <c r="AE96" s="23"/>
      <c r="AF96" s="23"/>
      <c r="AG96" s="23"/>
      <c r="AH96" s="23"/>
      <c r="AI96" s="23"/>
      <c r="AJ96" s="23"/>
      <c r="AK96" s="23"/>
      <c r="AL96" s="23" t="s">
        <v>731</v>
      </c>
      <c r="AM96" s="17"/>
      <c r="AN96" s="17"/>
      <c r="AO96" s="17"/>
      <c r="AP96" s="23"/>
      <c r="AQ96" s="23"/>
      <c r="AR96" s="23"/>
      <c r="AS96" s="23"/>
      <c r="AT96" s="23"/>
      <c r="AU96" s="23"/>
      <c r="AX96" s="40"/>
      <c r="AY96" s="20" t="s">
        <v>779</v>
      </c>
      <c r="AZ96" s="20"/>
      <c r="BA96" s="40"/>
      <c r="BB96" s="45">
        <v>1</v>
      </c>
      <c r="BD96" s="41"/>
      <c r="BG96" s="18"/>
      <c r="BH96" s="18">
        <v>2</v>
      </c>
      <c r="BI96" s="18">
        <v>0</v>
      </c>
      <c r="BJ96" s="18">
        <v>0</v>
      </c>
      <c r="BK96" s="18">
        <v>0</v>
      </c>
      <c r="BL96" s="18">
        <v>0</v>
      </c>
      <c r="BM96" s="55">
        <f>SUM(AV96:AX96)+SUM(BC96:BD96)+SUM(BE96:BF96)+BG96</f>
        <v>0</v>
      </c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55"/>
      <c r="BY96" s="55"/>
    </row>
    <row r="97" spans="1:77" ht="33.75">
      <c r="B97" s="89">
        <v>93</v>
      </c>
      <c r="C97" s="101">
        <v>634</v>
      </c>
      <c r="D97" s="101">
        <v>532</v>
      </c>
      <c r="E97" s="102">
        <v>0.40277777777777773</v>
      </c>
      <c r="F97" s="102">
        <v>0.44444444444444442</v>
      </c>
      <c r="G97" s="103" t="s">
        <v>67</v>
      </c>
      <c r="H97" s="93" t="s">
        <v>549</v>
      </c>
      <c r="I97" s="101">
        <v>28</v>
      </c>
      <c r="J97" s="104">
        <v>19</v>
      </c>
      <c r="K97" s="98">
        <v>13</v>
      </c>
      <c r="L97" s="109" t="s">
        <v>783</v>
      </c>
      <c r="M97" s="83" t="s">
        <v>925</v>
      </c>
      <c r="N97" s="83">
        <v>21</v>
      </c>
      <c r="O97" s="83" t="s">
        <v>1865</v>
      </c>
      <c r="P97" s="83">
        <v>31</v>
      </c>
      <c r="Q97" s="83"/>
      <c r="R97" s="83"/>
      <c r="S97" s="26">
        <v>6220</v>
      </c>
      <c r="T97" s="26" t="s">
        <v>1357</v>
      </c>
      <c r="U97" s="26">
        <v>6755</v>
      </c>
      <c r="V97" s="26" t="s">
        <v>1356</v>
      </c>
      <c r="W97" s="63">
        <v>44562</v>
      </c>
      <c r="X97" s="63">
        <v>44815</v>
      </c>
      <c r="Y97" s="63">
        <v>45101</v>
      </c>
      <c r="Z97" s="63">
        <v>45169</v>
      </c>
      <c r="AA97" s="17" t="s">
        <v>1104</v>
      </c>
      <c r="AB97" s="17"/>
      <c r="AC97" s="23" t="s">
        <v>731</v>
      </c>
      <c r="AD97" s="23"/>
      <c r="AE97" s="23"/>
      <c r="AF97" s="23"/>
      <c r="AG97" s="23"/>
      <c r="AH97" s="23"/>
      <c r="AI97" s="23"/>
      <c r="AJ97" s="23"/>
      <c r="AK97" s="23"/>
      <c r="AL97" s="23" t="s">
        <v>731</v>
      </c>
      <c r="AM97" s="17"/>
      <c r="AN97" s="17"/>
      <c r="AO97" s="17"/>
      <c r="AP97" s="23"/>
      <c r="AQ97" s="23"/>
      <c r="AR97" s="23"/>
      <c r="AS97" s="23"/>
      <c r="AT97" s="23"/>
      <c r="AU97" s="23"/>
      <c r="AX97" s="40"/>
      <c r="AY97" s="20" t="s">
        <v>779</v>
      </c>
      <c r="AZ97" s="20"/>
      <c r="BA97" s="40"/>
      <c r="BB97" s="45">
        <v>1</v>
      </c>
      <c r="BD97" s="41"/>
      <c r="BG97" s="18"/>
      <c r="BH97" s="18">
        <v>2</v>
      </c>
      <c r="BI97" s="18">
        <v>0</v>
      </c>
      <c r="BJ97" s="18">
        <v>0</v>
      </c>
      <c r="BK97" s="18">
        <v>0</v>
      </c>
      <c r="BL97" s="18">
        <v>0</v>
      </c>
      <c r="BM97" s="55">
        <f>SUM(AV97:AX97)+SUM(BC97:BD97)+SUM(BE97:BF97)+BG97</f>
        <v>0</v>
      </c>
      <c r="BN97" s="55"/>
      <c r="BO97" s="55"/>
      <c r="BP97" s="55"/>
      <c r="BQ97" s="55"/>
      <c r="BR97" s="55"/>
      <c r="BS97" s="55"/>
      <c r="BT97" s="55"/>
      <c r="BU97" s="55"/>
      <c r="BV97" s="55"/>
      <c r="BW97" s="55"/>
      <c r="BX97" s="55"/>
      <c r="BY97" s="55"/>
    </row>
    <row r="98" spans="1:77" ht="33.75">
      <c r="B98" s="89">
        <v>94</v>
      </c>
      <c r="C98" s="101">
        <v>634</v>
      </c>
      <c r="D98" s="101">
        <v>530</v>
      </c>
      <c r="E98" s="102">
        <v>0.40277777777777773</v>
      </c>
      <c r="F98" s="102">
        <v>0.44444444444444442</v>
      </c>
      <c r="G98" s="103" t="s">
        <v>67</v>
      </c>
      <c r="H98" s="93" t="s">
        <v>443</v>
      </c>
      <c r="I98" s="101">
        <v>28</v>
      </c>
      <c r="J98" s="104">
        <v>19</v>
      </c>
      <c r="K98" s="98">
        <v>47</v>
      </c>
      <c r="L98" s="109" t="s">
        <v>783</v>
      </c>
      <c r="M98" s="83" t="s">
        <v>925</v>
      </c>
      <c r="N98" s="83">
        <v>21</v>
      </c>
      <c r="O98" s="83" t="s">
        <v>1865</v>
      </c>
      <c r="P98" s="83">
        <v>31</v>
      </c>
      <c r="Q98" s="83"/>
      <c r="R98" s="83"/>
      <c r="S98" s="26">
        <v>6220</v>
      </c>
      <c r="T98" s="26" t="s">
        <v>1357</v>
      </c>
      <c r="U98" s="26">
        <v>6755</v>
      </c>
      <c r="V98" s="26" t="s">
        <v>1356</v>
      </c>
      <c r="W98" s="63">
        <v>44816</v>
      </c>
      <c r="X98" s="63">
        <v>45100</v>
      </c>
      <c r="Y98" s="63"/>
      <c r="Z98" s="63"/>
      <c r="AA98" s="27" t="s">
        <v>1103</v>
      </c>
      <c r="AB98" s="23" t="s">
        <v>731</v>
      </c>
      <c r="AC98" s="23"/>
      <c r="AD98" s="23"/>
      <c r="AE98" s="23"/>
      <c r="AF98" s="23"/>
      <c r="AG98" s="23"/>
      <c r="AH98" s="23"/>
      <c r="AI98" s="23"/>
      <c r="AJ98" s="23"/>
      <c r="AK98" s="23"/>
      <c r="AL98" s="23" t="s">
        <v>731</v>
      </c>
      <c r="AM98" s="17"/>
      <c r="AN98" s="17"/>
      <c r="AO98" s="17"/>
      <c r="AP98" s="23"/>
      <c r="AQ98" s="23"/>
      <c r="AR98" s="23"/>
      <c r="AS98" s="23"/>
      <c r="AT98" s="23"/>
      <c r="AU98" s="23"/>
      <c r="AX98" s="40"/>
      <c r="AY98" s="20" t="s">
        <v>779</v>
      </c>
      <c r="AZ98" s="20"/>
      <c r="BA98" s="40"/>
      <c r="BB98" s="45">
        <v>1</v>
      </c>
      <c r="BD98" s="41"/>
      <c r="BG98" s="18"/>
      <c r="BH98" s="18">
        <v>2</v>
      </c>
      <c r="BI98" s="18">
        <v>5</v>
      </c>
      <c r="BJ98" s="18">
        <v>5</v>
      </c>
      <c r="BK98" s="18">
        <v>6</v>
      </c>
      <c r="BL98" s="18">
        <v>6</v>
      </c>
      <c r="BM98" s="55">
        <f>SUM(AV98:AX98)+SUM(BC98:BD98)+SUM(BE98:BF98)+BG98</f>
        <v>0</v>
      </c>
      <c r="BN98" s="55"/>
      <c r="BO98" s="55"/>
      <c r="BP98" s="55"/>
      <c r="BQ98" s="55"/>
      <c r="BR98" s="55"/>
      <c r="BS98" s="55"/>
      <c r="BT98" s="55"/>
      <c r="BU98" s="55"/>
      <c r="BV98" s="55"/>
      <c r="BW98" s="55"/>
      <c r="BX98" s="55"/>
      <c r="BY98" s="55"/>
    </row>
    <row r="99" spans="1:77" ht="33.75">
      <c r="B99" s="89">
        <v>95</v>
      </c>
      <c r="C99" s="101">
        <v>634</v>
      </c>
      <c r="D99" s="101">
        <v>539</v>
      </c>
      <c r="E99" s="102">
        <v>0.51388888888888895</v>
      </c>
      <c r="F99" s="102">
        <v>0.55138888888888882</v>
      </c>
      <c r="G99" s="103" t="s">
        <v>69</v>
      </c>
      <c r="H99" s="93" t="s">
        <v>443</v>
      </c>
      <c r="I99" s="101">
        <v>28</v>
      </c>
      <c r="J99" s="104">
        <v>19</v>
      </c>
      <c r="K99" s="98">
        <v>47</v>
      </c>
      <c r="L99" s="109" t="s">
        <v>783</v>
      </c>
      <c r="M99" s="83" t="s">
        <v>925</v>
      </c>
      <c r="N99" s="83">
        <v>21</v>
      </c>
      <c r="O99" s="83" t="s">
        <v>1865</v>
      </c>
      <c r="P99" s="83">
        <v>31</v>
      </c>
      <c r="Q99" s="83"/>
      <c r="R99" s="83"/>
      <c r="S99" s="26">
        <v>6755</v>
      </c>
      <c r="T99" s="26" t="s">
        <v>1356</v>
      </c>
      <c r="U99" s="26">
        <v>6220</v>
      </c>
      <c r="V99" s="26" t="s">
        <v>1357</v>
      </c>
      <c r="W99" s="63">
        <v>44816</v>
      </c>
      <c r="X99" s="63">
        <v>45100</v>
      </c>
      <c r="Y99" s="63"/>
      <c r="Z99" s="63"/>
      <c r="AA99" s="27" t="s">
        <v>1103</v>
      </c>
      <c r="AB99" s="23" t="s">
        <v>731</v>
      </c>
      <c r="AC99" s="23"/>
      <c r="AD99" s="23"/>
      <c r="AE99" s="23"/>
      <c r="AF99" s="23"/>
      <c r="AG99" s="23"/>
      <c r="AH99" s="23"/>
      <c r="AI99" s="23"/>
      <c r="AJ99" s="23"/>
      <c r="AK99" s="23"/>
      <c r="AL99" s="23" t="s">
        <v>731</v>
      </c>
      <c r="AM99" s="17"/>
      <c r="AN99" s="17"/>
      <c r="AO99" s="17"/>
      <c r="AP99" s="23"/>
      <c r="AQ99" s="23"/>
      <c r="AR99" s="23"/>
      <c r="AS99" s="23"/>
      <c r="AT99" s="23"/>
      <c r="AU99" s="23"/>
      <c r="AX99" s="40"/>
      <c r="AY99" s="20" t="s">
        <v>779</v>
      </c>
      <c r="AZ99" s="20"/>
      <c r="BA99" s="40"/>
      <c r="BB99" s="45">
        <v>1</v>
      </c>
      <c r="BD99" s="41"/>
      <c r="BG99" s="18"/>
      <c r="BH99" s="18">
        <v>2</v>
      </c>
      <c r="BI99" s="18">
        <v>5</v>
      </c>
      <c r="BJ99" s="18">
        <v>5</v>
      </c>
      <c r="BK99" s="18">
        <v>6</v>
      </c>
      <c r="BL99" s="18">
        <v>6</v>
      </c>
      <c r="BM99" s="55">
        <f>SUM(AV99:AX99)+SUM(BC99:BD99)+SUM(BE99:BF99)+BG99</f>
        <v>0</v>
      </c>
      <c r="BN99" s="55"/>
      <c r="BO99" s="55"/>
      <c r="BP99" s="55"/>
      <c r="BQ99" s="55"/>
      <c r="BR99" s="55"/>
      <c r="BS99" s="55"/>
      <c r="BT99" s="55"/>
      <c r="BU99" s="55"/>
      <c r="BV99" s="55"/>
      <c r="BW99" s="55"/>
      <c r="BX99" s="55"/>
      <c r="BY99" s="55"/>
    </row>
    <row r="100" spans="1:77" ht="33.75">
      <c r="B100" s="89">
        <v>96</v>
      </c>
      <c r="C100" s="101">
        <v>634</v>
      </c>
      <c r="D100" s="101">
        <v>539</v>
      </c>
      <c r="E100" s="102">
        <v>0.51736111111111105</v>
      </c>
      <c r="F100" s="102">
        <v>0.55486111111111114</v>
      </c>
      <c r="G100" s="103" t="s">
        <v>69</v>
      </c>
      <c r="H100" s="93" t="s">
        <v>549</v>
      </c>
      <c r="I100" s="101">
        <v>28</v>
      </c>
      <c r="J100" s="104">
        <v>19</v>
      </c>
      <c r="K100" s="98">
        <v>13</v>
      </c>
      <c r="L100" s="109" t="s">
        <v>783</v>
      </c>
      <c r="M100" s="83" t="s">
        <v>925</v>
      </c>
      <c r="N100" s="83">
        <v>21</v>
      </c>
      <c r="O100" s="83" t="s">
        <v>1865</v>
      </c>
      <c r="P100" s="83">
        <v>31</v>
      </c>
      <c r="Q100" s="83"/>
      <c r="R100" s="83"/>
      <c r="S100" s="26">
        <v>6755</v>
      </c>
      <c r="T100" s="26" t="s">
        <v>1356</v>
      </c>
      <c r="U100" s="26">
        <v>6220</v>
      </c>
      <c r="V100" s="26" t="s">
        <v>1357</v>
      </c>
      <c r="W100" s="63">
        <v>44562</v>
      </c>
      <c r="X100" s="63">
        <v>44815</v>
      </c>
      <c r="Y100" s="63">
        <v>45101</v>
      </c>
      <c r="Z100" s="63">
        <v>45169</v>
      </c>
      <c r="AA100" s="17" t="s">
        <v>1104</v>
      </c>
      <c r="AB100" s="17"/>
      <c r="AC100" s="23" t="s">
        <v>731</v>
      </c>
      <c r="AD100" s="23"/>
      <c r="AE100" s="23"/>
      <c r="AF100" s="23"/>
      <c r="AG100" s="23"/>
      <c r="AH100" s="23"/>
      <c r="AI100" s="23"/>
      <c r="AJ100" s="23"/>
      <c r="AK100" s="23"/>
      <c r="AL100" s="23" t="s">
        <v>731</v>
      </c>
      <c r="AM100" s="17"/>
      <c r="AN100" s="17"/>
      <c r="AO100" s="17"/>
      <c r="AP100" s="23"/>
      <c r="AQ100" s="23"/>
      <c r="AR100" s="23"/>
      <c r="AS100" s="23"/>
      <c r="AT100" s="23"/>
      <c r="AU100" s="23"/>
      <c r="AX100" s="40"/>
      <c r="AY100" s="20" t="s">
        <v>779</v>
      </c>
      <c r="AZ100" s="20"/>
      <c r="BA100" s="40"/>
      <c r="BB100" s="45">
        <v>1</v>
      </c>
      <c r="BD100" s="41"/>
      <c r="BG100" s="18"/>
      <c r="BH100" s="18">
        <v>2</v>
      </c>
      <c r="BI100" s="18">
        <v>0</v>
      </c>
      <c r="BJ100" s="18">
        <v>0</v>
      </c>
      <c r="BK100" s="18">
        <v>0</v>
      </c>
      <c r="BL100" s="18">
        <v>0</v>
      </c>
      <c r="BM100" s="55">
        <f>SUM(AV100:AX100)+SUM(BC100:BD100)+SUM(BE100:BF100)+BG100</f>
        <v>0</v>
      </c>
      <c r="BN100" s="55"/>
      <c r="BO100" s="55"/>
      <c r="BP100" s="55"/>
      <c r="BQ100" s="55"/>
      <c r="BR100" s="55"/>
      <c r="BS100" s="55"/>
      <c r="BT100" s="55"/>
      <c r="BU100" s="55"/>
      <c r="BV100" s="55"/>
      <c r="BW100" s="55"/>
      <c r="BX100" s="55"/>
      <c r="BY100" s="55"/>
    </row>
    <row r="101" spans="1:77" ht="33.75">
      <c r="B101" s="89">
        <v>97</v>
      </c>
      <c r="C101" s="101">
        <v>634</v>
      </c>
      <c r="D101" s="101">
        <v>538</v>
      </c>
      <c r="E101" s="102">
        <v>0.65277777777777779</v>
      </c>
      <c r="F101" s="102">
        <v>0.69097222222222221</v>
      </c>
      <c r="G101" s="103" t="s">
        <v>67</v>
      </c>
      <c r="H101" s="93" t="s">
        <v>443</v>
      </c>
      <c r="I101" s="101">
        <v>28</v>
      </c>
      <c r="J101" s="104">
        <v>19</v>
      </c>
      <c r="K101" s="98">
        <v>47</v>
      </c>
      <c r="L101" s="109" t="s">
        <v>783</v>
      </c>
      <c r="M101" s="83" t="s">
        <v>925</v>
      </c>
      <c r="N101" s="83">
        <v>21</v>
      </c>
      <c r="O101" s="83" t="s">
        <v>1865</v>
      </c>
      <c r="P101" s="83">
        <v>31</v>
      </c>
      <c r="Q101" s="83"/>
      <c r="R101" s="83"/>
      <c r="S101" s="26">
        <v>6220</v>
      </c>
      <c r="T101" s="26" t="s">
        <v>1357</v>
      </c>
      <c r="U101" s="26">
        <v>6755</v>
      </c>
      <c r="V101" s="26" t="s">
        <v>1356</v>
      </c>
      <c r="W101" s="63">
        <v>44816</v>
      </c>
      <c r="X101" s="63">
        <v>45100</v>
      </c>
      <c r="Y101" s="63"/>
      <c r="Z101" s="63"/>
      <c r="AA101" s="27" t="s">
        <v>1103</v>
      </c>
      <c r="AB101" s="23" t="s">
        <v>731</v>
      </c>
      <c r="AC101" s="23"/>
      <c r="AD101" s="23"/>
      <c r="AE101" s="23"/>
      <c r="AF101" s="23"/>
      <c r="AG101" s="23"/>
      <c r="AH101" s="23"/>
      <c r="AI101" s="23"/>
      <c r="AJ101" s="23"/>
      <c r="AK101" s="23"/>
      <c r="AL101" s="23" t="s">
        <v>731</v>
      </c>
      <c r="AM101" s="17"/>
      <c r="AN101" s="17"/>
      <c r="AO101" s="17"/>
      <c r="AP101" s="23"/>
      <c r="AQ101" s="23"/>
      <c r="AR101" s="23"/>
      <c r="AS101" s="23"/>
      <c r="AT101" s="23"/>
      <c r="AU101" s="23"/>
      <c r="AX101" s="40"/>
      <c r="AY101" s="20" t="s">
        <v>779</v>
      </c>
      <c r="AZ101" s="20"/>
      <c r="BA101" s="40"/>
      <c r="BB101" s="45">
        <v>1</v>
      </c>
      <c r="BD101" s="41"/>
      <c r="BG101" s="18"/>
      <c r="BH101" s="18">
        <v>2</v>
      </c>
      <c r="BI101" s="18">
        <v>5</v>
      </c>
      <c r="BJ101" s="18">
        <v>5</v>
      </c>
      <c r="BK101" s="18">
        <v>6</v>
      </c>
      <c r="BL101" s="18">
        <v>6</v>
      </c>
      <c r="BM101" s="55">
        <f>SUM(AV101:AX101)+SUM(BC101:BD101)+SUM(BE101:BF101)+BG101</f>
        <v>0</v>
      </c>
      <c r="BN101" s="55"/>
      <c r="BO101" s="55"/>
      <c r="BP101" s="55"/>
      <c r="BQ101" s="55"/>
      <c r="BR101" s="55"/>
      <c r="BS101" s="55"/>
      <c r="BT101" s="55"/>
      <c r="BU101" s="55"/>
      <c r="BV101" s="55"/>
      <c r="BW101" s="55"/>
      <c r="BX101" s="55"/>
      <c r="BY101" s="55"/>
    </row>
    <row r="102" spans="1:77" ht="33.75">
      <c r="B102" s="89">
        <v>98</v>
      </c>
      <c r="C102" s="101">
        <v>634</v>
      </c>
      <c r="D102" s="101">
        <v>543</v>
      </c>
      <c r="E102" s="102">
        <v>0.69444444444444453</v>
      </c>
      <c r="F102" s="102">
        <v>0.71805555555555556</v>
      </c>
      <c r="G102" s="103" t="s">
        <v>65</v>
      </c>
      <c r="H102" s="93" t="s">
        <v>443</v>
      </c>
      <c r="I102" s="101">
        <v>20</v>
      </c>
      <c r="J102" s="104">
        <v>19</v>
      </c>
      <c r="K102" s="98">
        <v>47</v>
      </c>
      <c r="L102" s="109" t="s">
        <v>783</v>
      </c>
      <c r="M102" s="83" t="s">
        <v>925</v>
      </c>
      <c r="N102" s="83">
        <v>21</v>
      </c>
      <c r="O102" s="83" t="s">
        <v>1865</v>
      </c>
      <c r="P102" s="83">
        <v>31</v>
      </c>
      <c r="Q102" s="83"/>
      <c r="R102" s="83"/>
      <c r="S102" s="26">
        <v>6755</v>
      </c>
      <c r="T102" s="26" t="s">
        <v>1356</v>
      </c>
      <c r="U102" s="26">
        <v>6220</v>
      </c>
      <c r="V102" s="26" t="s">
        <v>1357</v>
      </c>
      <c r="W102" s="63">
        <v>44816</v>
      </c>
      <c r="X102" s="63">
        <v>45100</v>
      </c>
      <c r="Y102" s="63"/>
      <c r="Z102" s="63"/>
      <c r="AA102" s="27" t="s">
        <v>1103</v>
      </c>
      <c r="AB102" s="23" t="s">
        <v>731</v>
      </c>
      <c r="AC102" s="23"/>
      <c r="AD102" s="23"/>
      <c r="AE102" s="23"/>
      <c r="AF102" s="23"/>
      <c r="AG102" s="23"/>
      <c r="AH102" s="23"/>
      <c r="AI102" s="23"/>
      <c r="AJ102" s="23"/>
      <c r="AK102" s="23"/>
      <c r="AL102" s="23" t="s">
        <v>731</v>
      </c>
      <c r="AM102" s="17"/>
      <c r="AN102" s="17"/>
      <c r="AO102" s="17"/>
      <c r="AP102" s="23"/>
      <c r="AQ102" s="23"/>
      <c r="AR102" s="23"/>
      <c r="AS102" s="23"/>
      <c r="AT102" s="23"/>
      <c r="AU102" s="23"/>
      <c r="AX102" s="40"/>
      <c r="AY102" s="20" t="s">
        <v>779</v>
      </c>
      <c r="AZ102" s="20"/>
      <c r="BA102" s="40"/>
      <c r="BB102" s="45">
        <v>1</v>
      </c>
      <c r="BD102" s="41"/>
      <c r="BG102" s="18"/>
      <c r="BH102" s="18">
        <v>2</v>
      </c>
      <c r="BI102" s="18">
        <v>5</v>
      </c>
      <c r="BJ102" s="18">
        <v>5</v>
      </c>
      <c r="BK102" s="18">
        <v>6</v>
      </c>
      <c r="BL102" s="18">
        <v>6</v>
      </c>
      <c r="BM102" s="55">
        <f>SUM(AV102:AX102)+SUM(BC102:BD102)+SUM(BE102:BF102)+BG102</f>
        <v>0</v>
      </c>
      <c r="BN102" s="55"/>
      <c r="BO102" s="55"/>
      <c r="BP102" s="55"/>
      <c r="BQ102" s="55"/>
      <c r="BR102" s="55"/>
      <c r="BS102" s="55"/>
      <c r="BT102" s="55"/>
      <c r="BU102" s="55"/>
      <c r="BV102" s="55"/>
      <c r="BW102" s="55"/>
      <c r="BX102" s="55"/>
      <c r="BY102" s="55"/>
    </row>
    <row r="103" spans="1:77" ht="33.75">
      <c r="B103" s="89">
        <v>99</v>
      </c>
      <c r="C103" s="101">
        <v>634</v>
      </c>
      <c r="D103" s="101">
        <v>536</v>
      </c>
      <c r="E103" s="102">
        <v>0.72569444444444453</v>
      </c>
      <c r="F103" s="102">
        <v>0.76388888888888884</v>
      </c>
      <c r="G103" s="103" t="s">
        <v>67</v>
      </c>
      <c r="H103" s="93" t="s">
        <v>549</v>
      </c>
      <c r="I103" s="101">
        <v>28</v>
      </c>
      <c r="J103" s="104">
        <v>19</v>
      </c>
      <c r="K103" s="98">
        <v>13</v>
      </c>
      <c r="L103" s="109" t="s">
        <v>783</v>
      </c>
      <c r="M103" s="83" t="s">
        <v>925</v>
      </c>
      <c r="N103" s="83">
        <v>21</v>
      </c>
      <c r="O103" s="83" t="s">
        <v>1865</v>
      </c>
      <c r="P103" s="83">
        <v>31</v>
      </c>
      <c r="Q103" s="83"/>
      <c r="R103" s="83"/>
      <c r="S103" s="26">
        <v>6220</v>
      </c>
      <c r="T103" s="26" t="s">
        <v>1357</v>
      </c>
      <c r="U103" s="26">
        <v>6755</v>
      </c>
      <c r="V103" s="26" t="s">
        <v>1356</v>
      </c>
      <c r="W103" s="63">
        <v>44562</v>
      </c>
      <c r="X103" s="63">
        <v>44815</v>
      </c>
      <c r="Y103" s="63">
        <v>45101</v>
      </c>
      <c r="Z103" s="63">
        <v>45169</v>
      </c>
      <c r="AA103" s="17" t="s">
        <v>1104</v>
      </c>
      <c r="AB103" s="17"/>
      <c r="AC103" s="23" t="s">
        <v>731</v>
      </c>
      <c r="AD103" s="23"/>
      <c r="AE103" s="23"/>
      <c r="AF103" s="23"/>
      <c r="AG103" s="23"/>
      <c r="AH103" s="23"/>
      <c r="AI103" s="23"/>
      <c r="AJ103" s="23"/>
      <c r="AK103" s="23"/>
      <c r="AL103" s="23" t="s">
        <v>731</v>
      </c>
      <c r="AM103" s="17"/>
      <c r="AN103" s="17"/>
      <c r="AO103" s="17"/>
      <c r="AP103" s="23"/>
      <c r="AQ103" s="23"/>
      <c r="AR103" s="23"/>
      <c r="AS103" s="23"/>
      <c r="AT103" s="23"/>
      <c r="AU103" s="23"/>
      <c r="AX103" s="40"/>
      <c r="AY103" s="20" t="s">
        <v>779</v>
      </c>
      <c r="AZ103" s="20"/>
      <c r="BA103" s="40"/>
      <c r="BB103" s="45">
        <v>1</v>
      </c>
      <c r="BD103" s="41"/>
      <c r="BG103" s="18"/>
      <c r="BH103" s="18">
        <v>2</v>
      </c>
      <c r="BI103" s="18">
        <v>0</v>
      </c>
      <c r="BJ103" s="18">
        <v>0</v>
      </c>
      <c r="BK103" s="18">
        <v>0</v>
      </c>
      <c r="BL103" s="18">
        <v>0</v>
      </c>
      <c r="BM103" s="55">
        <f>SUM(AV103:AX103)+SUM(BC103:BD103)+SUM(BE103:BF103)+BG103</f>
        <v>0</v>
      </c>
      <c r="BN103" s="55"/>
      <c r="BO103" s="55"/>
      <c r="BP103" s="55"/>
      <c r="BQ103" s="55"/>
      <c r="BR103" s="55"/>
      <c r="BS103" s="55"/>
      <c r="BT103" s="55"/>
      <c r="BU103" s="55"/>
      <c r="BV103" s="55"/>
      <c r="BW103" s="55"/>
      <c r="BX103" s="55"/>
      <c r="BY103" s="55"/>
    </row>
    <row r="104" spans="1:77" ht="33.75">
      <c r="B104" s="89">
        <v>100</v>
      </c>
      <c r="C104" s="101">
        <v>634</v>
      </c>
      <c r="D104" s="101">
        <v>544</v>
      </c>
      <c r="E104" s="102">
        <v>0.74305555555555547</v>
      </c>
      <c r="F104" s="108">
        <v>0.76666666666666661</v>
      </c>
      <c r="G104" s="103" t="s">
        <v>64</v>
      </c>
      <c r="H104" s="93" t="s">
        <v>443</v>
      </c>
      <c r="I104" s="101">
        <v>20</v>
      </c>
      <c r="J104" s="104">
        <v>19</v>
      </c>
      <c r="K104" s="98">
        <v>47</v>
      </c>
      <c r="L104" s="109" t="s">
        <v>783</v>
      </c>
      <c r="M104" s="83" t="s">
        <v>925</v>
      </c>
      <c r="N104" s="83">
        <v>21</v>
      </c>
      <c r="O104" s="83" t="s">
        <v>1865</v>
      </c>
      <c r="P104" s="83">
        <v>31</v>
      </c>
      <c r="Q104" s="83"/>
      <c r="R104" s="83"/>
      <c r="S104" s="26">
        <v>6220</v>
      </c>
      <c r="T104" s="26" t="s">
        <v>1357</v>
      </c>
      <c r="U104" s="26">
        <v>6755</v>
      </c>
      <c r="V104" s="26" t="s">
        <v>1356</v>
      </c>
      <c r="W104" s="63">
        <v>44816</v>
      </c>
      <c r="X104" s="63">
        <v>45100</v>
      </c>
      <c r="Y104" s="63"/>
      <c r="Z104" s="63"/>
      <c r="AA104" s="27" t="s">
        <v>1103</v>
      </c>
      <c r="AB104" s="23" t="s">
        <v>731</v>
      </c>
      <c r="AC104" s="23"/>
      <c r="AD104" s="23"/>
      <c r="AE104" s="23"/>
      <c r="AF104" s="23"/>
      <c r="AG104" s="23"/>
      <c r="AH104" s="23"/>
      <c r="AI104" s="23"/>
      <c r="AJ104" s="23"/>
      <c r="AK104" s="23"/>
      <c r="AL104" s="23" t="s">
        <v>731</v>
      </c>
      <c r="AM104" s="17"/>
      <c r="AN104" s="17"/>
      <c r="AO104" s="17"/>
      <c r="AP104" s="23"/>
      <c r="AQ104" s="23"/>
      <c r="AR104" s="23"/>
      <c r="AS104" s="23"/>
      <c r="AT104" s="23"/>
      <c r="AU104" s="23"/>
      <c r="AX104" s="40"/>
      <c r="AY104" s="20" t="s">
        <v>779</v>
      </c>
      <c r="AZ104" s="20"/>
      <c r="BA104" s="40"/>
      <c r="BB104" s="45">
        <v>1</v>
      </c>
      <c r="BD104" s="41"/>
      <c r="BG104" s="18"/>
      <c r="BH104" s="18">
        <v>2</v>
      </c>
      <c r="BI104" s="18">
        <v>5</v>
      </c>
      <c r="BJ104" s="18">
        <v>5</v>
      </c>
      <c r="BK104" s="18">
        <v>6</v>
      </c>
      <c r="BL104" s="18">
        <v>6</v>
      </c>
      <c r="BM104" s="55">
        <f>SUM(AV104:AX104)+SUM(BC104:BD104)+SUM(BE104:BF104)+BG104</f>
        <v>0</v>
      </c>
      <c r="BN104" s="55"/>
      <c r="BO104" s="55"/>
      <c r="BP104" s="55"/>
      <c r="BQ104" s="55"/>
      <c r="BR104" s="55"/>
      <c r="BS104" s="55"/>
      <c r="BT104" s="55"/>
      <c r="BU104" s="55"/>
      <c r="BV104" s="55"/>
      <c r="BW104" s="55"/>
      <c r="BX104" s="55"/>
      <c r="BY104" s="55"/>
    </row>
    <row r="105" spans="1:77" ht="25.5">
      <c r="B105" s="89">
        <v>101</v>
      </c>
      <c r="C105" s="93">
        <v>640</v>
      </c>
      <c r="D105" s="93">
        <v>659</v>
      </c>
      <c r="E105" s="94">
        <v>0.76041666666666663</v>
      </c>
      <c r="F105" s="94">
        <v>0.77986111111111101</v>
      </c>
      <c r="G105" s="93" t="s">
        <v>120</v>
      </c>
      <c r="H105" s="93" t="s">
        <v>103</v>
      </c>
      <c r="I105" s="96">
        <v>16</v>
      </c>
      <c r="J105" s="97" t="s">
        <v>188</v>
      </c>
      <c r="K105" s="98">
        <v>174</v>
      </c>
      <c r="L105" s="109" t="s">
        <v>779</v>
      </c>
      <c r="M105" s="83" t="s">
        <v>975</v>
      </c>
      <c r="N105" s="83">
        <v>45</v>
      </c>
      <c r="O105" s="2" t="s">
        <v>1922</v>
      </c>
      <c r="P105" s="2">
        <v>21</v>
      </c>
      <c r="Q105" s="2" t="s">
        <v>1228</v>
      </c>
      <c r="R105" s="85">
        <v>9</v>
      </c>
      <c r="S105" s="26">
        <v>6300</v>
      </c>
      <c r="T105" s="26" t="s">
        <v>1358</v>
      </c>
      <c r="U105" s="26">
        <v>6328</v>
      </c>
      <c r="V105" s="26" t="s">
        <v>1359</v>
      </c>
      <c r="W105" s="62">
        <v>44816</v>
      </c>
      <c r="X105" s="62">
        <v>45086</v>
      </c>
      <c r="Y105" s="62"/>
      <c r="Z105" s="62"/>
      <c r="AA105" s="22" t="s">
        <v>1102</v>
      </c>
      <c r="AB105" s="17"/>
      <c r="AC105" s="17"/>
      <c r="AD105" s="17"/>
      <c r="AE105" s="23" t="s">
        <v>731</v>
      </c>
      <c r="AF105" s="23" t="s">
        <v>731</v>
      </c>
      <c r="AG105" s="23" t="s">
        <v>731</v>
      </c>
      <c r="AH105" s="23" t="s">
        <v>731</v>
      </c>
      <c r="AI105" s="23" t="s">
        <v>731</v>
      </c>
      <c r="AJ105" s="23" t="s">
        <v>731</v>
      </c>
      <c r="AK105" s="17"/>
      <c r="AL105" s="17"/>
      <c r="AM105" s="17"/>
      <c r="AN105" s="17"/>
      <c r="AO105" s="17"/>
      <c r="AP105" s="23"/>
      <c r="AQ105" s="23"/>
      <c r="AR105" s="23"/>
      <c r="AS105" s="23"/>
      <c r="AT105" s="23"/>
      <c r="AU105" s="17"/>
      <c r="AV105" s="42">
        <v>48</v>
      </c>
      <c r="AW105" s="42"/>
      <c r="AX105" s="40"/>
      <c r="AY105" s="40"/>
      <c r="AZ105" s="40"/>
      <c r="BA105" s="40"/>
      <c r="BB105" s="45">
        <v>1</v>
      </c>
      <c r="BC105" s="41">
        <f>IF(AND((AV105/I105)&lt;2,BB105=1),(I105*2)-AV105,0)</f>
        <v>0</v>
      </c>
      <c r="BD105" s="41">
        <f>IF(AND((AV105/I105)&lt;3,BB105=2),(I105*3)-AV105,0)</f>
        <v>0</v>
      </c>
      <c r="BG105" s="18"/>
      <c r="BH105" s="18">
        <v>15</v>
      </c>
      <c r="BI105" s="18">
        <v>20</v>
      </c>
      <c r="BJ105" s="18">
        <v>21</v>
      </c>
      <c r="BK105" s="18">
        <v>15</v>
      </c>
      <c r="BL105" s="18">
        <v>17</v>
      </c>
      <c r="BM105" s="55">
        <f>SUM(AV105:AX105)+SUM(BC105:BD105)+SUM(BE105:BF105)+BG105</f>
        <v>48</v>
      </c>
      <c r="BN105" s="55"/>
      <c r="BO105" s="55"/>
      <c r="BP105" s="55"/>
      <c r="BQ105" s="55"/>
      <c r="BR105" s="55"/>
      <c r="BS105" s="55"/>
      <c r="BT105" s="55"/>
      <c r="BU105" s="55"/>
      <c r="BV105" s="55"/>
      <c r="BW105" s="55"/>
      <c r="BX105" s="55"/>
      <c r="BY105" s="55"/>
    </row>
    <row r="106" spans="1:77" ht="22.5">
      <c r="B106" s="89">
        <v>102</v>
      </c>
      <c r="C106" s="92">
        <v>91</v>
      </c>
      <c r="D106" s="121">
        <v>490</v>
      </c>
      <c r="E106" s="102">
        <v>0.19791666666666666</v>
      </c>
      <c r="F106" s="102">
        <v>0.23958333333333334</v>
      </c>
      <c r="G106" s="103" t="s">
        <v>45</v>
      </c>
      <c r="H106" s="103" t="s">
        <v>18</v>
      </c>
      <c r="I106" s="101">
        <v>50</v>
      </c>
      <c r="J106" s="104">
        <v>50</v>
      </c>
      <c r="K106" s="98">
        <v>296</v>
      </c>
      <c r="L106" s="109" t="s">
        <v>716</v>
      </c>
      <c r="M106" s="83" t="s">
        <v>892</v>
      </c>
      <c r="N106" s="83">
        <v>53</v>
      </c>
      <c r="O106" s="100" t="s">
        <v>1229</v>
      </c>
      <c r="P106" s="100">
        <v>54</v>
      </c>
      <c r="Q106" s="2" t="s">
        <v>1230</v>
      </c>
      <c r="R106" s="86">
        <v>53</v>
      </c>
      <c r="S106" s="26" t="s">
        <v>1302</v>
      </c>
      <c r="T106" s="26" t="s">
        <v>1303</v>
      </c>
      <c r="U106" s="26" t="s">
        <v>1304</v>
      </c>
      <c r="V106" s="26" t="s">
        <v>1305</v>
      </c>
      <c r="W106" s="62">
        <v>44805</v>
      </c>
      <c r="X106" s="62">
        <v>45169</v>
      </c>
      <c r="Y106" s="62"/>
      <c r="Z106" s="62"/>
      <c r="AA106" s="23" t="s">
        <v>1113</v>
      </c>
      <c r="AB106" s="23" t="s">
        <v>731</v>
      </c>
      <c r="AC106" s="23" t="s">
        <v>731</v>
      </c>
      <c r="AD106" s="23" t="s">
        <v>731</v>
      </c>
      <c r="AE106" s="23"/>
      <c r="AF106" s="23" t="s">
        <v>731</v>
      </c>
      <c r="AG106" s="23" t="s">
        <v>731</v>
      </c>
      <c r="AH106" s="23" t="s">
        <v>731</v>
      </c>
      <c r="AI106" s="23" t="s">
        <v>731</v>
      </c>
      <c r="AJ106" s="23" t="s">
        <v>731</v>
      </c>
      <c r="AK106" s="23" t="s">
        <v>731</v>
      </c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Y106" s="20" t="s">
        <v>716</v>
      </c>
      <c r="AZ106" s="20"/>
      <c r="BB106" s="43">
        <v>2</v>
      </c>
      <c r="BD106" s="41"/>
      <c r="BH106" s="18">
        <v>26</v>
      </c>
      <c r="BI106" s="45">
        <v>25</v>
      </c>
      <c r="BJ106" s="18">
        <v>25</v>
      </c>
      <c r="BK106" s="18">
        <v>25</v>
      </c>
      <c r="BL106" s="18">
        <v>26</v>
      </c>
      <c r="BM106" s="55">
        <f>SUM(AV106:AX106)+SUM(BC106:BD106)+SUM(BE106:BF106)+BG106</f>
        <v>0</v>
      </c>
      <c r="BN106" s="55" t="s">
        <v>1113</v>
      </c>
      <c r="BO106" s="77">
        <v>26</v>
      </c>
      <c r="BP106" s="77"/>
      <c r="BQ106" s="77">
        <v>25</v>
      </c>
      <c r="BR106" s="77"/>
      <c r="BS106" s="77">
        <v>25</v>
      </c>
      <c r="BT106" s="77"/>
      <c r="BU106" s="77">
        <v>25</v>
      </c>
      <c r="BV106" s="77"/>
      <c r="BW106" s="77">
        <v>26</v>
      </c>
      <c r="BX106" s="77"/>
      <c r="BY106" s="55">
        <v>220</v>
      </c>
    </row>
    <row r="107" spans="1:77" ht="54.75" customHeight="1">
      <c r="B107" s="89">
        <v>103</v>
      </c>
      <c r="C107" s="92">
        <v>91</v>
      </c>
      <c r="D107" s="121">
        <v>491</v>
      </c>
      <c r="E107" s="102">
        <v>0.25694444444444448</v>
      </c>
      <c r="F107" s="102">
        <v>0.2986111111111111</v>
      </c>
      <c r="G107" s="103" t="s">
        <v>44</v>
      </c>
      <c r="H107" s="103" t="s">
        <v>712</v>
      </c>
      <c r="I107" s="101">
        <v>50</v>
      </c>
      <c r="J107" s="104">
        <v>50</v>
      </c>
      <c r="K107" s="98">
        <v>255</v>
      </c>
      <c r="L107" s="99" t="s">
        <v>716</v>
      </c>
      <c r="M107" s="83" t="s">
        <v>892</v>
      </c>
      <c r="N107" s="83">
        <v>53</v>
      </c>
      <c r="O107" s="100" t="s">
        <v>1229</v>
      </c>
      <c r="P107" s="100">
        <v>54</v>
      </c>
      <c r="Q107" s="2" t="s">
        <v>1230</v>
      </c>
      <c r="R107" s="86">
        <v>53</v>
      </c>
      <c r="S107" s="26" t="s">
        <v>1304</v>
      </c>
      <c r="T107" s="26" t="s">
        <v>1305</v>
      </c>
      <c r="U107" s="26" t="s">
        <v>1302</v>
      </c>
      <c r="V107" s="26" t="s">
        <v>1303</v>
      </c>
      <c r="W107" s="62">
        <v>44805</v>
      </c>
      <c r="X107" s="62">
        <v>45169</v>
      </c>
      <c r="Y107" s="62"/>
      <c r="Z107" s="62"/>
      <c r="AA107" s="23" t="s">
        <v>1114</v>
      </c>
      <c r="AB107" s="23" t="s">
        <v>731</v>
      </c>
      <c r="AC107" s="23" t="s">
        <v>731</v>
      </c>
      <c r="AD107" s="23" t="s">
        <v>731</v>
      </c>
      <c r="AE107" s="23"/>
      <c r="AF107" s="23"/>
      <c r="AG107" s="23" t="s">
        <v>731</v>
      </c>
      <c r="AH107" s="23" t="s">
        <v>731</v>
      </c>
      <c r="AI107" s="23" t="s">
        <v>731</v>
      </c>
      <c r="AJ107" s="23" t="s">
        <v>731</v>
      </c>
      <c r="AK107" s="23" t="s">
        <v>731</v>
      </c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Y107" s="20" t="s">
        <v>716</v>
      </c>
      <c r="AZ107" s="20"/>
      <c r="BB107" s="43">
        <v>2</v>
      </c>
      <c r="BD107" s="41"/>
      <c r="BH107" s="18">
        <v>22</v>
      </c>
      <c r="BI107" s="18">
        <v>21</v>
      </c>
      <c r="BJ107" s="18">
        <v>21</v>
      </c>
      <c r="BK107" s="18">
        <v>22</v>
      </c>
      <c r="BL107" s="18">
        <v>21</v>
      </c>
      <c r="BM107" s="55">
        <f>SUM(AV107:AX107)+SUM(BC107:BD107)+SUM(BE107:BF107)+BG107</f>
        <v>0</v>
      </c>
      <c r="BN107" s="55"/>
      <c r="BO107" s="55"/>
      <c r="BP107" s="55"/>
      <c r="BQ107" s="55"/>
      <c r="BR107" s="55"/>
      <c r="BS107" s="55"/>
      <c r="BT107" s="55"/>
      <c r="BU107" s="55"/>
      <c r="BV107" s="55"/>
      <c r="BW107" s="55"/>
      <c r="BX107" s="55"/>
      <c r="BY107" s="55"/>
    </row>
    <row r="108" spans="1:77" ht="45">
      <c r="B108" s="89">
        <v>104</v>
      </c>
      <c r="C108" s="93">
        <v>101</v>
      </c>
      <c r="D108" s="93">
        <v>656</v>
      </c>
      <c r="E108" s="155">
        <v>0.29375000000000001</v>
      </c>
      <c r="F108" s="153">
        <v>0.30902777777777779</v>
      </c>
      <c r="G108" s="154" t="s">
        <v>1918</v>
      </c>
      <c r="H108" s="93" t="s">
        <v>97</v>
      </c>
      <c r="I108" s="96">
        <v>15</v>
      </c>
      <c r="J108" s="97" t="s">
        <v>125</v>
      </c>
      <c r="K108" s="98">
        <v>208</v>
      </c>
      <c r="L108" s="109" t="s">
        <v>718</v>
      </c>
      <c r="M108" s="87" t="s">
        <v>1070</v>
      </c>
      <c r="N108" s="87">
        <v>17</v>
      </c>
      <c r="O108" s="87" t="s">
        <v>1927</v>
      </c>
      <c r="P108" s="87">
        <v>24</v>
      </c>
      <c r="Q108" s="83" t="s">
        <v>1949</v>
      </c>
      <c r="R108" s="84">
        <v>9</v>
      </c>
      <c r="S108" s="38" t="s">
        <v>1919</v>
      </c>
      <c r="T108" s="61" t="s">
        <v>1863</v>
      </c>
      <c r="U108" s="26">
        <v>1070</v>
      </c>
      <c r="V108" s="26" t="s">
        <v>1310</v>
      </c>
      <c r="W108" s="62">
        <v>44816</v>
      </c>
      <c r="X108" s="62">
        <v>45086</v>
      </c>
      <c r="Y108" s="62"/>
      <c r="Z108" s="62"/>
      <c r="AA108" s="22" t="s">
        <v>1106</v>
      </c>
      <c r="AB108" s="23"/>
      <c r="AC108" s="23"/>
      <c r="AD108" s="23"/>
      <c r="AE108" s="23" t="s">
        <v>731</v>
      </c>
      <c r="AF108" s="23" t="s">
        <v>731</v>
      </c>
      <c r="AG108" s="23" t="s">
        <v>731</v>
      </c>
      <c r="AH108" s="23" t="s">
        <v>731</v>
      </c>
      <c r="AI108" s="23" t="s">
        <v>731</v>
      </c>
      <c r="AJ108" s="23" t="s">
        <v>731</v>
      </c>
      <c r="AK108" s="23" t="s">
        <v>731</v>
      </c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42">
        <v>38.54</v>
      </c>
      <c r="AY108" s="42"/>
      <c r="AZ108" s="42"/>
      <c r="BB108" s="45">
        <v>1</v>
      </c>
      <c r="BC108" s="41">
        <f>IF(AND((AV108/I108)&lt;2,BB108=1),(I108*2)-AV108,0)</f>
        <v>0</v>
      </c>
      <c r="BD108" s="41">
        <f>IF(AND((AV108/I108)&lt;3,BB108=2),(I108*3)-AV108,0)</f>
        <v>0</v>
      </c>
      <c r="BG108" s="18"/>
      <c r="BH108" s="18">
        <v>17</v>
      </c>
      <c r="BI108" s="18">
        <v>25</v>
      </c>
      <c r="BJ108" s="18">
        <v>25</v>
      </c>
      <c r="BK108" s="18">
        <v>18</v>
      </c>
      <c r="BL108" s="18">
        <v>20</v>
      </c>
      <c r="BM108" s="55">
        <f>SUM(AV108:AX108)+SUM(BC108:BD108)+SUM(BE108:BF108)+BG108</f>
        <v>38.54</v>
      </c>
      <c r="BN108" s="55"/>
      <c r="BO108" s="55"/>
      <c r="BP108" s="55"/>
      <c r="BQ108" s="55"/>
      <c r="BR108" s="55"/>
      <c r="BS108" s="55"/>
      <c r="BT108" s="55"/>
      <c r="BU108" s="55"/>
      <c r="BV108" s="55"/>
      <c r="BW108" s="55"/>
      <c r="BX108" s="55"/>
      <c r="BY108" s="55"/>
    </row>
    <row r="109" spans="1:77" ht="38.25">
      <c r="B109" s="89">
        <v>105</v>
      </c>
      <c r="C109" s="93">
        <v>101</v>
      </c>
      <c r="D109" s="93">
        <v>661</v>
      </c>
      <c r="E109" s="94">
        <v>0.57638888888888895</v>
      </c>
      <c r="F109" s="94">
        <v>0.58680555555555558</v>
      </c>
      <c r="G109" s="93" t="s">
        <v>292</v>
      </c>
      <c r="H109" s="93" t="s">
        <v>97</v>
      </c>
      <c r="I109" s="96">
        <v>15</v>
      </c>
      <c r="J109" s="97" t="s">
        <v>116</v>
      </c>
      <c r="K109" s="98">
        <v>208</v>
      </c>
      <c r="L109" s="109" t="s">
        <v>719</v>
      </c>
      <c r="M109" s="87" t="s">
        <v>884</v>
      </c>
      <c r="N109" s="87">
        <v>9</v>
      </c>
      <c r="O109" s="87" t="s">
        <v>1926</v>
      </c>
      <c r="P109" s="87">
        <v>17</v>
      </c>
      <c r="R109" s="87"/>
      <c r="S109" s="26">
        <v>1070</v>
      </c>
      <c r="T109" s="26" t="s">
        <v>1310</v>
      </c>
      <c r="U109" s="26" t="s">
        <v>1360</v>
      </c>
      <c r="V109" s="26" t="s">
        <v>1361</v>
      </c>
      <c r="W109" s="62">
        <v>44816</v>
      </c>
      <c r="X109" s="62">
        <v>45086</v>
      </c>
      <c r="Y109" s="62"/>
      <c r="Z109" s="62"/>
      <c r="AA109" s="22" t="s">
        <v>1106</v>
      </c>
      <c r="AB109" s="23"/>
      <c r="AC109" s="23"/>
      <c r="AD109" s="23"/>
      <c r="AE109" s="23" t="s">
        <v>731</v>
      </c>
      <c r="AF109" s="23" t="s">
        <v>731</v>
      </c>
      <c r="AG109" s="23" t="s">
        <v>731</v>
      </c>
      <c r="AH109" s="23" t="s">
        <v>731</v>
      </c>
      <c r="AI109" s="23" t="s">
        <v>731</v>
      </c>
      <c r="AJ109" s="23" t="s">
        <v>731</v>
      </c>
      <c r="AK109" s="23" t="s">
        <v>731</v>
      </c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42">
        <v>27</v>
      </c>
      <c r="AY109" s="42"/>
      <c r="AZ109" s="42"/>
      <c r="BB109" s="45">
        <v>1</v>
      </c>
      <c r="BC109" s="41">
        <f>IF(AND((AV109/I109)&lt;2,BB109=1),(I109*2)-AV109,0)</f>
        <v>3</v>
      </c>
      <c r="BD109" s="41">
        <f>IF(AND((AV109/I109)&lt;3,BB109=2),(I109*3)-AV109,0)</f>
        <v>0</v>
      </c>
      <c r="BG109" s="18"/>
      <c r="BH109" s="18">
        <v>17</v>
      </c>
      <c r="BI109" s="18">
        <v>25</v>
      </c>
      <c r="BJ109" s="18">
        <v>25</v>
      </c>
      <c r="BK109" s="18">
        <v>18</v>
      </c>
      <c r="BL109" s="18">
        <v>20</v>
      </c>
      <c r="BM109" s="55">
        <f>SUM(AV109:AX109)+SUM(BC109:BD109)+SUM(BE109:BF109)+BG109</f>
        <v>30</v>
      </c>
      <c r="BN109" s="55"/>
      <c r="BO109" s="55"/>
      <c r="BP109" s="55"/>
      <c r="BQ109" s="55"/>
      <c r="BR109" s="55"/>
      <c r="BS109" s="55"/>
      <c r="BT109" s="55"/>
      <c r="BU109" s="55"/>
      <c r="BV109" s="55"/>
      <c r="BW109" s="55"/>
      <c r="BX109" s="55"/>
      <c r="BY109" s="55"/>
    </row>
    <row r="110" spans="1:77" ht="38.25">
      <c r="B110" s="89">
        <v>106</v>
      </c>
      <c r="C110" s="93">
        <v>101</v>
      </c>
      <c r="D110" s="93">
        <v>662</v>
      </c>
      <c r="E110" s="94">
        <v>0.59027777777777779</v>
      </c>
      <c r="F110" s="94">
        <v>0.60069444444444442</v>
      </c>
      <c r="G110" s="93" t="s">
        <v>291</v>
      </c>
      <c r="H110" s="93" t="s">
        <v>97</v>
      </c>
      <c r="I110" s="96">
        <v>15</v>
      </c>
      <c r="J110" s="97" t="s">
        <v>116</v>
      </c>
      <c r="K110" s="98">
        <v>208</v>
      </c>
      <c r="L110" s="109" t="s">
        <v>719</v>
      </c>
      <c r="M110" s="87" t="s">
        <v>884</v>
      </c>
      <c r="N110" s="87">
        <v>9</v>
      </c>
      <c r="O110" s="87" t="s">
        <v>1926</v>
      </c>
      <c r="P110" s="87">
        <v>17</v>
      </c>
      <c r="R110" s="87"/>
      <c r="S110" s="26" t="s">
        <v>1360</v>
      </c>
      <c r="T110" s="26" t="s">
        <v>1361</v>
      </c>
      <c r="U110" s="26">
        <v>1070</v>
      </c>
      <c r="V110" s="26" t="s">
        <v>1310</v>
      </c>
      <c r="W110" s="62">
        <v>44816</v>
      </c>
      <c r="X110" s="62">
        <v>45086</v>
      </c>
      <c r="Y110" s="62"/>
      <c r="Z110" s="62"/>
      <c r="AA110" s="22" t="s">
        <v>1106</v>
      </c>
      <c r="AB110" s="23"/>
      <c r="AC110" s="23"/>
      <c r="AD110" s="23"/>
      <c r="AE110" s="23" t="s">
        <v>731</v>
      </c>
      <c r="AF110" s="23" t="s">
        <v>731</v>
      </c>
      <c r="AG110" s="23" t="s">
        <v>731</v>
      </c>
      <c r="AH110" s="23" t="s">
        <v>731</v>
      </c>
      <c r="AI110" s="23" t="s">
        <v>731</v>
      </c>
      <c r="AJ110" s="23" t="s">
        <v>731</v>
      </c>
      <c r="AK110" s="23" t="s">
        <v>731</v>
      </c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42">
        <v>27</v>
      </c>
      <c r="AY110" s="42"/>
      <c r="AZ110" s="42"/>
      <c r="BB110" s="45">
        <v>1</v>
      </c>
      <c r="BC110" s="41">
        <f>IF(AND((AV110/I110)&lt;2,BB110=1),(I110*2)-AV110,0)</f>
        <v>3</v>
      </c>
      <c r="BD110" s="41">
        <f>IF(AND((AV110/I110)&lt;3,BB110=2),(I110*3)-AV110,0)</f>
        <v>0</v>
      </c>
      <c r="BG110" s="18"/>
      <c r="BH110" s="18">
        <v>17</v>
      </c>
      <c r="BI110" s="18">
        <v>25</v>
      </c>
      <c r="BJ110" s="18">
        <v>25</v>
      </c>
      <c r="BK110" s="18">
        <v>18</v>
      </c>
      <c r="BL110" s="18">
        <v>20</v>
      </c>
      <c r="BM110" s="55">
        <f>SUM(AV110:AX110)+SUM(BC110:BD110)+SUM(BE110:BF110)+BG110</f>
        <v>30</v>
      </c>
      <c r="BN110" s="55"/>
      <c r="BO110" s="55"/>
      <c r="BP110" s="55"/>
      <c r="BQ110" s="55"/>
      <c r="BR110" s="55"/>
      <c r="BS110" s="55"/>
      <c r="BT110" s="55"/>
      <c r="BU110" s="55"/>
      <c r="BV110" s="55"/>
      <c r="BW110" s="55"/>
      <c r="BX110" s="55"/>
      <c r="BY110" s="55"/>
    </row>
    <row r="111" spans="1:77" ht="25.5">
      <c r="B111" s="89">
        <v>107</v>
      </c>
      <c r="C111" s="93">
        <v>102</v>
      </c>
      <c r="D111" s="95">
        <v>664</v>
      </c>
      <c r="E111" s="94">
        <v>0.25694444444444448</v>
      </c>
      <c r="F111" s="94">
        <v>0.2638888888888889</v>
      </c>
      <c r="G111" s="93" t="s">
        <v>326</v>
      </c>
      <c r="H111" s="93" t="s">
        <v>97</v>
      </c>
      <c r="I111" s="96">
        <v>5.3</v>
      </c>
      <c r="J111" s="97" t="s">
        <v>116</v>
      </c>
      <c r="K111" s="98">
        <v>208</v>
      </c>
      <c r="L111" s="109" t="s">
        <v>720</v>
      </c>
      <c r="M111" s="87" t="s">
        <v>862</v>
      </c>
      <c r="N111" s="87">
        <v>17</v>
      </c>
      <c r="O111" s="87" t="s">
        <v>1866</v>
      </c>
      <c r="P111" s="87">
        <v>9</v>
      </c>
      <c r="R111" s="87"/>
      <c r="S111" s="26" t="s">
        <v>1362</v>
      </c>
      <c r="T111" s="26" t="s">
        <v>1363</v>
      </c>
      <c r="U111" s="26" t="s">
        <v>1364</v>
      </c>
      <c r="V111" s="26" t="s">
        <v>1365</v>
      </c>
      <c r="W111" s="62">
        <v>44816</v>
      </c>
      <c r="X111" s="62">
        <v>45086</v>
      </c>
      <c r="Y111" s="62"/>
      <c r="Z111" s="62"/>
      <c r="AA111" s="22" t="s">
        <v>1106</v>
      </c>
      <c r="AB111" s="23"/>
      <c r="AC111" s="23"/>
      <c r="AD111" s="23"/>
      <c r="AE111" s="23" t="s">
        <v>731</v>
      </c>
      <c r="AF111" s="23" t="s">
        <v>731</v>
      </c>
      <c r="AG111" s="23" t="s">
        <v>731</v>
      </c>
      <c r="AH111" s="23" t="s">
        <v>731</v>
      </c>
      <c r="AI111" s="23" t="s">
        <v>731</v>
      </c>
      <c r="AJ111" s="23" t="s">
        <v>731</v>
      </c>
      <c r="AK111" s="23" t="s">
        <v>731</v>
      </c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42">
        <v>20.27</v>
      </c>
      <c r="AY111" s="42"/>
      <c r="AZ111" s="42"/>
      <c r="BB111" s="45">
        <v>1</v>
      </c>
      <c r="BC111" s="41">
        <f>IF(AND((AV111/I111)&lt;2,BB111=1),(I111*2)-AV111,0)</f>
        <v>0</v>
      </c>
      <c r="BD111" s="41">
        <f>IF(AND((AV111/I111)&lt;3,BB111=2),(I111*3)-AV111,0)</f>
        <v>0</v>
      </c>
      <c r="BG111" s="41">
        <f>IF((AV111+AW111+AX111)&lt;20,(20-(AV111+AW111+AX111)),0)</f>
        <v>0</v>
      </c>
      <c r="BH111" s="18">
        <v>17</v>
      </c>
      <c r="BI111" s="18">
        <v>25</v>
      </c>
      <c r="BJ111" s="18">
        <v>25</v>
      </c>
      <c r="BK111" s="18">
        <v>18</v>
      </c>
      <c r="BL111" s="18">
        <v>20</v>
      </c>
      <c r="BM111" s="55">
        <f>SUM(AV111:AX111)+SUM(BC111:BD111)+SUM(BE111:BF111)+BG111</f>
        <v>20.27</v>
      </c>
      <c r="BN111" s="55"/>
      <c r="BO111" s="55"/>
      <c r="BP111" s="55"/>
      <c r="BQ111" s="55"/>
      <c r="BR111" s="55"/>
      <c r="BS111" s="55"/>
      <c r="BT111" s="55"/>
      <c r="BU111" s="55"/>
      <c r="BV111" s="55"/>
      <c r="BW111" s="55"/>
      <c r="BX111" s="55"/>
      <c r="BY111" s="55"/>
    </row>
    <row r="112" spans="1:77" ht="33.75">
      <c r="A112" s="115"/>
      <c r="B112" s="89">
        <v>108</v>
      </c>
      <c r="C112" s="93">
        <v>102</v>
      </c>
      <c r="D112" s="122">
        <v>131</v>
      </c>
      <c r="E112" s="105">
        <v>0.2638888888888889</v>
      </c>
      <c r="F112" s="105">
        <v>0.27083333333333331</v>
      </c>
      <c r="G112" s="93" t="s">
        <v>434</v>
      </c>
      <c r="H112" s="93" t="s">
        <v>97</v>
      </c>
      <c r="I112" s="96">
        <v>5</v>
      </c>
      <c r="J112" s="97" t="s">
        <v>116</v>
      </c>
      <c r="K112" s="98">
        <v>208</v>
      </c>
      <c r="L112" s="109" t="s">
        <v>721</v>
      </c>
      <c r="M112" s="83" t="s">
        <v>894</v>
      </c>
      <c r="N112" s="83">
        <v>9</v>
      </c>
      <c r="O112" s="83" t="s">
        <v>897</v>
      </c>
      <c r="P112" s="83">
        <v>9</v>
      </c>
      <c r="R112" s="83"/>
      <c r="S112" s="26" t="s">
        <v>1366</v>
      </c>
      <c r="T112" s="26" t="s">
        <v>1367</v>
      </c>
      <c r="U112" s="26" t="s">
        <v>1368</v>
      </c>
      <c r="V112" s="26" t="s">
        <v>1369</v>
      </c>
      <c r="W112" s="62">
        <v>44816</v>
      </c>
      <c r="X112" s="62">
        <v>45086</v>
      </c>
      <c r="Y112" s="62"/>
      <c r="Z112" s="62"/>
      <c r="AA112" s="22" t="s">
        <v>1106</v>
      </c>
      <c r="AB112" s="23"/>
      <c r="AC112" s="23"/>
      <c r="AD112" s="23"/>
      <c r="AE112" s="23" t="s">
        <v>731</v>
      </c>
      <c r="AF112" s="23" t="s">
        <v>731</v>
      </c>
      <c r="AG112" s="23" t="s">
        <v>731</v>
      </c>
      <c r="AH112" s="23" t="s">
        <v>731</v>
      </c>
      <c r="AI112" s="23" t="s">
        <v>731</v>
      </c>
      <c r="AJ112" s="23" t="s">
        <v>731</v>
      </c>
      <c r="AK112" s="23" t="s">
        <v>731</v>
      </c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42">
        <v>12</v>
      </c>
      <c r="AW112" s="18"/>
      <c r="AY112" s="42"/>
      <c r="AZ112" s="42"/>
      <c r="BB112" s="45">
        <v>1</v>
      </c>
      <c r="BC112" s="41">
        <f>IF(AND((AV112/I112)&lt;2,BB112=1),(I112*2)-AV112,0)</f>
        <v>0</v>
      </c>
      <c r="BD112" s="41">
        <f>IF(AND((AV112/I112)&lt;3,BB112=2),(I112*3)-AV112,0)</f>
        <v>0</v>
      </c>
      <c r="BG112" s="41">
        <f>IF((AV112+AW112+AX112)&lt;20,(20-(AV112+AW112+AX112)),0)</f>
        <v>8</v>
      </c>
      <c r="BH112" s="18">
        <v>17</v>
      </c>
      <c r="BI112" s="18">
        <v>25</v>
      </c>
      <c r="BJ112" s="18">
        <v>25</v>
      </c>
      <c r="BK112" s="18">
        <v>18</v>
      </c>
      <c r="BL112" s="18">
        <v>20</v>
      </c>
      <c r="BM112" s="55">
        <f>SUM(AV112:AX112)+SUM(BC112:BD112)+SUM(BE112:BF112)+BG112</f>
        <v>20</v>
      </c>
      <c r="BN112" s="55"/>
      <c r="BO112" s="55"/>
      <c r="BP112" s="55"/>
      <c r="BQ112" s="55"/>
      <c r="BR112" s="55"/>
      <c r="BS112" s="55"/>
      <c r="BT112" s="55"/>
      <c r="BU112" s="55"/>
      <c r="BV112" s="55"/>
      <c r="BW112" s="55"/>
      <c r="BX112" s="55"/>
      <c r="BY112" s="55"/>
    </row>
    <row r="113" spans="1:78" ht="33.75">
      <c r="B113" s="89">
        <v>109</v>
      </c>
      <c r="C113" s="106">
        <v>102</v>
      </c>
      <c r="D113" s="97">
        <v>639</v>
      </c>
      <c r="E113" s="105">
        <v>0.27083333333333331</v>
      </c>
      <c r="F113" s="105">
        <v>0.29375000000000001</v>
      </c>
      <c r="G113" s="93" t="s">
        <v>266</v>
      </c>
      <c r="H113" s="93" t="s">
        <v>103</v>
      </c>
      <c r="I113" s="96">
        <v>22</v>
      </c>
      <c r="J113" s="97" t="s">
        <v>254</v>
      </c>
      <c r="K113" s="98">
        <v>174</v>
      </c>
      <c r="L113" s="109" t="s">
        <v>721</v>
      </c>
      <c r="M113" s="83" t="s">
        <v>978</v>
      </c>
      <c r="N113" s="116">
        <v>46</v>
      </c>
      <c r="O113" s="83" t="s">
        <v>1924</v>
      </c>
      <c r="P113" s="116">
        <v>45</v>
      </c>
      <c r="R113" s="116"/>
      <c r="S113" s="26" t="s">
        <v>1368</v>
      </c>
      <c r="T113" s="26" t="s">
        <v>1370</v>
      </c>
      <c r="U113" s="26">
        <v>1084</v>
      </c>
      <c r="V113" s="26" t="s">
        <v>1371</v>
      </c>
      <c r="W113" s="62">
        <v>44816</v>
      </c>
      <c r="X113" s="62">
        <v>45086</v>
      </c>
      <c r="Y113" s="62"/>
      <c r="Z113" s="62"/>
      <c r="AA113" s="22" t="s">
        <v>1102</v>
      </c>
      <c r="AB113" s="23"/>
      <c r="AC113" s="23"/>
      <c r="AD113" s="23"/>
      <c r="AE113" s="23" t="s">
        <v>731</v>
      </c>
      <c r="AF113" s="23" t="s">
        <v>731</v>
      </c>
      <c r="AG113" s="23" t="s">
        <v>731</v>
      </c>
      <c r="AH113" s="23" t="s">
        <v>731</v>
      </c>
      <c r="AI113" s="23" t="s">
        <v>731</v>
      </c>
      <c r="AJ113" s="23" t="s">
        <v>731</v>
      </c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44">
        <v>40.21</v>
      </c>
      <c r="AW113" s="18"/>
      <c r="AY113" s="42"/>
      <c r="AZ113" s="42"/>
      <c r="BB113" s="43">
        <v>2</v>
      </c>
      <c r="BC113" s="44"/>
      <c r="BD113" s="44"/>
      <c r="BG113" s="41">
        <f>IF((AV113+AW113+AX113)&lt;20,(20-(AV113+AW113+AX113)),0)</f>
        <v>0</v>
      </c>
      <c r="BH113" s="18">
        <v>15</v>
      </c>
      <c r="BI113" s="18">
        <v>20</v>
      </c>
      <c r="BJ113" s="18">
        <v>21</v>
      </c>
      <c r="BK113" s="18">
        <v>15</v>
      </c>
      <c r="BL113" s="18">
        <v>17</v>
      </c>
      <c r="BM113" s="55">
        <f>SUM(AV113:AX113)+SUM(BC113:BD113)+SUM(BE113:BF113)+BG113</f>
        <v>40.21</v>
      </c>
      <c r="BN113" s="55"/>
      <c r="BO113" s="55"/>
      <c r="BP113" s="55"/>
      <c r="BQ113" s="55"/>
      <c r="BR113" s="55"/>
      <c r="BS113" s="55"/>
      <c r="BT113" s="55"/>
      <c r="BU113" s="55"/>
      <c r="BV113" s="55"/>
      <c r="BW113" s="55"/>
      <c r="BX113" s="55"/>
      <c r="BY113" s="55"/>
    </row>
    <row r="114" spans="1:78" ht="33.75">
      <c r="B114" s="89">
        <v>110</v>
      </c>
      <c r="C114" s="93">
        <v>102</v>
      </c>
      <c r="D114" s="97">
        <v>131</v>
      </c>
      <c r="E114" s="94">
        <v>0.27986111111111112</v>
      </c>
      <c r="F114" s="94">
        <v>0.30624999999999997</v>
      </c>
      <c r="G114" s="93" t="s">
        <v>265</v>
      </c>
      <c r="H114" s="93" t="s">
        <v>103</v>
      </c>
      <c r="I114" s="96">
        <v>24</v>
      </c>
      <c r="J114" s="97" t="s">
        <v>264</v>
      </c>
      <c r="K114" s="98">
        <v>174</v>
      </c>
      <c r="L114" s="109" t="s">
        <v>721</v>
      </c>
      <c r="M114" s="83" t="s">
        <v>895</v>
      </c>
      <c r="N114" s="83">
        <v>47</v>
      </c>
      <c r="O114" s="83" t="s">
        <v>1218</v>
      </c>
      <c r="P114" s="83">
        <v>45</v>
      </c>
      <c r="R114" s="83"/>
      <c r="S114" s="26" t="s">
        <v>1368</v>
      </c>
      <c r="T114" s="26" t="s">
        <v>1370</v>
      </c>
      <c r="U114" s="26">
        <v>1</v>
      </c>
      <c r="V114" s="26" t="s">
        <v>1312</v>
      </c>
      <c r="W114" s="62">
        <v>44816</v>
      </c>
      <c r="X114" s="62">
        <v>45086</v>
      </c>
      <c r="Y114" s="62"/>
      <c r="Z114" s="62"/>
      <c r="AA114" s="22" t="s">
        <v>1102</v>
      </c>
      <c r="AB114" s="23"/>
      <c r="AC114" s="23"/>
      <c r="AD114" s="23"/>
      <c r="AE114" s="23" t="s">
        <v>731</v>
      </c>
      <c r="AF114" s="23" t="s">
        <v>731</v>
      </c>
      <c r="AG114" s="23" t="s">
        <v>731</v>
      </c>
      <c r="AH114" s="23" t="s">
        <v>731</v>
      </c>
      <c r="AI114" s="23" t="s">
        <v>731</v>
      </c>
      <c r="AJ114" s="23" t="s">
        <v>731</v>
      </c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42">
        <v>161.41999999999999</v>
      </c>
      <c r="AW114" s="18"/>
      <c r="AY114" s="42"/>
      <c r="AZ114" s="42"/>
      <c r="BB114" s="43">
        <v>2</v>
      </c>
      <c r="BC114" s="41">
        <f>IF(AND((AV114/I114)&lt;2,BB114=1),(I114*2)-AV114,0)</f>
        <v>0</v>
      </c>
      <c r="BD114" s="41">
        <f>IF(AND((AV114/I114)&lt;3,BB114=2),(I114*3)-AV114,0)</f>
        <v>0</v>
      </c>
      <c r="BG114" s="41">
        <f>IF((AV114+AW114+AX114)&lt;20,(20-(AV114+AW114+AX114)),0)</f>
        <v>0</v>
      </c>
      <c r="BH114" s="18">
        <v>15</v>
      </c>
      <c r="BI114" s="18">
        <v>20</v>
      </c>
      <c r="BJ114" s="18">
        <v>21</v>
      </c>
      <c r="BK114" s="18">
        <v>15</v>
      </c>
      <c r="BL114" s="18">
        <v>17</v>
      </c>
      <c r="BM114" s="55">
        <f>SUM(AV114:AX114)+SUM(BC114:BD114)+SUM(BE114:BF114)+BG114</f>
        <v>161.41999999999999</v>
      </c>
      <c r="BN114" s="55"/>
      <c r="BO114" s="55"/>
      <c r="BP114" s="55"/>
      <c r="BQ114" s="55"/>
      <c r="BR114" s="55"/>
      <c r="BS114" s="55"/>
      <c r="BT114" s="55"/>
      <c r="BU114" s="55"/>
      <c r="BV114" s="55"/>
      <c r="BW114" s="55"/>
      <c r="BX114" s="55"/>
      <c r="BY114" s="55"/>
    </row>
    <row r="115" spans="1:78" ht="25.5">
      <c r="A115" s="156" t="s">
        <v>2090</v>
      </c>
      <c r="B115" s="157">
        <v>111</v>
      </c>
      <c r="C115" s="158">
        <v>102</v>
      </c>
      <c r="D115" s="158">
        <v>131</v>
      </c>
      <c r="E115" s="160">
        <v>0.28541666666666665</v>
      </c>
      <c r="F115" s="160">
        <v>0.3125</v>
      </c>
      <c r="G115" s="158" t="s">
        <v>1983</v>
      </c>
      <c r="H115" s="158" t="s">
        <v>103</v>
      </c>
      <c r="I115" s="161">
        <v>21</v>
      </c>
      <c r="J115" s="162">
        <v>55</v>
      </c>
      <c r="K115" s="169">
        <v>174</v>
      </c>
      <c r="L115" s="164" t="s">
        <v>745</v>
      </c>
      <c r="M115" s="165" t="s">
        <v>900</v>
      </c>
      <c r="N115" s="208">
        <v>57</v>
      </c>
      <c r="O115" s="165" t="s">
        <v>1981</v>
      </c>
      <c r="P115" s="165">
        <v>57</v>
      </c>
      <c r="Q115" s="156"/>
      <c r="R115" s="179"/>
      <c r="S115" s="170">
        <v>6136</v>
      </c>
      <c r="T115" s="170" t="s">
        <v>1985</v>
      </c>
      <c r="U115" s="170">
        <v>6120</v>
      </c>
      <c r="V115" s="170" t="s">
        <v>1314</v>
      </c>
      <c r="W115" s="180">
        <v>44816</v>
      </c>
      <c r="X115" s="180">
        <v>44865</v>
      </c>
      <c r="Y115" s="180"/>
      <c r="Z115" s="180"/>
      <c r="AA115" s="170" t="s">
        <v>1102</v>
      </c>
      <c r="AB115" s="181"/>
      <c r="AC115" s="181"/>
      <c r="AD115" s="181"/>
      <c r="AE115" s="181" t="s">
        <v>731</v>
      </c>
      <c r="AF115" s="181" t="s">
        <v>731</v>
      </c>
      <c r="AG115" s="181" t="s">
        <v>731</v>
      </c>
      <c r="AH115" s="181" t="s">
        <v>731</v>
      </c>
      <c r="AI115" s="181" t="s">
        <v>731</v>
      </c>
      <c r="AJ115" s="181" t="s">
        <v>731</v>
      </c>
      <c r="AK115" s="181"/>
      <c r="AL115" s="181"/>
      <c r="AM115" s="181"/>
      <c r="AN115" s="181"/>
      <c r="AO115" s="181"/>
      <c r="AP115" s="181"/>
      <c r="AQ115" s="181"/>
      <c r="AR115" s="181"/>
      <c r="AS115" s="181"/>
      <c r="AT115" s="181"/>
      <c r="AU115" s="181"/>
      <c r="AV115" s="168">
        <v>153.79</v>
      </c>
      <c r="AW115" s="166"/>
      <c r="AX115" s="166"/>
      <c r="AY115" s="168"/>
      <c r="AZ115" s="168"/>
      <c r="BA115" s="166"/>
      <c r="BB115" s="166">
        <v>2</v>
      </c>
      <c r="BC115" s="168">
        <f>IF(AND((AV115/I115)&lt;2,BB115=1),(I115*2)-AV115,0)</f>
        <v>0</v>
      </c>
      <c r="BD115" s="168">
        <f>IF(AND((AV115/I115)&lt;3,BB115=2),(I115*3)-AV115,0)</f>
        <v>0</v>
      </c>
      <c r="BE115" s="166"/>
      <c r="BF115" s="166"/>
      <c r="BG115" s="168">
        <f>IF((AV115+AW115+AX115)&lt;20,(20-(AV115+AW115+AX115)),0)</f>
        <v>0</v>
      </c>
      <c r="BH115" s="166">
        <v>15</v>
      </c>
      <c r="BI115" s="166">
        <v>20</v>
      </c>
      <c r="BJ115" s="166"/>
      <c r="BK115" s="166"/>
      <c r="BL115" s="166"/>
      <c r="BM115" s="167">
        <f>SUM(AV115:AX115)+SUM(BC115:BD115)+SUM(BE115:BF115)+BG115</f>
        <v>153.79</v>
      </c>
      <c r="BN115" s="167"/>
      <c r="BO115" s="167"/>
      <c r="BP115" s="167"/>
      <c r="BQ115" s="167"/>
      <c r="BR115" s="167"/>
      <c r="BS115" s="167"/>
      <c r="BT115" s="167"/>
      <c r="BU115" s="167"/>
      <c r="BV115" s="167"/>
      <c r="BW115" s="167"/>
      <c r="BX115" s="167"/>
      <c r="BY115" s="167"/>
      <c r="BZ115" s="166"/>
    </row>
    <row r="116" spans="1:78" ht="33.75">
      <c r="B116" s="89">
        <v>112</v>
      </c>
      <c r="C116" s="106">
        <v>102</v>
      </c>
      <c r="D116" s="97">
        <v>640</v>
      </c>
      <c r="E116" s="94">
        <v>0.3125</v>
      </c>
      <c r="F116" s="94">
        <v>0.34375</v>
      </c>
      <c r="G116" s="93" t="s">
        <v>258</v>
      </c>
      <c r="H116" s="93" t="s">
        <v>97</v>
      </c>
      <c r="I116" s="96">
        <v>26</v>
      </c>
      <c r="J116" s="97" t="s">
        <v>254</v>
      </c>
      <c r="K116" s="98">
        <v>208</v>
      </c>
      <c r="L116" s="109" t="s">
        <v>721</v>
      </c>
      <c r="M116" s="83" t="s">
        <v>978</v>
      </c>
      <c r="N116" s="116">
        <v>46</v>
      </c>
      <c r="O116" s="83" t="s">
        <v>1924</v>
      </c>
      <c r="P116" s="116">
        <v>45</v>
      </c>
      <c r="R116" s="116"/>
      <c r="S116" s="26">
        <v>1080</v>
      </c>
      <c r="T116" s="26" t="s">
        <v>1372</v>
      </c>
      <c r="U116" s="26">
        <v>954</v>
      </c>
      <c r="V116" s="26" t="s">
        <v>1373</v>
      </c>
      <c r="W116" s="62">
        <v>44816</v>
      </c>
      <c r="X116" s="62">
        <v>45086</v>
      </c>
      <c r="Y116" s="62"/>
      <c r="Z116" s="62"/>
      <c r="AA116" s="22" t="s">
        <v>1106</v>
      </c>
      <c r="AB116" s="23"/>
      <c r="AC116" s="23"/>
      <c r="AD116" s="23"/>
      <c r="AE116" s="23" t="s">
        <v>731</v>
      </c>
      <c r="AF116" s="23" t="s">
        <v>731</v>
      </c>
      <c r="AG116" s="23" t="s">
        <v>731</v>
      </c>
      <c r="AH116" s="23" t="s">
        <v>731</v>
      </c>
      <c r="AI116" s="23" t="s">
        <v>731</v>
      </c>
      <c r="AJ116" s="23" t="s">
        <v>731</v>
      </c>
      <c r="AK116" s="23" t="s">
        <v>731</v>
      </c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44">
        <v>173.7</v>
      </c>
      <c r="AW116" s="18"/>
      <c r="AY116" s="42"/>
      <c r="AZ116" s="42"/>
      <c r="BB116" s="43">
        <v>2</v>
      </c>
      <c r="BC116" s="44"/>
      <c r="BD116" s="44"/>
      <c r="BG116" s="18"/>
      <c r="BH116" s="18">
        <v>17</v>
      </c>
      <c r="BI116" s="18">
        <v>25</v>
      </c>
      <c r="BJ116" s="18">
        <v>25</v>
      </c>
      <c r="BK116" s="18">
        <v>18</v>
      </c>
      <c r="BL116" s="18">
        <v>20</v>
      </c>
      <c r="BM116" s="55">
        <f>SUM(AV116:AX116)+SUM(BC116:BD116)+SUM(BE116:BF116)+BG116</f>
        <v>173.7</v>
      </c>
      <c r="BN116" s="55"/>
      <c r="BO116" s="55"/>
      <c r="BP116" s="55"/>
      <c r="BQ116" s="55"/>
      <c r="BR116" s="55"/>
      <c r="BS116" s="55"/>
      <c r="BT116" s="55"/>
      <c r="BU116" s="55"/>
      <c r="BV116" s="55"/>
      <c r="BW116" s="55"/>
      <c r="BX116" s="55"/>
      <c r="BY116" s="55"/>
    </row>
    <row r="117" spans="1:78" ht="33.75">
      <c r="B117" s="89">
        <v>113</v>
      </c>
      <c r="C117" s="93">
        <v>102</v>
      </c>
      <c r="D117" s="97">
        <v>137</v>
      </c>
      <c r="E117" s="94">
        <v>0.35833333333333334</v>
      </c>
      <c r="F117" s="94">
        <v>0.40763888888888888</v>
      </c>
      <c r="G117" s="93" t="s">
        <v>263</v>
      </c>
      <c r="H117" s="93" t="s">
        <v>157</v>
      </c>
      <c r="I117" s="96">
        <v>37</v>
      </c>
      <c r="J117" s="97" t="s">
        <v>99</v>
      </c>
      <c r="K117" s="98">
        <v>58</v>
      </c>
      <c r="L117" s="109" t="s">
        <v>721</v>
      </c>
      <c r="M117" s="83" t="s">
        <v>895</v>
      </c>
      <c r="N117" s="83">
        <v>47</v>
      </c>
      <c r="O117" s="83" t="s">
        <v>896</v>
      </c>
      <c r="P117" s="83">
        <v>24</v>
      </c>
      <c r="R117" s="83"/>
      <c r="S117" s="26">
        <v>1082</v>
      </c>
      <c r="T117" s="26" t="s">
        <v>1374</v>
      </c>
      <c r="U117" s="26">
        <v>1</v>
      </c>
      <c r="V117" s="26" t="s">
        <v>1312</v>
      </c>
      <c r="W117" s="62">
        <v>44805</v>
      </c>
      <c r="X117" s="62">
        <v>45169</v>
      </c>
      <c r="Y117" s="62"/>
      <c r="Z117" s="62"/>
      <c r="AA117" s="23" t="s">
        <v>1115</v>
      </c>
      <c r="AB117" s="23" t="s">
        <v>731</v>
      </c>
      <c r="AC117" s="23" t="s">
        <v>731</v>
      </c>
      <c r="AD117" s="23"/>
      <c r="AE117" s="23"/>
      <c r="AF117" s="23"/>
      <c r="AG117" s="23"/>
      <c r="AH117" s="23"/>
      <c r="AI117" s="23"/>
      <c r="AJ117" s="23"/>
      <c r="AK117" s="23"/>
      <c r="AL117" s="23" t="s">
        <v>731</v>
      </c>
      <c r="AM117" s="23"/>
      <c r="AN117" s="23"/>
      <c r="AO117" s="23"/>
      <c r="AP117" s="23"/>
      <c r="AQ117" s="23"/>
      <c r="AR117" s="23"/>
      <c r="AS117" s="23"/>
      <c r="AT117" s="23"/>
      <c r="AU117" s="23"/>
      <c r="AV117" s="42">
        <f>((132.76*45)+(92.76*13))/58</f>
        <v>123.79448275862069</v>
      </c>
      <c r="AW117" s="18"/>
      <c r="AY117" s="42"/>
      <c r="AZ117" s="42"/>
      <c r="BB117" s="45">
        <v>1</v>
      </c>
      <c r="BC117" s="41">
        <f>IF(AND((AV117/I117)&lt;2,BB117=1),(I117*2)-AV117,0)</f>
        <v>0</v>
      </c>
      <c r="BD117" s="41">
        <f>IF(AND((AV117/I117)&lt;3,BB117=2),(I117*3)-AV117,0)</f>
        <v>0</v>
      </c>
      <c r="BG117" s="18"/>
      <c r="BH117" s="18">
        <v>4</v>
      </c>
      <c r="BI117" s="18">
        <v>5</v>
      </c>
      <c r="BJ117" s="18">
        <v>5</v>
      </c>
      <c r="BK117" s="18">
        <v>6</v>
      </c>
      <c r="BL117" s="18">
        <v>6</v>
      </c>
      <c r="BM117" s="55">
        <f>SUM(AV117:AX117)+SUM(BC117:BD117)+SUM(BE117:BF117)+BG117</f>
        <v>123.79448275862069</v>
      </c>
      <c r="BN117" s="55"/>
      <c r="BO117" s="55"/>
      <c r="BP117" s="55"/>
      <c r="BQ117" s="55"/>
      <c r="BR117" s="55"/>
      <c r="BS117" s="55"/>
      <c r="BT117" s="55"/>
      <c r="BU117" s="55"/>
      <c r="BV117" s="55"/>
      <c r="BW117" s="55"/>
      <c r="BX117" s="55"/>
      <c r="BY117" s="55"/>
    </row>
    <row r="118" spans="1:78" ht="25.5">
      <c r="B118" s="89">
        <v>114</v>
      </c>
      <c r="C118" s="101">
        <v>102</v>
      </c>
      <c r="D118" s="101">
        <v>142</v>
      </c>
      <c r="E118" s="102">
        <v>0.51388888888888895</v>
      </c>
      <c r="F118" s="102">
        <v>0.59722222222222221</v>
      </c>
      <c r="G118" s="117" t="s">
        <v>939</v>
      </c>
      <c r="H118" s="93" t="s">
        <v>549</v>
      </c>
      <c r="I118" s="101">
        <v>62</v>
      </c>
      <c r="J118" s="104">
        <v>30</v>
      </c>
      <c r="K118" s="98">
        <v>13</v>
      </c>
      <c r="L118" s="109" t="s">
        <v>723</v>
      </c>
      <c r="M118" s="83" t="s">
        <v>1045</v>
      </c>
      <c r="N118" s="83">
        <v>45</v>
      </c>
      <c r="O118" s="83" t="s">
        <v>936</v>
      </c>
      <c r="P118" s="83">
        <v>48</v>
      </c>
      <c r="Q118" s="190" t="s">
        <v>1997</v>
      </c>
      <c r="R118" s="191">
        <v>45</v>
      </c>
      <c r="S118" s="26">
        <v>1</v>
      </c>
      <c r="T118" s="26" t="s">
        <v>1309</v>
      </c>
      <c r="U118" s="26">
        <v>1070</v>
      </c>
      <c r="V118" s="26" t="s">
        <v>1310</v>
      </c>
      <c r="W118" s="63">
        <v>44562</v>
      </c>
      <c r="X118" s="63">
        <v>44815</v>
      </c>
      <c r="Y118" s="63">
        <v>45101</v>
      </c>
      <c r="Z118" s="63">
        <v>45169</v>
      </c>
      <c r="AA118" s="17" t="s">
        <v>1104</v>
      </c>
      <c r="AB118" s="23"/>
      <c r="AC118" s="23" t="s">
        <v>731</v>
      </c>
      <c r="AD118" s="23"/>
      <c r="AE118" s="23"/>
      <c r="AF118" s="23"/>
      <c r="AG118" s="23"/>
      <c r="AH118" s="23"/>
      <c r="AI118" s="23"/>
      <c r="AJ118" s="23"/>
      <c r="AK118" s="23"/>
      <c r="AL118" s="23" t="s">
        <v>731</v>
      </c>
      <c r="AM118" s="23"/>
      <c r="AN118" s="23"/>
      <c r="AO118" s="23"/>
      <c r="AP118" s="23"/>
      <c r="AQ118" s="23"/>
      <c r="AR118" s="23"/>
      <c r="AS118" s="23"/>
      <c r="AT118" s="23"/>
      <c r="AU118" s="23"/>
      <c r="AW118" s="18"/>
      <c r="AY118" s="19" t="s">
        <v>1007</v>
      </c>
      <c r="AZ118" s="19"/>
      <c r="BB118" s="45">
        <v>1</v>
      </c>
      <c r="BD118" s="41"/>
      <c r="BG118" s="18"/>
      <c r="BH118" s="18">
        <v>2</v>
      </c>
      <c r="BI118" s="18">
        <v>0</v>
      </c>
      <c r="BJ118" s="18">
        <v>0</v>
      </c>
      <c r="BK118" s="18">
        <v>0</v>
      </c>
      <c r="BL118" s="18">
        <v>0</v>
      </c>
      <c r="BM118" s="55">
        <f>SUM(AV118:AX118)+SUM(BC118:BD118)+SUM(BE118:BF118)+BG118</f>
        <v>0</v>
      </c>
      <c r="BN118" s="55"/>
      <c r="BO118" s="55"/>
      <c r="BP118" s="55"/>
      <c r="BQ118" s="55"/>
      <c r="BR118" s="55"/>
      <c r="BS118" s="55"/>
      <c r="BT118" s="55"/>
      <c r="BU118" s="55"/>
      <c r="BV118" s="55"/>
      <c r="BW118" s="55"/>
      <c r="BX118" s="55"/>
      <c r="BY118" s="55"/>
    </row>
    <row r="119" spans="1:78" ht="45">
      <c r="B119" s="89">
        <v>115</v>
      </c>
      <c r="C119" s="93">
        <v>102</v>
      </c>
      <c r="D119" s="93">
        <v>145</v>
      </c>
      <c r="E119" s="94">
        <v>0.59097222222222223</v>
      </c>
      <c r="F119" s="94">
        <v>0.60277777777777775</v>
      </c>
      <c r="G119" s="93" t="s">
        <v>666</v>
      </c>
      <c r="H119" s="93" t="s">
        <v>667</v>
      </c>
      <c r="I119" s="96">
        <v>8</v>
      </c>
      <c r="J119" s="97" t="s">
        <v>167</v>
      </c>
      <c r="K119" s="98">
        <v>70</v>
      </c>
      <c r="L119" s="109" t="s">
        <v>724</v>
      </c>
      <c r="M119" s="87" t="s">
        <v>835</v>
      </c>
      <c r="N119" s="87">
        <v>9</v>
      </c>
      <c r="O119" s="87" t="s">
        <v>1231</v>
      </c>
      <c r="P119" s="87">
        <v>9</v>
      </c>
      <c r="Q119" s="87"/>
      <c r="R119" s="87"/>
      <c r="S119" s="26">
        <v>1084</v>
      </c>
      <c r="T119" s="26" t="s">
        <v>1371</v>
      </c>
      <c r="U119" s="26">
        <v>1082</v>
      </c>
      <c r="V119" s="26" t="s">
        <v>1374</v>
      </c>
      <c r="W119" s="62">
        <v>44816</v>
      </c>
      <c r="X119" s="62">
        <v>45086</v>
      </c>
      <c r="Y119" s="62"/>
      <c r="Z119" s="62"/>
      <c r="AA119" s="26" t="s">
        <v>1116</v>
      </c>
      <c r="AB119" s="23"/>
      <c r="AC119" s="23"/>
      <c r="AD119" s="23"/>
      <c r="AE119" s="23" t="s">
        <v>731</v>
      </c>
      <c r="AF119" s="23"/>
      <c r="AG119" s="23" t="s">
        <v>731</v>
      </c>
      <c r="AH119" s="23" t="s">
        <v>731</v>
      </c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42">
        <v>24</v>
      </c>
      <c r="AW119" s="18"/>
      <c r="AY119" s="42"/>
      <c r="AZ119" s="42"/>
      <c r="BA119" s="18">
        <v>57</v>
      </c>
      <c r="BB119" s="45">
        <v>1</v>
      </c>
      <c r="BC119" s="41">
        <f>IF(AND((AV119/I119)&lt;2,BB119=1),(I119*2)-AV119,0)</f>
        <v>0</v>
      </c>
      <c r="BD119" s="41">
        <f>IF(AND((AV119/I119)&lt;3,BB119=2),(I119*3)-AV119,0)</f>
        <v>0</v>
      </c>
      <c r="BG119" s="18"/>
      <c r="BH119" s="18">
        <v>6</v>
      </c>
      <c r="BI119" s="18">
        <v>8</v>
      </c>
      <c r="BJ119" s="18">
        <v>9</v>
      </c>
      <c r="BK119" s="18">
        <v>6</v>
      </c>
      <c r="BL119" s="18">
        <v>7</v>
      </c>
      <c r="BM119" s="55">
        <f>SUM(AV119:AX119)+SUM(BC119:BD119)+SUM(BE119:BF119)+BG119</f>
        <v>24</v>
      </c>
      <c r="BN119" s="74" t="s">
        <v>1116</v>
      </c>
      <c r="BO119" s="77">
        <v>6</v>
      </c>
      <c r="BP119" s="77"/>
      <c r="BQ119" s="77">
        <v>8</v>
      </c>
      <c r="BR119" s="77"/>
      <c r="BS119" s="77">
        <v>9</v>
      </c>
      <c r="BT119" s="77"/>
      <c r="BU119" s="77">
        <v>6</v>
      </c>
      <c r="BV119" s="77"/>
      <c r="BW119" s="77">
        <v>7</v>
      </c>
      <c r="BX119" s="77"/>
      <c r="BY119" s="55">
        <v>21</v>
      </c>
    </row>
    <row r="120" spans="1:78" ht="25.5">
      <c r="B120" s="89">
        <v>116</v>
      </c>
      <c r="C120" s="93">
        <v>102</v>
      </c>
      <c r="D120" s="95">
        <v>665</v>
      </c>
      <c r="E120" s="94">
        <v>0.60555555555555551</v>
      </c>
      <c r="F120" s="105">
        <v>0.61875000000000002</v>
      </c>
      <c r="G120" s="93" t="s">
        <v>326</v>
      </c>
      <c r="H120" s="93" t="s">
        <v>103</v>
      </c>
      <c r="I120" s="96">
        <v>7.3</v>
      </c>
      <c r="J120" s="97" t="s">
        <v>116</v>
      </c>
      <c r="K120" s="98">
        <v>174</v>
      </c>
      <c r="L120" s="109" t="s">
        <v>720</v>
      </c>
      <c r="M120" s="87" t="s">
        <v>862</v>
      </c>
      <c r="N120" s="87">
        <v>17</v>
      </c>
      <c r="O120" s="87" t="s">
        <v>1866</v>
      </c>
      <c r="P120" s="87">
        <v>9</v>
      </c>
      <c r="R120" s="87"/>
      <c r="S120" s="26">
        <v>1081</v>
      </c>
      <c r="T120" s="26" t="s">
        <v>1365</v>
      </c>
      <c r="U120" s="26" t="s">
        <v>1375</v>
      </c>
      <c r="V120" s="26" t="s">
        <v>1376</v>
      </c>
      <c r="W120" s="62">
        <v>44816</v>
      </c>
      <c r="X120" s="62">
        <v>45086</v>
      </c>
      <c r="Y120" s="62"/>
      <c r="Z120" s="62"/>
      <c r="AA120" s="22" t="s">
        <v>1102</v>
      </c>
      <c r="AB120" s="23"/>
      <c r="AC120" s="23"/>
      <c r="AD120" s="23"/>
      <c r="AE120" s="23" t="s">
        <v>731</v>
      </c>
      <c r="AF120" s="23" t="s">
        <v>731</v>
      </c>
      <c r="AG120" s="23" t="s">
        <v>731</v>
      </c>
      <c r="AH120" s="23" t="s">
        <v>731</v>
      </c>
      <c r="AI120" s="23" t="s">
        <v>731</v>
      </c>
      <c r="AJ120" s="23" t="s">
        <v>731</v>
      </c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42">
        <v>13.14</v>
      </c>
      <c r="AW120" s="18"/>
      <c r="AY120" s="42"/>
      <c r="AZ120" s="42"/>
      <c r="BB120" s="45">
        <v>1</v>
      </c>
      <c r="BC120" s="41">
        <f>IF(AND((AV120/I120)&lt;2,BB120=1),(I120*2)-AV120,0)</f>
        <v>1.4599999999999991</v>
      </c>
      <c r="BD120" s="41">
        <f>IF(AND((AV120/I120)&lt;3,BB120=2),(I120*3)-AV120,0)</f>
        <v>0</v>
      </c>
      <c r="BG120" s="18"/>
      <c r="BH120" s="18">
        <v>15</v>
      </c>
      <c r="BI120" s="18">
        <v>20</v>
      </c>
      <c r="BJ120" s="18">
        <v>21</v>
      </c>
      <c r="BK120" s="18">
        <v>15</v>
      </c>
      <c r="BL120" s="18">
        <v>17</v>
      </c>
      <c r="BM120" s="55">
        <f>SUM(AV120:AX120)+SUM(BC120:BD120)+SUM(BE120:BF120)+BG120</f>
        <v>14.6</v>
      </c>
      <c r="BN120" s="55"/>
      <c r="BO120" s="55"/>
      <c r="BP120" s="55"/>
      <c r="BQ120" s="55"/>
      <c r="BR120" s="55"/>
      <c r="BS120" s="55"/>
      <c r="BT120" s="55"/>
      <c r="BU120" s="55"/>
      <c r="BV120" s="55"/>
      <c r="BW120" s="55"/>
      <c r="BX120" s="55"/>
      <c r="BY120" s="55"/>
    </row>
    <row r="121" spans="1:78" ht="33.75">
      <c r="B121" s="89">
        <v>117</v>
      </c>
      <c r="C121" s="93">
        <v>102</v>
      </c>
      <c r="D121" s="97">
        <v>176</v>
      </c>
      <c r="E121" s="94">
        <v>0.60555555555555551</v>
      </c>
      <c r="F121" s="94">
        <v>0.61805555555555558</v>
      </c>
      <c r="G121" s="93" t="s">
        <v>420</v>
      </c>
      <c r="H121" s="93" t="s">
        <v>103</v>
      </c>
      <c r="I121" s="96">
        <v>10</v>
      </c>
      <c r="J121" s="97" t="s">
        <v>167</v>
      </c>
      <c r="K121" s="98">
        <v>174</v>
      </c>
      <c r="L121" s="109" t="s">
        <v>721</v>
      </c>
      <c r="M121" s="83" t="s">
        <v>978</v>
      </c>
      <c r="N121" s="116">
        <v>46</v>
      </c>
      <c r="O121" s="83" t="s">
        <v>895</v>
      </c>
      <c r="P121" s="116">
        <v>47</v>
      </c>
      <c r="Q121" s="87" t="s">
        <v>896</v>
      </c>
      <c r="R121" s="84">
        <v>24</v>
      </c>
      <c r="S121" s="26">
        <v>1081</v>
      </c>
      <c r="T121" s="26" t="s">
        <v>1365</v>
      </c>
      <c r="U121" s="26">
        <v>1084</v>
      </c>
      <c r="V121" s="26" t="s">
        <v>1371</v>
      </c>
      <c r="W121" s="62">
        <v>44816</v>
      </c>
      <c r="X121" s="62">
        <v>45086</v>
      </c>
      <c r="Y121" s="62"/>
      <c r="Z121" s="62"/>
      <c r="AA121" s="22" t="s">
        <v>1102</v>
      </c>
      <c r="AB121" s="23"/>
      <c r="AC121" s="23"/>
      <c r="AD121" s="23"/>
      <c r="AE121" s="23" t="s">
        <v>731</v>
      </c>
      <c r="AF121" s="23" t="s">
        <v>731</v>
      </c>
      <c r="AG121" s="23" t="s">
        <v>731</v>
      </c>
      <c r="AH121" s="23" t="s">
        <v>731</v>
      </c>
      <c r="AI121" s="23" t="s">
        <v>731</v>
      </c>
      <c r="AJ121" s="23" t="s">
        <v>731</v>
      </c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42">
        <v>18</v>
      </c>
      <c r="AW121" s="18"/>
      <c r="AY121" s="42"/>
      <c r="AZ121" s="42"/>
      <c r="BB121" s="45">
        <v>1</v>
      </c>
      <c r="BC121" s="41">
        <f>IF(AND((AV121/I121)&lt;2,BB121=1),(I121*2)-AV121,0)</f>
        <v>2</v>
      </c>
      <c r="BD121" s="41">
        <f>IF(AND((AV121/I121)&lt;3,BB121=2),(I121*3)-AV121,0)</f>
        <v>0</v>
      </c>
      <c r="BG121" s="18"/>
      <c r="BH121" s="18">
        <v>15</v>
      </c>
      <c r="BI121" s="18">
        <v>20</v>
      </c>
      <c r="BJ121" s="18">
        <v>21</v>
      </c>
      <c r="BK121" s="18">
        <v>15</v>
      </c>
      <c r="BL121" s="18">
        <v>17</v>
      </c>
      <c r="BM121" s="55">
        <f>SUM(AV121:AX121)+SUM(BC121:BD121)+SUM(BE121:BF121)+BG121</f>
        <v>20</v>
      </c>
      <c r="BN121" s="55"/>
      <c r="BO121" s="55"/>
      <c r="BP121" s="55"/>
      <c r="BQ121" s="55"/>
      <c r="BR121" s="55"/>
      <c r="BS121" s="55"/>
      <c r="BT121" s="55"/>
      <c r="BU121" s="55"/>
      <c r="BV121" s="55"/>
      <c r="BW121" s="55"/>
      <c r="BX121" s="55"/>
      <c r="BY121" s="55"/>
    </row>
    <row r="122" spans="1:78" ht="33.75">
      <c r="B122" s="89">
        <v>118</v>
      </c>
      <c r="C122" s="101">
        <v>102</v>
      </c>
      <c r="D122" s="101">
        <v>538</v>
      </c>
      <c r="E122" s="102">
        <v>0.64374999999999993</v>
      </c>
      <c r="F122" s="102">
        <v>0.69236111111111109</v>
      </c>
      <c r="G122" s="103" t="s">
        <v>22</v>
      </c>
      <c r="H122" s="103" t="s">
        <v>267</v>
      </c>
      <c r="I122" s="101">
        <v>35</v>
      </c>
      <c r="J122" s="104">
        <v>19</v>
      </c>
      <c r="K122" s="98">
        <v>55</v>
      </c>
      <c r="L122" s="109" t="s">
        <v>721</v>
      </c>
      <c r="M122" s="83" t="s">
        <v>896</v>
      </c>
      <c r="N122" s="83">
        <v>24</v>
      </c>
      <c r="O122" s="83" t="s">
        <v>1867</v>
      </c>
      <c r="P122" s="83">
        <v>21</v>
      </c>
      <c r="Q122" s="87" t="s">
        <v>895</v>
      </c>
      <c r="R122" s="84">
        <v>47</v>
      </c>
      <c r="S122" s="26">
        <v>1</v>
      </c>
      <c r="T122" s="26" t="s">
        <v>1309</v>
      </c>
      <c r="U122" s="26">
        <v>1082</v>
      </c>
      <c r="V122" s="26" t="s">
        <v>1374</v>
      </c>
      <c r="W122" s="63">
        <v>44562</v>
      </c>
      <c r="X122" s="63">
        <v>44815</v>
      </c>
      <c r="Y122" s="63">
        <v>45101</v>
      </c>
      <c r="Z122" s="63">
        <v>45169</v>
      </c>
      <c r="AA122" s="22" t="s">
        <v>1109</v>
      </c>
      <c r="AB122" s="23"/>
      <c r="AC122" s="23" t="s">
        <v>731</v>
      </c>
      <c r="AD122" s="23" t="s">
        <v>731</v>
      </c>
      <c r="AE122" s="23"/>
      <c r="AF122" s="23" t="s">
        <v>731</v>
      </c>
      <c r="AG122" s="23" t="s">
        <v>731</v>
      </c>
      <c r="AH122" s="23" t="s">
        <v>731</v>
      </c>
      <c r="AI122" s="23" t="s">
        <v>731</v>
      </c>
      <c r="AJ122" s="23" t="s">
        <v>731</v>
      </c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W122" s="41">
        <f>1.9*35</f>
        <v>66.5</v>
      </c>
      <c r="AY122" s="41"/>
      <c r="AZ122" s="41"/>
      <c r="BB122" s="45">
        <v>1</v>
      </c>
      <c r="BD122" s="41"/>
      <c r="BE122" s="41">
        <f>IF(AND((AW122/I122)&lt;2,BB122=1),(I122*2)-AW122,0)</f>
        <v>3.5</v>
      </c>
      <c r="BF122" s="41">
        <f>IF(AND((AW122/I122)&lt;3,BB122=2),(I122*3)-AW122,0)</f>
        <v>0</v>
      </c>
      <c r="BG122" s="18"/>
      <c r="BH122" s="18">
        <v>7</v>
      </c>
      <c r="BI122" s="18">
        <v>0</v>
      </c>
      <c r="BJ122" s="18">
        <v>0</v>
      </c>
      <c r="BK122" s="18">
        <v>0</v>
      </c>
      <c r="BL122" s="18">
        <v>0</v>
      </c>
      <c r="BM122" s="55">
        <f>SUM(AV122:AX122)+SUM(BC122:BD122)+SUM(BE122:BF122)+BG122</f>
        <v>70</v>
      </c>
      <c r="BN122" s="55"/>
      <c r="BO122" s="55"/>
      <c r="BP122" s="55"/>
      <c r="BQ122" s="55"/>
      <c r="BR122" s="55"/>
      <c r="BS122" s="55"/>
      <c r="BT122" s="55"/>
      <c r="BU122" s="55"/>
      <c r="BV122" s="55"/>
      <c r="BW122" s="55"/>
      <c r="BX122" s="55"/>
      <c r="BY122" s="55"/>
    </row>
    <row r="123" spans="1:78" ht="33.75">
      <c r="B123" s="89">
        <v>119</v>
      </c>
      <c r="C123" s="93">
        <v>102</v>
      </c>
      <c r="D123" s="97">
        <v>185</v>
      </c>
      <c r="E123" s="105">
        <v>0.65625</v>
      </c>
      <c r="F123" s="105">
        <v>0.71458333333333324</v>
      </c>
      <c r="G123" s="93" t="s">
        <v>255</v>
      </c>
      <c r="H123" s="93" t="s">
        <v>194</v>
      </c>
      <c r="I123" s="96">
        <v>51</v>
      </c>
      <c r="J123" s="97" t="s">
        <v>254</v>
      </c>
      <c r="K123" s="98">
        <f>34+34+36+33</f>
        <v>137</v>
      </c>
      <c r="L123" s="109" t="s">
        <v>721</v>
      </c>
      <c r="M123" s="83" t="s">
        <v>978</v>
      </c>
      <c r="N123" s="116">
        <v>46</v>
      </c>
      <c r="O123" s="83" t="s">
        <v>895</v>
      </c>
      <c r="P123" s="116">
        <v>47</v>
      </c>
      <c r="R123" s="116"/>
      <c r="S123" s="26">
        <v>1190</v>
      </c>
      <c r="T123" s="26" t="s">
        <v>1377</v>
      </c>
      <c r="U123" s="26" t="s">
        <v>1378</v>
      </c>
      <c r="V123" s="26" t="s">
        <v>1379</v>
      </c>
      <c r="W123" s="62">
        <v>44816</v>
      </c>
      <c r="X123" s="62">
        <v>45086</v>
      </c>
      <c r="Y123" s="62"/>
      <c r="Z123" s="62"/>
      <c r="AA123" s="24" t="s">
        <v>1105</v>
      </c>
      <c r="AB123" s="23"/>
      <c r="AC123" s="23"/>
      <c r="AD123" s="23"/>
      <c r="AE123" s="23" t="s">
        <v>731</v>
      </c>
      <c r="AF123" s="23" t="s">
        <v>731</v>
      </c>
      <c r="AG123" s="23" t="s">
        <v>731</v>
      </c>
      <c r="AH123" s="23" t="s">
        <v>731</v>
      </c>
      <c r="AI123" s="23" t="s">
        <v>731</v>
      </c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42">
        <v>91.8</v>
      </c>
      <c r="AW123" s="18"/>
      <c r="AY123" s="42"/>
      <c r="AZ123" s="42"/>
      <c r="BB123" s="43">
        <v>2</v>
      </c>
      <c r="BC123" s="41">
        <f>IF(AND((AV123/I123)&lt;2,BB123=1),(I123*2)-AV123,0)</f>
        <v>0</v>
      </c>
      <c r="BD123" s="41">
        <f>IF(AND((AV123/I123)&lt;3,BB123=2),(I123*3)-AV123,0)</f>
        <v>61.2</v>
      </c>
      <c r="BG123" s="18"/>
      <c r="BH123" s="18">
        <v>12</v>
      </c>
      <c r="BI123" s="18">
        <v>16</v>
      </c>
      <c r="BJ123" s="18">
        <v>17</v>
      </c>
      <c r="BK123" s="18">
        <v>12</v>
      </c>
      <c r="BL123" s="18">
        <v>14</v>
      </c>
      <c r="BM123" s="55">
        <f>SUM(AV123:AX123)+SUM(BC123:BD123)+SUM(BE123:BF123)+BG123</f>
        <v>153</v>
      </c>
      <c r="BN123" s="55"/>
      <c r="BO123" s="55"/>
      <c r="BP123" s="55"/>
      <c r="BQ123" s="55"/>
      <c r="BR123" s="55"/>
      <c r="BS123" s="55"/>
      <c r="BT123" s="55"/>
      <c r="BU123" s="55"/>
      <c r="BV123" s="55"/>
      <c r="BW123" s="55"/>
      <c r="BX123" s="55"/>
      <c r="BY123" s="55"/>
    </row>
    <row r="124" spans="1:78" ht="25.5">
      <c r="B124" s="89">
        <v>120</v>
      </c>
      <c r="C124" s="101">
        <v>102</v>
      </c>
      <c r="D124" s="101">
        <v>147</v>
      </c>
      <c r="E124" s="102">
        <v>0.70833333333333337</v>
      </c>
      <c r="F124" s="102">
        <v>0.79861111111111116</v>
      </c>
      <c r="G124" s="103" t="s">
        <v>23</v>
      </c>
      <c r="H124" s="93" t="s">
        <v>549</v>
      </c>
      <c r="I124" s="101">
        <v>62</v>
      </c>
      <c r="J124" s="104">
        <v>30</v>
      </c>
      <c r="K124" s="98">
        <v>13</v>
      </c>
      <c r="L124" s="109" t="s">
        <v>723</v>
      </c>
      <c r="M124" s="83" t="s">
        <v>1045</v>
      </c>
      <c r="N124" s="83">
        <v>45</v>
      </c>
      <c r="O124" s="83" t="s">
        <v>936</v>
      </c>
      <c r="P124" s="83">
        <v>48</v>
      </c>
      <c r="Q124" s="190" t="s">
        <v>1997</v>
      </c>
      <c r="R124" s="191">
        <v>45</v>
      </c>
      <c r="S124" s="26">
        <v>1070</v>
      </c>
      <c r="T124" s="26" t="s">
        <v>1310</v>
      </c>
      <c r="U124" s="26">
        <v>1</v>
      </c>
      <c r="V124" s="26" t="s">
        <v>1312</v>
      </c>
      <c r="W124" s="63">
        <v>44562</v>
      </c>
      <c r="X124" s="63">
        <v>44815</v>
      </c>
      <c r="Y124" s="63">
        <v>45101</v>
      </c>
      <c r="Z124" s="63">
        <v>45169</v>
      </c>
      <c r="AA124" s="17" t="s">
        <v>1104</v>
      </c>
      <c r="AB124" s="23"/>
      <c r="AC124" s="23" t="s">
        <v>731</v>
      </c>
      <c r="AD124" s="23"/>
      <c r="AE124" s="23"/>
      <c r="AF124" s="23"/>
      <c r="AG124" s="23"/>
      <c r="AH124" s="23"/>
      <c r="AI124" s="23"/>
      <c r="AJ124" s="23"/>
      <c r="AK124" s="23"/>
      <c r="AL124" s="23" t="s">
        <v>731</v>
      </c>
      <c r="AM124" s="23"/>
      <c r="AN124" s="23"/>
      <c r="AO124" s="23"/>
      <c r="AP124" s="23"/>
      <c r="AQ124" s="23"/>
      <c r="AR124" s="23"/>
      <c r="AS124" s="23"/>
      <c r="AT124" s="23"/>
      <c r="AU124" s="23"/>
      <c r="AW124" s="18"/>
      <c r="AY124" s="19" t="s">
        <v>1008</v>
      </c>
      <c r="AZ124" s="19"/>
      <c r="BB124" s="45">
        <v>1</v>
      </c>
      <c r="BD124" s="41"/>
      <c r="BG124" s="18"/>
      <c r="BH124" s="18">
        <v>2</v>
      </c>
      <c r="BI124" s="18">
        <v>0</v>
      </c>
      <c r="BJ124" s="18">
        <v>0</v>
      </c>
      <c r="BK124" s="18">
        <v>0</v>
      </c>
      <c r="BL124" s="18">
        <v>0</v>
      </c>
      <c r="BM124" s="55">
        <f>SUM(AV124:AX124)+SUM(BC124:BD124)+SUM(BE124:BF124)+BG124</f>
        <v>0</v>
      </c>
      <c r="BN124" s="55"/>
      <c r="BO124" s="55"/>
      <c r="BP124" s="55"/>
      <c r="BQ124" s="55"/>
      <c r="BR124" s="55"/>
      <c r="BS124" s="55"/>
      <c r="BT124" s="55"/>
      <c r="BU124" s="55"/>
      <c r="BV124" s="55"/>
      <c r="BW124" s="55"/>
      <c r="BX124" s="55"/>
      <c r="BY124" s="55"/>
    </row>
    <row r="125" spans="1:78" ht="25.5">
      <c r="B125" s="89">
        <v>121</v>
      </c>
      <c r="C125" s="93">
        <v>103</v>
      </c>
      <c r="D125" s="95">
        <v>928</v>
      </c>
      <c r="E125" s="94">
        <v>0.2590277777777778</v>
      </c>
      <c r="F125" s="94">
        <v>0.27083333333333331</v>
      </c>
      <c r="G125" s="93" t="s">
        <v>635</v>
      </c>
      <c r="H125" s="93" t="s">
        <v>103</v>
      </c>
      <c r="I125" s="96">
        <v>13.3</v>
      </c>
      <c r="J125" s="97" t="s">
        <v>183</v>
      </c>
      <c r="K125" s="98">
        <v>174</v>
      </c>
      <c r="L125" s="118" t="s">
        <v>725</v>
      </c>
      <c r="M125" s="87" t="s">
        <v>929</v>
      </c>
      <c r="N125" s="119">
        <v>57</v>
      </c>
      <c r="O125" s="119" t="s">
        <v>1868</v>
      </c>
      <c r="P125" s="119">
        <v>54</v>
      </c>
      <c r="Q125" s="87" t="s">
        <v>1951</v>
      </c>
      <c r="R125" s="84">
        <v>55</v>
      </c>
      <c r="S125" s="26" t="s">
        <v>1380</v>
      </c>
      <c r="T125" s="26" t="s">
        <v>1381</v>
      </c>
      <c r="U125" s="26" t="s">
        <v>1382</v>
      </c>
      <c r="V125" s="26" t="s">
        <v>1383</v>
      </c>
      <c r="W125" s="62">
        <v>44816</v>
      </c>
      <c r="X125" s="62">
        <v>45086</v>
      </c>
      <c r="Y125" s="62"/>
      <c r="Z125" s="62"/>
      <c r="AA125" s="22" t="s">
        <v>1102</v>
      </c>
      <c r="AB125" s="23"/>
      <c r="AC125" s="23"/>
      <c r="AD125" s="23"/>
      <c r="AE125" s="23" t="s">
        <v>731</v>
      </c>
      <c r="AF125" s="23" t="s">
        <v>731</v>
      </c>
      <c r="AG125" s="23" t="s">
        <v>731</v>
      </c>
      <c r="AH125" s="23" t="s">
        <v>731</v>
      </c>
      <c r="AI125" s="23" t="s">
        <v>731</v>
      </c>
      <c r="AJ125" s="23" t="s">
        <v>731</v>
      </c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42">
        <f>15.9+24</f>
        <v>39.9</v>
      </c>
      <c r="AW125" s="18"/>
      <c r="AY125" s="42"/>
      <c r="AZ125" s="42"/>
      <c r="BB125" s="43">
        <v>2</v>
      </c>
      <c r="BC125" s="41">
        <f>IF(AND((AV125/I125)&lt;2,BB125=1),(I125*2)-AV125,0)</f>
        <v>0</v>
      </c>
      <c r="BD125" s="41">
        <f>IF(AND((AV125/I125)&lt;3,BB125=2),(I125*3)-AV125,0)</f>
        <v>0</v>
      </c>
      <c r="BG125" s="41">
        <f>IF((AV125+AW125+AX125)&lt;20,(20-(AV125+AW125+AX125)),0)</f>
        <v>0</v>
      </c>
      <c r="BH125" s="18">
        <v>15</v>
      </c>
      <c r="BI125" s="18">
        <v>20</v>
      </c>
      <c r="BJ125" s="18">
        <v>21</v>
      </c>
      <c r="BK125" s="18">
        <v>15</v>
      </c>
      <c r="BL125" s="18">
        <v>17</v>
      </c>
      <c r="BM125" s="55">
        <f>SUM(AV125:AX125)+SUM(BC125:BD125)+SUM(BE125:BF125)+BG125</f>
        <v>39.9</v>
      </c>
      <c r="BN125" s="55"/>
      <c r="BO125" s="55"/>
      <c r="BP125" s="55"/>
      <c r="BQ125" s="55"/>
      <c r="BR125" s="55"/>
      <c r="BS125" s="55"/>
      <c r="BT125" s="55"/>
      <c r="BU125" s="55"/>
      <c r="BV125" s="55"/>
      <c r="BW125" s="55"/>
      <c r="BX125" s="55"/>
      <c r="BY125" s="55"/>
    </row>
    <row r="126" spans="1:78" ht="25.5">
      <c r="B126" s="89">
        <v>122</v>
      </c>
      <c r="C126" s="93">
        <v>103</v>
      </c>
      <c r="D126" s="93">
        <v>101</v>
      </c>
      <c r="E126" s="94">
        <v>0.2638888888888889</v>
      </c>
      <c r="F126" s="94">
        <v>0.2673611111111111</v>
      </c>
      <c r="G126" s="93" t="s">
        <v>303</v>
      </c>
      <c r="H126" s="93" t="s">
        <v>478</v>
      </c>
      <c r="I126" s="96">
        <v>2.5</v>
      </c>
      <c r="J126" s="97" t="s">
        <v>269</v>
      </c>
      <c r="K126" s="98">
        <v>240</v>
      </c>
      <c r="L126" s="109" t="s">
        <v>726</v>
      </c>
      <c r="M126" s="83" t="s">
        <v>880</v>
      </c>
      <c r="N126" s="83">
        <v>9</v>
      </c>
      <c r="O126" s="83" t="s">
        <v>977</v>
      </c>
      <c r="P126" s="83">
        <v>18</v>
      </c>
      <c r="R126" s="83"/>
      <c r="S126" s="26">
        <v>1126</v>
      </c>
      <c r="T126" s="26" t="s">
        <v>1384</v>
      </c>
      <c r="U126" s="26">
        <v>1122</v>
      </c>
      <c r="V126" s="26" t="s">
        <v>1313</v>
      </c>
      <c r="W126" s="63">
        <v>44816</v>
      </c>
      <c r="X126" s="63">
        <v>45100</v>
      </c>
      <c r="Y126" s="63"/>
      <c r="Z126" s="63"/>
      <c r="AA126" s="26" t="s">
        <v>1112</v>
      </c>
      <c r="AB126" s="23" t="s">
        <v>731</v>
      </c>
      <c r="AC126" s="23"/>
      <c r="AD126" s="23" t="s">
        <v>731</v>
      </c>
      <c r="AE126" s="23"/>
      <c r="AF126" s="23" t="s">
        <v>731</v>
      </c>
      <c r="AG126" s="23" t="s">
        <v>731</v>
      </c>
      <c r="AH126" s="23" t="s">
        <v>731</v>
      </c>
      <c r="AI126" s="23" t="s">
        <v>731</v>
      </c>
      <c r="AJ126" s="23" t="s">
        <v>731</v>
      </c>
      <c r="AK126" s="23" t="s">
        <v>731</v>
      </c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42">
        <v>20.68</v>
      </c>
      <c r="AW126" s="18"/>
      <c r="AY126" s="42"/>
      <c r="AZ126" s="42"/>
      <c r="BB126" s="45">
        <v>1</v>
      </c>
      <c r="BC126" s="41">
        <f>IF(AND((AV126/I126)&lt;2,BB126=1),(I126*2)-AV126,0)</f>
        <v>0</v>
      </c>
      <c r="BD126" s="41">
        <f>IF(AND((AV126/I126)&lt;3,BB126=2),(I126*3)-AV126,0)</f>
        <v>0</v>
      </c>
      <c r="BG126" s="41">
        <f>IF((AV126+AW126+AX126)&lt;20,(20-(AV126+AW126+AX126)),0)</f>
        <v>0</v>
      </c>
      <c r="BH126" s="18">
        <v>17</v>
      </c>
      <c r="BI126" s="18">
        <v>26</v>
      </c>
      <c r="BJ126" s="18">
        <v>25</v>
      </c>
      <c r="BK126" s="18">
        <v>25</v>
      </c>
      <c r="BL126" s="18">
        <v>25</v>
      </c>
      <c r="BM126" s="55">
        <f>SUM(AV126:AX126)+SUM(BC126:BD126)+SUM(BE126:BF126)+BG126</f>
        <v>20.68</v>
      </c>
      <c r="BN126" s="55"/>
      <c r="BO126" s="55"/>
      <c r="BP126" s="55"/>
      <c r="BQ126" s="55"/>
      <c r="BR126" s="55"/>
      <c r="BS126" s="55"/>
      <c r="BT126" s="55"/>
      <c r="BU126" s="55"/>
      <c r="BV126" s="55"/>
      <c r="BW126" s="55"/>
      <c r="BX126" s="55"/>
      <c r="BY126" s="55"/>
    </row>
    <row r="127" spans="1:78" ht="25.5">
      <c r="B127" s="89">
        <v>123</v>
      </c>
      <c r="C127" s="93">
        <v>103</v>
      </c>
      <c r="D127" s="95">
        <v>101</v>
      </c>
      <c r="E127" s="105">
        <v>0.27916666666666667</v>
      </c>
      <c r="F127" s="94">
        <v>0.32083333333333336</v>
      </c>
      <c r="G127" s="93" t="s">
        <v>184</v>
      </c>
      <c r="H127" s="93" t="s">
        <v>103</v>
      </c>
      <c r="I127" s="96">
        <v>31</v>
      </c>
      <c r="J127" s="97" t="s">
        <v>183</v>
      </c>
      <c r="K127" s="98">
        <v>174</v>
      </c>
      <c r="L127" s="99" t="s">
        <v>725</v>
      </c>
      <c r="M127" s="87" t="s">
        <v>929</v>
      </c>
      <c r="N127" s="119">
        <v>57</v>
      </c>
      <c r="O127" s="119" t="s">
        <v>1868</v>
      </c>
      <c r="P127" s="119">
        <v>54</v>
      </c>
      <c r="Q127" s="87" t="s">
        <v>1951</v>
      </c>
      <c r="R127" s="84">
        <v>55</v>
      </c>
      <c r="S127" s="26" t="s">
        <v>1385</v>
      </c>
      <c r="T127" s="26" t="s">
        <v>1386</v>
      </c>
      <c r="U127" s="26">
        <v>1</v>
      </c>
      <c r="V127" s="26" t="s">
        <v>1312</v>
      </c>
      <c r="W127" s="62">
        <v>44816</v>
      </c>
      <c r="X127" s="62">
        <v>45086</v>
      </c>
      <c r="Y127" s="62"/>
      <c r="Z127" s="62"/>
      <c r="AA127" s="22" t="s">
        <v>1102</v>
      </c>
      <c r="AB127" s="23"/>
      <c r="AC127" s="23"/>
      <c r="AD127" s="23"/>
      <c r="AE127" s="23" t="s">
        <v>731</v>
      </c>
      <c r="AF127" s="23" t="s">
        <v>731</v>
      </c>
      <c r="AG127" s="23" t="s">
        <v>731</v>
      </c>
      <c r="AH127" s="23" t="s">
        <v>731</v>
      </c>
      <c r="AI127" s="23" t="s">
        <v>731</v>
      </c>
      <c r="AJ127" s="23" t="s">
        <v>731</v>
      </c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42">
        <v>161.41999999999999</v>
      </c>
      <c r="AY127" s="42"/>
      <c r="AZ127" s="42"/>
      <c r="BB127" s="43">
        <v>2</v>
      </c>
      <c r="BC127" s="41">
        <f>IF(AND((AV127/I127)&lt;2,BB127=1),(I127*2)-AV127,0)</f>
        <v>0</v>
      </c>
      <c r="BD127" s="41">
        <f>IF(AND((AV127/I127)&lt;3,BB127=2),(I127*3)-AV127,0)</f>
        <v>0</v>
      </c>
      <c r="BG127" s="41">
        <f>IF((AV127+AW127+AX127)&lt;20,(20-(AV127+AW127+AX127)),0)</f>
        <v>0</v>
      </c>
      <c r="BH127" s="18">
        <v>15</v>
      </c>
      <c r="BI127" s="18">
        <v>20</v>
      </c>
      <c r="BJ127" s="18">
        <v>21</v>
      </c>
      <c r="BK127" s="18">
        <v>15</v>
      </c>
      <c r="BL127" s="18">
        <v>17</v>
      </c>
      <c r="BM127" s="55">
        <f>SUM(AV127:AX127)+SUM(BC127:BD127)+SUM(BE127:BF127)+BG127</f>
        <v>161.41999999999999</v>
      </c>
      <c r="BN127" s="55"/>
      <c r="BO127" s="55"/>
      <c r="BP127" s="55"/>
      <c r="BQ127" s="55"/>
      <c r="BR127" s="55"/>
      <c r="BS127" s="55"/>
      <c r="BT127" s="55"/>
      <c r="BU127" s="55"/>
      <c r="BV127" s="55"/>
      <c r="BW127" s="55"/>
      <c r="BX127" s="55"/>
      <c r="BY127" s="55"/>
    </row>
    <row r="128" spans="1:78" ht="25.5">
      <c r="B128" s="89">
        <v>124</v>
      </c>
      <c r="C128" s="93">
        <v>103</v>
      </c>
      <c r="D128" s="97">
        <v>99</v>
      </c>
      <c r="E128" s="94">
        <v>0.28819444444444448</v>
      </c>
      <c r="F128" s="94">
        <v>0.30833333333333335</v>
      </c>
      <c r="G128" s="93" t="s">
        <v>305</v>
      </c>
      <c r="H128" s="93" t="s">
        <v>103</v>
      </c>
      <c r="I128" s="96">
        <v>18</v>
      </c>
      <c r="J128" s="97" t="s">
        <v>99</v>
      </c>
      <c r="K128" s="98">
        <v>174</v>
      </c>
      <c r="L128" s="99" t="s">
        <v>727</v>
      </c>
      <c r="M128" s="83" t="s">
        <v>879</v>
      </c>
      <c r="N128" s="83">
        <v>21</v>
      </c>
      <c r="O128" s="83" t="s">
        <v>1232</v>
      </c>
      <c r="P128" s="83">
        <v>21</v>
      </c>
      <c r="R128" s="83"/>
      <c r="S128" s="26" t="s">
        <v>1387</v>
      </c>
      <c r="T128" s="26" t="s">
        <v>1388</v>
      </c>
      <c r="U128" s="26" t="s">
        <v>1389</v>
      </c>
      <c r="V128" s="26" t="s">
        <v>1390</v>
      </c>
      <c r="W128" s="62">
        <v>44816</v>
      </c>
      <c r="X128" s="62">
        <v>45086</v>
      </c>
      <c r="Y128" s="62"/>
      <c r="Z128" s="62"/>
      <c r="AA128" s="22" t="s">
        <v>1102</v>
      </c>
      <c r="AB128" s="23"/>
      <c r="AC128" s="23"/>
      <c r="AD128" s="23"/>
      <c r="AE128" s="23" t="s">
        <v>731</v>
      </c>
      <c r="AF128" s="23" t="s">
        <v>731</v>
      </c>
      <c r="AG128" s="23" t="s">
        <v>731</v>
      </c>
      <c r="AH128" s="23" t="s">
        <v>731</v>
      </c>
      <c r="AI128" s="23" t="s">
        <v>731</v>
      </c>
      <c r="AJ128" s="23" t="s">
        <v>731</v>
      </c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42">
        <v>172.02</v>
      </c>
      <c r="AY128" s="42"/>
      <c r="AZ128" s="42"/>
      <c r="BB128" s="45">
        <v>1</v>
      </c>
      <c r="BC128" s="41">
        <f>IF(AND((AV128/I128)&lt;2,BB128=1),(I128*2)-AV128,0)</f>
        <v>0</v>
      </c>
      <c r="BD128" s="41">
        <f>IF(AND((AV128/I128)&lt;3,BB128=2),(I128*3)-AV128,0)</f>
        <v>0</v>
      </c>
      <c r="BG128" s="41">
        <f>IF((AV128+AW128+AX128)&lt;20,(20-(AV128+AW128+AX128)),0)</f>
        <v>0</v>
      </c>
      <c r="BH128" s="18">
        <v>15</v>
      </c>
      <c r="BI128" s="18">
        <v>20</v>
      </c>
      <c r="BJ128" s="18">
        <v>21</v>
      </c>
      <c r="BK128" s="18">
        <v>15</v>
      </c>
      <c r="BL128" s="18">
        <v>17</v>
      </c>
      <c r="BM128" s="55">
        <f>SUM(AV128:AX128)+SUM(BC128:BD128)+SUM(BE128:BF128)+BG128</f>
        <v>172.02</v>
      </c>
      <c r="BN128" s="55"/>
      <c r="BO128" s="55"/>
      <c r="BP128" s="55"/>
      <c r="BQ128" s="55"/>
      <c r="BR128" s="55"/>
      <c r="BS128" s="55"/>
      <c r="BT128" s="55"/>
      <c r="BU128" s="55"/>
      <c r="BV128" s="55"/>
      <c r="BW128" s="55"/>
      <c r="BX128" s="55"/>
      <c r="BY128" s="55"/>
    </row>
    <row r="129" spans="1:77" ht="25.5">
      <c r="B129" s="89">
        <v>125</v>
      </c>
      <c r="C129" s="106">
        <v>103</v>
      </c>
      <c r="D129" s="97">
        <v>183</v>
      </c>
      <c r="E129" s="94">
        <v>0.2951388888888889</v>
      </c>
      <c r="F129" s="94">
        <v>0.31666666666666665</v>
      </c>
      <c r="G129" s="93" t="s">
        <v>100</v>
      </c>
      <c r="H129" s="93" t="s">
        <v>97</v>
      </c>
      <c r="I129" s="96">
        <v>16</v>
      </c>
      <c r="J129" s="97" t="s">
        <v>99</v>
      </c>
      <c r="K129" s="98">
        <v>208</v>
      </c>
      <c r="L129" s="99" t="s">
        <v>730</v>
      </c>
      <c r="M129" s="87" t="s">
        <v>875</v>
      </c>
      <c r="N129" s="87">
        <v>17</v>
      </c>
      <c r="O129" s="83" t="s">
        <v>1869</v>
      </c>
      <c r="P129" s="83">
        <v>18</v>
      </c>
      <c r="Q129" s="87"/>
      <c r="R129" s="84"/>
      <c r="S129" s="26">
        <v>1122</v>
      </c>
      <c r="T129" s="26" t="s">
        <v>1313</v>
      </c>
      <c r="U129" s="26" t="s">
        <v>1391</v>
      </c>
      <c r="V129" s="26" t="s">
        <v>1392</v>
      </c>
      <c r="W129" s="62">
        <v>44816</v>
      </c>
      <c r="X129" s="62">
        <v>45086</v>
      </c>
      <c r="Y129" s="62"/>
      <c r="Z129" s="62"/>
      <c r="AA129" s="22" t="s">
        <v>1106</v>
      </c>
      <c r="AB129" s="23"/>
      <c r="AC129" s="23"/>
      <c r="AD129" s="23"/>
      <c r="AE129" s="23" t="s">
        <v>731</v>
      </c>
      <c r="AF129" s="23" t="s">
        <v>731</v>
      </c>
      <c r="AG129" s="23" t="s">
        <v>731</v>
      </c>
      <c r="AH129" s="23" t="s">
        <v>731</v>
      </c>
      <c r="AI129" s="23" t="s">
        <v>731</v>
      </c>
      <c r="AJ129" s="23" t="s">
        <v>731</v>
      </c>
      <c r="AK129" s="23" t="s">
        <v>731</v>
      </c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42">
        <v>88.88</v>
      </c>
      <c r="AY129" s="42"/>
      <c r="AZ129" s="42"/>
      <c r="BA129" s="20">
        <v>3</v>
      </c>
      <c r="BB129" s="45">
        <v>1</v>
      </c>
      <c r="BC129" s="41">
        <f>IF(AND((AV129/I129)&lt;2,BB129=1),(I129*2)-AV129,0)</f>
        <v>0</v>
      </c>
      <c r="BD129" s="41">
        <f>IF(AND((AV129/I129)&lt;3,BB129=2),(I129*3)-AV129,0)</f>
        <v>0</v>
      </c>
      <c r="BG129" s="18"/>
      <c r="BH129" s="18">
        <v>17</v>
      </c>
      <c r="BI129" s="18">
        <v>25</v>
      </c>
      <c r="BJ129" s="18">
        <v>25</v>
      </c>
      <c r="BK129" s="18">
        <v>18</v>
      </c>
      <c r="BL129" s="18">
        <v>20</v>
      </c>
      <c r="BM129" s="55">
        <f>SUM(AV129:AX129)+SUM(BC129:BD129)+SUM(BE129:BF129)+BG129</f>
        <v>88.88</v>
      </c>
      <c r="BN129" s="55" t="s">
        <v>1838</v>
      </c>
      <c r="BO129" s="77">
        <v>1</v>
      </c>
      <c r="BP129" s="77"/>
      <c r="BQ129" s="77">
        <v>1</v>
      </c>
      <c r="BR129" s="77"/>
      <c r="BS129" s="77">
        <v>1</v>
      </c>
      <c r="BT129" s="77"/>
      <c r="BU129" s="77">
        <v>1</v>
      </c>
      <c r="BV129" s="77"/>
      <c r="BW129" s="77">
        <v>1</v>
      </c>
      <c r="BX129" s="77"/>
      <c r="BY129" s="55">
        <v>1191.3</v>
      </c>
    </row>
    <row r="130" spans="1:77" ht="45">
      <c r="B130" s="89">
        <v>126</v>
      </c>
      <c r="C130" s="101">
        <v>103</v>
      </c>
      <c r="D130" s="101">
        <v>224</v>
      </c>
      <c r="E130" s="102">
        <v>0.43055555555555558</v>
      </c>
      <c r="F130" s="102">
        <v>0.44444444444444442</v>
      </c>
      <c r="G130" s="103" t="s">
        <v>19</v>
      </c>
      <c r="H130" s="103" t="s">
        <v>1</v>
      </c>
      <c r="I130" s="101">
        <v>11</v>
      </c>
      <c r="J130" s="104">
        <v>30</v>
      </c>
      <c r="K130" s="98">
        <v>67</v>
      </c>
      <c r="L130" s="99" t="s">
        <v>728</v>
      </c>
      <c r="M130" s="83" t="s">
        <v>791</v>
      </c>
      <c r="N130" s="83">
        <v>35</v>
      </c>
      <c r="O130" s="87" t="s">
        <v>1233</v>
      </c>
      <c r="P130" s="87">
        <v>23</v>
      </c>
      <c r="Q130" s="83" t="s">
        <v>1234</v>
      </c>
      <c r="R130" s="84">
        <v>21</v>
      </c>
      <c r="S130" s="26">
        <v>1</v>
      </c>
      <c r="T130" s="26" t="s">
        <v>1309</v>
      </c>
      <c r="U130" s="26">
        <v>1100</v>
      </c>
      <c r="V130" s="26" t="s">
        <v>1393</v>
      </c>
      <c r="W130" s="63">
        <v>44562</v>
      </c>
      <c r="X130" s="63">
        <v>44815</v>
      </c>
      <c r="Y130" s="63">
        <v>45101</v>
      </c>
      <c r="Z130" s="63">
        <v>45169</v>
      </c>
      <c r="AA130" s="23" t="s">
        <v>1107</v>
      </c>
      <c r="AB130" s="23"/>
      <c r="AC130" s="23" t="s">
        <v>731</v>
      </c>
      <c r="AD130" s="23" t="s">
        <v>731</v>
      </c>
      <c r="AE130" s="23"/>
      <c r="AF130" s="23" t="s">
        <v>731</v>
      </c>
      <c r="AG130" s="23" t="s">
        <v>731</v>
      </c>
      <c r="AH130" s="23" t="s">
        <v>731</v>
      </c>
      <c r="AI130" s="23" t="s">
        <v>731</v>
      </c>
      <c r="AJ130" s="23" t="s">
        <v>731</v>
      </c>
      <c r="AK130" s="23" t="s">
        <v>731</v>
      </c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18"/>
      <c r="AW130" s="41">
        <f>2.2*11</f>
        <v>24.200000000000003</v>
      </c>
      <c r="BB130" s="45">
        <v>1</v>
      </c>
      <c r="BD130" s="41"/>
      <c r="BE130" s="41">
        <f>IF(AND((AW130/I130)&lt;2,BB130=1),(I130*2)-AW130,0)</f>
        <v>0</v>
      </c>
      <c r="BF130" s="41">
        <f>IF(AND((AW130/I130)&lt;3,BB130=2),(I130*3)-AW130,0)</f>
        <v>0</v>
      </c>
      <c r="BG130" s="18"/>
      <c r="BH130" s="18">
        <v>9</v>
      </c>
      <c r="BI130" s="18">
        <v>0</v>
      </c>
      <c r="BJ130" s="18">
        <v>0</v>
      </c>
      <c r="BK130" s="18">
        <v>0</v>
      </c>
      <c r="BL130" s="18">
        <v>0</v>
      </c>
      <c r="BM130" s="55">
        <f>SUM(AV130:AX130)+SUM(BC130:BD130)+SUM(BE130:BF130)+BG130</f>
        <v>24.200000000000003</v>
      </c>
      <c r="BN130" s="55"/>
      <c r="BO130" s="55"/>
      <c r="BP130" s="55"/>
      <c r="BQ130" s="55"/>
      <c r="BR130" s="55"/>
      <c r="BS130" s="55"/>
      <c r="BT130" s="55"/>
      <c r="BU130" s="55"/>
      <c r="BV130" s="55"/>
      <c r="BW130" s="55"/>
      <c r="BX130" s="55"/>
      <c r="BY130" s="55"/>
    </row>
    <row r="131" spans="1:77" ht="45">
      <c r="B131" s="89">
        <v>127</v>
      </c>
      <c r="C131" s="93">
        <v>103</v>
      </c>
      <c r="D131" s="93">
        <v>442</v>
      </c>
      <c r="E131" s="105">
        <v>0.58124999999999993</v>
      </c>
      <c r="F131" s="105">
        <v>0.58958333333333335</v>
      </c>
      <c r="G131" s="93" t="s">
        <v>1050</v>
      </c>
      <c r="H131" s="93" t="s">
        <v>97</v>
      </c>
      <c r="I131" s="96">
        <v>2</v>
      </c>
      <c r="J131" s="97">
        <v>19</v>
      </c>
      <c r="K131" s="98">
        <v>208</v>
      </c>
      <c r="L131" s="99" t="s">
        <v>728</v>
      </c>
      <c r="M131" s="83" t="s">
        <v>834</v>
      </c>
      <c r="N131" s="83">
        <v>30</v>
      </c>
      <c r="O131" s="87" t="s">
        <v>1870</v>
      </c>
      <c r="P131" s="87">
        <v>20</v>
      </c>
      <c r="R131" s="83"/>
      <c r="S131" s="26">
        <v>1111</v>
      </c>
      <c r="T131" s="26" t="s">
        <v>1394</v>
      </c>
      <c r="U131" s="26" t="s">
        <v>1395</v>
      </c>
      <c r="V131" s="26" t="s">
        <v>1396</v>
      </c>
      <c r="W131" s="62">
        <v>44816</v>
      </c>
      <c r="X131" s="62">
        <v>45086</v>
      </c>
      <c r="Y131" s="62"/>
      <c r="Z131" s="62"/>
      <c r="AA131" s="22" t="s">
        <v>1106</v>
      </c>
      <c r="AB131" s="23"/>
      <c r="AC131" s="23"/>
      <c r="AD131" s="23"/>
      <c r="AE131" s="23" t="s">
        <v>731</v>
      </c>
      <c r="AF131" s="23" t="s">
        <v>731</v>
      </c>
      <c r="AG131" s="23" t="s">
        <v>731</v>
      </c>
      <c r="AH131" s="23" t="s">
        <v>731</v>
      </c>
      <c r="AI131" s="23" t="s">
        <v>731</v>
      </c>
      <c r="AJ131" s="23" t="s">
        <v>731</v>
      </c>
      <c r="AK131" s="23" t="s">
        <v>731</v>
      </c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42">
        <v>31.98</v>
      </c>
      <c r="AY131" s="42"/>
      <c r="AZ131" s="42"/>
      <c r="BB131" s="45">
        <v>1</v>
      </c>
      <c r="BC131" s="41">
        <f>IF(AND((AV131/I131)&lt;2,BB131=1),(I131*2)-AV131,0)</f>
        <v>0</v>
      </c>
      <c r="BD131" s="41">
        <f>IF(AND((AV131/I131)&lt;3,BB131=2),(I131*3)-AV131,0)</f>
        <v>0</v>
      </c>
      <c r="BG131" s="18"/>
      <c r="BH131" s="18">
        <v>17</v>
      </c>
      <c r="BI131" s="18">
        <v>25</v>
      </c>
      <c r="BJ131" s="18">
        <v>25</v>
      </c>
      <c r="BK131" s="18">
        <v>18</v>
      </c>
      <c r="BL131" s="18">
        <v>20</v>
      </c>
      <c r="BM131" s="55">
        <f>SUM(AV131:AX131)+SUM(BC131:BD131)+SUM(BE131:BF131)+BG131</f>
        <v>31.98</v>
      </c>
      <c r="BN131" s="55"/>
      <c r="BO131" s="55"/>
      <c r="BP131" s="55"/>
      <c r="BQ131" s="55"/>
      <c r="BR131" s="55"/>
      <c r="BS131" s="55"/>
      <c r="BT131" s="55"/>
      <c r="BU131" s="55"/>
      <c r="BV131" s="55"/>
      <c r="BW131" s="55"/>
      <c r="BX131" s="55"/>
      <c r="BY131" s="55"/>
    </row>
    <row r="132" spans="1:77" ht="25.5">
      <c r="B132" s="89">
        <v>128</v>
      </c>
      <c r="C132" s="93">
        <v>103</v>
      </c>
      <c r="D132" s="95">
        <v>203</v>
      </c>
      <c r="E132" s="94">
        <v>0.58333333333333337</v>
      </c>
      <c r="F132" s="94">
        <v>0.58888888888888891</v>
      </c>
      <c r="G132" s="93" t="s">
        <v>519</v>
      </c>
      <c r="H132" s="93" t="s">
        <v>97</v>
      </c>
      <c r="I132" s="96">
        <v>6.5</v>
      </c>
      <c r="J132" s="97" t="s">
        <v>146</v>
      </c>
      <c r="K132" s="98">
        <v>208</v>
      </c>
      <c r="L132" s="99" t="s">
        <v>720</v>
      </c>
      <c r="M132" s="83" t="s">
        <v>863</v>
      </c>
      <c r="N132" s="83">
        <v>21</v>
      </c>
      <c r="O132" s="87" t="s">
        <v>1871</v>
      </c>
      <c r="P132" s="87">
        <v>21</v>
      </c>
      <c r="R132" s="83"/>
      <c r="S132" s="26" t="s">
        <v>1397</v>
      </c>
      <c r="T132" s="26" t="s">
        <v>1398</v>
      </c>
      <c r="U132" s="26">
        <v>1127</v>
      </c>
      <c r="V132" s="26" t="s">
        <v>1399</v>
      </c>
      <c r="W132" s="62">
        <v>44816</v>
      </c>
      <c r="X132" s="62">
        <v>45086</v>
      </c>
      <c r="Y132" s="62"/>
      <c r="Z132" s="62"/>
      <c r="AA132" s="22" t="s">
        <v>1106</v>
      </c>
      <c r="AB132" s="23"/>
      <c r="AC132" s="23"/>
      <c r="AD132" s="23"/>
      <c r="AE132" s="23" t="s">
        <v>731</v>
      </c>
      <c r="AF132" s="23" t="s">
        <v>731</v>
      </c>
      <c r="AG132" s="23" t="s">
        <v>731</v>
      </c>
      <c r="AH132" s="23" t="s">
        <v>731</v>
      </c>
      <c r="AI132" s="23" t="s">
        <v>731</v>
      </c>
      <c r="AJ132" s="23" t="s">
        <v>731</v>
      </c>
      <c r="AK132" s="23" t="s">
        <v>731</v>
      </c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42">
        <v>49.38</v>
      </c>
      <c r="AY132" s="42"/>
      <c r="AZ132" s="42"/>
      <c r="BB132" s="45">
        <v>1</v>
      </c>
      <c r="BC132" s="41">
        <f>IF(AND((AV132/I132)&lt;2,BB132=1),(I132*2)-AV132,0)</f>
        <v>0</v>
      </c>
      <c r="BD132" s="41">
        <f>IF(AND((AV132/I132)&lt;3,BB132=2),(I132*3)-AV132,0)</f>
        <v>0</v>
      </c>
      <c r="BG132" s="18"/>
      <c r="BH132" s="18">
        <v>17</v>
      </c>
      <c r="BI132" s="18">
        <v>25</v>
      </c>
      <c r="BJ132" s="18">
        <v>25</v>
      </c>
      <c r="BK132" s="18">
        <v>18</v>
      </c>
      <c r="BL132" s="18">
        <v>20</v>
      </c>
      <c r="BM132" s="55">
        <f>SUM(AV132:AX132)+SUM(BC132:BD132)+SUM(BE132:BF132)+BG132</f>
        <v>49.38</v>
      </c>
      <c r="BN132" s="55"/>
      <c r="BO132" s="55"/>
      <c r="BP132" s="55"/>
      <c r="BQ132" s="55"/>
      <c r="BR132" s="55"/>
      <c r="BS132" s="55"/>
      <c r="BT132" s="55"/>
      <c r="BU132" s="55"/>
      <c r="BV132" s="55"/>
      <c r="BW132" s="55"/>
      <c r="BX132" s="55"/>
      <c r="BY132" s="55"/>
    </row>
    <row r="133" spans="1:77" ht="25.5">
      <c r="B133" s="89">
        <v>129</v>
      </c>
      <c r="C133" s="93">
        <v>103</v>
      </c>
      <c r="D133" s="93">
        <v>203</v>
      </c>
      <c r="E133" s="94">
        <v>0.58888888888888891</v>
      </c>
      <c r="F133" s="94">
        <v>0.59583333333333333</v>
      </c>
      <c r="G133" s="93" t="s">
        <v>302</v>
      </c>
      <c r="H133" s="93" t="s">
        <v>97</v>
      </c>
      <c r="I133" s="96">
        <v>6</v>
      </c>
      <c r="J133" s="97" t="s">
        <v>269</v>
      </c>
      <c r="K133" s="98">
        <v>208</v>
      </c>
      <c r="L133" s="99" t="s">
        <v>726</v>
      </c>
      <c r="M133" s="87" t="s">
        <v>977</v>
      </c>
      <c r="N133" s="87">
        <v>18</v>
      </c>
      <c r="O133" s="87" t="s">
        <v>880</v>
      </c>
      <c r="P133" s="87">
        <v>9</v>
      </c>
      <c r="R133" s="87"/>
      <c r="S133" s="26">
        <v>1127</v>
      </c>
      <c r="T133" s="26" t="s">
        <v>1399</v>
      </c>
      <c r="U133" s="26">
        <v>1122</v>
      </c>
      <c r="V133" s="26" t="s">
        <v>1313</v>
      </c>
      <c r="W133" s="62">
        <v>44816</v>
      </c>
      <c r="X133" s="62">
        <v>45086</v>
      </c>
      <c r="Y133" s="62"/>
      <c r="Z133" s="62"/>
      <c r="AA133" s="22" t="s">
        <v>1106</v>
      </c>
      <c r="AB133" s="28"/>
      <c r="AC133" s="28"/>
      <c r="AD133" s="28"/>
      <c r="AE133" s="23" t="s">
        <v>731</v>
      </c>
      <c r="AF133" s="23" t="s">
        <v>731</v>
      </c>
      <c r="AG133" s="23" t="s">
        <v>731</v>
      </c>
      <c r="AH133" s="23" t="s">
        <v>731</v>
      </c>
      <c r="AI133" s="23" t="s">
        <v>731</v>
      </c>
      <c r="AJ133" s="23" t="s">
        <v>731</v>
      </c>
      <c r="AK133" s="23" t="s">
        <v>731</v>
      </c>
      <c r="AL133" s="28"/>
      <c r="AM133" s="28"/>
      <c r="AN133" s="28"/>
      <c r="AO133" s="28"/>
      <c r="AP133" s="23"/>
      <c r="AQ133" s="23"/>
      <c r="AR133" s="23"/>
      <c r="AS133" s="23"/>
      <c r="AT133" s="23"/>
      <c r="AU133" s="23"/>
      <c r="AV133" s="42">
        <v>40.119999999999997</v>
      </c>
      <c r="AW133" s="46"/>
      <c r="AX133" s="46"/>
      <c r="AY133" s="42"/>
      <c r="AZ133" s="42"/>
      <c r="BA133" s="46"/>
      <c r="BB133" s="45">
        <v>1</v>
      </c>
      <c r="BC133" s="41">
        <f>IF(AND((AV133/I133)&lt;2,BB133=1),(I133*2)-AV133,0)</f>
        <v>0</v>
      </c>
      <c r="BD133" s="41">
        <f>IF(AND((AV133/I133)&lt;3,BB133=2),(I133*3)-AV133,0)</f>
        <v>0</v>
      </c>
      <c r="BG133" s="18"/>
      <c r="BH133" s="18">
        <v>17</v>
      </c>
      <c r="BI133" s="18">
        <v>25</v>
      </c>
      <c r="BJ133" s="18">
        <v>25</v>
      </c>
      <c r="BK133" s="18">
        <v>18</v>
      </c>
      <c r="BL133" s="18">
        <v>20</v>
      </c>
      <c r="BM133" s="55">
        <f>SUM(AV133:AX133)+SUM(BC133:BD133)+SUM(BE133:BF133)+BG133</f>
        <v>40.119999999999997</v>
      </c>
      <c r="BN133" s="55"/>
      <c r="BO133" s="55"/>
      <c r="BP133" s="55"/>
      <c r="BQ133" s="55"/>
      <c r="BR133" s="55"/>
      <c r="BS133" s="55"/>
      <c r="BT133" s="55"/>
      <c r="BU133" s="55"/>
      <c r="BV133" s="55"/>
      <c r="BW133" s="55"/>
      <c r="BX133" s="55"/>
      <c r="BY133" s="55"/>
    </row>
    <row r="134" spans="1:77" ht="45">
      <c r="B134" s="89">
        <v>130</v>
      </c>
      <c r="C134" s="93">
        <v>103</v>
      </c>
      <c r="D134" s="93">
        <v>232</v>
      </c>
      <c r="E134" s="94">
        <v>0.60763888888888895</v>
      </c>
      <c r="F134" s="94">
        <v>0.61805555555555558</v>
      </c>
      <c r="G134" s="93" t="s">
        <v>387</v>
      </c>
      <c r="H134" s="93" t="s">
        <v>103</v>
      </c>
      <c r="I134" s="96">
        <v>8</v>
      </c>
      <c r="J134" s="97" t="s">
        <v>99</v>
      </c>
      <c r="K134" s="98">
        <v>174</v>
      </c>
      <c r="L134" s="99" t="s">
        <v>728</v>
      </c>
      <c r="M134" s="83" t="s">
        <v>834</v>
      </c>
      <c r="N134" s="83">
        <v>30</v>
      </c>
      <c r="O134" s="87" t="s">
        <v>1870</v>
      </c>
      <c r="P134" s="87">
        <v>20</v>
      </c>
      <c r="Q134" s="87" t="s">
        <v>791</v>
      </c>
      <c r="R134" s="84">
        <v>35</v>
      </c>
      <c r="S134" s="26">
        <v>1100</v>
      </c>
      <c r="T134" s="26" t="s">
        <v>1393</v>
      </c>
      <c r="U134" s="26">
        <v>1111</v>
      </c>
      <c r="V134" s="26" t="s">
        <v>1394</v>
      </c>
      <c r="W134" s="62">
        <v>44816</v>
      </c>
      <c r="X134" s="62">
        <v>45086</v>
      </c>
      <c r="Y134" s="62"/>
      <c r="Z134" s="62"/>
      <c r="AA134" s="22" t="s">
        <v>1102</v>
      </c>
      <c r="AB134" s="23"/>
      <c r="AC134" s="23"/>
      <c r="AD134" s="23"/>
      <c r="AE134" s="23" t="s">
        <v>731</v>
      </c>
      <c r="AF134" s="23" t="s">
        <v>731</v>
      </c>
      <c r="AG134" s="23" t="s">
        <v>731</v>
      </c>
      <c r="AH134" s="23" t="s">
        <v>731</v>
      </c>
      <c r="AI134" s="23" t="s">
        <v>731</v>
      </c>
      <c r="AJ134" s="23" t="s">
        <v>731</v>
      </c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41">
        <f>((24*33)+(16*141))/174</f>
        <v>17.517241379310345</v>
      </c>
      <c r="AY134" s="41"/>
      <c r="AZ134" s="41"/>
      <c r="BB134" s="45">
        <v>1</v>
      </c>
      <c r="BC134" s="41">
        <f>IF(AND((AV134/I134)&lt;2,BB134=1),(I134*2)-AV134,0)</f>
        <v>0</v>
      </c>
      <c r="BD134" s="41">
        <f>IF(AND((AV134/I134)&lt;3,BB134=2),(I134*3)-AV134,0)</f>
        <v>0</v>
      </c>
      <c r="BG134" s="18"/>
      <c r="BH134" s="18">
        <v>15</v>
      </c>
      <c r="BI134" s="18">
        <v>20</v>
      </c>
      <c r="BJ134" s="18">
        <v>21</v>
      </c>
      <c r="BK134" s="18">
        <v>15</v>
      </c>
      <c r="BL134" s="18">
        <v>17</v>
      </c>
      <c r="BM134" s="55">
        <f>SUM(AV134:AX134)+SUM(BC134:BD134)+SUM(BE134:BF134)+BG134</f>
        <v>17.517241379310345</v>
      </c>
      <c r="BN134" s="55"/>
      <c r="BO134" s="55"/>
      <c r="BP134" s="55"/>
      <c r="BQ134" s="55"/>
      <c r="BR134" s="55"/>
      <c r="BS134" s="55"/>
      <c r="BT134" s="55"/>
      <c r="BU134" s="55"/>
      <c r="BV134" s="55"/>
      <c r="BW134" s="55"/>
      <c r="BX134" s="55"/>
      <c r="BY134" s="55"/>
    </row>
    <row r="135" spans="1:77" ht="25.5">
      <c r="B135" s="89">
        <v>131</v>
      </c>
      <c r="C135" s="93">
        <v>103</v>
      </c>
      <c r="D135" s="93">
        <v>185</v>
      </c>
      <c r="E135" s="94">
        <v>0.67986111111111114</v>
      </c>
      <c r="F135" s="94">
        <v>0.68819444444444444</v>
      </c>
      <c r="G135" s="93" t="s">
        <v>417</v>
      </c>
      <c r="H135" s="93" t="s">
        <v>194</v>
      </c>
      <c r="I135" s="96">
        <v>8.8000000000000007</v>
      </c>
      <c r="J135" s="97" t="s">
        <v>254</v>
      </c>
      <c r="K135" s="98">
        <f>34+34+36+33</f>
        <v>137</v>
      </c>
      <c r="L135" s="99" t="s">
        <v>720</v>
      </c>
      <c r="M135" s="83" t="s">
        <v>863</v>
      </c>
      <c r="N135" s="83">
        <v>21</v>
      </c>
      <c r="O135" s="87" t="s">
        <v>1871</v>
      </c>
      <c r="P135" s="87">
        <v>21</v>
      </c>
      <c r="R135" s="83"/>
      <c r="S135" s="26">
        <v>1122</v>
      </c>
      <c r="T135" s="26" t="s">
        <v>1313</v>
      </c>
      <c r="U135" s="26">
        <v>1118</v>
      </c>
      <c r="V135" s="26" t="s">
        <v>1400</v>
      </c>
      <c r="W135" s="62">
        <v>44816</v>
      </c>
      <c r="X135" s="62">
        <v>45086</v>
      </c>
      <c r="Y135" s="62"/>
      <c r="Z135" s="62"/>
      <c r="AA135" s="24" t="s">
        <v>1105</v>
      </c>
      <c r="AB135" s="23"/>
      <c r="AC135" s="23"/>
      <c r="AD135" s="23"/>
      <c r="AE135" s="23" t="s">
        <v>731</v>
      </c>
      <c r="AF135" s="23" t="s">
        <v>731</v>
      </c>
      <c r="AG135" s="23" t="s">
        <v>731</v>
      </c>
      <c r="AH135" s="23" t="s">
        <v>731</v>
      </c>
      <c r="AI135" s="23" t="s">
        <v>731</v>
      </c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42">
        <v>55.8</v>
      </c>
      <c r="AY135" s="42"/>
      <c r="AZ135" s="42"/>
      <c r="BB135" s="43">
        <v>2</v>
      </c>
      <c r="BC135" s="41">
        <f>IF(AND((AV135/I135)&lt;2,BB135=1),(I135*2)-AV135,0)</f>
        <v>0</v>
      </c>
      <c r="BD135" s="41">
        <f>IF(AND((AV135/I135)&lt;3,BB135=2),(I135*3)-AV135,0)</f>
        <v>0</v>
      </c>
      <c r="BG135" s="18"/>
      <c r="BH135" s="18">
        <v>12</v>
      </c>
      <c r="BI135" s="18">
        <v>16</v>
      </c>
      <c r="BJ135" s="18">
        <v>17</v>
      </c>
      <c r="BK135" s="18">
        <v>12</v>
      </c>
      <c r="BL135" s="18">
        <v>14</v>
      </c>
      <c r="BM135" s="55">
        <f>SUM(AV135:AX135)+SUM(BC135:BD135)+SUM(BE135:BF135)+BG135</f>
        <v>55.8</v>
      </c>
      <c r="BN135" s="55"/>
      <c r="BO135" s="55"/>
      <c r="BP135" s="55"/>
      <c r="BQ135" s="55"/>
      <c r="BR135" s="55"/>
      <c r="BS135" s="55"/>
      <c r="BT135" s="55"/>
      <c r="BU135" s="55"/>
      <c r="BV135" s="55"/>
      <c r="BW135" s="55"/>
      <c r="BX135" s="55"/>
      <c r="BY135" s="55"/>
    </row>
    <row r="136" spans="1:77" ht="45">
      <c r="A136" s="2" t="s">
        <v>1167</v>
      </c>
      <c r="B136" s="89">
        <v>132</v>
      </c>
      <c r="C136" s="93">
        <v>103</v>
      </c>
      <c r="D136" s="93">
        <v>191</v>
      </c>
      <c r="E136" s="94">
        <v>0.68958333333333333</v>
      </c>
      <c r="F136" s="94">
        <v>0.6972222222222223</v>
      </c>
      <c r="G136" s="93" t="s">
        <v>415</v>
      </c>
      <c r="H136" s="93" t="s">
        <v>416</v>
      </c>
      <c r="I136" s="120">
        <v>7.5</v>
      </c>
      <c r="J136" s="97" t="s">
        <v>188</v>
      </c>
      <c r="K136" s="98">
        <v>34</v>
      </c>
      <c r="L136" s="99" t="s">
        <v>728</v>
      </c>
      <c r="M136" s="83" t="s">
        <v>834</v>
      </c>
      <c r="N136" s="83">
        <v>30</v>
      </c>
      <c r="O136" s="87" t="s">
        <v>1870</v>
      </c>
      <c r="P136" s="87">
        <v>20</v>
      </c>
      <c r="Q136" s="87" t="s">
        <v>1234</v>
      </c>
      <c r="R136" s="84">
        <v>21</v>
      </c>
      <c r="S136" s="26">
        <v>1118</v>
      </c>
      <c r="T136" s="26" t="s">
        <v>1400</v>
      </c>
      <c r="U136" s="26" t="s">
        <v>1387</v>
      </c>
      <c r="V136" s="26" t="s">
        <v>1401</v>
      </c>
      <c r="W136" s="62">
        <v>44816</v>
      </c>
      <c r="X136" s="62">
        <v>45086</v>
      </c>
      <c r="Y136" s="62"/>
      <c r="Z136" s="62"/>
      <c r="AA136" s="24" t="s">
        <v>1117</v>
      </c>
      <c r="AB136" s="23"/>
      <c r="AC136" s="23"/>
      <c r="AD136" s="23"/>
      <c r="AE136" s="23" t="s">
        <v>731</v>
      </c>
      <c r="AF136" s="23"/>
      <c r="AG136" s="23" t="s">
        <v>731</v>
      </c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42">
        <v>9.9</v>
      </c>
      <c r="AY136" s="42"/>
      <c r="AZ136" s="42"/>
      <c r="BB136" s="45">
        <v>1</v>
      </c>
      <c r="BC136" s="41">
        <f>IF(AND((AV136/I136)&lt;2,BB136=1),(I136*2)-AV136,0)</f>
        <v>5.0999999999999996</v>
      </c>
      <c r="BD136" s="41">
        <f>IF(AND((AV136/I136)&lt;3,BB136=2),(I136*3)-AV136,0)</f>
        <v>0</v>
      </c>
      <c r="BG136" s="18"/>
      <c r="BH136" s="18">
        <v>3</v>
      </c>
      <c r="BI136" s="18">
        <v>4</v>
      </c>
      <c r="BJ136" s="18">
        <v>4</v>
      </c>
      <c r="BK136" s="18">
        <v>3</v>
      </c>
      <c r="BL136" s="18">
        <v>4</v>
      </c>
      <c r="BM136" s="55">
        <f>SUM(AV136:AX136)+SUM(BC136:BD136)+SUM(BE136:BF136)+BG136</f>
        <v>15</v>
      </c>
      <c r="BN136" s="55"/>
      <c r="BO136" s="55"/>
      <c r="BP136" s="55"/>
      <c r="BQ136" s="55"/>
      <c r="BR136" s="55"/>
      <c r="BS136" s="55"/>
      <c r="BT136" s="55"/>
      <c r="BU136" s="55"/>
      <c r="BV136" s="55"/>
      <c r="BW136" s="55"/>
      <c r="BX136" s="55"/>
      <c r="BY136" s="55"/>
    </row>
    <row r="137" spans="1:77" ht="45">
      <c r="B137" s="89">
        <v>133</v>
      </c>
      <c r="C137" s="101">
        <v>103</v>
      </c>
      <c r="D137" s="121">
        <v>123</v>
      </c>
      <c r="E137" s="102">
        <v>0.78819444444444453</v>
      </c>
      <c r="F137" s="102">
        <v>0.80208333333333337</v>
      </c>
      <c r="G137" s="103" t="s">
        <v>21</v>
      </c>
      <c r="H137" s="93" t="s">
        <v>203</v>
      </c>
      <c r="I137" s="101">
        <v>11</v>
      </c>
      <c r="J137" s="104">
        <v>30</v>
      </c>
      <c r="K137" s="98">
        <v>202</v>
      </c>
      <c r="L137" s="99" t="s">
        <v>728</v>
      </c>
      <c r="M137" s="83" t="s">
        <v>834</v>
      </c>
      <c r="N137" s="83">
        <v>30</v>
      </c>
      <c r="O137" s="83" t="s">
        <v>1234</v>
      </c>
      <c r="P137" s="83">
        <v>21</v>
      </c>
      <c r="Q137" s="83" t="s">
        <v>791</v>
      </c>
      <c r="R137" s="84">
        <v>35</v>
      </c>
      <c r="S137" s="26">
        <v>1100</v>
      </c>
      <c r="T137" s="26" t="s">
        <v>1402</v>
      </c>
      <c r="U137" s="26">
        <v>1</v>
      </c>
      <c r="V137" s="26" t="s">
        <v>1403</v>
      </c>
      <c r="W137" s="63">
        <v>44816</v>
      </c>
      <c r="X137" s="63">
        <v>45100</v>
      </c>
      <c r="Y137" s="63"/>
      <c r="Z137" s="63"/>
      <c r="AA137" s="22" t="s">
        <v>1108</v>
      </c>
      <c r="AB137" s="22" t="s">
        <v>731</v>
      </c>
      <c r="AC137" s="22"/>
      <c r="AD137" s="22" t="s">
        <v>731</v>
      </c>
      <c r="AE137" s="22"/>
      <c r="AF137" s="22" t="s">
        <v>731</v>
      </c>
      <c r="AG137" s="22" t="s">
        <v>731</v>
      </c>
      <c r="AH137" s="22" t="s">
        <v>731</v>
      </c>
      <c r="AI137" s="22" t="s">
        <v>731</v>
      </c>
      <c r="AJ137" s="22" t="s">
        <v>731</v>
      </c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18"/>
      <c r="AW137" s="41">
        <f>2.2*11</f>
        <v>24.200000000000003</v>
      </c>
      <c r="BB137" s="45">
        <v>1</v>
      </c>
      <c r="BD137" s="41"/>
      <c r="BE137" s="41">
        <f>IF(AND((AW137/I137)&lt;2,BB137=1),(I137*2)-AW137,0)</f>
        <v>0</v>
      </c>
      <c r="BF137" s="41">
        <f>IF(AND((AW137/I137)&lt;3,BB137=2),(I137*3)-AW137,0)</f>
        <v>0</v>
      </c>
      <c r="BG137" s="18"/>
      <c r="BH137" s="18">
        <v>15</v>
      </c>
      <c r="BI137" s="18">
        <v>21</v>
      </c>
      <c r="BJ137" s="18">
        <v>21</v>
      </c>
      <c r="BK137" s="18">
        <v>20</v>
      </c>
      <c r="BL137" s="18">
        <v>21</v>
      </c>
      <c r="BM137" s="55">
        <f>SUM(AV137:AX137)+SUM(BC137:BD137)+SUM(BE137:BF137)+BG137</f>
        <v>24.200000000000003</v>
      </c>
      <c r="BN137" s="55"/>
      <c r="BO137" s="55"/>
      <c r="BP137" s="55"/>
      <c r="BQ137" s="55"/>
      <c r="BR137" s="55"/>
      <c r="BS137" s="55"/>
      <c r="BT137" s="55"/>
      <c r="BU137" s="55"/>
      <c r="BV137" s="55"/>
      <c r="BW137" s="55"/>
      <c r="BX137" s="55"/>
      <c r="BY137" s="55"/>
    </row>
    <row r="138" spans="1:77" ht="45">
      <c r="B138" s="89">
        <v>134</v>
      </c>
      <c r="C138" s="101">
        <v>103</v>
      </c>
      <c r="D138" s="101">
        <v>325</v>
      </c>
      <c r="E138" s="102">
        <v>0.78819444444444453</v>
      </c>
      <c r="F138" s="102">
        <v>0.80208333333333337</v>
      </c>
      <c r="G138" s="103" t="s">
        <v>21</v>
      </c>
      <c r="H138" s="103" t="s">
        <v>615</v>
      </c>
      <c r="I138" s="101">
        <v>11</v>
      </c>
      <c r="J138" s="104">
        <v>19</v>
      </c>
      <c r="K138" s="98">
        <v>55</v>
      </c>
      <c r="L138" s="99" t="s">
        <v>729</v>
      </c>
      <c r="M138" s="87" t="s">
        <v>793</v>
      </c>
      <c r="N138" s="87">
        <v>21</v>
      </c>
      <c r="O138" s="87" t="s">
        <v>1872</v>
      </c>
      <c r="P138" s="87">
        <v>23</v>
      </c>
      <c r="R138" s="87"/>
      <c r="S138" s="26">
        <v>1100</v>
      </c>
      <c r="T138" s="26" t="s">
        <v>1393</v>
      </c>
      <c r="U138" s="26">
        <v>1</v>
      </c>
      <c r="V138" s="26" t="s">
        <v>1312</v>
      </c>
      <c r="W138" s="63">
        <v>44562</v>
      </c>
      <c r="X138" s="63">
        <v>44815</v>
      </c>
      <c r="Y138" s="63">
        <v>45101</v>
      </c>
      <c r="Z138" s="63">
        <v>45169</v>
      </c>
      <c r="AA138" s="23" t="s">
        <v>1109</v>
      </c>
      <c r="AB138" s="23"/>
      <c r="AC138" s="23" t="s">
        <v>731</v>
      </c>
      <c r="AD138" s="23" t="s">
        <v>731</v>
      </c>
      <c r="AE138" s="23"/>
      <c r="AF138" s="23" t="s">
        <v>731</v>
      </c>
      <c r="AG138" s="23" t="s">
        <v>731</v>
      </c>
      <c r="AH138" s="23" t="s">
        <v>731</v>
      </c>
      <c r="AI138" s="23" t="s">
        <v>731</v>
      </c>
      <c r="AJ138" s="23" t="s">
        <v>731</v>
      </c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Y138" s="19" t="s">
        <v>729</v>
      </c>
      <c r="AZ138" s="19"/>
      <c r="BB138" s="45">
        <v>1</v>
      </c>
      <c r="BD138" s="41"/>
      <c r="BG138" s="18"/>
      <c r="BH138" s="18">
        <v>7</v>
      </c>
      <c r="BI138" s="18">
        <v>0</v>
      </c>
      <c r="BJ138" s="18">
        <v>0</v>
      </c>
      <c r="BK138" s="18">
        <v>0</v>
      </c>
      <c r="BL138" s="18">
        <v>0</v>
      </c>
      <c r="BM138" s="55">
        <f>SUM(AV138:AX138)+SUM(BC138:BD138)+SUM(BE138:BF138)+BG138</f>
        <v>0</v>
      </c>
      <c r="BN138" s="55" t="s">
        <v>1838</v>
      </c>
      <c r="BO138" s="77">
        <v>1</v>
      </c>
      <c r="BP138" s="77"/>
      <c r="BQ138" s="77">
        <v>1</v>
      </c>
      <c r="BR138" s="77"/>
      <c r="BS138" s="77">
        <v>1</v>
      </c>
      <c r="BT138" s="77"/>
      <c r="BU138" s="77">
        <v>1</v>
      </c>
      <c r="BV138" s="77"/>
      <c r="BW138" s="77">
        <v>1</v>
      </c>
      <c r="BX138" s="77"/>
      <c r="BY138" s="55">
        <v>3250</v>
      </c>
    </row>
    <row r="139" spans="1:77" ht="45">
      <c r="B139" s="89">
        <v>135</v>
      </c>
      <c r="C139" s="101">
        <v>103</v>
      </c>
      <c r="D139" s="121">
        <v>248</v>
      </c>
      <c r="E139" s="102">
        <v>0.8125</v>
      </c>
      <c r="F139" s="102">
        <v>0.82638888888888884</v>
      </c>
      <c r="G139" s="103" t="s">
        <v>19</v>
      </c>
      <c r="H139" s="103" t="s">
        <v>18</v>
      </c>
      <c r="I139" s="101">
        <v>11</v>
      </c>
      <c r="J139" s="104">
        <v>30</v>
      </c>
      <c r="K139" s="98">
        <v>304</v>
      </c>
      <c r="L139" s="99" t="s">
        <v>728</v>
      </c>
      <c r="M139" s="83" t="s">
        <v>834</v>
      </c>
      <c r="N139" s="83">
        <v>30</v>
      </c>
      <c r="O139" s="83" t="s">
        <v>1234</v>
      </c>
      <c r="P139" s="83">
        <v>21</v>
      </c>
      <c r="Q139" s="87" t="s">
        <v>1233</v>
      </c>
      <c r="R139" s="87">
        <v>23</v>
      </c>
      <c r="S139" s="26">
        <v>1</v>
      </c>
      <c r="T139" s="26" t="s">
        <v>1309</v>
      </c>
      <c r="U139" s="26">
        <v>1100</v>
      </c>
      <c r="V139" s="26" t="s">
        <v>1393</v>
      </c>
      <c r="W139" s="62">
        <v>44805</v>
      </c>
      <c r="X139" s="62">
        <v>45169</v>
      </c>
      <c r="Y139" s="62"/>
      <c r="Z139" s="62"/>
      <c r="AA139" s="23" t="s">
        <v>1113</v>
      </c>
      <c r="AB139" s="23" t="s">
        <v>731</v>
      </c>
      <c r="AC139" s="23" t="s">
        <v>731</v>
      </c>
      <c r="AD139" s="23" t="s">
        <v>731</v>
      </c>
      <c r="AE139" s="23"/>
      <c r="AF139" s="23" t="s">
        <v>731</v>
      </c>
      <c r="AG139" s="23" t="s">
        <v>731</v>
      </c>
      <c r="AH139" s="23" t="s">
        <v>731</v>
      </c>
      <c r="AI139" s="23" t="s">
        <v>731</v>
      </c>
      <c r="AJ139" s="23" t="s">
        <v>731</v>
      </c>
      <c r="AK139" s="23" t="s">
        <v>731</v>
      </c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W139" s="41">
        <f>2.2*11</f>
        <v>24.200000000000003</v>
      </c>
      <c r="BB139" s="45">
        <v>1</v>
      </c>
      <c r="BD139" s="41"/>
      <c r="BE139" s="41">
        <f>IF(AND((AW139/I139)&lt;2,BB139=1),(I139*2)-AW139,0)</f>
        <v>0</v>
      </c>
      <c r="BF139" s="41">
        <f>IF(AND((AW139/I139)&lt;3,BB139=2),(I139*3)-AW139,0)</f>
        <v>0</v>
      </c>
      <c r="BG139" s="18"/>
      <c r="BH139" s="18">
        <v>26</v>
      </c>
      <c r="BI139" s="18">
        <v>26</v>
      </c>
      <c r="BJ139" s="18">
        <v>25</v>
      </c>
      <c r="BK139" s="18">
        <v>25</v>
      </c>
      <c r="BL139" s="18">
        <v>25</v>
      </c>
      <c r="BM139" s="55">
        <f>SUM(AV139:AX139)+SUM(BC139:BD139)+SUM(BE139:BF139)+BG139</f>
        <v>24.200000000000003</v>
      </c>
      <c r="BN139" s="55"/>
      <c r="BO139" s="55"/>
      <c r="BP139" s="55"/>
      <c r="BQ139" s="55"/>
      <c r="BR139" s="55"/>
      <c r="BS139" s="55"/>
      <c r="BT139" s="55"/>
      <c r="BU139" s="55"/>
      <c r="BV139" s="55"/>
      <c r="BW139" s="55"/>
      <c r="BX139" s="55"/>
      <c r="BY139" s="55"/>
    </row>
    <row r="140" spans="1:77" ht="33.75">
      <c r="B140" s="89">
        <v>136</v>
      </c>
      <c r="C140" s="93">
        <v>105</v>
      </c>
      <c r="D140" s="97">
        <v>639</v>
      </c>
      <c r="E140" s="94">
        <v>0.25138888888888888</v>
      </c>
      <c r="F140" s="94">
        <v>0.27083333333333331</v>
      </c>
      <c r="G140" s="93" t="s">
        <v>908</v>
      </c>
      <c r="H140" s="93" t="s">
        <v>103</v>
      </c>
      <c r="I140" s="96">
        <v>13.5</v>
      </c>
      <c r="J140" s="97" t="s">
        <v>254</v>
      </c>
      <c r="K140" s="98">
        <v>174</v>
      </c>
      <c r="L140" s="109" t="s">
        <v>721</v>
      </c>
      <c r="M140" s="83" t="s">
        <v>978</v>
      </c>
      <c r="N140" s="116">
        <v>46</v>
      </c>
      <c r="O140" s="83" t="s">
        <v>1924</v>
      </c>
      <c r="P140" s="116">
        <v>45</v>
      </c>
      <c r="R140" s="116"/>
      <c r="S140" s="26">
        <v>1074</v>
      </c>
      <c r="T140" s="26" t="s">
        <v>1404</v>
      </c>
      <c r="U140" s="26" t="s">
        <v>1368</v>
      </c>
      <c r="V140" s="26" t="s">
        <v>1369</v>
      </c>
      <c r="W140" s="62">
        <v>44816</v>
      </c>
      <c r="X140" s="62">
        <v>45086</v>
      </c>
      <c r="Y140" s="62"/>
      <c r="Z140" s="62"/>
      <c r="AA140" s="22" t="s">
        <v>1102</v>
      </c>
      <c r="AB140" s="23"/>
      <c r="AC140" s="23"/>
      <c r="AD140" s="23"/>
      <c r="AE140" s="23" t="s">
        <v>731</v>
      </c>
      <c r="AF140" s="23" t="s">
        <v>731</v>
      </c>
      <c r="AG140" s="23" t="s">
        <v>731</v>
      </c>
      <c r="AH140" s="23" t="s">
        <v>731</v>
      </c>
      <c r="AI140" s="23" t="s">
        <v>731</v>
      </c>
      <c r="AJ140" s="23" t="s">
        <v>731</v>
      </c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41">
        <f>25+3*3.5</f>
        <v>35.5</v>
      </c>
      <c r="AY140" s="42"/>
      <c r="AZ140" s="42"/>
      <c r="BB140" s="43">
        <v>2</v>
      </c>
      <c r="BC140" s="44"/>
      <c r="BD140" s="44"/>
      <c r="BG140" s="41">
        <f>IF((AV140+AW140+AX140)&lt;20,(20-(AV140+AW140+AX140)),0)</f>
        <v>0</v>
      </c>
      <c r="BH140" s="18">
        <v>15</v>
      </c>
      <c r="BI140" s="18">
        <v>20</v>
      </c>
      <c r="BJ140" s="18">
        <v>21</v>
      </c>
      <c r="BK140" s="18">
        <v>15</v>
      </c>
      <c r="BL140" s="18">
        <v>17</v>
      </c>
      <c r="BM140" s="55">
        <f>SUM(AV140:AX140)+SUM(BC140:BD140)+SUM(BE140:BF140)+BG140</f>
        <v>35.5</v>
      </c>
      <c r="BN140" s="55"/>
      <c r="BO140" s="55"/>
      <c r="BP140" s="55"/>
      <c r="BQ140" s="55"/>
      <c r="BR140" s="55"/>
      <c r="BS140" s="55"/>
      <c r="BT140" s="55"/>
      <c r="BU140" s="55"/>
      <c r="BV140" s="55"/>
      <c r="BW140" s="55"/>
      <c r="BX140" s="55"/>
      <c r="BY140" s="55"/>
    </row>
    <row r="141" spans="1:77" ht="33.75">
      <c r="B141" s="89">
        <v>137</v>
      </c>
      <c r="C141" s="93">
        <v>105</v>
      </c>
      <c r="D141" s="97">
        <v>233</v>
      </c>
      <c r="E141" s="94">
        <v>0.29583333333333334</v>
      </c>
      <c r="F141" s="94">
        <v>0.30486111111111108</v>
      </c>
      <c r="G141" s="93" t="s">
        <v>262</v>
      </c>
      <c r="H141" s="93" t="s">
        <v>103</v>
      </c>
      <c r="I141" s="96">
        <v>6</v>
      </c>
      <c r="J141" s="97" t="s">
        <v>99</v>
      </c>
      <c r="K141" s="98">
        <v>174</v>
      </c>
      <c r="L141" s="109" t="s">
        <v>721</v>
      </c>
      <c r="M141" s="83" t="s">
        <v>896</v>
      </c>
      <c r="N141" s="83">
        <v>24</v>
      </c>
      <c r="O141" s="83" t="s">
        <v>1867</v>
      </c>
      <c r="P141" s="83">
        <v>21</v>
      </c>
      <c r="R141" s="83"/>
      <c r="S141" s="26">
        <v>1075</v>
      </c>
      <c r="T141" s="26" t="s">
        <v>1405</v>
      </c>
      <c r="U141" s="26">
        <v>1072</v>
      </c>
      <c r="V141" s="26" t="s">
        <v>1308</v>
      </c>
      <c r="W141" s="62">
        <v>44816</v>
      </c>
      <c r="X141" s="62">
        <v>45086</v>
      </c>
      <c r="Y141" s="62"/>
      <c r="Z141" s="62"/>
      <c r="AA141" s="22" t="s">
        <v>1102</v>
      </c>
      <c r="AB141" s="23"/>
      <c r="AC141" s="23"/>
      <c r="AD141" s="23"/>
      <c r="AE141" s="23" t="s">
        <v>731</v>
      </c>
      <c r="AF141" s="23" t="s">
        <v>731</v>
      </c>
      <c r="AG141" s="23" t="s">
        <v>731</v>
      </c>
      <c r="AH141" s="23" t="s">
        <v>731</v>
      </c>
      <c r="AI141" s="23" t="s">
        <v>731</v>
      </c>
      <c r="AJ141" s="23" t="s">
        <v>731</v>
      </c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42">
        <v>18.87</v>
      </c>
      <c r="AY141" s="42"/>
      <c r="AZ141" s="42"/>
      <c r="BB141" s="45">
        <v>1</v>
      </c>
      <c r="BC141" s="41">
        <f>IF(AND((AV141/I141)&lt;2,BB141=1),(I141*2)-AV141,0)</f>
        <v>0</v>
      </c>
      <c r="BD141" s="41">
        <f>IF(AND((AV141/I141)&lt;3,BB141=2),(I141*3)-AV141,0)</f>
        <v>0</v>
      </c>
      <c r="BG141" s="18"/>
      <c r="BH141" s="18">
        <v>15</v>
      </c>
      <c r="BI141" s="18">
        <v>20</v>
      </c>
      <c r="BJ141" s="18">
        <v>21</v>
      </c>
      <c r="BK141" s="18">
        <v>15</v>
      </c>
      <c r="BL141" s="18">
        <v>17</v>
      </c>
      <c r="BM141" s="55">
        <f>SUM(AV141:AX141)+SUM(BC141:BD141)+SUM(BE141:BF141)+BG141</f>
        <v>18.87</v>
      </c>
      <c r="BN141" s="55"/>
      <c r="BO141" s="55"/>
      <c r="BP141" s="55"/>
      <c r="BQ141" s="55"/>
      <c r="BR141" s="55"/>
      <c r="BS141" s="55"/>
      <c r="BT141" s="55"/>
      <c r="BU141" s="55"/>
      <c r="BV141" s="55"/>
      <c r="BW141" s="55"/>
      <c r="BX141" s="55"/>
      <c r="BY141" s="55"/>
    </row>
    <row r="142" spans="1:77" ht="33.75">
      <c r="B142" s="89">
        <v>138</v>
      </c>
      <c r="C142" s="93">
        <v>105</v>
      </c>
      <c r="D142" s="97">
        <v>234</v>
      </c>
      <c r="E142" s="94">
        <v>0.32013888888888892</v>
      </c>
      <c r="F142" s="94">
        <v>0.33055555555555555</v>
      </c>
      <c r="G142" s="93" t="s">
        <v>261</v>
      </c>
      <c r="H142" s="93" t="s">
        <v>97</v>
      </c>
      <c r="I142" s="96">
        <v>5.5</v>
      </c>
      <c r="J142" s="97" t="s">
        <v>99</v>
      </c>
      <c r="K142" s="98">
        <v>208</v>
      </c>
      <c r="L142" s="109" t="s">
        <v>721</v>
      </c>
      <c r="M142" s="87" t="s">
        <v>896</v>
      </c>
      <c r="N142" s="87">
        <v>24</v>
      </c>
      <c r="O142" s="87" t="s">
        <v>1867</v>
      </c>
      <c r="P142" s="87">
        <v>21</v>
      </c>
      <c r="R142" s="87"/>
      <c r="S142" s="26">
        <v>1072</v>
      </c>
      <c r="T142" s="26" t="s">
        <v>1308</v>
      </c>
      <c r="U142" s="26">
        <v>1075</v>
      </c>
      <c r="V142" s="26" t="s">
        <v>1405</v>
      </c>
      <c r="W142" s="62">
        <v>44816</v>
      </c>
      <c r="X142" s="62">
        <v>45086</v>
      </c>
      <c r="Y142" s="62"/>
      <c r="Z142" s="62"/>
      <c r="AA142" s="22" t="s">
        <v>1106</v>
      </c>
      <c r="AB142" s="23"/>
      <c r="AC142" s="23"/>
      <c r="AD142" s="23"/>
      <c r="AE142" s="23" t="s">
        <v>731</v>
      </c>
      <c r="AF142" s="23" t="s">
        <v>731</v>
      </c>
      <c r="AG142" s="23" t="s">
        <v>731</v>
      </c>
      <c r="AH142" s="23" t="s">
        <v>731</v>
      </c>
      <c r="AI142" s="23" t="s">
        <v>731</v>
      </c>
      <c r="AJ142" s="23" t="s">
        <v>731</v>
      </c>
      <c r="AK142" s="23" t="s">
        <v>731</v>
      </c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42">
        <v>11.3</v>
      </c>
      <c r="AY142" s="42"/>
      <c r="AZ142" s="42"/>
      <c r="BB142" s="45">
        <v>1</v>
      </c>
      <c r="BC142" s="41">
        <f>IF(AND((AV142/I142)&lt;2,BB142=1),(I142*2)-AV142,0)</f>
        <v>0</v>
      </c>
      <c r="BD142" s="41">
        <f>IF(AND((AV142/I142)&lt;3,BB142=2),(I142*3)-AV142,0)</f>
        <v>0</v>
      </c>
      <c r="BG142" s="18"/>
      <c r="BH142" s="18">
        <v>17</v>
      </c>
      <c r="BI142" s="18">
        <v>25</v>
      </c>
      <c r="BJ142" s="18">
        <v>25</v>
      </c>
      <c r="BK142" s="18">
        <v>18</v>
      </c>
      <c r="BL142" s="18">
        <v>20</v>
      </c>
      <c r="BM142" s="55">
        <f>SUM(AV142:AX142)+SUM(BC142:BD142)+SUM(BE142:BF142)+BG142</f>
        <v>11.3</v>
      </c>
      <c r="BN142" s="55"/>
      <c r="BO142" s="55"/>
      <c r="BP142" s="55"/>
      <c r="BQ142" s="55"/>
      <c r="BR142" s="55"/>
      <c r="BS142" s="55"/>
      <c r="BT142" s="55"/>
      <c r="BU142" s="55"/>
      <c r="BV142" s="55"/>
      <c r="BW142" s="55"/>
      <c r="BX142" s="55"/>
      <c r="BY142" s="55"/>
    </row>
    <row r="143" spans="1:77" ht="33.75">
      <c r="B143" s="89">
        <v>139</v>
      </c>
      <c r="C143" s="93">
        <v>105</v>
      </c>
      <c r="D143" s="97">
        <v>151</v>
      </c>
      <c r="E143" s="94">
        <v>0.33055555555555555</v>
      </c>
      <c r="F143" s="94">
        <v>0.33958333333333335</v>
      </c>
      <c r="G143" s="93" t="s">
        <v>262</v>
      </c>
      <c r="H143" s="93" t="s">
        <v>97</v>
      </c>
      <c r="I143" s="96">
        <v>5.5</v>
      </c>
      <c r="J143" s="97" t="s">
        <v>99</v>
      </c>
      <c r="K143" s="98">
        <v>208</v>
      </c>
      <c r="L143" s="99" t="s">
        <v>721</v>
      </c>
      <c r="M143" s="87" t="s">
        <v>896</v>
      </c>
      <c r="N143" s="87">
        <v>24</v>
      </c>
      <c r="O143" s="87" t="s">
        <v>1867</v>
      </c>
      <c r="P143" s="87">
        <v>21</v>
      </c>
      <c r="R143" s="87"/>
      <c r="S143" s="26">
        <v>1075</v>
      </c>
      <c r="T143" s="26" t="s">
        <v>1405</v>
      </c>
      <c r="U143" s="26">
        <v>1072</v>
      </c>
      <c r="V143" s="26" t="s">
        <v>1308</v>
      </c>
      <c r="W143" s="62">
        <v>44816</v>
      </c>
      <c r="X143" s="62">
        <v>45086</v>
      </c>
      <c r="Y143" s="62"/>
      <c r="Z143" s="62"/>
      <c r="AA143" s="22" t="s">
        <v>1106</v>
      </c>
      <c r="AB143" s="23"/>
      <c r="AC143" s="23"/>
      <c r="AD143" s="23"/>
      <c r="AE143" s="23" t="s">
        <v>731</v>
      </c>
      <c r="AF143" s="23" t="s">
        <v>731</v>
      </c>
      <c r="AG143" s="23" t="s">
        <v>731</v>
      </c>
      <c r="AH143" s="23" t="s">
        <v>731</v>
      </c>
      <c r="AI143" s="23" t="s">
        <v>731</v>
      </c>
      <c r="AJ143" s="23" t="s">
        <v>731</v>
      </c>
      <c r="AK143" s="23" t="s">
        <v>731</v>
      </c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42">
        <v>33.94</v>
      </c>
      <c r="AY143" s="42"/>
      <c r="AZ143" s="42"/>
      <c r="BB143" s="45">
        <v>1</v>
      </c>
      <c r="BC143" s="41">
        <f>IF(AND((AV143/I143)&lt;2,BB143=1),(I143*2)-AV143,0)</f>
        <v>0</v>
      </c>
      <c r="BD143" s="41">
        <f>IF(AND((AV143/I143)&lt;3,BB143=2),(I143*3)-AV143,0)</f>
        <v>0</v>
      </c>
      <c r="BG143" s="18"/>
      <c r="BH143" s="18">
        <v>17</v>
      </c>
      <c r="BI143" s="18">
        <v>25</v>
      </c>
      <c r="BJ143" s="18">
        <v>25</v>
      </c>
      <c r="BK143" s="18">
        <v>18</v>
      </c>
      <c r="BL143" s="18">
        <v>20</v>
      </c>
      <c r="BM143" s="55">
        <f>SUM(AV143:AX143)+SUM(BC143:BD143)+SUM(BE143:BF143)+BG143</f>
        <v>33.94</v>
      </c>
      <c r="BN143" s="55"/>
      <c r="BO143" s="55"/>
      <c r="BP143" s="55"/>
      <c r="BQ143" s="55"/>
      <c r="BR143" s="55"/>
      <c r="BS143" s="55"/>
      <c r="BT143" s="55"/>
      <c r="BU143" s="55"/>
      <c r="BV143" s="55"/>
      <c r="BW143" s="55"/>
      <c r="BX143" s="55"/>
      <c r="BY143" s="55"/>
    </row>
    <row r="144" spans="1:77" ht="33.75">
      <c r="B144" s="89">
        <v>140</v>
      </c>
      <c r="C144" s="93">
        <v>105</v>
      </c>
      <c r="D144" s="97">
        <v>216</v>
      </c>
      <c r="E144" s="94">
        <v>0.49375000000000002</v>
      </c>
      <c r="F144" s="94">
        <v>0.50416666666666665</v>
      </c>
      <c r="G144" s="93" t="s">
        <v>261</v>
      </c>
      <c r="H144" s="93" t="s">
        <v>103</v>
      </c>
      <c r="I144" s="96">
        <v>5.5</v>
      </c>
      <c r="J144" s="97" t="s">
        <v>99</v>
      </c>
      <c r="K144" s="98">
        <v>174</v>
      </c>
      <c r="L144" s="99" t="s">
        <v>721</v>
      </c>
      <c r="M144" s="87" t="s">
        <v>896</v>
      </c>
      <c r="N144" s="87">
        <v>24</v>
      </c>
      <c r="O144" s="87" t="s">
        <v>1867</v>
      </c>
      <c r="P144" s="87">
        <v>21</v>
      </c>
      <c r="R144" s="87"/>
      <c r="S144" s="26">
        <v>1072</v>
      </c>
      <c r="T144" s="26" t="s">
        <v>1308</v>
      </c>
      <c r="U144" s="26">
        <v>1075</v>
      </c>
      <c r="V144" s="26" t="s">
        <v>1405</v>
      </c>
      <c r="W144" s="62">
        <v>44816</v>
      </c>
      <c r="X144" s="62">
        <v>45086</v>
      </c>
      <c r="Y144" s="62"/>
      <c r="Z144" s="62"/>
      <c r="AA144" s="22" t="s">
        <v>1102</v>
      </c>
      <c r="AB144" s="23"/>
      <c r="AC144" s="23"/>
      <c r="AD144" s="23"/>
      <c r="AE144" s="23" t="s">
        <v>731</v>
      </c>
      <c r="AF144" s="23" t="s">
        <v>731</v>
      </c>
      <c r="AG144" s="23" t="s">
        <v>731</v>
      </c>
      <c r="AH144" s="23" t="s">
        <v>731</v>
      </c>
      <c r="AI144" s="23" t="s">
        <v>731</v>
      </c>
      <c r="AJ144" s="23" t="s">
        <v>731</v>
      </c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42">
        <v>33.94</v>
      </c>
      <c r="AY144" s="42"/>
      <c r="AZ144" s="42"/>
      <c r="BB144" s="45">
        <v>1</v>
      </c>
      <c r="BC144" s="41">
        <f>IF(AND((AV144/I144)&lt;2,BB144=1),(I144*2)-AV144,0)</f>
        <v>0</v>
      </c>
      <c r="BD144" s="41">
        <f>IF(AND((AV144/I144)&lt;3,BB144=2),(I144*3)-AV144,0)</f>
        <v>0</v>
      </c>
      <c r="BG144" s="18"/>
      <c r="BH144" s="18">
        <v>15</v>
      </c>
      <c r="BI144" s="18">
        <v>20</v>
      </c>
      <c r="BJ144" s="18">
        <v>21</v>
      </c>
      <c r="BK144" s="18">
        <v>15</v>
      </c>
      <c r="BL144" s="18">
        <v>17</v>
      </c>
      <c r="BM144" s="55">
        <f>SUM(AV144:AX144)+SUM(BC144:BD144)+SUM(BE144:BF144)+BG144</f>
        <v>33.94</v>
      </c>
      <c r="BN144" s="55"/>
      <c r="BO144" s="55"/>
      <c r="BP144" s="55"/>
      <c r="BQ144" s="55"/>
      <c r="BR144" s="55"/>
      <c r="BS144" s="55"/>
      <c r="BT144" s="55"/>
      <c r="BU144" s="55"/>
      <c r="BV144" s="55"/>
      <c r="BW144" s="55"/>
      <c r="BX144" s="55"/>
      <c r="BY144" s="55"/>
    </row>
    <row r="145" spans="2:77" ht="38.25">
      <c r="B145" s="89">
        <v>141</v>
      </c>
      <c r="C145" s="106">
        <v>105</v>
      </c>
      <c r="D145" s="97">
        <v>500</v>
      </c>
      <c r="E145" s="94">
        <v>0.66388888888888886</v>
      </c>
      <c r="F145" s="94">
        <v>0.67013888888888884</v>
      </c>
      <c r="G145" s="93" t="s">
        <v>260</v>
      </c>
      <c r="H145" s="93" t="s">
        <v>440</v>
      </c>
      <c r="I145" s="96">
        <v>5.5</v>
      </c>
      <c r="J145" s="97" t="s">
        <v>116</v>
      </c>
      <c r="K145" s="98">
        <f>55+26</f>
        <v>81</v>
      </c>
      <c r="L145" s="99" t="s">
        <v>721</v>
      </c>
      <c r="M145" s="87" t="s">
        <v>897</v>
      </c>
      <c r="N145" s="87">
        <v>9</v>
      </c>
      <c r="O145" s="87" t="s">
        <v>894</v>
      </c>
      <c r="P145" s="87">
        <v>9</v>
      </c>
      <c r="R145" s="87"/>
      <c r="S145" s="26">
        <v>1072</v>
      </c>
      <c r="T145" s="26" t="s">
        <v>1308</v>
      </c>
      <c r="U145" s="26">
        <v>1075</v>
      </c>
      <c r="V145" s="26" t="s">
        <v>1405</v>
      </c>
      <c r="W145" s="63">
        <v>44562</v>
      </c>
      <c r="X145" s="63">
        <v>44815</v>
      </c>
      <c r="Y145" s="63">
        <v>45101</v>
      </c>
      <c r="Z145" s="63">
        <v>45169</v>
      </c>
      <c r="AA145" s="23" t="s">
        <v>1118</v>
      </c>
      <c r="AB145" s="23"/>
      <c r="AC145" s="23" t="s">
        <v>731</v>
      </c>
      <c r="AD145" s="23" t="s">
        <v>731</v>
      </c>
      <c r="AE145" s="23"/>
      <c r="AF145" s="23" t="s">
        <v>731</v>
      </c>
      <c r="AG145" s="23" t="s">
        <v>731</v>
      </c>
      <c r="AH145" s="23" t="s">
        <v>731</v>
      </c>
      <c r="AI145" s="23" t="s">
        <v>731</v>
      </c>
      <c r="AJ145" s="23" t="s">
        <v>731</v>
      </c>
      <c r="AK145" s="23"/>
      <c r="AL145" s="23"/>
      <c r="AM145" s="23"/>
      <c r="AN145" s="23"/>
      <c r="AO145" s="23"/>
      <c r="AP145" s="23" t="s">
        <v>731</v>
      </c>
      <c r="AQ145" s="23" t="s">
        <v>731</v>
      </c>
      <c r="AR145" s="23" t="s">
        <v>731</v>
      </c>
      <c r="AS145" s="23" t="s">
        <v>731</v>
      </c>
      <c r="AT145" s="23" t="s">
        <v>731</v>
      </c>
      <c r="AU145" s="23"/>
      <c r="AV145" s="42">
        <v>44.62</v>
      </c>
      <c r="AY145" s="42"/>
      <c r="AZ145" s="42"/>
      <c r="BB145" s="45">
        <v>1</v>
      </c>
      <c r="BC145" s="41">
        <f>IF(AND((AV145/I145)&lt;2,BB145=1),(I145*2)-AV145,0)</f>
        <v>0</v>
      </c>
      <c r="BD145" s="41">
        <f>IF(AND((AV145/I145)&lt;3,BB145=2),(I145*3)-AV145,0)</f>
        <v>0</v>
      </c>
      <c r="BG145" s="18"/>
      <c r="BH145" s="18">
        <v>9</v>
      </c>
      <c r="BI145" s="18">
        <v>1</v>
      </c>
      <c r="BJ145" s="18">
        <v>0</v>
      </c>
      <c r="BK145" s="18">
        <v>5</v>
      </c>
      <c r="BL145" s="18">
        <v>4</v>
      </c>
      <c r="BM145" s="55">
        <f>SUM(AV145:AX145)+SUM(BC145:BD145)+SUM(BE145:BF145)+BG145</f>
        <v>44.62</v>
      </c>
      <c r="BN145" s="55"/>
      <c r="BO145" s="55"/>
      <c r="BP145" s="55"/>
      <c r="BQ145" s="55"/>
      <c r="BR145" s="55"/>
      <c r="BS145" s="55"/>
      <c r="BT145" s="55"/>
      <c r="BU145" s="55"/>
      <c r="BV145" s="55"/>
      <c r="BW145" s="55"/>
      <c r="BX145" s="55"/>
      <c r="BY145" s="55"/>
    </row>
    <row r="146" spans="2:77" ht="33.75">
      <c r="B146" s="89">
        <v>142</v>
      </c>
      <c r="C146" s="93">
        <v>105</v>
      </c>
      <c r="D146" s="97">
        <v>628</v>
      </c>
      <c r="E146" s="94">
        <v>0.66597222222222219</v>
      </c>
      <c r="F146" s="105">
        <v>0.66736111111111107</v>
      </c>
      <c r="G146" s="93" t="s">
        <v>536</v>
      </c>
      <c r="H146" s="93" t="s">
        <v>103</v>
      </c>
      <c r="I146" s="96">
        <v>2</v>
      </c>
      <c r="J146" s="97" t="s">
        <v>116</v>
      </c>
      <c r="K146" s="98">
        <v>174</v>
      </c>
      <c r="L146" s="99" t="s">
        <v>721</v>
      </c>
      <c r="M146" s="87" t="s">
        <v>896</v>
      </c>
      <c r="N146" s="87">
        <v>24</v>
      </c>
      <c r="O146" s="87" t="s">
        <v>897</v>
      </c>
      <c r="P146" s="87">
        <v>9</v>
      </c>
      <c r="Q146" s="87" t="s">
        <v>894</v>
      </c>
      <c r="R146" s="84">
        <v>9</v>
      </c>
      <c r="S146" s="26">
        <v>1072</v>
      </c>
      <c r="T146" s="26" t="s">
        <v>1308</v>
      </c>
      <c r="U146" s="26">
        <v>1075</v>
      </c>
      <c r="V146" s="26" t="s">
        <v>1405</v>
      </c>
      <c r="W146" s="62">
        <v>44816</v>
      </c>
      <c r="X146" s="62">
        <v>45086</v>
      </c>
      <c r="Y146" s="62"/>
      <c r="Z146" s="62"/>
      <c r="AA146" s="22" t="s">
        <v>1102</v>
      </c>
      <c r="AB146" s="23"/>
      <c r="AC146" s="23"/>
      <c r="AD146" s="23"/>
      <c r="AE146" s="23" t="s">
        <v>731</v>
      </c>
      <c r="AF146" s="23" t="s">
        <v>731</v>
      </c>
      <c r="AG146" s="23" t="s">
        <v>731</v>
      </c>
      <c r="AH146" s="23" t="s">
        <v>731</v>
      </c>
      <c r="AI146" s="23" t="s">
        <v>731</v>
      </c>
      <c r="AJ146" s="23" t="s">
        <v>731</v>
      </c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49">
        <v>44.62</v>
      </c>
      <c r="AY146" s="42"/>
      <c r="AZ146" s="42"/>
      <c r="BB146" s="45">
        <v>1</v>
      </c>
      <c r="BC146" s="41">
        <f>IF(AND((AV146/I146)&lt;2,BB146=1),(I146*2)-AV146,0)</f>
        <v>0</v>
      </c>
      <c r="BD146" s="49">
        <f>IF(AND((AV146/I146)&lt;3,BB146=2),(I146*3)-AV146,0)</f>
        <v>0</v>
      </c>
      <c r="BG146" s="18"/>
      <c r="BH146" s="18">
        <v>15</v>
      </c>
      <c r="BI146" s="18">
        <v>20</v>
      </c>
      <c r="BJ146" s="18">
        <v>21</v>
      </c>
      <c r="BK146" s="18">
        <v>15</v>
      </c>
      <c r="BL146" s="18">
        <v>17</v>
      </c>
      <c r="BM146" s="55">
        <f>SUM(AV146:AX146)+SUM(BC146:BD146)+SUM(BE146:BF146)+BG146</f>
        <v>44.62</v>
      </c>
      <c r="BN146" s="55"/>
      <c r="BO146" s="55"/>
      <c r="BP146" s="55"/>
      <c r="BQ146" s="55"/>
      <c r="BR146" s="55"/>
      <c r="BS146" s="55"/>
      <c r="BT146" s="55"/>
      <c r="BU146" s="55"/>
      <c r="BV146" s="55"/>
      <c r="BW146" s="55"/>
      <c r="BX146" s="55"/>
      <c r="BY146" s="55"/>
    </row>
    <row r="147" spans="2:77" ht="33.75">
      <c r="B147" s="89">
        <v>143</v>
      </c>
      <c r="C147" s="93">
        <v>105</v>
      </c>
      <c r="D147" s="97">
        <v>181</v>
      </c>
      <c r="E147" s="94">
        <v>0.66736111111111107</v>
      </c>
      <c r="F147" s="94">
        <v>0.67638888888888893</v>
      </c>
      <c r="G147" s="93" t="s">
        <v>259</v>
      </c>
      <c r="H147" s="93" t="s">
        <v>103</v>
      </c>
      <c r="I147" s="96">
        <v>5.5</v>
      </c>
      <c r="J147" s="97" t="s">
        <v>116</v>
      </c>
      <c r="K147" s="98">
        <v>174</v>
      </c>
      <c r="L147" s="109" t="s">
        <v>721</v>
      </c>
      <c r="M147" s="87" t="s">
        <v>896</v>
      </c>
      <c r="N147" s="87">
        <v>24</v>
      </c>
      <c r="O147" s="87" t="s">
        <v>897</v>
      </c>
      <c r="P147" s="87">
        <v>9</v>
      </c>
      <c r="Q147" s="87" t="s">
        <v>894</v>
      </c>
      <c r="R147" s="84">
        <v>9</v>
      </c>
      <c r="S147" s="26">
        <v>1075</v>
      </c>
      <c r="T147" s="26" t="s">
        <v>1405</v>
      </c>
      <c r="U147" s="26">
        <v>1072</v>
      </c>
      <c r="V147" s="26" t="s">
        <v>1308</v>
      </c>
      <c r="W147" s="62">
        <v>44816</v>
      </c>
      <c r="X147" s="62">
        <v>45086</v>
      </c>
      <c r="Y147" s="62"/>
      <c r="Z147" s="62"/>
      <c r="AA147" s="22" t="s">
        <v>1102</v>
      </c>
      <c r="AB147" s="23"/>
      <c r="AC147" s="23"/>
      <c r="AD147" s="23"/>
      <c r="AE147" s="23" t="s">
        <v>731</v>
      </c>
      <c r="AF147" s="23" t="s">
        <v>731</v>
      </c>
      <c r="AG147" s="23" t="s">
        <v>731</v>
      </c>
      <c r="AH147" s="23" t="s">
        <v>731</v>
      </c>
      <c r="AI147" s="23" t="s">
        <v>731</v>
      </c>
      <c r="AJ147" s="23" t="s">
        <v>731</v>
      </c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49">
        <v>9.9</v>
      </c>
      <c r="AY147" s="42"/>
      <c r="AZ147" s="42"/>
      <c r="BB147" s="45">
        <v>1</v>
      </c>
      <c r="BC147" s="41"/>
      <c r="BD147" s="49"/>
      <c r="BG147" s="18"/>
      <c r="BH147" s="18">
        <v>15</v>
      </c>
      <c r="BI147" s="18">
        <v>20</v>
      </c>
      <c r="BJ147" s="18">
        <v>21</v>
      </c>
      <c r="BK147" s="18">
        <v>15</v>
      </c>
      <c r="BL147" s="18">
        <v>17</v>
      </c>
      <c r="BM147" s="55">
        <f>SUM(AV147:AX147)+SUM(BC147:BD147)+SUM(BE147:BF147)+BG147</f>
        <v>9.9</v>
      </c>
      <c r="BN147" s="55"/>
      <c r="BO147" s="55"/>
      <c r="BP147" s="55"/>
      <c r="BQ147" s="55"/>
      <c r="BR147" s="55"/>
      <c r="BS147" s="55"/>
      <c r="BT147" s="55"/>
      <c r="BU147" s="55"/>
      <c r="BV147" s="55"/>
      <c r="BW147" s="55"/>
      <c r="BX147" s="55"/>
      <c r="BY147" s="55"/>
    </row>
    <row r="148" spans="2:77" ht="33.75">
      <c r="B148" s="89">
        <v>144</v>
      </c>
      <c r="C148" s="93">
        <v>105</v>
      </c>
      <c r="D148" s="122">
        <v>150</v>
      </c>
      <c r="E148" s="94">
        <v>0.74375000000000002</v>
      </c>
      <c r="F148" s="94">
        <v>0.75416666666666676</v>
      </c>
      <c r="G148" s="93" t="s">
        <v>261</v>
      </c>
      <c r="H148" s="93" t="s">
        <v>203</v>
      </c>
      <c r="I148" s="96">
        <v>5.5</v>
      </c>
      <c r="J148" s="97" t="s">
        <v>116</v>
      </c>
      <c r="K148" s="98">
        <v>202</v>
      </c>
      <c r="L148" s="109" t="s">
        <v>721</v>
      </c>
      <c r="M148" s="87" t="s">
        <v>896</v>
      </c>
      <c r="N148" s="87">
        <v>24</v>
      </c>
      <c r="O148" s="87" t="s">
        <v>897</v>
      </c>
      <c r="P148" s="87">
        <v>9</v>
      </c>
      <c r="Q148" s="87" t="s">
        <v>894</v>
      </c>
      <c r="R148" s="84">
        <v>9</v>
      </c>
      <c r="S148" s="26">
        <v>1072</v>
      </c>
      <c r="T148" s="26" t="s">
        <v>1308</v>
      </c>
      <c r="U148" s="26">
        <v>1075</v>
      </c>
      <c r="V148" s="26" t="s">
        <v>1405</v>
      </c>
      <c r="W148" s="63">
        <v>44816</v>
      </c>
      <c r="X148" s="63">
        <v>45100</v>
      </c>
      <c r="Y148" s="63"/>
      <c r="Z148" s="63"/>
      <c r="AA148" s="22" t="s">
        <v>1108</v>
      </c>
      <c r="AB148" s="23" t="s">
        <v>731</v>
      </c>
      <c r="AC148" s="23"/>
      <c r="AD148" s="23" t="s">
        <v>731</v>
      </c>
      <c r="AE148" s="23"/>
      <c r="AF148" s="23" t="s">
        <v>731</v>
      </c>
      <c r="AG148" s="23" t="s">
        <v>731</v>
      </c>
      <c r="AH148" s="23" t="s">
        <v>731</v>
      </c>
      <c r="AI148" s="23" t="s">
        <v>731</v>
      </c>
      <c r="AJ148" s="23" t="s">
        <v>731</v>
      </c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42">
        <v>9.9</v>
      </c>
      <c r="AY148" s="42"/>
      <c r="AZ148" s="42"/>
      <c r="BB148" s="45">
        <v>1</v>
      </c>
      <c r="BC148" s="41">
        <f>IF(AND((AV148/I148)&lt;2,BB148=1),(I148*2)-AV148,0)</f>
        <v>1.0999999999999996</v>
      </c>
      <c r="BD148" s="41">
        <f>IF(AND((AV148/I148)&lt;3,BB148=2),(I148*3)-AV148,0)</f>
        <v>0</v>
      </c>
      <c r="BG148" s="18"/>
      <c r="BH148" s="18">
        <v>15</v>
      </c>
      <c r="BI148" s="18">
        <v>21</v>
      </c>
      <c r="BJ148" s="18">
        <v>21</v>
      </c>
      <c r="BK148" s="18">
        <v>20</v>
      </c>
      <c r="BL148" s="18">
        <v>21</v>
      </c>
      <c r="BM148" s="55">
        <f>SUM(AV148:AX148)+SUM(BC148:BD148)+SUM(BE148:BF148)+BG148</f>
        <v>11</v>
      </c>
      <c r="BN148" s="55"/>
      <c r="BO148" s="55"/>
      <c r="BP148" s="55"/>
      <c r="BQ148" s="55"/>
      <c r="BR148" s="55"/>
      <c r="BS148" s="55"/>
      <c r="BT148" s="55"/>
      <c r="BU148" s="55"/>
      <c r="BV148" s="55"/>
      <c r="BW148" s="55"/>
      <c r="BX148" s="55"/>
      <c r="BY148" s="55"/>
    </row>
    <row r="149" spans="2:77" ht="33.75">
      <c r="B149" s="89">
        <v>145</v>
      </c>
      <c r="C149" s="93">
        <v>105</v>
      </c>
      <c r="D149" s="97">
        <v>150</v>
      </c>
      <c r="E149" s="94">
        <v>0.74652777777777779</v>
      </c>
      <c r="F149" s="94">
        <v>0.75416666666666676</v>
      </c>
      <c r="G149" s="93" t="s">
        <v>261</v>
      </c>
      <c r="H149" s="93" t="s">
        <v>424</v>
      </c>
      <c r="I149" s="96">
        <v>5.5</v>
      </c>
      <c r="J149" s="97" t="s">
        <v>116</v>
      </c>
      <c r="K149" s="98">
        <v>55</v>
      </c>
      <c r="L149" s="109" t="s">
        <v>721</v>
      </c>
      <c r="M149" s="87" t="s">
        <v>896</v>
      </c>
      <c r="N149" s="87">
        <v>24</v>
      </c>
      <c r="O149" s="87" t="s">
        <v>1867</v>
      </c>
      <c r="P149" s="87">
        <v>21</v>
      </c>
      <c r="R149" s="87"/>
      <c r="S149" s="26">
        <v>1072</v>
      </c>
      <c r="T149" s="26" t="s">
        <v>1308</v>
      </c>
      <c r="U149" s="26">
        <v>1075</v>
      </c>
      <c r="V149" s="26" t="s">
        <v>1405</v>
      </c>
      <c r="W149" s="63">
        <v>44562</v>
      </c>
      <c r="X149" s="63">
        <v>44815</v>
      </c>
      <c r="Y149" s="63">
        <v>45101</v>
      </c>
      <c r="Z149" s="63">
        <v>45169</v>
      </c>
      <c r="AA149" s="22" t="s">
        <v>1109</v>
      </c>
      <c r="AB149" s="23"/>
      <c r="AC149" s="23" t="s">
        <v>731</v>
      </c>
      <c r="AD149" s="23" t="s">
        <v>731</v>
      </c>
      <c r="AE149" s="23"/>
      <c r="AF149" s="23" t="s">
        <v>731</v>
      </c>
      <c r="AG149" s="23" t="s">
        <v>731</v>
      </c>
      <c r="AH149" s="23" t="s">
        <v>731</v>
      </c>
      <c r="AI149" s="23" t="s">
        <v>731</v>
      </c>
      <c r="AJ149" s="23" t="s">
        <v>731</v>
      </c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42">
        <v>13.75</v>
      </c>
      <c r="AY149" s="42"/>
      <c r="AZ149" s="42"/>
      <c r="BB149" s="45">
        <v>1</v>
      </c>
      <c r="BC149" s="41">
        <f>IF(AND((AV149/I149)&lt;2,BB149=1),(I149*2)-AV149,0)</f>
        <v>0</v>
      </c>
      <c r="BD149" s="41">
        <f>IF(AND((AV149/I149)&lt;3,BB149=2),(I149*3)-AV149,0)</f>
        <v>0</v>
      </c>
      <c r="BG149" s="18"/>
      <c r="BH149" s="18">
        <v>7</v>
      </c>
      <c r="BI149" s="18">
        <v>0</v>
      </c>
      <c r="BJ149" s="18">
        <v>0</v>
      </c>
      <c r="BK149" s="18">
        <v>0</v>
      </c>
      <c r="BL149" s="18">
        <v>0</v>
      </c>
      <c r="BM149" s="55">
        <f>SUM(AV149:AX149)+SUM(BC149:BD149)+SUM(BE149:BF149)+BG149</f>
        <v>13.75</v>
      </c>
      <c r="BN149" s="55"/>
      <c r="BO149" s="55"/>
      <c r="BP149" s="55"/>
      <c r="BQ149" s="55"/>
      <c r="BR149" s="55"/>
      <c r="BS149" s="55"/>
      <c r="BT149" s="55"/>
      <c r="BU149" s="55"/>
      <c r="BV149" s="55"/>
      <c r="BW149" s="55"/>
      <c r="BX149" s="55"/>
      <c r="BY149" s="55"/>
    </row>
    <row r="150" spans="2:77" ht="33.75">
      <c r="B150" s="89">
        <v>146</v>
      </c>
      <c r="C150" s="93">
        <v>105</v>
      </c>
      <c r="D150" s="97">
        <v>218</v>
      </c>
      <c r="E150" s="94">
        <v>0.76111111111111107</v>
      </c>
      <c r="F150" s="94">
        <v>0.7715277777777777</v>
      </c>
      <c r="G150" s="93" t="s">
        <v>261</v>
      </c>
      <c r="H150" s="93" t="s">
        <v>203</v>
      </c>
      <c r="I150" s="96">
        <v>5.5</v>
      </c>
      <c r="J150" s="97" t="s">
        <v>93</v>
      </c>
      <c r="K150" s="98">
        <v>202</v>
      </c>
      <c r="L150" s="109" t="s">
        <v>721</v>
      </c>
      <c r="M150" s="87" t="s">
        <v>896</v>
      </c>
      <c r="N150" s="87">
        <v>24</v>
      </c>
      <c r="O150" s="87" t="s">
        <v>1867</v>
      </c>
      <c r="P150" s="87">
        <v>21</v>
      </c>
      <c r="R150" s="87"/>
      <c r="S150" s="26">
        <v>1072</v>
      </c>
      <c r="T150" s="26" t="s">
        <v>1308</v>
      </c>
      <c r="U150" s="26">
        <v>1075</v>
      </c>
      <c r="V150" s="26" t="s">
        <v>1405</v>
      </c>
      <c r="W150" s="63">
        <v>44816</v>
      </c>
      <c r="X150" s="63">
        <v>45100</v>
      </c>
      <c r="Y150" s="63"/>
      <c r="Z150" s="63"/>
      <c r="AA150" s="22" t="s">
        <v>1108</v>
      </c>
      <c r="AB150" s="23" t="s">
        <v>731</v>
      </c>
      <c r="AC150" s="23"/>
      <c r="AD150" s="23" t="s">
        <v>731</v>
      </c>
      <c r="AE150" s="23"/>
      <c r="AF150" s="23" t="s">
        <v>731</v>
      </c>
      <c r="AG150" s="23" t="s">
        <v>731</v>
      </c>
      <c r="AH150" s="23" t="s">
        <v>731</v>
      </c>
      <c r="AI150" s="23" t="s">
        <v>731</v>
      </c>
      <c r="AJ150" s="23" t="s">
        <v>731</v>
      </c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42">
        <v>12.5</v>
      </c>
      <c r="AY150" s="42"/>
      <c r="AZ150" s="42"/>
      <c r="BB150" s="45">
        <v>1</v>
      </c>
      <c r="BC150" s="41">
        <f>IF(AND((AV150/I150)&lt;2,BB150=1),(I150*2)-AV150,0)</f>
        <v>0</v>
      </c>
      <c r="BD150" s="41">
        <f>IF(AND((AV150/I150)&lt;3,BB150=2),(I150*3)-AV150,0)</f>
        <v>0</v>
      </c>
      <c r="BG150" s="18"/>
      <c r="BH150" s="18">
        <v>15</v>
      </c>
      <c r="BI150" s="18">
        <v>21</v>
      </c>
      <c r="BJ150" s="18">
        <v>21</v>
      </c>
      <c r="BK150" s="18">
        <v>20</v>
      </c>
      <c r="BL150" s="18">
        <v>21</v>
      </c>
      <c r="BM150" s="55">
        <f>SUM(AV150:AX150)+SUM(BC150:BD150)+SUM(BE150:BF150)+BG150</f>
        <v>12.5</v>
      </c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</row>
    <row r="151" spans="2:77" ht="33.75">
      <c r="B151" s="89">
        <v>147</v>
      </c>
      <c r="C151" s="93">
        <v>105</v>
      </c>
      <c r="D151" s="97">
        <v>218</v>
      </c>
      <c r="E151" s="94">
        <v>0.76111111111111107</v>
      </c>
      <c r="F151" s="94">
        <v>0.7715277777777777</v>
      </c>
      <c r="G151" s="93" t="s">
        <v>261</v>
      </c>
      <c r="H151" s="93" t="s">
        <v>424</v>
      </c>
      <c r="I151" s="96">
        <v>5.5</v>
      </c>
      <c r="J151" s="97" t="s">
        <v>93</v>
      </c>
      <c r="K151" s="98">
        <v>55</v>
      </c>
      <c r="L151" s="109" t="s">
        <v>721</v>
      </c>
      <c r="M151" s="87" t="s">
        <v>896</v>
      </c>
      <c r="N151" s="87">
        <v>24</v>
      </c>
      <c r="O151" s="87" t="s">
        <v>1867</v>
      </c>
      <c r="P151" s="87">
        <v>21</v>
      </c>
      <c r="R151" s="87"/>
      <c r="S151" s="26">
        <v>1072</v>
      </c>
      <c r="T151" s="26" t="s">
        <v>1308</v>
      </c>
      <c r="U151" s="26">
        <v>1075</v>
      </c>
      <c r="V151" s="26" t="s">
        <v>1405</v>
      </c>
      <c r="W151" s="63">
        <v>44562</v>
      </c>
      <c r="X151" s="63">
        <v>44815</v>
      </c>
      <c r="Y151" s="63">
        <v>45101</v>
      </c>
      <c r="Z151" s="63">
        <v>45169</v>
      </c>
      <c r="AA151" s="22" t="s">
        <v>1109</v>
      </c>
      <c r="AB151" s="23"/>
      <c r="AC151" s="23" t="s">
        <v>731</v>
      </c>
      <c r="AD151" s="23" t="s">
        <v>731</v>
      </c>
      <c r="AE151" s="23"/>
      <c r="AF151" s="23" t="s">
        <v>731</v>
      </c>
      <c r="AG151" s="23" t="s">
        <v>731</v>
      </c>
      <c r="AH151" s="23" t="s">
        <v>731</v>
      </c>
      <c r="AI151" s="23" t="s">
        <v>731</v>
      </c>
      <c r="AJ151" s="23" t="s">
        <v>731</v>
      </c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42">
        <v>13.75</v>
      </c>
      <c r="AY151" s="42"/>
      <c r="AZ151" s="42"/>
      <c r="BB151" s="45">
        <v>1</v>
      </c>
      <c r="BC151" s="41">
        <f>IF(AND((AV151/I151)&lt;2,BB151=1),(I151*2)-AV151,0)</f>
        <v>0</v>
      </c>
      <c r="BD151" s="41">
        <f>IF(AND((AV151/I151)&lt;3,BB151=2),(I151*3)-AV151,0)</f>
        <v>0</v>
      </c>
      <c r="BG151" s="18"/>
      <c r="BH151" s="18">
        <v>7</v>
      </c>
      <c r="BI151" s="18">
        <v>0</v>
      </c>
      <c r="BJ151" s="18">
        <v>0</v>
      </c>
      <c r="BK151" s="18">
        <v>0</v>
      </c>
      <c r="BL151" s="18">
        <v>0</v>
      </c>
      <c r="BM151" s="55">
        <f>SUM(AV151:AX151)+SUM(BC151:BD151)+SUM(BE151:BF151)+BG151</f>
        <v>13.75</v>
      </c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55"/>
      <c r="BY151" s="55"/>
    </row>
    <row r="152" spans="2:77" ht="33.75">
      <c r="B152" s="89">
        <v>148</v>
      </c>
      <c r="C152" s="93">
        <v>105</v>
      </c>
      <c r="D152" s="97">
        <v>158</v>
      </c>
      <c r="E152" s="94">
        <v>0.8027777777777777</v>
      </c>
      <c r="F152" s="94">
        <v>0.81319444444444444</v>
      </c>
      <c r="G152" s="93" t="s">
        <v>261</v>
      </c>
      <c r="H152" s="93" t="s">
        <v>203</v>
      </c>
      <c r="I152" s="96">
        <v>5.5</v>
      </c>
      <c r="J152" s="97" t="s">
        <v>93</v>
      </c>
      <c r="K152" s="98">
        <v>202</v>
      </c>
      <c r="L152" s="109" t="s">
        <v>721</v>
      </c>
      <c r="M152" s="87" t="s">
        <v>896</v>
      </c>
      <c r="N152" s="87">
        <v>24</v>
      </c>
      <c r="O152" s="87" t="s">
        <v>1867</v>
      </c>
      <c r="P152" s="87">
        <v>21</v>
      </c>
      <c r="R152" s="87"/>
      <c r="S152" s="26">
        <v>1072</v>
      </c>
      <c r="T152" s="26" t="s">
        <v>1308</v>
      </c>
      <c r="U152" s="26">
        <v>1075</v>
      </c>
      <c r="V152" s="26" t="s">
        <v>1405</v>
      </c>
      <c r="W152" s="63">
        <v>44816</v>
      </c>
      <c r="X152" s="63">
        <v>45100</v>
      </c>
      <c r="Y152" s="63"/>
      <c r="Z152" s="63"/>
      <c r="AA152" s="22" t="s">
        <v>1108</v>
      </c>
      <c r="AB152" s="23" t="s">
        <v>731</v>
      </c>
      <c r="AC152" s="23"/>
      <c r="AD152" s="23" t="s">
        <v>731</v>
      </c>
      <c r="AE152" s="23"/>
      <c r="AF152" s="23" t="s">
        <v>731</v>
      </c>
      <c r="AG152" s="23" t="s">
        <v>731</v>
      </c>
      <c r="AH152" s="23" t="s">
        <v>731</v>
      </c>
      <c r="AI152" s="23" t="s">
        <v>731</v>
      </c>
      <c r="AJ152" s="23" t="s">
        <v>731</v>
      </c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42">
        <v>12.5</v>
      </c>
      <c r="AW152" s="18"/>
      <c r="AY152" s="42"/>
      <c r="AZ152" s="42"/>
      <c r="BB152" s="45">
        <v>1</v>
      </c>
      <c r="BC152" s="41">
        <f>IF(AND((AV152/I152)&lt;2,BB152=1),(I152*2)-AV152,0)</f>
        <v>0</v>
      </c>
      <c r="BD152" s="41">
        <f>IF(AND((AV152/I152)&lt;3,BB152=2),(I152*3)-AV152,0)</f>
        <v>0</v>
      </c>
      <c r="BG152" s="18"/>
      <c r="BH152" s="18">
        <v>15</v>
      </c>
      <c r="BI152" s="18">
        <v>21</v>
      </c>
      <c r="BJ152" s="18">
        <v>21</v>
      </c>
      <c r="BK152" s="18">
        <v>20</v>
      </c>
      <c r="BL152" s="18">
        <v>21</v>
      </c>
      <c r="BM152" s="55">
        <f>SUM(AV152:AX152)+SUM(BC152:BD152)+SUM(BE152:BF152)+BG152</f>
        <v>12.5</v>
      </c>
      <c r="BN152" s="55"/>
      <c r="BO152" s="55"/>
      <c r="BP152" s="55"/>
      <c r="BQ152" s="55"/>
      <c r="BR152" s="55"/>
      <c r="BS152" s="55"/>
      <c r="BT152" s="55"/>
      <c r="BU152" s="55"/>
      <c r="BV152" s="55"/>
      <c r="BW152" s="55"/>
      <c r="BX152" s="55"/>
      <c r="BY152" s="55"/>
    </row>
    <row r="153" spans="2:77" ht="33.75">
      <c r="B153" s="89">
        <v>149</v>
      </c>
      <c r="C153" s="93">
        <v>105</v>
      </c>
      <c r="D153" s="97">
        <v>158</v>
      </c>
      <c r="E153" s="94">
        <v>0.8027777777777777</v>
      </c>
      <c r="F153" s="94">
        <v>0.81319444444444444</v>
      </c>
      <c r="G153" s="93" t="s">
        <v>261</v>
      </c>
      <c r="H153" s="93" t="s">
        <v>424</v>
      </c>
      <c r="I153" s="96">
        <v>5.5</v>
      </c>
      <c r="J153" s="97" t="s">
        <v>93</v>
      </c>
      <c r="K153" s="98">
        <v>55</v>
      </c>
      <c r="L153" s="109" t="s">
        <v>721</v>
      </c>
      <c r="M153" s="87" t="s">
        <v>896</v>
      </c>
      <c r="N153" s="87">
        <v>24</v>
      </c>
      <c r="O153" s="87" t="s">
        <v>1867</v>
      </c>
      <c r="P153" s="87">
        <v>21</v>
      </c>
      <c r="R153" s="87"/>
      <c r="S153" s="26">
        <v>1072</v>
      </c>
      <c r="T153" s="26" t="s">
        <v>1308</v>
      </c>
      <c r="U153" s="26">
        <v>1075</v>
      </c>
      <c r="V153" s="26" t="s">
        <v>1405</v>
      </c>
      <c r="W153" s="63">
        <v>44562</v>
      </c>
      <c r="X153" s="63">
        <v>44815</v>
      </c>
      <c r="Y153" s="63">
        <v>45101</v>
      </c>
      <c r="Z153" s="63">
        <v>45169</v>
      </c>
      <c r="AA153" s="22" t="s">
        <v>1109</v>
      </c>
      <c r="AB153" s="23"/>
      <c r="AC153" s="23" t="s">
        <v>731</v>
      </c>
      <c r="AD153" s="23" t="s">
        <v>731</v>
      </c>
      <c r="AE153" s="23"/>
      <c r="AF153" s="23" t="s">
        <v>731</v>
      </c>
      <c r="AG153" s="23" t="s">
        <v>731</v>
      </c>
      <c r="AH153" s="23" t="s">
        <v>731</v>
      </c>
      <c r="AI153" s="23" t="s">
        <v>731</v>
      </c>
      <c r="AJ153" s="23" t="s">
        <v>731</v>
      </c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42">
        <v>13.75</v>
      </c>
      <c r="AW153" s="18"/>
      <c r="AY153" s="42"/>
      <c r="AZ153" s="42"/>
      <c r="BB153" s="45">
        <v>1</v>
      </c>
      <c r="BC153" s="41">
        <f>IF(AND((AV153/I153)&lt;2,BB153=1),(I153*2)-AV153,0)</f>
        <v>0</v>
      </c>
      <c r="BD153" s="41">
        <f>IF(AND((AV153/I153)&lt;3,BB153=2),(I153*3)-AV153,0)</f>
        <v>0</v>
      </c>
      <c r="BG153" s="18"/>
      <c r="BH153" s="18">
        <v>7</v>
      </c>
      <c r="BI153" s="18">
        <v>0</v>
      </c>
      <c r="BJ153" s="18">
        <v>0</v>
      </c>
      <c r="BK153" s="18">
        <v>0</v>
      </c>
      <c r="BL153" s="18">
        <v>0</v>
      </c>
      <c r="BM153" s="55">
        <f>SUM(AV153:AX153)+SUM(BC153:BD153)+SUM(BE153:BF153)+BG153</f>
        <v>13.75</v>
      </c>
      <c r="BN153" s="55"/>
      <c r="BO153" s="55"/>
      <c r="BP153" s="55"/>
      <c r="BQ153" s="55"/>
      <c r="BR153" s="55"/>
      <c r="BS153" s="55"/>
      <c r="BT153" s="55"/>
      <c r="BU153" s="55"/>
      <c r="BV153" s="55"/>
      <c r="BW153" s="55"/>
      <c r="BX153" s="55"/>
      <c r="BY153" s="55"/>
    </row>
    <row r="154" spans="2:77" ht="22.5">
      <c r="B154" s="89">
        <v>150</v>
      </c>
      <c r="C154" s="101">
        <v>106</v>
      </c>
      <c r="D154" s="101">
        <v>295</v>
      </c>
      <c r="E154" s="102">
        <v>0.25416666666666665</v>
      </c>
      <c r="F154" s="102">
        <v>0.2673611111111111</v>
      </c>
      <c r="G154" s="103" t="s">
        <v>52</v>
      </c>
      <c r="H154" s="103" t="s">
        <v>1</v>
      </c>
      <c r="I154" s="101">
        <v>8</v>
      </c>
      <c r="J154" s="104">
        <v>19</v>
      </c>
      <c r="K154" s="98">
        <v>67</v>
      </c>
      <c r="L154" s="99" t="s">
        <v>735</v>
      </c>
      <c r="M154" s="83" t="s">
        <v>1071</v>
      </c>
      <c r="N154" s="83">
        <v>25</v>
      </c>
      <c r="O154" s="83" t="s">
        <v>1873</v>
      </c>
      <c r="P154" s="83">
        <v>23</v>
      </c>
      <c r="Q154" s="2" t="s">
        <v>1941</v>
      </c>
      <c r="R154" s="85">
        <v>23</v>
      </c>
      <c r="S154" s="26">
        <v>6096</v>
      </c>
      <c r="T154" s="26" t="s">
        <v>1406</v>
      </c>
      <c r="U154" s="26">
        <v>6100</v>
      </c>
      <c r="V154" s="26" t="s">
        <v>1407</v>
      </c>
      <c r="W154" s="63">
        <v>44562</v>
      </c>
      <c r="X154" s="63">
        <v>44815</v>
      </c>
      <c r="Y154" s="63">
        <v>45101</v>
      </c>
      <c r="Z154" s="63">
        <v>45169</v>
      </c>
      <c r="AA154" s="23" t="s">
        <v>1107</v>
      </c>
      <c r="AB154" s="23"/>
      <c r="AC154" s="23" t="s">
        <v>731</v>
      </c>
      <c r="AD154" s="23" t="s">
        <v>731</v>
      </c>
      <c r="AE154" s="23"/>
      <c r="AF154" s="23" t="s">
        <v>731</v>
      </c>
      <c r="AG154" s="23" t="s">
        <v>731</v>
      </c>
      <c r="AH154" s="23" t="s">
        <v>731</v>
      </c>
      <c r="AI154" s="23" t="s">
        <v>731</v>
      </c>
      <c r="AJ154" s="23" t="s">
        <v>731</v>
      </c>
      <c r="AK154" s="23" t="s">
        <v>731</v>
      </c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W154" s="41">
        <f>1.9*8</f>
        <v>15.2</v>
      </c>
      <c r="AY154" s="41"/>
      <c r="AZ154" s="41"/>
      <c r="BA154" s="18">
        <v>24</v>
      </c>
      <c r="BB154" s="45">
        <v>1</v>
      </c>
      <c r="BD154" s="41"/>
      <c r="BE154" s="44"/>
      <c r="BF154" s="44"/>
      <c r="BG154" s="41">
        <f>IF((AV154+AW154+AX154)&lt;20,(20-(AV154+AW154+AX154)),0)</f>
        <v>4.8000000000000007</v>
      </c>
      <c r="BH154" s="18">
        <v>9</v>
      </c>
      <c r="BI154" s="18">
        <v>0</v>
      </c>
      <c r="BJ154" s="18">
        <v>0</v>
      </c>
      <c r="BK154" s="18">
        <v>0</v>
      </c>
      <c r="BL154" s="18">
        <v>0</v>
      </c>
      <c r="BM154" s="55">
        <f>SUM(AV154:AX154)+SUM(BC154:BD154)+SUM(BE154:BF154)+BG154</f>
        <v>20</v>
      </c>
      <c r="BN154" s="55"/>
      <c r="BO154" s="55"/>
      <c r="BP154" s="55"/>
      <c r="BQ154" s="55"/>
      <c r="BR154" s="55"/>
      <c r="BS154" s="55"/>
      <c r="BT154" s="55"/>
      <c r="BU154" s="55"/>
      <c r="BV154" s="55"/>
      <c r="BW154" s="55"/>
      <c r="BX154" s="55"/>
      <c r="BY154" s="55"/>
    </row>
    <row r="155" spans="2:77" ht="25.5">
      <c r="B155" s="89">
        <v>151</v>
      </c>
      <c r="C155" s="93">
        <v>106</v>
      </c>
      <c r="D155" s="97">
        <v>281</v>
      </c>
      <c r="E155" s="94">
        <v>0.27083333333333331</v>
      </c>
      <c r="F155" s="94">
        <v>0.28402777777777777</v>
      </c>
      <c r="G155" s="93" t="s">
        <v>732</v>
      </c>
      <c r="H155" s="93" t="s">
        <v>97</v>
      </c>
      <c r="I155" s="96">
        <v>8</v>
      </c>
      <c r="J155" s="97" t="s">
        <v>93</v>
      </c>
      <c r="K155" s="98">
        <v>208</v>
      </c>
      <c r="L155" s="99" t="s">
        <v>735</v>
      </c>
      <c r="M155" s="83" t="s">
        <v>1071</v>
      </c>
      <c r="N155" s="83">
        <v>25</v>
      </c>
      <c r="O155" s="83" t="s">
        <v>1873</v>
      </c>
      <c r="P155" s="83">
        <v>23</v>
      </c>
      <c r="Q155" s="2" t="s">
        <v>1941</v>
      </c>
      <c r="R155" s="85">
        <v>23</v>
      </c>
      <c r="S155" s="26">
        <v>6096</v>
      </c>
      <c r="T155" s="26" t="s">
        <v>1406</v>
      </c>
      <c r="U155" s="26">
        <v>6100</v>
      </c>
      <c r="V155" s="26" t="s">
        <v>1407</v>
      </c>
      <c r="W155" s="62">
        <v>44816</v>
      </c>
      <c r="X155" s="62">
        <v>45086</v>
      </c>
      <c r="Y155" s="62"/>
      <c r="Z155" s="62"/>
      <c r="AA155" s="22" t="s">
        <v>1106</v>
      </c>
      <c r="AB155" s="23"/>
      <c r="AC155" s="23"/>
      <c r="AD155" s="23"/>
      <c r="AE155" s="23" t="s">
        <v>731</v>
      </c>
      <c r="AF155" s="23" t="s">
        <v>731</v>
      </c>
      <c r="AG155" s="23" t="s">
        <v>731</v>
      </c>
      <c r="AH155" s="23" t="s">
        <v>731</v>
      </c>
      <c r="AI155" s="23" t="s">
        <v>731</v>
      </c>
      <c r="AJ155" s="23" t="s">
        <v>731</v>
      </c>
      <c r="AK155" s="23" t="s">
        <v>731</v>
      </c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41">
        <v>24</v>
      </c>
      <c r="AY155" s="41"/>
      <c r="AZ155" s="41"/>
      <c r="BB155" s="45">
        <v>1</v>
      </c>
      <c r="BC155" s="41">
        <f>IF(AND((AV155/I155)&lt;2,BB155=1),(I155*2)-AV155,0)</f>
        <v>0</v>
      </c>
      <c r="BD155" s="41">
        <f>IF(AND((AV155/I155)&lt;3,BB155=2),(I155*3)-AV155,0)</f>
        <v>0</v>
      </c>
      <c r="BE155" s="44"/>
      <c r="BF155" s="44"/>
      <c r="BG155" s="41">
        <f>IF((AV155+AW155+AX155)&lt;20,(20-(AV155+AW155+AX155)),0)</f>
        <v>0</v>
      </c>
      <c r="BH155" s="18">
        <v>17</v>
      </c>
      <c r="BI155" s="18">
        <v>25</v>
      </c>
      <c r="BJ155" s="18">
        <v>25</v>
      </c>
      <c r="BK155" s="18">
        <v>18</v>
      </c>
      <c r="BL155" s="18">
        <v>20</v>
      </c>
      <c r="BM155" s="55">
        <f>SUM(AV155:AX155)+SUM(BC155:BD155)+SUM(BE155:BF155)+BG155</f>
        <v>24</v>
      </c>
      <c r="BN155" s="55"/>
      <c r="BO155" s="55"/>
      <c r="BP155" s="55"/>
      <c r="BQ155" s="55"/>
      <c r="BR155" s="55"/>
      <c r="BS155" s="55"/>
      <c r="BT155" s="55"/>
      <c r="BU155" s="55"/>
      <c r="BV155" s="55"/>
      <c r="BW155" s="55"/>
      <c r="BX155" s="55"/>
      <c r="BY155" s="55"/>
    </row>
    <row r="156" spans="2:77" ht="33.75">
      <c r="B156" s="89">
        <v>152</v>
      </c>
      <c r="C156" s="101">
        <v>106</v>
      </c>
      <c r="D156" s="101">
        <v>290</v>
      </c>
      <c r="E156" s="102">
        <v>0.27986111111111112</v>
      </c>
      <c r="F156" s="102">
        <v>0.29444444444444445</v>
      </c>
      <c r="G156" s="103" t="s">
        <v>51</v>
      </c>
      <c r="H156" s="103" t="s">
        <v>267</v>
      </c>
      <c r="I156" s="101">
        <v>9</v>
      </c>
      <c r="J156" s="104">
        <v>19</v>
      </c>
      <c r="K156" s="98">
        <v>55</v>
      </c>
      <c r="L156" s="99" t="s">
        <v>735</v>
      </c>
      <c r="M156" s="83" t="s">
        <v>1071</v>
      </c>
      <c r="N156" s="83">
        <v>25</v>
      </c>
      <c r="O156" s="83" t="s">
        <v>1873</v>
      </c>
      <c r="P156" s="83">
        <v>23</v>
      </c>
      <c r="Q156" s="2" t="s">
        <v>1941</v>
      </c>
      <c r="R156" s="85">
        <v>23</v>
      </c>
      <c r="S156" s="26" t="s">
        <v>1408</v>
      </c>
      <c r="T156" s="26" t="s">
        <v>1409</v>
      </c>
      <c r="U156" s="26">
        <v>6096</v>
      </c>
      <c r="V156" s="26" t="s">
        <v>1406</v>
      </c>
      <c r="W156" s="63">
        <v>44562</v>
      </c>
      <c r="X156" s="63">
        <v>44815</v>
      </c>
      <c r="Y156" s="63">
        <v>45101</v>
      </c>
      <c r="Z156" s="63">
        <v>45169</v>
      </c>
      <c r="AA156" s="22" t="s">
        <v>1109</v>
      </c>
      <c r="AB156" s="23"/>
      <c r="AC156" s="23" t="s">
        <v>731</v>
      </c>
      <c r="AD156" s="23" t="s">
        <v>731</v>
      </c>
      <c r="AE156" s="23"/>
      <c r="AF156" s="23" t="s">
        <v>731</v>
      </c>
      <c r="AG156" s="23" t="s">
        <v>731</v>
      </c>
      <c r="AH156" s="23" t="s">
        <v>731</v>
      </c>
      <c r="AI156" s="23" t="s">
        <v>731</v>
      </c>
      <c r="AJ156" s="23" t="s">
        <v>731</v>
      </c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W156" s="41">
        <f>1.9*9</f>
        <v>17.099999999999998</v>
      </c>
      <c r="AY156" s="41"/>
      <c r="AZ156" s="41"/>
      <c r="BA156" s="18">
        <v>25</v>
      </c>
      <c r="BB156" s="45">
        <v>1</v>
      </c>
      <c r="BD156" s="41"/>
      <c r="BE156" s="44"/>
      <c r="BF156" s="44"/>
      <c r="BG156" s="41">
        <f>IF((AV156+AW156+AX156)&lt;20,(20-(AV156+AW156+AX156)),0)</f>
        <v>2.9000000000000021</v>
      </c>
      <c r="BH156" s="18">
        <v>7</v>
      </c>
      <c r="BI156" s="18">
        <v>0</v>
      </c>
      <c r="BJ156" s="18">
        <v>0</v>
      </c>
      <c r="BK156" s="18">
        <v>0</v>
      </c>
      <c r="BL156" s="18">
        <v>0</v>
      </c>
      <c r="BM156" s="55">
        <f>SUM(AV156:AX156)+SUM(BC156:BD156)+SUM(BE156:BF156)+BG156</f>
        <v>20</v>
      </c>
      <c r="BN156" s="55"/>
      <c r="BO156" s="55"/>
      <c r="BP156" s="55"/>
      <c r="BQ156" s="55"/>
      <c r="BR156" s="55"/>
      <c r="BS156" s="55"/>
      <c r="BT156" s="55"/>
      <c r="BU156" s="55"/>
      <c r="BV156" s="55"/>
      <c r="BW156" s="55"/>
      <c r="BX156" s="55"/>
      <c r="BY156" s="55"/>
    </row>
    <row r="157" spans="2:77" ht="25.5">
      <c r="B157" s="89">
        <v>153</v>
      </c>
      <c r="C157" s="101">
        <v>106</v>
      </c>
      <c r="D157" s="101">
        <v>285</v>
      </c>
      <c r="E157" s="102">
        <v>0.29375000000000001</v>
      </c>
      <c r="F157" s="102">
        <v>0.30694444444444441</v>
      </c>
      <c r="G157" s="103" t="s">
        <v>52</v>
      </c>
      <c r="H157" s="103" t="s">
        <v>267</v>
      </c>
      <c r="I157" s="101">
        <v>8</v>
      </c>
      <c r="J157" s="104">
        <v>19</v>
      </c>
      <c r="K157" s="98">
        <v>55</v>
      </c>
      <c r="L157" s="99" t="s">
        <v>735</v>
      </c>
      <c r="M157" s="83" t="s">
        <v>1071</v>
      </c>
      <c r="N157" s="83">
        <v>25</v>
      </c>
      <c r="O157" s="83" t="s">
        <v>1873</v>
      </c>
      <c r="P157" s="83">
        <v>23</v>
      </c>
      <c r="Q157" s="2" t="s">
        <v>1941</v>
      </c>
      <c r="R157" s="85">
        <v>23</v>
      </c>
      <c r="S157" s="26">
        <v>6096</v>
      </c>
      <c r="T157" s="26" t="s">
        <v>1406</v>
      </c>
      <c r="U157" s="26">
        <v>6100</v>
      </c>
      <c r="V157" s="26" t="s">
        <v>1407</v>
      </c>
      <c r="W157" s="63">
        <v>44562</v>
      </c>
      <c r="X157" s="63">
        <v>44815</v>
      </c>
      <c r="Y157" s="63">
        <v>45101</v>
      </c>
      <c r="Z157" s="63">
        <v>45169</v>
      </c>
      <c r="AA157" s="22" t="s">
        <v>1109</v>
      </c>
      <c r="AB157" s="23"/>
      <c r="AC157" s="23" t="s">
        <v>731</v>
      </c>
      <c r="AD157" s="23" t="s">
        <v>731</v>
      </c>
      <c r="AE157" s="23"/>
      <c r="AF157" s="23" t="s">
        <v>731</v>
      </c>
      <c r="AG157" s="23" t="s">
        <v>731</v>
      </c>
      <c r="AH157" s="23" t="s">
        <v>731</v>
      </c>
      <c r="AI157" s="23" t="s">
        <v>731</v>
      </c>
      <c r="AJ157" s="23" t="s">
        <v>731</v>
      </c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W157" s="41">
        <f>1.9*8</f>
        <v>15.2</v>
      </c>
      <c r="AY157" s="41"/>
      <c r="AZ157" s="41"/>
      <c r="BA157" s="18">
        <v>26</v>
      </c>
      <c r="BB157" s="45">
        <v>1</v>
      </c>
      <c r="BD157" s="41"/>
      <c r="BE157" s="44"/>
      <c r="BF157" s="44"/>
      <c r="BG157" s="18"/>
      <c r="BH157" s="18">
        <v>7</v>
      </c>
      <c r="BI157" s="18">
        <v>0</v>
      </c>
      <c r="BJ157" s="18">
        <v>0</v>
      </c>
      <c r="BK157" s="18">
        <v>0</v>
      </c>
      <c r="BL157" s="18">
        <v>0</v>
      </c>
      <c r="BM157" s="55">
        <f>SUM(AV157:AX157)+SUM(BC157:BD157)+SUM(BE157:BF157)+BG157</f>
        <v>15.2</v>
      </c>
      <c r="BN157" s="55"/>
      <c r="BO157" s="55"/>
      <c r="BP157" s="55"/>
      <c r="BQ157" s="55"/>
      <c r="BR157" s="55"/>
      <c r="BS157" s="55"/>
      <c r="BT157" s="55"/>
      <c r="BU157" s="55"/>
      <c r="BV157" s="55"/>
      <c r="BW157" s="55"/>
      <c r="BX157" s="55"/>
      <c r="BY157" s="55"/>
    </row>
    <row r="158" spans="2:77" ht="33.75">
      <c r="B158" s="89">
        <v>154</v>
      </c>
      <c r="C158" s="101">
        <v>106</v>
      </c>
      <c r="D158" s="101">
        <v>302</v>
      </c>
      <c r="E158" s="102">
        <v>0.34027777777777773</v>
      </c>
      <c r="F158" s="102">
        <v>0.35347222222222219</v>
      </c>
      <c r="G158" s="103" t="s">
        <v>51</v>
      </c>
      <c r="H158" s="103" t="s">
        <v>267</v>
      </c>
      <c r="I158" s="101">
        <v>9</v>
      </c>
      <c r="J158" s="104">
        <v>19</v>
      </c>
      <c r="K158" s="98">
        <v>55</v>
      </c>
      <c r="L158" s="99" t="s">
        <v>735</v>
      </c>
      <c r="M158" s="83" t="s">
        <v>1071</v>
      </c>
      <c r="N158" s="83">
        <v>25</v>
      </c>
      <c r="O158" s="83" t="s">
        <v>1873</v>
      </c>
      <c r="P158" s="83">
        <v>23</v>
      </c>
      <c r="Q158" s="2" t="s">
        <v>1941</v>
      </c>
      <c r="R158" s="85">
        <v>23</v>
      </c>
      <c r="S158" s="26" t="s">
        <v>1408</v>
      </c>
      <c r="T158" s="26" t="s">
        <v>1409</v>
      </c>
      <c r="U158" s="26">
        <v>6096</v>
      </c>
      <c r="V158" s="26" t="s">
        <v>1406</v>
      </c>
      <c r="W158" s="63">
        <v>44562</v>
      </c>
      <c r="X158" s="63">
        <v>44815</v>
      </c>
      <c r="Y158" s="63">
        <v>45101</v>
      </c>
      <c r="Z158" s="63">
        <v>45169</v>
      </c>
      <c r="AA158" s="22" t="s">
        <v>1109</v>
      </c>
      <c r="AB158" s="23"/>
      <c r="AC158" s="23" t="s">
        <v>731</v>
      </c>
      <c r="AD158" s="23" t="s">
        <v>731</v>
      </c>
      <c r="AE158" s="23"/>
      <c r="AF158" s="23" t="s">
        <v>731</v>
      </c>
      <c r="AG158" s="23" t="s">
        <v>731</v>
      </c>
      <c r="AH158" s="23" t="s">
        <v>731</v>
      </c>
      <c r="AI158" s="23" t="s">
        <v>731</v>
      </c>
      <c r="AJ158" s="23" t="s">
        <v>731</v>
      </c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W158" s="41">
        <f>1.9*9</f>
        <v>17.099999999999998</v>
      </c>
      <c r="AY158" s="41"/>
      <c r="AZ158" s="41"/>
      <c r="BA158" s="18">
        <v>27</v>
      </c>
      <c r="BB158" s="45">
        <v>1</v>
      </c>
      <c r="BD158" s="41"/>
      <c r="BE158" s="44"/>
      <c r="BF158" s="44"/>
      <c r="BG158" s="18"/>
      <c r="BH158" s="18">
        <v>7</v>
      </c>
      <c r="BI158" s="18">
        <v>0</v>
      </c>
      <c r="BJ158" s="18">
        <v>0</v>
      </c>
      <c r="BK158" s="18">
        <v>0</v>
      </c>
      <c r="BL158" s="18">
        <v>0</v>
      </c>
      <c r="BM158" s="55">
        <f>SUM(AV158:AX158)+SUM(BC158:BD158)+SUM(BE158:BF158)+BG158</f>
        <v>17.099999999999998</v>
      </c>
      <c r="BN158" s="55"/>
      <c r="BO158" s="55"/>
      <c r="BP158" s="55"/>
      <c r="BQ158" s="55"/>
      <c r="BR158" s="55"/>
      <c r="BS158" s="55"/>
      <c r="BT158" s="55"/>
      <c r="BU158" s="55"/>
      <c r="BV158" s="55"/>
      <c r="BW158" s="55"/>
      <c r="BX158" s="55"/>
      <c r="BY158" s="55"/>
    </row>
    <row r="159" spans="2:77" ht="25.5">
      <c r="B159" s="89">
        <v>155</v>
      </c>
      <c r="C159" s="101">
        <v>106</v>
      </c>
      <c r="D159" s="101">
        <v>303</v>
      </c>
      <c r="E159" s="102">
        <v>0.37847222222222227</v>
      </c>
      <c r="F159" s="102">
        <v>0.39166666666666666</v>
      </c>
      <c r="G159" s="103" t="s">
        <v>52</v>
      </c>
      <c r="H159" s="103" t="s">
        <v>267</v>
      </c>
      <c r="I159" s="101">
        <v>8</v>
      </c>
      <c r="J159" s="104">
        <v>19</v>
      </c>
      <c r="K159" s="98">
        <v>55</v>
      </c>
      <c r="L159" s="99" t="s">
        <v>735</v>
      </c>
      <c r="M159" s="83" t="s">
        <v>1071</v>
      </c>
      <c r="N159" s="83">
        <v>25</v>
      </c>
      <c r="O159" s="83" t="s">
        <v>1873</v>
      </c>
      <c r="P159" s="83">
        <v>23</v>
      </c>
      <c r="Q159" s="2" t="s">
        <v>1941</v>
      </c>
      <c r="R159" s="85">
        <v>23</v>
      </c>
      <c r="S159" s="26">
        <v>6096</v>
      </c>
      <c r="T159" s="26" t="s">
        <v>1406</v>
      </c>
      <c r="U159" s="26">
        <v>6100</v>
      </c>
      <c r="V159" s="26" t="s">
        <v>1407</v>
      </c>
      <c r="W159" s="63">
        <v>44562</v>
      </c>
      <c r="X159" s="63">
        <v>44815</v>
      </c>
      <c r="Y159" s="63">
        <v>45101</v>
      </c>
      <c r="Z159" s="63">
        <v>45169</v>
      </c>
      <c r="AA159" s="22" t="s">
        <v>1109</v>
      </c>
      <c r="AB159" s="23"/>
      <c r="AC159" s="23" t="s">
        <v>731</v>
      </c>
      <c r="AD159" s="23" t="s">
        <v>731</v>
      </c>
      <c r="AE159" s="23"/>
      <c r="AF159" s="23" t="s">
        <v>731</v>
      </c>
      <c r="AG159" s="23" t="s">
        <v>731</v>
      </c>
      <c r="AH159" s="23" t="s">
        <v>731</v>
      </c>
      <c r="AI159" s="23" t="s">
        <v>731</v>
      </c>
      <c r="AJ159" s="23" t="s">
        <v>731</v>
      </c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W159" s="41">
        <f>1.9*8</f>
        <v>15.2</v>
      </c>
      <c r="AY159" s="41"/>
      <c r="AZ159" s="41"/>
      <c r="BA159" s="18">
        <v>28</v>
      </c>
      <c r="BB159" s="45">
        <v>1</v>
      </c>
      <c r="BD159" s="41"/>
      <c r="BE159" s="44"/>
      <c r="BF159" s="44"/>
      <c r="BG159" s="18"/>
      <c r="BH159" s="18">
        <v>7</v>
      </c>
      <c r="BI159" s="18">
        <v>0</v>
      </c>
      <c r="BJ159" s="18">
        <v>0</v>
      </c>
      <c r="BK159" s="18">
        <v>0</v>
      </c>
      <c r="BL159" s="18">
        <v>0</v>
      </c>
      <c r="BM159" s="55">
        <f>SUM(AV159:AX159)+SUM(BC159:BD159)+SUM(BE159:BF159)+BG159</f>
        <v>15.2</v>
      </c>
      <c r="BN159" s="55" t="s">
        <v>1109</v>
      </c>
      <c r="BO159" s="77">
        <v>7</v>
      </c>
      <c r="BP159" s="77"/>
      <c r="BQ159" s="77">
        <v>0</v>
      </c>
      <c r="BR159" s="77"/>
      <c r="BS159" s="77">
        <v>0</v>
      </c>
      <c r="BT159" s="77"/>
      <c r="BU159" s="77">
        <v>0</v>
      </c>
      <c r="BV159" s="77"/>
      <c r="BW159" s="77">
        <v>0</v>
      </c>
      <c r="BX159" s="77"/>
      <c r="BY159" s="55">
        <v>20.8</v>
      </c>
    </row>
    <row r="160" spans="2:77" ht="33.75">
      <c r="B160" s="89">
        <v>156</v>
      </c>
      <c r="C160" s="101">
        <v>106</v>
      </c>
      <c r="D160" s="101">
        <v>286</v>
      </c>
      <c r="E160" s="102">
        <v>0.56944444444444442</v>
      </c>
      <c r="F160" s="102">
        <v>0.58263888888888882</v>
      </c>
      <c r="G160" s="103" t="s">
        <v>51</v>
      </c>
      <c r="H160" s="103" t="s">
        <v>1</v>
      </c>
      <c r="I160" s="101">
        <v>9</v>
      </c>
      <c r="J160" s="104">
        <v>19</v>
      </c>
      <c r="K160" s="98">
        <v>67</v>
      </c>
      <c r="L160" s="99" t="s">
        <v>735</v>
      </c>
      <c r="M160" s="83" t="s">
        <v>1071</v>
      </c>
      <c r="N160" s="83">
        <v>25</v>
      </c>
      <c r="O160" s="83" t="s">
        <v>1873</v>
      </c>
      <c r="P160" s="83">
        <v>23</v>
      </c>
      <c r="Q160" s="2" t="s">
        <v>1941</v>
      </c>
      <c r="R160" s="85">
        <v>23</v>
      </c>
      <c r="S160" s="26" t="s">
        <v>1408</v>
      </c>
      <c r="T160" s="26" t="s">
        <v>1409</v>
      </c>
      <c r="U160" s="26">
        <v>6096</v>
      </c>
      <c r="V160" s="26" t="s">
        <v>1406</v>
      </c>
      <c r="W160" s="63">
        <v>44562</v>
      </c>
      <c r="X160" s="63">
        <v>44815</v>
      </c>
      <c r="Y160" s="63">
        <v>45101</v>
      </c>
      <c r="Z160" s="63">
        <v>45169</v>
      </c>
      <c r="AA160" s="23" t="s">
        <v>1107</v>
      </c>
      <c r="AB160" s="23"/>
      <c r="AC160" s="23" t="s">
        <v>731</v>
      </c>
      <c r="AD160" s="23" t="s">
        <v>731</v>
      </c>
      <c r="AE160" s="23"/>
      <c r="AF160" s="23" t="s">
        <v>731</v>
      </c>
      <c r="AG160" s="23" t="s">
        <v>731</v>
      </c>
      <c r="AH160" s="23" t="s">
        <v>731</v>
      </c>
      <c r="AI160" s="23" t="s">
        <v>731</v>
      </c>
      <c r="AJ160" s="23" t="s">
        <v>731</v>
      </c>
      <c r="AK160" s="23" t="s">
        <v>731</v>
      </c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W160" s="41">
        <f>1.9*9</f>
        <v>17.099999999999998</v>
      </c>
      <c r="AY160" s="41"/>
      <c r="AZ160" s="41"/>
      <c r="BA160" s="18">
        <v>29</v>
      </c>
      <c r="BB160" s="45">
        <v>1</v>
      </c>
      <c r="BD160" s="41"/>
      <c r="BE160" s="44"/>
      <c r="BF160" s="44"/>
      <c r="BG160" s="18"/>
      <c r="BH160" s="18">
        <v>9</v>
      </c>
      <c r="BI160" s="18">
        <v>0</v>
      </c>
      <c r="BJ160" s="18">
        <v>0</v>
      </c>
      <c r="BK160" s="18">
        <v>0</v>
      </c>
      <c r="BL160" s="18">
        <v>0</v>
      </c>
      <c r="BM160" s="55">
        <f>SUM(AV160:AX160)+SUM(BC160:BD160)+SUM(BE160:BF160)+BG160</f>
        <v>17.099999999999998</v>
      </c>
      <c r="BN160" s="55" t="s">
        <v>1119</v>
      </c>
      <c r="BO160" s="77">
        <v>2</v>
      </c>
      <c r="BP160" s="77"/>
      <c r="BQ160" s="77">
        <v>0</v>
      </c>
      <c r="BR160" s="77"/>
      <c r="BS160" s="77">
        <v>0</v>
      </c>
      <c r="BT160" s="77"/>
      <c r="BU160" s="77">
        <v>0</v>
      </c>
      <c r="BV160" s="77"/>
      <c r="BW160" s="77">
        <v>0</v>
      </c>
      <c r="BX160" s="77"/>
      <c r="BY160" s="55">
        <v>102.5</v>
      </c>
    </row>
    <row r="161" spans="2:77" ht="22.5">
      <c r="B161" s="89">
        <v>157</v>
      </c>
      <c r="C161" s="101">
        <v>106</v>
      </c>
      <c r="D161" s="101">
        <v>287</v>
      </c>
      <c r="E161" s="102">
        <v>0.64236111111111105</v>
      </c>
      <c r="F161" s="102">
        <v>0.65555555555555556</v>
      </c>
      <c r="G161" s="103" t="s">
        <v>52</v>
      </c>
      <c r="H161" s="103" t="s">
        <v>1</v>
      </c>
      <c r="I161" s="101">
        <v>8</v>
      </c>
      <c r="J161" s="104">
        <v>19</v>
      </c>
      <c r="K161" s="98">
        <v>67</v>
      </c>
      <c r="L161" s="99" t="s">
        <v>735</v>
      </c>
      <c r="M161" s="83" t="s">
        <v>1071</v>
      </c>
      <c r="N161" s="83">
        <v>25</v>
      </c>
      <c r="O161" s="83" t="s">
        <v>1873</v>
      </c>
      <c r="P161" s="83">
        <v>23</v>
      </c>
      <c r="Q161" s="2" t="s">
        <v>1941</v>
      </c>
      <c r="R161" s="85">
        <v>23</v>
      </c>
      <c r="S161" s="26">
        <v>6096</v>
      </c>
      <c r="T161" s="26" t="s">
        <v>1406</v>
      </c>
      <c r="U161" s="26">
        <v>6100</v>
      </c>
      <c r="V161" s="26" t="s">
        <v>1407</v>
      </c>
      <c r="W161" s="63">
        <v>44562</v>
      </c>
      <c r="X161" s="63">
        <v>44815</v>
      </c>
      <c r="Y161" s="63">
        <v>45101</v>
      </c>
      <c r="Z161" s="63">
        <v>45169</v>
      </c>
      <c r="AA161" s="23" t="s">
        <v>1107</v>
      </c>
      <c r="AB161" s="23"/>
      <c r="AC161" s="23" t="s">
        <v>731</v>
      </c>
      <c r="AD161" s="23" t="s">
        <v>731</v>
      </c>
      <c r="AE161" s="23"/>
      <c r="AF161" s="23" t="s">
        <v>731</v>
      </c>
      <c r="AG161" s="23" t="s">
        <v>731</v>
      </c>
      <c r="AH161" s="23" t="s">
        <v>731</v>
      </c>
      <c r="AI161" s="23" t="s">
        <v>731</v>
      </c>
      <c r="AJ161" s="23" t="s">
        <v>731</v>
      </c>
      <c r="AK161" s="23" t="s">
        <v>731</v>
      </c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W161" s="41">
        <f>1.9*8</f>
        <v>15.2</v>
      </c>
      <c r="AY161" s="41"/>
      <c r="AZ161" s="41"/>
      <c r="BA161" s="18">
        <v>30</v>
      </c>
      <c r="BB161" s="45">
        <v>1</v>
      </c>
      <c r="BD161" s="41"/>
      <c r="BE161" s="44"/>
      <c r="BF161" s="44"/>
      <c r="BG161" s="18"/>
      <c r="BH161" s="18">
        <v>9</v>
      </c>
      <c r="BI161" s="18">
        <v>0</v>
      </c>
      <c r="BJ161" s="18">
        <v>0</v>
      </c>
      <c r="BK161" s="18">
        <v>0</v>
      </c>
      <c r="BL161" s="18">
        <v>0</v>
      </c>
      <c r="BM161" s="55">
        <f>SUM(AV161:AX161)+SUM(BC161:BD161)+SUM(BE161:BF161)+BG161</f>
        <v>15.2</v>
      </c>
      <c r="BN161" s="55"/>
      <c r="BO161" s="55"/>
      <c r="BP161" s="55"/>
      <c r="BQ161" s="55"/>
      <c r="BR161" s="55"/>
      <c r="BS161" s="55"/>
      <c r="BT161" s="55"/>
      <c r="BU161" s="55"/>
      <c r="BV161" s="55"/>
      <c r="BW161" s="55"/>
      <c r="BX161" s="55"/>
      <c r="BY161" s="55"/>
    </row>
    <row r="162" spans="2:77" ht="33.75">
      <c r="B162" s="89">
        <v>158</v>
      </c>
      <c r="C162" s="93">
        <v>106</v>
      </c>
      <c r="D162" s="93">
        <v>288</v>
      </c>
      <c r="E162" s="94">
        <v>0.74722222222222223</v>
      </c>
      <c r="F162" s="94">
        <v>0.76041666666666663</v>
      </c>
      <c r="G162" s="93" t="s">
        <v>413</v>
      </c>
      <c r="H162" s="93" t="s">
        <v>478</v>
      </c>
      <c r="I162" s="96">
        <v>9</v>
      </c>
      <c r="J162" s="97" t="s">
        <v>146</v>
      </c>
      <c r="K162" s="98">
        <v>240</v>
      </c>
      <c r="L162" s="109" t="s">
        <v>734</v>
      </c>
      <c r="M162" s="83" t="s">
        <v>906</v>
      </c>
      <c r="N162" s="83">
        <v>24</v>
      </c>
      <c r="O162" s="83" t="s">
        <v>907</v>
      </c>
      <c r="P162" s="83">
        <v>21</v>
      </c>
      <c r="R162" s="87"/>
      <c r="S162" s="26" t="s">
        <v>1408</v>
      </c>
      <c r="T162" s="26" t="s">
        <v>1409</v>
      </c>
      <c r="U162" s="26">
        <v>6096</v>
      </c>
      <c r="V162" s="26" t="s">
        <v>1406</v>
      </c>
      <c r="W162" s="63">
        <v>44816</v>
      </c>
      <c r="X162" s="63">
        <v>45100</v>
      </c>
      <c r="Y162" s="63"/>
      <c r="Z162" s="63"/>
      <c r="AA162" s="26" t="s">
        <v>1112</v>
      </c>
      <c r="AB162" s="23" t="s">
        <v>731</v>
      </c>
      <c r="AC162" s="23"/>
      <c r="AD162" s="23" t="s">
        <v>731</v>
      </c>
      <c r="AE162" s="23"/>
      <c r="AF162" s="23" t="s">
        <v>731</v>
      </c>
      <c r="AG162" s="23" t="s">
        <v>731</v>
      </c>
      <c r="AH162" s="23" t="s">
        <v>731</v>
      </c>
      <c r="AI162" s="23" t="s">
        <v>731</v>
      </c>
      <c r="AJ162" s="23" t="s">
        <v>731</v>
      </c>
      <c r="AK162" s="23" t="s">
        <v>731</v>
      </c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42">
        <v>22.5</v>
      </c>
      <c r="AW162" s="18"/>
      <c r="AY162" s="42"/>
      <c r="AZ162" s="42"/>
      <c r="BB162" s="45">
        <v>1</v>
      </c>
      <c r="BC162" s="41">
        <f>IF(AND((AV162/I162)&lt;2,BB162=1),(I162*2)-AV162,0)</f>
        <v>0</v>
      </c>
      <c r="BD162" s="41">
        <f>IF(AND((AV162/I162)&lt;3,BB162=2),(I162*3)-AV162,0)</f>
        <v>0</v>
      </c>
      <c r="BG162" s="18"/>
      <c r="BH162" s="18">
        <v>17</v>
      </c>
      <c r="BI162" s="18">
        <v>26</v>
      </c>
      <c r="BJ162" s="18">
        <v>25</v>
      </c>
      <c r="BK162" s="18">
        <v>25</v>
      </c>
      <c r="BL162" s="18">
        <v>25</v>
      </c>
      <c r="BM162" s="55">
        <f>SUM(AV162:AX162)+SUM(BC162:BD162)+SUM(BE162:BF162)+BG162</f>
        <v>22.5</v>
      </c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</row>
    <row r="163" spans="2:77" ht="25.5">
      <c r="B163" s="89">
        <v>159</v>
      </c>
      <c r="C163" s="93">
        <v>106</v>
      </c>
      <c r="D163" s="93">
        <v>289</v>
      </c>
      <c r="E163" s="94">
        <v>0.76111111111111107</v>
      </c>
      <c r="F163" s="94">
        <v>0.77430555555555547</v>
      </c>
      <c r="G163" s="93" t="s">
        <v>414</v>
      </c>
      <c r="H163" s="93" t="s">
        <v>478</v>
      </c>
      <c r="I163" s="96">
        <v>8</v>
      </c>
      <c r="J163" s="97" t="s">
        <v>146</v>
      </c>
      <c r="K163" s="98">
        <v>240</v>
      </c>
      <c r="L163" s="109" t="s">
        <v>734</v>
      </c>
      <c r="M163" s="83" t="s">
        <v>906</v>
      </c>
      <c r="N163" s="83">
        <v>24</v>
      </c>
      <c r="O163" s="83" t="s">
        <v>907</v>
      </c>
      <c r="P163" s="83">
        <v>21</v>
      </c>
      <c r="R163" s="87"/>
      <c r="S163" s="26">
        <v>6096</v>
      </c>
      <c r="T163" s="26" t="s">
        <v>1406</v>
      </c>
      <c r="U163" s="26">
        <v>6100</v>
      </c>
      <c r="V163" s="26" t="s">
        <v>1407</v>
      </c>
      <c r="W163" s="63">
        <v>44816</v>
      </c>
      <c r="X163" s="63">
        <v>45100</v>
      </c>
      <c r="Y163" s="63"/>
      <c r="Z163" s="63"/>
      <c r="AA163" s="26" t="s">
        <v>1112</v>
      </c>
      <c r="AB163" s="23" t="s">
        <v>731</v>
      </c>
      <c r="AC163" s="23"/>
      <c r="AD163" s="23" t="s">
        <v>731</v>
      </c>
      <c r="AE163" s="23"/>
      <c r="AF163" s="23" t="s">
        <v>731</v>
      </c>
      <c r="AG163" s="23" t="s">
        <v>731</v>
      </c>
      <c r="AH163" s="23" t="s">
        <v>731</v>
      </c>
      <c r="AI163" s="23" t="s">
        <v>731</v>
      </c>
      <c r="AJ163" s="23" t="s">
        <v>731</v>
      </c>
      <c r="AK163" s="23" t="s">
        <v>731</v>
      </c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42">
        <v>20</v>
      </c>
      <c r="AW163" s="18"/>
      <c r="AY163" s="42"/>
      <c r="AZ163" s="42"/>
      <c r="BB163" s="45">
        <v>1</v>
      </c>
      <c r="BC163" s="41">
        <f>IF(AND((AV163/I163)&lt;2,BB163=1),(I163*2)-AV163,0)</f>
        <v>0</v>
      </c>
      <c r="BD163" s="41">
        <f>IF(AND((AV163/I163)&lt;3,BB163=2),(I163*3)-AV163,0)</f>
        <v>0</v>
      </c>
      <c r="BG163" s="18"/>
      <c r="BH163" s="18">
        <v>17</v>
      </c>
      <c r="BI163" s="18">
        <v>26</v>
      </c>
      <c r="BJ163" s="18">
        <v>25</v>
      </c>
      <c r="BK163" s="18">
        <v>25</v>
      </c>
      <c r="BL163" s="18">
        <v>25</v>
      </c>
      <c r="BM163" s="55">
        <f>SUM(AV163:AX163)+SUM(BC163:BD163)+SUM(BE163:BF163)+BG163</f>
        <v>20</v>
      </c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</row>
    <row r="164" spans="2:77" ht="33.75">
      <c r="B164" s="89">
        <v>160</v>
      </c>
      <c r="C164" s="93">
        <v>106</v>
      </c>
      <c r="D164" s="93">
        <v>304</v>
      </c>
      <c r="E164" s="94">
        <v>0.78472222222222221</v>
      </c>
      <c r="F164" s="94">
        <v>0.79791666666666661</v>
      </c>
      <c r="G164" s="93" t="s">
        <v>413</v>
      </c>
      <c r="H164" s="93" t="s">
        <v>203</v>
      </c>
      <c r="I164" s="96">
        <v>9</v>
      </c>
      <c r="J164" s="97" t="s">
        <v>146</v>
      </c>
      <c r="K164" s="98">
        <v>202</v>
      </c>
      <c r="L164" s="109" t="s">
        <v>734</v>
      </c>
      <c r="M164" s="83" t="s">
        <v>906</v>
      </c>
      <c r="N164" s="83">
        <v>24</v>
      </c>
      <c r="O164" s="83" t="s">
        <v>907</v>
      </c>
      <c r="P164" s="83">
        <v>21</v>
      </c>
      <c r="R164" s="87"/>
      <c r="S164" s="26" t="s">
        <v>1408</v>
      </c>
      <c r="T164" s="26" t="s">
        <v>1409</v>
      </c>
      <c r="U164" s="26">
        <v>6096</v>
      </c>
      <c r="V164" s="26" t="s">
        <v>1406</v>
      </c>
      <c r="W164" s="63">
        <v>44816</v>
      </c>
      <c r="X164" s="63">
        <v>45100</v>
      </c>
      <c r="Y164" s="63"/>
      <c r="Z164" s="63"/>
      <c r="AA164" s="22" t="s">
        <v>1108</v>
      </c>
      <c r="AB164" s="23" t="s">
        <v>731</v>
      </c>
      <c r="AC164" s="23"/>
      <c r="AD164" s="23" t="s">
        <v>731</v>
      </c>
      <c r="AE164" s="23"/>
      <c r="AF164" s="23" t="s">
        <v>731</v>
      </c>
      <c r="AG164" s="23" t="s">
        <v>731</v>
      </c>
      <c r="AH164" s="23" t="s">
        <v>731</v>
      </c>
      <c r="AI164" s="23" t="s">
        <v>731</v>
      </c>
      <c r="AJ164" s="23" t="s">
        <v>731</v>
      </c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42">
        <v>22.5</v>
      </c>
      <c r="AW164" s="18"/>
      <c r="AY164" s="42"/>
      <c r="AZ164" s="42"/>
      <c r="BB164" s="45">
        <v>1</v>
      </c>
      <c r="BC164" s="41">
        <f>IF(AND((AV164/I164)&lt;2,BB164=1),(I164*2)-AV164,0)</f>
        <v>0</v>
      </c>
      <c r="BD164" s="41">
        <f>IF(AND((AV164/I164)&lt;3,BB164=2),(I164*3)-AV164,0)</f>
        <v>0</v>
      </c>
      <c r="BG164" s="18"/>
      <c r="BH164" s="18">
        <v>15</v>
      </c>
      <c r="BI164" s="18">
        <v>21</v>
      </c>
      <c r="BJ164" s="18">
        <v>21</v>
      </c>
      <c r="BK164" s="18">
        <v>20</v>
      </c>
      <c r="BL164" s="18">
        <v>21</v>
      </c>
      <c r="BM164" s="55">
        <f>SUM(AV164:AX164)+SUM(BC164:BD164)+SUM(BE164:BF164)+BG164</f>
        <v>22.5</v>
      </c>
      <c r="BN164" s="55"/>
      <c r="BO164" s="55"/>
      <c r="BP164" s="55"/>
      <c r="BQ164" s="55"/>
      <c r="BR164" s="55"/>
      <c r="BS164" s="55"/>
      <c r="BT164" s="55"/>
      <c r="BU164" s="55"/>
      <c r="BV164" s="55"/>
      <c r="BW164" s="55"/>
      <c r="BX164" s="55"/>
      <c r="BY164" s="55"/>
    </row>
    <row r="165" spans="2:77" ht="33.75">
      <c r="B165" s="89">
        <v>161</v>
      </c>
      <c r="C165" s="101">
        <v>106</v>
      </c>
      <c r="D165" s="101">
        <v>288</v>
      </c>
      <c r="E165" s="102">
        <v>0.79861111111111116</v>
      </c>
      <c r="F165" s="102">
        <v>0.81180555555555556</v>
      </c>
      <c r="G165" s="103" t="s">
        <v>51</v>
      </c>
      <c r="H165" s="103" t="s">
        <v>267</v>
      </c>
      <c r="I165" s="101">
        <v>9</v>
      </c>
      <c r="J165" s="104">
        <v>19</v>
      </c>
      <c r="K165" s="98">
        <v>55</v>
      </c>
      <c r="L165" s="99" t="s">
        <v>735</v>
      </c>
      <c r="M165" s="83" t="s">
        <v>1071</v>
      </c>
      <c r="N165" s="83">
        <v>25</v>
      </c>
      <c r="O165" s="83" t="s">
        <v>1873</v>
      </c>
      <c r="P165" s="83">
        <v>23</v>
      </c>
      <c r="Q165" s="2" t="s">
        <v>1941</v>
      </c>
      <c r="R165" s="85">
        <v>23</v>
      </c>
      <c r="S165" s="26" t="s">
        <v>1408</v>
      </c>
      <c r="T165" s="26" t="s">
        <v>1409</v>
      </c>
      <c r="U165" s="26">
        <v>6096</v>
      </c>
      <c r="V165" s="26" t="s">
        <v>1406</v>
      </c>
      <c r="W165" s="63">
        <v>44562</v>
      </c>
      <c r="X165" s="63">
        <v>44815</v>
      </c>
      <c r="Y165" s="63">
        <v>45101</v>
      </c>
      <c r="Z165" s="63">
        <v>45169</v>
      </c>
      <c r="AA165" s="22" t="s">
        <v>1109</v>
      </c>
      <c r="AB165" s="23"/>
      <c r="AC165" s="23" t="s">
        <v>731</v>
      </c>
      <c r="AD165" s="23" t="s">
        <v>731</v>
      </c>
      <c r="AE165" s="23"/>
      <c r="AF165" s="23" t="s">
        <v>731</v>
      </c>
      <c r="AG165" s="23" t="s">
        <v>731</v>
      </c>
      <c r="AH165" s="23" t="s">
        <v>731</v>
      </c>
      <c r="AI165" s="23" t="s">
        <v>731</v>
      </c>
      <c r="AJ165" s="23" t="s">
        <v>731</v>
      </c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W165" s="41">
        <f>1.9*9</f>
        <v>17.099999999999998</v>
      </c>
      <c r="AY165" s="41"/>
      <c r="AZ165" s="41"/>
      <c r="BA165" s="18">
        <v>31</v>
      </c>
      <c r="BB165" s="45">
        <v>1</v>
      </c>
      <c r="BD165" s="41"/>
      <c r="BE165" s="44"/>
      <c r="BF165" s="44"/>
      <c r="BG165" s="18"/>
      <c r="BH165" s="18">
        <v>7</v>
      </c>
      <c r="BI165" s="18">
        <v>0</v>
      </c>
      <c r="BJ165" s="18">
        <v>0</v>
      </c>
      <c r="BK165" s="18">
        <v>0</v>
      </c>
      <c r="BL165" s="18">
        <v>0</v>
      </c>
      <c r="BM165" s="55">
        <f>SUM(AV165:AX165)+SUM(BC165:BD165)+SUM(BE165:BF165)+BG165</f>
        <v>17.099999999999998</v>
      </c>
      <c r="BN165" s="55"/>
      <c r="BO165" s="55"/>
      <c r="BP165" s="55"/>
      <c r="BQ165" s="55"/>
      <c r="BR165" s="55"/>
      <c r="BS165" s="55"/>
      <c r="BT165" s="55"/>
      <c r="BU165" s="55"/>
      <c r="BV165" s="55"/>
      <c r="BW165" s="55"/>
      <c r="BX165" s="55"/>
      <c r="BY165" s="55"/>
    </row>
    <row r="166" spans="2:77" ht="33.75">
      <c r="B166" s="89">
        <v>162</v>
      </c>
      <c r="C166" s="93">
        <v>107</v>
      </c>
      <c r="D166" s="93">
        <v>566</v>
      </c>
      <c r="E166" s="94">
        <v>0.54999999999999993</v>
      </c>
      <c r="F166" s="94">
        <v>0.55833333333333335</v>
      </c>
      <c r="G166" s="93" t="s">
        <v>553</v>
      </c>
      <c r="H166" s="93" t="s">
        <v>103</v>
      </c>
      <c r="I166" s="96">
        <v>3</v>
      </c>
      <c r="J166" s="97" t="s">
        <v>264</v>
      </c>
      <c r="K166" s="98">
        <v>174</v>
      </c>
      <c r="L166" s="109" t="s">
        <v>721</v>
      </c>
      <c r="M166" s="83" t="s">
        <v>978</v>
      </c>
      <c r="N166" s="116">
        <v>46</v>
      </c>
      <c r="O166" s="83" t="s">
        <v>895</v>
      </c>
      <c r="P166" s="116">
        <v>47</v>
      </c>
      <c r="R166" s="116"/>
      <c r="S166" s="26" t="s">
        <v>1410</v>
      </c>
      <c r="T166" s="26" t="s">
        <v>1411</v>
      </c>
      <c r="U166" s="26" t="s">
        <v>1408</v>
      </c>
      <c r="V166" s="26" t="s">
        <v>1409</v>
      </c>
      <c r="W166" s="62">
        <v>44816</v>
      </c>
      <c r="X166" s="62">
        <v>45086</v>
      </c>
      <c r="Y166" s="62"/>
      <c r="Z166" s="62"/>
      <c r="AA166" s="22" t="s">
        <v>1102</v>
      </c>
      <c r="AB166" s="23"/>
      <c r="AC166" s="23"/>
      <c r="AD166" s="23"/>
      <c r="AE166" s="23" t="s">
        <v>731</v>
      </c>
      <c r="AF166" s="23" t="s">
        <v>731</v>
      </c>
      <c r="AG166" s="23" t="s">
        <v>731</v>
      </c>
      <c r="AH166" s="23" t="s">
        <v>731</v>
      </c>
      <c r="AI166" s="23" t="s">
        <v>731</v>
      </c>
      <c r="AJ166" s="23" t="s">
        <v>731</v>
      </c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49">
        <v>9</v>
      </c>
      <c r="AW166" s="18"/>
      <c r="AY166" s="42"/>
      <c r="AZ166" s="42"/>
      <c r="BB166" s="43">
        <v>2</v>
      </c>
      <c r="BC166" s="41">
        <f>IF(AND((AV166/I166)&lt;2,BB166=1),(I166*2)-AV166,0)</f>
        <v>0</v>
      </c>
      <c r="BD166" s="49">
        <f>IF(AND((AV166/I166)&lt;3,BB166=2),(I166*3)-AV166,0)</f>
        <v>0</v>
      </c>
      <c r="BG166" s="18"/>
      <c r="BH166" s="18">
        <v>15</v>
      </c>
      <c r="BI166" s="18">
        <v>20</v>
      </c>
      <c r="BJ166" s="18">
        <v>21</v>
      </c>
      <c r="BK166" s="18">
        <v>15</v>
      </c>
      <c r="BL166" s="18">
        <v>17</v>
      </c>
      <c r="BM166" s="55">
        <f>SUM(AV166:AX166)+SUM(BC166:BD166)+SUM(BE166:BF166)+BG166</f>
        <v>9</v>
      </c>
      <c r="BN166" s="55"/>
      <c r="BO166" s="55"/>
      <c r="BP166" s="55"/>
      <c r="BQ166" s="55"/>
      <c r="BR166" s="55"/>
      <c r="BS166" s="55"/>
      <c r="BT166" s="55"/>
      <c r="BU166" s="55"/>
      <c r="BV166" s="55"/>
      <c r="BW166" s="55"/>
      <c r="BX166" s="55"/>
      <c r="BY166" s="55"/>
    </row>
    <row r="167" spans="2:77" ht="33.75">
      <c r="B167" s="89">
        <v>163</v>
      </c>
      <c r="C167" s="93">
        <v>107</v>
      </c>
      <c r="D167" s="93">
        <v>570</v>
      </c>
      <c r="E167" s="94">
        <v>0.61111111111111105</v>
      </c>
      <c r="F167" s="94">
        <v>0.62430555555555556</v>
      </c>
      <c r="G167" s="93" t="s">
        <v>50</v>
      </c>
      <c r="H167" s="93" t="s">
        <v>508</v>
      </c>
      <c r="I167" s="96">
        <v>15</v>
      </c>
      <c r="J167" s="97" t="s">
        <v>93</v>
      </c>
      <c r="K167" s="98">
        <v>12</v>
      </c>
      <c r="L167" s="109" t="s">
        <v>735</v>
      </c>
      <c r="M167" s="83" t="s">
        <v>903</v>
      </c>
      <c r="N167" s="83">
        <v>24</v>
      </c>
      <c r="O167" s="152" t="s">
        <v>2004</v>
      </c>
      <c r="P167" s="152">
        <v>42</v>
      </c>
      <c r="Q167" s="83" t="s">
        <v>904</v>
      </c>
      <c r="R167" s="84">
        <v>21</v>
      </c>
      <c r="S167" s="26">
        <v>6120</v>
      </c>
      <c r="T167" s="26" t="s">
        <v>1314</v>
      </c>
      <c r="U167" s="26" t="s">
        <v>1315</v>
      </c>
      <c r="V167" s="26" t="s">
        <v>1316</v>
      </c>
      <c r="W167" s="63">
        <v>44562</v>
      </c>
      <c r="X167" s="63">
        <v>44815</v>
      </c>
      <c r="Y167" s="63">
        <v>45101</v>
      </c>
      <c r="Z167" s="63">
        <v>45169</v>
      </c>
      <c r="AA167" s="22" t="s">
        <v>1119</v>
      </c>
      <c r="AB167" s="23"/>
      <c r="AC167" s="23" t="s">
        <v>731</v>
      </c>
      <c r="AD167" s="23" t="s">
        <v>731</v>
      </c>
      <c r="AE167" s="23"/>
      <c r="AF167" s="23"/>
      <c r="AG167" s="23"/>
      <c r="AH167" s="23"/>
      <c r="AI167" s="23"/>
      <c r="AJ167" s="23"/>
      <c r="AK167" s="23" t="s">
        <v>731</v>
      </c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42">
        <v>45</v>
      </c>
      <c r="AW167" s="18"/>
      <c r="AY167" s="42"/>
      <c r="AZ167" s="42"/>
      <c r="BB167" s="45">
        <v>1</v>
      </c>
      <c r="BC167" s="41">
        <f>IF(AND((AV167/I167)&lt;2,BB167=1),(I167*2)-AV167,0)</f>
        <v>0</v>
      </c>
      <c r="BD167" s="41">
        <f>IF(AND((AV167/I167)&lt;3,BB167=2),(I167*3)-AV167,0)</f>
        <v>0</v>
      </c>
      <c r="BG167" s="18"/>
      <c r="BH167" s="18">
        <v>2</v>
      </c>
      <c r="BI167" s="18">
        <v>0</v>
      </c>
      <c r="BJ167" s="18">
        <v>0</v>
      </c>
      <c r="BK167" s="18">
        <v>0</v>
      </c>
      <c r="BL167" s="18">
        <v>0</v>
      </c>
      <c r="BM167" s="55">
        <f>SUM(AV167:AX167)+SUM(BC167:BD167)+SUM(BE167:BF167)+BG167</f>
        <v>45</v>
      </c>
      <c r="BN167" s="55"/>
      <c r="BO167" s="55"/>
      <c r="BP167" s="55"/>
      <c r="BQ167" s="55"/>
      <c r="BR167" s="55"/>
      <c r="BS167" s="55"/>
      <c r="BT167" s="55"/>
      <c r="BU167" s="55"/>
      <c r="BV167" s="55"/>
      <c r="BW167" s="55"/>
      <c r="BX167" s="55"/>
      <c r="BY167" s="55"/>
    </row>
    <row r="168" spans="2:77" ht="25.5">
      <c r="B168" s="89">
        <v>164</v>
      </c>
      <c r="C168" s="93">
        <v>107</v>
      </c>
      <c r="D168" s="93">
        <v>571</v>
      </c>
      <c r="E168" s="94">
        <v>0.62916666666666665</v>
      </c>
      <c r="F168" s="94">
        <v>0.64374999999999993</v>
      </c>
      <c r="G168" s="93" t="s">
        <v>49</v>
      </c>
      <c r="H168" s="93" t="s">
        <v>508</v>
      </c>
      <c r="I168" s="96">
        <v>15</v>
      </c>
      <c r="J168" s="97" t="s">
        <v>93</v>
      </c>
      <c r="K168" s="98">
        <v>12</v>
      </c>
      <c r="L168" s="109" t="s">
        <v>735</v>
      </c>
      <c r="M168" s="83" t="s">
        <v>903</v>
      </c>
      <c r="N168" s="83">
        <v>24</v>
      </c>
      <c r="O168" s="152" t="s">
        <v>2004</v>
      </c>
      <c r="P168" s="152">
        <v>42</v>
      </c>
      <c r="Q168" s="83" t="s">
        <v>904</v>
      </c>
      <c r="R168" s="84">
        <v>21</v>
      </c>
      <c r="S168" s="26" t="s">
        <v>1315</v>
      </c>
      <c r="T168" s="26" t="s">
        <v>1316</v>
      </c>
      <c r="U168" s="26">
        <v>6120</v>
      </c>
      <c r="V168" s="26" t="s">
        <v>1314</v>
      </c>
      <c r="W168" s="63">
        <v>44562</v>
      </c>
      <c r="X168" s="63">
        <v>44815</v>
      </c>
      <c r="Y168" s="63">
        <v>45101</v>
      </c>
      <c r="Z168" s="63">
        <v>45169</v>
      </c>
      <c r="AA168" s="22" t="s">
        <v>1119</v>
      </c>
      <c r="AB168" s="23"/>
      <c r="AC168" s="23" t="s">
        <v>731</v>
      </c>
      <c r="AD168" s="23" t="s">
        <v>731</v>
      </c>
      <c r="AE168" s="23"/>
      <c r="AF168" s="23"/>
      <c r="AG168" s="23"/>
      <c r="AH168" s="23"/>
      <c r="AI168" s="23"/>
      <c r="AJ168" s="23"/>
      <c r="AK168" s="23" t="s">
        <v>731</v>
      </c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42">
        <v>45</v>
      </c>
      <c r="AW168" s="18"/>
      <c r="AY168" s="42"/>
      <c r="AZ168" s="42"/>
      <c r="BB168" s="45">
        <v>1</v>
      </c>
      <c r="BC168" s="41">
        <f>IF(AND((AV168/I168)&lt;2,BB168=1),(I168*2)-AV168,0)</f>
        <v>0</v>
      </c>
      <c r="BD168" s="41">
        <f>IF(AND((AV168/I168)&lt;3,BB168=2),(I168*3)-AV168,0)</f>
        <v>0</v>
      </c>
      <c r="BG168" s="18"/>
      <c r="BH168" s="18">
        <v>2</v>
      </c>
      <c r="BI168" s="18">
        <v>0</v>
      </c>
      <c r="BJ168" s="18">
        <v>0</v>
      </c>
      <c r="BK168" s="18">
        <v>0</v>
      </c>
      <c r="BL168" s="18">
        <v>0</v>
      </c>
      <c r="BM168" s="55">
        <f>SUM(AV168:AX168)+SUM(BC168:BD168)+SUM(BE168:BF168)+BG168</f>
        <v>45</v>
      </c>
      <c r="BN168" s="55"/>
      <c r="BO168" s="55"/>
      <c r="BP168" s="55"/>
      <c r="BQ168" s="55"/>
      <c r="BR168" s="55"/>
      <c r="BS168" s="55"/>
      <c r="BT168" s="55"/>
      <c r="BU168" s="55"/>
      <c r="BV168" s="55"/>
      <c r="BW168" s="55"/>
      <c r="BX168" s="55"/>
      <c r="BY168" s="55"/>
    </row>
    <row r="169" spans="2:77" ht="33.75">
      <c r="B169" s="89">
        <v>165</v>
      </c>
      <c r="C169" s="101">
        <v>107</v>
      </c>
      <c r="D169" s="101">
        <v>570</v>
      </c>
      <c r="E169" s="102">
        <v>0.71180555555555547</v>
      </c>
      <c r="F169" s="102">
        <v>0.72638888888888886</v>
      </c>
      <c r="G169" s="103" t="s">
        <v>50</v>
      </c>
      <c r="H169" s="103" t="s">
        <v>39</v>
      </c>
      <c r="I169" s="101">
        <v>15</v>
      </c>
      <c r="J169" s="104">
        <v>19</v>
      </c>
      <c r="K169" s="98">
        <v>29</v>
      </c>
      <c r="L169" s="109" t="s">
        <v>735</v>
      </c>
      <c r="M169" s="83" t="s">
        <v>903</v>
      </c>
      <c r="N169" s="83">
        <v>24</v>
      </c>
      <c r="O169" s="152" t="s">
        <v>2004</v>
      </c>
      <c r="P169" s="152">
        <v>42</v>
      </c>
      <c r="R169" s="83"/>
      <c r="S169" s="26">
        <v>6120</v>
      </c>
      <c r="T169" s="26" t="s">
        <v>1314</v>
      </c>
      <c r="U169" s="26" t="s">
        <v>1315</v>
      </c>
      <c r="V169" s="26" t="s">
        <v>1316</v>
      </c>
      <c r="W169" s="63">
        <v>44816</v>
      </c>
      <c r="X169" s="63">
        <v>45100</v>
      </c>
      <c r="Y169" s="63"/>
      <c r="Z169" s="63"/>
      <c r="AA169" s="22" t="s">
        <v>1110</v>
      </c>
      <c r="AB169" s="23" t="s">
        <v>731</v>
      </c>
      <c r="AC169" s="23"/>
      <c r="AD169" s="23" t="s">
        <v>731</v>
      </c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 t="s">
        <v>731</v>
      </c>
      <c r="AQ169" s="23" t="s">
        <v>731</v>
      </c>
      <c r="AR169" s="23" t="s">
        <v>731</v>
      </c>
      <c r="AS169" s="23" t="s">
        <v>731</v>
      </c>
      <c r="AT169" s="23" t="s">
        <v>731</v>
      </c>
      <c r="AU169" s="23" t="s">
        <v>731</v>
      </c>
      <c r="AW169" s="18"/>
      <c r="AY169" s="20" t="s">
        <v>735</v>
      </c>
      <c r="AZ169" s="20"/>
      <c r="BB169" s="45">
        <v>1</v>
      </c>
      <c r="BD169" s="41"/>
      <c r="BG169" s="18"/>
      <c r="BH169" s="18">
        <v>0</v>
      </c>
      <c r="BI169" s="18">
        <v>1</v>
      </c>
      <c r="BJ169" s="18">
        <v>0</v>
      </c>
      <c r="BK169" s="18">
        <v>7</v>
      </c>
      <c r="BL169" s="18">
        <v>5</v>
      </c>
      <c r="BM169" s="55">
        <f>SUM(AV169:AX169)+SUM(BC169:BD169)+SUM(BE169:BF169)+BG169</f>
        <v>0</v>
      </c>
      <c r="BN169" s="55" t="s">
        <v>1838</v>
      </c>
      <c r="BO169" s="77">
        <v>1</v>
      </c>
      <c r="BP169" s="77"/>
      <c r="BQ169" s="77">
        <v>1</v>
      </c>
      <c r="BR169" s="77"/>
      <c r="BS169" s="77">
        <v>1</v>
      </c>
      <c r="BT169" s="77"/>
      <c r="BU169" s="77">
        <v>1</v>
      </c>
      <c r="BV169" s="77"/>
      <c r="BW169" s="77">
        <v>1</v>
      </c>
      <c r="BX169" s="77"/>
      <c r="BY169" s="55">
        <v>2500</v>
      </c>
    </row>
    <row r="170" spans="2:77" ht="38.25">
      <c r="B170" s="89">
        <v>166</v>
      </c>
      <c r="C170" s="101">
        <v>107</v>
      </c>
      <c r="D170" s="101">
        <v>571</v>
      </c>
      <c r="E170" s="102">
        <v>0.72638888888888886</v>
      </c>
      <c r="F170" s="102">
        <v>0.7402777777777777</v>
      </c>
      <c r="G170" s="103" t="s">
        <v>49</v>
      </c>
      <c r="H170" s="103" t="s">
        <v>616</v>
      </c>
      <c r="I170" s="101">
        <v>15</v>
      </c>
      <c r="J170" s="104">
        <v>19</v>
      </c>
      <c r="K170" s="98">
        <v>29</v>
      </c>
      <c r="L170" s="109" t="s">
        <v>735</v>
      </c>
      <c r="M170" s="83" t="s">
        <v>903</v>
      </c>
      <c r="N170" s="83">
        <v>24</v>
      </c>
      <c r="O170" s="152" t="s">
        <v>2004</v>
      </c>
      <c r="P170" s="152">
        <v>42</v>
      </c>
      <c r="R170" s="83"/>
      <c r="S170" s="26" t="s">
        <v>1315</v>
      </c>
      <c r="T170" s="26" t="s">
        <v>1316</v>
      </c>
      <c r="U170" s="26">
        <v>6120</v>
      </c>
      <c r="V170" s="26" t="s">
        <v>1314</v>
      </c>
      <c r="W170" s="63">
        <v>44816</v>
      </c>
      <c r="X170" s="63">
        <v>45100</v>
      </c>
      <c r="Y170" s="63"/>
      <c r="Z170" s="63"/>
      <c r="AA170" s="22" t="s">
        <v>1110</v>
      </c>
      <c r="AB170" s="23" t="s">
        <v>731</v>
      </c>
      <c r="AC170" s="23"/>
      <c r="AD170" s="23" t="s">
        <v>731</v>
      </c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 t="s">
        <v>731</v>
      </c>
      <c r="AQ170" s="23" t="s">
        <v>731</v>
      </c>
      <c r="AR170" s="23" t="s">
        <v>731</v>
      </c>
      <c r="AS170" s="23" t="s">
        <v>731</v>
      </c>
      <c r="AT170" s="23" t="s">
        <v>731</v>
      </c>
      <c r="AU170" s="23" t="s">
        <v>731</v>
      </c>
      <c r="AW170" s="18"/>
      <c r="AY170" s="20" t="s">
        <v>735</v>
      </c>
      <c r="AZ170" s="20"/>
      <c r="BB170" s="45">
        <v>1</v>
      </c>
      <c r="BD170" s="41"/>
      <c r="BG170" s="18"/>
      <c r="BH170" s="18">
        <v>0</v>
      </c>
      <c r="BI170" s="18">
        <v>1</v>
      </c>
      <c r="BJ170" s="18">
        <v>0</v>
      </c>
      <c r="BK170" s="18">
        <v>7</v>
      </c>
      <c r="BL170" s="18">
        <v>5</v>
      </c>
      <c r="BM170" s="55">
        <f>SUM(AV170:AX170)+SUM(BC170:BD170)+SUM(BE170:BF170)+BG170</f>
        <v>0</v>
      </c>
      <c r="BN170" s="55"/>
      <c r="BO170" s="55"/>
      <c r="BP170" s="55"/>
      <c r="BQ170" s="55"/>
      <c r="BR170" s="55"/>
      <c r="BS170" s="55"/>
      <c r="BT170" s="55"/>
      <c r="BU170" s="55"/>
      <c r="BV170" s="55"/>
      <c r="BW170" s="55"/>
      <c r="BX170" s="55"/>
      <c r="BY170" s="55"/>
    </row>
    <row r="171" spans="2:77" ht="25.5">
      <c r="B171" s="89">
        <v>167</v>
      </c>
      <c r="C171" s="93">
        <v>109</v>
      </c>
      <c r="D171" s="93">
        <v>60</v>
      </c>
      <c r="E171" s="94">
        <v>0.79166666666666663</v>
      </c>
      <c r="F171" s="94">
        <v>0.79791666666666661</v>
      </c>
      <c r="G171" s="93" t="s">
        <v>148</v>
      </c>
      <c r="H171" s="93" t="s">
        <v>478</v>
      </c>
      <c r="I171" s="96">
        <v>4</v>
      </c>
      <c r="J171" s="97" t="s">
        <v>146</v>
      </c>
      <c r="K171" s="98">
        <v>240</v>
      </c>
      <c r="L171" s="109" t="s">
        <v>736</v>
      </c>
      <c r="M171" s="87" t="s">
        <v>1072</v>
      </c>
      <c r="N171" s="87">
        <v>17</v>
      </c>
      <c r="O171" s="87" t="s">
        <v>1925</v>
      </c>
      <c r="P171" s="87">
        <v>17</v>
      </c>
      <c r="R171" s="87"/>
      <c r="S171" s="26">
        <v>1070</v>
      </c>
      <c r="T171" s="26" t="s">
        <v>1310</v>
      </c>
      <c r="U171" s="26">
        <v>1151</v>
      </c>
      <c r="V171" s="26" t="s">
        <v>1412</v>
      </c>
      <c r="W171" s="63">
        <v>44816</v>
      </c>
      <c r="X171" s="63">
        <v>45100</v>
      </c>
      <c r="Y171" s="63"/>
      <c r="Z171" s="63"/>
      <c r="AA171" s="26" t="s">
        <v>1112</v>
      </c>
      <c r="AB171" s="23" t="s">
        <v>731</v>
      </c>
      <c r="AC171" s="23"/>
      <c r="AD171" s="23" t="s">
        <v>731</v>
      </c>
      <c r="AE171" s="23"/>
      <c r="AF171" s="23" t="s">
        <v>731</v>
      </c>
      <c r="AG171" s="23" t="s">
        <v>731</v>
      </c>
      <c r="AH171" s="23" t="s">
        <v>731</v>
      </c>
      <c r="AI171" s="23" t="s">
        <v>731</v>
      </c>
      <c r="AJ171" s="23" t="s">
        <v>731</v>
      </c>
      <c r="AK171" s="23" t="s">
        <v>731</v>
      </c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42">
        <v>9.5299999999999994</v>
      </c>
      <c r="AW171" s="18"/>
      <c r="AY171" s="42"/>
      <c r="AZ171" s="42"/>
      <c r="BB171" s="45">
        <v>1</v>
      </c>
      <c r="BC171" s="41">
        <f>IF(AND((AV171/I171)&lt;2,BB171=1),(I171*2)-AV171,0)</f>
        <v>0</v>
      </c>
      <c r="BD171" s="41">
        <f>IF(AND((AV171/I171)&lt;3,BB171=2),(I171*3)-AV171,0)</f>
        <v>0</v>
      </c>
      <c r="BG171" s="18"/>
      <c r="BH171" s="18">
        <v>17</v>
      </c>
      <c r="BI171" s="18">
        <v>26</v>
      </c>
      <c r="BJ171" s="18">
        <v>25</v>
      </c>
      <c r="BK171" s="18">
        <v>25</v>
      </c>
      <c r="BL171" s="18">
        <v>25</v>
      </c>
      <c r="BM171" s="55">
        <f>SUM(AV171:AX171)+SUM(BC171:BD171)+SUM(BE171:BF171)+BG171</f>
        <v>9.5299999999999994</v>
      </c>
      <c r="BN171" s="55"/>
      <c r="BO171" s="55"/>
      <c r="BP171" s="55"/>
      <c r="BQ171" s="55"/>
      <c r="BR171" s="55"/>
      <c r="BS171" s="55"/>
      <c r="BT171" s="55"/>
      <c r="BU171" s="55"/>
      <c r="BV171" s="55"/>
      <c r="BW171" s="55"/>
      <c r="BX171" s="55"/>
      <c r="BY171" s="55"/>
    </row>
    <row r="172" spans="2:77" ht="25.5">
      <c r="B172" s="89">
        <v>168</v>
      </c>
      <c r="C172" s="93">
        <v>109</v>
      </c>
      <c r="D172" s="93">
        <v>63</v>
      </c>
      <c r="E172" s="94">
        <v>0.8</v>
      </c>
      <c r="F172" s="94">
        <v>0.80486111111111114</v>
      </c>
      <c r="G172" s="93" t="s">
        <v>147</v>
      </c>
      <c r="H172" s="93" t="s">
        <v>478</v>
      </c>
      <c r="I172" s="96">
        <v>4</v>
      </c>
      <c r="J172" s="97" t="s">
        <v>146</v>
      </c>
      <c r="K172" s="98">
        <v>240</v>
      </c>
      <c r="L172" s="109" t="s">
        <v>736</v>
      </c>
      <c r="M172" s="87" t="s">
        <v>1072</v>
      </c>
      <c r="N172" s="87">
        <v>17</v>
      </c>
      <c r="O172" s="87" t="s">
        <v>1925</v>
      </c>
      <c r="P172" s="87">
        <v>17</v>
      </c>
      <c r="R172" s="87"/>
      <c r="S172" s="26">
        <v>1151</v>
      </c>
      <c r="T172" s="26" t="s">
        <v>1412</v>
      </c>
      <c r="U172" s="26">
        <v>1070</v>
      </c>
      <c r="V172" s="26" t="s">
        <v>1310</v>
      </c>
      <c r="W172" s="63">
        <v>44816</v>
      </c>
      <c r="X172" s="63">
        <v>45100</v>
      </c>
      <c r="Y172" s="63"/>
      <c r="Z172" s="63"/>
      <c r="AA172" s="26" t="s">
        <v>1112</v>
      </c>
      <c r="AB172" s="23" t="s">
        <v>731</v>
      </c>
      <c r="AC172" s="23"/>
      <c r="AD172" s="23" t="s">
        <v>731</v>
      </c>
      <c r="AE172" s="23"/>
      <c r="AF172" s="23" t="s">
        <v>731</v>
      </c>
      <c r="AG172" s="23" t="s">
        <v>731</v>
      </c>
      <c r="AH172" s="23" t="s">
        <v>731</v>
      </c>
      <c r="AI172" s="23" t="s">
        <v>731</v>
      </c>
      <c r="AJ172" s="23" t="s">
        <v>731</v>
      </c>
      <c r="AK172" s="23" t="s">
        <v>731</v>
      </c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42">
        <v>9.5299999999999994</v>
      </c>
      <c r="AW172" s="18"/>
      <c r="AY172" s="42"/>
      <c r="AZ172" s="42"/>
      <c r="BB172" s="45">
        <v>1</v>
      </c>
      <c r="BC172" s="41">
        <f>IF(AND((AV172/I172)&lt;2,BB172=1),(I172*2)-AV172,0)</f>
        <v>0</v>
      </c>
      <c r="BD172" s="41">
        <f>IF(AND((AV172/I172)&lt;3,BB172=2),(I172*3)-AV172,0)</f>
        <v>0</v>
      </c>
      <c r="BG172" s="18"/>
      <c r="BH172" s="18">
        <v>17</v>
      </c>
      <c r="BI172" s="18">
        <v>26</v>
      </c>
      <c r="BJ172" s="18">
        <v>25</v>
      </c>
      <c r="BK172" s="18">
        <v>25</v>
      </c>
      <c r="BL172" s="18">
        <v>25</v>
      </c>
      <c r="BM172" s="55">
        <f>SUM(AV172:AX172)+SUM(BC172:BD172)+SUM(BE172:BF172)+BG172</f>
        <v>9.5299999999999994</v>
      </c>
      <c r="BN172" s="55"/>
      <c r="BO172" s="55"/>
      <c r="BP172" s="55"/>
      <c r="BQ172" s="55"/>
      <c r="BR172" s="55"/>
      <c r="BS172" s="55"/>
      <c r="BT172" s="55"/>
      <c r="BU172" s="55"/>
      <c r="BV172" s="55"/>
      <c r="BW172" s="55"/>
      <c r="BX172" s="55"/>
      <c r="BY172" s="55"/>
    </row>
    <row r="173" spans="2:77" ht="25.5">
      <c r="B173" s="89">
        <v>169</v>
      </c>
      <c r="C173" s="93">
        <v>111</v>
      </c>
      <c r="D173" s="97">
        <v>20</v>
      </c>
      <c r="E173" s="94">
        <v>0.34027777777777773</v>
      </c>
      <c r="F173" s="105">
        <v>0.35833333333333334</v>
      </c>
      <c r="G173" s="93" t="s">
        <v>422</v>
      </c>
      <c r="H173" s="106" t="s">
        <v>1816</v>
      </c>
      <c r="I173" s="96">
        <v>5.3</v>
      </c>
      <c r="J173" s="97" t="s">
        <v>93</v>
      </c>
      <c r="K173" s="111">
        <v>34</v>
      </c>
      <c r="L173" s="109" t="s">
        <v>736</v>
      </c>
      <c r="M173" s="87" t="s">
        <v>1072</v>
      </c>
      <c r="N173" s="87">
        <v>17</v>
      </c>
      <c r="O173" s="87" t="s">
        <v>1925</v>
      </c>
      <c r="P173" s="87">
        <v>17</v>
      </c>
      <c r="Q173" s="87"/>
      <c r="R173" s="87"/>
      <c r="S173" s="26">
        <v>1070</v>
      </c>
      <c r="T173" s="26" t="s">
        <v>1310</v>
      </c>
      <c r="U173" s="26" t="s">
        <v>1413</v>
      </c>
      <c r="V173" s="26" t="s">
        <v>1414</v>
      </c>
      <c r="W173" s="63">
        <v>44562</v>
      </c>
      <c r="X173" s="63">
        <v>44815</v>
      </c>
      <c r="Y173" s="63">
        <v>45139</v>
      </c>
      <c r="Z173" s="63">
        <v>45169</v>
      </c>
      <c r="AA173" s="23" t="s">
        <v>1818</v>
      </c>
      <c r="AB173" s="23"/>
      <c r="AC173" s="23" t="s">
        <v>731</v>
      </c>
      <c r="AD173" s="23" t="s">
        <v>731</v>
      </c>
      <c r="AE173" s="23"/>
      <c r="AF173" s="23" t="s">
        <v>731</v>
      </c>
      <c r="AG173" s="23" t="s">
        <v>731</v>
      </c>
      <c r="AH173" s="23" t="s">
        <v>731</v>
      </c>
      <c r="AI173" s="23" t="s">
        <v>731</v>
      </c>
      <c r="AJ173" s="23" t="s">
        <v>731</v>
      </c>
      <c r="AK173" s="23" t="s">
        <v>731</v>
      </c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42">
        <v>15.9</v>
      </c>
      <c r="AW173" s="18"/>
      <c r="AY173" s="42"/>
      <c r="AZ173" s="42"/>
      <c r="BB173" s="45">
        <v>1</v>
      </c>
      <c r="BC173" s="41">
        <f>IF(AND((AV173/I173)&lt;2,BB173=1),(I173*2)-AV173,0)</f>
        <v>0</v>
      </c>
      <c r="BD173" s="41">
        <f>IF(AND((AV173/I173)&lt;3,BB173=2),(I173*3)-AV173,0)</f>
        <v>0</v>
      </c>
      <c r="BG173" s="18"/>
      <c r="BH173" s="18">
        <v>9</v>
      </c>
      <c r="BI173" s="18">
        <v>0</v>
      </c>
      <c r="BJ173" s="18">
        <v>0</v>
      </c>
      <c r="BK173" s="18">
        <v>0</v>
      </c>
      <c r="BL173" s="18">
        <v>0</v>
      </c>
      <c r="BM173" s="55">
        <f>SUM(AV173:AX173)+SUM(BC173:BD173)+SUM(BE173:BF173)+BG173</f>
        <v>15.9</v>
      </c>
      <c r="BN173" s="55"/>
      <c r="BO173" s="55"/>
      <c r="BP173" s="55"/>
      <c r="BQ173" s="55"/>
      <c r="BR173" s="55"/>
      <c r="BS173" s="55"/>
      <c r="BT173" s="55"/>
      <c r="BU173" s="55"/>
      <c r="BV173" s="55"/>
      <c r="BW173" s="55"/>
      <c r="BX173" s="55"/>
      <c r="BY173" s="55"/>
    </row>
    <row r="174" spans="2:77" ht="25.5">
      <c r="B174" s="113" t="s">
        <v>1182</v>
      </c>
      <c r="C174" s="93">
        <v>111</v>
      </c>
      <c r="D174" s="97">
        <v>20</v>
      </c>
      <c r="E174" s="94">
        <v>0.34027777777777773</v>
      </c>
      <c r="F174" s="105">
        <v>0.35833333333333334</v>
      </c>
      <c r="G174" s="93" t="s">
        <v>422</v>
      </c>
      <c r="H174" s="106" t="s">
        <v>1817</v>
      </c>
      <c r="I174" s="96">
        <v>5.3</v>
      </c>
      <c r="J174" s="97" t="s">
        <v>93</v>
      </c>
      <c r="K174" s="111">
        <v>33</v>
      </c>
      <c r="L174" s="109" t="s">
        <v>737</v>
      </c>
      <c r="M174" s="87" t="s">
        <v>853</v>
      </c>
      <c r="N174" s="87">
        <v>20</v>
      </c>
      <c r="O174" s="87" t="s">
        <v>1925</v>
      </c>
      <c r="P174" s="87">
        <v>17</v>
      </c>
      <c r="Q174" s="87"/>
      <c r="R174" s="87"/>
      <c r="S174" s="26">
        <v>1070</v>
      </c>
      <c r="T174" s="26" t="s">
        <v>1310</v>
      </c>
      <c r="U174" s="26" t="s">
        <v>1413</v>
      </c>
      <c r="V174" s="26" t="s">
        <v>1414</v>
      </c>
      <c r="W174" s="63">
        <v>45101</v>
      </c>
      <c r="X174" s="63">
        <v>45138</v>
      </c>
      <c r="Y174" s="63"/>
      <c r="Z174" s="63"/>
      <c r="AA174" s="23" t="s">
        <v>1819</v>
      </c>
      <c r="AB174" s="23"/>
      <c r="AC174" s="23" t="s">
        <v>731</v>
      </c>
      <c r="AD174" s="23" t="s">
        <v>731</v>
      </c>
      <c r="AE174" s="23"/>
      <c r="AF174" s="23" t="s">
        <v>731</v>
      </c>
      <c r="AG174" s="23" t="s">
        <v>731</v>
      </c>
      <c r="AH174" s="23" t="s">
        <v>731</v>
      </c>
      <c r="AI174" s="23" t="s">
        <v>731</v>
      </c>
      <c r="AJ174" s="23" t="s">
        <v>731</v>
      </c>
      <c r="AK174" s="23" t="s">
        <v>731</v>
      </c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42">
        <v>42.75</v>
      </c>
      <c r="AW174" s="18"/>
      <c r="AY174" s="42"/>
      <c r="AZ174" s="42"/>
      <c r="BB174" s="45">
        <v>1</v>
      </c>
      <c r="BC174" s="41">
        <f>IF(AND((AV174/I174)&lt;2,BB174=1),(I174*2)-AV174,0)</f>
        <v>0</v>
      </c>
      <c r="BD174" s="41">
        <f>IF(AND((AV174/I174)&lt;3,BB174=2),(I174*3)-AV174,0)</f>
        <v>0</v>
      </c>
      <c r="BG174" s="18"/>
      <c r="BH174" s="18">
        <v>0</v>
      </c>
      <c r="BI174" s="18">
        <v>0</v>
      </c>
      <c r="BJ174" s="18">
        <v>0</v>
      </c>
      <c r="BK174" s="18">
        <v>0</v>
      </c>
      <c r="BL174" s="18">
        <v>0</v>
      </c>
      <c r="BM174" s="55">
        <f>SUM(AV174:AX174)+SUM(BC174:BD174)+SUM(BE174:BF174)+BG174</f>
        <v>42.75</v>
      </c>
      <c r="BN174" s="55"/>
      <c r="BO174" s="55"/>
      <c r="BP174" s="55"/>
      <c r="BQ174" s="55"/>
      <c r="BR174" s="55"/>
      <c r="BS174" s="55"/>
      <c r="BT174" s="55"/>
      <c r="BU174" s="55"/>
      <c r="BV174" s="55"/>
      <c r="BW174" s="55"/>
      <c r="BX174" s="55"/>
      <c r="BY174" s="55"/>
    </row>
    <row r="175" spans="2:77" ht="25.5">
      <c r="B175" s="89">
        <v>170</v>
      </c>
      <c r="C175" s="93">
        <v>111</v>
      </c>
      <c r="D175" s="97">
        <v>21</v>
      </c>
      <c r="E175" s="94">
        <v>0.35138888888888892</v>
      </c>
      <c r="F175" s="94">
        <v>0.36805555555555558</v>
      </c>
      <c r="G175" s="106" t="s">
        <v>1031</v>
      </c>
      <c r="H175" s="106" t="s">
        <v>1816</v>
      </c>
      <c r="I175" s="96">
        <v>10.199999999999999</v>
      </c>
      <c r="J175" s="97" t="s">
        <v>93</v>
      </c>
      <c r="K175" s="111">
        <v>34</v>
      </c>
      <c r="L175" s="109" t="s">
        <v>736</v>
      </c>
      <c r="M175" s="87" t="s">
        <v>1072</v>
      </c>
      <c r="N175" s="87">
        <v>17</v>
      </c>
      <c r="O175" s="87" t="s">
        <v>1925</v>
      </c>
      <c r="P175" s="87">
        <v>17</v>
      </c>
      <c r="Q175" s="87"/>
      <c r="R175" s="87"/>
      <c r="S175" s="26" t="s">
        <v>1413</v>
      </c>
      <c r="T175" s="26" t="s">
        <v>1414</v>
      </c>
      <c r="U175" s="26">
        <v>1070</v>
      </c>
      <c r="V175" s="26" t="s">
        <v>1310</v>
      </c>
      <c r="W175" s="63">
        <v>44562</v>
      </c>
      <c r="X175" s="63">
        <v>44815</v>
      </c>
      <c r="Y175" s="63">
        <v>45139</v>
      </c>
      <c r="Z175" s="63">
        <v>45169</v>
      </c>
      <c r="AA175" s="23" t="s">
        <v>1818</v>
      </c>
      <c r="AB175" s="23"/>
      <c r="AC175" s="23" t="s">
        <v>731</v>
      </c>
      <c r="AD175" s="23" t="s">
        <v>731</v>
      </c>
      <c r="AE175" s="23"/>
      <c r="AF175" s="23" t="s">
        <v>731</v>
      </c>
      <c r="AG175" s="23" t="s">
        <v>731</v>
      </c>
      <c r="AH175" s="23" t="s">
        <v>731</v>
      </c>
      <c r="AI175" s="23" t="s">
        <v>731</v>
      </c>
      <c r="AJ175" s="23" t="s">
        <v>731</v>
      </c>
      <c r="AK175" s="23" t="s">
        <v>731</v>
      </c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42">
        <v>30.6</v>
      </c>
      <c r="AW175" s="18"/>
      <c r="AY175" s="42"/>
      <c r="AZ175" s="42"/>
      <c r="BB175" s="45">
        <v>1</v>
      </c>
      <c r="BC175" s="41">
        <f>IF(AND((AV175/I175)&lt;2,BB175=1),(I175*2)-AV175,0)</f>
        <v>0</v>
      </c>
      <c r="BD175" s="41">
        <f>IF(AND((AV175/I175)&lt;3,BB175=2),(I175*3)-AV175,0)</f>
        <v>0</v>
      </c>
      <c r="BG175" s="18"/>
      <c r="BH175" s="18">
        <v>9</v>
      </c>
      <c r="BI175" s="18">
        <v>0</v>
      </c>
      <c r="BJ175" s="18">
        <v>0</v>
      </c>
      <c r="BK175" s="18">
        <v>0</v>
      </c>
      <c r="BL175" s="18">
        <v>0</v>
      </c>
      <c r="BM175" s="55">
        <f>SUM(AV175:AX175)+SUM(BC175:BD175)+SUM(BE175:BF175)+BG175</f>
        <v>30.6</v>
      </c>
      <c r="BN175" s="55"/>
      <c r="BO175" s="55"/>
      <c r="BP175" s="55"/>
      <c r="BQ175" s="55"/>
      <c r="BR175" s="55"/>
      <c r="BS175" s="55"/>
      <c r="BT175" s="55"/>
      <c r="BU175" s="55"/>
      <c r="BV175" s="55"/>
      <c r="BW175" s="55"/>
      <c r="BX175" s="55"/>
      <c r="BY175" s="55"/>
    </row>
    <row r="176" spans="2:77" ht="25.5">
      <c r="B176" s="113" t="s">
        <v>1183</v>
      </c>
      <c r="C176" s="93">
        <v>111</v>
      </c>
      <c r="D176" s="97">
        <v>21</v>
      </c>
      <c r="E176" s="94">
        <v>0.35138888888888892</v>
      </c>
      <c r="F176" s="94">
        <v>0.36805555555555558</v>
      </c>
      <c r="G176" s="106" t="s">
        <v>1031</v>
      </c>
      <c r="H176" s="106" t="s">
        <v>1817</v>
      </c>
      <c r="I176" s="96">
        <v>10.199999999999999</v>
      </c>
      <c r="J176" s="97" t="s">
        <v>93</v>
      </c>
      <c r="K176" s="111">
        <v>33</v>
      </c>
      <c r="L176" s="109" t="s">
        <v>737</v>
      </c>
      <c r="M176" s="87" t="s">
        <v>853</v>
      </c>
      <c r="N176" s="87">
        <v>20</v>
      </c>
      <c r="O176" s="87" t="s">
        <v>1925</v>
      </c>
      <c r="P176" s="87">
        <v>17</v>
      </c>
      <c r="Q176" s="87"/>
      <c r="R176" s="87"/>
      <c r="S176" s="26" t="s">
        <v>1413</v>
      </c>
      <c r="T176" s="26" t="s">
        <v>1414</v>
      </c>
      <c r="U176" s="26">
        <v>1070</v>
      </c>
      <c r="V176" s="26" t="s">
        <v>1310</v>
      </c>
      <c r="W176" s="63">
        <v>45101</v>
      </c>
      <c r="X176" s="63">
        <v>45138</v>
      </c>
      <c r="Y176" s="63"/>
      <c r="Z176" s="63"/>
      <c r="AA176" s="23" t="s">
        <v>1819</v>
      </c>
      <c r="AB176" s="23"/>
      <c r="AC176" s="23" t="s">
        <v>731</v>
      </c>
      <c r="AD176" s="23" t="s">
        <v>731</v>
      </c>
      <c r="AE176" s="23"/>
      <c r="AF176" s="23" t="s">
        <v>731</v>
      </c>
      <c r="AG176" s="23" t="s">
        <v>731</v>
      </c>
      <c r="AH176" s="23" t="s">
        <v>731</v>
      </c>
      <c r="AI176" s="23" t="s">
        <v>731</v>
      </c>
      <c r="AJ176" s="23" t="s">
        <v>731</v>
      </c>
      <c r="AK176" s="23" t="s">
        <v>731</v>
      </c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42">
        <v>42.75</v>
      </c>
      <c r="AW176" s="18"/>
      <c r="AY176" s="42"/>
      <c r="AZ176" s="42"/>
      <c r="BB176" s="45">
        <v>1</v>
      </c>
      <c r="BC176" s="41">
        <f>IF(AND((AV176/I176)&lt;2,BB176=1),(I176*2)-AV176,0)</f>
        <v>0</v>
      </c>
      <c r="BD176" s="41">
        <f>IF(AND((AV176/I176)&lt;3,BB176=2),(I176*3)-AV176,0)</f>
        <v>0</v>
      </c>
      <c r="BG176" s="18"/>
      <c r="BH176" s="18">
        <v>0</v>
      </c>
      <c r="BI176" s="18">
        <v>0</v>
      </c>
      <c r="BJ176" s="18">
        <v>0</v>
      </c>
      <c r="BK176" s="18">
        <v>0</v>
      </c>
      <c r="BL176" s="18">
        <v>0</v>
      </c>
      <c r="BM176" s="55">
        <f>SUM(AV176:AX176)+SUM(BC176:BD176)+SUM(BE176:BF176)+BG176</f>
        <v>42.75</v>
      </c>
      <c r="BN176" s="55"/>
      <c r="BO176" s="55"/>
      <c r="BP176" s="55"/>
      <c r="BQ176" s="55"/>
      <c r="BR176" s="55"/>
      <c r="BS176" s="55"/>
      <c r="BT176" s="55"/>
      <c r="BU176" s="55"/>
      <c r="BV176" s="55"/>
      <c r="BW176" s="55"/>
      <c r="BX176" s="55"/>
      <c r="BY176" s="55"/>
    </row>
    <row r="177" spans="2:77" ht="25.5">
      <c r="B177" s="89">
        <v>171</v>
      </c>
      <c r="C177" s="106">
        <v>112</v>
      </c>
      <c r="D177" s="93">
        <v>64</v>
      </c>
      <c r="E177" s="105">
        <v>0.72569444444444453</v>
      </c>
      <c r="F177" s="105">
        <v>0.74652777777777779</v>
      </c>
      <c r="G177" s="93" t="s">
        <v>149</v>
      </c>
      <c r="H177" s="93" t="s">
        <v>478</v>
      </c>
      <c r="I177" s="96">
        <v>13</v>
      </c>
      <c r="J177" s="97" t="s">
        <v>146</v>
      </c>
      <c r="K177" s="98">
        <v>240</v>
      </c>
      <c r="L177" s="109" t="s">
        <v>736</v>
      </c>
      <c r="M177" s="87" t="s">
        <v>1072</v>
      </c>
      <c r="N177" s="87">
        <v>17</v>
      </c>
      <c r="O177" s="87" t="s">
        <v>1925</v>
      </c>
      <c r="P177" s="87">
        <v>17</v>
      </c>
      <c r="R177" s="87"/>
      <c r="S177" s="26">
        <v>1070</v>
      </c>
      <c r="T177" s="26" t="s">
        <v>1310</v>
      </c>
      <c r="U177" s="26">
        <v>1070</v>
      </c>
      <c r="V177" s="26" t="s">
        <v>1310</v>
      </c>
      <c r="W177" s="63">
        <v>44816</v>
      </c>
      <c r="X177" s="63">
        <v>45100</v>
      </c>
      <c r="Y177" s="63"/>
      <c r="Z177" s="63"/>
      <c r="AA177" s="26" t="s">
        <v>1112</v>
      </c>
      <c r="AB177" s="23" t="s">
        <v>731</v>
      </c>
      <c r="AC177" s="23"/>
      <c r="AD177" s="23" t="s">
        <v>731</v>
      </c>
      <c r="AE177" s="23"/>
      <c r="AF177" s="23" t="s">
        <v>731</v>
      </c>
      <c r="AG177" s="23" t="s">
        <v>731</v>
      </c>
      <c r="AH177" s="23" t="s">
        <v>731</v>
      </c>
      <c r="AI177" s="23" t="s">
        <v>731</v>
      </c>
      <c r="AJ177" s="23" t="s">
        <v>731</v>
      </c>
      <c r="AK177" s="23" t="s">
        <v>731</v>
      </c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42">
        <v>30.97</v>
      </c>
      <c r="AW177" s="18"/>
      <c r="AY177" s="42"/>
      <c r="AZ177" s="42"/>
      <c r="BB177" s="45">
        <v>1</v>
      </c>
      <c r="BC177" s="41">
        <f>IF(AND((AV177/I177)&lt;2,BB177=1),(I177*2)-AV177,0)</f>
        <v>0</v>
      </c>
      <c r="BD177" s="41">
        <f>IF(AND((AV177/I177)&lt;3,BB177=2),(I177*3)-AV177,0)</f>
        <v>0</v>
      </c>
      <c r="BG177" s="18"/>
      <c r="BH177" s="18">
        <v>17</v>
      </c>
      <c r="BI177" s="18">
        <v>26</v>
      </c>
      <c r="BJ177" s="18">
        <v>25</v>
      </c>
      <c r="BK177" s="18">
        <v>25</v>
      </c>
      <c r="BL177" s="18">
        <v>25</v>
      </c>
      <c r="BM177" s="55">
        <f>SUM(AV177:AX177)+SUM(BC177:BD177)+SUM(BE177:BF177)+BG177</f>
        <v>30.97</v>
      </c>
      <c r="BN177" s="55"/>
      <c r="BO177" s="55"/>
      <c r="BP177" s="55"/>
      <c r="BQ177" s="55"/>
      <c r="BR177" s="55"/>
      <c r="BS177" s="55"/>
      <c r="BT177" s="55"/>
      <c r="BU177" s="55"/>
      <c r="BV177" s="55"/>
      <c r="BW177" s="55"/>
      <c r="BX177" s="55"/>
      <c r="BY177" s="55"/>
    </row>
    <row r="178" spans="2:77" ht="45">
      <c r="B178" s="89">
        <v>172</v>
      </c>
      <c r="C178" s="106">
        <v>110</v>
      </c>
      <c r="D178" s="97">
        <v>440</v>
      </c>
      <c r="E178" s="94">
        <v>0.27361111111111108</v>
      </c>
      <c r="F178" s="94">
        <v>0.27847222222222223</v>
      </c>
      <c r="G178" s="93" t="s">
        <v>488</v>
      </c>
      <c r="H178" s="93" t="s">
        <v>97</v>
      </c>
      <c r="I178" s="96">
        <v>4</v>
      </c>
      <c r="J178" s="97" t="s">
        <v>167</v>
      </c>
      <c r="K178" s="98">
        <v>208</v>
      </c>
      <c r="L178" s="109" t="s">
        <v>724</v>
      </c>
      <c r="M178" s="87" t="s">
        <v>1073</v>
      </c>
      <c r="N178" s="87">
        <v>9</v>
      </c>
      <c r="O178" s="87" t="s">
        <v>835</v>
      </c>
      <c r="P178" s="87">
        <v>9</v>
      </c>
      <c r="Q178" s="87" t="s">
        <v>1231</v>
      </c>
      <c r="R178" s="84">
        <v>9</v>
      </c>
      <c r="S178" s="26">
        <v>1190</v>
      </c>
      <c r="T178" s="26" t="s">
        <v>1377</v>
      </c>
      <c r="U178" s="26">
        <v>1182</v>
      </c>
      <c r="V178" s="26" t="s">
        <v>1415</v>
      </c>
      <c r="W178" s="62">
        <v>44816</v>
      </c>
      <c r="X178" s="62">
        <v>45086</v>
      </c>
      <c r="Y178" s="62"/>
      <c r="Z178" s="62"/>
      <c r="AA178" s="22" t="s">
        <v>1106</v>
      </c>
      <c r="AB178" s="23"/>
      <c r="AC178" s="23"/>
      <c r="AD178" s="23"/>
      <c r="AE178" s="23" t="s">
        <v>731</v>
      </c>
      <c r="AF178" s="23" t="s">
        <v>731</v>
      </c>
      <c r="AG178" s="23" t="s">
        <v>731</v>
      </c>
      <c r="AH178" s="23" t="s">
        <v>731</v>
      </c>
      <c r="AI178" s="23" t="s">
        <v>731</v>
      </c>
      <c r="AJ178" s="23" t="s">
        <v>731</v>
      </c>
      <c r="AK178" s="23" t="s">
        <v>731</v>
      </c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42">
        <v>12</v>
      </c>
      <c r="AW178" s="18"/>
      <c r="AY178" s="42"/>
      <c r="AZ178" s="42"/>
      <c r="BB178" s="45">
        <v>1</v>
      </c>
      <c r="BC178" s="41">
        <f>IF(AND((AV178/I178)&lt;2,BB178=1),(I178*2)-AV178,0)</f>
        <v>0</v>
      </c>
      <c r="BD178" s="41">
        <f>IF(AND((AV178/I178)&lt;3,BB178=2),(I178*3)-AV178,0)</f>
        <v>0</v>
      </c>
      <c r="BG178" s="41">
        <f>IF((AV178+AW178+AX178)&lt;20,(20-(AV178+AW178+AX178)),0)</f>
        <v>8</v>
      </c>
      <c r="BH178" s="18">
        <v>17</v>
      </c>
      <c r="BI178" s="18">
        <v>25</v>
      </c>
      <c r="BJ178" s="18">
        <v>25</v>
      </c>
      <c r="BK178" s="18">
        <v>18</v>
      </c>
      <c r="BL178" s="18">
        <v>20</v>
      </c>
      <c r="BM178" s="55">
        <f>SUM(AV178:AX178)+SUM(BC178:BD178)+SUM(BE178:BF178)+BG178</f>
        <v>20</v>
      </c>
      <c r="BN178" s="55"/>
      <c r="BO178" s="55"/>
      <c r="BP178" s="55"/>
      <c r="BQ178" s="55"/>
      <c r="BR178" s="55"/>
      <c r="BS178" s="55"/>
      <c r="BT178" s="55"/>
      <c r="BU178" s="55"/>
      <c r="BV178" s="55"/>
      <c r="BW178" s="55"/>
      <c r="BX178" s="55"/>
      <c r="BY178" s="55"/>
    </row>
    <row r="179" spans="2:77" ht="45">
      <c r="B179" s="89">
        <v>173</v>
      </c>
      <c r="C179" s="106">
        <v>110</v>
      </c>
      <c r="D179" s="122">
        <v>449</v>
      </c>
      <c r="E179" s="94">
        <v>0.27916666666666667</v>
      </c>
      <c r="F179" s="94">
        <v>0.2902777777777778</v>
      </c>
      <c r="G179" s="93" t="s">
        <v>489</v>
      </c>
      <c r="H179" s="93" t="s">
        <v>97</v>
      </c>
      <c r="I179" s="96">
        <v>9</v>
      </c>
      <c r="J179" s="97" t="s">
        <v>167</v>
      </c>
      <c r="K179" s="98">
        <v>208</v>
      </c>
      <c r="L179" s="109" t="s">
        <v>724</v>
      </c>
      <c r="M179" s="87" t="s">
        <v>1073</v>
      </c>
      <c r="N179" s="87">
        <v>9</v>
      </c>
      <c r="O179" s="87" t="s">
        <v>835</v>
      </c>
      <c r="P179" s="87">
        <v>9</v>
      </c>
      <c r="Q179" s="87" t="s">
        <v>1231</v>
      </c>
      <c r="R179" s="84">
        <v>9</v>
      </c>
      <c r="S179" s="26">
        <v>1182</v>
      </c>
      <c r="T179" s="26" t="s">
        <v>1415</v>
      </c>
      <c r="U179" s="26" t="s">
        <v>1416</v>
      </c>
      <c r="V179" s="26" t="s">
        <v>1310</v>
      </c>
      <c r="W179" s="62">
        <v>44816</v>
      </c>
      <c r="X179" s="62">
        <v>45086</v>
      </c>
      <c r="Y179" s="62"/>
      <c r="Z179" s="62"/>
      <c r="AA179" s="22" t="s">
        <v>1106</v>
      </c>
      <c r="AB179" s="23"/>
      <c r="AC179" s="23"/>
      <c r="AD179" s="23"/>
      <c r="AE179" s="23" t="s">
        <v>731</v>
      </c>
      <c r="AF179" s="23" t="s">
        <v>731</v>
      </c>
      <c r="AG179" s="23" t="s">
        <v>731</v>
      </c>
      <c r="AH179" s="23" t="s">
        <v>731</v>
      </c>
      <c r="AI179" s="23" t="s">
        <v>731</v>
      </c>
      <c r="AJ179" s="23" t="s">
        <v>731</v>
      </c>
      <c r="AK179" s="23" t="s">
        <v>731</v>
      </c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42">
        <v>27</v>
      </c>
      <c r="AW179" s="18"/>
      <c r="AY179" s="42"/>
      <c r="AZ179" s="42"/>
      <c r="BB179" s="45">
        <v>1</v>
      </c>
      <c r="BC179" s="41">
        <f>IF(AND((AV179/I179)&lt;2,BB179=1),(I179*2)-AV179,0)</f>
        <v>0</v>
      </c>
      <c r="BD179" s="41">
        <f>IF(AND((AV179/I179)&lt;3,BB179=2),(I179*3)-AV179,0)</f>
        <v>0</v>
      </c>
      <c r="BG179" s="41">
        <f>IF((AV179+AW179+AX179)&lt;20,(20-(AV179+AW179+AX179)),0)</f>
        <v>0</v>
      </c>
      <c r="BH179" s="18">
        <v>17</v>
      </c>
      <c r="BI179" s="18">
        <v>25</v>
      </c>
      <c r="BJ179" s="18">
        <v>25</v>
      </c>
      <c r="BK179" s="18">
        <v>18</v>
      </c>
      <c r="BL179" s="18">
        <v>20</v>
      </c>
      <c r="BM179" s="55">
        <f>SUM(AV179:AX179)+SUM(BC179:BD179)+SUM(BE179:BF179)+BG179</f>
        <v>27</v>
      </c>
      <c r="BN179" s="55"/>
      <c r="BO179" s="55"/>
      <c r="BP179" s="55"/>
      <c r="BQ179" s="55"/>
      <c r="BR179" s="55"/>
      <c r="BS179" s="55"/>
      <c r="BT179" s="55"/>
      <c r="BU179" s="55"/>
      <c r="BV179" s="55"/>
      <c r="BW179" s="55"/>
      <c r="BX179" s="55"/>
      <c r="BY179" s="55"/>
    </row>
    <row r="180" spans="2:77" ht="25.5">
      <c r="B180" s="89">
        <v>174</v>
      </c>
      <c r="C180" s="106">
        <v>110</v>
      </c>
      <c r="D180" s="93">
        <v>445</v>
      </c>
      <c r="E180" s="94">
        <v>0.30555555555555552</v>
      </c>
      <c r="F180" s="105">
        <v>0.31041666666666667</v>
      </c>
      <c r="G180" s="93" t="s">
        <v>151</v>
      </c>
      <c r="H180" s="93" t="s">
        <v>97</v>
      </c>
      <c r="I180" s="96">
        <v>4</v>
      </c>
      <c r="J180" s="97" t="s">
        <v>146</v>
      </c>
      <c r="K180" s="98">
        <v>208</v>
      </c>
      <c r="L180" s="109" t="s">
        <v>736</v>
      </c>
      <c r="M180" s="87" t="s">
        <v>1072</v>
      </c>
      <c r="N180" s="87">
        <v>17</v>
      </c>
      <c r="O180" s="87" t="s">
        <v>1925</v>
      </c>
      <c r="P180" s="87">
        <v>17</v>
      </c>
      <c r="R180" s="87"/>
      <c r="S180" s="26">
        <v>1182</v>
      </c>
      <c r="T180" s="26" t="s">
        <v>1415</v>
      </c>
      <c r="U180" s="26">
        <v>1190</v>
      </c>
      <c r="V180" s="26" t="s">
        <v>1377</v>
      </c>
      <c r="W180" s="62">
        <v>44816</v>
      </c>
      <c r="X180" s="62">
        <v>45086</v>
      </c>
      <c r="Y180" s="62"/>
      <c r="Z180" s="62"/>
      <c r="AA180" s="22" t="s">
        <v>1106</v>
      </c>
      <c r="AB180" s="23"/>
      <c r="AC180" s="23"/>
      <c r="AD180" s="23"/>
      <c r="AE180" s="23" t="s">
        <v>731</v>
      </c>
      <c r="AF180" s="23" t="s">
        <v>731</v>
      </c>
      <c r="AG180" s="23" t="s">
        <v>731</v>
      </c>
      <c r="AH180" s="23" t="s">
        <v>731</v>
      </c>
      <c r="AI180" s="23" t="s">
        <v>731</v>
      </c>
      <c r="AJ180" s="23" t="s">
        <v>731</v>
      </c>
      <c r="AK180" s="23" t="s">
        <v>731</v>
      </c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42">
        <v>24.02</v>
      </c>
      <c r="AW180" s="18"/>
      <c r="AY180" s="42"/>
      <c r="AZ180" s="42"/>
      <c r="BB180" s="45">
        <v>1</v>
      </c>
      <c r="BC180" s="41">
        <f>IF(AND((AV180/I180)&lt;2,BB180=1),(I180*2)-AV180,0)</f>
        <v>0</v>
      </c>
      <c r="BD180" s="41">
        <f>IF(AND((AV180/I180)&lt;3,BB180=2),(I180*3)-AV180,0)</f>
        <v>0</v>
      </c>
      <c r="BG180" s="18"/>
      <c r="BH180" s="18">
        <v>17</v>
      </c>
      <c r="BI180" s="18">
        <v>25</v>
      </c>
      <c r="BJ180" s="18">
        <v>25</v>
      </c>
      <c r="BK180" s="18">
        <v>18</v>
      </c>
      <c r="BL180" s="18">
        <v>20</v>
      </c>
      <c r="BM180" s="55">
        <f>SUM(AV180:AX180)+SUM(BC180:BD180)+SUM(BE180:BF180)+BG180</f>
        <v>24.02</v>
      </c>
      <c r="BN180" s="55"/>
      <c r="BO180" s="55"/>
      <c r="BP180" s="55"/>
      <c r="BQ180" s="55"/>
      <c r="BR180" s="55"/>
      <c r="BS180" s="55"/>
      <c r="BT180" s="55"/>
      <c r="BU180" s="55"/>
      <c r="BV180" s="55"/>
      <c r="BW180" s="55"/>
      <c r="BX180" s="55"/>
      <c r="BY180" s="55"/>
    </row>
    <row r="181" spans="2:77" ht="25.5">
      <c r="B181" s="89">
        <v>175</v>
      </c>
      <c r="C181" s="106">
        <v>110</v>
      </c>
      <c r="D181" s="93">
        <v>448</v>
      </c>
      <c r="E181" s="94">
        <v>0.58680555555555558</v>
      </c>
      <c r="F181" s="94">
        <v>0.59166666666666667</v>
      </c>
      <c r="G181" s="93" t="s">
        <v>150</v>
      </c>
      <c r="H181" s="93" t="s">
        <v>103</v>
      </c>
      <c r="I181" s="96">
        <v>4</v>
      </c>
      <c r="J181" s="97" t="s">
        <v>146</v>
      </c>
      <c r="K181" s="98">
        <v>174</v>
      </c>
      <c r="L181" s="109" t="s">
        <v>736</v>
      </c>
      <c r="M181" s="87" t="s">
        <v>1072</v>
      </c>
      <c r="N181" s="87">
        <v>17</v>
      </c>
      <c r="O181" s="87" t="s">
        <v>1925</v>
      </c>
      <c r="P181" s="87">
        <v>17</v>
      </c>
      <c r="Q181" s="87" t="s">
        <v>1235</v>
      </c>
      <c r="R181" s="87"/>
      <c r="S181" s="26">
        <v>1190</v>
      </c>
      <c r="T181" s="26" t="s">
        <v>1377</v>
      </c>
      <c r="U181" s="26">
        <v>1182</v>
      </c>
      <c r="V181" s="26" t="s">
        <v>1415</v>
      </c>
      <c r="W181" s="62">
        <v>44816</v>
      </c>
      <c r="X181" s="62">
        <v>45086</v>
      </c>
      <c r="Y181" s="62"/>
      <c r="Z181" s="62"/>
      <c r="AA181" s="22" t="s">
        <v>1102</v>
      </c>
      <c r="AB181" s="23"/>
      <c r="AC181" s="23"/>
      <c r="AD181" s="23"/>
      <c r="AE181" s="23" t="s">
        <v>731</v>
      </c>
      <c r="AF181" s="23" t="s">
        <v>731</v>
      </c>
      <c r="AG181" s="23" t="s">
        <v>731</v>
      </c>
      <c r="AH181" s="23" t="s">
        <v>731</v>
      </c>
      <c r="AI181" s="23" t="s">
        <v>731</v>
      </c>
      <c r="AJ181" s="23" t="s">
        <v>731</v>
      </c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42">
        <v>24.02</v>
      </c>
      <c r="AW181" s="18"/>
      <c r="AY181" s="42"/>
      <c r="AZ181" s="42"/>
      <c r="BB181" s="45">
        <v>1</v>
      </c>
      <c r="BC181" s="41">
        <f>IF(AND((AV181/I181)&lt;2,BB181=1),(I181*2)-AV181,0)</f>
        <v>0</v>
      </c>
      <c r="BD181" s="41">
        <f>IF(AND((AV181/I181)&lt;3,BB181=2),(I181*3)-AV181,0)</f>
        <v>0</v>
      </c>
      <c r="BG181" s="18"/>
      <c r="BH181" s="18">
        <v>15</v>
      </c>
      <c r="BI181" s="18">
        <v>20</v>
      </c>
      <c r="BJ181" s="18">
        <v>21</v>
      </c>
      <c r="BK181" s="18">
        <v>15</v>
      </c>
      <c r="BL181" s="18">
        <v>17</v>
      </c>
      <c r="BM181" s="55">
        <f>SUM(AV181:AX181)+SUM(BC181:BD181)+SUM(BE181:BF181)+BG181</f>
        <v>24.02</v>
      </c>
      <c r="BN181" s="55"/>
      <c r="BO181" s="55"/>
      <c r="BP181" s="55"/>
      <c r="BQ181" s="55"/>
      <c r="BR181" s="55"/>
      <c r="BS181" s="55"/>
      <c r="BT181" s="55"/>
      <c r="BU181" s="55"/>
      <c r="BV181" s="55"/>
      <c r="BW181" s="55"/>
      <c r="BX181" s="55"/>
      <c r="BY181" s="55"/>
    </row>
    <row r="182" spans="2:77" ht="25.5">
      <c r="B182" s="89">
        <v>176</v>
      </c>
      <c r="C182" s="106">
        <v>110</v>
      </c>
      <c r="D182" s="93">
        <v>448</v>
      </c>
      <c r="E182" s="94">
        <v>0.71527777777777779</v>
      </c>
      <c r="F182" s="94">
        <v>0.72013888888888899</v>
      </c>
      <c r="G182" s="93" t="s">
        <v>150</v>
      </c>
      <c r="H182" s="93" t="s">
        <v>668</v>
      </c>
      <c r="I182" s="96">
        <v>4</v>
      </c>
      <c r="J182" s="97" t="s">
        <v>146</v>
      </c>
      <c r="K182" s="98">
        <v>33</v>
      </c>
      <c r="L182" s="109" t="s">
        <v>736</v>
      </c>
      <c r="M182" s="87" t="s">
        <v>1072</v>
      </c>
      <c r="N182" s="87">
        <v>17</v>
      </c>
      <c r="O182" s="87" t="s">
        <v>1925</v>
      </c>
      <c r="P182" s="87">
        <v>17</v>
      </c>
      <c r="Q182" s="87" t="s">
        <v>92</v>
      </c>
      <c r="R182" s="87"/>
      <c r="S182" s="26">
        <v>1190</v>
      </c>
      <c r="T182" s="26" t="s">
        <v>1377</v>
      </c>
      <c r="U182" s="26">
        <v>1182</v>
      </c>
      <c r="V182" s="26" t="s">
        <v>1415</v>
      </c>
      <c r="W182" s="62">
        <v>44816</v>
      </c>
      <c r="X182" s="62">
        <v>45086</v>
      </c>
      <c r="Y182" s="62"/>
      <c r="Z182" s="62"/>
      <c r="AA182" s="24" t="s">
        <v>1120</v>
      </c>
      <c r="AB182" s="23"/>
      <c r="AC182" s="23"/>
      <c r="AD182" s="23"/>
      <c r="AE182" s="23" t="s">
        <v>731</v>
      </c>
      <c r="AF182" s="23" t="s">
        <v>731</v>
      </c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42">
        <v>24.02</v>
      </c>
      <c r="AW182" s="18"/>
      <c r="AY182" s="42"/>
      <c r="AZ182" s="42"/>
      <c r="BB182" s="45">
        <v>1</v>
      </c>
      <c r="BC182" s="41">
        <f>IF(AND((AV182/I182)&lt;2,BB182=1),(I182*2)-AV182,0)</f>
        <v>0</v>
      </c>
      <c r="BD182" s="41">
        <f>IF(AND((AV182/I182)&lt;3,BB182=2),(I182*3)-AV182,0)</f>
        <v>0</v>
      </c>
      <c r="BG182" s="18"/>
      <c r="BH182" s="18">
        <v>3</v>
      </c>
      <c r="BI182" s="18">
        <v>4</v>
      </c>
      <c r="BJ182" s="18">
        <v>4</v>
      </c>
      <c r="BK182" s="18">
        <v>3</v>
      </c>
      <c r="BL182" s="18">
        <v>4</v>
      </c>
      <c r="BM182" s="55">
        <f>SUM(AV182:AX182)+SUM(BC182:BD182)+SUM(BE182:BF182)+BG182</f>
        <v>24.02</v>
      </c>
      <c r="BN182" s="55"/>
      <c r="BO182" s="55"/>
      <c r="BP182" s="55"/>
      <c r="BQ182" s="55"/>
      <c r="BR182" s="55"/>
      <c r="BS182" s="55"/>
      <c r="BT182" s="55"/>
      <c r="BU182" s="55"/>
      <c r="BV182" s="55"/>
      <c r="BW182" s="55"/>
      <c r="BX182" s="55"/>
      <c r="BY182" s="55"/>
    </row>
    <row r="183" spans="2:77" ht="38.25">
      <c r="B183" s="89">
        <v>177</v>
      </c>
      <c r="C183" s="93">
        <v>113</v>
      </c>
      <c r="D183" s="93">
        <v>64</v>
      </c>
      <c r="E183" s="105">
        <v>0.74652777777777779</v>
      </c>
      <c r="F183" s="105">
        <v>0.77361111111111114</v>
      </c>
      <c r="G183" s="93" t="s">
        <v>636</v>
      </c>
      <c r="H183" s="93" t="s">
        <v>478</v>
      </c>
      <c r="I183" s="96">
        <v>16</v>
      </c>
      <c r="J183" s="97" t="s">
        <v>146</v>
      </c>
      <c r="K183" s="98">
        <v>240</v>
      </c>
      <c r="L183" s="109" t="s">
        <v>736</v>
      </c>
      <c r="M183" s="87" t="s">
        <v>1072</v>
      </c>
      <c r="N183" s="87">
        <v>17</v>
      </c>
      <c r="O183" s="87" t="s">
        <v>1925</v>
      </c>
      <c r="P183" s="87">
        <v>17</v>
      </c>
      <c r="R183" s="87"/>
      <c r="S183" s="26">
        <v>1070</v>
      </c>
      <c r="T183" s="26" t="s">
        <v>1310</v>
      </c>
      <c r="U183" s="26">
        <v>1070</v>
      </c>
      <c r="V183" s="26" t="s">
        <v>1310</v>
      </c>
      <c r="W183" s="63">
        <v>44816</v>
      </c>
      <c r="X183" s="63">
        <v>45100</v>
      </c>
      <c r="Y183" s="63"/>
      <c r="Z183" s="63"/>
      <c r="AA183" s="26" t="s">
        <v>1112</v>
      </c>
      <c r="AB183" s="23" t="s">
        <v>731</v>
      </c>
      <c r="AC183" s="23"/>
      <c r="AD183" s="23" t="s">
        <v>731</v>
      </c>
      <c r="AE183" s="23"/>
      <c r="AF183" s="23" t="s">
        <v>731</v>
      </c>
      <c r="AG183" s="23" t="s">
        <v>731</v>
      </c>
      <c r="AH183" s="23" t="s">
        <v>731</v>
      </c>
      <c r="AI183" s="23" t="s">
        <v>731</v>
      </c>
      <c r="AJ183" s="23" t="s">
        <v>731</v>
      </c>
      <c r="AK183" s="23" t="s">
        <v>731</v>
      </c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42">
        <f>30.97+9+30.97</f>
        <v>70.94</v>
      </c>
      <c r="AW183" s="18"/>
      <c r="AY183" s="42"/>
      <c r="AZ183" s="42"/>
      <c r="BB183" s="45">
        <v>1</v>
      </c>
      <c r="BC183" s="41">
        <f>IF(AND((AV183/I183)&lt;2,BB183=1),(I183*2)-AV183,0)</f>
        <v>0</v>
      </c>
      <c r="BD183" s="41">
        <f>IF(AND((AV183/I183)&lt;3,BB183=2),(I183*3)-AV183,0)</f>
        <v>0</v>
      </c>
      <c r="BG183" s="18"/>
      <c r="BH183" s="18">
        <v>17</v>
      </c>
      <c r="BI183" s="18">
        <v>26</v>
      </c>
      <c r="BJ183" s="18">
        <v>25</v>
      </c>
      <c r="BK183" s="18">
        <v>25</v>
      </c>
      <c r="BL183" s="18">
        <v>25</v>
      </c>
      <c r="BM183" s="55">
        <f>SUM(AV183:AX183)+SUM(BC183:BD183)+SUM(BE183:BF183)+BG183</f>
        <v>70.94</v>
      </c>
      <c r="BN183" s="55"/>
      <c r="BO183" s="55"/>
      <c r="BP183" s="55"/>
      <c r="BQ183" s="55"/>
      <c r="BR183" s="55"/>
      <c r="BS183" s="55"/>
      <c r="BT183" s="55"/>
      <c r="BU183" s="55"/>
      <c r="BV183" s="55"/>
      <c r="BW183" s="55"/>
      <c r="BX183" s="55"/>
      <c r="BY183" s="55"/>
    </row>
    <row r="184" spans="2:77" ht="25.5">
      <c r="B184" s="89">
        <v>178</v>
      </c>
      <c r="C184" s="93">
        <v>114</v>
      </c>
      <c r="D184" s="95">
        <v>8</v>
      </c>
      <c r="E184" s="94">
        <v>0.25694444444444448</v>
      </c>
      <c r="F184" s="94">
        <v>0.27777777777777779</v>
      </c>
      <c r="G184" s="93" t="s">
        <v>323</v>
      </c>
      <c r="H184" s="93" t="s">
        <v>478</v>
      </c>
      <c r="I184" s="96">
        <v>8</v>
      </c>
      <c r="J184" s="97" t="s">
        <v>146</v>
      </c>
      <c r="K184" s="98">
        <v>240</v>
      </c>
      <c r="L184" s="109" t="s">
        <v>720</v>
      </c>
      <c r="M184" s="83" t="s">
        <v>863</v>
      </c>
      <c r="N184" s="83">
        <v>21</v>
      </c>
      <c r="O184" s="87" t="s">
        <v>862</v>
      </c>
      <c r="P184" s="87">
        <v>17</v>
      </c>
      <c r="R184" s="83"/>
      <c r="S184" s="26">
        <v>1127</v>
      </c>
      <c r="T184" s="26" t="s">
        <v>1399</v>
      </c>
      <c r="U184" s="26">
        <v>1135</v>
      </c>
      <c r="V184" s="26" t="s">
        <v>1417</v>
      </c>
      <c r="W184" s="63">
        <v>44816</v>
      </c>
      <c r="X184" s="63">
        <v>45100</v>
      </c>
      <c r="Y184" s="63"/>
      <c r="Z184" s="63"/>
      <c r="AA184" s="26" t="s">
        <v>1112</v>
      </c>
      <c r="AB184" s="23" t="s">
        <v>731</v>
      </c>
      <c r="AC184" s="23"/>
      <c r="AD184" s="23" t="s">
        <v>731</v>
      </c>
      <c r="AE184" s="23"/>
      <c r="AF184" s="23" t="s">
        <v>731</v>
      </c>
      <c r="AG184" s="23" t="s">
        <v>731</v>
      </c>
      <c r="AH184" s="23" t="s">
        <v>731</v>
      </c>
      <c r="AI184" s="23" t="s">
        <v>731</v>
      </c>
      <c r="AJ184" s="23" t="s">
        <v>731</v>
      </c>
      <c r="AK184" s="23" t="s">
        <v>731</v>
      </c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42">
        <v>15.2</v>
      </c>
      <c r="AW184" s="18"/>
      <c r="AY184" s="42"/>
      <c r="AZ184" s="42"/>
      <c r="BB184" s="45">
        <v>1</v>
      </c>
      <c r="BC184" s="41">
        <f>IF(AND((AV184/I184)&lt;2,BB184=1),(I184*2)-AV184,0)</f>
        <v>0.80000000000000071</v>
      </c>
      <c r="BD184" s="41">
        <f>IF(AND((AV184/I184)&lt;3,BB184=2),(I184*3)-AV184,0)</f>
        <v>0</v>
      </c>
      <c r="BG184" s="41">
        <f>IF((AV184+AW184+AX184+BC184)&lt;20,(20-(AV184+AW184+AX184)),0)</f>
        <v>4.8000000000000007</v>
      </c>
      <c r="BH184" s="18">
        <v>17</v>
      </c>
      <c r="BI184" s="18">
        <v>26</v>
      </c>
      <c r="BJ184" s="18">
        <v>25</v>
      </c>
      <c r="BK184" s="18">
        <v>25</v>
      </c>
      <c r="BL184" s="18">
        <v>25</v>
      </c>
      <c r="BM184" s="55">
        <f>SUM(AV184:AX184)+SUM(BC184:BD184)+SUM(BE184:BF184)+BG184</f>
        <v>20.8</v>
      </c>
      <c r="BN184" s="55"/>
      <c r="BO184" s="55"/>
      <c r="BP184" s="55"/>
      <c r="BQ184" s="55"/>
      <c r="BR184" s="55"/>
      <c r="BS184" s="55"/>
      <c r="BT184" s="55"/>
      <c r="BU184" s="55"/>
      <c r="BV184" s="55"/>
      <c r="BW184" s="55"/>
      <c r="BX184" s="55"/>
      <c r="BY184" s="55"/>
    </row>
    <row r="185" spans="2:77" ht="22.5">
      <c r="B185" s="89">
        <v>179</v>
      </c>
      <c r="C185" s="93">
        <v>114</v>
      </c>
      <c r="D185" s="95">
        <v>8</v>
      </c>
      <c r="E185" s="94">
        <v>0.26041666666666669</v>
      </c>
      <c r="F185" s="94">
        <v>0.28125</v>
      </c>
      <c r="G185" s="93" t="s">
        <v>323</v>
      </c>
      <c r="H185" s="93" t="s">
        <v>1</v>
      </c>
      <c r="I185" s="96">
        <v>8</v>
      </c>
      <c r="J185" s="97" t="s">
        <v>146</v>
      </c>
      <c r="K185" s="98">
        <v>67</v>
      </c>
      <c r="L185" s="109" t="s">
        <v>720</v>
      </c>
      <c r="M185" s="83" t="s">
        <v>863</v>
      </c>
      <c r="N185" s="83">
        <v>21</v>
      </c>
      <c r="O185" s="87" t="s">
        <v>1871</v>
      </c>
      <c r="P185" s="87">
        <v>21</v>
      </c>
      <c r="R185" s="83"/>
      <c r="S185" s="26">
        <v>1127</v>
      </c>
      <c r="T185" s="26" t="s">
        <v>1399</v>
      </c>
      <c r="U185" s="26">
        <v>1135</v>
      </c>
      <c r="V185" s="26" t="s">
        <v>1417</v>
      </c>
      <c r="W185" s="63">
        <v>44562</v>
      </c>
      <c r="X185" s="63">
        <v>44815</v>
      </c>
      <c r="Y185" s="63">
        <v>45101</v>
      </c>
      <c r="Z185" s="63">
        <v>45169</v>
      </c>
      <c r="AA185" s="23" t="s">
        <v>1107</v>
      </c>
      <c r="AB185" s="23"/>
      <c r="AC185" s="23" t="s">
        <v>731</v>
      </c>
      <c r="AD185" s="23" t="s">
        <v>731</v>
      </c>
      <c r="AE185" s="23"/>
      <c r="AF185" s="23" t="s">
        <v>731</v>
      </c>
      <c r="AG185" s="23" t="s">
        <v>731</v>
      </c>
      <c r="AH185" s="23" t="s">
        <v>731</v>
      </c>
      <c r="AI185" s="23" t="s">
        <v>731</v>
      </c>
      <c r="AJ185" s="23" t="s">
        <v>731</v>
      </c>
      <c r="AK185" s="23" t="s">
        <v>731</v>
      </c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42">
        <v>15.2</v>
      </c>
      <c r="AW185" s="18"/>
      <c r="AY185" s="42"/>
      <c r="AZ185" s="42"/>
      <c r="BB185" s="45">
        <v>1</v>
      </c>
      <c r="BC185" s="41">
        <f>IF(AND((AV185/I185)&lt;2,BB185=1),(I185*2)-AV185,0)</f>
        <v>0.80000000000000071</v>
      </c>
      <c r="BD185" s="41">
        <f>IF(AND((AV185/I185)&lt;3,BB185=2),(I185*3)-AV185,0)</f>
        <v>0</v>
      </c>
      <c r="BG185" s="41">
        <f>IF((AV185+AW185+AX185+BC185)&lt;20,(20-(AV185+AW185+AX185)),0)</f>
        <v>4.8000000000000007</v>
      </c>
      <c r="BH185" s="18">
        <v>9</v>
      </c>
      <c r="BI185" s="18">
        <v>0</v>
      </c>
      <c r="BJ185" s="18">
        <v>0</v>
      </c>
      <c r="BK185" s="18">
        <v>0</v>
      </c>
      <c r="BL185" s="18">
        <v>0</v>
      </c>
      <c r="BM185" s="55">
        <f>SUM(AV185:AX185)+SUM(BC185:BD185)+SUM(BE185:BF185)+BG185</f>
        <v>20.8</v>
      </c>
      <c r="BN185" s="55"/>
      <c r="BO185" s="55"/>
      <c r="BP185" s="55"/>
      <c r="BQ185" s="55"/>
      <c r="BR185" s="55"/>
      <c r="BS185" s="55"/>
      <c r="BT185" s="55"/>
      <c r="BU185" s="55"/>
      <c r="BV185" s="55"/>
      <c r="BW185" s="55"/>
      <c r="BX185" s="55"/>
      <c r="BY185" s="55"/>
    </row>
    <row r="186" spans="2:77" ht="25.5">
      <c r="B186" s="89">
        <v>180</v>
      </c>
      <c r="C186" s="93">
        <v>114</v>
      </c>
      <c r="D186" s="95">
        <v>7</v>
      </c>
      <c r="E186" s="94">
        <v>0.28125</v>
      </c>
      <c r="F186" s="94">
        <v>0.29166666666666669</v>
      </c>
      <c r="G186" s="93" t="s">
        <v>322</v>
      </c>
      <c r="H186" s="93" t="s">
        <v>478</v>
      </c>
      <c r="I186" s="96">
        <v>8</v>
      </c>
      <c r="J186" s="97" t="s">
        <v>146</v>
      </c>
      <c r="K186" s="98">
        <v>240</v>
      </c>
      <c r="L186" s="109" t="s">
        <v>720</v>
      </c>
      <c r="M186" s="83" t="s">
        <v>863</v>
      </c>
      <c r="N186" s="83">
        <v>21</v>
      </c>
      <c r="O186" s="87" t="s">
        <v>1871</v>
      </c>
      <c r="P186" s="87">
        <v>21</v>
      </c>
      <c r="R186" s="83"/>
      <c r="S186" s="26">
        <v>1135</v>
      </c>
      <c r="T186" s="26" t="s">
        <v>1417</v>
      </c>
      <c r="U186" s="26">
        <v>1127</v>
      </c>
      <c r="V186" s="26" t="s">
        <v>1399</v>
      </c>
      <c r="W186" s="63">
        <v>44816</v>
      </c>
      <c r="X186" s="63">
        <v>45100</v>
      </c>
      <c r="Y186" s="63"/>
      <c r="Z186" s="63"/>
      <c r="AA186" s="26" t="s">
        <v>1112</v>
      </c>
      <c r="AB186" s="23" t="s">
        <v>731</v>
      </c>
      <c r="AC186" s="23"/>
      <c r="AD186" s="23" t="s">
        <v>731</v>
      </c>
      <c r="AE186" s="23"/>
      <c r="AF186" s="23" t="s">
        <v>731</v>
      </c>
      <c r="AG186" s="23" t="s">
        <v>731</v>
      </c>
      <c r="AH186" s="23" t="s">
        <v>731</v>
      </c>
      <c r="AI186" s="23" t="s">
        <v>731</v>
      </c>
      <c r="AJ186" s="23" t="s">
        <v>731</v>
      </c>
      <c r="AK186" s="23" t="s">
        <v>731</v>
      </c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42">
        <v>15.2</v>
      </c>
      <c r="AW186" s="18"/>
      <c r="AY186" s="42"/>
      <c r="AZ186" s="42"/>
      <c r="BB186" s="45">
        <v>1</v>
      </c>
      <c r="BC186" s="41">
        <f>IF(AND((AV186/I186)&lt;2,BB186=1),(I186*2)-AV186,0)</f>
        <v>0.80000000000000071</v>
      </c>
      <c r="BD186" s="41">
        <f>IF(AND((AV186/I186)&lt;3,BB186=2),(I186*3)-AV186,0)</f>
        <v>0</v>
      </c>
      <c r="BG186" s="41">
        <f>IF((AV186+AW186+AX186+BC186)&lt;20,(20-(AV186+AW186+AX186)),0)</f>
        <v>4.8000000000000007</v>
      </c>
      <c r="BH186" s="18">
        <v>17</v>
      </c>
      <c r="BI186" s="18">
        <v>26</v>
      </c>
      <c r="BJ186" s="18">
        <v>25</v>
      </c>
      <c r="BK186" s="18">
        <v>25</v>
      </c>
      <c r="BL186" s="18">
        <v>25</v>
      </c>
      <c r="BM186" s="55">
        <f>SUM(AV186:AX186)+SUM(BC186:BD186)+SUM(BE186:BF186)+BG186</f>
        <v>20.8</v>
      </c>
      <c r="BN186" s="55"/>
      <c r="BO186" s="55"/>
      <c r="BP186" s="55"/>
      <c r="BQ186" s="55"/>
      <c r="BR186" s="55"/>
      <c r="BS186" s="55"/>
      <c r="BT186" s="55"/>
      <c r="BU186" s="55"/>
      <c r="BV186" s="55"/>
      <c r="BW186" s="55"/>
      <c r="BX186" s="55"/>
      <c r="BY186" s="55"/>
    </row>
    <row r="187" spans="2:77" ht="22.5">
      <c r="B187" s="89">
        <v>181</v>
      </c>
      <c r="C187" s="93">
        <v>114</v>
      </c>
      <c r="D187" s="95">
        <v>7</v>
      </c>
      <c r="E187" s="94">
        <v>0.28472222222222221</v>
      </c>
      <c r="F187" s="94">
        <v>0.2951388888888889</v>
      </c>
      <c r="G187" s="93" t="s">
        <v>322</v>
      </c>
      <c r="H187" s="93" t="s">
        <v>1</v>
      </c>
      <c r="I187" s="96">
        <v>8</v>
      </c>
      <c r="J187" s="97" t="s">
        <v>146</v>
      </c>
      <c r="K187" s="98">
        <v>67</v>
      </c>
      <c r="L187" s="109" t="s">
        <v>720</v>
      </c>
      <c r="M187" s="83" t="s">
        <v>863</v>
      </c>
      <c r="N187" s="83">
        <v>21</v>
      </c>
      <c r="O187" s="87" t="s">
        <v>1871</v>
      </c>
      <c r="P187" s="87">
        <v>21</v>
      </c>
      <c r="R187" s="83"/>
      <c r="S187" s="26">
        <v>1135</v>
      </c>
      <c r="T187" s="26" t="s">
        <v>1417</v>
      </c>
      <c r="U187" s="26">
        <v>1127</v>
      </c>
      <c r="V187" s="26" t="s">
        <v>1399</v>
      </c>
      <c r="W187" s="63">
        <v>44562</v>
      </c>
      <c r="X187" s="63">
        <v>44815</v>
      </c>
      <c r="Y187" s="63">
        <v>45101</v>
      </c>
      <c r="Z187" s="63">
        <v>45169</v>
      </c>
      <c r="AA187" s="23" t="s">
        <v>1107</v>
      </c>
      <c r="AB187" s="23"/>
      <c r="AC187" s="23" t="s">
        <v>731</v>
      </c>
      <c r="AD187" s="23" t="s">
        <v>731</v>
      </c>
      <c r="AE187" s="23"/>
      <c r="AF187" s="23" t="s">
        <v>731</v>
      </c>
      <c r="AG187" s="23" t="s">
        <v>731</v>
      </c>
      <c r="AH187" s="23" t="s">
        <v>731</v>
      </c>
      <c r="AI187" s="23" t="s">
        <v>731</v>
      </c>
      <c r="AJ187" s="23" t="s">
        <v>731</v>
      </c>
      <c r="AK187" s="23" t="s">
        <v>731</v>
      </c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42">
        <v>15.2</v>
      </c>
      <c r="AW187" s="18"/>
      <c r="AY187" s="42"/>
      <c r="AZ187" s="42"/>
      <c r="BB187" s="45">
        <v>1</v>
      </c>
      <c r="BC187" s="41">
        <f>IF(AND((AV187/I187)&lt;2,BB187=1),(I187*2)-AV187,0)</f>
        <v>0.80000000000000071</v>
      </c>
      <c r="BD187" s="41">
        <f>IF(AND((AV187/I187)&lt;3,BB187=2),(I187*3)-AV187,0)</f>
        <v>0</v>
      </c>
      <c r="BG187" s="41">
        <f>IF((AV187+AW187+AX187+BC187)&lt;20,(20-(AV187+AW187+AX187)),0)</f>
        <v>4.8000000000000007</v>
      </c>
      <c r="BH187" s="18">
        <v>9</v>
      </c>
      <c r="BI187" s="18">
        <v>0</v>
      </c>
      <c r="BJ187" s="18">
        <v>0</v>
      </c>
      <c r="BK187" s="18">
        <v>0</v>
      </c>
      <c r="BL187" s="18">
        <v>0</v>
      </c>
      <c r="BM187" s="55">
        <f>SUM(AV187:AX187)+SUM(BC187:BD187)+SUM(BE187:BF187)+BG187</f>
        <v>20.8</v>
      </c>
      <c r="BN187" s="55"/>
      <c r="BO187" s="55"/>
      <c r="BP187" s="55"/>
      <c r="BQ187" s="55"/>
      <c r="BR187" s="55"/>
      <c r="BS187" s="55"/>
      <c r="BT187" s="55"/>
      <c r="BU187" s="55"/>
      <c r="BV187" s="55"/>
      <c r="BW187" s="55"/>
      <c r="BX187" s="55"/>
      <c r="BY187" s="55"/>
    </row>
    <row r="188" spans="2:77" ht="25.5">
      <c r="B188" s="89">
        <v>182</v>
      </c>
      <c r="C188" s="93">
        <v>114</v>
      </c>
      <c r="D188" s="95">
        <v>10</v>
      </c>
      <c r="E188" s="94">
        <v>0.30555555555555552</v>
      </c>
      <c r="F188" s="105">
        <v>0.31597222222222221</v>
      </c>
      <c r="G188" s="93" t="s">
        <v>323</v>
      </c>
      <c r="H188" s="93" t="s">
        <v>478</v>
      </c>
      <c r="I188" s="96">
        <v>8</v>
      </c>
      <c r="J188" s="97" t="s">
        <v>146</v>
      </c>
      <c r="K188" s="98">
        <v>240</v>
      </c>
      <c r="L188" s="109" t="s">
        <v>720</v>
      </c>
      <c r="M188" s="83" t="s">
        <v>863</v>
      </c>
      <c r="N188" s="83">
        <v>21</v>
      </c>
      <c r="O188" s="87" t="s">
        <v>1871</v>
      </c>
      <c r="P188" s="87">
        <v>21</v>
      </c>
      <c r="R188" s="83"/>
      <c r="S188" s="26">
        <v>1127</v>
      </c>
      <c r="T188" s="26" t="s">
        <v>1399</v>
      </c>
      <c r="U188" s="26">
        <v>1135</v>
      </c>
      <c r="V188" s="26" t="s">
        <v>1417</v>
      </c>
      <c r="W188" s="63">
        <v>44816</v>
      </c>
      <c r="X188" s="63">
        <v>45100</v>
      </c>
      <c r="Y188" s="63"/>
      <c r="Z188" s="63"/>
      <c r="AA188" s="26" t="s">
        <v>1112</v>
      </c>
      <c r="AB188" s="23" t="s">
        <v>731</v>
      </c>
      <c r="AC188" s="23"/>
      <c r="AD188" s="23" t="s">
        <v>731</v>
      </c>
      <c r="AE188" s="23"/>
      <c r="AF188" s="23" t="s">
        <v>731</v>
      </c>
      <c r="AG188" s="23" t="s">
        <v>731</v>
      </c>
      <c r="AH188" s="23" t="s">
        <v>731</v>
      </c>
      <c r="AI188" s="23" t="s">
        <v>731</v>
      </c>
      <c r="AJ188" s="23" t="s">
        <v>731</v>
      </c>
      <c r="AK188" s="23" t="s">
        <v>731</v>
      </c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42">
        <v>15.2</v>
      </c>
      <c r="AW188" s="18"/>
      <c r="AY188" s="42"/>
      <c r="AZ188" s="42"/>
      <c r="BB188" s="45">
        <v>1</v>
      </c>
      <c r="BC188" s="41">
        <f>IF(AND((AV188/I188)&lt;2,BB188=1),(I188*2)-AV188,0)</f>
        <v>0.80000000000000071</v>
      </c>
      <c r="BD188" s="41">
        <f>IF(AND((AV188/I188)&lt;3,BB188=2),(I188*3)-AV188,0)</f>
        <v>0</v>
      </c>
      <c r="BG188" s="18"/>
      <c r="BH188" s="18">
        <v>17</v>
      </c>
      <c r="BI188" s="18">
        <v>26</v>
      </c>
      <c r="BJ188" s="18">
        <v>25</v>
      </c>
      <c r="BK188" s="18">
        <v>25</v>
      </c>
      <c r="BL188" s="18">
        <v>25</v>
      </c>
      <c r="BM188" s="55">
        <f>SUM(AV188:AX188)+SUM(BC188:BD188)+SUM(BE188:BF188)+BG188</f>
        <v>16</v>
      </c>
      <c r="BN188" s="55"/>
      <c r="BO188" s="55"/>
      <c r="BP188" s="55"/>
      <c r="BQ188" s="55"/>
      <c r="BR188" s="55"/>
      <c r="BS188" s="55"/>
      <c r="BT188" s="55"/>
      <c r="BU188" s="55"/>
      <c r="BV188" s="55"/>
      <c r="BW188" s="55"/>
      <c r="BX188" s="55"/>
      <c r="BY188" s="55"/>
    </row>
    <row r="189" spans="2:77" ht="22.5">
      <c r="B189" s="89">
        <v>183</v>
      </c>
      <c r="C189" s="93">
        <v>114</v>
      </c>
      <c r="D189" s="95">
        <v>10</v>
      </c>
      <c r="E189" s="94">
        <v>0.31319444444444444</v>
      </c>
      <c r="F189" s="94">
        <v>0.32361111111111113</v>
      </c>
      <c r="G189" s="93" t="s">
        <v>323</v>
      </c>
      <c r="H189" s="93" t="s">
        <v>1</v>
      </c>
      <c r="I189" s="96">
        <v>8</v>
      </c>
      <c r="J189" s="97" t="s">
        <v>146</v>
      </c>
      <c r="K189" s="98">
        <v>67</v>
      </c>
      <c r="L189" s="109" t="s">
        <v>720</v>
      </c>
      <c r="M189" s="83" t="s">
        <v>863</v>
      </c>
      <c r="N189" s="83">
        <v>21</v>
      </c>
      <c r="O189" s="87" t="s">
        <v>1871</v>
      </c>
      <c r="P189" s="87">
        <v>21</v>
      </c>
      <c r="R189" s="83"/>
      <c r="S189" s="26">
        <v>1127</v>
      </c>
      <c r="T189" s="26" t="s">
        <v>1399</v>
      </c>
      <c r="U189" s="26">
        <v>1135</v>
      </c>
      <c r="V189" s="26" t="s">
        <v>1417</v>
      </c>
      <c r="W189" s="63">
        <v>44562</v>
      </c>
      <c r="X189" s="63">
        <v>44815</v>
      </c>
      <c r="Y189" s="63">
        <v>45101</v>
      </c>
      <c r="Z189" s="63">
        <v>45169</v>
      </c>
      <c r="AA189" s="23" t="s">
        <v>1107</v>
      </c>
      <c r="AB189" s="23"/>
      <c r="AC189" s="23" t="s">
        <v>731</v>
      </c>
      <c r="AD189" s="23" t="s">
        <v>731</v>
      </c>
      <c r="AE189" s="23"/>
      <c r="AF189" s="23" t="s">
        <v>731</v>
      </c>
      <c r="AG189" s="23" t="s">
        <v>731</v>
      </c>
      <c r="AH189" s="23" t="s">
        <v>731</v>
      </c>
      <c r="AI189" s="23" t="s">
        <v>731</v>
      </c>
      <c r="AJ189" s="23" t="s">
        <v>731</v>
      </c>
      <c r="AK189" s="23" t="s">
        <v>731</v>
      </c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42">
        <v>15.2</v>
      </c>
      <c r="AW189" s="18"/>
      <c r="AY189" s="42"/>
      <c r="AZ189" s="42"/>
      <c r="BB189" s="45">
        <v>1</v>
      </c>
      <c r="BC189" s="41">
        <f>IF(AND((AV189/I189)&lt;2,BB189=1),(I189*2)-AV189,0)</f>
        <v>0.80000000000000071</v>
      </c>
      <c r="BD189" s="41">
        <f>IF(AND((AV189/I189)&lt;3,BB189=2),(I189*3)-AV189,0)</f>
        <v>0</v>
      </c>
      <c r="BG189" s="18"/>
      <c r="BH189" s="18">
        <v>9</v>
      </c>
      <c r="BI189" s="18">
        <v>0</v>
      </c>
      <c r="BJ189" s="18">
        <v>0</v>
      </c>
      <c r="BK189" s="18">
        <v>0</v>
      </c>
      <c r="BL189" s="18">
        <v>0</v>
      </c>
      <c r="BM189" s="55">
        <f>SUM(AV189:AX189)+SUM(BC189:BD189)+SUM(BE189:BF189)+BG189</f>
        <v>16</v>
      </c>
      <c r="BN189" s="55"/>
      <c r="BO189" s="55"/>
      <c r="BP189" s="55"/>
      <c r="BQ189" s="55"/>
      <c r="BR189" s="55"/>
      <c r="BS189" s="55"/>
      <c r="BT189" s="55"/>
      <c r="BU189" s="55"/>
      <c r="BV189" s="55"/>
      <c r="BW189" s="55"/>
      <c r="BX189" s="55"/>
      <c r="BY189" s="55"/>
    </row>
    <row r="190" spans="2:77" ht="25.5">
      <c r="B190" s="89">
        <v>184</v>
      </c>
      <c r="C190" s="93">
        <v>114</v>
      </c>
      <c r="D190" s="95">
        <v>9</v>
      </c>
      <c r="E190" s="94">
        <v>0.31944444444444448</v>
      </c>
      <c r="F190" s="94">
        <v>0.34027777777777773</v>
      </c>
      <c r="G190" s="93" t="s">
        <v>322</v>
      </c>
      <c r="H190" s="93" t="s">
        <v>478</v>
      </c>
      <c r="I190" s="96">
        <v>8</v>
      </c>
      <c r="J190" s="97" t="s">
        <v>146</v>
      </c>
      <c r="K190" s="98">
        <v>240</v>
      </c>
      <c r="L190" s="109" t="s">
        <v>720</v>
      </c>
      <c r="M190" s="83" t="s">
        <v>863</v>
      </c>
      <c r="N190" s="83">
        <v>21</v>
      </c>
      <c r="O190" s="87" t="s">
        <v>1871</v>
      </c>
      <c r="P190" s="87">
        <v>21</v>
      </c>
      <c r="R190" s="83"/>
      <c r="S190" s="26">
        <v>1135</v>
      </c>
      <c r="T190" s="26" t="s">
        <v>1417</v>
      </c>
      <c r="U190" s="26">
        <v>1127</v>
      </c>
      <c r="V190" s="26" t="s">
        <v>1399</v>
      </c>
      <c r="W190" s="63">
        <v>44816</v>
      </c>
      <c r="X190" s="63">
        <v>45100</v>
      </c>
      <c r="Y190" s="63"/>
      <c r="Z190" s="63"/>
      <c r="AA190" s="26" t="s">
        <v>1112</v>
      </c>
      <c r="AB190" s="23" t="s">
        <v>731</v>
      </c>
      <c r="AC190" s="23"/>
      <c r="AD190" s="23" t="s">
        <v>731</v>
      </c>
      <c r="AE190" s="23"/>
      <c r="AF190" s="23" t="s">
        <v>731</v>
      </c>
      <c r="AG190" s="23" t="s">
        <v>731</v>
      </c>
      <c r="AH190" s="23" t="s">
        <v>731</v>
      </c>
      <c r="AI190" s="23" t="s">
        <v>731</v>
      </c>
      <c r="AJ190" s="23" t="s">
        <v>731</v>
      </c>
      <c r="AK190" s="23" t="s">
        <v>731</v>
      </c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42">
        <v>15.2</v>
      </c>
      <c r="AW190" s="18"/>
      <c r="AY190" s="42"/>
      <c r="AZ190" s="42"/>
      <c r="BB190" s="45">
        <v>1</v>
      </c>
      <c r="BC190" s="41">
        <f>IF(AND((AV190/I190)&lt;2,BB190=1),(I190*2)-AV190,0)</f>
        <v>0.80000000000000071</v>
      </c>
      <c r="BD190" s="41">
        <f>IF(AND((AV190/I190)&lt;3,BB190=2),(I190*3)-AV190,0)</f>
        <v>0</v>
      </c>
      <c r="BG190" s="18"/>
      <c r="BH190" s="18">
        <v>17</v>
      </c>
      <c r="BI190" s="18">
        <v>26</v>
      </c>
      <c r="BJ190" s="18">
        <v>25</v>
      </c>
      <c r="BK190" s="18">
        <v>25</v>
      </c>
      <c r="BL190" s="18">
        <v>25</v>
      </c>
      <c r="BM190" s="55">
        <f>SUM(AV190:AX190)+SUM(BC190:BD190)+SUM(BE190:BF190)+BG190</f>
        <v>16</v>
      </c>
      <c r="BN190" s="55"/>
      <c r="BO190" s="55"/>
      <c r="BP190" s="55"/>
      <c r="BQ190" s="55"/>
      <c r="BR190" s="55"/>
      <c r="BS190" s="55"/>
      <c r="BT190" s="55"/>
      <c r="BU190" s="55"/>
      <c r="BV190" s="55"/>
      <c r="BW190" s="55"/>
      <c r="BX190" s="55"/>
      <c r="BY190" s="55"/>
    </row>
    <row r="191" spans="2:77" ht="22.5">
      <c r="B191" s="89">
        <v>185</v>
      </c>
      <c r="C191" s="93">
        <v>114</v>
      </c>
      <c r="D191" s="95">
        <v>9</v>
      </c>
      <c r="E191" s="94">
        <v>0.32361111111111113</v>
      </c>
      <c r="F191" s="94">
        <v>0.3444444444444445</v>
      </c>
      <c r="G191" s="93" t="s">
        <v>322</v>
      </c>
      <c r="H191" s="93" t="s">
        <v>1</v>
      </c>
      <c r="I191" s="96">
        <v>8</v>
      </c>
      <c r="J191" s="97" t="s">
        <v>146</v>
      </c>
      <c r="K191" s="98">
        <v>67</v>
      </c>
      <c r="L191" s="109" t="s">
        <v>720</v>
      </c>
      <c r="M191" s="83" t="s">
        <v>863</v>
      </c>
      <c r="N191" s="83">
        <v>21</v>
      </c>
      <c r="O191" s="87" t="s">
        <v>1871</v>
      </c>
      <c r="P191" s="87">
        <v>21</v>
      </c>
      <c r="R191" s="83"/>
      <c r="S191" s="26">
        <v>1135</v>
      </c>
      <c r="T191" s="26" t="s">
        <v>1417</v>
      </c>
      <c r="U191" s="26">
        <v>1127</v>
      </c>
      <c r="V191" s="26" t="s">
        <v>1399</v>
      </c>
      <c r="W191" s="63">
        <v>44562</v>
      </c>
      <c r="X191" s="63">
        <v>44815</v>
      </c>
      <c r="Y191" s="63">
        <v>45101</v>
      </c>
      <c r="Z191" s="63">
        <v>45169</v>
      </c>
      <c r="AA191" s="23" t="s">
        <v>1107</v>
      </c>
      <c r="AB191" s="23"/>
      <c r="AC191" s="23" t="s">
        <v>731</v>
      </c>
      <c r="AD191" s="23" t="s">
        <v>731</v>
      </c>
      <c r="AE191" s="23"/>
      <c r="AF191" s="23" t="s">
        <v>731</v>
      </c>
      <c r="AG191" s="23" t="s">
        <v>731</v>
      </c>
      <c r="AH191" s="23" t="s">
        <v>731</v>
      </c>
      <c r="AI191" s="23" t="s">
        <v>731</v>
      </c>
      <c r="AJ191" s="23" t="s">
        <v>731</v>
      </c>
      <c r="AK191" s="23" t="s">
        <v>731</v>
      </c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42">
        <v>15.2</v>
      </c>
      <c r="AW191" s="18"/>
      <c r="AY191" s="42"/>
      <c r="AZ191" s="42"/>
      <c r="BB191" s="45">
        <v>1</v>
      </c>
      <c r="BC191" s="41">
        <f>IF(AND((AV191/I191)&lt;2,BB191=1),(I191*2)-AV191,0)</f>
        <v>0.80000000000000071</v>
      </c>
      <c r="BD191" s="41">
        <f>IF(AND((AV191/I191)&lt;3,BB191=2),(I191*3)-AV191,0)</f>
        <v>0</v>
      </c>
      <c r="BG191" s="18"/>
      <c r="BH191" s="18">
        <v>9</v>
      </c>
      <c r="BI191" s="18">
        <v>0</v>
      </c>
      <c r="BJ191" s="18">
        <v>0</v>
      </c>
      <c r="BK191" s="18">
        <v>0</v>
      </c>
      <c r="BL191" s="18">
        <v>0</v>
      </c>
      <c r="BM191" s="55">
        <f>SUM(AV191:AX191)+SUM(BC191:BD191)+SUM(BE191:BF191)+BG191</f>
        <v>16</v>
      </c>
      <c r="BN191" s="55"/>
      <c r="BO191" s="55"/>
      <c r="BP191" s="55"/>
      <c r="BQ191" s="55"/>
      <c r="BR191" s="55"/>
      <c r="BS191" s="55"/>
      <c r="BT191" s="55"/>
      <c r="BU191" s="55"/>
      <c r="BV191" s="55"/>
      <c r="BW191" s="55"/>
      <c r="BX191" s="55"/>
      <c r="BY191" s="55"/>
    </row>
    <row r="192" spans="2:77" ht="25.5">
      <c r="B192" s="89">
        <v>186</v>
      </c>
      <c r="C192" s="93">
        <v>114</v>
      </c>
      <c r="D192" s="95">
        <v>12</v>
      </c>
      <c r="E192" s="94">
        <v>0.4861111111111111</v>
      </c>
      <c r="F192" s="94">
        <v>0.49652777777777773</v>
      </c>
      <c r="G192" s="93" t="s">
        <v>323</v>
      </c>
      <c r="H192" s="93" t="s">
        <v>267</v>
      </c>
      <c r="I192" s="96">
        <v>8</v>
      </c>
      <c r="J192" s="97" t="s">
        <v>146</v>
      </c>
      <c r="K192" s="98">
        <v>55</v>
      </c>
      <c r="L192" s="109" t="s">
        <v>720</v>
      </c>
      <c r="M192" s="83" t="s">
        <v>863</v>
      </c>
      <c r="N192" s="83">
        <v>21</v>
      </c>
      <c r="O192" s="87" t="s">
        <v>1871</v>
      </c>
      <c r="P192" s="87">
        <v>21</v>
      </c>
      <c r="R192" s="83"/>
      <c r="S192" s="26">
        <v>1127</v>
      </c>
      <c r="T192" s="26" t="s">
        <v>1399</v>
      </c>
      <c r="U192" s="26">
        <v>1135</v>
      </c>
      <c r="V192" s="26" t="s">
        <v>1417</v>
      </c>
      <c r="W192" s="63">
        <v>44562</v>
      </c>
      <c r="X192" s="63">
        <v>44815</v>
      </c>
      <c r="Y192" s="63">
        <v>45101</v>
      </c>
      <c r="Z192" s="63">
        <v>45169</v>
      </c>
      <c r="AA192" s="22" t="s">
        <v>1109</v>
      </c>
      <c r="AB192" s="23"/>
      <c r="AC192" s="23" t="s">
        <v>731</v>
      </c>
      <c r="AD192" s="23" t="s">
        <v>731</v>
      </c>
      <c r="AE192" s="23"/>
      <c r="AF192" s="23" t="s">
        <v>731</v>
      </c>
      <c r="AG192" s="23" t="s">
        <v>731</v>
      </c>
      <c r="AH192" s="23" t="s">
        <v>731</v>
      </c>
      <c r="AI192" s="23" t="s">
        <v>731</v>
      </c>
      <c r="AJ192" s="23" t="s">
        <v>731</v>
      </c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42">
        <v>15.2</v>
      </c>
      <c r="AW192" s="18"/>
      <c r="AY192" s="42"/>
      <c r="AZ192" s="42"/>
      <c r="BB192" s="45">
        <v>1</v>
      </c>
      <c r="BC192" s="41">
        <f>IF(AND((AV192/I192)&lt;2,BB192=1),(I192*2)-AV192,0)</f>
        <v>0.80000000000000071</v>
      </c>
      <c r="BD192" s="41">
        <f>IF(AND((AV192/I192)&lt;3,BB192=2),(I192*3)-AV192,0)</f>
        <v>0</v>
      </c>
      <c r="BG192" s="18"/>
      <c r="BH192" s="18">
        <v>7</v>
      </c>
      <c r="BI192" s="18">
        <v>0</v>
      </c>
      <c r="BJ192" s="18">
        <v>0</v>
      </c>
      <c r="BK192" s="18">
        <v>0</v>
      </c>
      <c r="BL192" s="18">
        <v>0</v>
      </c>
      <c r="BM192" s="55">
        <f>SUM(AV192:AX192)+SUM(BC192:BD192)+SUM(BE192:BF192)+BG192</f>
        <v>16</v>
      </c>
      <c r="BN192" s="55"/>
      <c r="BO192" s="55"/>
      <c r="BP192" s="55"/>
      <c r="BQ192" s="55"/>
      <c r="BR192" s="55"/>
      <c r="BS192" s="55"/>
      <c r="BT192" s="55"/>
      <c r="BU192" s="55"/>
      <c r="BV192" s="55"/>
      <c r="BW192" s="55"/>
      <c r="BX192" s="55"/>
      <c r="BY192" s="55"/>
    </row>
    <row r="193" spans="2:77" ht="25.5">
      <c r="B193" s="89">
        <v>187</v>
      </c>
      <c r="C193" s="93">
        <v>114</v>
      </c>
      <c r="D193" s="95">
        <v>12</v>
      </c>
      <c r="E193" s="94">
        <v>0.48958333333333331</v>
      </c>
      <c r="F193" s="94">
        <v>0.5</v>
      </c>
      <c r="G193" s="93" t="s">
        <v>323</v>
      </c>
      <c r="H193" s="93" t="s">
        <v>478</v>
      </c>
      <c r="I193" s="96">
        <v>8</v>
      </c>
      <c r="J193" s="97" t="s">
        <v>146</v>
      </c>
      <c r="K193" s="98">
        <v>240</v>
      </c>
      <c r="L193" s="109" t="s">
        <v>720</v>
      </c>
      <c r="M193" s="83" t="s">
        <v>863</v>
      </c>
      <c r="N193" s="83">
        <v>21</v>
      </c>
      <c r="O193" s="87" t="s">
        <v>1871</v>
      </c>
      <c r="P193" s="87">
        <v>21</v>
      </c>
      <c r="R193" s="83"/>
      <c r="S193" s="26">
        <v>1127</v>
      </c>
      <c r="T193" s="26" t="s">
        <v>1399</v>
      </c>
      <c r="U193" s="26">
        <v>1135</v>
      </c>
      <c r="V193" s="26" t="s">
        <v>1417</v>
      </c>
      <c r="W193" s="63">
        <v>44816</v>
      </c>
      <c r="X193" s="63">
        <v>45100</v>
      </c>
      <c r="Y193" s="63"/>
      <c r="Z193" s="63"/>
      <c r="AA193" s="26" t="s">
        <v>1112</v>
      </c>
      <c r="AB193" s="23" t="s">
        <v>731</v>
      </c>
      <c r="AC193" s="23"/>
      <c r="AD193" s="23" t="s">
        <v>731</v>
      </c>
      <c r="AE193" s="23"/>
      <c r="AF193" s="23" t="s">
        <v>731</v>
      </c>
      <c r="AG193" s="23" t="s">
        <v>731</v>
      </c>
      <c r="AH193" s="23" t="s">
        <v>731</v>
      </c>
      <c r="AI193" s="23" t="s">
        <v>731</v>
      </c>
      <c r="AJ193" s="23" t="s">
        <v>731</v>
      </c>
      <c r="AK193" s="23" t="s">
        <v>731</v>
      </c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42">
        <v>15.2</v>
      </c>
      <c r="AW193" s="18"/>
      <c r="AY193" s="42"/>
      <c r="AZ193" s="42"/>
      <c r="BB193" s="45">
        <v>1</v>
      </c>
      <c r="BC193" s="41">
        <f>IF(AND((AV193/I193)&lt;2,BB193=1),(I193*2)-AV193,0)</f>
        <v>0.80000000000000071</v>
      </c>
      <c r="BD193" s="41">
        <f>IF(AND((AV193/I193)&lt;3,BB193=2),(I193*3)-AV193,0)</f>
        <v>0</v>
      </c>
      <c r="BG193" s="18"/>
      <c r="BH193" s="18">
        <v>17</v>
      </c>
      <c r="BI193" s="18">
        <v>26</v>
      </c>
      <c r="BJ193" s="18">
        <v>25</v>
      </c>
      <c r="BK193" s="18">
        <v>25</v>
      </c>
      <c r="BL193" s="18">
        <v>25</v>
      </c>
      <c r="BM193" s="55">
        <f>SUM(AV193:AX193)+SUM(BC193:BD193)+SUM(BE193:BF193)+BG193</f>
        <v>16</v>
      </c>
      <c r="BN193" s="55"/>
      <c r="BO193" s="55"/>
      <c r="BP193" s="55"/>
      <c r="BQ193" s="55"/>
      <c r="BR193" s="55"/>
      <c r="BS193" s="55"/>
      <c r="BT193" s="55"/>
      <c r="BU193" s="55"/>
      <c r="BV193" s="55"/>
      <c r="BW193" s="55"/>
      <c r="BX193" s="55"/>
      <c r="BY193" s="55"/>
    </row>
    <row r="194" spans="2:77" ht="25.5">
      <c r="B194" s="89">
        <v>188</v>
      </c>
      <c r="C194" s="93">
        <v>114</v>
      </c>
      <c r="D194" s="95">
        <v>11</v>
      </c>
      <c r="E194" s="94">
        <v>0.50347222222222221</v>
      </c>
      <c r="F194" s="94">
        <v>0.52083333333333337</v>
      </c>
      <c r="G194" s="93" t="s">
        <v>322</v>
      </c>
      <c r="H194" s="93" t="s">
        <v>478</v>
      </c>
      <c r="I194" s="96">
        <v>8</v>
      </c>
      <c r="J194" s="97" t="s">
        <v>146</v>
      </c>
      <c r="K194" s="98">
        <v>240</v>
      </c>
      <c r="L194" s="109" t="s">
        <v>720</v>
      </c>
      <c r="M194" s="83" t="s">
        <v>863</v>
      </c>
      <c r="N194" s="83">
        <v>21</v>
      </c>
      <c r="O194" s="87" t="s">
        <v>1871</v>
      </c>
      <c r="P194" s="87">
        <v>21</v>
      </c>
      <c r="R194" s="83"/>
      <c r="S194" s="26">
        <v>1135</v>
      </c>
      <c r="T194" s="26" t="s">
        <v>1417</v>
      </c>
      <c r="U194" s="26">
        <v>1127</v>
      </c>
      <c r="V194" s="26" t="s">
        <v>1399</v>
      </c>
      <c r="W194" s="63">
        <v>44816</v>
      </c>
      <c r="X194" s="63">
        <v>45100</v>
      </c>
      <c r="Y194" s="63"/>
      <c r="Z194" s="63"/>
      <c r="AA194" s="26" t="s">
        <v>1112</v>
      </c>
      <c r="AB194" s="23" t="s">
        <v>731</v>
      </c>
      <c r="AC194" s="23"/>
      <c r="AD194" s="23" t="s">
        <v>731</v>
      </c>
      <c r="AE194" s="23"/>
      <c r="AF194" s="23" t="s">
        <v>731</v>
      </c>
      <c r="AG194" s="23" t="s">
        <v>731</v>
      </c>
      <c r="AH194" s="23" t="s">
        <v>731</v>
      </c>
      <c r="AI194" s="23" t="s">
        <v>731</v>
      </c>
      <c r="AJ194" s="23" t="s">
        <v>731</v>
      </c>
      <c r="AK194" s="23" t="s">
        <v>731</v>
      </c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42">
        <v>15.2</v>
      </c>
      <c r="AW194" s="18"/>
      <c r="AY194" s="42"/>
      <c r="AZ194" s="42"/>
      <c r="BB194" s="45">
        <v>1</v>
      </c>
      <c r="BC194" s="41">
        <f>IF(AND((AV194/I194)&lt;2,BB194=1),(I194*2)-AV194,0)</f>
        <v>0.80000000000000071</v>
      </c>
      <c r="BD194" s="41">
        <f>IF(AND((AV194/I194)&lt;3,BB194=2),(I194*3)-AV194,0)</f>
        <v>0</v>
      </c>
      <c r="BG194" s="18"/>
      <c r="BH194" s="18">
        <v>17</v>
      </c>
      <c r="BI194" s="18">
        <v>26</v>
      </c>
      <c r="BJ194" s="18">
        <v>25</v>
      </c>
      <c r="BK194" s="18">
        <v>25</v>
      </c>
      <c r="BL194" s="18">
        <v>25</v>
      </c>
      <c r="BM194" s="55">
        <f>SUM(AV194:AX194)+SUM(BC194:BD194)+SUM(BE194:BF194)+BG194</f>
        <v>16</v>
      </c>
      <c r="BN194" s="55"/>
      <c r="BO194" s="55"/>
      <c r="BP194" s="55"/>
      <c r="BQ194" s="55"/>
      <c r="BR194" s="55"/>
      <c r="BS194" s="55"/>
      <c r="BT194" s="55"/>
      <c r="BU194" s="55"/>
      <c r="BV194" s="55"/>
      <c r="BW194" s="55"/>
      <c r="BX194" s="55"/>
      <c r="BY194" s="55"/>
    </row>
    <row r="195" spans="2:77" ht="25.5">
      <c r="B195" s="89">
        <v>189</v>
      </c>
      <c r="C195" s="93">
        <v>114</v>
      </c>
      <c r="D195" s="95">
        <v>11</v>
      </c>
      <c r="E195" s="94">
        <v>0.50347222222222221</v>
      </c>
      <c r="F195" s="94">
        <v>0.52430555555555558</v>
      </c>
      <c r="G195" s="93" t="s">
        <v>322</v>
      </c>
      <c r="H195" s="93" t="s">
        <v>267</v>
      </c>
      <c r="I195" s="96">
        <v>8</v>
      </c>
      <c r="J195" s="97" t="s">
        <v>146</v>
      </c>
      <c r="K195" s="98">
        <v>55</v>
      </c>
      <c r="L195" s="109" t="s">
        <v>720</v>
      </c>
      <c r="M195" s="83" t="s">
        <v>863</v>
      </c>
      <c r="N195" s="83">
        <v>21</v>
      </c>
      <c r="O195" s="87" t="s">
        <v>1871</v>
      </c>
      <c r="P195" s="87">
        <v>21</v>
      </c>
      <c r="R195" s="83"/>
      <c r="S195" s="26">
        <v>1135</v>
      </c>
      <c r="T195" s="26" t="s">
        <v>1417</v>
      </c>
      <c r="U195" s="26">
        <v>1127</v>
      </c>
      <c r="V195" s="26" t="s">
        <v>1399</v>
      </c>
      <c r="W195" s="63">
        <v>44562</v>
      </c>
      <c r="X195" s="63">
        <v>44815</v>
      </c>
      <c r="Y195" s="63">
        <v>45101</v>
      </c>
      <c r="Z195" s="63">
        <v>45169</v>
      </c>
      <c r="AA195" s="22" t="s">
        <v>1109</v>
      </c>
      <c r="AB195" s="23"/>
      <c r="AC195" s="23" t="s">
        <v>731</v>
      </c>
      <c r="AD195" s="23" t="s">
        <v>731</v>
      </c>
      <c r="AE195" s="23"/>
      <c r="AF195" s="23" t="s">
        <v>731</v>
      </c>
      <c r="AG195" s="23" t="s">
        <v>731</v>
      </c>
      <c r="AH195" s="23" t="s">
        <v>731</v>
      </c>
      <c r="AI195" s="23" t="s">
        <v>731</v>
      </c>
      <c r="AJ195" s="23" t="s">
        <v>731</v>
      </c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42">
        <v>15.2</v>
      </c>
      <c r="AW195" s="18"/>
      <c r="AY195" s="42"/>
      <c r="AZ195" s="42"/>
      <c r="BB195" s="45">
        <v>1</v>
      </c>
      <c r="BC195" s="41">
        <f>IF(AND((AV195/I195)&lt;2,BB195=1),(I195*2)-AV195,0)</f>
        <v>0.80000000000000071</v>
      </c>
      <c r="BD195" s="41">
        <f>IF(AND((AV195/I195)&lt;3,BB195=2),(I195*3)-AV195,0)</f>
        <v>0</v>
      </c>
      <c r="BG195" s="18"/>
      <c r="BH195" s="18">
        <v>7</v>
      </c>
      <c r="BI195" s="18">
        <v>0</v>
      </c>
      <c r="BJ195" s="18">
        <v>0</v>
      </c>
      <c r="BK195" s="18">
        <v>0</v>
      </c>
      <c r="BL195" s="18">
        <v>0</v>
      </c>
      <c r="BM195" s="55">
        <f>SUM(AV195:AX195)+SUM(BC195:BD195)+SUM(BE195:BF195)+BG195</f>
        <v>16</v>
      </c>
      <c r="BN195" s="55"/>
      <c r="BO195" s="55"/>
      <c r="BP195" s="55"/>
      <c r="BQ195" s="55"/>
      <c r="BR195" s="55"/>
      <c r="BS195" s="55"/>
      <c r="BT195" s="55"/>
      <c r="BU195" s="55"/>
      <c r="BV195" s="55"/>
      <c r="BW195" s="55"/>
      <c r="BX195" s="55"/>
      <c r="BY195" s="55"/>
    </row>
    <row r="196" spans="2:77" ht="22.5">
      <c r="B196" s="89">
        <v>190</v>
      </c>
      <c r="C196" s="93">
        <v>114</v>
      </c>
      <c r="D196" s="95">
        <v>14</v>
      </c>
      <c r="E196" s="94">
        <v>0.54999999999999993</v>
      </c>
      <c r="F196" s="94">
        <v>0.56458333333333333</v>
      </c>
      <c r="G196" s="93" t="s">
        <v>323</v>
      </c>
      <c r="H196" s="93" t="s">
        <v>1</v>
      </c>
      <c r="I196" s="96">
        <v>8</v>
      </c>
      <c r="J196" s="97" t="s">
        <v>146</v>
      </c>
      <c r="K196" s="98">
        <v>67</v>
      </c>
      <c r="L196" s="109" t="s">
        <v>720</v>
      </c>
      <c r="M196" s="83" t="s">
        <v>863</v>
      </c>
      <c r="N196" s="83">
        <v>21</v>
      </c>
      <c r="O196" s="87" t="s">
        <v>1871</v>
      </c>
      <c r="P196" s="87">
        <v>21</v>
      </c>
      <c r="R196" s="83"/>
      <c r="S196" s="26">
        <v>1127</v>
      </c>
      <c r="T196" s="26" t="s">
        <v>1399</v>
      </c>
      <c r="U196" s="26">
        <v>1135</v>
      </c>
      <c r="V196" s="26" t="s">
        <v>1417</v>
      </c>
      <c r="W196" s="63">
        <v>44562</v>
      </c>
      <c r="X196" s="63">
        <v>44815</v>
      </c>
      <c r="Y196" s="63">
        <v>45101</v>
      </c>
      <c r="Z196" s="63">
        <v>45169</v>
      </c>
      <c r="AA196" s="23" t="s">
        <v>1107</v>
      </c>
      <c r="AB196" s="23"/>
      <c r="AC196" s="23" t="s">
        <v>731</v>
      </c>
      <c r="AD196" s="23" t="s">
        <v>731</v>
      </c>
      <c r="AE196" s="23"/>
      <c r="AF196" s="23" t="s">
        <v>731</v>
      </c>
      <c r="AG196" s="23" t="s">
        <v>731</v>
      </c>
      <c r="AH196" s="23" t="s">
        <v>731</v>
      </c>
      <c r="AI196" s="23" t="s">
        <v>731</v>
      </c>
      <c r="AJ196" s="23" t="s">
        <v>731</v>
      </c>
      <c r="AK196" s="23" t="s">
        <v>731</v>
      </c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42">
        <v>15.2</v>
      </c>
      <c r="AW196" s="18"/>
      <c r="AY196" s="42"/>
      <c r="AZ196" s="42"/>
      <c r="BB196" s="45">
        <v>1</v>
      </c>
      <c r="BC196" s="41">
        <f>IF(AND((AV196/I196)&lt;2,BB196=1),(I196*2)-AV196,0)</f>
        <v>0.80000000000000071</v>
      </c>
      <c r="BD196" s="41">
        <f>IF(AND((AV196/I196)&lt;3,BB196=2),(I196*3)-AV196,0)</f>
        <v>0</v>
      </c>
      <c r="BG196" s="18"/>
      <c r="BH196" s="18">
        <v>9</v>
      </c>
      <c r="BI196" s="18">
        <v>0</v>
      </c>
      <c r="BJ196" s="18">
        <v>0</v>
      </c>
      <c r="BK196" s="18">
        <v>0</v>
      </c>
      <c r="BL196" s="18">
        <v>0</v>
      </c>
      <c r="BM196" s="55">
        <f>SUM(AV196:AX196)+SUM(BC196:BD196)+SUM(BE196:BF196)+BG196</f>
        <v>16</v>
      </c>
      <c r="BN196" s="55"/>
      <c r="BO196" s="55"/>
      <c r="BP196" s="55"/>
      <c r="BQ196" s="55"/>
      <c r="BR196" s="55"/>
      <c r="BS196" s="55"/>
      <c r="BT196" s="55"/>
      <c r="BU196" s="55"/>
      <c r="BV196" s="55"/>
      <c r="BW196" s="55"/>
      <c r="BX196" s="55"/>
      <c r="BY196" s="55"/>
    </row>
    <row r="197" spans="2:77" ht="25.5">
      <c r="B197" s="89">
        <v>191</v>
      </c>
      <c r="C197" s="93">
        <v>114</v>
      </c>
      <c r="D197" s="95">
        <v>14</v>
      </c>
      <c r="E197" s="94">
        <v>0.54999999999999993</v>
      </c>
      <c r="F197" s="94">
        <v>0.56458333333333333</v>
      </c>
      <c r="G197" s="93" t="s">
        <v>323</v>
      </c>
      <c r="H197" s="93" t="s">
        <v>478</v>
      </c>
      <c r="I197" s="96">
        <v>8</v>
      </c>
      <c r="J197" s="97" t="s">
        <v>146</v>
      </c>
      <c r="K197" s="98">
        <v>240</v>
      </c>
      <c r="L197" s="109" t="s">
        <v>720</v>
      </c>
      <c r="M197" s="83" t="s">
        <v>863</v>
      </c>
      <c r="N197" s="83">
        <v>21</v>
      </c>
      <c r="O197" s="87" t="s">
        <v>1871</v>
      </c>
      <c r="P197" s="87">
        <v>21</v>
      </c>
      <c r="R197" s="83"/>
      <c r="S197" s="26">
        <v>1127</v>
      </c>
      <c r="T197" s="26" t="s">
        <v>1399</v>
      </c>
      <c r="U197" s="26">
        <v>1135</v>
      </c>
      <c r="V197" s="26" t="s">
        <v>1417</v>
      </c>
      <c r="W197" s="63">
        <v>44816</v>
      </c>
      <c r="X197" s="63">
        <v>45100</v>
      </c>
      <c r="Y197" s="63"/>
      <c r="Z197" s="63"/>
      <c r="AA197" s="26" t="s">
        <v>1112</v>
      </c>
      <c r="AB197" s="23" t="s">
        <v>731</v>
      </c>
      <c r="AC197" s="23"/>
      <c r="AD197" s="23" t="s">
        <v>731</v>
      </c>
      <c r="AE197" s="23"/>
      <c r="AF197" s="23" t="s">
        <v>731</v>
      </c>
      <c r="AG197" s="23" t="s">
        <v>731</v>
      </c>
      <c r="AH197" s="23" t="s">
        <v>731</v>
      </c>
      <c r="AI197" s="23" t="s">
        <v>731</v>
      </c>
      <c r="AJ197" s="23" t="s">
        <v>731</v>
      </c>
      <c r="AK197" s="23" t="s">
        <v>731</v>
      </c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42">
        <v>15.2</v>
      </c>
      <c r="AW197" s="18"/>
      <c r="AY197" s="42"/>
      <c r="AZ197" s="42"/>
      <c r="BB197" s="45">
        <v>1</v>
      </c>
      <c r="BC197" s="41">
        <f>IF(AND((AV197/I197)&lt;2,BB197=1),(I197*2)-AV197,0)</f>
        <v>0.80000000000000071</v>
      </c>
      <c r="BD197" s="41">
        <f>IF(AND((AV197/I197)&lt;3,BB197=2),(I197*3)-AV197,0)</f>
        <v>0</v>
      </c>
      <c r="BG197" s="18"/>
      <c r="BH197" s="18">
        <v>17</v>
      </c>
      <c r="BI197" s="18">
        <v>26</v>
      </c>
      <c r="BJ197" s="18">
        <v>25</v>
      </c>
      <c r="BK197" s="18">
        <v>25</v>
      </c>
      <c r="BL197" s="18">
        <v>25</v>
      </c>
      <c r="BM197" s="55">
        <f>SUM(AV197:AX197)+SUM(BC197:BD197)+SUM(BE197:BF197)+BG197</f>
        <v>16</v>
      </c>
      <c r="BN197" s="55"/>
      <c r="BO197" s="55"/>
      <c r="BP197" s="55"/>
      <c r="BQ197" s="55"/>
      <c r="BR197" s="55"/>
      <c r="BS197" s="55"/>
      <c r="BT197" s="55"/>
      <c r="BU197" s="55"/>
      <c r="BV197" s="55"/>
      <c r="BW197" s="55"/>
      <c r="BX197" s="55"/>
      <c r="BY197" s="55"/>
    </row>
    <row r="198" spans="2:77" ht="22.5">
      <c r="B198" s="89">
        <v>192</v>
      </c>
      <c r="C198" s="93">
        <v>114</v>
      </c>
      <c r="D198" s="95">
        <v>13</v>
      </c>
      <c r="E198" s="94">
        <v>0.56458333333333333</v>
      </c>
      <c r="F198" s="105">
        <v>0.57291666666666663</v>
      </c>
      <c r="G198" s="93" t="s">
        <v>322</v>
      </c>
      <c r="H198" s="93" t="s">
        <v>325</v>
      </c>
      <c r="I198" s="96">
        <v>8</v>
      </c>
      <c r="J198" s="97" t="s">
        <v>146</v>
      </c>
      <c r="K198" s="98">
        <v>67</v>
      </c>
      <c r="L198" s="109" t="s">
        <v>720</v>
      </c>
      <c r="M198" s="83" t="s">
        <v>863</v>
      </c>
      <c r="N198" s="83">
        <v>21</v>
      </c>
      <c r="O198" s="87" t="s">
        <v>1871</v>
      </c>
      <c r="P198" s="87">
        <v>21</v>
      </c>
      <c r="R198" s="83"/>
      <c r="S198" s="26">
        <v>1135</v>
      </c>
      <c r="T198" s="26" t="s">
        <v>1417</v>
      </c>
      <c r="U198" s="26">
        <v>1127</v>
      </c>
      <c r="V198" s="26" t="s">
        <v>1399</v>
      </c>
      <c r="W198" s="63">
        <v>44562</v>
      </c>
      <c r="X198" s="63">
        <v>44815</v>
      </c>
      <c r="Y198" s="63">
        <v>45101</v>
      </c>
      <c r="Z198" s="63">
        <v>45169</v>
      </c>
      <c r="AA198" s="23" t="s">
        <v>1107</v>
      </c>
      <c r="AB198" s="23"/>
      <c r="AC198" s="23" t="s">
        <v>731</v>
      </c>
      <c r="AD198" s="23" t="s">
        <v>731</v>
      </c>
      <c r="AE198" s="23"/>
      <c r="AF198" s="23" t="s">
        <v>731</v>
      </c>
      <c r="AG198" s="23" t="s">
        <v>731</v>
      </c>
      <c r="AH198" s="23" t="s">
        <v>731</v>
      </c>
      <c r="AI198" s="23" t="s">
        <v>731</v>
      </c>
      <c r="AJ198" s="23" t="s">
        <v>731</v>
      </c>
      <c r="AK198" s="23" t="s">
        <v>731</v>
      </c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42">
        <v>15.2</v>
      </c>
      <c r="AW198" s="18"/>
      <c r="AY198" s="42"/>
      <c r="AZ198" s="42"/>
      <c r="BB198" s="45">
        <v>1</v>
      </c>
      <c r="BC198" s="41">
        <f>IF(AND((AV198/I198)&lt;2,BB198=1),(I198*2)-AV198,0)</f>
        <v>0.80000000000000071</v>
      </c>
      <c r="BD198" s="41">
        <f>IF(AND((AV198/I198)&lt;3,BB198=2),(I198*3)-AV198,0)</f>
        <v>0</v>
      </c>
      <c r="BG198" s="18"/>
      <c r="BH198" s="18">
        <v>9</v>
      </c>
      <c r="BI198" s="18">
        <v>0</v>
      </c>
      <c r="BJ198" s="18">
        <v>0</v>
      </c>
      <c r="BK198" s="18">
        <v>0</v>
      </c>
      <c r="BL198" s="18">
        <v>0</v>
      </c>
      <c r="BM198" s="55">
        <f>SUM(AV198:AX198)+SUM(BC198:BD198)+SUM(BE198:BF198)+BG198</f>
        <v>16</v>
      </c>
      <c r="BN198" s="55"/>
      <c r="BO198" s="55"/>
      <c r="BP198" s="55"/>
      <c r="BQ198" s="55"/>
      <c r="BR198" s="55"/>
      <c r="BS198" s="55"/>
      <c r="BT198" s="55"/>
      <c r="BU198" s="55"/>
      <c r="BV198" s="55"/>
      <c r="BW198" s="55"/>
      <c r="BX198" s="55"/>
      <c r="BY198" s="55"/>
    </row>
    <row r="199" spans="2:77" ht="25.5">
      <c r="B199" s="89">
        <v>193</v>
      </c>
      <c r="C199" s="93">
        <v>114</v>
      </c>
      <c r="D199" s="95">
        <v>13</v>
      </c>
      <c r="E199" s="94">
        <v>0.56458333333333333</v>
      </c>
      <c r="F199" s="94">
        <v>0.57499999999999996</v>
      </c>
      <c r="G199" s="93" t="s">
        <v>324</v>
      </c>
      <c r="H199" s="93" t="s">
        <v>478</v>
      </c>
      <c r="I199" s="96">
        <v>10</v>
      </c>
      <c r="J199" s="97" t="s">
        <v>146</v>
      </c>
      <c r="K199" s="98">
        <v>240</v>
      </c>
      <c r="L199" s="109" t="s">
        <v>720</v>
      </c>
      <c r="M199" s="83" t="s">
        <v>863</v>
      </c>
      <c r="N199" s="83">
        <v>21</v>
      </c>
      <c r="O199" s="87" t="s">
        <v>1871</v>
      </c>
      <c r="P199" s="87">
        <v>21</v>
      </c>
      <c r="R199" s="83"/>
      <c r="S199" s="26">
        <v>1135</v>
      </c>
      <c r="T199" s="26" t="s">
        <v>1417</v>
      </c>
      <c r="U199" s="26">
        <v>1136</v>
      </c>
      <c r="V199" s="26" t="s">
        <v>1418</v>
      </c>
      <c r="W199" s="63">
        <v>44816</v>
      </c>
      <c r="X199" s="63">
        <v>45100</v>
      </c>
      <c r="Y199" s="63"/>
      <c r="Z199" s="63"/>
      <c r="AA199" s="26" t="s">
        <v>1112</v>
      </c>
      <c r="AB199" s="23" t="s">
        <v>731</v>
      </c>
      <c r="AC199" s="23"/>
      <c r="AD199" s="23" t="s">
        <v>731</v>
      </c>
      <c r="AE199" s="23"/>
      <c r="AF199" s="23" t="s">
        <v>731</v>
      </c>
      <c r="AG199" s="23" t="s">
        <v>731</v>
      </c>
      <c r="AH199" s="23" t="s">
        <v>731</v>
      </c>
      <c r="AI199" s="23" t="s">
        <v>731</v>
      </c>
      <c r="AJ199" s="23" t="s">
        <v>731</v>
      </c>
      <c r="AK199" s="23" t="s">
        <v>731</v>
      </c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42">
        <v>19</v>
      </c>
      <c r="AW199" s="18"/>
      <c r="AY199" s="42"/>
      <c r="AZ199" s="42"/>
      <c r="BB199" s="45">
        <v>1</v>
      </c>
      <c r="BC199" s="41">
        <f>IF(AND((AV199/I199)&lt;2,BB199=1),(I199*2)-AV199,0)</f>
        <v>1</v>
      </c>
      <c r="BD199" s="41">
        <f>IF(AND((AV199/I199)&lt;3,BB199=2),(I199*3)-AV199,0)</f>
        <v>0</v>
      </c>
      <c r="BG199" s="18"/>
      <c r="BH199" s="18">
        <v>17</v>
      </c>
      <c r="BI199" s="18">
        <v>26</v>
      </c>
      <c r="BJ199" s="18">
        <v>25</v>
      </c>
      <c r="BK199" s="18">
        <v>25</v>
      </c>
      <c r="BL199" s="18">
        <v>25</v>
      </c>
      <c r="BM199" s="55">
        <f>SUM(AV199:AX199)+SUM(BC199:BD199)+SUM(BE199:BF199)+BG199</f>
        <v>20</v>
      </c>
      <c r="BN199" s="55"/>
      <c r="BO199" s="55"/>
      <c r="BP199" s="55"/>
      <c r="BQ199" s="55"/>
      <c r="BR199" s="55"/>
      <c r="BS199" s="55"/>
      <c r="BT199" s="55"/>
      <c r="BU199" s="55"/>
      <c r="BV199" s="55"/>
      <c r="BW199" s="55"/>
      <c r="BX199" s="55"/>
      <c r="BY199" s="55"/>
    </row>
    <row r="200" spans="2:77" ht="25.5">
      <c r="B200" s="89">
        <v>194</v>
      </c>
      <c r="C200" s="106">
        <v>114</v>
      </c>
      <c r="D200" s="123">
        <v>16</v>
      </c>
      <c r="E200" s="94">
        <v>0.58888888888888891</v>
      </c>
      <c r="F200" s="105">
        <v>0.59930555555555554</v>
      </c>
      <c r="G200" s="93" t="s">
        <v>323</v>
      </c>
      <c r="H200" s="93" t="s">
        <v>103</v>
      </c>
      <c r="I200" s="96">
        <v>8</v>
      </c>
      <c r="J200" s="97" t="s">
        <v>146</v>
      </c>
      <c r="K200" s="98">
        <v>174</v>
      </c>
      <c r="L200" s="109" t="s">
        <v>720</v>
      </c>
      <c r="M200" s="83" t="s">
        <v>863</v>
      </c>
      <c r="N200" s="83">
        <v>21</v>
      </c>
      <c r="O200" s="87" t="s">
        <v>1871</v>
      </c>
      <c r="P200" s="87">
        <v>21</v>
      </c>
      <c r="R200" s="83"/>
      <c r="S200" s="26">
        <v>1127</v>
      </c>
      <c r="T200" s="26" t="s">
        <v>1399</v>
      </c>
      <c r="U200" s="26">
        <v>1135</v>
      </c>
      <c r="V200" s="26" t="s">
        <v>1417</v>
      </c>
      <c r="W200" s="62">
        <v>44816</v>
      </c>
      <c r="X200" s="62">
        <v>45086</v>
      </c>
      <c r="Y200" s="62"/>
      <c r="Z200" s="62"/>
      <c r="AA200" s="22" t="s">
        <v>1102</v>
      </c>
      <c r="AB200" s="23"/>
      <c r="AC200" s="23"/>
      <c r="AD200" s="23"/>
      <c r="AE200" s="23" t="s">
        <v>731</v>
      </c>
      <c r="AF200" s="23" t="s">
        <v>731</v>
      </c>
      <c r="AG200" s="23" t="s">
        <v>731</v>
      </c>
      <c r="AH200" s="23" t="s">
        <v>731</v>
      </c>
      <c r="AI200" s="23" t="s">
        <v>731</v>
      </c>
      <c r="AJ200" s="23" t="s">
        <v>731</v>
      </c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42">
        <v>0</v>
      </c>
      <c r="AY200" s="42"/>
      <c r="AZ200" s="42"/>
      <c r="BB200" s="45">
        <v>1</v>
      </c>
      <c r="BC200" s="41">
        <f>IF(AND((AV200/I200)&lt;2,BB200=1),(I200*2)-AV200,0)</f>
        <v>16</v>
      </c>
      <c r="BD200" s="41">
        <f>IF(AND((AV200/I200)&lt;3,BB200=2),(I200*3)-AV200,0)</f>
        <v>0</v>
      </c>
      <c r="BG200" s="18"/>
      <c r="BH200" s="18">
        <v>15</v>
      </c>
      <c r="BI200" s="18">
        <v>20</v>
      </c>
      <c r="BJ200" s="18">
        <v>21</v>
      </c>
      <c r="BK200" s="18">
        <v>15</v>
      </c>
      <c r="BL200" s="18">
        <v>17</v>
      </c>
      <c r="BM200" s="55">
        <f>SUM(AV200:AX200)+SUM(BC200:BD200)+SUM(BE200:BF200)+BG200</f>
        <v>16</v>
      </c>
      <c r="BN200" s="55"/>
      <c r="BO200" s="55"/>
      <c r="BP200" s="55"/>
      <c r="BQ200" s="55"/>
      <c r="BR200" s="55"/>
      <c r="BS200" s="55"/>
      <c r="BT200" s="55"/>
      <c r="BU200" s="55"/>
      <c r="BV200" s="55"/>
      <c r="BW200" s="55"/>
      <c r="BX200" s="55"/>
      <c r="BY200" s="55"/>
    </row>
    <row r="201" spans="2:77" ht="25.5">
      <c r="B201" s="89">
        <v>195</v>
      </c>
      <c r="C201" s="93">
        <v>114</v>
      </c>
      <c r="D201" s="95">
        <v>18</v>
      </c>
      <c r="E201" s="94">
        <v>0.7270833333333333</v>
      </c>
      <c r="F201" s="94">
        <v>0.74791666666666667</v>
      </c>
      <c r="G201" s="93" t="s">
        <v>323</v>
      </c>
      <c r="H201" s="93" t="s">
        <v>478</v>
      </c>
      <c r="I201" s="96">
        <v>8</v>
      </c>
      <c r="J201" s="97" t="s">
        <v>146</v>
      </c>
      <c r="K201" s="98">
        <v>240</v>
      </c>
      <c r="L201" s="109" t="s">
        <v>720</v>
      </c>
      <c r="M201" s="83" t="s">
        <v>863</v>
      </c>
      <c r="N201" s="83">
        <v>21</v>
      </c>
      <c r="O201" s="87" t="s">
        <v>1871</v>
      </c>
      <c r="P201" s="87">
        <v>21</v>
      </c>
      <c r="R201" s="83"/>
      <c r="S201" s="26">
        <v>1127</v>
      </c>
      <c r="T201" s="26" t="s">
        <v>1399</v>
      </c>
      <c r="U201" s="26">
        <v>1135</v>
      </c>
      <c r="V201" s="26" t="s">
        <v>1417</v>
      </c>
      <c r="W201" s="63">
        <v>44816</v>
      </c>
      <c r="X201" s="63">
        <v>45100</v>
      </c>
      <c r="Y201" s="63"/>
      <c r="Z201" s="63"/>
      <c r="AA201" s="26" t="s">
        <v>1112</v>
      </c>
      <c r="AB201" s="23" t="s">
        <v>731</v>
      </c>
      <c r="AC201" s="23"/>
      <c r="AD201" s="23" t="s">
        <v>731</v>
      </c>
      <c r="AE201" s="23"/>
      <c r="AF201" s="23" t="s">
        <v>731</v>
      </c>
      <c r="AG201" s="23" t="s">
        <v>731</v>
      </c>
      <c r="AH201" s="23" t="s">
        <v>731</v>
      </c>
      <c r="AI201" s="23" t="s">
        <v>731</v>
      </c>
      <c r="AJ201" s="23" t="s">
        <v>731</v>
      </c>
      <c r="AK201" s="23" t="s">
        <v>731</v>
      </c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42">
        <v>15.2</v>
      </c>
      <c r="AY201" s="42"/>
      <c r="AZ201" s="42"/>
      <c r="BB201" s="45">
        <v>1</v>
      </c>
      <c r="BC201" s="41">
        <f>IF(AND((AV201/I201)&lt;2,BB201=1),(I201*2)-AV201,0)</f>
        <v>0.80000000000000071</v>
      </c>
      <c r="BD201" s="41">
        <f>IF(AND((AV201/I201)&lt;3,BB201=2),(I201*3)-AV201,0)</f>
        <v>0</v>
      </c>
      <c r="BG201" s="18"/>
      <c r="BH201" s="18">
        <v>17</v>
      </c>
      <c r="BI201" s="18">
        <v>26</v>
      </c>
      <c r="BJ201" s="18">
        <v>25</v>
      </c>
      <c r="BK201" s="18">
        <v>25</v>
      </c>
      <c r="BL201" s="18">
        <v>25</v>
      </c>
      <c r="BM201" s="55">
        <f>SUM(AV201:AX201)+SUM(BC201:BD201)+SUM(BE201:BF201)+BG201</f>
        <v>16</v>
      </c>
      <c r="BN201" s="55"/>
      <c r="BO201" s="55"/>
      <c r="BP201" s="55"/>
      <c r="BQ201" s="55"/>
      <c r="BR201" s="55"/>
      <c r="BS201" s="55"/>
      <c r="BT201" s="55"/>
      <c r="BU201" s="55"/>
      <c r="BV201" s="55"/>
      <c r="BW201" s="55"/>
      <c r="BX201" s="55"/>
      <c r="BY201" s="55"/>
    </row>
    <row r="202" spans="2:77" ht="22.5">
      <c r="B202" s="89">
        <v>196</v>
      </c>
      <c r="C202" s="93">
        <v>114</v>
      </c>
      <c r="D202" s="95">
        <v>18</v>
      </c>
      <c r="E202" s="94">
        <v>0.7270833333333333</v>
      </c>
      <c r="F202" s="94">
        <v>0.74791666666666667</v>
      </c>
      <c r="G202" s="93" t="s">
        <v>323</v>
      </c>
      <c r="H202" s="93" t="s">
        <v>1</v>
      </c>
      <c r="I202" s="96">
        <v>8</v>
      </c>
      <c r="J202" s="97" t="s">
        <v>146</v>
      </c>
      <c r="K202" s="98">
        <v>67</v>
      </c>
      <c r="L202" s="109" t="s">
        <v>720</v>
      </c>
      <c r="M202" s="83" t="s">
        <v>863</v>
      </c>
      <c r="N202" s="83">
        <v>21</v>
      </c>
      <c r="O202" s="87" t="s">
        <v>1871</v>
      </c>
      <c r="P202" s="87">
        <v>21</v>
      </c>
      <c r="R202" s="83"/>
      <c r="S202" s="26">
        <v>1127</v>
      </c>
      <c r="T202" s="26" t="s">
        <v>1399</v>
      </c>
      <c r="U202" s="26">
        <v>1135</v>
      </c>
      <c r="V202" s="26" t="s">
        <v>1417</v>
      </c>
      <c r="W202" s="63">
        <v>44562</v>
      </c>
      <c r="X202" s="63">
        <v>44815</v>
      </c>
      <c r="Y202" s="63">
        <v>45101</v>
      </c>
      <c r="Z202" s="63">
        <v>45169</v>
      </c>
      <c r="AA202" s="23" t="s">
        <v>1107</v>
      </c>
      <c r="AB202" s="23"/>
      <c r="AC202" s="23" t="s">
        <v>731</v>
      </c>
      <c r="AD202" s="23" t="s">
        <v>731</v>
      </c>
      <c r="AE202" s="23"/>
      <c r="AF202" s="23" t="s">
        <v>731</v>
      </c>
      <c r="AG202" s="23" t="s">
        <v>731</v>
      </c>
      <c r="AH202" s="23" t="s">
        <v>731</v>
      </c>
      <c r="AI202" s="23" t="s">
        <v>731</v>
      </c>
      <c r="AJ202" s="23" t="s">
        <v>731</v>
      </c>
      <c r="AK202" s="23" t="s">
        <v>731</v>
      </c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42">
        <v>15.2</v>
      </c>
      <c r="AY202" s="42"/>
      <c r="AZ202" s="42"/>
      <c r="BB202" s="45">
        <v>1</v>
      </c>
      <c r="BC202" s="41">
        <f>IF(AND((AV202/I202)&lt;2,BB202=1),(I202*2)-AV202,0)</f>
        <v>0.80000000000000071</v>
      </c>
      <c r="BD202" s="41">
        <f>IF(AND((AV202/I202)&lt;3,BB202=2),(I202*3)-AV202,0)</f>
        <v>0</v>
      </c>
      <c r="BG202" s="18"/>
      <c r="BH202" s="18">
        <v>9</v>
      </c>
      <c r="BI202" s="18">
        <v>0</v>
      </c>
      <c r="BJ202" s="18">
        <v>0</v>
      </c>
      <c r="BK202" s="18">
        <v>0</v>
      </c>
      <c r="BL202" s="18">
        <v>0</v>
      </c>
      <c r="BM202" s="55">
        <f>SUM(AV202:AX202)+SUM(BC202:BD202)+SUM(BE202:BF202)+BG202</f>
        <v>16</v>
      </c>
      <c r="BN202" s="55"/>
      <c r="BO202" s="55"/>
      <c r="BP202" s="55"/>
      <c r="BQ202" s="55"/>
      <c r="BR202" s="55"/>
      <c r="BS202" s="55"/>
      <c r="BT202" s="55"/>
      <c r="BU202" s="55"/>
      <c r="BV202" s="55"/>
      <c r="BW202" s="55"/>
      <c r="BX202" s="55"/>
      <c r="BY202" s="55"/>
    </row>
    <row r="203" spans="2:77" ht="25.5">
      <c r="B203" s="89">
        <v>197</v>
      </c>
      <c r="C203" s="93">
        <v>114</v>
      </c>
      <c r="D203" s="95">
        <v>17</v>
      </c>
      <c r="E203" s="94">
        <v>0.75</v>
      </c>
      <c r="F203" s="94">
        <v>0.76041666666666663</v>
      </c>
      <c r="G203" s="93" t="s">
        <v>322</v>
      </c>
      <c r="H203" s="93" t="s">
        <v>478</v>
      </c>
      <c r="I203" s="96">
        <v>8</v>
      </c>
      <c r="J203" s="97" t="s">
        <v>146</v>
      </c>
      <c r="K203" s="98">
        <v>240</v>
      </c>
      <c r="L203" s="109" t="s">
        <v>720</v>
      </c>
      <c r="M203" s="83" t="s">
        <v>863</v>
      </c>
      <c r="N203" s="83">
        <v>21</v>
      </c>
      <c r="O203" s="87" t="s">
        <v>1871</v>
      </c>
      <c r="P203" s="87">
        <v>21</v>
      </c>
      <c r="R203" s="83"/>
      <c r="S203" s="26">
        <v>1135</v>
      </c>
      <c r="T203" s="26" t="s">
        <v>1417</v>
      </c>
      <c r="U203" s="26">
        <v>1127</v>
      </c>
      <c r="V203" s="26" t="s">
        <v>1399</v>
      </c>
      <c r="W203" s="63">
        <v>44816</v>
      </c>
      <c r="X203" s="63">
        <v>45100</v>
      </c>
      <c r="Y203" s="63"/>
      <c r="Z203" s="63"/>
      <c r="AA203" s="26" t="s">
        <v>1112</v>
      </c>
      <c r="AB203" s="23" t="s">
        <v>731</v>
      </c>
      <c r="AC203" s="23"/>
      <c r="AD203" s="23" t="s">
        <v>731</v>
      </c>
      <c r="AE203" s="23"/>
      <c r="AF203" s="23" t="s">
        <v>731</v>
      </c>
      <c r="AG203" s="23" t="s">
        <v>731</v>
      </c>
      <c r="AH203" s="23" t="s">
        <v>731</v>
      </c>
      <c r="AI203" s="23" t="s">
        <v>731</v>
      </c>
      <c r="AJ203" s="23" t="s">
        <v>731</v>
      </c>
      <c r="AK203" s="23" t="s">
        <v>731</v>
      </c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42">
        <v>15.2</v>
      </c>
      <c r="AY203" s="42"/>
      <c r="AZ203" s="42"/>
      <c r="BB203" s="45">
        <v>1</v>
      </c>
      <c r="BC203" s="41">
        <f>IF(AND((AV203/I203)&lt;2,BB203=1),(I203*2)-AV203,0)</f>
        <v>0.80000000000000071</v>
      </c>
      <c r="BD203" s="41">
        <f>IF(AND((AV203/I203)&lt;3,BB203=2),(I203*3)-AV203,0)</f>
        <v>0</v>
      </c>
      <c r="BG203" s="18"/>
      <c r="BH203" s="18">
        <v>17</v>
      </c>
      <c r="BI203" s="18">
        <v>26</v>
      </c>
      <c r="BJ203" s="18">
        <v>25</v>
      </c>
      <c r="BK203" s="18">
        <v>25</v>
      </c>
      <c r="BL203" s="18">
        <v>25</v>
      </c>
      <c r="BM203" s="55">
        <f>SUM(AV203:AX203)+SUM(BC203:BD203)+SUM(BE203:BF203)+BG203</f>
        <v>16</v>
      </c>
      <c r="BN203" s="55"/>
      <c r="BO203" s="55"/>
      <c r="BP203" s="55"/>
      <c r="BQ203" s="55"/>
      <c r="BR203" s="55"/>
      <c r="BS203" s="55"/>
      <c r="BT203" s="55"/>
      <c r="BU203" s="55"/>
      <c r="BV203" s="55"/>
      <c r="BW203" s="55"/>
      <c r="BX203" s="55"/>
      <c r="BY203" s="55"/>
    </row>
    <row r="204" spans="2:77" ht="22.5">
      <c r="B204" s="89">
        <v>198</v>
      </c>
      <c r="C204" s="93">
        <v>114</v>
      </c>
      <c r="D204" s="95">
        <v>17</v>
      </c>
      <c r="E204" s="94">
        <v>0.75</v>
      </c>
      <c r="F204" s="105">
        <v>0.76041666666666663</v>
      </c>
      <c r="G204" s="93" t="s">
        <v>322</v>
      </c>
      <c r="H204" s="93" t="s">
        <v>1</v>
      </c>
      <c r="I204" s="96">
        <v>8</v>
      </c>
      <c r="J204" s="97" t="s">
        <v>146</v>
      </c>
      <c r="K204" s="98">
        <v>67</v>
      </c>
      <c r="L204" s="109" t="s">
        <v>720</v>
      </c>
      <c r="M204" s="83" t="s">
        <v>863</v>
      </c>
      <c r="N204" s="83">
        <v>21</v>
      </c>
      <c r="O204" s="87" t="s">
        <v>1871</v>
      </c>
      <c r="P204" s="87">
        <v>21</v>
      </c>
      <c r="R204" s="83"/>
      <c r="S204" s="26">
        <v>1135</v>
      </c>
      <c r="T204" s="26" t="s">
        <v>1417</v>
      </c>
      <c r="U204" s="26">
        <v>1127</v>
      </c>
      <c r="V204" s="26" t="s">
        <v>1399</v>
      </c>
      <c r="W204" s="63">
        <v>44562</v>
      </c>
      <c r="X204" s="63">
        <v>44815</v>
      </c>
      <c r="Y204" s="63">
        <v>45101</v>
      </c>
      <c r="Z204" s="63">
        <v>45169</v>
      </c>
      <c r="AA204" s="23" t="s">
        <v>1107</v>
      </c>
      <c r="AB204" s="23"/>
      <c r="AC204" s="23" t="s">
        <v>731</v>
      </c>
      <c r="AD204" s="23" t="s">
        <v>731</v>
      </c>
      <c r="AE204" s="23"/>
      <c r="AF204" s="23" t="s">
        <v>731</v>
      </c>
      <c r="AG204" s="23" t="s">
        <v>731</v>
      </c>
      <c r="AH204" s="23" t="s">
        <v>731</v>
      </c>
      <c r="AI204" s="23" t="s">
        <v>731</v>
      </c>
      <c r="AJ204" s="23" t="s">
        <v>731</v>
      </c>
      <c r="AK204" s="23" t="s">
        <v>731</v>
      </c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42">
        <v>15.2</v>
      </c>
      <c r="AY204" s="42"/>
      <c r="AZ204" s="42"/>
      <c r="BB204" s="45">
        <v>1</v>
      </c>
      <c r="BC204" s="41">
        <f>IF(AND((AV204/I204)&lt;2,BB204=1),(I204*2)-AV204,0)</f>
        <v>0.80000000000000071</v>
      </c>
      <c r="BD204" s="41">
        <f>IF(AND((AV204/I204)&lt;3,BB204=2),(I204*3)-AV204,0)</f>
        <v>0</v>
      </c>
      <c r="BG204" s="18"/>
      <c r="BH204" s="18">
        <v>9</v>
      </c>
      <c r="BI204" s="18">
        <v>0</v>
      </c>
      <c r="BJ204" s="18">
        <v>0</v>
      </c>
      <c r="BK204" s="18">
        <v>0</v>
      </c>
      <c r="BL204" s="18">
        <v>0</v>
      </c>
      <c r="BM204" s="55">
        <f>SUM(AV204:AX204)+SUM(BC204:BD204)+SUM(BE204:BF204)+BG204</f>
        <v>16</v>
      </c>
      <c r="BN204" s="55"/>
      <c r="BO204" s="55"/>
      <c r="BP204" s="55"/>
      <c r="BQ204" s="55"/>
      <c r="BR204" s="55"/>
      <c r="BS204" s="55"/>
      <c r="BT204" s="55"/>
      <c r="BU204" s="55"/>
      <c r="BV204" s="55"/>
      <c r="BW204" s="55"/>
      <c r="BX204" s="55"/>
      <c r="BY204" s="55"/>
    </row>
    <row r="205" spans="2:77" ht="45">
      <c r="B205" s="89">
        <v>199</v>
      </c>
      <c r="C205" s="93">
        <v>115</v>
      </c>
      <c r="D205" s="93">
        <v>381</v>
      </c>
      <c r="E205" s="94">
        <v>0.28819444444444448</v>
      </c>
      <c r="F205" s="94">
        <v>0.30902777777777779</v>
      </c>
      <c r="G205" s="103" t="s">
        <v>386</v>
      </c>
      <c r="H205" s="93" t="s">
        <v>97</v>
      </c>
      <c r="I205" s="96">
        <v>15</v>
      </c>
      <c r="J205" s="97" t="s">
        <v>101</v>
      </c>
      <c r="K205" s="98">
        <v>208</v>
      </c>
      <c r="L205" s="109" t="s">
        <v>728</v>
      </c>
      <c r="M205" s="83" t="s">
        <v>834</v>
      </c>
      <c r="N205" s="83">
        <v>30</v>
      </c>
      <c r="O205" s="87" t="s">
        <v>1870</v>
      </c>
      <c r="P205" s="87">
        <v>20</v>
      </c>
      <c r="Q205" s="83" t="s">
        <v>1233</v>
      </c>
      <c r="R205" s="87">
        <v>23</v>
      </c>
      <c r="S205" s="26">
        <v>1111</v>
      </c>
      <c r="T205" s="26" t="s">
        <v>1394</v>
      </c>
      <c r="U205" s="26" t="s">
        <v>1419</v>
      </c>
      <c r="V205" s="26" t="s">
        <v>1420</v>
      </c>
      <c r="W205" s="62">
        <v>44816</v>
      </c>
      <c r="X205" s="62">
        <v>45086</v>
      </c>
      <c r="Y205" s="62"/>
      <c r="Z205" s="62"/>
      <c r="AA205" s="22" t="s">
        <v>1106</v>
      </c>
      <c r="AB205" s="23"/>
      <c r="AC205" s="23"/>
      <c r="AD205" s="23"/>
      <c r="AE205" s="23" t="s">
        <v>731</v>
      </c>
      <c r="AF205" s="23" t="s">
        <v>731</v>
      </c>
      <c r="AG205" s="23" t="s">
        <v>731</v>
      </c>
      <c r="AH205" s="23" t="s">
        <v>731</v>
      </c>
      <c r="AI205" s="23" t="s">
        <v>731</v>
      </c>
      <c r="AJ205" s="23" t="s">
        <v>731</v>
      </c>
      <c r="AK205" s="23" t="s">
        <v>731</v>
      </c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42">
        <v>104.8</v>
      </c>
      <c r="AY205" s="42"/>
      <c r="AZ205" s="42"/>
      <c r="BB205" s="43">
        <v>2</v>
      </c>
      <c r="BC205" s="41">
        <f>IF(AND((AV205/I205)&lt;2,BB205=1),(I205*2)-AV205,0)</f>
        <v>0</v>
      </c>
      <c r="BD205" s="41">
        <f>IF(AND((AV205/I205)&lt;3,BB205=2),(I205*3)-AV205,0)</f>
        <v>0</v>
      </c>
      <c r="BG205" s="41">
        <f>IF((AV205+AW205+AX205)&lt;20,(20-(AV205+AW205+AX205)),0)</f>
        <v>0</v>
      </c>
      <c r="BH205" s="18">
        <v>17</v>
      </c>
      <c r="BI205" s="18">
        <v>25</v>
      </c>
      <c r="BJ205" s="18">
        <v>25</v>
      </c>
      <c r="BK205" s="18">
        <v>18</v>
      </c>
      <c r="BL205" s="18">
        <v>20</v>
      </c>
      <c r="BM205" s="55">
        <f>SUM(AV205:AX205)+SUM(BC205:BD205)+SUM(BE205:BF205)+BG205</f>
        <v>104.8</v>
      </c>
      <c r="BN205" s="55"/>
      <c r="BO205" s="55"/>
      <c r="BP205" s="55"/>
      <c r="BQ205" s="55"/>
      <c r="BR205" s="55"/>
      <c r="BS205" s="55"/>
      <c r="BT205" s="55"/>
      <c r="BU205" s="55"/>
      <c r="BV205" s="55"/>
      <c r="BW205" s="55"/>
      <c r="BX205" s="55"/>
      <c r="BY205" s="55"/>
    </row>
    <row r="206" spans="2:77" ht="45">
      <c r="B206" s="89">
        <v>200</v>
      </c>
      <c r="C206" s="93">
        <v>115</v>
      </c>
      <c r="D206" s="93">
        <v>436</v>
      </c>
      <c r="E206" s="105">
        <v>0.2951388888888889</v>
      </c>
      <c r="F206" s="94">
        <v>0.31111111111111112</v>
      </c>
      <c r="G206" s="103" t="s">
        <v>1051</v>
      </c>
      <c r="H206" s="93" t="s">
        <v>103</v>
      </c>
      <c r="I206" s="96">
        <v>7</v>
      </c>
      <c r="J206" s="97">
        <v>29</v>
      </c>
      <c r="K206" s="98">
        <v>174</v>
      </c>
      <c r="L206" s="109" t="s">
        <v>728</v>
      </c>
      <c r="M206" s="83" t="s">
        <v>791</v>
      </c>
      <c r="N206" s="83">
        <v>35</v>
      </c>
      <c r="O206" s="87" t="s">
        <v>1870</v>
      </c>
      <c r="P206" s="87">
        <v>20</v>
      </c>
      <c r="Q206" s="83" t="s">
        <v>1233</v>
      </c>
      <c r="R206" s="87">
        <v>23</v>
      </c>
      <c r="S206" s="26" t="s">
        <v>1421</v>
      </c>
      <c r="T206" s="26" t="s">
        <v>1422</v>
      </c>
      <c r="U206" s="26" t="s">
        <v>1423</v>
      </c>
      <c r="V206" s="26" t="s">
        <v>1424</v>
      </c>
      <c r="W206" s="62">
        <v>44816</v>
      </c>
      <c r="X206" s="62">
        <v>45086</v>
      </c>
      <c r="Y206" s="62"/>
      <c r="Z206" s="62"/>
      <c r="AA206" s="22" t="s">
        <v>1102</v>
      </c>
      <c r="AB206" s="23"/>
      <c r="AC206" s="23"/>
      <c r="AD206" s="23"/>
      <c r="AE206" s="23" t="s">
        <v>731</v>
      </c>
      <c r="AF206" s="23" t="s">
        <v>731</v>
      </c>
      <c r="AG206" s="23" t="s">
        <v>731</v>
      </c>
      <c r="AH206" s="23" t="s">
        <v>731</v>
      </c>
      <c r="AI206" s="23" t="s">
        <v>731</v>
      </c>
      <c r="AJ206" s="23" t="s">
        <v>731</v>
      </c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42">
        <f>30+27.13</f>
        <v>57.129999999999995</v>
      </c>
      <c r="AY206" s="42"/>
      <c r="AZ206" s="42"/>
      <c r="BB206" s="45">
        <v>1</v>
      </c>
      <c r="BC206" s="41">
        <f>IF(AND((AV206/I206)&lt;2,BB206=1),(I206*2)-AV206,0)</f>
        <v>0</v>
      </c>
      <c r="BD206" s="41">
        <f>IF(AND((AV206/I206)&lt;3,BB206=2),(I206*3)-AV206,0)</f>
        <v>0</v>
      </c>
      <c r="BG206" s="18"/>
      <c r="BH206" s="18">
        <v>15</v>
      </c>
      <c r="BI206" s="18">
        <v>20</v>
      </c>
      <c r="BJ206" s="18">
        <v>21</v>
      </c>
      <c r="BK206" s="18">
        <v>15</v>
      </c>
      <c r="BL206" s="18">
        <v>17</v>
      </c>
      <c r="BM206" s="55">
        <f>SUM(AV206:AX206)+SUM(BC206:BD206)+SUM(BE206:BF206)+BG206</f>
        <v>57.129999999999995</v>
      </c>
      <c r="BN206" s="55"/>
      <c r="BO206" s="55"/>
      <c r="BP206" s="55"/>
      <c r="BQ206" s="55"/>
      <c r="BR206" s="55"/>
      <c r="BS206" s="55"/>
      <c r="BT206" s="55"/>
      <c r="BU206" s="55"/>
      <c r="BV206" s="55"/>
      <c r="BW206" s="55"/>
      <c r="BX206" s="55"/>
      <c r="BY206" s="55"/>
    </row>
    <row r="207" spans="2:77" ht="45">
      <c r="B207" s="89">
        <v>201</v>
      </c>
      <c r="C207" s="101">
        <v>115</v>
      </c>
      <c r="D207" s="101">
        <v>434</v>
      </c>
      <c r="E207" s="102">
        <v>0.35625000000000001</v>
      </c>
      <c r="F207" s="102">
        <v>0.37291666666666662</v>
      </c>
      <c r="G207" s="103" t="s">
        <v>684</v>
      </c>
      <c r="H207" s="93" t="s">
        <v>478</v>
      </c>
      <c r="I207" s="101">
        <v>9</v>
      </c>
      <c r="J207" s="104">
        <v>19</v>
      </c>
      <c r="K207" s="98">
        <v>240</v>
      </c>
      <c r="L207" s="109" t="s">
        <v>728</v>
      </c>
      <c r="M207" s="83" t="s">
        <v>791</v>
      </c>
      <c r="N207" s="83">
        <v>35</v>
      </c>
      <c r="O207" s="87" t="s">
        <v>1870</v>
      </c>
      <c r="P207" s="87">
        <v>20</v>
      </c>
      <c r="Q207" s="83" t="s">
        <v>1233</v>
      </c>
      <c r="R207" s="87">
        <v>23</v>
      </c>
      <c r="S207" s="26" t="s">
        <v>1425</v>
      </c>
      <c r="T207" s="26" t="s">
        <v>1426</v>
      </c>
      <c r="U207" s="26" t="s">
        <v>1427</v>
      </c>
      <c r="V207" s="26" t="s">
        <v>1428</v>
      </c>
      <c r="W207" s="63">
        <v>44816</v>
      </c>
      <c r="X207" s="63">
        <v>45100</v>
      </c>
      <c r="Y207" s="63"/>
      <c r="Z207" s="63"/>
      <c r="AA207" s="22" t="s">
        <v>1112</v>
      </c>
      <c r="AB207" s="22" t="s">
        <v>731</v>
      </c>
      <c r="AC207" s="22"/>
      <c r="AD207" s="22" t="s">
        <v>731</v>
      </c>
      <c r="AE207" s="22"/>
      <c r="AF207" s="22" t="s">
        <v>731</v>
      </c>
      <c r="AG207" s="22" t="s">
        <v>731</v>
      </c>
      <c r="AH207" s="22" t="s">
        <v>731</v>
      </c>
      <c r="AI207" s="22" t="s">
        <v>731</v>
      </c>
      <c r="AJ207" s="22" t="s">
        <v>731</v>
      </c>
      <c r="AK207" s="22" t="s">
        <v>731</v>
      </c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18"/>
      <c r="AW207" s="41">
        <f>2.2*9</f>
        <v>19.8</v>
      </c>
      <c r="BB207" s="45">
        <v>1</v>
      </c>
      <c r="BD207" s="41"/>
      <c r="BE207" s="41">
        <f>IF(AND((AW207/I207)&lt;2,BB207=1),(I207*2)-AW207,0)</f>
        <v>0</v>
      </c>
      <c r="BF207" s="41">
        <f>IF(AND((AW207/I207)&lt;3,BB207=2),(I207*3)-AW207,0)</f>
        <v>0</v>
      </c>
      <c r="BG207" s="18"/>
      <c r="BH207" s="18">
        <v>17</v>
      </c>
      <c r="BI207" s="18">
        <v>26</v>
      </c>
      <c r="BJ207" s="18">
        <v>25</v>
      </c>
      <c r="BK207" s="18">
        <v>25</v>
      </c>
      <c r="BL207" s="18">
        <v>25</v>
      </c>
      <c r="BM207" s="55">
        <f>SUM(AV207:AX207)+SUM(BC207:BD207)+SUM(BE207:BF207)+BG207</f>
        <v>19.8</v>
      </c>
      <c r="BN207" s="55"/>
      <c r="BO207" s="55"/>
      <c r="BP207" s="55"/>
      <c r="BQ207" s="55"/>
      <c r="BR207" s="55"/>
      <c r="BS207" s="55"/>
      <c r="BT207" s="55"/>
      <c r="BU207" s="55"/>
      <c r="BV207" s="55"/>
      <c r="BW207" s="55"/>
      <c r="BX207" s="55"/>
      <c r="BY207" s="55"/>
    </row>
    <row r="208" spans="2:77" ht="45">
      <c r="B208" s="89">
        <v>202</v>
      </c>
      <c r="C208" s="101">
        <v>115</v>
      </c>
      <c r="D208" s="101">
        <v>431</v>
      </c>
      <c r="E208" s="102">
        <v>0.47222222222222227</v>
      </c>
      <c r="F208" s="108">
        <v>0.50347222222222221</v>
      </c>
      <c r="G208" s="103" t="s">
        <v>79</v>
      </c>
      <c r="H208" s="93" t="s">
        <v>478</v>
      </c>
      <c r="I208" s="101">
        <f>8+11</f>
        <v>19</v>
      </c>
      <c r="J208" s="104">
        <v>19</v>
      </c>
      <c r="K208" s="98">
        <v>240</v>
      </c>
      <c r="L208" s="109" t="s">
        <v>729</v>
      </c>
      <c r="M208" s="87" t="s">
        <v>793</v>
      </c>
      <c r="N208" s="87">
        <v>21</v>
      </c>
      <c r="O208" s="87" t="s">
        <v>1872</v>
      </c>
      <c r="P208" s="87">
        <v>23</v>
      </c>
      <c r="R208" s="87"/>
      <c r="S208" s="26" t="s">
        <v>1419</v>
      </c>
      <c r="T208" s="26" t="s">
        <v>1420</v>
      </c>
      <c r="U208" s="26">
        <v>1106</v>
      </c>
      <c r="V208" s="26" t="s">
        <v>1429</v>
      </c>
      <c r="W208" s="63">
        <v>44816</v>
      </c>
      <c r="X208" s="63">
        <v>45100</v>
      </c>
      <c r="Y208" s="63"/>
      <c r="Z208" s="63"/>
      <c r="AA208" s="26" t="s">
        <v>1112</v>
      </c>
      <c r="AB208" s="23" t="s">
        <v>731</v>
      </c>
      <c r="AC208" s="23"/>
      <c r="AD208" s="23" t="s">
        <v>731</v>
      </c>
      <c r="AE208" s="23"/>
      <c r="AF208" s="23" t="s">
        <v>731</v>
      </c>
      <c r="AG208" s="23" t="s">
        <v>731</v>
      </c>
      <c r="AH208" s="23" t="s">
        <v>731</v>
      </c>
      <c r="AI208" s="23" t="s">
        <v>731</v>
      </c>
      <c r="AJ208" s="23" t="s">
        <v>731</v>
      </c>
      <c r="AK208" s="23" t="s">
        <v>731</v>
      </c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Y208" s="19" t="s">
        <v>729</v>
      </c>
      <c r="AZ208" s="19"/>
      <c r="BB208" s="45">
        <v>1</v>
      </c>
      <c r="BD208" s="41"/>
      <c r="BG208" s="18"/>
      <c r="BH208" s="18">
        <v>17</v>
      </c>
      <c r="BI208" s="18">
        <v>26</v>
      </c>
      <c r="BJ208" s="18">
        <v>25</v>
      </c>
      <c r="BK208" s="18">
        <v>25</v>
      </c>
      <c r="BL208" s="18">
        <v>25</v>
      </c>
      <c r="BM208" s="55">
        <f>SUM(AV208:AX208)+SUM(BC208:BD208)+SUM(BE208:BF208)+BG208</f>
        <v>0</v>
      </c>
      <c r="BN208" s="55"/>
      <c r="BO208" s="55"/>
      <c r="BP208" s="55"/>
      <c r="BQ208" s="55"/>
      <c r="BR208" s="55"/>
      <c r="BS208" s="55"/>
      <c r="BT208" s="55"/>
      <c r="BU208" s="55"/>
      <c r="BV208" s="55"/>
      <c r="BW208" s="55"/>
      <c r="BX208" s="55"/>
      <c r="BY208" s="55"/>
    </row>
    <row r="209" spans="2:77" ht="45">
      <c r="B209" s="89">
        <v>203</v>
      </c>
      <c r="C209" s="93">
        <v>115</v>
      </c>
      <c r="D209" s="93">
        <v>489</v>
      </c>
      <c r="E209" s="94">
        <v>0.52222222222222225</v>
      </c>
      <c r="F209" s="94">
        <v>0.53263888888888888</v>
      </c>
      <c r="G209" s="103" t="s">
        <v>385</v>
      </c>
      <c r="H209" s="93" t="s">
        <v>253</v>
      </c>
      <c r="I209" s="96">
        <v>7</v>
      </c>
      <c r="J209" s="97" t="s">
        <v>101</v>
      </c>
      <c r="K209" s="98">
        <v>34</v>
      </c>
      <c r="L209" s="109" t="s">
        <v>728</v>
      </c>
      <c r="M209" s="83" t="s">
        <v>1074</v>
      </c>
      <c r="N209" s="83" t="s">
        <v>1075</v>
      </c>
      <c r="O209" s="87" t="s">
        <v>791</v>
      </c>
      <c r="P209" s="87">
        <v>35</v>
      </c>
      <c r="Q209" s="83" t="s">
        <v>1233</v>
      </c>
      <c r="R209" s="87">
        <v>23</v>
      </c>
      <c r="S209" s="26" t="s">
        <v>1419</v>
      </c>
      <c r="T209" s="26" t="s">
        <v>1420</v>
      </c>
      <c r="U209" s="26">
        <v>1100</v>
      </c>
      <c r="V209" s="26" t="s">
        <v>1393</v>
      </c>
      <c r="W209" s="62">
        <v>44816</v>
      </c>
      <c r="X209" s="62">
        <v>45086</v>
      </c>
      <c r="Y209" s="62"/>
      <c r="Z209" s="62"/>
      <c r="AA209" s="23" t="s">
        <v>1111</v>
      </c>
      <c r="AB209" s="23"/>
      <c r="AC209" s="23"/>
      <c r="AD209" s="23"/>
      <c r="AE209" s="23" t="s">
        <v>731</v>
      </c>
      <c r="AF209" s="23"/>
      <c r="AG209" s="23"/>
      <c r="AH209" s="23"/>
      <c r="AI209" s="23"/>
      <c r="AJ209" s="23"/>
      <c r="AK209" s="23" t="s">
        <v>731</v>
      </c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42">
        <v>64.010000000000005</v>
      </c>
      <c r="AY209" s="42"/>
      <c r="AZ209" s="42"/>
      <c r="BB209" s="43">
        <v>2</v>
      </c>
      <c r="BC209" s="41">
        <f>IF(AND((AV209/I209)&lt;2,BB209=1),(I209*2)-AV209,0)</f>
        <v>0</v>
      </c>
      <c r="BD209" s="41">
        <f>IF(AND((AV209/I209)&lt;3,BB209=2),(I209*3)-AV209,0)</f>
        <v>0</v>
      </c>
      <c r="BG209" s="18"/>
      <c r="BH209" s="18">
        <v>2</v>
      </c>
      <c r="BI209" s="18">
        <v>5</v>
      </c>
      <c r="BJ209" s="18">
        <v>4</v>
      </c>
      <c r="BK209" s="18">
        <v>3</v>
      </c>
      <c r="BL209" s="18">
        <v>3</v>
      </c>
      <c r="BM209" s="55">
        <f>SUM(AV209:AX209)+SUM(BC209:BD209)+SUM(BE209:BF209)+BG209</f>
        <v>64.010000000000005</v>
      </c>
      <c r="BN209" s="55"/>
      <c r="BO209" s="55"/>
      <c r="BP209" s="55"/>
      <c r="BQ209" s="55"/>
      <c r="BR209" s="55"/>
      <c r="BS209" s="55"/>
      <c r="BT209" s="55"/>
      <c r="BU209" s="55"/>
      <c r="BV209" s="55"/>
      <c r="BW209" s="55"/>
      <c r="BX209" s="55"/>
      <c r="BY209" s="55"/>
    </row>
    <row r="210" spans="2:77" ht="45">
      <c r="B210" s="89">
        <v>204</v>
      </c>
      <c r="C210" s="93">
        <v>115</v>
      </c>
      <c r="D210" s="93">
        <v>435</v>
      </c>
      <c r="E210" s="94">
        <v>0.55555555555555558</v>
      </c>
      <c r="F210" s="94">
        <v>0.56597222222222221</v>
      </c>
      <c r="G210" s="103" t="s">
        <v>385</v>
      </c>
      <c r="H210" s="93" t="s">
        <v>103</v>
      </c>
      <c r="I210" s="96">
        <v>7</v>
      </c>
      <c r="J210" s="97" t="s">
        <v>101</v>
      </c>
      <c r="K210" s="98">
        <v>174</v>
      </c>
      <c r="L210" s="109" t="s">
        <v>728</v>
      </c>
      <c r="M210" s="83" t="s">
        <v>1074</v>
      </c>
      <c r="N210" s="83" t="s">
        <v>1075</v>
      </c>
      <c r="O210" s="87" t="s">
        <v>791</v>
      </c>
      <c r="P210" s="87">
        <v>35</v>
      </c>
      <c r="Q210" s="83" t="s">
        <v>1233</v>
      </c>
      <c r="R210" s="87">
        <v>23</v>
      </c>
      <c r="S210" s="26" t="s">
        <v>1419</v>
      </c>
      <c r="T210" s="26" t="s">
        <v>1420</v>
      </c>
      <c r="U210" s="26">
        <v>1100</v>
      </c>
      <c r="V210" s="26" t="s">
        <v>1393</v>
      </c>
      <c r="W210" s="62">
        <v>44816</v>
      </c>
      <c r="X210" s="62">
        <v>45086</v>
      </c>
      <c r="Y210" s="62"/>
      <c r="Z210" s="62"/>
      <c r="AA210" s="22" t="s">
        <v>1102</v>
      </c>
      <c r="AB210" s="23"/>
      <c r="AC210" s="23"/>
      <c r="AD210" s="23"/>
      <c r="AE210" s="23" t="s">
        <v>731</v>
      </c>
      <c r="AF210" s="23" t="s">
        <v>731</v>
      </c>
      <c r="AG210" s="23" t="s">
        <v>731</v>
      </c>
      <c r="AH210" s="23" t="s">
        <v>731</v>
      </c>
      <c r="AI210" s="23" t="s">
        <v>731</v>
      </c>
      <c r="AJ210" s="23" t="s">
        <v>731</v>
      </c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42">
        <v>64.010000000000005</v>
      </c>
      <c r="AY210" s="42"/>
      <c r="AZ210" s="42"/>
      <c r="BB210" s="43">
        <v>2</v>
      </c>
      <c r="BC210" s="41">
        <f>IF(AND((AV210/I210)&lt;2,BB210=1),(I210*2)-AV210,0)</f>
        <v>0</v>
      </c>
      <c r="BD210" s="41">
        <f>IF(AND((AV210/I210)&lt;3,BB210=2),(I210*3)-AV210,0)</f>
        <v>0</v>
      </c>
      <c r="BG210" s="18"/>
      <c r="BH210" s="18">
        <v>15</v>
      </c>
      <c r="BI210" s="18">
        <v>20</v>
      </c>
      <c r="BJ210" s="18">
        <v>21</v>
      </c>
      <c r="BK210" s="18">
        <v>15</v>
      </c>
      <c r="BL210" s="18">
        <v>17</v>
      </c>
      <c r="BM210" s="55">
        <f>SUM(AV210:AX210)+SUM(BC210:BD210)+SUM(BE210:BF210)+BG210</f>
        <v>64.010000000000005</v>
      </c>
      <c r="BN210" s="55"/>
      <c r="BO210" s="55"/>
      <c r="BP210" s="55"/>
      <c r="BQ210" s="55"/>
      <c r="BR210" s="55"/>
      <c r="BS210" s="55"/>
      <c r="BT210" s="55"/>
      <c r="BU210" s="55"/>
      <c r="BV210" s="55"/>
      <c r="BW210" s="55"/>
      <c r="BX210" s="55"/>
      <c r="BY210" s="55"/>
    </row>
    <row r="211" spans="2:77" ht="45">
      <c r="B211" s="89">
        <v>205</v>
      </c>
      <c r="C211" s="93">
        <v>116</v>
      </c>
      <c r="D211" s="93">
        <v>215</v>
      </c>
      <c r="E211" s="94">
        <v>0.28402777777777777</v>
      </c>
      <c r="F211" s="94">
        <v>0.29444444444444445</v>
      </c>
      <c r="G211" s="93" t="s">
        <v>552</v>
      </c>
      <c r="H211" s="93" t="s">
        <v>103</v>
      </c>
      <c r="I211" s="96">
        <v>5</v>
      </c>
      <c r="J211" s="97">
        <v>29</v>
      </c>
      <c r="K211" s="98">
        <v>174</v>
      </c>
      <c r="L211" s="109" t="s">
        <v>728</v>
      </c>
      <c r="M211" s="83" t="s">
        <v>791</v>
      </c>
      <c r="N211" s="83">
        <v>35</v>
      </c>
      <c r="O211" s="87" t="s">
        <v>1870</v>
      </c>
      <c r="P211" s="87">
        <v>20</v>
      </c>
      <c r="Q211" s="83" t="s">
        <v>1233</v>
      </c>
      <c r="R211" s="87">
        <v>23</v>
      </c>
      <c r="S211" s="26">
        <v>1105</v>
      </c>
      <c r="T211" s="26" t="s">
        <v>1430</v>
      </c>
      <c r="U211" s="26" t="s">
        <v>1431</v>
      </c>
      <c r="V211" s="26" t="s">
        <v>1432</v>
      </c>
      <c r="W211" s="62">
        <v>44816</v>
      </c>
      <c r="X211" s="62">
        <v>45086</v>
      </c>
      <c r="Y211" s="62"/>
      <c r="Z211" s="62"/>
      <c r="AA211" s="22" t="s">
        <v>1102</v>
      </c>
      <c r="AB211" s="23"/>
      <c r="AC211" s="23"/>
      <c r="AD211" s="23"/>
      <c r="AE211" s="23" t="s">
        <v>731</v>
      </c>
      <c r="AF211" s="23" t="s">
        <v>731</v>
      </c>
      <c r="AG211" s="23" t="s">
        <v>731</v>
      </c>
      <c r="AH211" s="23" t="s">
        <v>731</v>
      </c>
      <c r="AI211" s="23" t="s">
        <v>731</v>
      </c>
      <c r="AJ211" s="23" t="s">
        <v>731</v>
      </c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42">
        <v>30</v>
      </c>
      <c r="AY211" s="42"/>
      <c r="AZ211" s="42"/>
      <c r="BB211" s="45">
        <v>1</v>
      </c>
      <c r="BC211" s="41">
        <f>IF(AND((AV211/I211)&lt;2,BB211=1),(I211*2)-AV211,0)</f>
        <v>0</v>
      </c>
      <c r="BD211" s="41">
        <f>IF(AND((AV211/I211)&lt;3,BB211=2),(I211*3)-AV211,0)</f>
        <v>0</v>
      </c>
      <c r="BG211" s="41">
        <f>IF((AV211+AW211+AX211)&lt;20,(20-(AV211+AW211+AX211)),0)</f>
        <v>0</v>
      </c>
      <c r="BH211" s="18">
        <v>15</v>
      </c>
      <c r="BI211" s="18">
        <v>20</v>
      </c>
      <c r="BJ211" s="18">
        <v>21</v>
      </c>
      <c r="BK211" s="18">
        <v>15</v>
      </c>
      <c r="BL211" s="18">
        <v>17</v>
      </c>
      <c r="BM211" s="55">
        <f>SUM(AV211:AX211)+SUM(BC211:BD211)+SUM(BE211:BF211)+BG211</f>
        <v>30</v>
      </c>
      <c r="BN211" s="55"/>
      <c r="BO211" s="55"/>
      <c r="BP211" s="55"/>
      <c r="BQ211" s="55"/>
      <c r="BR211" s="55"/>
      <c r="BS211" s="55"/>
      <c r="BT211" s="55"/>
      <c r="BU211" s="55"/>
      <c r="BV211" s="55"/>
      <c r="BW211" s="55"/>
      <c r="BX211" s="55"/>
      <c r="BY211" s="55"/>
    </row>
    <row r="212" spans="2:77" ht="45">
      <c r="B212" s="89">
        <v>206</v>
      </c>
      <c r="C212" s="101">
        <v>116</v>
      </c>
      <c r="D212" s="101">
        <v>217</v>
      </c>
      <c r="E212" s="102">
        <v>0.375</v>
      </c>
      <c r="F212" s="108">
        <v>0.40972222222222227</v>
      </c>
      <c r="G212" s="117" t="s">
        <v>1032</v>
      </c>
      <c r="H212" s="103" t="s">
        <v>267</v>
      </c>
      <c r="I212" s="101">
        <v>22</v>
      </c>
      <c r="J212" s="104">
        <v>19</v>
      </c>
      <c r="K212" s="98">
        <v>55</v>
      </c>
      <c r="L212" s="109" t="s">
        <v>729</v>
      </c>
      <c r="M212" s="87" t="s">
        <v>793</v>
      </c>
      <c r="N212" s="87">
        <v>21</v>
      </c>
      <c r="O212" s="87" t="s">
        <v>1872</v>
      </c>
      <c r="P212" s="87">
        <v>23</v>
      </c>
      <c r="R212" s="87"/>
      <c r="S212" s="26">
        <v>1106</v>
      </c>
      <c r="T212" s="26" t="s">
        <v>1429</v>
      </c>
      <c r="U212" s="26">
        <v>1</v>
      </c>
      <c r="V212" s="26" t="s">
        <v>1312</v>
      </c>
      <c r="W212" s="63">
        <v>44562</v>
      </c>
      <c r="X212" s="63">
        <v>44815</v>
      </c>
      <c r="Y212" s="63">
        <v>45101</v>
      </c>
      <c r="Z212" s="63">
        <v>45169</v>
      </c>
      <c r="AA212" s="22" t="s">
        <v>1109</v>
      </c>
      <c r="AB212" s="23"/>
      <c r="AC212" s="23" t="s">
        <v>731</v>
      </c>
      <c r="AD212" s="23" t="s">
        <v>731</v>
      </c>
      <c r="AE212" s="23"/>
      <c r="AF212" s="23" t="s">
        <v>731</v>
      </c>
      <c r="AG212" s="23" t="s">
        <v>731</v>
      </c>
      <c r="AH212" s="23" t="s">
        <v>731</v>
      </c>
      <c r="AI212" s="23" t="s">
        <v>731</v>
      </c>
      <c r="AJ212" s="23" t="s">
        <v>731</v>
      </c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Y212" s="19" t="s">
        <v>729</v>
      </c>
      <c r="AZ212" s="19"/>
      <c r="BB212" s="45">
        <v>1</v>
      </c>
      <c r="BD212" s="41"/>
      <c r="BG212" s="18"/>
      <c r="BH212" s="18">
        <v>7</v>
      </c>
      <c r="BI212" s="18">
        <v>0</v>
      </c>
      <c r="BJ212" s="18">
        <v>0</v>
      </c>
      <c r="BK212" s="18">
        <v>0</v>
      </c>
      <c r="BL212" s="18">
        <v>0</v>
      </c>
      <c r="BM212" s="55">
        <f>SUM(AV212:AX212)+SUM(BC212:BD212)+SUM(BE212:BF212)+BG212</f>
        <v>0</v>
      </c>
      <c r="BN212" s="55"/>
      <c r="BO212" s="55"/>
      <c r="BP212" s="55"/>
      <c r="BQ212" s="55"/>
      <c r="BR212" s="55"/>
      <c r="BS212" s="55"/>
      <c r="BT212" s="55"/>
      <c r="BU212" s="55"/>
      <c r="BV212" s="55"/>
      <c r="BW212" s="55"/>
      <c r="BX212" s="55"/>
      <c r="BY212" s="55"/>
    </row>
    <row r="213" spans="2:77" ht="45">
      <c r="B213" s="89">
        <v>207</v>
      </c>
      <c r="C213" s="93">
        <v>116</v>
      </c>
      <c r="D213" s="93">
        <v>240</v>
      </c>
      <c r="E213" s="94">
        <v>0.44444444444444442</v>
      </c>
      <c r="F213" s="94">
        <v>0.46527777777777773</v>
      </c>
      <c r="G213" s="93" t="s">
        <v>77</v>
      </c>
      <c r="H213" s="93" t="s">
        <v>423</v>
      </c>
      <c r="I213" s="96">
        <v>11</v>
      </c>
      <c r="J213" s="97" t="s">
        <v>188</v>
      </c>
      <c r="K213" s="98">
        <v>67</v>
      </c>
      <c r="L213" s="109" t="s">
        <v>728</v>
      </c>
      <c r="M213" s="83" t="s">
        <v>791</v>
      </c>
      <c r="N213" s="83">
        <v>35</v>
      </c>
      <c r="O213" s="87" t="s">
        <v>1233</v>
      </c>
      <c r="P213" s="87">
        <v>23</v>
      </c>
      <c r="Q213" s="83" t="s">
        <v>1234</v>
      </c>
      <c r="R213" s="84">
        <v>21</v>
      </c>
      <c r="S213" s="26">
        <v>1100</v>
      </c>
      <c r="T213" s="26" t="s">
        <v>1393</v>
      </c>
      <c r="U213" s="26">
        <v>1106</v>
      </c>
      <c r="V213" s="26" t="s">
        <v>1429</v>
      </c>
      <c r="W213" s="63">
        <v>44562</v>
      </c>
      <c r="X213" s="63">
        <v>44815</v>
      </c>
      <c r="Y213" s="63">
        <v>45101</v>
      </c>
      <c r="Z213" s="63">
        <v>45169</v>
      </c>
      <c r="AA213" s="23" t="s">
        <v>1107</v>
      </c>
      <c r="AB213" s="23"/>
      <c r="AC213" s="23" t="s">
        <v>731</v>
      </c>
      <c r="AD213" s="23" t="s">
        <v>731</v>
      </c>
      <c r="AE213" s="23"/>
      <c r="AF213" s="23" t="s">
        <v>731</v>
      </c>
      <c r="AG213" s="23" t="s">
        <v>731</v>
      </c>
      <c r="AH213" s="23" t="s">
        <v>731</v>
      </c>
      <c r="AI213" s="23" t="s">
        <v>731</v>
      </c>
      <c r="AJ213" s="23" t="s">
        <v>731</v>
      </c>
      <c r="AK213" s="23" t="s">
        <v>731</v>
      </c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42">
        <v>24.2</v>
      </c>
      <c r="AY213" s="42"/>
      <c r="AZ213" s="42"/>
      <c r="BB213" s="45">
        <v>1</v>
      </c>
      <c r="BC213" s="41">
        <f>IF(AND((AV213/I213)&lt;2,BB213=1),(I213*2)-AV213,0)</f>
        <v>0</v>
      </c>
      <c r="BD213" s="41">
        <f>IF(AND((AV213/I213)&lt;3,BB213=2),(I213*3)-AV213,0)</f>
        <v>0</v>
      </c>
      <c r="BG213" s="18"/>
      <c r="BH213" s="18">
        <v>9</v>
      </c>
      <c r="BI213" s="18">
        <v>0</v>
      </c>
      <c r="BJ213" s="18">
        <v>0</v>
      </c>
      <c r="BK213" s="18">
        <v>0</v>
      </c>
      <c r="BL213" s="18">
        <v>0</v>
      </c>
      <c r="BM213" s="55">
        <f>SUM(AV213:AX213)+SUM(BC213:BD213)+SUM(BE213:BF213)+BG213</f>
        <v>24.2</v>
      </c>
      <c r="BN213" s="55"/>
      <c r="BO213" s="55"/>
      <c r="BP213" s="55"/>
      <c r="BQ213" s="55"/>
      <c r="BR213" s="55"/>
      <c r="BS213" s="55"/>
      <c r="BT213" s="55"/>
      <c r="BU213" s="55"/>
      <c r="BV213" s="55"/>
      <c r="BW213" s="55"/>
      <c r="BX213" s="55"/>
      <c r="BY213" s="55"/>
    </row>
    <row r="214" spans="2:77" ht="45">
      <c r="B214" s="89">
        <v>208</v>
      </c>
      <c r="C214" s="93">
        <v>116</v>
      </c>
      <c r="D214" s="93">
        <v>327</v>
      </c>
      <c r="E214" s="94">
        <v>0.46875</v>
      </c>
      <c r="F214" s="94">
        <v>0.4826388888888889</v>
      </c>
      <c r="G214" s="93" t="s">
        <v>78</v>
      </c>
      <c r="H214" s="93" t="s">
        <v>423</v>
      </c>
      <c r="I214" s="96">
        <v>9</v>
      </c>
      <c r="J214" s="97" t="s">
        <v>188</v>
      </c>
      <c r="K214" s="98">
        <v>67</v>
      </c>
      <c r="L214" s="109" t="s">
        <v>728</v>
      </c>
      <c r="M214" s="83" t="s">
        <v>791</v>
      </c>
      <c r="N214" s="83">
        <v>35</v>
      </c>
      <c r="O214" s="87" t="s">
        <v>1233</v>
      </c>
      <c r="P214" s="87">
        <v>23</v>
      </c>
      <c r="Q214" s="83" t="s">
        <v>1234</v>
      </c>
      <c r="R214" s="84">
        <v>21</v>
      </c>
      <c r="S214" s="26">
        <v>1106</v>
      </c>
      <c r="T214" s="26" t="s">
        <v>1429</v>
      </c>
      <c r="U214" s="26">
        <v>1100</v>
      </c>
      <c r="V214" s="26" t="s">
        <v>1393</v>
      </c>
      <c r="W214" s="63">
        <v>44562</v>
      </c>
      <c r="X214" s="63">
        <v>44815</v>
      </c>
      <c r="Y214" s="63">
        <v>45101</v>
      </c>
      <c r="Z214" s="63">
        <v>45169</v>
      </c>
      <c r="AA214" s="23" t="s">
        <v>1107</v>
      </c>
      <c r="AB214" s="23"/>
      <c r="AC214" s="23" t="s">
        <v>731</v>
      </c>
      <c r="AD214" s="23" t="s">
        <v>731</v>
      </c>
      <c r="AE214" s="23"/>
      <c r="AF214" s="23" t="s">
        <v>731</v>
      </c>
      <c r="AG214" s="23" t="s">
        <v>731</v>
      </c>
      <c r="AH214" s="23" t="s">
        <v>731</v>
      </c>
      <c r="AI214" s="23" t="s">
        <v>731</v>
      </c>
      <c r="AJ214" s="23" t="s">
        <v>731</v>
      </c>
      <c r="AK214" s="23" t="s">
        <v>731</v>
      </c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42">
        <v>19.8</v>
      </c>
      <c r="AY214" s="42"/>
      <c r="AZ214" s="42"/>
      <c r="BB214" s="45">
        <v>1</v>
      </c>
      <c r="BC214" s="41">
        <f>IF(AND((AV214/I214)&lt;2,BB214=1),(I214*2)-AV214,0)</f>
        <v>0</v>
      </c>
      <c r="BD214" s="41">
        <f>IF(AND((AV214/I214)&lt;3,BB214=2),(I214*3)-AV214,0)</f>
        <v>0</v>
      </c>
      <c r="BG214" s="18"/>
      <c r="BH214" s="18">
        <v>9</v>
      </c>
      <c r="BI214" s="18">
        <v>0</v>
      </c>
      <c r="BJ214" s="18">
        <v>0</v>
      </c>
      <c r="BK214" s="18">
        <v>0</v>
      </c>
      <c r="BL214" s="18">
        <v>0</v>
      </c>
      <c r="BM214" s="55">
        <f>SUM(AV214:AX214)+SUM(BC214:BD214)+SUM(BE214:BF214)+BG214</f>
        <v>19.8</v>
      </c>
      <c r="BN214" s="55"/>
      <c r="BO214" s="55"/>
      <c r="BP214" s="55"/>
      <c r="BQ214" s="55"/>
      <c r="BR214" s="55"/>
      <c r="BS214" s="55"/>
      <c r="BT214" s="55"/>
      <c r="BU214" s="55"/>
      <c r="BV214" s="55"/>
      <c r="BW214" s="55"/>
      <c r="BX214" s="55"/>
      <c r="BY214" s="55"/>
    </row>
    <row r="215" spans="2:77" ht="45">
      <c r="B215" s="89">
        <v>209</v>
      </c>
      <c r="C215" s="101">
        <v>116</v>
      </c>
      <c r="D215" s="101">
        <v>242</v>
      </c>
      <c r="E215" s="102">
        <v>0.48333333333333334</v>
      </c>
      <c r="F215" s="102">
        <v>0.50347222222222221</v>
      </c>
      <c r="G215" s="103" t="s">
        <v>77</v>
      </c>
      <c r="H215" s="103" t="s">
        <v>1</v>
      </c>
      <c r="I215" s="101">
        <v>11</v>
      </c>
      <c r="J215" s="104">
        <v>30</v>
      </c>
      <c r="K215" s="98">
        <v>67</v>
      </c>
      <c r="L215" s="109" t="s">
        <v>728</v>
      </c>
      <c r="M215" s="83" t="s">
        <v>791</v>
      </c>
      <c r="N215" s="83">
        <v>35</v>
      </c>
      <c r="O215" s="87" t="s">
        <v>1233</v>
      </c>
      <c r="P215" s="87">
        <v>23</v>
      </c>
      <c r="Q215" s="83" t="s">
        <v>1234</v>
      </c>
      <c r="R215" s="84">
        <v>21</v>
      </c>
      <c r="S215" s="26">
        <v>1100</v>
      </c>
      <c r="T215" s="26" t="s">
        <v>1393</v>
      </c>
      <c r="U215" s="26">
        <v>1106</v>
      </c>
      <c r="V215" s="26" t="s">
        <v>1429</v>
      </c>
      <c r="W215" s="63">
        <v>44562</v>
      </c>
      <c r="X215" s="63">
        <v>44815</v>
      </c>
      <c r="Y215" s="63">
        <v>45101</v>
      </c>
      <c r="Z215" s="63">
        <v>45169</v>
      </c>
      <c r="AA215" s="23" t="s">
        <v>1107</v>
      </c>
      <c r="AB215" s="23"/>
      <c r="AC215" s="23" t="s">
        <v>731</v>
      </c>
      <c r="AD215" s="23" t="s">
        <v>731</v>
      </c>
      <c r="AE215" s="23"/>
      <c r="AF215" s="23" t="s">
        <v>731</v>
      </c>
      <c r="AG215" s="23" t="s">
        <v>731</v>
      </c>
      <c r="AH215" s="23" t="s">
        <v>731</v>
      </c>
      <c r="AI215" s="23" t="s">
        <v>731</v>
      </c>
      <c r="AJ215" s="23" t="s">
        <v>731</v>
      </c>
      <c r="AK215" s="23" t="s">
        <v>731</v>
      </c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50">
        <v>0</v>
      </c>
      <c r="AY215" s="41"/>
      <c r="AZ215" s="41"/>
      <c r="BB215" s="45">
        <v>1</v>
      </c>
      <c r="BC215" s="41">
        <f>IF(AND((AV215/I215)&lt;2,BB215=1),(I215*2)-AV215,0)</f>
        <v>22</v>
      </c>
      <c r="BD215" s="41">
        <f>IF(AND((AV215/I215)&lt;3,BB215=2),(I215*3)-AV215,0)</f>
        <v>0</v>
      </c>
      <c r="BG215" s="18"/>
      <c r="BH215" s="18">
        <v>9</v>
      </c>
      <c r="BI215" s="18">
        <v>0</v>
      </c>
      <c r="BJ215" s="18">
        <v>0</v>
      </c>
      <c r="BK215" s="18">
        <v>0</v>
      </c>
      <c r="BL215" s="18">
        <v>0</v>
      </c>
      <c r="BM215" s="55">
        <f>SUM(AV215:AX215)+SUM(BC215:BD215)+SUM(BE215:BF215)+BG215</f>
        <v>22</v>
      </c>
      <c r="BN215" s="55"/>
      <c r="BO215" s="55"/>
      <c r="BP215" s="55"/>
      <c r="BQ215" s="55"/>
      <c r="BR215" s="55"/>
      <c r="BS215" s="55"/>
      <c r="BT215" s="55"/>
      <c r="BU215" s="55"/>
      <c r="BV215" s="55"/>
      <c r="BW215" s="55"/>
      <c r="BX215" s="55"/>
      <c r="BY215" s="55"/>
    </row>
    <row r="216" spans="2:77" ht="45">
      <c r="B216" s="89">
        <v>210</v>
      </c>
      <c r="C216" s="101">
        <v>116</v>
      </c>
      <c r="D216" s="101">
        <v>117</v>
      </c>
      <c r="E216" s="102">
        <v>0.69444444444444453</v>
      </c>
      <c r="F216" s="102">
        <v>0.70833333333333337</v>
      </c>
      <c r="G216" s="103" t="s">
        <v>78</v>
      </c>
      <c r="H216" s="103" t="s">
        <v>267</v>
      </c>
      <c r="I216" s="101">
        <v>11</v>
      </c>
      <c r="J216" s="104">
        <v>19</v>
      </c>
      <c r="K216" s="98">
        <v>55</v>
      </c>
      <c r="L216" s="109" t="s">
        <v>729</v>
      </c>
      <c r="M216" s="87" t="s">
        <v>793</v>
      </c>
      <c r="N216" s="87">
        <v>21</v>
      </c>
      <c r="O216" s="87" t="s">
        <v>1872</v>
      </c>
      <c r="P216" s="87">
        <v>23</v>
      </c>
      <c r="R216" s="87"/>
      <c r="S216" s="26">
        <v>1106</v>
      </c>
      <c r="T216" s="26" t="s">
        <v>1429</v>
      </c>
      <c r="U216" s="26">
        <v>1100</v>
      </c>
      <c r="V216" s="26" t="s">
        <v>1393</v>
      </c>
      <c r="W216" s="63">
        <v>44562</v>
      </c>
      <c r="X216" s="63">
        <v>44815</v>
      </c>
      <c r="Y216" s="63">
        <v>45101</v>
      </c>
      <c r="Z216" s="63">
        <v>45169</v>
      </c>
      <c r="AA216" s="22" t="s">
        <v>1109</v>
      </c>
      <c r="AB216" s="23"/>
      <c r="AC216" s="23" t="s">
        <v>731</v>
      </c>
      <c r="AD216" s="23" t="s">
        <v>731</v>
      </c>
      <c r="AE216" s="23"/>
      <c r="AF216" s="23" t="s">
        <v>731</v>
      </c>
      <c r="AG216" s="23" t="s">
        <v>731</v>
      </c>
      <c r="AH216" s="23" t="s">
        <v>731</v>
      </c>
      <c r="AI216" s="23" t="s">
        <v>731</v>
      </c>
      <c r="AJ216" s="23" t="s">
        <v>731</v>
      </c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Y216" s="19" t="s">
        <v>729</v>
      </c>
      <c r="AZ216" s="19"/>
      <c r="BB216" s="45">
        <v>1</v>
      </c>
      <c r="BD216" s="41"/>
      <c r="BG216" s="18"/>
      <c r="BH216" s="18">
        <v>7</v>
      </c>
      <c r="BI216" s="18">
        <v>0</v>
      </c>
      <c r="BJ216" s="18">
        <v>0</v>
      </c>
      <c r="BK216" s="18">
        <v>0</v>
      </c>
      <c r="BL216" s="18">
        <v>0</v>
      </c>
      <c r="BM216" s="55">
        <f>SUM(AV216:AX216)+SUM(BC216:BD216)+SUM(BE216:BF216)+BG216</f>
        <v>0</v>
      </c>
      <c r="BN216" s="55"/>
      <c r="BO216" s="55"/>
      <c r="BP216" s="55"/>
      <c r="BQ216" s="55"/>
      <c r="BR216" s="55"/>
      <c r="BS216" s="55"/>
      <c r="BT216" s="55"/>
      <c r="BU216" s="55"/>
      <c r="BV216" s="55"/>
      <c r="BW216" s="55"/>
      <c r="BX216" s="55"/>
      <c r="BY216" s="55"/>
    </row>
    <row r="217" spans="2:77" ht="45">
      <c r="B217" s="89">
        <v>211</v>
      </c>
      <c r="C217" s="101">
        <v>116</v>
      </c>
      <c r="D217" s="101">
        <v>246</v>
      </c>
      <c r="E217" s="102">
        <v>0.70833333333333337</v>
      </c>
      <c r="F217" s="102">
        <v>0.72916666666666663</v>
      </c>
      <c r="G217" s="103" t="s">
        <v>77</v>
      </c>
      <c r="H217" s="103" t="s">
        <v>267</v>
      </c>
      <c r="I217" s="101">
        <v>11</v>
      </c>
      <c r="J217" s="104">
        <v>19</v>
      </c>
      <c r="K217" s="98">
        <v>55</v>
      </c>
      <c r="L217" s="109" t="s">
        <v>729</v>
      </c>
      <c r="M217" s="87" t="s">
        <v>793</v>
      </c>
      <c r="N217" s="87">
        <v>21</v>
      </c>
      <c r="O217" s="87" t="s">
        <v>1872</v>
      </c>
      <c r="P217" s="87">
        <v>23</v>
      </c>
      <c r="R217" s="87"/>
      <c r="S217" s="26">
        <v>1100</v>
      </c>
      <c r="T217" s="26" t="s">
        <v>1393</v>
      </c>
      <c r="U217" s="26">
        <v>1106</v>
      </c>
      <c r="V217" s="26" t="s">
        <v>1429</v>
      </c>
      <c r="W217" s="63">
        <v>44562</v>
      </c>
      <c r="X217" s="63">
        <v>44815</v>
      </c>
      <c r="Y217" s="63">
        <v>45101</v>
      </c>
      <c r="Z217" s="63">
        <v>45169</v>
      </c>
      <c r="AA217" s="22" t="s">
        <v>1109</v>
      </c>
      <c r="AB217" s="23"/>
      <c r="AC217" s="23" t="s">
        <v>731</v>
      </c>
      <c r="AD217" s="23" t="s">
        <v>731</v>
      </c>
      <c r="AE217" s="23"/>
      <c r="AF217" s="23" t="s">
        <v>731</v>
      </c>
      <c r="AG217" s="23" t="s">
        <v>731</v>
      </c>
      <c r="AH217" s="23" t="s">
        <v>731</v>
      </c>
      <c r="AI217" s="23" t="s">
        <v>731</v>
      </c>
      <c r="AJ217" s="23" t="s">
        <v>731</v>
      </c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Y217" s="19" t="s">
        <v>729</v>
      </c>
      <c r="AZ217" s="19"/>
      <c r="BB217" s="45">
        <v>1</v>
      </c>
      <c r="BD217" s="41"/>
      <c r="BG217" s="18"/>
      <c r="BH217" s="18">
        <v>7</v>
      </c>
      <c r="BI217" s="18">
        <v>0</v>
      </c>
      <c r="BJ217" s="18">
        <v>0</v>
      </c>
      <c r="BK217" s="18">
        <v>0</v>
      </c>
      <c r="BL217" s="18">
        <v>0</v>
      </c>
      <c r="BM217" s="55">
        <f>SUM(AV217:AX217)+SUM(BC217:BD217)+SUM(BE217:BF217)+BG217</f>
        <v>0</v>
      </c>
      <c r="BN217" s="55"/>
      <c r="BO217" s="55"/>
      <c r="BP217" s="55"/>
      <c r="BQ217" s="55"/>
      <c r="BR217" s="55"/>
      <c r="BS217" s="55"/>
      <c r="BT217" s="55"/>
      <c r="BU217" s="55"/>
      <c r="BV217" s="55"/>
      <c r="BW217" s="55"/>
      <c r="BX217" s="55"/>
      <c r="BY217" s="55"/>
    </row>
    <row r="218" spans="2:77" ht="45">
      <c r="B218" s="89">
        <v>212</v>
      </c>
      <c r="C218" s="101">
        <v>116</v>
      </c>
      <c r="D218" s="101">
        <v>236</v>
      </c>
      <c r="E218" s="108">
        <v>0.75069444444444444</v>
      </c>
      <c r="F218" s="102">
        <v>0.77083333333333337</v>
      </c>
      <c r="G218" s="103" t="s">
        <v>77</v>
      </c>
      <c r="H218" s="93" t="s">
        <v>155</v>
      </c>
      <c r="I218" s="101">
        <v>11</v>
      </c>
      <c r="J218" s="104">
        <v>19</v>
      </c>
      <c r="K218" s="98">
        <v>252</v>
      </c>
      <c r="L218" s="109" t="s">
        <v>729</v>
      </c>
      <c r="M218" s="87" t="s">
        <v>793</v>
      </c>
      <c r="N218" s="87">
        <v>21</v>
      </c>
      <c r="O218" s="87" t="s">
        <v>1872</v>
      </c>
      <c r="P218" s="87">
        <v>23</v>
      </c>
      <c r="R218" s="87"/>
      <c r="S218" s="26">
        <v>1100</v>
      </c>
      <c r="T218" s="26" t="s">
        <v>1393</v>
      </c>
      <c r="U218" s="26">
        <v>1106</v>
      </c>
      <c r="V218" s="26" t="s">
        <v>1429</v>
      </c>
      <c r="W218" s="62">
        <v>44805</v>
      </c>
      <c r="X218" s="62">
        <v>45169</v>
      </c>
      <c r="Y218" s="62"/>
      <c r="Z218" s="62"/>
      <c r="AA218" s="22" t="s">
        <v>1101</v>
      </c>
      <c r="AB218" s="23" t="s">
        <v>731</v>
      </c>
      <c r="AC218" s="23" t="s">
        <v>731</v>
      </c>
      <c r="AD218" s="23" t="s">
        <v>731</v>
      </c>
      <c r="AE218" s="23"/>
      <c r="AF218" s="23" t="s">
        <v>731</v>
      </c>
      <c r="AG218" s="23" t="s">
        <v>731</v>
      </c>
      <c r="AH218" s="23" t="s">
        <v>731</v>
      </c>
      <c r="AI218" s="23" t="s">
        <v>731</v>
      </c>
      <c r="AJ218" s="23" t="s">
        <v>731</v>
      </c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Y218" s="19" t="s">
        <v>729</v>
      </c>
      <c r="AZ218" s="19"/>
      <c r="BB218" s="45">
        <v>1</v>
      </c>
      <c r="BD218" s="41"/>
      <c r="BG218" s="18"/>
      <c r="BH218" s="18">
        <v>22</v>
      </c>
      <c r="BI218" s="18">
        <v>21</v>
      </c>
      <c r="BJ218" s="18">
        <v>21</v>
      </c>
      <c r="BK218" s="18">
        <v>20</v>
      </c>
      <c r="BL218" s="18">
        <v>21</v>
      </c>
      <c r="BM218" s="55">
        <f>SUM(AV218:AX218)+SUM(BC218:BD218)+SUM(BE218:BF218)+BG218</f>
        <v>0</v>
      </c>
      <c r="BN218" s="55"/>
      <c r="BO218" s="55"/>
      <c r="BP218" s="55"/>
      <c r="BQ218" s="55"/>
      <c r="BR218" s="55"/>
      <c r="BS218" s="55"/>
      <c r="BT218" s="55"/>
      <c r="BU218" s="55"/>
      <c r="BV218" s="55"/>
      <c r="BW218" s="55"/>
      <c r="BX218" s="55"/>
      <c r="BY218" s="55"/>
    </row>
    <row r="219" spans="2:77" ht="45">
      <c r="B219" s="89">
        <v>213</v>
      </c>
      <c r="C219" s="101">
        <v>116</v>
      </c>
      <c r="D219" s="101">
        <v>123</v>
      </c>
      <c r="E219" s="102">
        <v>0.77430555555555547</v>
      </c>
      <c r="F219" s="108">
        <v>0.78749999999999998</v>
      </c>
      <c r="G219" s="103" t="s">
        <v>78</v>
      </c>
      <c r="H219" s="93" t="s">
        <v>155</v>
      </c>
      <c r="I219" s="101">
        <v>11</v>
      </c>
      <c r="J219" s="104">
        <v>19</v>
      </c>
      <c r="K219" s="98">
        <v>252</v>
      </c>
      <c r="L219" s="109" t="s">
        <v>729</v>
      </c>
      <c r="M219" s="87" t="s">
        <v>793</v>
      </c>
      <c r="N219" s="87">
        <v>21</v>
      </c>
      <c r="O219" s="87" t="s">
        <v>1872</v>
      </c>
      <c r="P219" s="87">
        <v>23</v>
      </c>
      <c r="R219" s="87"/>
      <c r="S219" s="26">
        <v>1106</v>
      </c>
      <c r="T219" s="26" t="s">
        <v>1429</v>
      </c>
      <c r="U219" s="26">
        <v>1100</v>
      </c>
      <c r="V219" s="26" t="s">
        <v>1393</v>
      </c>
      <c r="W219" s="62">
        <v>44805</v>
      </c>
      <c r="X219" s="62">
        <v>45169</v>
      </c>
      <c r="Y219" s="62"/>
      <c r="Z219" s="62"/>
      <c r="AA219" s="22" t="s">
        <v>1101</v>
      </c>
      <c r="AB219" s="23" t="s">
        <v>731</v>
      </c>
      <c r="AC219" s="23" t="s">
        <v>731</v>
      </c>
      <c r="AD219" s="23" t="s">
        <v>731</v>
      </c>
      <c r="AE219" s="23"/>
      <c r="AF219" s="23" t="s">
        <v>731</v>
      </c>
      <c r="AG219" s="23" t="s">
        <v>731</v>
      </c>
      <c r="AH219" s="23" t="s">
        <v>731</v>
      </c>
      <c r="AI219" s="23" t="s">
        <v>731</v>
      </c>
      <c r="AJ219" s="23" t="s">
        <v>731</v>
      </c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Y219" s="19" t="s">
        <v>729</v>
      </c>
      <c r="AZ219" s="19"/>
      <c r="BB219" s="45">
        <v>1</v>
      </c>
      <c r="BD219" s="41"/>
      <c r="BG219" s="18"/>
      <c r="BH219" s="18">
        <v>22</v>
      </c>
      <c r="BI219" s="18">
        <v>21</v>
      </c>
      <c r="BJ219" s="18">
        <v>21</v>
      </c>
      <c r="BK219" s="18">
        <v>20</v>
      </c>
      <c r="BL219" s="18">
        <v>21</v>
      </c>
      <c r="BM219" s="55">
        <f>SUM(AV219:AX219)+SUM(BC219:BD219)+SUM(BE219:BF219)+BG219</f>
        <v>0</v>
      </c>
      <c r="BN219" s="55"/>
      <c r="BO219" s="55"/>
      <c r="BP219" s="55"/>
      <c r="BQ219" s="55"/>
      <c r="BR219" s="55"/>
      <c r="BS219" s="55"/>
      <c r="BT219" s="55"/>
      <c r="BU219" s="55"/>
      <c r="BV219" s="55"/>
      <c r="BW219" s="55"/>
      <c r="BX219" s="55"/>
      <c r="BY219" s="55"/>
    </row>
    <row r="220" spans="2:77" ht="45">
      <c r="B220" s="89">
        <v>214</v>
      </c>
      <c r="C220" s="101">
        <v>116</v>
      </c>
      <c r="D220" s="101">
        <v>248</v>
      </c>
      <c r="E220" s="108">
        <v>0.82708333333333339</v>
      </c>
      <c r="F220" s="102">
        <v>0.84722222222222221</v>
      </c>
      <c r="G220" s="103" t="s">
        <v>77</v>
      </c>
      <c r="H220" s="103" t="s">
        <v>18</v>
      </c>
      <c r="I220" s="101">
        <v>11</v>
      </c>
      <c r="J220" s="104">
        <v>19</v>
      </c>
      <c r="K220" s="98">
        <v>304</v>
      </c>
      <c r="L220" s="109" t="s">
        <v>729</v>
      </c>
      <c r="M220" s="87" t="s">
        <v>793</v>
      </c>
      <c r="N220" s="87">
        <v>21</v>
      </c>
      <c r="O220" s="87" t="s">
        <v>1872</v>
      </c>
      <c r="P220" s="87">
        <v>23</v>
      </c>
      <c r="R220" s="87"/>
      <c r="S220" s="26">
        <v>1100</v>
      </c>
      <c r="T220" s="26" t="s">
        <v>1393</v>
      </c>
      <c r="U220" s="26">
        <v>1106</v>
      </c>
      <c r="V220" s="26" t="s">
        <v>1429</v>
      </c>
      <c r="W220" s="62">
        <v>44805</v>
      </c>
      <c r="X220" s="62">
        <v>45169</v>
      </c>
      <c r="Y220" s="62"/>
      <c r="Z220" s="62"/>
      <c r="AA220" s="23" t="s">
        <v>1113</v>
      </c>
      <c r="AB220" s="23" t="s">
        <v>731</v>
      </c>
      <c r="AC220" s="23" t="s">
        <v>731</v>
      </c>
      <c r="AD220" s="23" t="s">
        <v>731</v>
      </c>
      <c r="AE220" s="23"/>
      <c r="AF220" s="23" t="s">
        <v>731</v>
      </c>
      <c r="AG220" s="23" t="s">
        <v>731</v>
      </c>
      <c r="AH220" s="23" t="s">
        <v>731</v>
      </c>
      <c r="AI220" s="23" t="s">
        <v>731</v>
      </c>
      <c r="AJ220" s="23" t="s">
        <v>731</v>
      </c>
      <c r="AK220" s="23" t="s">
        <v>731</v>
      </c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Y220" s="19" t="s">
        <v>729</v>
      </c>
      <c r="AZ220" s="19"/>
      <c r="BB220" s="45">
        <v>1</v>
      </c>
      <c r="BD220" s="41"/>
      <c r="BG220" s="18"/>
      <c r="BH220" s="18">
        <v>26</v>
      </c>
      <c r="BI220" s="18">
        <v>26</v>
      </c>
      <c r="BJ220" s="18">
        <v>25</v>
      </c>
      <c r="BK220" s="18">
        <v>25</v>
      </c>
      <c r="BL220" s="18">
        <v>25</v>
      </c>
      <c r="BM220" s="55">
        <f>SUM(AV220:AX220)+SUM(BC220:BD220)+SUM(BE220:BF220)+BG220</f>
        <v>0</v>
      </c>
      <c r="BN220" s="55"/>
      <c r="BO220" s="55"/>
      <c r="BP220" s="55"/>
      <c r="BQ220" s="55"/>
      <c r="BR220" s="55"/>
      <c r="BS220" s="55"/>
      <c r="BT220" s="55"/>
      <c r="BU220" s="55"/>
      <c r="BV220" s="55"/>
      <c r="BW220" s="55"/>
      <c r="BX220" s="55"/>
      <c r="BY220" s="55"/>
    </row>
    <row r="221" spans="2:77" ht="25.5">
      <c r="B221" s="89">
        <v>215</v>
      </c>
      <c r="C221" s="93">
        <v>121</v>
      </c>
      <c r="D221" s="93">
        <v>70</v>
      </c>
      <c r="E221" s="94">
        <v>0.25</v>
      </c>
      <c r="F221" s="94">
        <v>0.25694444444444448</v>
      </c>
      <c r="G221" s="93" t="s">
        <v>300</v>
      </c>
      <c r="H221" s="93" t="s">
        <v>478</v>
      </c>
      <c r="I221" s="96">
        <v>5.5</v>
      </c>
      <c r="J221" s="97" t="s">
        <v>269</v>
      </c>
      <c r="K221" s="98">
        <v>240</v>
      </c>
      <c r="L221" s="109" t="s">
        <v>726</v>
      </c>
      <c r="M221" s="83" t="s">
        <v>880</v>
      </c>
      <c r="N221" s="83">
        <v>9</v>
      </c>
      <c r="O221" s="83" t="s">
        <v>977</v>
      </c>
      <c r="P221" s="83">
        <v>18</v>
      </c>
      <c r="R221" s="83"/>
      <c r="S221" s="26">
        <v>4070</v>
      </c>
      <c r="T221" s="26" t="s">
        <v>1433</v>
      </c>
      <c r="U221" s="26">
        <v>1122</v>
      </c>
      <c r="V221" s="26" t="s">
        <v>1313</v>
      </c>
      <c r="W221" s="63">
        <v>44816</v>
      </c>
      <c r="X221" s="63">
        <v>45100</v>
      </c>
      <c r="Y221" s="63"/>
      <c r="Z221" s="63"/>
      <c r="AA221" s="26" t="s">
        <v>1112</v>
      </c>
      <c r="AB221" s="23" t="s">
        <v>731</v>
      </c>
      <c r="AC221" s="23"/>
      <c r="AD221" s="23" t="s">
        <v>731</v>
      </c>
      <c r="AE221" s="23"/>
      <c r="AF221" s="23" t="s">
        <v>731</v>
      </c>
      <c r="AG221" s="23" t="s">
        <v>731</v>
      </c>
      <c r="AH221" s="23" t="s">
        <v>731</v>
      </c>
      <c r="AI221" s="23" t="s">
        <v>731</v>
      </c>
      <c r="AJ221" s="23" t="s">
        <v>731</v>
      </c>
      <c r="AK221" s="23" t="s">
        <v>731</v>
      </c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42">
        <v>28.38</v>
      </c>
      <c r="AY221" s="42"/>
      <c r="AZ221" s="42"/>
      <c r="BB221" s="45">
        <v>1</v>
      </c>
      <c r="BC221" s="41">
        <f>IF(AND((AV221/I221)&lt;2,BB221=1),(I221*2)-AV221,0)</f>
        <v>0</v>
      </c>
      <c r="BD221" s="41">
        <f>IF(AND((AV221/I221)&lt;3,BB221=2),(I221*3)-AV221,0)</f>
        <v>0</v>
      </c>
      <c r="BG221" s="41">
        <f>IF((AV221+AW221+AX221)&lt;20,(20-(AV221+AW221+AX221)),0)</f>
        <v>0</v>
      </c>
      <c r="BH221" s="18">
        <v>17</v>
      </c>
      <c r="BI221" s="18">
        <v>26</v>
      </c>
      <c r="BJ221" s="18">
        <v>25</v>
      </c>
      <c r="BK221" s="18">
        <v>25</v>
      </c>
      <c r="BL221" s="18">
        <v>25</v>
      </c>
      <c r="BM221" s="55">
        <f>SUM(AV221:AX221)+SUM(BC221:BD221)+SUM(BE221:BF221)+BG221</f>
        <v>28.38</v>
      </c>
      <c r="BN221" s="55"/>
      <c r="BO221" s="55"/>
      <c r="BP221" s="55"/>
      <c r="BQ221" s="55"/>
      <c r="BR221" s="55"/>
      <c r="BS221" s="55"/>
      <c r="BT221" s="55"/>
      <c r="BU221" s="55"/>
      <c r="BV221" s="55"/>
      <c r="BW221" s="55"/>
      <c r="BX221" s="55"/>
      <c r="BY221" s="55"/>
    </row>
    <row r="222" spans="2:77" ht="22.5">
      <c r="B222" s="89">
        <v>216</v>
      </c>
      <c r="C222" s="93">
        <v>121</v>
      </c>
      <c r="D222" s="93">
        <v>72</v>
      </c>
      <c r="E222" s="94">
        <v>0.2638888888888889</v>
      </c>
      <c r="F222" s="105">
        <v>0.27083333333333331</v>
      </c>
      <c r="G222" s="93" t="s">
        <v>300</v>
      </c>
      <c r="H222" s="93" t="s">
        <v>1</v>
      </c>
      <c r="I222" s="96">
        <v>5.5</v>
      </c>
      <c r="J222" s="97" t="s">
        <v>269</v>
      </c>
      <c r="K222" s="98">
        <v>67</v>
      </c>
      <c r="L222" s="109" t="s">
        <v>726</v>
      </c>
      <c r="M222" s="83" t="s">
        <v>880</v>
      </c>
      <c r="N222" s="83">
        <v>9</v>
      </c>
      <c r="O222" s="83" t="s">
        <v>977</v>
      </c>
      <c r="P222" s="83">
        <v>18</v>
      </c>
      <c r="R222" s="83"/>
      <c r="S222" s="26">
        <v>4070</v>
      </c>
      <c r="T222" s="26" t="s">
        <v>1433</v>
      </c>
      <c r="U222" s="26">
        <v>1122</v>
      </c>
      <c r="V222" s="26" t="s">
        <v>1313</v>
      </c>
      <c r="W222" s="63">
        <v>44562</v>
      </c>
      <c r="X222" s="63">
        <v>44815</v>
      </c>
      <c r="Y222" s="63">
        <v>45101</v>
      </c>
      <c r="Z222" s="63">
        <v>45169</v>
      </c>
      <c r="AA222" s="23" t="s">
        <v>1107</v>
      </c>
      <c r="AB222" s="23"/>
      <c r="AC222" s="23" t="s">
        <v>731</v>
      </c>
      <c r="AD222" s="23" t="s">
        <v>731</v>
      </c>
      <c r="AE222" s="23"/>
      <c r="AF222" s="23" t="s">
        <v>731</v>
      </c>
      <c r="AG222" s="23" t="s">
        <v>731</v>
      </c>
      <c r="AH222" s="23" t="s">
        <v>731</v>
      </c>
      <c r="AI222" s="23" t="s">
        <v>731</v>
      </c>
      <c r="AJ222" s="23" t="s">
        <v>731</v>
      </c>
      <c r="AK222" s="23" t="s">
        <v>731</v>
      </c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42">
        <v>28.38</v>
      </c>
      <c r="AY222" s="42"/>
      <c r="AZ222" s="42"/>
      <c r="BB222" s="45">
        <v>1</v>
      </c>
      <c r="BC222" s="41">
        <f>IF(AND((AV222/I222)&lt;2,BB222=1),(I222*2)-AV222,0)</f>
        <v>0</v>
      </c>
      <c r="BD222" s="41">
        <f>IF(AND((AV222/I222)&lt;3,BB222=2),(I222*3)-AV222,0)</f>
        <v>0</v>
      </c>
      <c r="BG222" s="41">
        <f>IF((AV222+AW222+AX222)&lt;20,(20-(AV222+AW222+AX222)),0)</f>
        <v>0</v>
      </c>
      <c r="BH222" s="18">
        <v>9</v>
      </c>
      <c r="BI222" s="18">
        <v>0</v>
      </c>
      <c r="BJ222" s="18">
        <v>0</v>
      </c>
      <c r="BK222" s="18">
        <v>0</v>
      </c>
      <c r="BL222" s="18">
        <v>0</v>
      </c>
      <c r="BM222" s="55">
        <f>SUM(AV222:AX222)+SUM(BC222:BD222)+SUM(BE222:BF222)+BG222</f>
        <v>28.38</v>
      </c>
      <c r="BN222" s="55"/>
      <c r="BO222" s="55"/>
      <c r="BP222" s="55"/>
      <c r="BQ222" s="55"/>
      <c r="BR222" s="55"/>
      <c r="BS222" s="55"/>
      <c r="BT222" s="55"/>
      <c r="BU222" s="55"/>
      <c r="BV222" s="55"/>
      <c r="BW222" s="55"/>
      <c r="BX222" s="55"/>
      <c r="BY222" s="55"/>
    </row>
    <row r="223" spans="2:77" ht="33.75">
      <c r="B223" s="89">
        <v>217</v>
      </c>
      <c r="C223" s="93">
        <v>121</v>
      </c>
      <c r="D223" s="93">
        <v>173</v>
      </c>
      <c r="E223" s="105">
        <v>0.26874999999999999</v>
      </c>
      <c r="F223" s="105">
        <v>0.27152777777777776</v>
      </c>
      <c r="G223" s="93" t="s">
        <v>301</v>
      </c>
      <c r="H223" s="93" t="s">
        <v>97</v>
      </c>
      <c r="I223" s="96">
        <v>1.5</v>
      </c>
      <c r="J223" s="97" t="s">
        <v>269</v>
      </c>
      <c r="K223" s="98">
        <v>208</v>
      </c>
      <c r="L223" s="109" t="s">
        <v>726</v>
      </c>
      <c r="M223" s="83" t="s">
        <v>880</v>
      </c>
      <c r="N223" s="83">
        <v>9</v>
      </c>
      <c r="O223" s="83" t="s">
        <v>977</v>
      </c>
      <c r="P223" s="83">
        <v>18</v>
      </c>
      <c r="R223" s="83"/>
      <c r="S223" s="26" t="s">
        <v>1434</v>
      </c>
      <c r="T223" s="26" t="s">
        <v>1435</v>
      </c>
      <c r="U223" s="26">
        <v>1125</v>
      </c>
      <c r="V223" s="26" t="s">
        <v>1436</v>
      </c>
      <c r="W223" s="62">
        <v>44816</v>
      </c>
      <c r="X223" s="62">
        <v>45086</v>
      </c>
      <c r="Y223" s="62"/>
      <c r="Z223" s="62"/>
      <c r="AA223" s="22" t="s">
        <v>1106</v>
      </c>
      <c r="AB223" s="23"/>
      <c r="AC223" s="23"/>
      <c r="AD223" s="23"/>
      <c r="AE223" s="23" t="s">
        <v>731</v>
      </c>
      <c r="AF223" s="23" t="s">
        <v>731</v>
      </c>
      <c r="AG223" s="23" t="s">
        <v>731</v>
      </c>
      <c r="AH223" s="23" t="s">
        <v>731</v>
      </c>
      <c r="AI223" s="23" t="s">
        <v>731</v>
      </c>
      <c r="AJ223" s="23" t="s">
        <v>731</v>
      </c>
      <c r="AK223" s="23" t="s">
        <v>731</v>
      </c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42">
        <v>2.7</v>
      </c>
      <c r="AY223" s="42"/>
      <c r="AZ223" s="42"/>
      <c r="BB223" s="45">
        <v>1</v>
      </c>
      <c r="BC223" s="41">
        <f>IF(AND((AV223/I223)&lt;2,BB223=1),(I223*2)-AV223,0)</f>
        <v>0.29999999999999982</v>
      </c>
      <c r="BD223" s="41">
        <f>IF(AND((AV223/I223)&lt;3,BB223=2),(I223*3)-AV223,0)</f>
        <v>0</v>
      </c>
      <c r="BG223" s="41">
        <f>IF((AV223+AW223+AX223+BC223)&lt;20,(20-(AV223+AW223+AX223)),0)</f>
        <v>17.3</v>
      </c>
      <c r="BH223" s="18">
        <v>17</v>
      </c>
      <c r="BI223" s="18">
        <v>25</v>
      </c>
      <c r="BJ223" s="18">
        <v>25</v>
      </c>
      <c r="BK223" s="18">
        <v>18</v>
      </c>
      <c r="BL223" s="18">
        <v>20</v>
      </c>
      <c r="BM223" s="55">
        <f>SUM(AV223:AX223)+SUM(BC223:BD223)+SUM(BE223:BF223)+BG223</f>
        <v>20.3</v>
      </c>
      <c r="BN223" s="55"/>
      <c r="BO223" s="55"/>
      <c r="BP223" s="55"/>
      <c r="BQ223" s="55"/>
      <c r="BR223" s="55"/>
      <c r="BS223" s="55"/>
      <c r="BT223" s="55"/>
      <c r="BU223" s="55"/>
      <c r="BV223" s="55"/>
      <c r="BW223" s="55"/>
      <c r="BX223" s="55"/>
      <c r="BY223" s="55"/>
    </row>
    <row r="224" spans="2:77" ht="25.5">
      <c r="B224" s="89">
        <v>218</v>
      </c>
      <c r="C224" s="93">
        <v>121</v>
      </c>
      <c r="D224" s="93">
        <v>72</v>
      </c>
      <c r="E224" s="94">
        <v>0.27777777777777779</v>
      </c>
      <c r="F224" s="94">
        <v>0.28472222222222221</v>
      </c>
      <c r="G224" s="93" t="s">
        <v>300</v>
      </c>
      <c r="H224" s="93" t="s">
        <v>478</v>
      </c>
      <c r="I224" s="96">
        <v>5.5</v>
      </c>
      <c r="J224" s="97" t="s">
        <v>269</v>
      </c>
      <c r="K224" s="98">
        <v>240</v>
      </c>
      <c r="L224" s="109" t="s">
        <v>726</v>
      </c>
      <c r="M224" s="83" t="s">
        <v>880</v>
      </c>
      <c r="N224" s="83">
        <v>9</v>
      </c>
      <c r="O224" s="83" t="s">
        <v>977</v>
      </c>
      <c r="P224" s="83">
        <v>18</v>
      </c>
      <c r="R224" s="83"/>
      <c r="S224" s="26">
        <v>4070</v>
      </c>
      <c r="T224" s="26" t="s">
        <v>1433</v>
      </c>
      <c r="U224" s="26">
        <v>1122</v>
      </c>
      <c r="V224" s="26" t="s">
        <v>1313</v>
      </c>
      <c r="W224" s="63">
        <v>44816</v>
      </c>
      <c r="X224" s="63">
        <v>45100</v>
      </c>
      <c r="Y224" s="63"/>
      <c r="Z224" s="63"/>
      <c r="AA224" s="26" t="s">
        <v>1112</v>
      </c>
      <c r="AB224" s="23" t="s">
        <v>731</v>
      </c>
      <c r="AC224" s="23"/>
      <c r="AD224" s="23" t="s">
        <v>731</v>
      </c>
      <c r="AE224" s="23"/>
      <c r="AF224" s="23" t="s">
        <v>731</v>
      </c>
      <c r="AG224" s="23" t="s">
        <v>731</v>
      </c>
      <c r="AH224" s="23" t="s">
        <v>731</v>
      </c>
      <c r="AI224" s="23" t="s">
        <v>731</v>
      </c>
      <c r="AJ224" s="23" t="s">
        <v>731</v>
      </c>
      <c r="AK224" s="23" t="s">
        <v>731</v>
      </c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42">
        <v>28.38</v>
      </c>
      <c r="AY224" s="42"/>
      <c r="AZ224" s="42"/>
      <c r="BB224" s="45">
        <v>1</v>
      </c>
      <c r="BC224" s="41">
        <f>IF(AND((AV224/I224)&lt;2,BB224=1),(I224*2)-AV224,0)</f>
        <v>0</v>
      </c>
      <c r="BD224" s="41">
        <f>IF(AND((AV224/I224)&lt;3,BB224=2),(I224*3)-AV224,0)</f>
        <v>0</v>
      </c>
      <c r="BG224" s="41">
        <f>IF((AV224+AW224+AX224)&lt;20,(20-(AV224+AW224+AX224)),0)</f>
        <v>0</v>
      </c>
      <c r="BH224" s="18">
        <v>17</v>
      </c>
      <c r="BI224" s="18">
        <v>26</v>
      </c>
      <c r="BJ224" s="18">
        <v>25</v>
      </c>
      <c r="BK224" s="18">
        <v>25</v>
      </c>
      <c r="BL224" s="18">
        <v>25</v>
      </c>
      <c r="BM224" s="55">
        <f>SUM(AV224:AX224)+SUM(BC224:BD224)+SUM(BE224:BF224)+BG224</f>
        <v>28.38</v>
      </c>
      <c r="BN224" s="55"/>
      <c r="BO224" s="55"/>
      <c r="BP224" s="55"/>
      <c r="BQ224" s="55"/>
      <c r="BR224" s="55"/>
      <c r="BS224" s="55"/>
      <c r="BT224" s="55"/>
      <c r="BU224" s="55"/>
      <c r="BV224" s="55"/>
      <c r="BW224" s="55"/>
      <c r="BX224" s="55"/>
      <c r="BY224" s="55"/>
    </row>
    <row r="225" spans="2:77" ht="22.5">
      <c r="B225" s="89">
        <v>219</v>
      </c>
      <c r="C225" s="93">
        <v>121</v>
      </c>
      <c r="D225" s="93">
        <v>65</v>
      </c>
      <c r="E225" s="94">
        <v>0.2951388888888889</v>
      </c>
      <c r="F225" s="94">
        <v>0.30208333333333331</v>
      </c>
      <c r="G225" s="93" t="s">
        <v>298</v>
      </c>
      <c r="H225" s="93" t="s">
        <v>18</v>
      </c>
      <c r="I225" s="96">
        <v>5.5</v>
      </c>
      <c r="J225" s="97" t="s">
        <v>269</v>
      </c>
      <c r="K225" s="98">
        <v>304</v>
      </c>
      <c r="L225" s="109" t="s">
        <v>726</v>
      </c>
      <c r="M225" s="83" t="s">
        <v>880</v>
      </c>
      <c r="N225" s="83">
        <v>9</v>
      </c>
      <c r="O225" s="83" t="s">
        <v>977</v>
      </c>
      <c r="P225" s="83">
        <v>18</v>
      </c>
      <c r="R225" s="83"/>
      <c r="S225" s="26">
        <v>1122</v>
      </c>
      <c r="T225" s="26" t="s">
        <v>1313</v>
      </c>
      <c r="U225" s="26">
        <v>4070</v>
      </c>
      <c r="V225" s="26" t="s">
        <v>1433</v>
      </c>
      <c r="W225" s="62">
        <v>44805</v>
      </c>
      <c r="X225" s="62">
        <v>45169</v>
      </c>
      <c r="Y225" s="62"/>
      <c r="Z225" s="62"/>
      <c r="AA225" s="23" t="s">
        <v>1113</v>
      </c>
      <c r="AB225" s="23" t="s">
        <v>731</v>
      </c>
      <c r="AC225" s="23" t="s">
        <v>731</v>
      </c>
      <c r="AD225" s="23" t="s">
        <v>731</v>
      </c>
      <c r="AE225" s="23"/>
      <c r="AF225" s="23" t="s">
        <v>731</v>
      </c>
      <c r="AG225" s="23" t="s">
        <v>731</v>
      </c>
      <c r="AH225" s="23" t="s">
        <v>731</v>
      </c>
      <c r="AI225" s="23" t="s">
        <v>731</v>
      </c>
      <c r="AJ225" s="23" t="s">
        <v>731</v>
      </c>
      <c r="AK225" s="23" t="s">
        <v>731</v>
      </c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42">
        <v>28.38</v>
      </c>
      <c r="AY225" s="42"/>
      <c r="AZ225" s="42"/>
      <c r="BB225" s="45">
        <v>1</v>
      </c>
      <c r="BC225" s="41">
        <f>IF(AND((AV225/I225)&lt;2,BB225=1),(I225*2)-AV225,0)</f>
        <v>0</v>
      </c>
      <c r="BD225" s="41">
        <f>IF(AND((AV225/I225)&lt;3,BB225=2),(I225*3)-AV225,0)</f>
        <v>0</v>
      </c>
      <c r="BG225" s="18"/>
      <c r="BH225" s="18">
        <v>26</v>
      </c>
      <c r="BI225" s="18">
        <v>26</v>
      </c>
      <c r="BJ225" s="18">
        <v>25</v>
      </c>
      <c r="BK225" s="18">
        <v>25</v>
      </c>
      <c r="BL225" s="18">
        <v>25</v>
      </c>
      <c r="BM225" s="55">
        <f>SUM(AV225:AX225)+SUM(BC225:BD225)+SUM(BE225:BF225)+BG225</f>
        <v>28.38</v>
      </c>
      <c r="BN225" s="55"/>
      <c r="BO225" s="55"/>
      <c r="BP225" s="55"/>
      <c r="BQ225" s="55"/>
      <c r="BR225" s="55"/>
      <c r="BS225" s="55"/>
      <c r="BT225" s="55"/>
      <c r="BU225" s="55"/>
      <c r="BV225" s="55"/>
      <c r="BW225" s="55"/>
      <c r="BX225" s="55"/>
      <c r="BY225" s="55"/>
    </row>
    <row r="226" spans="2:77" ht="25.5">
      <c r="B226" s="89">
        <v>220</v>
      </c>
      <c r="C226" s="93">
        <v>121</v>
      </c>
      <c r="D226" s="93">
        <v>74</v>
      </c>
      <c r="E226" s="94">
        <v>0.54861111111111105</v>
      </c>
      <c r="F226" s="94">
        <v>0.55555555555555558</v>
      </c>
      <c r="G226" s="93" t="s">
        <v>300</v>
      </c>
      <c r="H226" s="93" t="s">
        <v>478</v>
      </c>
      <c r="I226" s="96">
        <v>5.5</v>
      </c>
      <c r="J226" s="97" t="s">
        <v>269</v>
      </c>
      <c r="K226" s="98">
        <v>240</v>
      </c>
      <c r="L226" s="109" t="s">
        <v>726</v>
      </c>
      <c r="M226" s="87" t="s">
        <v>977</v>
      </c>
      <c r="N226" s="87">
        <v>18</v>
      </c>
      <c r="O226" s="87" t="s">
        <v>880</v>
      </c>
      <c r="P226" s="87">
        <v>9</v>
      </c>
      <c r="R226" s="87"/>
      <c r="S226" s="26">
        <v>4070</v>
      </c>
      <c r="T226" s="26" t="s">
        <v>1433</v>
      </c>
      <c r="U226" s="26">
        <v>1122</v>
      </c>
      <c r="V226" s="26" t="s">
        <v>1313</v>
      </c>
      <c r="W226" s="63">
        <v>44816</v>
      </c>
      <c r="X226" s="63">
        <v>45100</v>
      </c>
      <c r="Y226" s="63"/>
      <c r="Z226" s="63"/>
      <c r="AA226" s="26" t="s">
        <v>1112</v>
      </c>
      <c r="AB226" s="23" t="s">
        <v>731</v>
      </c>
      <c r="AC226" s="23"/>
      <c r="AD226" s="23" t="s">
        <v>731</v>
      </c>
      <c r="AE226" s="23"/>
      <c r="AF226" s="23" t="s">
        <v>731</v>
      </c>
      <c r="AG226" s="23" t="s">
        <v>731</v>
      </c>
      <c r="AH226" s="23" t="s">
        <v>731</v>
      </c>
      <c r="AI226" s="23" t="s">
        <v>731</v>
      </c>
      <c r="AJ226" s="23" t="s">
        <v>731</v>
      </c>
      <c r="AK226" s="23" t="s">
        <v>731</v>
      </c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42">
        <v>28.38</v>
      </c>
      <c r="AY226" s="42"/>
      <c r="AZ226" s="42"/>
      <c r="BB226" s="45">
        <v>1</v>
      </c>
      <c r="BC226" s="41">
        <f>IF(AND((AV226/I226)&lt;2,BB226=1),(I226*2)-AV226,0)</f>
        <v>0</v>
      </c>
      <c r="BD226" s="41">
        <f>IF(AND((AV226/I226)&lt;3,BB226=2),(I226*3)-AV226,0)</f>
        <v>0</v>
      </c>
      <c r="BG226" s="18"/>
      <c r="BH226" s="18">
        <v>17</v>
      </c>
      <c r="BI226" s="18">
        <v>26</v>
      </c>
      <c r="BJ226" s="18">
        <v>25</v>
      </c>
      <c r="BK226" s="18">
        <v>25</v>
      </c>
      <c r="BL226" s="18">
        <v>25</v>
      </c>
      <c r="BM226" s="55">
        <f>SUM(AV226:AX226)+SUM(BC226:BD226)+SUM(BE226:BF226)+BG226</f>
        <v>28.38</v>
      </c>
      <c r="BN226" s="55"/>
      <c r="BO226" s="55"/>
      <c r="BP226" s="55"/>
      <c r="BQ226" s="55"/>
      <c r="BR226" s="55"/>
      <c r="BS226" s="55"/>
      <c r="BT226" s="55"/>
      <c r="BU226" s="55"/>
      <c r="BV226" s="55"/>
      <c r="BW226" s="55"/>
      <c r="BX226" s="55"/>
      <c r="BY226" s="55"/>
    </row>
    <row r="227" spans="2:77" ht="22.5">
      <c r="B227" s="89">
        <v>221</v>
      </c>
      <c r="C227" s="93">
        <v>121</v>
      </c>
      <c r="D227" s="93">
        <v>74</v>
      </c>
      <c r="E227" s="94">
        <v>0.55555555555555558</v>
      </c>
      <c r="F227" s="94">
        <v>0.5625</v>
      </c>
      <c r="G227" s="93" t="s">
        <v>300</v>
      </c>
      <c r="H227" s="93" t="s">
        <v>1</v>
      </c>
      <c r="I227" s="96">
        <v>5.5</v>
      </c>
      <c r="J227" s="97" t="s">
        <v>269</v>
      </c>
      <c r="K227" s="98">
        <v>67</v>
      </c>
      <c r="L227" s="109" t="s">
        <v>726</v>
      </c>
      <c r="M227" s="87" t="s">
        <v>977</v>
      </c>
      <c r="N227" s="87">
        <v>18</v>
      </c>
      <c r="O227" s="87" t="s">
        <v>880</v>
      </c>
      <c r="P227" s="87">
        <v>9</v>
      </c>
      <c r="R227" s="87"/>
      <c r="S227" s="26">
        <v>4070</v>
      </c>
      <c r="T227" s="26" t="s">
        <v>1433</v>
      </c>
      <c r="U227" s="26">
        <v>1122</v>
      </c>
      <c r="V227" s="26" t="s">
        <v>1313</v>
      </c>
      <c r="W227" s="63">
        <v>44562</v>
      </c>
      <c r="X227" s="63">
        <v>44815</v>
      </c>
      <c r="Y227" s="63">
        <v>45101</v>
      </c>
      <c r="Z227" s="63">
        <v>45169</v>
      </c>
      <c r="AA227" s="23" t="s">
        <v>1107</v>
      </c>
      <c r="AB227" s="23"/>
      <c r="AC227" s="23" t="s">
        <v>731</v>
      </c>
      <c r="AD227" s="23" t="s">
        <v>731</v>
      </c>
      <c r="AE227" s="23"/>
      <c r="AF227" s="23" t="s">
        <v>731</v>
      </c>
      <c r="AG227" s="23" t="s">
        <v>731</v>
      </c>
      <c r="AH227" s="23" t="s">
        <v>731</v>
      </c>
      <c r="AI227" s="23" t="s">
        <v>731</v>
      </c>
      <c r="AJ227" s="23" t="s">
        <v>731</v>
      </c>
      <c r="AK227" s="23" t="s">
        <v>731</v>
      </c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42">
        <v>28.38</v>
      </c>
      <c r="AY227" s="42"/>
      <c r="AZ227" s="42"/>
      <c r="BB227" s="45">
        <v>1</v>
      </c>
      <c r="BC227" s="41">
        <f>IF(AND((AV227/I227)&lt;2,BB227=1),(I227*2)-AV227,0)</f>
        <v>0</v>
      </c>
      <c r="BD227" s="41">
        <f>IF(AND((AV227/I227)&lt;3,BB227=2),(I227*3)-AV227,0)</f>
        <v>0</v>
      </c>
      <c r="BG227" s="18"/>
      <c r="BH227" s="18">
        <v>9</v>
      </c>
      <c r="BI227" s="18">
        <v>0</v>
      </c>
      <c r="BJ227" s="18">
        <v>0</v>
      </c>
      <c r="BK227" s="18">
        <v>0</v>
      </c>
      <c r="BL227" s="18">
        <v>0</v>
      </c>
      <c r="BM227" s="55">
        <f>SUM(AV227:AX227)+SUM(BC227:BD227)+SUM(BE227:BF227)+BG227</f>
        <v>28.38</v>
      </c>
      <c r="BN227" s="55"/>
      <c r="BO227" s="55"/>
      <c r="BP227" s="55"/>
      <c r="BQ227" s="55"/>
      <c r="BR227" s="55"/>
      <c r="BS227" s="55"/>
      <c r="BT227" s="55"/>
      <c r="BU227" s="55"/>
      <c r="BV227" s="55"/>
      <c r="BW227" s="55"/>
      <c r="BX227" s="55"/>
      <c r="BY227" s="55"/>
    </row>
    <row r="228" spans="2:77" ht="22.5">
      <c r="B228" s="89">
        <v>222</v>
      </c>
      <c r="C228" s="93">
        <v>121</v>
      </c>
      <c r="D228" s="93">
        <v>67</v>
      </c>
      <c r="E228" s="94">
        <v>0.56597222222222221</v>
      </c>
      <c r="F228" s="94">
        <v>0.57291666666666663</v>
      </c>
      <c r="G228" s="93" t="s">
        <v>298</v>
      </c>
      <c r="H228" s="93" t="s">
        <v>18</v>
      </c>
      <c r="I228" s="96">
        <v>5.5</v>
      </c>
      <c r="J228" s="97" t="s">
        <v>269</v>
      </c>
      <c r="K228" s="98">
        <v>304</v>
      </c>
      <c r="L228" s="109" t="s">
        <v>726</v>
      </c>
      <c r="M228" s="87" t="s">
        <v>977</v>
      </c>
      <c r="N228" s="87">
        <v>18</v>
      </c>
      <c r="O228" s="87" t="s">
        <v>880</v>
      </c>
      <c r="P228" s="87">
        <v>9</v>
      </c>
      <c r="R228" s="87"/>
      <c r="S228" s="26">
        <v>1122</v>
      </c>
      <c r="T228" s="26" t="s">
        <v>1313</v>
      </c>
      <c r="U228" s="26">
        <v>4070</v>
      </c>
      <c r="V228" s="26" t="s">
        <v>1433</v>
      </c>
      <c r="W228" s="62">
        <v>44805</v>
      </c>
      <c r="X228" s="62">
        <v>45169</v>
      </c>
      <c r="Y228" s="62"/>
      <c r="Z228" s="62"/>
      <c r="AA228" s="23" t="s">
        <v>1113</v>
      </c>
      <c r="AB228" s="23" t="s">
        <v>731</v>
      </c>
      <c r="AC228" s="23" t="s">
        <v>731</v>
      </c>
      <c r="AD228" s="23" t="s">
        <v>731</v>
      </c>
      <c r="AE228" s="23"/>
      <c r="AF228" s="23" t="s">
        <v>731</v>
      </c>
      <c r="AG228" s="23" t="s">
        <v>731</v>
      </c>
      <c r="AH228" s="23" t="s">
        <v>731</v>
      </c>
      <c r="AI228" s="23" t="s">
        <v>731</v>
      </c>
      <c r="AJ228" s="23" t="s">
        <v>731</v>
      </c>
      <c r="AK228" s="23" t="s">
        <v>731</v>
      </c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42">
        <v>28.38</v>
      </c>
      <c r="AY228" s="42"/>
      <c r="AZ228" s="42"/>
      <c r="BB228" s="45">
        <v>1</v>
      </c>
      <c r="BC228" s="41">
        <f>IF(AND((AV228/I228)&lt;2,BB228=1),(I228*2)-AV228,0)</f>
        <v>0</v>
      </c>
      <c r="BD228" s="41">
        <f>IF(AND((AV228/I228)&lt;3,BB228=2),(I228*3)-AV228,0)</f>
        <v>0</v>
      </c>
      <c r="BG228" s="18"/>
      <c r="BH228" s="18">
        <v>26</v>
      </c>
      <c r="BI228" s="18">
        <v>26</v>
      </c>
      <c r="BJ228" s="18">
        <v>25</v>
      </c>
      <c r="BK228" s="18">
        <v>25</v>
      </c>
      <c r="BL228" s="18">
        <v>25</v>
      </c>
      <c r="BM228" s="55">
        <f>SUM(AV228:AX228)+SUM(BC228:BD228)+SUM(BE228:BF228)+BG228</f>
        <v>28.38</v>
      </c>
      <c r="BN228" s="55"/>
      <c r="BO228" s="55"/>
      <c r="BP228" s="55"/>
      <c r="BQ228" s="55"/>
      <c r="BR228" s="55"/>
      <c r="BS228" s="55"/>
      <c r="BT228" s="55"/>
      <c r="BU228" s="55"/>
      <c r="BV228" s="55"/>
      <c r="BW228" s="55"/>
      <c r="BX228" s="55"/>
      <c r="BY228" s="55"/>
    </row>
    <row r="229" spans="2:77" ht="25.5">
      <c r="B229" s="89">
        <v>223</v>
      </c>
      <c r="C229" s="93">
        <v>121</v>
      </c>
      <c r="D229" s="93">
        <v>67</v>
      </c>
      <c r="E229" s="94">
        <v>0.57291666666666663</v>
      </c>
      <c r="F229" s="94">
        <v>0.57986111111111105</v>
      </c>
      <c r="G229" s="93" t="s">
        <v>299</v>
      </c>
      <c r="H229" s="95" t="s">
        <v>119</v>
      </c>
      <c r="I229" s="96">
        <v>4</v>
      </c>
      <c r="J229" s="97" t="s">
        <v>269</v>
      </c>
      <c r="K229" s="98">
        <v>36</v>
      </c>
      <c r="L229" s="109" t="s">
        <v>726</v>
      </c>
      <c r="M229" s="87" t="s">
        <v>977</v>
      </c>
      <c r="N229" s="87">
        <v>18</v>
      </c>
      <c r="O229" s="87" t="s">
        <v>880</v>
      </c>
      <c r="P229" s="87">
        <v>9</v>
      </c>
      <c r="R229" s="87"/>
      <c r="S229" s="26">
        <v>4070</v>
      </c>
      <c r="T229" s="26" t="s">
        <v>1433</v>
      </c>
      <c r="U229" s="26" t="s">
        <v>1437</v>
      </c>
      <c r="V229" s="26" t="s">
        <v>1438</v>
      </c>
      <c r="W229" s="62">
        <v>44816</v>
      </c>
      <c r="X229" s="62">
        <v>45086</v>
      </c>
      <c r="Y229" s="62"/>
      <c r="Z229" s="62"/>
      <c r="AA229" s="23" t="s">
        <v>1121</v>
      </c>
      <c r="AB229" s="23"/>
      <c r="AC229" s="23"/>
      <c r="AD229" s="23"/>
      <c r="AE229" s="23" t="s">
        <v>731</v>
      </c>
      <c r="AF229" s="23"/>
      <c r="AG229" s="23"/>
      <c r="AH229" s="23"/>
      <c r="AI229" s="23"/>
      <c r="AJ229" s="23" t="s">
        <v>731</v>
      </c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42">
        <v>10.33</v>
      </c>
      <c r="AW229" s="18"/>
      <c r="AY229" s="42"/>
      <c r="AZ229" s="42"/>
      <c r="BB229" s="45">
        <v>1</v>
      </c>
      <c r="BC229" s="41">
        <f>IF(AND((AV229/I229)&lt;2,BB229=1),(I229*2)-AV229,0)</f>
        <v>0</v>
      </c>
      <c r="BD229" s="41">
        <f>IF(AND((AV229/I229)&lt;3,BB229=2),(I229*3)-AV229,0)</f>
        <v>0</v>
      </c>
      <c r="BG229" s="18"/>
      <c r="BH229" s="18">
        <v>3</v>
      </c>
      <c r="BI229" s="18">
        <v>4</v>
      </c>
      <c r="BJ229" s="18">
        <v>4</v>
      </c>
      <c r="BK229" s="18">
        <v>3</v>
      </c>
      <c r="BL229" s="18">
        <v>3</v>
      </c>
      <c r="BM229" s="55">
        <f>SUM(AV229:AX229)+SUM(BC229:BD229)+SUM(BE229:BF229)+BG229</f>
        <v>10.33</v>
      </c>
      <c r="BN229" s="55"/>
      <c r="BO229" s="55"/>
      <c r="BP229" s="55"/>
      <c r="BQ229" s="55"/>
      <c r="BR229" s="55"/>
      <c r="BS229" s="55"/>
      <c r="BT229" s="55"/>
      <c r="BU229" s="55"/>
      <c r="BV229" s="55"/>
      <c r="BW229" s="55"/>
      <c r="BX229" s="55"/>
      <c r="BY229" s="55"/>
    </row>
    <row r="230" spans="2:77" ht="25.5">
      <c r="B230" s="89">
        <v>224</v>
      </c>
      <c r="C230" s="106">
        <v>121</v>
      </c>
      <c r="D230" s="93">
        <v>67</v>
      </c>
      <c r="E230" s="94">
        <v>0.57986111111111105</v>
      </c>
      <c r="F230" s="94">
        <v>0.59236111111111112</v>
      </c>
      <c r="G230" s="93" t="s">
        <v>669</v>
      </c>
      <c r="H230" s="93" t="s">
        <v>404</v>
      </c>
      <c r="I230" s="96">
        <v>12.4</v>
      </c>
      <c r="J230" s="97" t="s">
        <v>167</v>
      </c>
      <c r="K230" s="98">
        <v>36</v>
      </c>
      <c r="L230" s="109" t="s">
        <v>726</v>
      </c>
      <c r="M230" s="87" t="s">
        <v>977</v>
      </c>
      <c r="N230" s="87">
        <v>18</v>
      </c>
      <c r="O230" s="87" t="s">
        <v>880</v>
      </c>
      <c r="P230" s="87">
        <v>9</v>
      </c>
      <c r="R230" s="87"/>
      <c r="S230" s="26" t="s">
        <v>1437</v>
      </c>
      <c r="T230" s="26" t="s">
        <v>1438</v>
      </c>
      <c r="U230" s="26" t="s">
        <v>1439</v>
      </c>
      <c r="V230" s="26" t="s">
        <v>1440</v>
      </c>
      <c r="W230" s="62">
        <v>44816</v>
      </c>
      <c r="X230" s="62">
        <v>45086</v>
      </c>
      <c r="Y230" s="62"/>
      <c r="Z230" s="62"/>
      <c r="AA230" s="23" t="s">
        <v>1121</v>
      </c>
      <c r="AB230" s="23"/>
      <c r="AC230" s="23"/>
      <c r="AD230" s="23"/>
      <c r="AE230" s="23" t="s">
        <v>731</v>
      </c>
      <c r="AF230" s="23"/>
      <c r="AG230" s="23"/>
      <c r="AH230" s="23"/>
      <c r="AI230" s="23"/>
      <c r="AJ230" s="23" t="s">
        <v>731</v>
      </c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42">
        <f>18+7.2</f>
        <v>25.2</v>
      </c>
      <c r="AW230" s="18"/>
      <c r="AY230" s="42"/>
      <c r="AZ230" s="42"/>
      <c r="BB230" s="45">
        <v>1</v>
      </c>
      <c r="BC230" s="41">
        <f>IF(AND((AV230/I230)&lt;2,BB230=1),(I230*2)-AV230,0)</f>
        <v>0</v>
      </c>
      <c r="BD230" s="41">
        <f>IF(AND((AV230/I230)&lt;3,BB230=2),(I230*3)-AV230,0)</f>
        <v>0</v>
      </c>
      <c r="BG230" s="18"/>
      <c r="BH230" s="18">
        <v>3</v>
      </c>
      <c r="BI230" s="18">
        <v>4</v>
      </c>
      <c r="BJ230" s="18">
        <v>4</v>
      </c>
      <c r="BK230" s="18">
        <v>3</v>
      </c>
      <c r="BL230" s="18">
        <v>3</v>
      </c>
      <c r="BM230" s="55">
        <f>SUM(AV230:AX230)+SUM(BC230:BD230)+SUM(BE230:BF230)+BG230</f>
        <v>25.2</v>
      </c>
      <c r="BN230" s="55"/>
      <c r="BO230" s="55"/>
      <c r="BP230" s="55"/>
      <c r="BQ230" s="55"/>
      <c r="BR230" s="55"/>
      <c r="BS230" s="55"/>
      <c r="BT230" s="55"/>
      <c r="BU230" s="55"/>
      <c r="BV230" s="55"/>
      <c r="BW230" s="55"/>
      <c r="BX230" s="55"/>
      <c r="BY230" s="55"/>
    </row>
    <row r="231" spans="2:77" ht="25.5">
      <c r="B231" s="89">
        <v>225</v>
      </c>
      <c r="C231" s="93">
        <v>121</v>
      </c>
      <c r="D231" s="93">
        <v>437</v>
      </c>
      <c r="E231" s="94">
        <v>0.60277777777777775</v>
      </c>
      <c r="F231" s="94">
        <v>0.60763888888888895</v>
      </c>
      <c r="G231" s="93" t="s">
        <v>298</v>
      </c>
      <c r="H231" s="93" t="s">
        <v>97</v>
      </c>
      <c r="I231" s="96">
        <v>5.5</v>
      </c>
      <c r="J231" s="97" t="s">
        <v>269</v>
      </c>
      <c r="K231" s="98">
        <v>208</v>
      </c>
      <c r="L231" s="109" t="s">
        <v>726</v>
      </c>
      <c r="M231" s="87" t="s">
        <v>977</v>
      </c>
      <c r="N231" s="87">
        <v>18</v>
      </c>
      <c r="O231" s="87" t="s">
        <v>880</v>
      </c>
      <c r="P231" s="87">
        <v>9</v>
      </c>
      <c r="R231" s="87"/>
      <c r="S231" s="26">
        <v>1122</v>
      </c>
      <c r="T231" s="26" t="s">
        <v>1313</v>
      </c>
      <c r="U231" s="26">
        <v>4070</v>
      </c>
      <c r="V231" s="26" t="s">
        <v>1433</v>
      </c>
      <c r="W231" s="62">
        <v>44816</v>
      </c>
      <c r="X231" s="62">
        <v>45086</v>
      </c>
      <c r="Y231" s="62"/>
      <c r="Z231" s="62"/>
      <c r="AA231" s="22" t="s">
        <v>1106</v>
      </c>
      <c r="AB231" s="23"/>
      <c r="AC231" s="23"/>
      <c r="AD231" s="23"/>
      <c r="AE231" s="23" t="s">
        <v>731</v>
      </c>
      <c r="AF231" s="23" t="s">
        <v>731</v>
      </c>
      <c r="AG231" s="23" t="s">
        <v>731</v>
      </c>
      <c r="AH231" s="23" t="s">
        <v>731</v>
      </c>
      <c r="AI231" s="23" t="s">
        <v>731</v>
      </c>
      <c r="AJ231" s="23" t="s">
        <v>731</v>
      </c>
      <c r="AK231" s="23" t="s">
        <v>731</v>
      </c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42">
        <v>14.58</v>
      </c>
      <c r="AW231" s="18"/>
      <c r="AY231" s="42"/>
      <c r="AZ231" s="42"/>
      <c r="BB231" s="45">
        <v>1</v>
      </c>
      <c r="BC231" s="41">
        <f>IF(AND((AV231/I231)&lt;2,BB231=1),(I231*2)-AV231,0)</f>
        <v>0</v>
      </c>
      <c r="BD231" s="41">
        <f>IF(AND((AV231/I231)&lt;3,BB231=2),(I231*3)-AV231,0)</f>
        <v>0</v>
      </c>
      <c r="BG231" s="18"/>
      <c r="BH231" s="18">
        <v>17</v>
      </c>
      <c r="BI231" s="18">
        <v>25</v>
      </c>
      <c r="BJ231" s="18">
        <v>25</v>
      </c>
      <c r="BK231" s="18">
        <v>18</v>
      </c>
      <c r="BL231" s="18">
        <v>20</v>
      </c>
      <c r="BM231" s="55">
        <f>SUM(AV231:AX231)+SUM(BC231:BD231)+SUM(BE231:BF231)+BG231</f>
        <v>14.58</v>
      </c>
      <c r="BN231" s="55"/>
      <c r="BO231" s="55"/>
      <c r="BP231" s="55"/>
      <c r="BQ231" s="55"/>
      <c r="BR231" s="55"/>
      <c r="BS231" s="55"/>
      <c r="BT231" s="55"/>
      <c r="BU231" s="55"/>
      <c r="BV231" s="55"/>
      <c r="BW231" s="55"/>
      <c r="BX231" s="55"/>
      <c r="BY231" s="55"/>
    </row>
    <row r="232" spans="2:77" ht="25.5">
      <c r="B232" s="89">
        <v>226</v>
      </c>
      <c r="C232" s="93">
        <v>121</v>
      </c>
      <c r="D232" s="93">
        <v>707</v>
      </c>
      <c r="E232" s="94">
        <v>0.68055555555555547</v>
      </c>
      <c r="F232" s="94">
        <v>0.6875</v>
      </c>
      <c r="G232" s="93" t="s">
        <v>297</v>
      </c>
      <c r="H232" s="93" t="s">
        <v>194</v>
      </c>
      <c r="I232" s="96">
        <v>5.5</v>
      </c>
      <c r="J232" s="97" t="s">
        <v>93</v>
      </c>
      <c r="K232" s="98">
        <f>34+34+36+33</f>
        <v>137</v>
      </c>
      <c r="L232" s="109" t="s">
        <v>726</v>
      </c>
      <c r="M232" s="87" t="s">
        <v>977</v>
      </c>
      <c r="N232" s="87">
        <v>18</v>
      </c>
      <c r="O232" s="87" t="s">
        <v>880</v>
      </c>
      <c r="P232" s="87">
        <v>9</v>
      </c>
      <c r="R232" s="87"/>
      <c r="S232" s="26">
        <v>1122</v>
      </c>
      <c r="T232" s="26" t="s">
        <v>1313</v>
      </c>
      <c r="U232" s="26">
        <v>4070</v>
      </c>
      <c r="V232" s="26" t="s">
        <v>1433</v>
      </c>
      <c r="W232" s="62">
        <v>44816</v>
      </c>
      <c r="X232" s="62">
        <v>45086</v>
      </c>
      <c r="Y232" s="62"/>
      <c r="Z232" s="62"/>
      <c r="AA232" s="24" t="s">
        <v>1105</v>
      </c>
      <c r="AB232" s="23"/>
      <c r="AC232" s="23"/>
      <c r="AD232" s="23"/>
      <c r="AE232" s="23" t="s">
        <v>731</v>
      </c>
      <c r="AF232" s="23" t="s">
        <v>731</v>
      </c>
      <c r="AG232" s="23" t="s">
        <v>731</v>
      </c>
      <c r="AH232" s="23" t="s">
        <v>731</v>
      </c>
      <c r="AI232" s="23" t="s">
        <v>731</v>
      </c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42">
        <v>9.9</v>
      </c>
      <c r="AW232" s="18"/>
      <c r="AY232" s="42"/>
      <c r="AZ232" s="42"/>
      <c r="BB232" s="45">
        <v>1</v>
      </c>
      <c r="BC232" s="41">
        <f>IF(AND((AV232/I232)&lt;2,BB232=1),(I232*2)-AV232,0)</f>
        <v>1.0999999999999996</v>
      </c>
      <c r="BD232" s="41">
        <f>IF(AND((AV232/I232)&lt;3,BB232=2),(I232*3)-AV232,0)</f>
        <v>0</v>
      </c>
      <c r="BG232" s="18"/>
      <c r="BH232" s="18">
        <v>12</v>
      </c>
      <c r="BI232" s="18">
        <v>16</v>
      </c>
      <c r="BJ232" s="18">
        <v>17</v>
      </c>
      <c r="BK232" s="18">
        <v>12</v>
      </c>
      <c r="BL232" s="18">
        <v>14</v>
      </c>
      <c r="BM232" s="55">
        <f>SUM(AV232:AX232)+SUM(BC232:BD232)+SUM(BE232:BF232)+BG232</f>
        <v>11</v>
      </c>
      <c r="BN232" s="55"/>
      <c r="BO232" s="55"/>
      <c r="BP232" s="55"/>
      <c r="BQ232" s="55"/>
      <c r="BR232" s="55"/>
      <c r="BS232" s="55"/>
      <c r="BT232" s="55"/>
      <c r="BU232" s="55"/>
      <c r="BV232" s="55"/>
      <c r="BW232" s="55"/>
      <c r="BX232" s="55"/>
      <c r="BY232" s="55"/>
    </row>
    <row r="233" spans="2:77" ht="22.5">
      <c r="B233" s="89">
        <v>227</v>
      </c>
      <c r="C233" s="93">
        <v>121</v>
      </c>
      <c r="D233" s="93">
        <v>69</v>
      </c>
      <c r="E233" s="94">
        <v>0.73958333333333337</v>
      </c>
      <c r="F233" s="94">
        <v>0.74652777777777779</v>
      </c>
      <c r="G233" s="93" t="s">
        <v>298</v>
      </c>
      <c r="H233" s="93" t="s">
        <v>18</v>
      </c>
      <c r="I233" s="96">
        <v>5.5</v>
      </c>
      <c r="J233" s="97" t="s">
        <v>269</v>
      </c>
      <c r="K233" s="98">
        <v>304</v>
      </c>
      <c r="L233" s="109" t="s">
        <v>726</v>
      </c>
      <c r="M233" s="87" t="s">
        <v>977</v>
      </c>
      <c r="N233" s="87">
        <v>18</v>
      </c>
      <c r="O233" s="87" t="s">
        <v>880</v>
      </c>
      <c r="P233" s="87">
        <v>9</v>
      </c>
      <c r="R233" s="87"/>
      <c r="S233" s="26">
        <v>1122</v>
      </c>
      <c r="T233" s="26" t="s">
        <v>1313</v>
      </c>
      <c r="U233" s="26">
        <v>4070</v>
      </c>
      <c r="V233" s="26" t="s">
        <v>1433</v>
      </c>
      <c r="W233" s="62">
        <v>44805</v>
      </c>
      <c r="X233" s="62">
        <v>45169</v>
      </c>
      <c r="Y233" s="62"/>
      <c r="Z233" s="62"/>
      <c r="AA233" s="23" t="s">
        <v>1113</v>
      </c>
      <c r="AB233" s="23" t="s">
        <v>731</v>
      </c>
      <c r="AC233" s="23" t="s">
        <v>731</v>
      </c>
      <c r="AD233" s="23" t="s">
        <v>731</v>
      </c>
      <c r="AE233" s="23"/>
      <c r="AF233" s="23" t="s">
        <v>731</v>
      </c>
      <c r="AG233" s="23" t="s">
        <v>731</v>
      </c>
      <c r="AH233" s="23" t="s">
        <v>731</v>
      </c>
      <c r="AI233" s="23" t="s">
        <v>731</v>
      </c>
      <c r="AJ233" s="23" t="s">
        <v>731</v>
      </c>
      <c r="AK233" s="23" t="s">
        <v>731</v>
      </c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42">
        <v>17.7</v>
      </c>
      <c r="AW233" s="18"/>
      <c r="AY233" s="42"/>
      <c r="AZ233" s="42"/>
      <c r="BB233" s="45">
        <v>1</v>
      </c>
      <c r="BC233" s="41">
        <f>IF(AND((AV233/I233)&lt;2,BB233=1),(I233*2)-AV233,0)</f>
        <v>0</v>
      </c>
      <c r="BD233" s="41">
        <f>IF(AND((AV233/I233)&lt;3,BB233=2),(I233*3)-AV233,0)</f>
        <v>0</v>
      </c>
      <c r="BG233" s="18"/>
      <c r="BH233" s="18">
        <v>26</v>
      </c>
      <c r="BI233" s="18">
        <v>26</v>
      </c>
      <c r="BJ233" s="18">
        <v>25</v>
      </c>
      <c r="BK233" s="18">
        <v>25</v>
      </c>
      <c r="BL233" s="18">
        <v>25</v>
      </c>
      <c r="BM233" s="55">
        <f>SUM(AV233:AX233)+SUM(BC233:BD233)+SUM(BE233:BF233)+BG233</f>
        <v>17.7</v>
      </c>
      <c r="BN233" s="55"/>
      <c r="BO233" s="55"/>
      <c r="BP233" s="55"/>
      <c r="BQ233" s="55"/>
      <c r="BR233" s="55"/>
      <c r="BS233" s="55"/>
      <c r="BT233" s="55"/>
      <c r="BU233" s="55"/>
      <c r="BV233" s="55"/>
      <c r="BW233" s="55"/>
      <c r="BX233" s="55"/>
      <c r="BY233" s="55"/>
    </row>
    <row r="234" spans="2:77" ht="33.75">
      <c r="B234" s="89">
        <v>228</v>
      </c>
      <c r="C234" s="93">
        <v>121</v>
      </c>
      <c r="D234" s="93">
        <v>112</v>
      </c>
      <c r="E234" s="94">
        <v>0.76458333333333339</v>
      </c>
      <c r="F234" s="94">
        <v>0.76736111111111116</v>
      </c>
      <c r="G234" s="93" t="s">
        <v>296</v>
      </c>
      <c r="H234" s="93" t="s">
        <v>103</v>
      </c>
      <c r="I234" s="96">
        <v>1.5</v>
      </c>
      <c r="J234" s="97" t="s">
        <v>269</v>
      </c>
      <c r="K234" s="98">
        <v>174</v>
      </c>
      <c r="L234" s="109" t="s">
        <v>726</v>
      </c>
      <c r="M234" s="87" t="s">
        <v>880</v>
      </c>
      <c r="N234" s="87">
        <v>9</v>
      </c>
      <c r="O234" s="87" t="s">
        <v>977</v>
      </c>
      <c r="P234" s="87">
        <v>18</v>
      </c>
      <c r="R234" s="87"/>
      <c r="S234" s="26">
        <v>1125</v>
      </c>
      <c r="T234" s="26" t="s">
        <v>1436</v>
      </c>
      <c r="U234" s="26" t="s">
        <v>1434</v>
      </c>
      <c r="V234" s="26" t="s">
        <v>1435</v>
      </c>
      <c r="W234" s="62">
        <v>44816</v>
      </c>
      <c r="X234" s="62">
        <v>45086</v>
      </c>
      <c r="Y234" s="62"/>
      <c r="Z234" s="62"/>
      <c r="AA234" s="22" t="s">
        <v>1102</v>
      </c>
      <c r="AB234" s="23"/>
      <c r="AC234" s="23"/>
      <c r="AD234" s="23"/>
      <c r="AE234" s="23" t="s">
        <v>731</v>
      </c>
      <c r="AF234" s="23" t="s">
        <v>731</v>
      </c>
      <c r="AG234" s="23" t="s">
        <v>731</v>
      </c>
      <c r="AH234" s="23" t="s">
        <v>731</v>
      </c>
      <c r="AI234" s="23" t="s">
        <v>731</v>
      </c>
      <c r="AJ234" s="23" t="s">
        <v>731</v>
      </c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42">
        <v>10</v>
      </c>
      <c r="AW234" s="18"/>
      <c r="AY234" s="42"/>
      <c r="AZ234" s="42"/>
      <c r="BB234" s="45">
        <v>1</v>
      </c>
      <c r="BC234" s="41">
        <f>IF(AND((AV234/I234)&lt;2,BB234=1),(I234*2)-AV234,0)</f>
        <v>0</v>
      </c>
      <c r="BD234" s="41">
        <f>IF(AND((AV234/I234)&lt;3,BB234=2),(I234*3)-AV234,0)</f>
        <v>0</v>
      </c>
      <c r="BG234" s="18"/>
      <c r="BH234" s="18">
        <v>15</v>
      </c>
      <c r="BI234" s="18">
        <v>20</v>
      </c>
      <c r="BJ234" s="18">
        <v>21</v>
      </c>
      <c r="BK234" s="18">
        <v>15</v>
      </c>
      <c r="BL234" s="18">
        <v>17</v>
      </c>
      <c r="BM234" s="55">
        <f>SUM(AV234:AX234)+SUM(BC234:BD234)+SUM(BE234:BF234)+BG234</f>
        <v>10</v>
      </c>
      <c r="BN234" s="55"/>
      <c r="BO234" s="55"/>
      <c r="BP234" s="55"/>
      <c r="BQ234" s="55"/>
      <c r="BR234" s="55"/>
      <c r="BS234" s="55"/>
      <c r="BT234" s="55"/>
      <c r="BU234" s="55"/>
      <c r="BV234" s="55"/>
      <c r="BW234" s="55"/>
      <c r="BX234" s="55"/>
      <c r="BY234" s="55"/>
    </row>
    <row r="235" spans="2:77" ht="33.75">
      <c r="B235" s="89">
        <v>229</v>
      </c>
      <c r="C235" s="93">
        <v>122</v>
      </c>
      <c r="D235" s="93">
        <v>23</v>
      </c>
      <c r="E235" s="94">
        <v>0.28472222222222221</v>
      </c>
      <c r="F235" s="94">
        <v>0.29375000000000001</v>
      </c>
      <c r="G235" s="106" t="s">
        <v>1033</v>
      </c>
      <c r="H235" s="93" t="s">
        <v>97</v>
      </c>
      <c r="I235" s="96">
        <v>6.1</v>
      </c>
      <c r="J235" s="97" t="s">
        <v>116</v>
      </c>
      <c r="K235" s="98">
        <v>208</v>
      </c>
      <c r="L235" s="99" t="s">
        <v>1087</v>
      </c>
      <c r="M235" s="87" t="s">
        <v>854</v>
      </c>
      <c r="N235" s="87">
        <v>24</v>
      </c>
      <c r="O235" s="87" t="s">
        <v>855</v>
      </c>
      <c r="P235" s="87">
        <v>21</v>
      </c>
      <c r="Q235" s="87" t="s">
        <v>1927</v>
      </c>
      <c r="R235" s="84">
        <v>24</v>
      </c>
      <c r="S235" s="26" t="s">
        <v>1441</v>
      </c>
      <c r="T235" s="26" t="s">
        <v>1442</v>
      </c>
      <c r="U235" s="26">
        <v>1220</v>
      </c>
      <c r="V235" s="26" t="s">
        <v>1443</v>
      </c>
      <c r="W235" s="62">
        <v>44816</v>
      </c>
      <c r="X235" s="62">
        <v>45086</v>
      </c>
      <c r="Y235" s="62"/>
      <c r="Z235" s="62"/>
      <c r="AA235" s="22" t="s">
        <v>1106</v>
      </c>
      <c r="AB235" s="23"/>
      <c r="AC235" s="23"/>
      <c r="AD235" s="23"/>
      <c r="AE235" s="23" t="s">
        <v>731</v>
      </c>
      <c r="AF235" s="23" t="s">
        <v>731</v>
      </c>
      <c r="AG235" s="23" t="s">
        <v>731</v>
      </c>
      <c r="AH235" s="23" t="s">
        <v>731</v>
      </c>
      <c r="AI235" s="23" t="s">
        <v>731</v>
      </c>
      <c r="AJ235" s="23" t="s">
        <v>731</v>
      </c>
      <c r="AK235" s="23" t="s">
        <v>731</v>
      </c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42">
        <v>12.2</v>
      </c>
      <c r="AW235" s="18"/>
      <c r="AY235" s="42"/>
      <c r="AZ235" s="42"/>
      <c r="BB235" s="45">
        <v>1</v>
      </c>
      <c r="BC235" s="41">
        <f>IF(AND((AV235/I235)&lt;2,BB235=1),(I235*2)-AV235,0)</f>
        <v>0</v>
      </c>
      <c r="BD235" s="41">
        <f>IF(AND((AV235/I235)&lt;3,BB235=2),(I235*3)-AV235,0)</f>
        <v>0</v>
      </c>
      <c r="BG235" s="41">
        <f>IF((AV235+AW235+AX235)&lt;20,(20-(AV235+AW235+AX235)),0)</f>
        <v>7.8000000000000007</v>
      </c>
      <c r="BH235" s="18">
        <v>17</v>
      </c>
      <c r="BI235" s="18">
        <v>25</v>
      </c>
      <c r="BJ235" s="18">
        <v>25</v>
      </c>
      <c r="BK235" s="18">
        <v>18</v>
      </c>
      <c r="BL235" s="18">
        <v>20</v>
      </c>
      <c r="BM235" s="55">
        <f>SUM(AV235:AX235)+SUM(BC235:BD235)+SUM(BE235:BF235)+BG235</f>
        <v>20</v>
      </c>
      <c r="BN235" s="55"/>
      <c r="BO235" s="55"/>
      <c r="BP235" s="55"/>
      <c r="BQ235" s="55"/>
      <c r="BR235" s="55"/>
      <c r="BS235" s="55"/>
      <c r="BT235" s="55"/>
      <c r="BU235" s="55"/>
      <c r="BV235" s="55"/>
      <c r="BW235" s="55"/>
      <c r="BX235" s="55"/>
      <c r="BY235" s="55"/>
    </row>
    <row r="236" spans="2:77" ht="33.75">
      <c r="B236" s="89">
        <v>230</v>
      </c>
      <c r="C236" s="93">
        <v>122</v>
      </c>
      <c r="D236" s="97">
        <v>920</v>
      </c>
      <c r="E236" s="94">
        <v>0.30555555555555552</v>
      </c>
      <c r="F236" s="94">
        <v>0.3298611111111111</v>
      </c>
      <c r="G236" s="93" t="s">
        <v>682</v>
      </c>
      <c r="H236" s="93" t="s">
        <v>97</v>
      </c>
      <c r="I236" s="96">
        <v>10</v>
      </c>
      <c r="J236" s="97" t="s">
        <v>99</v>
      </c>
      <c r="K236" s="98">
        <v>208</v>
      </c>
      <c r="L236" s="99" t="s">
        <v>1087</v>
      </c>
      <c r="M236" s="87" t="s">
        <v>854</v>
      </c>
      <c r="N236" s="87">
        <v>24</v>
      </c>
      <c r="O236" s="87" t="s">
        <v>855</v>
      </c>
      <c r="P236" s="87">
        <v>21</v>
      </c>
      <c r="Q236" s="87" t="s">
        <v>1927</v>
      </c>
      <c r="R236" s="84">
        <v>24</v>
      </c>
      <c r="S236" s="26" t="s">
        <v>1444</v>
      </c>
      <c r="T236" s="26" t="s">
        <v>1445</v>
      </c>
      <c r="U236" s="26" t="s">
        <v>1446</v>
      </c>
      <c r="V236" s="26" t="s">
        <v>1447</v>
      </c>
      <c r="W236" s="62">
        <v>44816</v>
      </c>
      <c r="X236" s="62">
        <v>45086</v>
      </c>
      <c r="Y236" s="62"/>
      <c r="Z236" s="62"/>
      <c r="AA236" s="22" t="s">
        <v>1106</v>
      </c>
      <c r="AB236" s="23"/>
      <c r="AC236" s="23"/>
      <c r="AD236" s="23"/>
      <c r="AE236" s="23" t="s">
        <v>731</v>
      </c>
      <c r="AF236" s="23" t="s">
        <v>731</v>
      </c>
      <c r="AG236" s="23" t="s">
        <v>731</v>
      </c>
      <c r="AH236" s="23" t="s">
        <v>731</v>
      </c>
      <c r="AI236" s="23" t="s">
        <v>731</v>
      </c>
      <c r="AJ236" s="23" t="s">
        <v>731</v>
      </c>
      <c r="AK236" s="23" t="s">
        <v>731</v>
      </c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42">
        <v>45.81</v>
      </c>
      <c r="AW236" s="18"/>
      <c r="AY236" s="42"/>
      <c r="AZ236" s="42"/>
      <c r="BB236" s="45">
        <v>1</v>
      </c>
      <c r="BC236" s="41">
        <f>IF(AND((AV236/I236)&lt;2,BB236=1),(I236*2)-AV236,0)</f>
        <v>0</v>
      </c>
      <c r="BD236" s="41">
        <f>IF(AND((AV236/I236)&lt;3,BB236=2),(I236*3)-AV236,0)</f>
        <v>0</v>
      </c>
      <c r="BG236" s="18"/>
      <c r="BH236" s="18">
        <v>17</v>
      </c>
      <c r="BI236" s="18">
        <v>25</v>
      </c>
      <c r="BJ236" s="18">
        <v>25</v>
      </c>
      <c r="BK236" s="18">
        <v>18</v>
      </c>
      <c r="BL236" s="18">
        <v>20</v>
      </c>
      <c r="BM236" s="55">
        <f>SUM(AV236:AX236)+SUM(BC236:BD236)+SUM(BE236:BF236)+BG236</f>
        <v>45.81</v>
      </c>
      <c r="BN236" s="55"/>
      <c r="BO236" s="55"/>
      <c r="BP236" s="55"/>
      <c r="BQ236" s="55"/>
      <c r="BR236" s="55"/>
      <c r="BS236" s="55"/>
      <c r="BT236" s="55"/>
      <c r="BU236" s="55"/>
      <c r="BV236" s="55"/>
      <c r="BW236" s="55"/>
      <c r="BX236" s="55"/>
      <c r="BY236" s="55"/>
    </row>
    <row r="237" spans="2:77" ht="33.75">
      <c r="B237" s="89">
        <v>231</v>
      </c>
      <c r="C237" s="93">
        <v>122</v>
      </c>
      <c r="D237" s="97">
        <v>924</v>
      </c>
      <c r="E237" s="94">
        <v>0.54513888888888895</v>
      </c>
      <c r="F237" s="94">
        <v>0.55902777777777779</v>
      </c>
      <c r="G237" s="93" t="s">
        <v>683</v>
      </c>
      <c r="H237" s="93" t="s">
        <v>97</v>
      </c>
      <c r="I237" s="96">
        <v>10</v>
      </c>
      <c r="J237" s="97" t="s">
        <v>99</v>
      </c>
      <c r="K237" s="98">
        <v>208</v>
      </c>
      <c r="L237" s="99" t="s">
        <v>1087</v>
      </c>
      <c r="M237" s="87" t="s">
        <v>854</v>
      </c>
      <c r="N237" s="87">
        <v>24</v>
      </c>
      <c r="O237" s="87" t="s">
        <v>855</v>
      </c>
      <c r="P237" s="87">
        <v>21</v>
      </c>
      <c r="Q237" s="87" t="s">
        <v>1927</v>
      </c>
      <c r="R237" s="84">
        <v>24</v>
      </c>
      <c r="S237" s="26" t="s">
        <v>1448</v>
      </c>
      <c r="T237" s="26" t="s">
        <v>1449</v>
      </c>
      <c r="U237" s="26" t="s">
        <v>1444</v>
      </c>
      <c r="V237" s="26" t="s">
        <v>1445</v>
      </c>
      <c r="W237" s="62">
        <v>44816</v>
      </c>
      <c r="X237" s="62">
        <v>45086</v>
      </c>
      <c r="Y237" s="62"/>
      <c r="Z237" s="62"/>
      <c r="AA237" s="22" t="s">
        <v>1106</v>
      </c>
      <c r="AB237" s="23"/>
      <c r="AC237" s="23"/>
      <c r="AD237" s="23"/>
      <c r="AE237" s="23" t="s">
        <v>731</v>
      </c>
      <c r="AF237" s="23" t="s">
        <v>731</v>
      </c>
      <c r="AG237" s="23" t="s">
        <v>731</v>
      </c>
      <c r="AH237" s="23" t="s">
        <v>731</v>
      </c>
      <c r="AI237" s="23" t="s">
        <v>731</v>
      </c>
      <c r="AJ237" s="23" t="s">
        <v>731</v>
      </c>
      <c r="AK237" s="23" t="s">
        <v>731</v>
      </c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42">
        <v>45.8</v>
      </c>
      <c r="AW237" s="18"/>
      <c r="AY237" s="42"/>
      <c r="AZ237" s="42"/>
      <c r="BB237" s="45">
        <v>1</v>
      </c>
      <c r="BC237" s="41">
        <f>IF(AND((AV237/I237)&lt;2,BB237=1),(I237*2)-AV237,0)</f>
        <v>0</v>
      </c>
      <c r="BD237" s="41">
        <f>IF(AND((AV237/I237)&lt;3,BB237=2),(I237*3)-AV237,0)</f>
        <v>0</v>
      </c>
      <c r="BG237" s="18"/>
      <c r="BH237" s="18">
        <v>17</v>
      </c>
      <c r="BI237" s="18">
        <v>25</v>
      </c>
      <c r="BJ237" s="18">
        <v>25</v>
      </c>
      <c r="BK237" s="18">
        <v>18</v>
      </c>
      <c r="BL237" s="18">
        <v>20</v>
      </c>
      <c r="BM237" s="55">
        <f>SUM(AV237:AX237)+SUM(BC237:BD237)+SUM(BE237:BF237)+BG237</f>
        <v>45.8</v>
      </c>
      <c r="BN237" s="55"/>
      <c r="BO237" s="55"/>
      <c r="BP237" s="55"/>
      <c r="BQ237" s="55"/>
      <c r="BR237" s="55"/>
      <c r="BS237" s="55"/>
      <c r="BT237" s="55"/>
      <c r="BU237" s="55"/>
      <c r="BV237" s="55"/>
      <c r="BW237" s="55"/>
      <c r="BX237" s="55"/>
      <c r="BY237" s="55"/>
    </row>
    <row r="238" spans="2:77" ht="33.75">
      <c r="B238" s="89">
        <v>232</v>
      </c>
      <c r="C238" s="93">
        <v>122</v>
      </c>
      <c r="D238" s="93">
        <v>926</v>
      </c>
      <c r="E238" s="94">
        <v>0.58680555555555558</v>
      </c>
      <c r="F238" s="94">
        <v>0.60069444444444442</v>
      </c>
      <c r="G238" s="93" t="s">
        <v>313</v>
      </c>
      <c r="H238" s="93" t="s">
        <v>311</v>
      </c>
      <c r="I238" s="96">
        <v>10</v>
      </c>
      <c r="J238" s="97" t="s">
        <v>93</v>
      </c>
      <c r="K238" s="98">
        <v>68</v>
      </c>
      <c r="L238" s="99" t="s">
        <v>1087</v>
      </c>
      <c r="M238" s="87" t="s">
        <v>854</v>
      </c>
      <c r="N238" s="87">
        <v>24</v>
      </c>
      <c r="O238" s="87" t="s">
        <v>855</v>
      </c>
      <c r="P238" s="87">
        <v>21</v>
      </c>
      <c r="Q238" s="87" t="s">
        <v>1927</v>
      </c>
      <c r="R238" s="84">
        <v>24</v>
      </c>
      <c r="S238" s="26" t="s">
        <v>1444</v>
      </c>
      <c r="T238" s="26" t="s">
        <v>1445</v>
      </c>
      <c r="U238" s="26" t="s">
        <v>1448</v>
      </c>
      <c r="V238" s="26" t="s">
        <v>1449</v>
      </c>
      <c r="W238" s="62">
        <v>44816</v>
      </c>
      <c r="X238" s="62">
        <v>45086</v>
      </c>
      <c r="Y238" s="62"/>
      <c r="Z238" s="62"/>
      <c r="AA238" s="26" t="s">
        <v>1122</v>
      </c>
      <c r="AB238" s="23"/>
      <c r="AC238" s="23"/>
      <c r="AD238" s="23"/>
      <c r="AE238" s="23" t="s">
        <v>731</v>
      </c>
      <c r="AF238" s="23"/>
      <c r="AG238" s="23" t="s">
        <v>731</v>
      </c>
      <c r="AH238" s="23"/>
      <c r="AI238" s="23" t="s">
        <v>731</v>
      </c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42">
        <v>18</v>
      </c>
      <c r="AW238" s="18"/>
      <c r="AY238" s="42"/>
      <c r="AZ238" s="42"/>
      <c r="BB238" s="45">
        <v>1</v>
      </c>
      <c r="BC238" s="41">
        <f>IF(AND((AV238/I238)&lt;2,BB238=1),(I238*2)-AV238,0)</f>
        <v>2</v>
      </c>
      <c r="BD238" s="41">
        <f>IF(AND((AV238/I238)&lt;3,BB238=2),(I238*3)-AV238,0)</f>
        <v>0</v>
      </c>
      <c r="BG238" s="18"/>
      <c r="BH238" s="18">
        <v>6</v>
      </c>
      <c r="BI238" s="18">
        <v>8</v>
      </c>
      <c r="BJ238" s="18">
        <v>8</v>
      </c>
      <c r="BK238" s="18">
        <v>6</v>
      </c>
      <c r="BL238" s="18">
        <v>7</v>
      </c>
      <c r="BM238" s="55">
        <f>SUM(AV238:AX238)+SUM(BC238:BD238)+SUM(BE238:BF238)+BG238</f>
        <v>20</v>
      </c>
      <c r="BN238" s="55"/>
      <c r="BO238" s="55"/>
      <c r="BP238" s="55"/>
      <c r="BQ238" s="55"/>
      <c r="BR238" s="55"/>
      <c r="BS238" s="55"/>
      <c r="BT238" s="55"/>
      <c r="BU238" s="55"/>
      <c r="BV238" s="55"/>
      <c r="BW238" s="55"/>
      <c r="BX238" s="55"/>
      <c r="BY238" s="55"/>
    </row>
    <row r="239" spans="2:77" ht="33.75">
      <c r="B239" s="89">
        <v>233</v>
      </c>
      <c r="C239" s="93">
        <v>122</v>
      </c>
      <c r="D239" s="93">
        <v>927</v>
      </c>
      <c r="E239" s="94">
        <v>0.69097222222222221</v>
      </c>
      <c r="F239" s="94">
        <v>0.70486111111111116</v>
      </c>
      <c r="G239" s="93" t="s">
        <v>312</v>
      </c>
      <c r="H239" s="93" t="s">
        <v>311</v>
      </c>
      <c r="I239" s="96">
        <v>10</v>
      </c>
      <c r="J239" s="97" t="s">
        <v>93</v>
      </c>
      <c r="K239" s="98">
        <v>68</v>
      </c>
      <c r="L239" s="99" t="s">
        <v>1087</v>
      </c>
      <c r="M239" s="87" t="s">
        <v>854</v>
      </c>
      <c r="N239" s="87">
        <v>24</v>
      </c>
      <c r="O239" s="87" t="s">
        <v>855</v>
      </c>
      <c r="P239" s="87">
        <v>21</v>
      </c>
      <c r="Q239" s="87" t="s">
        <v>1927</v>
      </c>
      <c r="R239" s="84">
        <v>24</v>
      </c>
      <c r="S239" s="26" t="s">
        <v>1448</v>
      </c>
      <c r="T239" s="26" t="s">
        <v>1449</v>
      </c>
      <c r="U239" s="26" t="s">
        <v>1444</v>
      </c>
      <c r="V239" s="26" t="s">
        <v>1445</v>
      </c>
      <c r="W239" s="62">
        <v>44816</v>
      </c>
      <c r="X239" s="62">
        <v>45086</v>
      </c>
      <c r="Y239" s="62"/>
      <c r="Z239" s="62"/>
      <c r="AA239" s="26" t="s">
        <v>1122</v>
      </c>
      <c r="AB239" s="23"/>
      <c r="AC239" s="23"/>
      <c r="AD239" s="23"/>
      <c r="AE239" s="23" t="s">
        <v>731</v>
      </c>
      <c r="AF239" s="23"/>
      <c r="AG239" s="23" t="s">
        <v>731</v>
      </c>
      <c r="AH239" s="23"/>
      <c r="AI239" s="23" t="s">
        <v>731</v>
      </c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42">
        <v>18</v>
      </c>
      <c r="AW239" s="18"/>
      <c r="AY239" s="42"/>
      <c r="AZ239" s="42"/>
      <c r="BB239" s="45">
        <v>1</v>
      </c>
      <c r="BC239" s="41">
        <f>IF(AND((AV239/I239)&lt;2,BB239=1),(I239*2)-AV239,0)</f>
        <v>2</v>
      </c>
      <c r="BD239" s="41">
        <f>IF(AND((AV239/I239)&lt;3,BB239=2),(I239*3)-AV239,0)</f>
        <v>0</v>
      </c>
      <c r="BG239" s="18"/>
      <c r="BH239" s="18">
        <v>6</v>
      </c>
      <c r="BI239" s="18">
        <v>8</v>
      </c>
      <c r="BJ239" s="18">
        <v>8</v>
      </c>
      <c r="BK239" s="18">
        <v>6</v>
      </c>
      <c r="BL239" s="18">
        <v>7</v>
      </c>
      <c r="BM239" s="55">
        <f>SUM(AV239:AX239)+SUM(BC239:BD239)+SUM(BE239:BF239)+BG239</f>
        <v>20</v>
      </c>
      <c r="BN239" s="55"/>
      <c r="BO239" s="55"/>
      <c r="BP239" s="55"/>
      <c r="BQ239" s="55"/>
      <c r="BR239" s="55"/>
      <c r="BS239" s="55"/>
      <c r="BT239" s="55"/>
      <c r="BU239" s="55"/>
      <c r="BV239" s="55"/>
      <c r="BW239" s="55"/>
      <c r="BX239" s="55"/>
      <c r="BY239" s="55"/>
    </row>
    <row r="240" spans="2:77" ht="89.25">
      <c r="B240" s="89">
        <v>234</v>
      </c>
      <c r="C240" s="93">
        <v>123</v>
      </c>
      <c r="D240" s="93">
        <v>1</v>
      </c>
      <c r="E240" s="94">
        <v>0.31597222222222221</v>
      </c>
      <c r="F240" s="94">
        <v>0.34027777777777773</v>
      </c>
      <c r="G240" s="93" t="s">
        <v>338</v>
      </c>
      <c r="H240" s="93" t="s">
        <v>638</v>
      </c>
      <c r="I240" s="96">
        <v>22</v>
      </c>
      <c r="J240" s="97" t="s">
        <v>93</v>
      </c>
      <c r="K240" s="98">
        <v>25</v>
      </c>
      <c r="L240" s="99" t="s">
        <v>737</v>
      </c>
      <c r="M240" s="87" t="s">
        <v>852</v>
      </c>
      <c r="N240" s="87">
        <v>20</v>
      </c>
      <c r="O240" s="87" t="s">
        <v>1934</v>
      </c>
      <c r="P240" s="87" t="s">
        <v>1874</v>
      </c>
      <c r="R240" s="87"/>
      <c r="S240" s="26">
        <v>1255</v>
      </c>
      <c r="T240" s="26" t="s">
        <v>1321</v>
      </c>
      <c r="U240" s="26" t="s">
        <v>1319</v>
      </c>
      <c r="V240" s="26" t="s">
        <v>1320</v>
      </c>
      <c r="W240" s="63">
        <v>44816</v>
      </c>
      <c r="X240" s="63">
        <v>44911</v>
      </c>
      <c r="Y240" s="63">
        <v>45004</v>
      </c>
      <c r="Z240" s="63">
        <v>45100</v>
      </c>
      <c r="AA240" s="23" t="s">
        <v>1825</v>
      </c>
      <c r="AB240" s="23" t="s">
        <v>731</v>
      </c>
      <c r="AC240" s="23"/>
      <c r="AD240" s="23" t="s">
        <v>731</v>
      </c>
      <c r="AE240" s="23"/>
      <c r="AF240" s="23" t="s">
        <v>731</v>
      </c>
      <c r="AG240" s="23"/>
      <c r="AH240" s="23"/>
      <c r="AI240" s="23"/>
      <c r="AJ240" s="23" t="s">
        <v>731</v>
      </c>
      <c r="AK240" s="23" t="s">
        <v>731</v>
      </c>
      <c r="AL240" s="23"/>
      <c r="AM240" s="23" t="s">
        <v>731</v>
      </c>
      <c r="AN240" s="23"/>
      <c r="AO240" s="23" t="s">
        <v>731</v>
      </c>
      <c r="AP240" s="23"/>
      <c r="AQ240" s="23"/>
      <c r="AR240" s="23"/>
      <c r="AS240" s="23"/>
      <c r="AT240" s="23"/>
      <c r="AU240" s="23"/>
      <c r="AV240" s="42">
        <v>61.98</v>
      </c>
      <c r="AW240" s="18"/>
      <c r="AY240" s="42"/>
      <c r="AZ240" s="42"/>
      <c r="BB240" s="45">
        <v>1</v>
      </c>
      <c r="BC240" s="41">
        <f>IF(AND((AV240/I240)&lt;2,BB240=1),(I240*2)-AV240,0)</f>
        <v>0</v>
      </c>
      <c r="BD240" s="41">
        <f>IF(AND((AV240/I240)&lt;3,BB240=2),(I240*3)-AV240,0)</f>
        <v>0</v>
      </c>
      <c r="BG240" s="18"/>
      <c r="BH240" s="18">
        <v>8</v>
      </c>
      <c r="BI240" s="18">
        <v>14</v>
      </c>
      <c r="BJ240" s="18">
        <v>13</v>
      </c>
      <c r="BK240" s="18">
        <v>8</v>
      </c>
      <c r="BL240" s="18">
        <v>0</v>
      </c>
      <c r="BM240" s="55">
        <f>SUM(AV240:AX240)+SUM(BC240:BD240)+SUM(BE240:BF240)+BG240</f>
        <v>61.98</v>
      </c>
      <c r="BN240" s="55"/>
      <c r="BO240" s="55"/>
      <c r="BP240" s="55"/>
      <c r="BQ240" s="55"/>
      <c r="BR240" s="55"/>
      <c r="BS240" s="55"/>
      <c r="BT240" s="55"/>
      <c r="BU240" s="55"/>
      <c r="BV240" s="55"/>
      <c r="BW240" s="55"/>
      <c r="BX240" s="55"/>
      <c r="BY240" s="55"/>
    </row>
    <row r="241" spans="2:77" ht="76.5">
      <c r="B241" s="89">
        <v>235</v>
      </c>
      <c r="C241" s="93">
        <v>123</v>
      </c>
      <c r="D241" s="93">
        <v>1</v>
      </c>
      <c r="E241" s="94">
        <v>0.31597222222222221</v>
      </c>
      <c r="F241" s="94">
        <v>0.34027777777777773</v>
      </c>
      <c r="G241" s="93" t="s">
        <v>338</v>
      </c>
      <c r="H241" s="93" t="s">
        <v>637</v>
      </c>
      <c r="I241" s="96">
        <v>22</v>
      </c>
      <c r="J241" s="97" t="s">
        <v>234</v>
      </c>
      <c r="K241" s="98">
        <f>24+27+27+5</f>
        <v>83</v>
      </c>
      <c r="L241" s="99" t="s">
        <v>737</v>
      </c>
      <c r="M241" s="87" t="s">
        <v>851</v>
      </c>
      <c r="N241" s="87">
        <v>23</v>
      </c>
      <c r="O241" s="87" t="s">
        <v>1937</v>
      </c>
      <c r="P241" s="87" t="s">
        <v>1875</v>
      </c>
      <c r="R241" s="87"/>
      <c r="S241" s="26">
        <v>1255</v>
      </c>
      <c r="T241" s="26" t="s">
        <v>1321</v>
      </c>
      <c r="U241" s="26" t="s">
        <v>1319</v>
      </c>
      <c r="V241" s="26" t="s">
        <v>1320</v>
      </c>
      <c r="W241" s="63">
        <v>44912</v>
      </c>
      <c r="X241" s="63">
        <v>45003</v>
      </c>
      <c r="Y241" s="63"/>
      <c r="Z241" s="63"/>
      <c r="AA241" s="23" t="s">
        <v>1824</v>
      </c>
      <c r="AB241" s="23" t="s">
        <v>731</v>
      </c>
      <c r="AC241" s="23"/>
      <c r="AD241" s="23" t="s">
        <v>731</v>
      </c>
      <c r="AE241" s="23"/>
      <c r="AF241" s="23" t="s">
        <v>731</v>
      </c>
      <c r="AG241" s="23" t="s">
        <v>731</v>
      </c>
      <c r="AH241" s="23" t="s">
        <v>731</v>
      </c>
      <c r="AI241" s="23" t="s">
        <v>731</v>
      </c>
      <c r="AJ241" s="23" t="s">
        <v>731</v>
      </c>
      <c r="AK241" s="23" t="s">
        <v>731</v>
      </c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42">
        <v>78.87</v>
      </c>
      <c r="AW241" s="18"/>
      <c r="AY241" s="42"/>
      <c r="AZ241" s="42"/>
      <c r="BB241" s="45">
        <v>1</v>
      </c>
      <c r="BC241" s="41">
        <f>IF(AND((AV241/I241)&lt;2,BB241=1),(I241*2)-AV241,0)</f>
        <v>0</v>
      </c>
      <c r="BD241" s="41">
        <f>IF(AND((AV241/I241)&lt;3,BB241=2),(I241*3)-AV241,0)</f>
        <v>0</v>
      </c>
      <c r="BG241" s="18"/>
      <c r="BH241" s="18">
        <v>0</v>
      </c>
      <c r="BI241" s="18">
        <v>0</v>
      </c>
      <c r="BJ241" s="18">
        <v>0</v>
      </c>
      <c r="BK241" s="18">
        <v>12</v>
      </c>
      <c r="BL241" s="18">
        <v>25</v>
      </c>
      <c r="BM241" s="55">
        <f>SUM(AV241:AX241)+SUM(BC241:BD241)+SUM(BE241:BF241)+BG241</f>
        <v>78.87</v>
      </c>
      <c r="BN241" s="55"/>
      <c r="BO241" s="55"/>
      <c r="BP241" s="55"/>
      <c r="BQ241" s="55"/>
      <c r="BR241" s="55"/>
      <c r="BS241" s="55"/>
      <c r="BT241" s="55"/>
      <c r="BU241" s="55"/>
      <c r="BV241" s="55"/>
      <c r="BW241" s="55"/>
      <c r="BX241" s="55"/>
      <c r="BY241" s="55"/>
    </row>
    <row r="242" spans="2:77" ht="89.25">
      <c r="B242" s="89">
        <v>236</v>
      </c>
      <c r="C242" s="93">
        <v>123</v>
      </c>
      <c r="D242" s="93">
        <v>6</v>
      </c>
      <c r="E242" s="94">
        <v>0.70833333333333337</v>
      </c>
      <c r="F242" s="94">
        <v>0.73263888888888884</v>
      </c>
      <c r="G242" s="93" t="s">
        <v>337</v>
      </c>
      <c r="H242" s="93" t="s">
        <v>638</v>
      </c>
      <c r="I242" s="96">
        <v>22</v>
      </c>
      <c r="J242" s="97" t="s">
        <v>93</v>
      </c>
      <c r="K242" s="98">
        <v>25</v>
      </c>
      <c r="L242" s="99" t="s">
        <v>737</v>
      </c>
      <c r="M242" s="87" t="s">
        <v>853</v>
      </c>
      <c r="N242" s="87">
        <v>20</v>
      </c>
      <c r="O242" s="87" t="s">
        <v>1934</v>
      </c>
      <c r="P242" s="87" t="s">
        <v>1874</v>
      </c>
      <c r="R242" s="87"/>
      <c r="S242" s="26" t="s">
        <v>1319</v>
      </c>
      <c r="T242" s="26" t="s">
        <v>1320</v>
      </c>
      <c r="U242" s="26">
        <v>1255</v>
      </c>
      <c r="V242" s="26" t="s">
        <v>1321</v>
      </c>
      <c r="W242" s="63">
        <v>44816</v>
      </c>
      <c r="X242" s="63">
        <v>44911</v>
      </c>
      <c r="Y242" s="63">
        <v>45004</v>
      </c>
      <c r="Z242" s="63">
        <v>45100</v>
      </c>
      <c r="AA242" s="23" t="s">
        <v>1825</v>
      </c>
      <c r="AB242" s="23" t="s">
        <v>731</v>
      </c>
      <c r="AC242" s="23"/>
      <c r="AD242" s="23" t="s">
        <v>731</v>
      </c>
      <c r="AE242" s="23"/>
      <c r="AF242" s="23" t="s">
        <v>731</v>
      </c>
      <c r="AG242" s="23"/>
      <c r="AH242" s="23"/>
      <c r="AI242" s="23"/>
      <c r="AJ242" s="23" t="s">
        <v>731</v>
      </c>
      <c r="AK242" s="23" t="s">
        <v>731</v>
      </c>
      <c r="AL242" s="23"/>
      <c r="AM242" s="23" t="s">
        <v>731</v>
      </c>
      <c r="AN242" s="23"/>
      <c r="AO242" s="23" t="s">
        <v>731</v>
      </c>
      <c r="AP242" s="23"/>
      <c r="AQ242" s="23"/>
      <c r="AR242" s="23"/>
      <c r="AS242" s="23"/>
      <c r="AT242" s="23"/>
      <c r="AU242" s="23"/>
      <c r="AV242" s="42">
        <v>61.98</v>
      </c>
      <c r="AW242" s="18"/>
      <c r="AY242" s="42"/>
      <c r="AZ242" s="42"/>
      <c r="BB242" s="45">
        <v>1</v>
      </c>
      <c r="BC242" s="41">
        <f>IF(AND((AV242/I242)&lt;2,BB242=1),(I242*2)-AV242,0)</f>
        <v>0</v>
      </c>
      <c r="BD242" s="41">
        <f>IF(AND((AV242/I242)&lt;3,BB242=2),(I242*3)-AV242,0)</f>
        <v>0</v>
      </c>
      <c r="BG242" s="18"/>
      <c r="BH242" s="18">
        <v>8</v>
      </c>
      <c r="BI242" s="18">
        <v>14</v>
      </c>
      <c r="BJ242" s="18">
        <v>13</v>
      </c>
      <c r="BK242" s="18">
        <v>8</v>
      </c>
      <c r="BL242" s="18">
        <v>0</v>
      </c>
      <c r="BM242" s="55">
        <f>SUM(AV242:AX242)+SUM(BC242:BD242)+SUM(BE242:BF242)+BG242</f>
        <v>61.98</v>
      </c>
      <c r="BN242" s="55"/>
      <c r="BO242" s="55"/>
      <c r="BP242" s="55"/>
      <c r="BQ242" s="55"/>
      <c r="BR242" s="55"/>
      <c r="BS242" s="55"/>
      <c r="BT242" s="55"/>
      <c r="BU242" s="55"/>
      <c r="BV242" s="55"/>
      <c r="BW242" s="55"/>
      <c r="BX242" s="55"/>
      <c r="BY242" s="55"/>
    </row>
    <row r="243" spans="2:77" ht="76.5">
      <c r="B243" s="89">
        <v>237</v>
      </c>
      <c r="C243" s="93">
        <v>123</v>
      </c>
      <c r="D243" s="93">
        <v>6</v>
      </c>
      <c r="E243" s="94">
        <v>0.70833333333333337</v>
      </c>
      <c r="F243" s="94">
        <v>0.73263888888888884</v>
      </c>
      <c r="G243" s="93" t="s">
        <v>337</v>
      </c>
      <c r="H243" s="93" t="s">
        <v>637</v>
      </c>
      <c r="I243" s="96">
        <v>22</v>
      </c>
      <c r="J243" s="97" t="s">
        <v>234</v>
      </c>
      <c r="K243" s="98">
        <f>24+27+27+5</f>
        <v>83</v>
      </c>
      <c r="L243" s="99" t="s">
        <v>737</v>
      </c>
      <c r="M243" s="87" t="s">
        <v>851</v>
      </c>
      <c r="N243" s="87" t="s">
        <v>234</v>
      </c>
      <c r="O243" s="87" t="s">
        <v>1937</v>
      </c>
      <c r="P243" s="87" t="s">
        <v>1875</v>
      </c>
      <c r="R243" s="87"/>
      <c r="S243" s="26" t="s">
        <v>1319</v>
      </c>
      <c r="T243" s="26" t="s">
        <v>1320</v>
      </c>
      <c r="U243" s="26">
        <v>1255</v>
      </c>
      <c r="V243" s="26" t="s">
        <v>1321</v>
      </c>
      <c r="W243" s="63">
        <v>44912</v>
      </c>
      <c r="X243" s="63">
        <v>45003</v>
      </c>
      <c r="Y243" s="63"/>
      <c r="Z243" s="63"/>
      <c r="AA243" s="23" t="s">
        <v>1824</v>
      </c>
      <c r="AB243" s="23" t="s">
        <v>731</v>
      </c>
      <c r="AC243" s="23"/>
      <c r="AD243" s="23" t="s">
        <v>731</v>
      </c>
      <c r="AE243" s="23"/>
      <c r="AF243" s="23" t="s">
        <v>731</v>
      </c>
      <c r="AG243" s="23" t="s">
        <v>731</v>
      </c>
      <c r="AH243" s="23" t="s">
        <v>731</v>
      </c>
      <c r="AI243" s="23" t="s">
        <v>731</v>
      </c>
      <c r="AJ243" s="23" t="s">
        <v>731</v>
      </c>
      <c r="AK243" s="23" t="s">
        <v>731</v>
      </c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42">
        <v>78.87</v>
      </c>
      <c r="AW243" s="18"/>
      <c r="AY243" s="42"/>
      <c r="AZ243" s="42"/>
      <c r="BB243" s="45">
        <v>1</v>
      </c>
      <c r="BC243" s="41">
        <f>IF(AND((AV243/I243)&lt;2,BB243=1),(I243*2)-AV243,0)</f>
        <v>0</v>
      </c>
      <c r="BD243" s="41">
        <f>IF(AND((AV243/I243)&lt;3,BB243=2),(I243*3)-AV243,0)</f>
        <v>0</v>
      </c>
      <c r="BG243" s="18"/>
      <c r="BH243" s="18">
        <v>0</v>
      </c>
      <c r="BI243" s="18">
        <v>0</v>
      </c>
      <c r="BJ243" s="18">
        <v>0</v>
      </c>
      <c r="BK243" s="18">
        <v>12</v>
      </c>
      <c r="BL243" s="18">
        <v>25</v>
      </c>
      <c r="BM243" s="55">
        <f>SUM(AV243:AX243)+SUM(BC243:BD243)+SUM(BE243:BF243)+BG243</f>
        <v>78.87</v>
      </c>
      <c r="BN243" s="55"/>
      <c r="BO243" s="55"/>
      <c r="BP243" s="55"/>
      <c r="BQ243" s="55"/>
      <c r="BR243" s="55"/>
      <c r="BS243" s="55"/>
      <c r="BT243" s="55"/>
      <c r="BU243" s="55"/>
      <c r="BV243" s="55"/>
      <c r="BW243" s="55"/>
      <c r="BX243" s="55"/>
      <c r="BY243" s="55"/>
    </row>
    <row r="244" spans="2:77" ht="38.25">
      <c r="B244" s="89">
        <v>238</v>
      </c>
      <c r="C244" s="93">
        <v>124</v>
      </c>
      <c r="D244" s="93">
        <v>655</v>
      </c>
      <c r="E244" s="105">
        <v>0.25347222222222221</v>
      </c>
      <c r="F244" s="94">
        <v>0.3125</v>
      </c>
      <c r="G244" s="93" t="s">
        <v>401</v>
      </c>
      <c r="H244" s="93" t="s">
        <v>617</v>
      </c>
      <c r="I244" s="96">
        <v>65.5</v>
      </c>
      <c r="J244" s="97">
        <v>29</v>
      </c>
      <c r="K244" s="98">
        <v>36</v>
      </c>
      <c r="L244" s="99" t="s">
        <v>738</v>
      </c>
      <c r="M244" s="87" t="s">
        <v>881</v>
      </c>
      <c r="N244" s="87">
        <v>8</v>
      </c>
      <c r="O244" s="87" t="s">
        <v>882</v>
      </c>
      <c r="P244" s="87">
        <v>21</v>
      </c>
      <c r="Q244" s="87" t="s">
        <v>883</v>
      </c>
      <c r="R244" s="87">
        <v>8</v>
      </c>
      <c r="S244" s="26" t="s">
        <v>1450</v>
      </c>
      <c r="T244" s="26" t="s">
        <v>1451</v>
      </c>
      <c r="U244" s="26">
        <v>1300</v>
      </c>
      <c r="V244" s="26" t="s">
        <v>1452</v>
      </c>
      <c r="W244" s="62">
        <v>44816</v>
      </c>
      <c r="X244" s="62">
        <v>45086</v>
      </c>
      <c r="Y244" s="62"/>
      <c r="Z244" s="62"/>
      <c r="AA244" s="26" t="s">
        <v>1123</v>
      </c>
      <c r="AB244" s="23"/>
      <c r="AC244" s="23"/>
      <c r="AD244" s="23"/>
      <c r="AE244" s="23" t="s">
        <v>731</v>
      </c>
      <c r="AF244" s="23" t="s">
        <v>731</v>
      </c>
      <c r="AG244" s="23"/>
      <c r="AH244" s="23"/>
      <c r="AI244" s="23"/>
      <c r="AJ244" s="23"/>
      <c r="AK244" s="23"/>
      <c r="AL244" s="23"/>
      <c r="AM244" s="23" t="s">
        <v>731</v>
      </c>
      <c r="AN244" s="23"/>
      <c r="AO244" s="23"/>
      <c r="AP244" s="23"/>
      <c r="AQ244" s="23"/>
      <c r="AR244" s="23"/>
      <c r="AS244" s="23"/>
      <c r="AT244" s="23"/>
      <c r="AU244" s="23"/>
      <c r="AV244" s="42">
        <v>205.87</v>
      </c>
      <c r="AW244" s="18"/>
      <c r="AY244" s="42"/>
      <c r="AZ244" s="42"/>
      <c r="BB244" s="45">
        <v>1</v>
      </c>
      <c r="BC244" s="41">
        <f>IF(AND((AV244/I244)&lt;2,BB244=1),(I244*2)-AV244,0)</f>
        <v>0</v>
      </c>
      <c r="BD244" s="41">
        <f>IF(AND((AV244/I244)&lt;3,BB244=2),(I244*3)-AV244,0)</f>
        <v>0</v>
      </c>
      <c r="BG244" s="41">
        <f>IF((AV244+AW244+AX244)&lt;20,(20-(AV244+AW244+AX244)),0)</f>
        <v>0</v>
      </c>
      <c r="BH244" s="18">
        <v>3</v>
      </c>
      <c r="BI244" s="18">
        <v>4</v>
      </c>
      <c r="BJ244" s="18">
        <v>5</v>
      </c>
      <c r="BK244" s="18">
        <v>4</v>
      </c>
      <c r="BL244" s="18">
        <v>4</v>
      </c>
      <c r="BM244" s="55">
        <f>SUM(AV244:AX244)+SUM(BC244:BD244)+SUM(BE244:BF244)+BG244</f>
        <v>205.87</v>
      </c>
      <c r="BN244" s="55"/>
      <c r="BO244" s="55"/>
      <c r="BP244" s="55"/>
      <c r="BQ244" s="55"/>
      <c r="BR244" s="55"/>
      <c r="BS244" s="55"/>
      <c r="BT244" s="55"/>
      <c r="BU244" s="55"/>
      <c r="BV244" s="55"/>
      <c r="BW244" s="55"/>
      <c r="BX244" s="55"/>
      <c r="BY244" s="55"/>
    </row>
    <row r="245" spans="2:77" ht="38.25">
      <c r="B245" s="89">
        <v>239</v>
      </c>
      <c r="C245" s="93">
        <v>124</v>
      </c>
      <c r="D245" s="93">
        <v>654</v>
      </c>
      <c r="E245" s="94">
        <v>0.58333333333333337</v>
      </c>
      <c r="F245" s="94">
        <v>0.64930555555555558</v>
      </c>
      <c r="G245" s="93" t="s">
        <v>530</v>
      </c>
      <c r="H245" s="93" t="s">
        <v>618</v>
      </c>
      <c r="I245" s="96">
        <v>65.5</v>
      </c>
      <c r="J245" s="97">
        <v>29</v>
      </c>
      <c r="K245" s="98">
        <v>39</v>
      </c>
      <c r="L245" s="99" t="s">
        <v>738</v>
      </c>
      <c r="M245" s="87" t="s">
        <v>883</v>
      </c>
      <c r="N245" s="87">
        <v>8</v>
      </c>
      <c r="O245" s="87" t="s">
        <v>882</v>
      </c>
      <c r="P245" s="87">
        <v>21</v>
      </c>
      <c r="Q245" s="87" t="s">
        <v>881</v>
      </c>
      <c r="R245" s="84">
        <v>8</v>
      </c>
      <c r="S245" s="26">
        <v>1300</v>
      </c>
      <c r="T245" s="26" t="s">
        <v>1452</v>
      </c>
      <c r="U245" s="26">
        <v>5111</v>
      </c>
      <c r="V245" s="26" t="s">
        <v>1451</v>
      </c>
      <c r="W245" s="62">
        <v>44816</v>
      </c>
      <c r="X245" s="62">
        <v>45086</v>
      </c>
      <c r="Y245" s="62"/>
      <c r="Z245" s="62"/>
      <c r="AA245" s="26" t="s">
        <v>1124</v>
      </c>
      <c r="AB245" s="23"/>
      <c r="AC245" s="23"/>
      <c r="AD245" s="23"/>
      <c r="AE245" s="23" t="s">
        <v>731</v>
      </c>
      <c r="AF245" s="23"/>
      <c r="AG245" s="23"/>
      <c r="AH245" s="23"/>
      <c r="AI245" s="23"/>
      <c r="AJ245" s="23" t="s">
        <v>731</v>
      </c>
      <c r="AK245" s="23"/>
      <c r="AL245" s="23"/>
      <c r="AM245" s="23"/>
      <c r="AN245" s="23"/>
      <c r="AO245" s="23" t="s">
        <v>731</v>
      </c>
      <c r="AP245" s="23"/>
      <c r="AQ245" s="23"/>
      <c r="AR245" s="23"/>
      <c r="AS245" s="23"/>
      <c r="AT245" s="23"/>
      <c r="AU245" s="23"/>
      <c r="AV245" s="42">
        <v>196.5</v>
      </c>
      <c r="AW245" s="18"/>
      <c r="AY245" s="42"/>
      <c r="AZ245" s="42"/>
      <c r="BB245" s="45">
        <v>1</v>
      </c>
      <c r="BC245" s="41">
        <f>IF(AND((AV245/I245)&lt;2,BB245=1),(I245*2)-AV245,0)</f>
        <v>0</v>
      </c>
      <c r="BD245" s="41">
        <f>IF(AND((AV245/I245)&lt;3,BB245=2),(I245*3)-AV245,0)</f>
        <v>0</v>
      </c>
      <c r="BG245" s="18"/>
      <c r="BH245" s="18">
        <v>3</v>
      </c>
      <c r="BI245" s="18">
        <v>4</v>
      </c>
      <c r="BJ245" s="18">
        <v>4</v>
      </c>
      <c r="BK245" s="18">
        <v>5</v>
      </c>
      <c r="BL245" s="18">
        <v>3</v>
      </c>
      <c r="BM245" s="55">
        <f>SUM(AV245:AX245)+SUM(BC245:BD245)+SUM(BE245:BF245)+BG245</f>
        <v>196.5</v>
      </c>
      <c r="BN245" s="55"/>
      <c r="BO245" s="55"/>
      <c r="BP245" s="55"/>
      <c r="BQ245" s="55"/>
      <c r="BR245" s="55"/>
      <c r="BS245" s="55"/>
      <c r="BT245" s="55"/>
      <c r="BU245" s="55"/>
      <c r="BV245" s="55"/>
      <c r="BW245" s="55"/>
      <c r="BX245" s="55"/>
      <c r="BY245" s="55"/>
    </row>
    <row r="246" spans="2:77" ht="25.5">
      <c r="B246" s="89">
        <v>240</v>
      </c>
      <c r="C246" s="93">
        <v>132</v>
      </c>
      <c r="D246" s="93">
        <v>642</v>
      </c>
      <c r="E246" s="94">
        <v>0.40277777777777773</v>
      </c>
      <c r="F246" s="94">
        <v>0.4236111111111111</v>
      </c>
      <c r="G246" s="93" t="s">
        <v>110</v>
      </c>
      <c r="H246" s="93" t="s">
        <v>108</v>
      </c>
      <c r="I246" s="96">
        <v>17</v>
      </c>
      <c r="J246" s="97" t="s">
        <v>99</v>
      </c>
      <c r="K246" s="98">
        <v>52</v>
      </c>
      <c r="L246" s="99" t="s">
        <v>739</v>
      </c>
      <c r="M246" s="87" t="s">
        <v>917</v>
      </c>
      <c r="N246" s="87">
        <v>21</v>
      </c>
      <c r="O246" s="87" t="s">
        <v>1876</v>
      </c>
      <c r="P246" s="87">
        <v>21</v>
      </c>
      <c r="Q246" s="152" t="s">
        <v>2009</v>
      </c>
      <c r="R246" s="152">
        <v>21</v>
      </c>
      <c r="S246" s="26">
        <v>1121</v>
      </c>
      <c r="T246" s="26" t="s">
        <v>1346</v>
      </c>
      <c r="U246" s="26" t="s">
        <v>1368</v>
      </c>
      <c r="V246" s="26" t="s">
        <v>1369</v>
      </c>
      <c r="W246" s="62">
        <v>44805</v>
      </c>
      <c r="X246" s="62">
        <v>45169</v>
      </c>
      <c r="Y246" s="62"/>
      <c r="Z246" s="62"/>
      <c r="AA246" s="23" t="s">
        <v>1125</v>
      </c>
      <c r="AB246" s="23" t="s">
        <v>731</v>
      </c>
      <c r="AC246" s="23" t="s">
        <v>731</v>
      </c>
      <c r="AD246" s="23" t="s">
        <v>731</v>
      </c>
      <c r="AE246" s="23"/>
      <c r="AF246" s="23"/>
      <c r="AG246" s="23"/>
      <c r="AH246" s="23" t="s">
        <v>731</v>
      </c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42">
        <v>62.32</v>
      </c>
      <c r="AW246" s="18"/>
      <c r="AY246" s="42"/>
      <c r="AZ246" s="42"/>
      <c r="BB246" s="45">
        <v>1</v>
      </c>
      <c r="BC246" s="41">
        <f>IF(AND((AV246/I246)&lt;2,BB246=1),(I246*2)-AV246,0)</f>
        <v>0</v>
      </c>
      <c r="BD246" s="41">
        <f>IF(AND((AV246/I246)&lt;3,BB246=2),(I246*3)-AV246,0)</f>
        <v>0</v>
      </c>
      <c r="BG246" s="18"/>
      <c r="BH246" s="18">
        <v>4</v>
      </c>
      <c r="BI246" s="18">
        <v>4</v>
      </c>
      <c r="BJ246" s="18">
        <v>5</v>
      </c>
      <c r="BK246" s="18">
        <v>4</v>
      </c>
      <c r="BL246" s="18">
        <v>4</v>
      </c>
      <c r="BM246" s="55">
        <f>SUM(AV246:AX246)+SUM(BC246:BD246)+SUM(BE246:BF246)+BG246</f>
        <v>62.32</v>
      </c>
      <c r="BN246" s="55"/>
      <c r="BO246" s="55"/>
      <c r="BP246" s="55"/>
      <c r="BQ246" s="55"/>
      <c r="BR246" s="55"/>
      <c r="BS246" s="55"/>
      <c r="BT246" s="55"/>
      <c r="BU246" s="55"/>
      <c r="BV246" s="55"/>
      <c r="BW246" s="55"/>
      <c r="BX246" s="55"/>
      <c r="BY246" s="55"/>
    </row>
    <row r="247" spans="2:77" ht="25.5">
      <c r="B247" s="89">
        <v>241</v>
      </c>
      <c r="C247" s="93">
        <v>132</v>
      </c>
      <c r="D247" s="93">
        <v>647</v>
      </c>
      <c r="E247" s="94">
        <v>0.49305555555555558</v>
      </c>
      <c r="F247" s="94">
        <v>0.51388888888888895</v>
      </c>
      <c r="G247" s="93" t="s">
        <v>109</v>
      </c>
      <c r="H247" s="93" t="s">
        <v>108</v>
      </c>
      <c r="I247" s="96">
        <v>17</v>
      </c>
      <c r="J247" s="97" t="s">
        <v>99</v>
      </c>
      <c r="K247" s="98">
        <v>52</v>
      </c>
      <c r="L247" s="99" t="s">
        <v>739</v>
      </c>
      <c r="M247" s="87" t="s">
        <v>917</v>
      </c>
      <c r="N247" s="87">
        <v>21</v>
      </c>
      <c r="O247" s="87" t="s">
        <v>1876</v>
      </c>
      <c r="P247" s="87">
        <v>21</v>
      </c>
      <c r="Q247" s="152" t="s">
        <v>2009</v>
      </c>
      <c r="R247" s="152">
        <v>21</v>
      </c>
      <c r="S247" s="26" t="s">
        <v>1368</v>
      </c>
      <c r="T247" s="26" t="s">
        <v>1370</v>
      </c>
      <c r="U247" s="26">
        <v>1121</v>
      </c>
      <c r="V247" s="26" t="s">
        <v>1346</v>
      </c>
      <c r="W247" s="62">
        <v>44805</v>
      </c>
      <c r="X247" s="62">
        <v>45169</v>
      </c>
      <c r="Y247" s="62"/>
      <c r="Z247" s="62"/>
      <c r="AA247" s="23" t="s">
        <v>1125</v>
      </c>
      <c r="AB247" s="23" t="s">
        <v>731</v>
      </c>
      <c r="AC247" s="23" t="s">
        <v>731</v>
      </c>
      <c r="AD247" s="23" t="s">
        <v>731</v>
      </c>
      <c r="AE247" s="23"/>
      <c r="AF247" s="23"/>
      <c r="AG247" s="23"/>
      <c r="AH247" s="23" t="s">
        <v>731</v>
      </c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42">
        <v>62.32</v>
      </c>
      <c r="AW247" s="18"/>
      <c r="AY247" s="42"/>
      <c r="AZ247" s="42"/>
      <c r="BB247" s="45">
        <v>1</v>
      </c>
      <c r="BC247" s="41">
        <f>IF(AND((AV247/I247)&lt;2,BB247=1),(I247*2)-AV247,0)</f>
        <v>0</v>
      </c>
      <c r="BD247" s="41">
        <f>IF(AND((AV247/I247)&lt;3,BB247=2),(I247*3)-AV247,0)</f>
        <v>0</v>
      </c>
      <c r="BG247" s="18"/>
      <c r="BH247" s="18">
        <v>4</v>
      </c>
      <c r="BI247" s="18">
        <v>4</v>
      </c>
      <c r="BJ247" s="18">
        <v>5</v>
      </c>
      <c r="BK247" s="18">
        <v>4</v>
      </c>
      <c r="BL247" s="18">
        <v>4</v>
      </c>
      <c r="BM247" s="55">
        <f>SUM(AV247:AX247)+SUM(BC247:BD247)+SUM(BE247:BF247)+BG247</f>
        <v>62.32</v>
      </c>
      <c r="BN247" s="55"/>
      <c r="BO247" s="55"/>
      <c r="BP247" s="55"/>
      <c r="BQ247" s="55"/>
      <c r="BR247" s="55"/>
      <c r="BS247" s="55"/>
      <c r="BT247" s="55"/>
      <c r="BU247" s="55"/>
      <c r="BV247" s="55"/>
      <c r="BW247" s="55"/>
      <c r="BX247" s="55"/>
      <c r="BY247" s="55"/>
    </row>
    <row r="248" spans="2:77" ht="33.75">
      <c r="B248" s="89">
        <v>242</v>
      </c>
      <c r="C248" s="93">
        <v>132</v>
      </c>
      <c r="D248" s="97">
        <v>643</v>
      </c>
      <c r="E248" s="94">
        <v>0.52430555555555558</v>
      </c>
      <c r="F248" s="94">
        <v>0.54305555555555551</v>
      </c>
      <c r="G248" s="93" t="s">
        <v>257</v>
      </c>
      <c r="H248" s="95" t="s">
        <v>123</v>
      </c>
      <c r="I248" s="96">
        <v>20</v>
      </c>
      <c r="J248" s="97" t="s">
        <v>254</v>
      </c>
      <c r="K248" s="98">
        <v>34</v>
      </c>
      <c r="L248" s="99" t="s">
        <v>721</v>
      </c>
      <c r="M248" s="83" t="s">
        <v>978</v>
      </c>
      <c r="N248" s="116">
        <v>46</v>
      </c>
      <c r="O248" s="83" t="s">
        <v>895</v>
      </c>
      <c r="P248" s="116">
        <v>47</v>
      </c>
      <c r="Q248" s="87" t="s">
        <v>1924</v>
      </c>
      <c r="R248" s="84">
        <v>45</v>
      </c>
      <c r="S248" s="26" t="s">
        <v>1453</v>
      </c>
      <c r="T248" s="26" t="s">
        <v>1454</v>
      </c>
      <c r="U248" s="26">
        <v>1078</v>
      </c>
      <c r="V248" s="26" t="s">
        <v>1369</v>
      </c>
      <c r="W248" s="62">
        <v>44816</v>
      </c>
      <c r="X248" s="62">
        <v>45086</v>
      </c>
      <c r="Y248" s="62"/>
      <c r="Z248" s="62"/>
      <c r="AA248" s="22" t="s">
        <v>1111</v>
      </c>
      <c r="AB248" s="23"/>
      <c r="AC248" s="23"/>
      <c r="AD248" s="23"/>
      <c r="AE248" s="23" t="s">
        <v>731</v>
      </c>
      <c r="AF248" s="23"/>
      <c r="AG248" s="23"/>
      <c r="AH248" s="23"/>
      <c r="AI248" s="23"/>
      <c r="AJ248" s="23"/>
      <c r="AK248" s="23" t="s">
        <v>731</v>
      </c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49">
        <v>165.99</v>
      </c>
      <c r="AW248" s="18"/>
      <c r="AY248" s="42"/>
      <c r="AZ248" s="42"/>
      <c r="BB248" s="43">
        <v>2</v>
      </c>
      <c r="BC248" s="41">
        <f>IF(AND((AV248/I248)&lt;2,BB248=1),(I248*2)-AV248,0)</f>
        <v>0</v>
      </c>
      <c r="BD248" s="49">
        <f>IF(AND((AV248/I248)&lt;3,BB248=2),(I248*3)-AV248,0)</f>
        <v>0</v>
      </c>
      <c r="BG248" s="18"/>
      <c r="BH248" s="18">
        <v>2</v>
      </c>
      <c r="BI248" s="18">
        <v>5</v>
      </c>
      <c r="BJ248" s="18">
        <v>4</v>
      </c>
      <c r="BK248" s="18">
        <v>3</v>
      </c>
      <c r="BL248" s="18">
        <v>3</v>
      </c>
      <c r="BM248" s="55">
        <f>SUM(AV248:AX248)+SUM(BC248:BD248)+SUM(BE248:BF248)+BG248</f>
        <v>165.99</v>
      </c>
      <c r="BN248" s="55"/>
      <c r="BO248" s="55"/>
      <c r="BP248" s="55"/>
      <c r="BQ248" s="55"/>
      <c r="BR248" s="55"/>
      <c r="BS248" s="55"/>
      <c r="BT248" s="55"/>
      <c r="BU248" s="55"/>
      <c r="BV248" s="55"/>
      <c r="BW248" s="55"/>
      <c r="BX248" s="55"/>
      <c r="BY248" s="55"/>
    </row>
    <row r="249" spans="2:77" ht="33.75">
      <c r="B249" s="89">
        <v>243</v>
      </c>
      <c r="C249" s="93">
        <v>132</v>
      </c>
      <c r="D249" s="97">
        <v>643</v>
      </c>
      <c r="E249" s="94">
        <v>0.54305555555555551</v>
      </c>
      <c r="F249" s="94">
        <v>0.55347222222222225</v>
      </c>
      <c r="G249" s="93" t="s">
        <v>256</v>
      </c>
      <c r="H249" s="93" t="s">
        <v>253</v>
      </c>
      <c r="I249" s="96">
        <v>9</v>
      </c>
      <c r="J249" s="97" t="s">
        <v>254</v>
      </c>
      <c r="K249" s="98">
        <v>34</v>
      </c>
      <c r="L249" s="99" t="s">
        <v>721</v>
      </c>
      <c r="M249" s="83" t="s">
        <v>978</v>
      </c>
      <c r="N249" s="116">
        <v>46</v>
      </c>
      <c r="O249" s="83" t="s">
        <v>895</v>
      </c>
      <c r="P249" s="116">
        <v>47</v>
      </c>
      <c r="R249" s="116"/>
      <c r="S249" s="26" t="s">
        <v>1368</v>
      </c>
      <c r="T249" s="26" t="s">
        <v>1370</v>
      </c>
      <c r="U249" s="26">
        <v>1118</v>
      </c>
      <c r="V249" s="26" t="s">
        <v>1400</v>
      </c>
      <c r="W249" s="62">
        <v>44816</v>
      </c>
      <c r="X249" s="62">
        <v>45086</v>
      </c>
      <c r="Y249" s="62"/>
      <c r="Z249" s="62"/>
      <c r="AA249" s="23" t="s">
        <v>1111</v>
      </c>
      <c r="AB249" s="23"/>
      <c r="AC249" s="23"/>
      <c r="AD249" s="23"/>
      <c r="AE249" s="23" t="s">
        <v>731</v>
      </c>
      <c r="AF249" s="23"/>
      <c r="AG249" s="23"/>
      <c r="AH249" s="23"/>
      <c r="AI249" s="23"/>
      <c r="AJ249" s="23"/>
      <c r="AK249" s="23" t="s">
        <v>731</v>
      </c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49">
        <v>16.2</v>
      </c>
      <c r="AW249" s="18"/>
      <c r="AY249" s="42"/>
      <c r="AZ249" s="42"/>
      <c r="BB249" s="43">
        <v>2</v>
      </c>
      <c r="BC249" s="41">
        <f>IF(AND((AV249/I249)&lt;2,BB249=1),(I249*2)-AV249,0)</f>
        <v>0</v>
      </c>
      <c r="BD249" s="49">
        <f>IF(AND((AV249/I249)&lt;3,BB249=2),(I249*3)-AV249,0)</f>
        <v>10.8</v>
      </c>
      <c r="BG249" s="18"/>
      <c r="BH249" s="18">
        <v>2</v>
      </c>
      <c r="BI249" s="18">
        <v>5</v>
      </c>
      <c r="BJ249" s="18">
        <v>4</v>
      </c>
      <c r="BK249" s="18">
        <v>3</v>
      </c>
      <c r="BL249" s="18">
        <v>3</v>
      </c>
      <c r="BM249" s="55">
        <f>SUM(AV249:AX249)+SUM(BC249:BD249)+SUM(BE249:BF249)+BG249</f>
        <v>27</v>
      </c>
      <c r="BN249" s="55"/>
      <c r="BO249" s="55"/>
      <c r="BP249" s="55"/>
      <c r="BQ249" s="55"/>
      <c r="BR249" s="55"/>
      <c r="BS249" s="55"/>
      <c r="BT249" s="55"/>
      <c r="BU249" s="55"/>
      <c r="BV249" s="55"/>
      <c r="BW249" s="55"/>
      <c r="BX249" s="55"/>
      <c r="BY249" s="55"/>
    </row>
    <row r="250" spans="2:77" ht="51">
      <c r="B250" s="89">
        <v>244</v>
      </c>
      <c r="C250" s="93">
        <v>132</v>
      </c>
      <c r="D250" s="97">
        <v>643</v>
      </c>
      <c r="E250" s="94">
        <v>0.55347222222222225</v>
      </c>
      <c r="F250" s="94">
        <v>0.55555555555555558</v>
      </c>
      <c r="G250" s="93" t="s">
        <v>534</v>
      </c>
      <c r="H250" s="93" t="s">
        <v>253</v>
      </c>
      <c r="I250" s="96">
        <v>2</v>
      </c>
      <c r="J250" s="97" t="s">
        <v>254</v>
      </c>
      <c r="K250" s="98">
        <v>34</v>
      </c>
      <c r="L250" s="99" t="s">
        <v>721</v>
      </c>
      <c r="M250" s="83" t="s">
        <v>978</v>
      </c>
      <c r="N250" s="116">
        <v>46</v>
      </c>
      <c r="O250" s="83" t="s">
        <v>895</v>
      </c>
      <c r="P250" s="116">
        <v>47</v>
      </c>
      <c r="R250" s="116"/>
      <c r="S250" s="26">
        <v>1118</v>
      </c>
      <c r="T250" s="26" t="s">
        <v>1400</v>
      </c>
      <c r="U250" s="26">
        <v>1115</v>
      </c>
      <c r="V250" s="26" t="s">
        <v>1455</v>
      </c>
      <c r="W250" s="62">
        <v>44816</v>
      </c>
      <c r="X250" s="62">
        <v>45086</v>
      </c>
      <c r="Y250" s="62"/>
      <c r="Z250" s="62"/>
      <c r="AA250" s="23" t="s">
        <v>1111</v>
      </c>
      <c r="AB250" s="23"/>
      <c r="AC250" s="23"/>
      <c r="AD250" s="23"/>
      <c r="AE250" s="23" t="s">
        <v>731</v>
      </c>
      <c r="AF250" s="23"/>
      <c r="AG250" s="23"/>
      <c r="AH250" s="23"/>
      <c r="AI250" s="23"/>
      <c r="AJ250" s="23"/>
      <c r="AK250" s="23" t="s">
        <v>731</v>
      </c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49">
        <v>6</v>
      </c>
      <c r="AW250" s="18"/>
      <c r="AY250" s="42"/>
      <c r="AZ250" s="42"/>
      <c r="BB250" s="43">
        <v>2</v>
      </c>
      <c r="BC250" s="41">
        <f>IF(AND((AV250/I250)&lt;2,BB250=1),(I250*2)-AV250,0)</f>
        <v>0</v>
      </c>
      <c r="BD250" s="49">
        <f>IF(AND((AV250/I250)&lt;3,BB250=2),(I250*3)-AV250,0)</f>
        <v>0</v>
      </c>
      <c r="BG250" s="18"/>
      <c r="BH250" s="18">
        <v>2</v>
      </c>
      <c r="BI250" s="18">
        <v>5</v>
      </c>
      <c r="BJ250" s="18">
        <v>4</v>
      </c>
      <c r="BK250" s="18">
        <v>3</v>
      </c>
      <c r="BL250" s="18">
        <v>3</v>
      </c>
      <c r="BM250" s="55">
        <f>SUM(AV250:AX250)+SUM(BC250:BD250)+SUM(BE250:BF250)+BG250</f>
        <v>6</v>
      </c>
      <c r="BN250" s="55"/>
      <c r="BO250" s="55"/>
      <c r="BP250" s="55"/>
      <c r="BQ250" s="55"/>
      <c r="BR250" s="55"/>
      <c r="BS250" s="55"/>
      <c r="BT250" s="55"/>
      <c r="BU250" s="55"/>
      <c r="BV250" s="55"/>
      <c r="BW250" s="55"/>
      <c r="BX250" s="55"/>
      <c r="BY250" s="55"/>
    </row>
    <row r="251" spans="2:77" ht="33.75">
      <c r="B251" s="89">
        <v>245</v>
      </c>
      <c r="C251" s="93">
        <v>132</v>
      </c>
      <c r="D251" s="97">
        <v>641</v>
      </c>
      <c r="E251" s="94">
        <v>0.56597222222222221</v>
      </c>
      <c r="F251" s="94">
        <v>0.58472222222222225</v>
      </c>
      <c r="G251" s="93" t="s">
        <v>257</v>
      </c>
      <c r="H251" s="93" t="s">
        <v>103</v>
      </c>
      <c r="I251" s="96">
        <v>20</v>
      </c>
      <c r="J251" s="97" t="s">
        <v>254</v>
      </c>
      <c r="K251" s="98">
        <v>174</v>
      </c>
      <c r="L251" s="99" t="s">
        <v>721</v>
      </c>
      <c r="M251" s="83" t="s">
        <v>978</v>
      </c>
      <c r="N251" s="116">
        <v>46</v>
      </c>
      <c r="O251" s="83" t="s">
        <v>895</v>
      </c>
      <c r="P251" s="116">
        <v>47</v>
      </c>
      <c r="Q251" s="87" t="s">
        <v>1924</v>
      </c>
      <c r="R251" s="84">
        <v>45</v>
      </c>
      <c r="S251" s="26" t="s">
        <v>1453</v>
      </c>
      <c r="T251" s="26" t="s">
        <v>1454</v>
      </c>
      <c r="U251" s="26">
        <v>1078</v>
      </c>
      <c r="V251" s="26" t="s">
        <v>1369</v>
      </c>
      <c r="W251" s="62">
        <v>44816</v>
      </c>
      <c r="X251" s="62">
        <v>45086</v>
      </c>
      <c r="Y251" s="62"/>
      <c r="Z251" s="62"/>
      <c r="AA251" s="22" t="s">
        <v>1102</v>
      </c>
      <c r="AB251" s="23"/>
      <c r="AC251" s="23"/>
      <c r="AD251" s="23"/>
      <c r="AE251" s="23" t="s">
        <v>731</v>
      </c>
      <c r="AF251" s="23" t="s">
        <v>731</v>
      </c>
      <c r="AG251" s="23" t="s">
        <v>731</v>
      </c>
      <c r="AH251" s="23" t="s">
        <v>731</v>
      </c>
      <c r="AI251" s="23" t="s">
        <v>731</v>
      </c>
      <c r="AJ251" s="23" t="s">
        <v>731</v>
      </c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41">
        <v>165.99</v>
      </c>
      <c r="AW251" s="18"/>
      <c r="AY251" s="42"/>
      <c r="AZ251" s="42"/>
      <c r="BB251" s="43">
        <v>2</v>
      </c>
      <c r="BC251" s="41">
        <f>IF(AND((AV251/I251)&lt;2,BB251=1),(I251*2)-AV251,0)</f>
        <v>0</v>
      </c>
      <c r="BD251" s="41">
        <f>IF(AND((AV251/I251)&lt;3,BB251=2),(I251*3)-AV251,0)</f>
        <v>0</v>
      </c>
      <c r="BG251" s="18"/>
      <c r="BH251" s="18">
        <v>15</v>
      </c>
      <c r="BI251" s="18">
        <v>20</v>
      </c>
      <c r="BJ251" s="18">
        <v>21</v>
      </c>
      <c r="BK251" s="18">
        <v>15</v>
      </c>
      <c r="BL251" s="18">
        <v>17</v>
      </c>
      <c r="BM251" s="55">
        <f>SUM(AV251:AX251)+SUM(BC251:BD251)+SUM(BE251:BF251)+BG251</f>
        <v>165.99</v>
      </c>
      <c r="BN251" s="55"/>
      <c r="BO251" s="55"/>
      <c r="BP251" s="55"/>
      <c r="BQ251" s="55"/>
      <c r="BR251" s="55"/>
      <c r="BS251" s="55"/>
      <c r="BT251" s="55"/>
      <c r="BU251" s="55"/>
      <c r="BV251" s="55"/>
      <c r="BW251" s="55"/>
      <c r="BX251" s="55"/>
      <c r="BY251" s="55"/>
    </row>
    <row r="252" spans="2:77" ht="33.75">
      <c r="B252" s="89">
        <v>246</v>
      </c>
      <c r="C252" s="93">
        <v>132</v>
      </c>
      <c r="D252" s="97">
        <v>641</v>
      </c>
      <c r="E252" s="94">
        <v>0.58472222222222225</v>
      </c>
      <c r="F252" s="94">
        <v>0.59444444444444444</v>
      </c>
      <c r="G252" s="93" t="s">
        <v>670</v>
      </c>
      <c r="H252" s="93" t="s">
        <v>103</v>
      </c>
      <c r="I252" s="96">
        <v>11</v>
      </c>
      <c r="J252" s="97" t="s">
        <v>254</v>
      </c>
      <c r="K252" s="98">
        <v>174</v>
      </c>
      <c r="L252" s="99" t="s">
        <v>721</v>
      </c>
      <c r="M252" s="83" t="s">
        <v>978</v>
      </c>
      <c r="N252" s="116">
        <v>46</v>
      </c>
      <c r="O252" s="83" t="s">
        <v>895</v>
      </c>
      <c r="P252" s="116">
        <v>47</v>
      </c>
      <c r="Q252" s="87" t="s">
        <v>894</v>
      </c>
      <c r="R252" s="84">
        <v>9</v>
      </c>
      <c r="S252" s="26" t="s">
        <v>1368</v>
      </c>
      <c r="T252" s="26" t="s">
        <v>1370</v>
      </c>
      <c r="U252" s="26">
        <v>1115</v>
      </c>
      <c r="V252" s="26" t="s">
        <v>1455</v>
      </c>
      <c r="W252" s="62">
        <v>44816</v>
      </c>
      <c r="X252" s="62">
        <v>45086</v>
      </c>
      <c r="Y252" s="62"/>
      <c r="Z252" s="62"/>
      <c r="AA252" s="22" t="s">
        <v>1102</v>
      </c>
      <c r="AB252" s="23"/>
      <c r="AC252" s="23"/>
      <c r="AD252" s="23"/>
      <c r="AE252" s="23" t="s">
        <v>731</v>
      </c>
      <c r="AF252" s="23" t="s">
        <v>731</v>
      </c>
      <c r="AG252" s="23" t="s">
        <v>731</v>
      </c>
      <c r="AH252" s="23" t="s">
        <v>731</v>
      </c>
      <c r="AI252" s="23" t="s">
        <v>731</v>
      </c>
      <c r="AJ252" s="23" t="s">
        <v>731</v>
      </c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42">
        <f>16.2+3.6</f>
        <v>19.8</v>
      </c>
      <c r="AW252" s="18"/>
      <c r="AY252" s="42"/>
      <c r="AZ252" s="42"/>
      <c r="BB252" s="43">
        <v>2</v>
      </c>
      <c r="BC252" s="41">
        <f>IF(AND((AV252/I252)&lt;2,BB252=1),(I252*2)-AV252,0)</f>
        <v>0</v>
      </c>
      <c r="BD252" s="41">
        <f>IF(AND((AV252/I252)&lt;3,BB252=2),(I252*3)-AV252,0)</f>
        <v>13.2</v>
      </c>
      <c r="BG252" s="18"/>
      <c r="BH252" s="18">
        <v>15</v>
      </c>
      <c r="BI252" s="18">
        <v>20</v>
      </c>
      <c r="BJ252" s="18">
        <v>21</v>
      </c>
      <c r="BK252" s="18">
        <v>15</v>
      </c>
      <c r="BL252" s="18">
        <v>17</v>
      </c>
      <c r="BM252" s="55">
        <f>SUM(AV252:AX252)+SUM(BC252:BD252)+SUM(BE252:BF252)+BG252</f>
        <v>33</v>
      </c>
      <c r="BN252" s="55"/>
      <c r="BO252" s="55"/>
      <c r="BP252" s="55"/>
      <c r="BQ252" s="55"/>
      <c r="BR252" s="55"/>
      <c r="BS252" s="55"/>
      <c r="BT252" s="55"/>
      <c r="BU252" s="55"/>
      <c r="BV252" s="55"/>
      <c r="BW252" s="55"/>
      <c r="BX252" s="55"/>
      <c r="BY252" s="55"/>
    </row>
    <row r="253" spans="2:77" ht="38.25">
      <c r="B253" s="89">
        <v>247</v>
      </c>
      <c r="C253" s="93">
        <v>135</v>
      </c>
      <c r="D253" s="97">
        <v>640</v>
      </c>
      <c r="E253" s="94">
        <v>0.2951388888888889</v>
      </c>
      <c r="F253" s="94">
        <v>0.31180555555555556</v>
      </c>
      <c r="G253" s="93" t="s">
        <v>672</v>
      </c>
      <c r="H253" s="93" t="s">
        <v>103</v>
      </c>
      <c r="I253" s="96">
        <v>14.5</v>
      </c>
      <c r="J253" s="97" t="s">
        <v>254</v>
      </c>
      <c r="K253" s="98">
        <v>174</v>
      </c>
      <c r="L253" s="99" t="s">
        <v>721</v>
      </c>
      <c r="M253" s="83" t="s">
        <v>978</v>
      </c>
      <c r="N253" s="116">
        <v>46</v>
      </c>
      <c r="O253" s="83" t="s">
        <v>1924</v>
      </c>
      <c r="P253" s="116">
        <v>45</v>
      </c>
      <c r="R253" s="116"/>
      <c r="S253" s="26">
        <v>1084</v>
      </c>
      <c r="T253" s="26" t="s">
        <v>1371</v>
      </c>
      <c r="U253" s="26">
        <v>1080</v>
      </c>
      <c r="V253" s="26" t="s">
        <v>1372</v>
      </c>
      <c r="W253" s="62">
        <v>44816</v>
      </c>
      <c r="X253" s="62">
        <v>45086</v>
      </c>
      <c r="Y253" s="62"/>
      <c r="Z253" s="62"/>
      <c r="AA253" s="22" t="s">
        <v>1102</v>
      </c>
      <c r="AB253" s="23"/>
      <c r="AC253" s="23"/>
      <c r="AD253" s="23"/>
      <c r="AE253" s="23" t="s">
        <v>731</v>
      </c>
      <c r="AF253" s="23" t="s">
        <v>731</v>
      </c>
      <c r="AG253" s="23" t="s">
        <v>731</v>
      </c>
      <c r="AH253" s="23" t="s">
        <v>731</v>
      </c>
      <c r="AI253" s="23" t="s">
        <v>731</v>
      </c>
      <c r="AJ253" s="23" t="s">
        <v>731</v>
      </c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44">
        <v>26.1</v>
      </c>
      <c r="AW253" s="18"/>
      <c r="AY253" s="42"/>
      <c r="AZ253" s="42"/>
      <c r="BB253" s="43">
        <v>2</v>
      </c>
      <c r="BC253" s="44"/>
      <c r="BD253" s="44"/>
      <c r="BG253" s="18"/>
      <c r="BH253" s="18">
        <v>15</v>
      </c>
      <c r="BI253" s="18">
        <v>20</v>
      </c>
      <c r="BJ253" s="18">
        <v>21</v>
      </c>
      <c r="BK253" s="18">
        <v>15</v>
      </c>
      <c r="BL253" s="18">
        <v>17</v>
      </c>
      <c r="BM253" s="55">
        <f>SUM(AV253:AX253)+SUM(BC253:BD253)+SUM(BE253:BF253)+BG253</f>
        <v>26.1</v>
      </c>
      <c r="BN253" s="55"/>
      <c r="BO253" s="55"/>
      <c r="BP253" s="55"/>
      <c r="BQ253" s="55"/>
      <c r="BR253" s="55"/>
      <c r="BS253" s="55"/>
      <c r="BT253" s="55"/>
      <c r="BU253" s="55"/>
      <c r="BV253" s="55"/>
      <c r="BW253" s="55"/>
      <c r="BX253" s="55"/>
      <c r="BY253" s="55"/>
    </row>
    <row r="254" spans="2:77" ht="38.25">
      <c r="B254" s="89">
        <v>248</v>
      </c>
      <c r="C254" s="93">
        <v>135</v>
      </c>
      <c r="D254" s="97">
        <v>640</v>
      </c>
      <c r="E254" s="94">
        <v>0.2951388888888889</v>
      </c>
      <c r="F254" s="94">
        <v>0.31180555555555556</v>
      </c>
      <c r="G254" s="93" t="s">
        <v>671</v>
      </c>
      <c r="H254" s="93" t="s">
        <v>533</v>
      </c>
      <c r="I254" s="96">
        <v>14.5</v>
      </c>
      <c r="J254" s="97" t="s">
        <v>93</v>
      </c>
      <c r="K254" s="98">
        <v>34</v>
      </c>
      <c r="L254" s="99" t="s">
        <v>721</v>
      </c>
      <c r="M254" s="83" t="s">
        <v>978</v>
      </c>
      <c r="N254" s="116">
        <v>46</v>
      </c>
      <c r="O254" s="83" t="s">
        <v>1924</v>
      </c>
      <c r="P254" s="116">
        <v>45</v>
      </c>
      <c r="R254" s="116"/>
      <c r="S254" s="26">
        <v>1084</v>
      </c>
      <c r="T254" s="26" t="s">
        <v>1371</v>
      </c>
      <c r="U254" s="26">
        <v>1080</v>
      </c>
      <c r="V254" s="26" t="s">
        <v>1372</v>
      </c>
      <c r="W254" s="62">
        <v>44816</v>
      </c>
      <c r="X254" s="62">
        <v>45086</v>
      </c>
      <c r="Y254" s="62"/>
      <c r="Z254" s="62"/>
      <c r="AA254" s="23" t="s">
        <v>1111</v>
      </c>
      <c r="AB254" s="23"/>
      <c r="AC254" s="23"/>
      <c r="AD254" s="23"/>
      <c r="AE254" s="23" t="s">
        <v>731</v>
      </c>
      <c r="AF254" s="23"/>
      <c r="AG254" s="23"/>
      <c r="AH254" s="23"/>
      <c r="AI254" s="23"/>
      <c r="AJ254" s="23"/>
      <c r="AK254" s="23" t="s">
        <v>731</v>
      </c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42">
        <f>29.4+7.2</f>
        <v>36.6</v>
      </c>
      <c r="AW254" s="18"/>
      <c r="AY254" s="42"/>
      <c r="AZ254" s="42"/>
      <c r="BB254" s="45">
        <v>1</v>
      </c>
      <c r="BC254" s="41">
        <f>IF(AND((AV254/I254)&lt;2,BB254=1),(I254*2)-AV254,0)</f>
        <v>0</v>
      </c>
      <c r="BD254" s="41">
        <f>IF(AND((AV254/I254)&lt;3,BB254=2),(I254*3)-AV254,0)</f>
        <v>0</v>
      </c>
      <c r="BG254" s="18"/>
      <c r="BH254" s="18">
        <v>2</v>
      </c>
      <c r="BI254" s="18">
        <v>5</v>
      </c>
      <c r="BJ254" s="18">
        <v>4</v>
      </c>
      <c r="BK254" s="18">
        <v>3</v>
      </c>
      <c r="BL254" s="18">
        <v>3</v>
      </c>
      <c r="BM254" s="55">
        <f>SUM(AV254:AX254)+SUM(BC254:BD254)+SUM(BE254:BF254)+BG254</f>
        <v>36.6</v>
      </c>
      <c r="BN254" s="55"/>
      <c r="BO254" s="55"/>
      <c r="BP254" s="55"/>
      <c r="BQ254" s="55"/>
      <c r="BR254" s="55"/>
      <c r="BS254" s="55"/>
      <c r="BT254" s="55"/>
      <c r="BU254" s="55"/>
      <c r="BV254" s="55"/>
      <c r="BW254" s="55"/>
      <c r="BX254" s="55"/>
      <c r="BY254" s="55"/>
    </row>
    <row r="255" spans="2:77" ht="38.25">
      <c r="B255" s="89">
        <v>249</v>
      </c>
      <c r="C255" s="93">
        <v>201</v>
      </c>
      <c r="D255" s="95">
        <v>59</v>
      </c>
      <c r="E255" s="94">
        <v>0.27499999999999997</v>
      </c>
      <c r="F255" s="94">
        <v>0.30694444444444441</v>
      </c>
      <c r="G255" s="93" t="s">
        <v>193</v>
      </c>
      <c r="H255" s="93" t="s">
        <v>633</v>
      </c>
      <c r="I255" s="96">
        <v>31</v>
      </c>
      <c r="J255" s="97" t="s">
        <v>191</v>
      </c>
      <c r="K255" s="98">
        <v>36</v>
      </c>
      <c r="L255" s="99" t="s">
        <v>740</v>
      </c>
      <c r="M255" s="87" t="s">
        <v>946</v>
      </c>
      <c r="N255" s="87">
        <v>61</v>
      </c>
      <c r="O255" s="87" t="s">
        <v>944</v>
      </c>
      <c r="P255" s="87">
        <v>55</v>
      </c>
      <c r="Q255" s="87" t="s">
        <v>945</v>
      </c>
      <c r="R255" s="87">
        <v>57</v>
      </c>
      <c r="S255" s="26">
        <v>2180</v>
      </c>
      <c r="T255" s="26" t="s">
        <v>1456</v>
      </c>
      <c r="U255" s="26">
        <v>1</v>
      </c>
      <c r="V255" s="26" t="s">
        <v>1312</v>
      </c>
      <c r="W255" s="62">
        <v>44816</v>
      </c>
      <c r="X255" s="62">
        <v>45086</v>
      </c>
      <c r="Y255" s="62"/>
      <c r="Z255" s="62"/>
      <c r="AA255" s="26" t="s">
        <v>1123</v>
      </c>
      <c r="AB255" s="23"/>
      <c r="AC255" s="23"/>
      <c r="AD255" s="23"/>
      <c r="AE255" s="23" t="s">
        <v>731</v>
      </c>
      <c r="AF255" s="23" t="s">
        <v>731</v>
      </c>
      <c r="AG255" s="23"/>
      <c r="AH255" s="23"/>
      <c r="AI255" s="23"/>
      <c r="AJ255" s="23"/>
      <c r="AK255" s="23"/>
      <c r="AL255" s="23"/>
      <c r="AM255" s="23" t="s">
        <v>731</v>
      </c>
      <c r="AN255" s="23"/>
      <c r="AO255" s="23"/>
      <c r="AP255" s="23"/>
      <c r="AQ255" s="23"/>
      <c r="AR255" s="23"/>
      <c r="AS255" s="23"/>
      <c r="AT255" s="23"/>
      <c r="AU255" s="23"/>
      <c r="AV255" s="42">
        <v>173.55</v>
      </c>
      <c r="AW255" s="18"/>
      <c r="AY255" s="42"/>
      <c r="AZ255" s="42"/>
      <c r="BB255" s="43">
        <v>2</v>
      </c>
      <c r="BC255" s="41">
        <f>IF(AND((AV255/I255)&lt;2,BB255=1),(I255*2)-AV255,0)</f>
        <v>0</v>
      </c>
      <c r="BD255" s="41">
        <f>IF(AND((AV255/I255)&lt;3,BB255=2),(I255*3)-AV255,0)</f>
        <v>0</v>
      </c>
      <c r="BG255" s="41">
        <f>IF((AV255+AW255+AX255)&lt;20,(20-(AV255+AW255+AX255)),0)</f>
        <v>0</v>
      </c>
      <c r="BH255" s="18">
        <v>3</v>
      </c>
      <c r="BI255" s="18">
        <v>4</v>
      </c>
      <c r="BJ255" s="18">
        <v>5</v>
      </c>
      <c r="BK255" s="18">
        <v>4</v>
      </c>
      <c r="BL255" s="18">
        <v>4</v>
      </c>
      <c r="BM255" s="55">
        <f>SUM(AV255:AX255)+SUM(BC255:BD255)+SUM(BE255:BF255)+BG255</f>
        <v>173.55</v>
      </c>
      <c r="BN255" s="55"/>
      <c r="BO255" s="55"/>
      <c r="BP255" s="55"/>
      <c r="BQ255" s="55"/>
      <c r="BR255" s="55"/>
      <c r="BS255" s="55"/>
      <c r="BT255" s="55"/>
      <c r="BU255" s="55"/>
      <c r="BV255" s="55"/>
      <c r="BW255" s="55"/>
      <c r="BX255" s="55"/>
      <c r="BY255" s="55"/>
    </row>
    <row r="256" spans="2:77" ht="51">
      <c r="B256" s="89">
        <v>250</v>
      </c>
      <c r="C256" s="93">
        <v>201</v>
      </c>
      <c r="D256" s="95">
        <v>59</v>
      </c>
      <c r="E256" s="94">
        <v>0.27499999999999997</v>
      </c>
      <c r="F256" s="94">
        <v>0.30694444444444441</v>
      </c>
      <c r="G256" s="93" t="s">
        <v>405</v>
      </c>
      <c r="H256" s="93" t="s">
        <v>632</v>
      </c>
      <c r="I256" s="96">
        <v>30</v>
      </c>
      <c r="J256" s="97" t="s">
        <v>101</v>
      </c>
      <c r="K256" s="98">
        <f>174-33</f>
        <v>141</v>
      </c>
      <c r="L256" s="99" t="s">
        <v>740</v>
      </c>
      <c r="M256" s="87" t="s">
        <v>946</v>
      </c>
      <c r="N256" s="87">
        <v>61</v>
      </c>
      <c r="O256" s="87" t="s">
        <v>944</v>
      </c>
      <c r="P256" s="87">
        <v>55</v>
      </c>
      <c r="Q256" s="87" t="s">
        <v>945</v>
      </c>
      <c r="R256" s="87">
        <v>57</v>
      </c>
      <c r="S256" s="26">
        <v>2180</v>
      </c>
      <c r="T256" s="26" t="s">
        <v>1456</v>
      </c>
      <c r="U256" s="26">
        <v>1</v>
      </c>
      <c r="V256" s="26" t="s">
        <v>1312</v>
      </c>
      <c r="W256" s="62">
        <v>44816</v>
      </c>
      <c r="X256" s="62">
        <v>45086</v>
      </c>
      <c r="Y256" s="62"/>
      <c r="Z256" s="62"/>
      <c r="AA256" s="26" t="s">
        <v>1126</v>
      </c>
      <c r="AB256" s="23"/>
      <c r="AC256" s="23"/>
      <c r="AD256" s="23"/>
      <c r="AE256" s="23" t="s">
        <v>731</v>
      </c>
      <c r="AF256" s="23"/>
      <c r="AG256" s="23" t="s">
        <v>731</v>
      </c>
      <c r="AH256" s="23" t="s">
        <v>731</v>
      </c>
      <c r="AI256" s="23" t="s">
        <v>731</v>
      </c>
      <c r="AJ256" s="23" t="s">
        <v>731</v>
      </c>
      <c r="AK256" s="23"/>
      <c r="AL256" s="23"/>
      <c r="AM256" s="23"/>
      <c r="AN256" s="23" t="s">
        <v>731</v>
      </c>
      <c r="AO256" s="23"/>
      <c r="AP256" s="23"/>
      <c r="AQ256" s="23"/>
      <c r="AR256" s="23"/>
      <c r="AS256" s="23"/>
      <c r="AT256" s="23"/>
      <c r="AU256" s="23"/>
      <c r="AV256" s="42">
        <v>90</v>
      </c>
      <c r="AW256" s="18"/>
      <c r="AY256" s="42"/>
      <c r="AZ256" s="42"/>
      <c r="BB256" s="43">
        <v>2</v>
      </c>
      <c r="BC256" s="41">
        <f>IF(AND((AV256/I256)&lt;2,BB256=1),(I256*2)-AV256,0)</f>
        <v>0</v>
      </c>
      <c r="BD256" s="41">
        <f>IF(AND((AV256/I256)&lt;3,BB256=2),(I256*3)-AV256,0)</f>
        <v>0</v>
      </c>
      <c r="BG256" s="41">
        <f>IF((AV256+AW256+AX256)&lt;20,(20-(AV256+AW256+AX256)),0)</f>
        <v>0</v>
      </c>
      <c r="BH256" s="18">
        <v>12</v>
      </c>
      <c r="BI256" s="18">
        <v>16</v>
      </c>
      <c r="BJ256" s="18">
        <v>16</v>
      </c>
      <c r="BK256" s="18">
        <v>11</v>
      </c>
      <c r="BL256" s="18">
        <v>13</v>
      </c>
      <c r="BM256" s="55">
        <f>SUM(AV256:AX256)+SUM(BC256:BD256)+SUM(BE256:BF256)+BG256</f>
        <v>90</v>
      </c>
      <c r="BN256" s="55"/>
      <c r="BO256" s="55"/>
      <c r="BP256" s="55"/>
      <c r="BQ256" s="55"/>
      <c r="BR256" s="55"/>
      <c r="BS256" s="55"/>
      <c r="BT256" s="55"/>
      <c r="BU256" s="55"/>
      <c r="BV256" s="55"/>
      <c r="BW256" s="55"/>
      <c r="BX256" s="55"/>
      <c r="BY256" s="55"/>
    </row>
    <row r="257" spans="1:78" ht="25.5">
      <c r="B257" s="89">
        <v>251</v>
      </c>
      <c r="C257" s="124">
        <v>201</v>
      </c>
      <c r="D257" s="124">
        <v>251</v>
      </c>
      <c r="E257" s="125">
        <v>0.29791666666666666</v>
      </c>
      <c r="F257" s="125">
        <v>0.34513888888888888</v>
      </c>
      <c r="G257" s="126" t="s">
        <v>542</v>
      </c>
      <c r="H257" s="93" t="s">
        <v>478</v>
      </c>
      <c r="I257" s="124">
        <v>44</v>
      </c>
      <c r="J257" s="127">
        <v>50</v>
      </c>
      <c r="K257" s="98">
        <v>240</v>
      </c>
      <c r="L257" s="128" t="s">
        <v>741</v>
      </c>
      <c r="M257" s="87" t="s">
        <v>971</v>
      </c>
      <c r="N257" s="87">
        <v>61</v>
      </c>
      <c r="O257" s="87" t="s">
        <v>1877</v>
      </c>
      <c r="P257" s="87">
        <v>58</v>
      </c>
      <c r="Q257" s="87" t="s">
        <v>1236</v>
      </c>
      <c r="R257" s="83">
        <v>65</v>
      </c>
      <c r="S257" s="26">
        <v>2290</v>
      </c>
      <c r="T257" s="26" t="s">
        <v>1457</v>
      </c>
      <c r="U257" s="26">
        <v>1</v>
      </c>
      <c r="V257" s="26" t="s">
        <v>1312</v>
      </c>
      <c r="W257" s="63">
        <v>44816</v>
      </c>
      <c r="X257" s="63">
        <v>45100</v>
      </c>
      <c r="Y257" s="63"/>
      <c r="Z257" s="63"/>
      <c r="AA257" s="26" t="s">
        <v>1112</v>
      </c>
      <c r="AB257" s="23" t="s">
        <v>731</v>
      </c>
      <c r="AC257" s="23"/>
      <c r="AD257" s="23" t="s">
        <v>731</v>
      </c>
      <c r="AE257" s="23"/>
      <c r="AF257" s="23" t="s">
        <v>731</v>
      </c>
      <c r="AG257" s="23" t="s">
        <v>731</v>
      </c>
      <c r="AH257" s="23" t="s">
        <v>731</v>
      </c>
      <c r="AI257" s="23" t="s">
        <v>731</v>
      </c>
      <c r="AJ257" s="23" t="s">
        <v>731</v>
      </c>
      <c r="AK257" s="23" t="s">
        <v>731</v>
      </c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42">
        <v>105.6</v>
      </c>
      <c r="AW257" s="18"/>
      <c r="AY257" s="42"/>
      <c r="AZ257" s="42"/>
      <c r="BB257" s="43">
        <v>2</v>
      </c>
      <c r="BC257" s="41">
        <f>IF(AND((AV257/I257)&lt;2,BB257=1),(I257*2)-AV257,0)</f>
        <v>0</v>
      </c>
      <c r="BD257" s="41">
        <f>IF(AND((AV257/I257)&lt;3,BB257=2),(I257*3)-AV257,0)</f>
        <v>26.400000000000006</v>
      </c>
      <c r="BG257" s="18"/>
      <c r="BH257" s="18">
        <v>17</v>
      </c>
      <c r="BI257" s="18">
        <v>26</v>
      </c>
      <c r="BJ257" s="18">
        <v>25</v>
      </c>
      <c r="BK257" s="18">
        <v>25</v>
      </c>
      <c r="BL257" s="18">
        <v>25</v>
      </c>
      <c r="BM257" s="55">
        <f>SUM(AV257:AX257)+SUM(BC257:BD257)+SUM(BE257:BF257)+BG257</f>
        <v>132</v>
      </c>
      <c r="BN257" s="55"/>
      <c r="BO257" s="55"/>
      <c r="BP257" s="55"/>
      <c r="BQ257" s="55"/>
      <c r="BR257" s="55"/>
      <c r="BS257" s="55"/>
      <c r="BT257" s="55"/>
      <c r="BU257" s="55"/>
      <c r="BV257" s="55"/>
      <c r="BW257" s="55"/>
      <c r="BX257" s="55"/>
      <c r="BY257" s="55"/>
    </row>
    <row r="258" spans="1:78" ht="33.75">
      <c r="A258" s="2" t="s">
        <v>800</v>
      </c>
      <c r="B258" s="89">
        <v>252</v>
      </c>
      <c r="C258" s="124">
        <v>201</v>
      </c>
      <c r="D258" s="129">
        <v>279</v>
      </c>
      <c r="E258" s="130">
        <v>0.32361111111111113</v>
      </c>
      <c r="F258" s="130">
        <v>0.33611111111111108</v>
      </c>
      <c r="G258" s="126" t="s">
        <v>538</v>
      </c>
      <c r="H258" s="93" t="s">
        <v>443</v>
      </c>
      <c r="I258" s="124">
        <v>15</v>
      </c>
      <c r="J258" s="127">
        <v>50</v>
      </c>
      <c r="K258" s="131">
        <v>47</v>
      </c>
      <c r="L258" s="99" t="s">
        <v>748</v>
      </c>
      <c r="M258" s="83" t="s">
        <v>833</v>
      </c>
      <c r="N258" s="83">
        <v>57</v>
      </c>
      <c r="O258" s="83" t="s">
        <v>832</v>
      </c>
      <c r="P258" s="83">
        <v>57</v>
      </c>
      <c r="Q258" s="152" t="s">
        <v>2007</v>
      </c>
      <c r="R258" s="152" t="s">
        <v>2008</v>
      </c>
      <c r="S258" s="26">
        <v>2290</v>
      </c>
      <c r="T258" s="26" t="s">
        <v>1457</v>
      </c>
      <c r="U258" s="26">
        <v>2180</v>
      </c>
      <c r="V258" s="26" t="s">
        <v>1456</v>
      </c>
      <c r="W258" s="63">
        <v>44816</v>
      </c>
      <c r="X258" s="63">
        <v>45100</v>
      </c>
      <c r="Y258" s="63"/>
      <c r="Z258" s="63"/>
      <c r="AA258" s="27" t="s">
        <v>1103</v>
      </c>
      <c r="AB258" s="23" t="s">
        <v>731</v>
      </c>
      <c r="AC258" s="23"/>
      <c r="AD258" s="23"/>
      <c r="AE258" s="23"/>
      <c r="AF258" s="23"/>
      <c r="AG258" s="23"/>
      <c r="AH258" s="23"/>
      <c r="AI258" s="23"/>
      <c r="AJ258" s="23"/>
      <c r="AK258" s="23"/>
      <c r="AL258" s="23" t="s">
        <v>731</v>
      </c>
      <c r="AM258" s="23"/>
      <c r="AN258" s="23"/>
      <c r="AO258" s="23"/>
      <c r="AP258" s="23"/>
      <c r="AQ258" s="23"/>
      <c r="AR258" s="23"/>
      <c r="AS258" s="23"/>
      <c r="AT258" s="23"/>
      <c r="AU258" s="23"/>
      <c r="AV258" s="42"/>
      <c r="AW258" s="18"/>
      <c r="AX258" s="41">
        <f>3*I258</f>
        <v>45</v>
      </c>
      <c r="AY258" s="42"/>
      <c r="AZ258" s="42"/>
      <c r="BB258" s="43">
        <v>2</v>
      </c>
      <c r="BC258" s="45"/>
      <c r="BD258" s="50"/>
      <c r="BE258" s="45"/>
      <c r="BF258" s="45"/>
      <c r="BG258" s="18"/>
      <c r="BH258" s="18">
        <v>2</v>
      </c>
      <c r="BI258" s="18">
        <v>5</v>
      </c>
      <c r="BJ258" s="18">
        <v>5</v>
      </c>
      <c r="BK258" s="18">
        <v>6</v>
      </c>
      <c r="BL258" s="18">
        <v>6</v>
      </c>
      <c r="BM258" s="55">
        <f>SUM(AV258:AX258)+SUM(BC258:BD258)+SUM(BE258:BF258)+BG258</f>
        <v>45</v>
      </c>
      <c r="BN258" s="55"/>
      <c r="BO258" s="55"/>
      <c r="BP258" s="55"/>
      <c r="BQ258" s="55"/>
      <c r="BR258" s="55"/>
      <c r="BS258" s="55"/>
      <c r="BT258" s="55"/>
      <c r="BU258" s="55"/>
      <c r="BV258" s="55"/>
      <c r="BW258" s="55"/>
      <c r="BX258" s="55"/>
      <c r="BY258" s="55"/>
    </row>
    <row r="259" spans="1:78" ht="33.75">
      <c r="A259" s="2" t="s">
        <v>800</v>
      </c>
      <c r="B259" s="89">
        <v>253</v>
      </c>
      <c r="C259" s="124">
        <v>201</v>
      </c>
      <c r="D259" s="129">
        <v>518</v>
      </c>
      <c r="E259" s="130">
        <v>0.35694444444444445</v>
      </c>
      <c r="F259" s="130">
        <v>0.36944444444444446</v>
      </c>
      <c r="G259" s="126" t="s">
        <v>539</v>
      </c>
      <c r="H259" s="93" t="s">
        <v>478</v>
      </c>
      <c r="I259" s="124">
        <v>15</v>
      </c>
      <c r="J259" s="127">
        <v>50</v>
      </c>
      <c r="K259" s="131">
        <v>240</v>
      </c>
      <c r="L259" s="99" t="s">
        <v>748</v>
      </c>
      <c r="M259" s="83" t="s">
        <v>833</v>
      </c>
      <c r="N259" s="83">
        <v>57</v>
      </c>
      <c r="O259" s="83" t="s">
        <v>832</v>
      </c>
      <c r="P259" s="83">
        <v>57</v>
      </c>
      <c r="Q259" s="152" t="s">
        <v>2007</v>
      </c>
      <c r="R259" s="152" t="s">
        <v>2008</v>
      </c>
      <c r="S259" s="26">
        <v>2180</v>
      </c>
      <c r="T259" s="26" t="s">
        <v>1456</v>
      </c>
      <c r="U259" s="26">
        <v>2290</v>
      </c>
      <c r="V259" s="26" t="s">
        <v>1457</v>
      </c>
      <c r="W259" s="63">
        <v>44816</v>
      </c>
      <c r="X259" s="63">
        <v>45100</v>
      </c>
      <c r="Y259" s="63"/>
      <c r="Z259" s="63"/>
      <c r="AA259" s="26" t="s">
        <v>1112</v>
      </c>
      <c r="AB259" s="23" t="s">
        <v>731</v>
      </c>
      <c r="AC259" s="23"/>
      <c r="AD259" s="23" t="s">
        <v>731</v>
      </c>
      <c r="AE259" s="23"/>
      <c r="AF259" s="23" t="s">
        <v>731</v>
      </c>
      <c r="AG259" s="23" t="s">
        <v>731</v>
      </c>
      <c r="AH259" s="23" t="s">
        <v>731</v>
      </c>
      <c r="AI259" s="23" t="s">
        <v>731</v>
      </c>
      <c r="AJ259" s="23" t="s">
        <v>731</v>
      </c>
      <c r="AK259" s="23" t="s">
        <v>731</v>
      </c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42"/>
      <c r="AW259" s="18"/>
      <c r="AX259" s="41">
        <f>3*I259</f>
        <v>45</v>
      </c>
      <c r="AY259" s="42"/>
      <c r="AZ259" s="42"/>
      <c r="BB259" s="43">
        <v>2</v>
      </c>
      <c r="BC259" s="45"/>
      <c r="BD259" s="50"/>
      <c r="BE259" s="45"/>
      <c r="BF259" s="45"/>
      <c r="BG259" s="18"/>
      <c r="BH259" s="18">
        <v>17</v>
      </c>
      <c r="BI259" s="18">
        <v>26</v>
      </c>
      <c r="BJ259" s="18">
        <v>25</v>
      </c>
      <c r="BK259" s="18">
        <v>25</v>
      </c>
      <c r="BL259" s="18">
        <v>25</v>
      </c>
      <c r="BM259" s="55">
        <f>SUM(AV259:AX259)+SUM(BC259:BD259)+SUM(BE259:BF259)+BG259</f>
        <v>45</v>
      </c>
      <c r="BN259" s="55"/>
      <c r="BO259" s="55"/>
      <c r="BP259" s="55"/>
      <c r="BQ259" s="55"/>
      <c r="BR259" s="55"/>
      <c r="BS259" s="55"/>
      <c r="BT259" s="55"/>
      <c r="BU259" s="55"/>
      <c r="BV259" s="55"/>
      <c r="BW259" s="55"/>
      <c r="BX259" s="55"/>
      <c r="BY259" s="55"/>
    </row>
    <row r="260" spans="1:78" ht="33.75">
      <c r="A260" s="2" t="s">
        <v>800</v>
      </c>
      <c r="B260" s="89">
        <v>254</v>
      </c>
      <c r="C260" s="124">
        <v>201</v>
      </c>
      <c r="D260" s="129">
        <v>518</v>
      </c>
      <c r="E260" s="130">
        <v>0.35694444444444445</v>
      </c>
      <c r="F260" s="130">
        <v>0.36944444444444446</v>
      </c>
      <c r="G260" s="126" t="s">
        <v>539</v>
      </c>
      <c r="H260" s="93" t="s">
        <v>443</v>
      </c>
      <c r="I260" s="124">
        <v>15</v>
      </c>
      <c r="J260" s="127">
        <v>50</v>
      </c>
      <c r="K260" s="131">
        <v>47</v>
      </c>
      <c r="L260" s="99" t="s">
        <v>748</v>
      </c>
      <c r="M260" s="83" t="s">
        <v>833</v>
      </c>
      <c r="N260" s="83">
        <v>57</v>
      </c>
      <c r="O260" s="83" t="s">
        <v>832</v>
      </c>
      <c r="P260" s="83">
        <v>57</v>
      </c>
      <c r="Q260" s="152" t="s">
        <v>2007</v>
      </c>
      <c r="R260" s="152" t="s">
        <v>2008</v>
      </c>
      <c r="S260" s="26">
        <v>2180</v>
      </c>
      <c r="T260" s="26" t="s">
        <v>1456</v>
      </c>
      <c r="U260" s="26">
        <v>2290</v>
      </c>
      <c r="V260" s="26" t="s">
        <v>1457</v>
      </c>
      <c r="W260" s="63">
        <v>44816</v>
      </c>
      <c r="X260" s="63">
        <v>45100</v>
      </c>
      <c r="Y260" s="63"/>
      <c r="Z260" s="63"/>
      <c r="AA260" s="27" t="s">
        <v>1103</v>
      </c>
      <c r="AB260" s="23" t="s">
        <v>731</v>
      </c>
      <c r="AC260" s="23"/>
      <c r="AD260" s="23"/>
      <c r="AE260" s="23"/>
      <c r="AF260" s="23"/>
      <c r="AG260" s="23"/>
      <c r="AH260" s="23"/>
      <c r="AI260" s="23"/>
      <c r="AJ260" s="23"/>
      <c r="AK260" s="23"/>
      <c r="AL260" s="23" t="s">
        <v>731</v>
      </c>
      <c r="AM260" s="23"/>
      <c r="AN260" s="23"/>
      <c r="AO260" s="23"/>
      <c r="AP260" s="23"/>
      <c r="AQ260" s="23"/>
      <c r="AR260" s="23"/>
      <c r="AS260" s="23"/>
      <c r="AT260" s="23"/>
      <c r="AU260" s="23"/>
      <c r="AV260" s="42"/>
      <c r="AW260" s="18"/>
      <c r="AX260" s="41">
        <f>3*I260</f>
        <v>45</v>
      </c>
      <c r="AY260" s="42"/>
      <c r="AZ260" s="42"/>
      <c r="BB260" s="43">
        <v>2</v>
      </c>
      <c r="BC260" s="45"/>
      <c r="BD260" s="50"/>
      <c r="BE260" s="45"/>
      <c r="BF260" s="45"/>
      <c r="BG260" s="18"/>
      <c r="BH260" s="18">
        <v>2</v>
      </c>
      <c r="BI260" s="18">
        <v>5</v>
      </c>
      <c r="BJ260" s="18">
        <v>5</v>
      </c>
      <c r="BK260" s="18">
        <v>6</v>
      </c>
      <c r="BL260" s="18">
        <v>6</v>
      </c>
      <c r="BM260" s="55">
        <f>SUM(AV260:AX260)+SUM(BC260:BD260)+SUM(BE260:BF260)+BG260</f>
        <v>45</v>
      </c>
      <c r="BN260" s="55"/>
      <c r="BO260" s="55"/>
      <c r="BP260" s="55"/>
      <c r="BQ260" s="55"/>
      <c r="BR260" s="55"/>
      <c r="BS260" s="55"/>
      <c r="BT260" s="55"/>
      <c r="BU260" s="55"/>
      <c r="BV260" s="55"/>
      <c r="BW260" s="55"/>
      <c r="BX260" s="55"/>
      <c r="BY260" s="55"/>
    </row>
    <row r="261" spans="1:78" ht="25.5">
      <c r="A261" s="2" t="s">
        <v>1167</v>
      </c>
      <c r="B261" s="89">
        <v>255</v>
      </c>
      <c r="C261" s="124">
        <v>201</v>
      </c>
      <c r="D261" s="129">
        <v>230</v>
      </c>
      <c r="E261" s="130">
        <v>0.36805555555555558</v>
      </c>
      <c r="F261" s="130">
        <v>0.41597222222222219</v>
      </c>
      <c r="G261" s="126" t="s">
        <v>543</v>
      </c>
      <c r="H261" s="93" t="s">
        <v>478</v>
      </c>
      <c r="I261" s="129">
        <v>44</v>
      </c>
      <c r="J261" s="127">
        <v>50</v>
      </c>
      <c r="K261" s="131">
        <v>240</v>
      </c>
      <c r="L261" s="128" t="s">
        <v>741</v>
      </c>
      <c r="M261" s="87" t="s">
        <v>971</v>
      </c>
      <c r="N261" s="87">
        <v>61</v>
      </c>
      <c r="O261" s="87" t="s">
        <v>1877</v>
      </c>
      <c r="P261" s="87">
        <v>58</v>
      </c>
      <c r="Q261" s="87" t="s">
        <v>1236</v>
      </c>
      <c r="R261" s="83">
        <v>65</v>
      </c>
      <c r="S261" s="26">
        <v>1</v>
      </c>
      <c r="T261" s="26" t="s">
        <v>1309</v>
      </c>
      <c r="U261" s="26">
        <v>2290</v>
      </c>
      <c r="V261" s="26" t="s">
        <v>1457</v>
      </c>
      <c r="W261" s="63">
        <v>44816</v>
      </c>
      <c r="X261" s="63">
        <v>45100</v>
      </c>
      <c r="Y261" s="63"/>
      <c r="Z261" s="63"/>
      <c r="AA261" s="26" t="s">
        <v>1112</v>
      </c>
      <c r="AB261" s="23" t="s">
        <v>731</v>
      </c>
      <c r="AC261" s="23"/>
      <c r="AD261" s="23" t="s">
        <v>731</v>
      </c>
      <c r="AE261" s="23"/>
      <c r="AF261" s="23" t="s">
        <v>731</v>
      </c>
      <c r="AG261" s="23" t="s">
        <v>731</v>
      </c>
      <c r="AH261" s="23" t="s">
        <v>731</v>
      </c>
      <c r="AI261" s="23" t="s">
        <v>731</v>
      </c>
      <c r="AJ261" s="23" t="s">
        <v>731</v>
      </c>
      <c r="AK261" s="23" t="s">
        <v>731</v>
      </c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42">
        <v>105.6</v>
      </c>
      <c r="AW261" s="18"/>
      <c r="AY261" s="42"/>
      <c r="AZ261" s="42"/>
      <c r="BB261" s="43">
        <v>2</v>
      </c>
      <c r="BC261" s="41">
        <f>IF(AND((AV261/I261)&lt;2,BB261=1),(I261*2)-AV261,0)</f>
        <v>0</v>
      </c>
      <c r="BD261" s="41">
        <f>IF(AND((AV261/I261)&lt;3,BB261=2),(I261*3)-AV261,0)</f>
        <v>26.400000000000006</v>
      </c>
      <c r="BG261" s="18"/>
      <c r="BH261" s="18">
        <v>17</v>
      </c>
      <c r="BI261" s="18">
        <v>26</v>
      </c>
      <c r="BJ261" s="18">
        <v>25</v>
      </c>
      <c r="BK261" s="18">
        <v>25</v>
      </c>
      <c r="BL261" s="18">
        <v>25</v>
      </c>
      <c r="BM261" s="55">
        <f>SUM(AV261:AX261)+SUM(BC261:BD261)+SUM(BE261:BF261)+BG261</f>
        <v>132</v>
      </c>
      <c r="BN261" s="55"/>
      <c r="BO261" s="55"/>
      <c r="BP261" s="55"/>
      <c r="BQ261" s="55"/>
      <c r="BR261" s="55"/>
      <c r="BS261" s="55"/>
      <c r="BT261" s="55"/>
      <c r="BU261" s="55"/>
      <c r="BV261" s="55"/>
      <c r="BW261" s="55"/>
      <c r="BX261" s="55"/>
      <c r="BY261" s="55"/>
    </row>
    <row r="262" spans="1:78" ht="33.75">
      <c r="A262" s="2" t="s">
        <v>800</v>
      </c>
      <c r="B262" s="89">
        <v>256</v>
      </c>
      <c r="C262" s="124">
        <v>201</v>
      </c>
      <c r="D262" s="129">
        <v>351</v>
      </c>
      <c r="E262" s="130">
        <v>0.375</v>
      </c>
      <c r="F262" s="130">
        <v>0.38750000000000001</v>
      </c>
      <c r="G262" s="126" t="s">
        <v>538</v>
      </c>
      <c r="H262" s="93" t="s">
        <v>478</v>
      </c>
      <c r="I262" s="124">
        <v>15</v>
      </c>
      <c r="J262" s="127">
        <v>50</v>
      </c>
      <c r="K262" s="131">
        <v>240</v>
      </c>
      <c r="L262" s="99" t="s">
        <v>748</v>
      </c>
      <c r="M262" s="83" t="s">
        <v>833</v>
      </c>
      <c r="N262" s="83">
        <v>57</v>
      </c>
      <c r="O262" s="83" t="s">
        <v>832</v>
      </c>
      <c r="P262" s="83">
        <v>57</v>
      </c>
      <c r="Q262" s="152" t="s">
        <v>2007</v>
      </c>
      <c r="R262" s="152" t="s">
        <v>2008</v>
      </c>
      <c r="S262" s="26">
        <v>2290</v>
      </c>
      <c r="T262" s="26" t="s">
        <v>1457</v>
      </c>
      <c r="U262" s="26">
        <v>2180</v>
      </c>
      <c r="V262" s="26" t="s">
        <v>1456</v>
      </c>
      <c r="W262" s="63">
        <v>44816</v>
      </c>
      <c r="X262" s="63">
        <v>45100</v>
      </c>
      <c r="Y262" s="63"/>
      <c r="Z262" s="63"/>
      <c r="AA262" s="26" t="s">
        <v>1112</v>
      </c>
      <c r="AB262" s="23" t="s">
        <v>731</v>
      </c>
      <c r="AC262" s="23"/>
      <c r="AD262" s="23" t="s">
        <v>731</v>
      </c>
      <c r="AE262" s="23"/>
      <c r="AF262" s="23" t="s">
        <v>731</v>
      </c>
      <c r="AG262" s="23" t="s">
        <v>731</v>
      </c>
      <c r="AH262" s="23" t="s">
        <v>731</v>
      </c>
      <c r="AI262" s="23" t="s">
        <v>731</v>
      </c>
      <c r="AJ262" s="23" t="s">
        <v>731</v>
      </c>
      <c r="AK262" s="23" t="s">
        <v>731</v>
      </c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42"/>
      <c r="AW262" s="18"/>
      <c r="AX262" s="41">
        <f>3*I262</f>
        <v>45</v>
      </c>
      <c r="AY262" s="42"/>
      <c r="AZ262" s="42"/>
      <c r="BB262" s="43">
        <v>2</v>
      </c>
      <c r="BC262" s="45"/>
      <c r="BD262" s="50"/>
      <c r="BE262" s="45"/>
      <c r="BF262" s="45"/>
      <c r="BG262" s="18"/>
      <c r="BH262" s="18">
        <v>17</v>
      </c>
      <c r="BI262" s="18">
        <v>26</v>
      </c>
      <c r="BJ262" s="18">
        <v>25</v>
      </c>
      <c r="BK262" s="18">
        <v>25</v>
      </c>
      <c r="BL262" s="18">
        <v>25</v>
      </c>
      <c r="BM262" s="55">
        <f>SUM(AV262:AX262)+SUM(BC262:BD262)+SUM(BE262:BF262)+BG262</f>
        <v>45</v>
      </c>
      <c r="BN262" s="55"/>
      <c r="BO262" s="55"/>
      <c r="BP262" s="55"/>
      <c r="BQ262" s="55"/>
      <c r="BR262" s="55"/>
      <c r="BS262" s="55"/>
      <c r="BT262" s="55"/>
      <c r="BU262" s="55"/>
      <c r="BV262" s="55"/>
      <c r="BW262" s="55"/>
      <c r="BX262" s="55"/>
      <c r="BY262" s="55"/>
    </row>
    <row r="263" spans="1:78" ht="33.75">
      <c r="A263" s="2" t="s">
        <v>800</v>
      </c>
      <c r="B263" s="89">
        <v>257</v>
      </c>
      <c r="C263" s="124">
        <v>201</v>
      </c>
      <c r="D263" s="129">
        <v>351</v>
      </c>
      <c r="E263" s="130">
        <v>0.375</v>
      </c>
      <c r="F263" s="130">
        <v>0.38750000000000001</v>
      </c>
      <c r="G263" s="126" t="s">
        <v>538</v>
      </c>
      <c r="H263" s="93" t="s">
        <v>443</v>
      </c>
      <c r="I263" s="124">
        <v>15</v>
      </c>
      <c r="J263" s="127">
        <v>50</v>
      </c>
      <c r="K263" s="131">
        <v>47</v>
      </c>
      <c r="L263" s="99" t="s">
        <v>748</v>
      </c>
      <c r="M263" s="83" t="s">
        <v>833</v>
      </c>
      <c r="N263" s="83">
        <v>57</v>
      </c>
      <c r="O263" s="83" t="s">
        <v>832</v>
      </c>
      <c r="P263" s="83">
        <v>57</v>
      </c>
      <c r="Q263" s="152" t="s">
        <v>2007</v>
      </c>
      <c r="R263" s="152" t="s">
        <v>2008</v>
      </c>
      <c r="S263" s="26">
        <v>2290</v>
      </c>
      <c r="T263" s="26" t="s">
        <v>1457</v>
      </c>
      <c r="U263" s="26">
        <v>2180</v>
      </c>
      <c r="V263" s="26" t="s">
        <v>1456</v>
      </c>
      <c r="W263" s="63">
        <v>44816</v>
      </c>
      <c r="X263" s="63">
        <v>45100</v>
      </c>
      <c r="Y263" s="63"/>
      <c r="Z263" s="63"/>
      <c r="AA263" s="27" t="s">
        <v>1103</v>
      </c>
      <c r="AB263" s="23" t="s">
        <v>731</v>
      </c>
      <c r="AC263" s="23"/>
      <c r="AD263" s="23"/>
      <c r="AE263" s="23"/>
      <c r="AF263" s="23"/>
      <c r="AG263" s="23"/>
      <c r="AH263" s="23"/>
      <c r="AI263" s="23"/>
      <c r="AJ263" s="23"/>
      <c r="AK263" s="23"/>
      <c r="AL263" s="23" t="s">
        <v>731</v>
      </c>
      <c r="AM263" s="23"/>
      <c r="AN263" s="23"/>
      <c r="AO263" s="23"/>
      <c r="AP263" s="23"/>
      <c r="AQ263" s="23"/>
      <c r="AR263" s="23"/>
      <c r="AS263" s="23"/>
      <c r="AT263" s="23"/>
      <c r="AU263" s="23"/>
      <c r="AV263" s="42"/>
      <c r="AW263" s="18"/>
      <c r="AX263" s="41">
        <f>3*I263</f>
        <v>45</v>
      </c>
      <c r="AY263" s="42"/>
      <c r="AZ263" s="42"/>
      <c r="BB263" s="43">
        <v>2</v>
      </c>
      <c r="BC263" s="45"/>
      <c r="BD263" s="50"/>
      <c r="BE263" s="45"/>
      <c r="BF263" s="45"/>
      <c r="BG263" s="18"/>
      <c r="BH263" s="18">
        <v>2</v>
      </c>
      <c r="BI263" s="18">
        <v>5</v>
      </c>
      <c r="BJ263" s="18">
        <v>5</v>
      </c>
      <c r="BK263" s="18">
        <v>6</v>
      </c>
      <c r="BL263" s="18">
        <v>6</v>
      </c>
      <c r="BM263" s="55">
        <f>SUM(AV263:AX263)+SUM(BC263:BD263)+SUM(BE263:BF263)+BG263</f>
        <v>45</v>
      </c>
      <c r="BN263" s="55"/>
      <c r="BO263" s="55"/>
      <c r="BP263" s="55"/>
      <c r="BQ263" s="55"/>
      <c r="BR263" s="55"/>
      <c r="BS263" s="55"/>
      <c r="BT263" s="55"/>
      <c r="BU263" s="55"/>
      <c r="BV263" s="55"/>
      <c r="BW263" s="55"/>
      <c r="BX263" s="55"/>
      <c r="BY263" s="55"/>
    </row>
    <row r="264" spans="1:78" ht="33.75">
      <c r="A264" s="2" t="s">
        <v>800</v>
      </c>
      <c r="B264" s="89">
        <v>258</v>
      </c>
      <c r="C264" s="124">
        <v>201</v>
      </c>
      <c r="D264" s="129">
        <v>520</v>
      </c>
      <c r="E264" s="130">
        <v>0.39861111111111108</v>
      </c>
      <c r="F264" s="130">
        <v>0.41111111111111115</v>
      </c>
      <c r="G264" s="126" t="s">
        <v>539</v>
      </c>
      <c r="H264" s="93" t="s">
        <v>478</v>
      </c>
      <c r="I264" s="124">
        <v>15</v>
      </c>
      <c r="J264" s="127">
        <v>50</v>
      </c>
      <c r="K264" s="131">
        <v>240</v>
      </c>
      <c r="L264" s="99" t="s">
        <v>748</v>
      </c>
      <c r="M264" s="83" t="s">
        <v>833</v>
      </c>
      <c r="N264" s="83">
        <v>57</v>
      </c>
      <c r="O264" s="83" t="s">
        <v>832</v>
      </c>
      <c r="P264" s="83">
        <v>57</v>
      </c>
      <c r="Q264" s="152" t="s">
        <v>2007</v>
      </c>
      <c r="R264" s="152" t="s">
        <v>2008</v>
      </c>
      <c r="S264" s="26">
        <v>2180</v>
      </c>
      <c r="T264" s="26" t="s">
        <v>1456</v>
      </c>
      <c r="U264" s="26">
        <v>2290</v>
      </c>
      <c r="V264" s="26" t="s">
        <v>1457</v>
      </c>
      <c r="W264" s="63">
        <v>44816</v>
      </c>
      <c r="X264" s="63">
        <v>45100</v>
      </c>
      <c r="Y264" s="63"/>
      <c r="Z264" s="63"/>
      <c r="AA264" s="26" t="s">
        <v>1112</v>
      </c>
      <c r="AB264" s="23" t="s">
        <v>731</v>
      </c>
      <c r="AC264" s="23"/>
      <c r="AD264" s="23" t="s">
        <v>731</v>
      </c>
      <c r="AE264" s="23"/>
      <c r="AF264" s="23" t="s">
        <v>731</v>
      </c>
      <c r="AG264" s="23" t="s">
        <v>731</v>
      </c>
      <c r="AH264" s="23" t="s">
        <v>731</v>
      </c>
      <c r="AI264" s="23" t="s">
        <v>731</v>
      </c>
      <c r="AJ264" s="23" t="s">
        <v>731</v>
      </c>
      <c r="AK264" s="23" t="s">
        <v>731</v>
      </c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42"/>
      <c r="AW264" s="18"/>
      <c r="AX264" s="41">
        <f>3*I264</f>
        <v>45</v>
      </c>
      <c r="AY264" s="42"/>
      <c r="AZ264" s="42"/>
      <c r="BB264" s="43">
        <v>2</v>
      </c>
      <c r="BC264" s="45"/>
      <c r="BD264" s="50"/>
      <c r="BE264" s="45"/>
      <c r="BF264" s="45"/>
      <c r="BG264" s="18"/>
      <c r="BH264" s="18">
        <v>17</v>
      </c>
      <c r="BI264" s="18">
        <v>26</v>
      </c>
      <c r="BJ264" s="18">
        <v>25</v>
      </c>
      <c r="BK264" s="18">
        <v>25</v>
      </c>
      <c r="BL264" s="18">
        <v>25</v>
      </c>
      <c r="BM264" s="55">
        <f>SUM(AV264:AX264)+SUM(BC264:BD264)+SUM(BE264:BF264)+BG264</f>
        <v>45</v>
      </c>
      <c r="BN264" s="55"/>
      <c r="BO264" s="55"/>
      <c r="BP264" s="55"/>
      <c r="BQ264" s="55"/>
      <c r="BR264" s="55"/>
      <c r="BS264" s="55"/>
      <c r="BT264" s="55"/>
      <c r="BU264" s="55"/>
      <c r="BV264" s="55"/>
      <c r="BW264" s="55"/>
      <c r="BX264" s="55"/>
      <c r="BY264" s="55"/>
    </row>
    <row r="265" spans="1:78" ht="25.5">
      <c r="A265" s="2" t="s">
        <v>799</v>
      </c>
      <c r="B265" s="89">
        <v>259</v>
      </c>
      <c r="C265" s="124">
        <v>201</v>
      </c>
      <c r="D265" s="124">
        <v>65</v>
      </c>
      <c r="E265" s="130">
        <v>0.41666666666666669</v>
      </c>
      <c r="F265" s="130">
        <v>0.4291666666666667</v>
      </c>
      <c r="G265" s="126" t="s">
        <v>538</v>
      </c>
      <c r="H265" s="93" t="s">
        <v>549</v>
      </c>
      <c r="I265" s="124">
        <v>16</v>
      </c>
      <c r="J265" s="127">
        <v>50</v>
      </c>
      <c r="K265" s="131">
        <v>13</v>
      </c>
      <c r="L265" s="118" t="s">
        <v>742</v>
      </c>
      <c r="M265" s="2" t="s">
        <v>1237</v>
      </c>
      <c r="N265" s="84">
        <v>58</v>
      </c>
      <c r="O265" s="87" t="s">
        <v>1878</v>
      </c>
      <c r="P265" s="87">
        <v>56</v>
      </c>
      <c r="S265" s="26">
        <v>2290</v>
      </c>
      <c r="T265" s="26" t="s">
        <v>1457</v>
      </c>
      <c r="U265" s="26">
        <v>2180</v>
      </c>
      <c r="V265" s="26" t="s">
        <v>1456</v>
      </c>
      <c r="W265" s="63">
        <v>44562</v>
      </c>
      <c r="X265" s="63">
        <v>44815</v>
      </c>
      <c r="Y265" s="63">
        <v>45101</v>
      </c>
      <c r="Z265" s="63">
        <v>45169</v>
      </c>
      <c r="AA265" s="17" t="s">
        <v>1104</v>
      </c>
      <c r="AB265" s="23"/>
      <c r="AC265" s="23" t="s">
        <v>731</v>
      </c>
      <c r="AD265" s="23"/>
      <c r="AE265" s="23"/>
      <c r="AF265" s="23"/>
      <c r="AG265" s="23"/>
      <c r="AH265" s="23"/>
      <c r="AI265" s="23"/>
      <c r="AJ265" s="23"/>
      <c r="AK265" s="23"/>
      <c r="AL265" s="23" t="s">
        <v>731</v>
      </c>
      <c r="AM265" s="23"/>
      <c r="AN265" s="23"/>
      <c r="AO265" s="23"/>
      <c r="AP265" s="23"/>
      <c r="AQ265" s="23"/>
      <c r="AR265" s="23"/>
      <c r="AS265" s="23"/>
      <c r="AT265" s="23"/>
      <c r="AU265" s="23"/>
      <c r="AV265" s="42"/>
      <c r="AZ265" s="19" t="s">
        <v>1014</v>
      </c>
      <c r="BB265" s="43">
        <v>2</v>
      </c>
      <c r="BD265" s="41"/>
      <c r="BG265" s="18"/>
      <c r="BH265" s="18">
        <v>2</v>
      </c>
      <c r="BI265" s="18">
        <v>0</v>
      </c>
      <c r="BJ265" s="18">
        <v>0</v>
      </c>
      <c r="BK265" s="18">
        <v>0</v>
      </c>
      <c r="BL265" s="18">
        <v>0</v>
      </c>
      <c r="BM265" s="55">
        <f>SUM(AV265:AX265)+SUM(BC265:BD265)+SUM(BE265:BF265)+BG265</f>
        <v>0</v>
      </c>
      <c r="BN265" s="55" t="s">
        <v>1104</v>
      </c>
      <c r="BO265" s="77">
        <v>2</v>
      </c>
      <c r="BP265" s="77"/>
      <c r="BQ265" s="77">
        <v>0</v>
      </c>
      <c r="BR265" s="77"/>
      <c r="BS265" s="77">
        <v>0</v>
      </c>
      <c r="BT265" s="77"/>
      <c r="BU265" s="77">
        <v>0</v>
      </c>
      <c r="BV265" s="77"/>
      <c r="BW265" s="77">
        <v>0</v>
      </c>
      <c r="BX265" s="77"/>
      <c r="BY265" s="55">
        <v>400</v>
      </c>
    </row>
    <row r="266" spans="1:78" ht="33.75">
      <c r="A266" s="2" t="s">
        <v>800</v>
      </c>
      <c r="B266" s="89">
        <v>260</v>
      </c>
      <c r="C266" s="124">
        <v>201</v>
      </c>
      <c r="D266" s="129">
        <v>65</v>
      </c>
      <c r="E266" s="130">
        <v>0.41666666666666669</v>
      </c>
      <c r="F266" s="130">
        <v>0.4291666666666667</v>
      </c>
      <c r="G266" s="126" t="s">
        <v>538</v>
      </c>
      <c r="H266" s="93" t="s">
        <v>478</v>
      </c>
      <c r="I266" s="124">
        <v>15</v>
      </c>
      <c r="J266" s="127">
        <v>50</v>
      </c>
      <c r="K266" s="131">
        <v>240</v>
      </c>
      <c r="L266" s="99" t="s">
        <v>748</v>
      </c>
      <c r="M266" s="83" t="s">
        <v>833</v>
      </c>
      <c r="N266" s="83">
        <v>57</v>
      </c>
      <c r="O266" s="83" t="s">
        <v>832</v>
      </c>
      <c r="P266" s="83">
        <v>57</v>
      </c>
      <c r="Q266" s="152" t="s">
        <v>2007</v>
      </c>
      <c r="R266" s="152" t="s">
        <v>2008</v>
      </c>
      <c r="S266" s="26">
        <v>2290</v>
      </c>
      <c r="T266" s="26" t="s">
        <v>1457</v>
      </c>
      <c r="U266" s="26">
        <v>2180</v>
      </c>
      <c r="V266" s="26" t="s">
        <v>1456</v>
      </c>
      <c r="W266" s="63">
        <v>44816</v>
      </c>
      <c r="X266" s="63">
        <v>45100</v>
      </c>
      <c r="Y266" s="63"/>
      <c r="Z266" s="63"/>
      <c r="AA266" s="26" t="s">
        <v>1112</v>
      </c>
      <c r="AB266" s="23" t="s">
        <v>731</v>
      </c>
      <c r="AC266" s="23"/>
      <c r="AD266" s="23" t="s">
        <v>731</v>
      </c>
      <c r="AE266" s="23"/>
      <c r="AF266" s="23" t="s">
        <v>731</v>
      </c>
      <c r="AG266" s="23" t="s">
        <v>731</v>
      </c>
      <c r="AH266" s="23" t="s">
        <v>731</v>
      </c>
      <c r="AI266" s="23" t="s">
        <v>731</v>
      </c>
      <c r="AJ266" s="23" t="s">
        <v>731</v>
      </c>
      <c r="AK266" s="23" t="s">
        <v>731</v>
      </c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42"/>
      <c r="AX266" s="41">
        <f>3*I266</f>
        <v>45</v>
      </c>
      <c r="AY266" s="42"/>
      <c r="AZ266" s="42"/>
      <c r="BB266" s="43">
        <v>2</v>
      </c>
      <c r="BC266" s="45"/>
      <c r="BD266" s="50"/>
      <c r="BE266" s="45"/>
      <c r="BF266" s="45"/>
      <c r="BG266" s="18"/>
      <c r="BH266" s="18">
        <v>17</v>
      </c>
      <c r="BI266" s="18">
        <v>26</v>
      </c>
      <c r="BJ266" s="18">
        <v>25</v>
      </c>
      <c r="BK266" s="18">
        <v>25</v>
      </c>
      <c r="BL266" s="18">
        <v>25</v>
      </c>
      <c r="BM266" s="55">
        <f>SUM(AV266:AX266)+SUM(BC266:BD266)+SUM(BE266:BF266)+BG266</f>
        <v>45</v>
      </c>
      <c r="BN266" s="55"/>
      <c r="BO266" s="55"/>
      <c r="BP266" s="55"/>
      <c r="BQ266" s="55"/>
      <c r="BR266" s="55"/>
      <c r="BS266" s="55"/>
      <c r="BT266" s="55"/>
      <c r="BU266" s="55"/>
      <c r="BV266" s="55"/>
      <c r="BW266" s="55"/>
      <c r="BX266" s="55"/>
      <c r="BY266" s="55"/>
    </row>
    <row r="267" spans="1:78" ht="33.75">
      <c r="A267" s="2" t="s">
        <v>800</v>
      </c>
      <c r="B267" s="89">
        <v>261</v>
      </c>
      <c r="C267" s="124">
        <v>201</v>
      </c>
      <c r="D267" s="129">
        <v>65</v>
      </c>
      <c r="E267" s="130">
        <v>0.41666666666666669</v>
      </c>
      <c r="F267" s="130">
        <v>0.4291666666666667</v>
      </c>
      <c r="G267" s="126" t="s">
        <v>538</v>
      </c>
      <c r="H267" s="93" t="s">
        <v>443</v>
      </c>
      <c r="I267" s="124">
        <v>15</v>
      </c>
      <c r="J267" s="127">
        <v>50</v>
      </c>
      <c r="K267" s="131">
        <v>47</v>
      </c>
      <c r="L267" s="99" t="s">
        <v>748</v>
      </c>
      <c r="M267" s="83" t="s">
        <v>833</v>
      </c>
      <c r="N267" s="83">
        <v>57</v>
      </c>
      <c r="O267" s="83" t="s">
        <v>832</v>
      </c>
      <c r="P267" s="83">
        <v>57</v>
      </c>
      <c r="Q267" s="152" t="s">
        <v>2007</v>
      </c>
      <c r="R267" s="152" t="s">
        <v>2008</v>
      </c>
      <c r="S267" s="26">
        <v>2290</v>
      </c>
      <c r="T267" s="26" t="s">
        <v>1457</v>
      </c>
      <c r="U267" s="26">
        <v>2180</v>
      </c>
      <c r="V267" s="26" t="s">
        <v>1456</v>
      </c>
      <c r="W267" s="63">
        <v>44816</v>
      </c>
      <c r="X267" s="63">
        <v>45100</v>
      </c>
      <c r="Y267" s="63"/>
      <c r="Z267" s="63"/>
      <c r="AA267" s="27" t="s">
        <v>1103</v>
      </c>
      <c r="AB267" s="23" t="s">
        <v>731</v>
      </c>
      <c r="AC267" s="23"/>
      <c r="AD267" s="23"/>
      <c r="AE267" s="23"/>
      <c r="AF267" s="23"/>
      <c r="AG267" s="23"/>
      <c r="AH267" s="23"/>
      <c r="AI267" s="23"/>
      <c r="AJ267" s="23"/>
      <c r="AK267" s="23"/>
      <c r="AL267" s="23" t="s">
        <v>731</v>
      </c>
      <c r="AM267" s="23"/>
      <c r="AN267" s="23"/>
      <c r="AO267" s="23"/>
      <c r="AP267" s="23"/>
      <c r="AQ267" s="23"/>
      <c r="AR267" s="23"/>
      <c r="AS267" s="23"/>
      <c r="AT267" s="23"/>
      <c r="AU267" s="23"/>
      <c r="AV267" s="42"/>
      <c r="AX267" s="41">
        <f>3*I267</f>
        <v>45</v>
      </c>
      <c r="AY267" s="42"/>
      <c r="AZ267" s="42"/>
      <c r="BB267" s="43">
        <v>2</v>
      </c>
      <c r="BC267" s="45"/>
      <c r="BD267" s="50"/>
      <c r="BE267" s="45"/>
      <c r="BF267" s="45"/>
      <c r="BG267" s="18"/>
      <c r="BH267" s="18">
        <v>2</v>
      </c>
      <c r="BI267" s="18">
        <v>5</v>
      </c>
      <c r="BJ267" s="18">
        <v>5</v>
      </c>
      <c r="BK267" s="18">
        <v>6</v>
      </c>
      <c r="BL267" s="18">
        <v>6</v>
      </c>
      <c r="BM267" s="55">
        <f>SUM(AV267:AX267)+SUM(BC267:BD267)+SUM(BE267:BF267)+BG267</f>
        <v>45</v>
      </c>
      <c r="BN267" s="55"/>
      <c r="BO267" s="55"/>
      <c r="BP267" s="55"/>
      <c r="BQ267" s="55"/>
      <c r="BR267" s="55"/>
      <c r="BS267" s="55"/>
      <c r="BT267" s="55"/>
      <c r="BU267" s="55"/>
      <c r="BV267" s="55"/>
      <c r="BW267" s="55"/>
      <c r="BX267" s="55"/>
      <c r="BY267" s="55"/>
    </row>
    <row r="268" spans="1:78" ht="33.75">
      <c r="A268" s="2" t="s">
        <v>800</v>
      </c>
      <c r="B268" s="89">
        <v>262</v>
      </c>
      <c r="C268" s="124">
        <v>201</v>
      </c>
      <c r="D268" s="129">
        <v>522</v>
      </c>
      <c r="E268" s="130">
        <v>0.44027777777777777</v>
      </c>
      <c r="F268" s="130">
        <v>0.45277777777777778</v>
      </c>
      <c r="G268" s="126" t="s">
        <v>539</v>
      </c>
      <c r="H268" s="93" t="s">
        <v>478</v>
      </c>
      <c r="I268" s="124">
        <v>15</v>
      </c>
      <c r="J268" s="127">
        <v>50</v>
      </c>
      <c r="K268" s="131">
        <v>240</v>
      </c>
      <c r="L268" s="99" t="s">
        <v>748</v>
      </c>
      <c r="M268" s="83" t="s">
        <v>833</v>
      </c>
      <c r="N268" s="83">
        <v>57</v>
      </c>
      <c r="O268" s="83" t="s">
        <v>832</v>
      </c>
      <c r="P268" s="83">
        <v>57</v>
      </c>
      <c r="Q268" s="152" t="s">
        <v>2007</v>
      </c>
      <c r="R268" s="152" t="s">
        <v>2008</v>
      </c>
      <c r="S268" s="26">
        <v>2180</v>
      </c>
      <c r="T268" s="26" t="s">
        <v>1456</v>
      </c>
      <c r="U268" s="26">
        <v>2290</v>
      </c>
      <c r="V268" s="26" t="s">
        <v>1457</v>
      </c>
      <c r="W268" s="63">
        <v>44816</v>
      </c>
      <c r="X268" s="63">
        <v>45100</v>
      </c>
      <c r="Y268" s="63"/>
      <c r="Z268" s="63"/>
      <c r="AA268" s="26" t="s">
        <v>1112</v>
      </c>
      <c r="AB268" s="23" t="s">
        <v>731</v>
      </c>
      <c r="AC268" s="23"/>
      <c r="AD268" s="23" t="s">
        <v>731</v>
      </c>
      <c r="AE268" s="23"/>
      <c r="AF268" s="23" t="s">
        <v>731</v>
      </c>
      <c r="AG268" s="23" t="s">
        <v>731</v>
      </c>
      <c r="AH268" s="23" t="s">
        <v>731</v>
      </c>
      <c r="AI268" s="23" t="s">
        <v>731</v>
      </c>
      <c r="AJ268" s="23" t="s">
        <v>731</v>
      </c>
      <c r="AK268" s="23" t="s">
        <v>731</v>
      </c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42"/>
      <c r="AX268" s="41">
        <f>3*I268</f>
        <v>45</v>
      </c>
      <c r="AY268" s="42"/>
      <c r="AZ268" s="42"/>
      <c r="BB268" s="43">
        <v>2</v>
      </c>
      <c r="BC268" s="45"/>
      <c r="BD268" s="50"/>
      <c r="BE268" s="45"/>
      <c r="BF268" s="45"/>
      <c r="BG268" s="18"/>
      <c r="BH268" s="18">
        <v>17</v>
      </c>
      <c r="BI268" s="18">
        <v>26</v>
      </c>
      <c r="BJ268" s="18">
        <v>25</v>
      </c>
      <c r="BK268" s="18">
        <v>25</v>
      </c>
      <c r="BL268" s="18">
        <v>25</v>
      </c>
      <c r="BM268" s="55">
        <f>SUM(AV268:AX268)+SUM(BC268:BD268)+SUM(BE268:BF268)+BG268</f>
        <v>45</v>
      </c>
      <c r="BN268" s="55"/>
      <c r="BO268" s="55"/>
      <c r="BP268" s="55"/>
      <c r="BQ268" s="55"/>
      <c r="BR268" s="55"/>
      <c r="BS268" s="55"/>
      <c r="BT268" s="55"/>
      <c r="BU268" s="55"/>
      <c r="BV268" s="55"/>
      <c r="BW268" s="55"/>
      <c r="BX268" s="55"/>
      <c r="BY268" s="55"/>
    </row>
    <row r="269" spans="1:78" ht="33.75">
      <c r="A269" s="2" t="s">
        <v>800</v>
      </c>
      <c r="B269" s="89">
        <v>263</v>
      </c>
      <c r="C269" s="124">
        <v>201</v>
      </c>
      <c r="D269" s="129">
        <v>522</v>
      </c>
      <c r="E269" s="130">
        <v>0.45208333333333334</v>
      </c>
      <c r="F269" s="130">
        <v>0.46458333333333335</v>
      </c>
      <c r="G269" s="126" t="s">
        <v>539</v>
      </c>
      <c r="H269" s="93" t="s">
        <v>443</v>
      </c>
      <c r="I269" s="124">
        <v>15</v>
      </c>
      <c r="J269" s="127">
        <v>50</v>
      </c>
      <c r="K269" s="131">
        <v>47</v>
      </c>
      <c r="L269" s="99" t="s">
        <v>748</v>
      </c>
      <c r="M269" s="83" t="s">
        <v>833</v>
      </c>
      <c r="N269" s="83">
        <v>57</v>
      </c>
      <c r="O269" s="83" t="s">
        <v>832</v>
      </c>
      <c r="P269" s="83">
        <v>57</v>
      </c>
      <c r="Q269" s="152" t="s">
        <v>2007</v>
      </c>
      <c r="R269" s="152" t="s">
        <v>2008</v>
      </c>
      <c r="S269" s="26">
        <v>2180</v>
      </c>
      <c r="T269" s="26" t="s">
        <v>1456</v>
      </c>
      <c r="U269" s="26">
        <v>2290</v>
      </c>
      <c r="V269" s="26" t="s">
        <v>1457</v>
      </c>
      <c r="W269" s="63">
        <v>44816</v>
      </c>
      <c r="X269" s="63">
        <v>45100</v>
      </c>
      <c r="Y269" s="63"/>
      <c r="Z269" s="63"/>
      <c r="AA269" s="27" t="s">
        <v>1103</v>
      </c>
      <c r="AB269" s="23" t="s">
        <v>731</v>
      </c>
      <c r="AC269" s="23"/>
      <c r="AD269" s="23"/>
      <c r="AE269" s="23"/>
      <c r="AF269" s="23"/>
      <c r="AG269" s="23"/>
      <c r="AH269" s="23"/>
      <c r="AI269" s="23"/>
      <c r="AJ269" s="23"/>
      <c r="AK269" s="23"/>
      <c r="AL269" s="23" t="s">
        <v>731</v>
      </c>
      <c r="AM269" s="23"/>
      <c r="AN269" s="23"/>
      <c r="AO269" s="23"/>
      <c r="AP269" s="23"/>
      <c r="AQ269" s="23"/>
      <c r="AR269" s="23"/>
      <c r="AS269" s="23"/>
      <c r="AT269" s="23"/>
      <c r="AU269" s="23"/>
      <c r="AV269" s="42"/>
      <c r="AX269" s="41">
        <f>3*I269</f>
        <v>45</v>
      </c>
      <c r="AY269" s="42"/>
      <c r="AZ269" s="42"/>
      <c r="BB269" s="43">
        <v>2</v>
      </c>
      <c r="BC269" s="45"/>
      <c r="BD269" s="50"/>
      <c r="BE269" s="45"/>
      <c r="BF269" s="45"/>
      <c r="BG269" s="18"/>
      <c r="BH269" s="18">
        <v>2</v>
      </c>
      <c r="BI269" s="18">
        <v>5</v>
      </c>
      <c r="BJ269" s="18">
        <v>5</v>
      </c>
      <c r="BK269" s="18">
        <v>6</v>
      </c>
      <c r="BL269" s="18">
        <v>6</v>
      </c>
      <c r="BM269" s="55">
        <f>SUM(AV269:AX269)+SUM(BC269:BD269)+SUM(BE269:BF269)+BG269</f>
        <v>45</v>
      </c>
      <c r="BN269" s="55"/>
      <c r="BO269" s="55"/>
      <c r="BP269" s="55"/>
      <c r="BQ269" s="55"/>
      <c r="BR269" s="55"/>
      <c r="BS269" s="55"/>
      <c r="BT269" s="55"/>
      <c r="BU269" s="55"/>
      <c r="BV269" s="55"/>
      <c r="BW269" s="55"/>
      <c r="BX269" s="55"/>
      <c r="BY269" s="55"/>
    </row>
    <row r="270" spans="1:78" ht="25.5">
      <c r="A270" s="2" t="s">
        <v>800</v>
      </c>
      <c r="B270" s="89">
        <v>264</v>
      </c>
      <c r="C270" s="124">
        <v>201</v>
      </c>
      <c r="D270" s="129">
        <v>353</v>
      </c>
      <c r="E270" s="130">
        <v>0.45763888888888887</v>
      </c>
      <c r="F270" s="130">
        <v>0.5395833333333333</v>
      </c>
      <c r="G270" s="126" t="s">
        <v>587</v>
      </c>
      <c r="H270" s="126" t="s">
        <v>586</v>
      </c>
      <c r="I270" s="124">
        <v>44</v>
      </c>
      <c r="J270" s="127">
        <v>50</v>
      </c>
      <c r="K270" s="131">
        <v>38</v>
      </c>
      <c r="L270" s="128" t="s">
        <v>741</v>
      </c>
      <c r="M270" s="83" t="s">
        <v>970</v>
      </c>
      <c r="N270" s="83">
        <v>54</v>
      </c>
      <c r="O270" s="83" t="s">
        <v>797</v>
      </c>
      <c r="P270" s="83">
        <v>45</v>
      </c>
      <c r="Q270" s="83" t="s">
        <v>796</v>
      </c>
      <c r="R270" s="83">
        <v>37</v>
      </c>
      <c r="S270" s="26">
        <v>2290</v>
      </c>
      <c r="T270" s="26" t="s">
        <v>1457</v>
      </c>
      <c r="U270" s="26">
        <v>1</v>
      </c>
      <c r="V270" s="26" t="s">
        <v>1312</v>
      </c>
      <c r="W270" s="63">
        <v>44816</v>
      </c>
      <c r="X270" s="63">
        <v>45100</v>
      </c>
      <c r="Y270" s="63"/>
      <c r="Z270" s="63"/>
      <c r="AA270" s="22" t="s">
        <v>1127</v>
      </c>
      <c r="AB270" s="23" t="s">
        <v>731</v>
      </c>
      <c r="AC270" s="23"/>
      <c r="AD270" s="23" t="s">
        <v>731</v>
      </c>
      <c r="AE270" s="23"/>
      <c r="AF270" s="23"/>
      <c r="AG270" s="23"/>
      <c r="AH270" s="23"/>
      <c r="AI270" s="23"/>
      <c r="AJ270" s="23"/>
      <c r="AK270" s="23" t="s">
        <v>731</v>
      </c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42"/>
      <c r="AX270" s="41">
        <f>3*I270</f>
        <v>132</v>
      </c>
      <c r="AY270" s="42"/>
      <c r="AZ270" s="42"/>
      <c r="BB270" s="43">
        <v>2</v>
      </c>
      <c r="BC270" s="45"/>
      <c r="BD270" s="50"/>
      <c r="BE270" s="45"/>
      <c r="BF270" s="45"/>
      <c r="BG270" s="18"/>
      <c r="BH270" s="18">
        <v>2</v>
      </c>
      <c r="BI270" s="18">
        <v>5</v>
      </c>
      <c r="BJ270" s="18">
        <v>4</v>
      </c>
      <c r="BK270" s="18">
        <v>5</v>
      </c>
      <c r="BL270" s="18">
        <v>4</v>
      </c>
      <c r="BM270" s="55">
        <f>SUM(AV270:AX270)+SUM(BC270:BD270)+SUM(BE270:BF270)+BG270</f>
        <v>132</v>
      </c>
      <c r="BN270" s="55"/>
      <c r="BO270" s="55"/>
      <c r="BP270" s="55"/>
      <c r="BQ270" s="55"/>
      <c r="BR270" s="55"/>
      <c r="BS270" s="55"/>
      <c r="BT270" s="55"/>
      <c r="BU270" s="55"/>
      <c r="BV270" s="55"/>
      <c r="BW270" s="55"/>
      <c r="BX270" s="55"/>
      <c r="BY270" s="55"/>
    </row>
    <row r="271" spans="1:78" s="52" customFormat="1" ht="25.5">
      <c r="A271" s="2" t="s">
        <v>799</v>
      </c>
      <c r="B271" s="89">
        <v>265</v>
      </c>
      <c r="C271" s="124">
        <v>201</v>
      </c>
      <c r="D271" s="124">
        <v>518</v>
      </c>
      <c r="E271" s="130">
        <v>0.48194444444444445</v>
      </c>
      <c r="F271" s="130">
        <v>0.49444444444444446</v>
      </c>
      <c r="G271" s="126" t="s">
        <v>539</v>
      </c>
      <c r="H271" s="93" t="s">
        <v>424</v>
      </c>
      <c r="I271" s="124">
        <v>16</v>
      </c>
      <c r="J271" s="127">
        <v>50</v>
      </c>
      <c r="K271" s="131">
        <v>55</v>
      </c>
      <c r="L271" s="99" t="s">
        <v>751</v>
      </c>
      <c r="M271" s="87" t="s">
        <v>885</v>
      </c>
      <c r="N271" s="87">
        <v>57</v>
      </c>
      <c r="O271" s="83" t="s">
        <v>1879</v>
      </c>
      <c r="P271" s="83">
        <v>57</v>
      </c>
      <c r="Q271" s="2"/>
      <c r="R271" s="87"/>
      <c r="S271" s="26">
        <v>2180</v>
      </c>
      <c r="T271" s="26" t="s">
        <v>1456</v>
      </c>
      <c r="U271" s="26">
        <v>2290</v>
      </c>
      <c r="V271" s="26" t="s">
        <v>1457</v>
      </c>
      <c r="W271" s="63">
        <v>44562</v>
      </c>
      <c r="X271" s="63">
        <v>44815</v>
      </c>
      <c r="Y271" s="63">
        <v>45101</v>
      </c>
      <c r="Z271" s="63">
        <v>45169</v>
      </c>
      <c r="AA271" s="22" t="s">
        <v>1109</v>
      </c>
      <c r="AB271" s="23"/>
      <c r="AC271" s="23" t="s">
        <v>731</v>
      </c>
      <c r="AD271" s="23" t="s">
        <v>731</v>
      </c>
      <c r="AE271" s="23"/>
      <c r="AF271" s="23" t="s">
        <v>731</v>
      </c>
      <c r="AG271" s="23" t="s">
        <v>731</v>
      </c>
      <c r="AH271" s="23" t="s">
        <v>731</v>
      </c>
      <c r="AI271" s="23" t="s">
        <v>731</v>
      </c>
      <c r="AJ271" s="23" t="s">
        <v>731</v>
      </c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41"/>
      <c r="AW271" s="41"/>
      <c r="AX271" s="18"/>
      <c r="AY271" s="48"/>
      <c r="AZ271" s="51" t="s">
        <v>751</v>
      </c>
      <c r="BA271" s="18"/>
      <c r="BB271" s="43">
        <v>2</v>
      </c>
      <c r="BC271" s="18"/>
      <c r="BD271" s="41"/>
      <c r="BE271" s="18"/>
      <c r="BF271" s="18"/>
      <c r="BG271" s="18"/>
      <c r="BH271" s="18">
        <v>7</v>
      </c>
      <c r="BI271" s="18">
        <v>0</v>
      </c>
      <c r="BJ271" s="18">
        <v>0</v>
      </c>
      <c r="BK271" s="18">
        <v>0</v>
      </c>
      <c r="BL271" s="18">
        <v>0</v>
      </c>
      <c r="BM271" s="55">
        <f>SUM(AV271:AX271)+SUM(BC271:BD271)+SUM(BE271:BF271)+BG271</f>
        <v>0</v>
      </c>
      <c r="BN271" s="55" t="s">
        <v>1107</v>
      </c>
      <c r="BO271" s="77">
        <v>9</v>
      </c>
      <c r="BP271" s="77"/>
      <c r="BQ271" s="77">
        <v>0</v>
      </c>
      <c r="BR271" s="77"/>
      <c r="BS271" s="77">
        <v>0</v>
      </c>
      <c r="BT271" s="77"/>
      <c r="BU271" s="77">
        <v>0</v>
      </c>
      <c r="BV271" s="77"/>
      <c r="BW271" s="77">
        <v>0</v>
      </c>
      <c r="BX271" s="77"/>
      <c r="BY271" s="55">
        <v>350</v>
      </c>
      <c r="BZ271" s="18"/>
    </row>
    <row r="272" spans="1:78" ht="33.75">
      <c r="A272" s="2" t="s">
        <v>800</v>
      </c>
      <c r="B272" s="89">
        <v>266</v>
      </c>
      <c r="C272" s="124">
        <v>201</v>
      </c>
      <c r="D272" s="129">
        <v>516</v>
      </c>
      <c r="E272" s="130">
        <v>0.48194444444444445</v>
      </c>
      <c r="F272" s="130">
        <v>0.49444444444444446</v>
      </c>
      <c r="G272" s="126" t="s">
        <v>539</v>
      </c>
      <c r="H272" s="93" t="s">
        <v>478</v>
      </c>
      <c r="I272" s="124">
        <v>15</v>
      </c>
      <c r="J272" s="127">
        <v>50</v>
      </c>
      <c r="K272" s="131">
        <v>240</v>
      </c>
      <c r="L272" s="99" t="s">
        <v>748</v>
      </c>
      <c r="M272" s="83" t="s">
        <v>833</v>
      </c>
      <c r="N272" s="83">
        <v>57</v>
      </c>
      <c r="O272" s="83" t="s">
        <v>832</v>
      </c>
      <c r="P272" s="83">
        <v>57</v>
      </c>
      <c r="Q272" s="152" t="s">
        <v>2007</v>
      </c>
      <c r="R272" s="152" t="s">
        <v>2008</v>
      </c>
      <c r="S272" s="26">
        <v>2180</v>
      </c>
      <c r="T272" s="26" t="s">
        <v>1456</v>
      </c>
      <c r="U272" s="26">
        <v>2290</v>
      </c>
      <c r="V272" s="26" t="s">
        <v>1457</v>
      </c>
      <c r="W272" s="196">
        <v>44816</v>
      </c>
      <c r="X272" s="196">
        <v>45100</v>
      </c>
      <c r="Y272" s="196"/>
      <c r="Z272" s="196"/>
      <c r="AA272" s="20" t="s">
        <v>1112</v>
      </c>
      <c r="AB272" s="23" t="s">
        <v>731</v>
      </c>
      <c r="AC272" s="23"/>
      <c r="AD272" s="23" t="s">
        <v>731</v>
      </c>
      <c r="AE272" s="23"/>
      <c r="AF272" s="23" t="s">
        <v>731</v>
      </c>
      <c r="AG272" s="23" t="s">
        <v>731</v>
      </c>
      <c r="AH272" s="23" t="s">
        <v>731</v>
      </c>
      <c r="AI272" s="23" t="s">
        <v>731</v>
      </c>
      <c r="AJ272" s="23" t="s">
        <v>731</v>
      </c>
      <c r="AK272" s="23" t="s">
        <v>731</v>
      </c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42"/>
      <c r="AX272" s="41">
        <f>3*I272</f>
        <v>45</v>
      </c>
      <c r="AY272" s="42"/>
      <c r="AZ272" s="42"/>
      <c r="BB272" s="43">
        <v>2</v>
      </c>
      <c r="BC272" s="197"/>
      <c r="BD272" s="50"/>
      <c r="BE272" s="197"/>
      <c r="BF272" s="197"/>
      <c r="BG272" s="198"/>
      <c r="BH272" s="18">
        <v>17</v>
      </c>
      <c r="BI272" s="18">
        <v>26</v>
      </c>
      <c r="BJ272" s="18">
        <v>25</v>
      </c>
      <c r="BK272" s="18">
        <v>25</v>
      </c>
      <c r="BL272" s="18">
        <v>25</v>
      </c>
      <c r="BM272" s="55">
        <f>SUM(AV272:AX272)+SUM(BC272:BD272)+SUM(BE272:BF272)+BG272</f>
        <v>45</v>
      </c>
      <c r="BN272" s="55"/>
      <c r="BO272" s="55"/>
      <c r="BP272" s="55"/>
      <c r="BQ272" s="55"/>
      <c r="BR272" s="55"/>
      <c r="BS272" s="55"/>
      <c r="BT272" s="55"/>
      <c r="BU272" s="55"/>
      <c r="BV272" s="55"/>
      <c r="BW272" s="55"/>
      <c r="BX272" s="55"/>
      <c r="BY272" s="55"/>
      <c r="BZ272" s="198"/>
    </row>
    <row r="273" spans="1:77" ht="33.75">
      <c r="A273" s="2" t="s">
        <v>800</v>
      </c>
      <c r="B273" s="89">
        <v>267</v>
      </c>
      <c r="C273" s="124">
        <v>201</v>
      </c>
      <c r="D273" s="129">
        <v>524</v>
      </c>
      <c r="E273" s="130">
        <v>0.50416666666666665</v>
      </c>
      <c r="F273" s="130">
        <v>0.51666666666666672</v>
      </c>
      <c r="G273" s="126" t="s">
        <v>539</v>
      </c>
      <c r="H273" s="93" t="s">
        <v>443</v>
      </c>
      <c r="I273" s="124">
        <v>15</v>
      </c>
      <c r="J273" s="127">
        <v>50</v>
      </c>
      <c r="K273" s="98">
        <v>47</v>
      </c>
      <c r="L273" s="99" t="s">
        <v>748</v>
      </c>
      <c r="M273" s="83" t="s">
        <v>833</v>
      </c>
      <c r="N273" s="83">
        <v>57</v>
      </c>
      <c r="O273" s="83" t="s">
        <v>832</v>
      </c>
      <c r="P273" s="83">
        <v>57</v>
      </c>
      <c r="Q273" s="152" t="s">
        <v>2007</v>
      </c>
      <c r="R273" s="152" t="s">
        <v>2008</v>
      </c>
      <c r="S273" s="26">
        <v>2180</v>
      </c>
      <c r="T273" s="26" t="s">
        <v>1456</v>
      </c>
      <c r="U273" s="26">
        <v>2290</v>
      </c>
      <c r="V273" s="26" t="s">
        <v>1457</v>
      </c>
      <c r="W273" s="63">
        <v>44816</v>
      </c>
      <c r="X273" s="63">
        <v>45100</v>
      </c>
      <c r="Y273" s="63"/>
      <c r="Z273" s="63"/>
      <c r="AA273" s="27" t="s">
        <v>1103</v>
      </c>
      <c r="AB273" s="23" t="s">
        <v>731</v>
      </c>
      <c r="AC273" s="23"/>
      <c r="AD273" s="23"/>
      <c r="AE273" s="23"/>
      <c r="AF273" s="23"/>
      <c r="AG273" s="23"/>
      <c r="AH273" s="23"/>
      <c r="AI273" s="23"/>
      <c r="AJ273" s="23"/>
      <c r="AK273" s="23"/>
      <c r="AL273" s="23" t="s">
        <v>731</v>
      </c>
      <c r="AM273" s="23"/>
      <c r="AN273" s="23"/>
      <c r="AO273" s="23"/>
      <c r="AP273" s="23"/>
      <c r="AQ273" s="23"/>
      <c r="AR273" s="23"/>
      <c r="AS273" s="23"/>
      <c r="AT273" s="23"/>
      <c r="AU273" s="23"/>
      <c r="AV273" s="42"/>
      <c r="AX273" s="41">
        <f>3*I273</f>
        <v>45</v>
      </c>
      <c r="AY273" s="42"/>
      <c r="AZ273" s="42"/>
      <c r="BB273" s="43">
        <v>2</v>
      </c>
      <c r="BC273" s="45"/>
      <c r="BD273" s="50"/>
      <c r="BE273" s="45"/>
      <c r="BF273" s="45"/>
      <c r="BG273" s="18"/>
      <c r="BH273" s="18">
        <v>2</v>
      </c>
      <c r="BI273" s="18">
        <v>5</v>
      </c>
      <c r="BJ273" s="18">
        <v>5</v>
      </c>
      <c r="BK273" s="18">
        <v>6</v>
      </c>
      <c r="BL273" s="18">
        <v>6</v>
      </c>
      <c r="BM273" s="55">
        <f>SUM(AV273:AX273)+SUM(BC273:BD273)+SUM(BE273:BF273)+BG273</f>
        <v>45</v>
      </c>
      <c r="BN273" s="55"/>
      <c r="BO273" s="55"/>
      <c r="BP273" s="55"/>
      <c r="BQ273" s="55"/>
      <c r="BR273" s="55"/>
      <c r="BS273" s="55"/>
      <c r="BT273" s="55"/>
      <c r="BU273" s="55"/>
      <c r="BV273" s="55"/>
      <c r="BW273" s="55"/>
      <c r="BX273" s="55"/>
      <c r="BY273" s="55"/>
    </row>
    <row r="274" spans="1:77" ht="33.75">
      <c r="A274" s="2" t="s">
        <v>800</v>
      </c>
      <c r="B274" s="89">
        <v>268</v>
      </c>
      <c r="C274" s="124">
        <v>201</v>
      </c>
      <c r="D274" s="129">
        <v>525</v>
      </c>
      <c r="E274" s="130">
        <v>0.52222222222222225</v>
      </c>
      <c r="F274" s="130">
        <v>0.53472222222222221</v>
      </c>
      <c r="G274" s="126" t="s">
        <v>538</v>
      </c>
      <c r="H274" s="93" t="s">
        <v>443</v>
      </c>
      <c r="I274" s="124">
        <v>15</v>
      </c>
      <c r="J274" s="127">
        <v>50</v>
      </c>
      <c r="K274" s="131">
        <v>47</v>
      </c>
      <c r="L274" s="99" t="s">
        <v>748</v>
      </c>
      <c r="M274" s="83" t="s">
        <v>833</v>
      </c>
      <c r="N274" s="83">
        <v>57</v>
      </c>
      <c r="O274" s="83" t="s">
        <v>832</v>
      </c>
      <c r="P274" s="83">
        <v>57</v>
      </c>
      <c r="Q274" s="152" t="s">
        <v>2007</v>
      </c>
      <c r="R274" s="152" t="s">
        <v>2008</v>
      </c>
      <c r="S274" s="26">
        <v>2290</v>
      </c>
      <c r="T274" s="26" t="s">
        <v>1457</v>
      </c>
      <c r="U274" s="26">
        <v>2180</v>
      </c>
      <c r="V274" s="26" t="s">
        <v>1456</v>
      </c>
      <c r="W274" s="63">
        <v>44816</v>
      </c>
      <c r="X274" s="63">
        <v>45100</v>
      </c>
      <c r="Y274" s="63"/>
      <c r="Z274" s="63"/>
      <c r="AA274" s="27" t="s">
        <v>1103</v>
      </c>
      <c r="AB274" s="23" t="s">
        <v>731</v>
      </c>
      <c r="AC274" s="23"/>
      <c r="AD274" s="23"/>
      <c r="AE274" s="23"/>
      <c r="AF274" s="23"/>
      <c r="AG274" s="23"/>
      <c r="AH274" s="23"/>
      <c r="AI274" s="23"/>
      <c r="AJ274" s="23"/>
      <c r="AK274" s="23"/>
      <c r="AL274" s="23" t="s">
        <v>731</v>
      </c>
      <c r="AM274" s="23"/>
      <c r="AN274" s="23"/>
      <c r="AO274" s="23"/>
      <c r="AP274" s="23"/>
      <c r="AQ274" s="23"/>
      <c r="AR274" s="23"/>
      <c r="AS274" s="23"/>
      <c r="AT274" s="23"/>
      <c r="AU274" s="23"/>
      <c r="AV274" s="42"/>
      <c r="AX274" s="41">
        <f>3*I274</f>
        <v>45</v>
      </c>
      <c r="AY274" s="42"/>
      <c r="AZ274" s="42"/>
      <c r="BB274" s="43">
        <v>2</v>
      </c>
      <c r="BC274" s="45"/>
      <c r="BD274" s="50"/>
      <c r="BE274" s="45"/>
      <c r="BF274" s="45"/>
      <c r="BG274" s="18"/>
      <c r="BH274" s="18">
        <v>2</v>
      </c>
      <c r="BI274" s="18">
        <v>5</v>
      </c>
      <c r="BJ274" s="18">
        <v>5</v>
      </c>
      <c r="BK274" s="18">
        <v>6</v>
      </c>
      <c r="BL274" s="18">
        <v>6</v>
      </c>
      <c r="BM274" s="55">
        <f>SUM(AV274:AX274)+SUM(BC274:BD274)+SUM(BE274:BF274)+BG274</f>
        <v>45</v>
      </c>
      <c r="BN274" s="55"/>
      <c r="BO274" s="55"/>
      <c r="BP274" s="55"/>
      <c r="BQ274" s="55"/>
      <c r="BR274" s="55"/>
      <c r="BS274" s="55"/>
      <c r="BT274" s="55"/>
      <c r="BU274" s="55"/>
      <c r="BV274" s="55"/>
      <c r="BW274" s="55"/>
      <c r="BX274" s="55"/>
      <c r="BY274" s="55"/>
    </row>
    <row r="275" spans="1:77" ht="25.5">
      <c r="B275" s="89">
        <v>269</v>
      </c>
      <c r="C275" s="93">
        <v>201</v>
      </c>
      <c r="D275" s="95">
        <v>335</v>
      </c>
      <c r="E275" s="94">
        <v>0.55902777777777779</v>
      </c>
      <c r="F275" s="94">
        <v>0.57499999999999996</v>
      </c>
      <c r="G275" s="95" t="s">
        <v>182</v>
      </c>
      <c r="H275" s="93" t="s">
        <v>282</v>
      </c>
      <c r="I275" s="96">
        <v>15</v>
      </c>
      <c r="J275" s="97">
        <v>50</v>
      </c>
      <c r="K275" s="98">
        <v>36</v>
      </c>
      <c r="L275" s="99" t="s">
        <v>742</v>
      </c>
      <c r="M275" s="2" t="s">
        <v>1237</v>
      </c>
      <c r="N275" s="84">
        <v>58</v>
      </c>
      <c r="O275" s="87" t="s">
        <v>1878</v>
      </c>
      <c r="P275" s="87">
        <v>56</v>
      </c>
      <c r="S275" s="26">
        <v>2290</v>
      </c>
      <c r="T275" s="26" t="s">
        <v>1457</v>
      </c>
      <c r="U275" s="26">
        <v>2180</v>
      </c>
      <c r="V275" s="26" t="s">
        <v>1456</v>
      </c>
      <c r="W275" s="62">
        <v>44816</v>
      </c>
      <c r="X275" s="62">
        <v>45086</v>
      </c>
      <c r="Y275" s="62"/>
      <c r="Z275" s="62"/>
      <c r="AA275" s="23" t="s">
        <v>1121</v>
      </c>
      <c r="AB275" s="23"/>
      <c r="AC275" s="23"/>
      <c r="AD275" s="23"/>
      <c r="AE275" s="23" t="s">
        <v>731</v>
      </c>
      <c r="AF275" s="23"/>
      <c r="AG275" s="23"/>
      <c r="AH275" s="23"/>
      <c r="AI275" s="23"/>
      <c r="AJ275" s="23" t="s">
        <v>731</v>
      </c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42">
        <v>27</v>
      </c>
      <c r="AY275" s="42"/>
      <c r="AZ275" s="42"/>
      <c r="BB275" s="43">
        <v>2</v>
      </c>
      <c r="BC275" s="44"/>
      <c r="BD275" s="44"/>
      <c r="BG275" s="18"/>
      <c r="BH275" s="18">
        <v>3</v>
      </c>
      <c r="BI275" s="18">
        <v>4</v>
      </c>
      <c r="BJ275" s="18">
        <v>4</v>
      </c>
      <c r="BK275" s="18">
        <v>3</v>
      </c>
      <c r="BL275" s="18">
        <v>3</v>
      </c>
      <c r="BM275" s="55">
        <f>SUM(AV275:AX275)+SUM(BC275:BD275)+SUM(BE275:BF275)+BG275</f>
        <v>27</v>
      </c>
      <c r="BN275" s="55"/>
      <c r="BO275" s="55"/>
      <c r="BP275" s="55"/>
      <c r="BQ275" s="55"/>
      <c r="BR275" s="55"/>
      <c r="BS275" s="55"/>
      <c r="BT275" s="55"/>
      <c r="BU275" s="55"/>
      <c r="BV275" s="55"/>
      <c r="BW275" s="55"/>
      <c r="BX275" s="55"/>
      <c r="BY275" s="55"/>
    </row>
    <row r="276" spans="1:77" ht="33.75">
      <c r="A276" s="2" t="s">
        <v>800</v>
      </c>
      <c r="B276" s="89">
        <v>270</v>
      </c>
      <c r="C276" s="124">
        <v>201</v>
      </c>
      <c r="D276" s="129">
        <v>529</v>
      </c>
      <c r="E276" s="130">
        <v>0.56041666666666667</v>
      </c>
      <c r="F276" s="130">
        <v>0.57291666666666663</v>
      </c>
      <c r="G276" s="126" t="s">
        <v>538</v>
      </c>
      <c r="H276" s="93" t="s">
        <v>443</v>
      </c>
      <c r="I276" s="124">
        <v>15</v>
      </c>
      <c r="J276" s="127">
        <v>50</v>
      </c>
      <c r="K276" s="98">
        <v>47</v>
      </c>
      <c r="L276" s="99" t="s">
        <v>748</v>
      </c>
      <c r="M276" s="83" t="s">
        <v>833</v>
      </c>
      <c r="N276" s="83">
        <v>57</v>
      </c>
      <c r="O276" s="83" t="s">
        <v>832</v>
      </c>
      <c r="P276" s="83">
        <v>57</v>
      </c>
      <c r="Q276" s="152" t="s">
        <v>2007</v>
      </c>
      <c r="R276" s="152" t="s">
        <v>2008</v>
      </c>
      <c r="S276" s="26">
        <v>2290</v>
      </c>
      <c r="T276" s="26" t="s">
        <v>1457</v>
      </c>
      <c r="U276" s="26">
        <v>2180</v>
      </c>
      <c r="V276" s="26" t="s">
        <v>1456</v>
      </c>
      <c r="W276" s="63">
        <v>44816</v>
      </c>
      <c r="X276" s="63">
        <v>45100</v>
      </c>
      <c r="Y276" s="63"/>
      <c r="Z276" s="63"/>
      <c r="AA276" s="27" t="s">
        <v>1103</v>
      </c>
      <c r="AB276" s="23" t="s">
        <v>731</v>
      </c>
      <c r="AC276" s="23"/>
      <c r="AD276" s="23"/>
      <c r="AE276" s="23"/>
      <c r="AF276" s="23"/>
      <c r="AG276" s="23"/>
      <c r="AH276" s="23"/>
      <c r="AI276" s="23"/>
      <c r="AJ276" s="23"/>
      <c r="AK276" s="23"/>
      <c r="AL276" s="23" t="s">
        <v>731</v>
      </c>
      <c r="AM276" s="23"/>
      <c r="AN276" s="23"/>
      <c r="AO276" s="23"/>
      <c r="AP276" s="23"/>
      <c r="AQ276" s="23"/>
      <c r="AR276" s="23"/>
      <c r="AS276" s="23"/>
      <c r="AT276" s="23"/>
      <c r="AU276" s="23"/>
      <c r="AV276" s="42"/>
      <c r="AX276" s="41">
        <f>3*I276</f>
        <v>45</v>
      </c>
      <c r="AY276" s="42"/>
      <c r="AZ276" s="42"/>
      <c r="BB276" s="43">
        <v>2</v>
      </c>
      <c r="BC276" s="45"/>
      <c r="BD276" s="50"/>
      <c r="BE276" s="45"/>
      <c r="BF276" s="45"/>
      <c r="BG276" s="18"/>
      <c r="BH276" s="18">
        <v>2</v>
      </c>
      <c r="BI276" s="18">
        <v>5</v>
      </c>
      <c r="BJ276" s="18">
        <v>5</v>
      </c>
      <c r="BK276" s="18">
        <v>6</v>
      </c>
      <c r="BL276" s="18">
        <v>6</v>
      </c>
      <c r="BM276" s="55">
        <f>SUM(AV276:AX276)+SUM(BC276:BD276)+SUM(BE276:BF276)+BG276</f>
        <v>45</v>
      </c>
      <c r="BN276" s="55"/>
      <c r="BO276" s="55"/>
      <c r="BP276" s="55"/>
      <c r="BQ276" s="55"/>
      <c r="BR276" s="55"/>
      <c r="BS276" s="55"/>
      <c r="BT276" s="55"/>
      <c r="BU276" s="55"/>
      <c r="BV276" s="55"/>
      <c r="BW276" s="55"/>
      <c r="BX276" s="55"/>
      <c r="BY276" s="55"/>
    </row>
    <row r="277" spans="1:77" ht="33.75">
      <c r="A277" s="2" t="s">
        <v>800</v>
      </c>
      <c r="B277" s="89">
        <v>271</v>
      </c>
      <c r="C277" s="124">
        <v>201</v>
      </c>
      <c r="D277" s="129">
        <v>526</v>
      </c>
      <c r="E277" s="125">
        <v>0.57291666666666663</v>
      </c>
      <c r="F277" s="125">
        <v>0.5854166666666667</v>
      </c>
      <c r="G277" s="126" t="s">
        <v>539</v>
      </c>
      <c r="H277" s="93" t="s">
        <v>443</v>
      </c>
      <c r="I277" s="124">
        <v>15</v>
      </c>
      <c r="J277" s="127">
        <v>50</v>
      </c>
      <c r="K277" s="131">
        <v>47</v>
      </c>
      <c r="L277" s="99" t="s">
        <v>748</v>
      </c>
      <c r="M277" s="83" t="s">
        <v>833</v>
      </c>
      <c r="N277" s="83">
        <v>57</v>
      </c>
      <c r="O277" s="83" t="s">
        <v>832</v>
      </c>
      <c r="P277" s="83">
        <v>57</v>
      </c>
      <c r="Q277" s="152" t="s">
        <v>2007</v>
      </c>
      <c r="R277" s="152" t="s">
        <v>2008</v>
      </c>
      <c r="S277" s="26">
        <v>2180</v>
      </c>
      <c r="T277" s="26" t="s">
        <v>1456</v>
      </c>
      <c r="U277" s="26">
        <v>2290</v>
      </c>
      <c r="V277" s="26" t="s">
        <v>1457</v>
      </c>
      <c r="W277" s="63">
        <v>44816</v>
      </c>
      <c r="X277" s="63">
        <v>45100</v>
      </c>
      <c r="Y277" s="63"/>
      <c r="Z277" s="63"/>
      <c r="AA277" s="27" t="s">
        <v>1103</v>
      </c>
      <c r="AB277" s="23" t="s">
        <v>731</v>
      </c>
      <c r="AC277" s="23"/>
      <c r="AD277" s="23"/>
      <c r="AE277" s="23"/>
      <c r="AF277" s="23"/>
      <c r="AG277" s="23"/>
      <c r="AH277" s="23"/>
      <c r="AI277" s="23"/>
      <c r="AJ277" s="23"/>
      <c r="AK277" s="23"/>
      <c r="AL277" s="23" t="s">
        <v>731</v>
      </c>
      <c r="AM277" s="23"/>
      <c r="AN277" s="23"/>
      <c r="AO277" s="23"/>
      <c r="AP277" s="23"/>
      <c r="AQ277" s="23"/>
      <c r="AR277" s="23"/>
      <c r="AS277" s="23"/>
      <c r="AT277" s="23"/>
      <c r="AU277" s="23"/>
      <c r="AV277" s="42"/>
      <c r="AX277" s="41">
        <f>3*I277</f>
        <v>45</v>
      </c>
      <c r="AY277" s="42"/>
      <c r="AZ277" s="42"/>
      <c r="BB277" s="43">
        <v>2</v>
      </c>
      <c r="BC277" s="45"/>
      <c r="BD277" s="50"/>
      <c r="BE277" s="45"/>
      <c r="BF277" s="45"/>
      <c r="BG277" s="18"/>
      <c r="BH277" s="18">
        <v>2</v>
      </c>
      <c r="BI277" s="18">
        <v>5</v>
      </c>
      <c r="BJ277" s="18">
        <v>5</v>
      </c>
      <c r="BK277" s="18">
        <v>6</v>
      </c>
      <c r="BL277" s="18">
        <v>6</v>
      </c>
      <c r="BM277" s="55">
        <f>SUM(AV277:AX277)+SUM(BC277:BD277)+SUM(BE277:BF277)+BG277</f>
        <v>45</v>
      </c>
      <c r="BN277" s="55"/>
      <c r="BO277" s="55"/>
      <c r="BP277" s="55"/>
      <c r="BQ277" s="55"/>
      <c r="BR277" s="55"/>
      <c r="BS277" s="55"/>
      <c r="BT277" s="55"/>
      <c r="BU277" s="55"/>
      <c r="BV277" s="55"/>
      <c r="BW277" s="55"/>
      <c r="BX277" s="55"/>
      <c r="BY277" s="55"/>
    </row>
    <row r="278" spans="1:77" ht="25.5">
      <c r="B278" s="89">
        <v>272</v>
      </c>
      <c r="C278" s="93">
        <v>201</v>
      </c>
      <c r="D278" s="95">
        <v>310</v>
      </c>
      <c r="E278" s="94">
        <v>0.60277777777777775</v>
      </c>
      <c r="F278" s="94">
        <v>0.61388888888888882</v>
      </c>
      <c r="G278" s="95" t="s">
        <v>181</v>
      </c>
      <c r="H278" s="93" t="s">
        <v>282</v>
      </c>
      <c r="I278" s="96">
        <v>15</v>
      </c>
      <c r="J278" s="97">
        <v>55</v>
      </c>
      <c r="K278" s="98">
        <v>36</v>
      </c>
      <c r="L278" s="99" t="s">
        <v>742</v>
      </c>
      <c r="M278" s="2" t="s">
        <v>1237</v>
      </c>
      <c r="N278" s="84">
        <v>58</v>
      </c>
      <c r="O278" s="87" t="s">
        <v>1878</v>
      </c>
      <c r="P278" s="87">
        <v>56</v>
      </c>
      <c r="S278" s="26">
        <v>2180</v>
      </c>
      <c r="T278" s="26" t="s">
        <v>1456</v>
      </c>
      <c r="U278" s="26">
        <v>2290</v>
      </c>
      <c r="V278" s="26" t="s">
        <v>1457</v>
      </c>
      <c r="W278" s="62">
        <v>44816</v>
      </c>
      <c r="X278" s="62">
        <v>45086</v>
      </c>
      <c r="Y278" s="62"/>
      <c r="Z278" s="62"/>
      <c r="AA278" s="23" t="s">
        <v>1121</v>
      </c>
      <c r="AB278" s="23"/>
      <c r="AC278" s="23"/>
      <c r="AD278" s="23"/>
      <c r="AE278" s="23" t="s">
        <v>731</v>
      </c>
      <c r="AF278" s="23"/>
      <c r="AG278" s="23"/>
      <c r="AH278" s="23"/>
      <c r="AI278" s="23"/>
      <c r="AJ278" s="23" t="s">
        <v>731</v>
      </c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42">
        <v>27</v>
      </c>
      <c r="AY278" s="42"/>
      <c r="AZ278" s="42"/>
      <c r="BB278" s="43">
        <v>2</v>
      </c>
      <c r="BC278" s="44"/>
      <c r="BD278" s="44"/>
      <c r="BG278" s="18"/>
      <c r="BH278" s="18">
        <v>3</v>
      </c>
      <c r="BI278" s="18">
        <v>4</v>
      </c>
      <c r="BJ278" s="18">
        <v>4</v>
      </c>
      <c r="BK278" s="18">
        <v>3</v>
      </c>
      <c r="BL278" s="18">
        <v>3</v>
      </c>
      <c r="BM278" s="55">
        <f>SUM(AV278:AX278)+SUM(BC278:BD278)+SUM(BE278:BF278)+BG278</f>
        <v>27</v>
      </c>
      <c r="BN278" s="55"/>
      <c r="BO278" s="55"/>
      <c r="BP278" s="55"/>
      <c r="BQ278" s="55"/>
      <c r="BR278" s="55"/>
      <c r="BS278" s="55"/>
      <c r="BT278" s="55"/>
      <c r="BU278" s="55"/>
      <c r="BV278" s="55"/>
      <c r="BW278" s="55"/>
      <c r="BX278" s="55"/>
      <c r="BY278" s="55"/>
    </row>
    <row r="279" spans="1:77" ht="33.75">
      <c r="A279" s="2" t="s">
        <v>800</v>
      </c>
      <c r="B279" s="89">
        <v>273</v>
      </c>
      <c r="C279" s="124">
        <v>201</v>
      </c>
      <c r="D279" s="129">
        <v>71</v>
      </c>
      <c r="E279" s="130">
        <v>0.625</v>
      </c>
      <c r="F279" s="130">
        <v>0.63750000000000007</v>
      </c>
      <c r="G279" s="126" t="s">
        <v>538</v>
      </c>
      <c r="H279" s="93" t="s">
        <v>478</v>
      </c>
      <c r="I279" s="124">
        <v>15</v>
      </c>
      <c r="J279" s="127">
        <v>50</v>
      </c>
      <c r="K279" s="98">
        <v>240</v>
      </c>
      <c r="L279" s="99" t="s">
        <v>748</v>
      </c>
      <c r="M279" s="83" t="s">
        <v>833</v>
      </c>
      <c r="N279" s="83">
        <v>57</v>
      </c>
      <c r="O279" s="83" t="s">
        <v>832</v>
      </c>
      <c r="P279" s="83">
        <v>57</v>
      </c>
      <c r="Q279" s="152" t="s">
        <v>2007</v>
      </c>
      <c r="R279" s="152" t="s">
        <v>2008</v>
      </c>
      <c r="S279" s="26">
        <v>2290</v>
      </c>
      <c r="T279" s="26" t="s">
        <v>1457</v>
      </c>
      <c r="U279" s="26">
        <v>2180</v>
      </c>
      <c r="V279" s="26" t="s">
        <v>1456</v>
      </c>
      <c r="W279" s="63">
        <v>44816</v>
      </c>
      <c r="X279" s="63">
        <v>45100</v>
      </c>
      <c r="Y279" s="63"/>
      <c r="Z279" s="63"/>
      <c r="AA279" s="26" t="s">
        <v>1112</v>
      </c>
      <c r="AB279" s="23" t="s">
        <v>731</v>
      </c>
      <c r="AC279" s="23"/>
      <c r="AD279" s="23" t="s">
        <v>731</v>
      </c>
      <c r="AE279" s="23"/>
      <c r="AF279" s="23" t="s">
        <v>731</v>
      </c>
      <c r="AG279" s="23" t="s">
        <v>731</v>
      </c>
      <c r="AH279" s="23" t="s">
        <v>731</v>
      </c>
      <c r="AI279" s="23" t="s">
        <v>731</v>
      </c>
      <c r="AJ279" s="23" t="s">
        <v>731</v>
      </c>
      <c r="AK279" s="23" t="s">
        <v>731</v>
      </c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42"/>
      <c r="AX279" s="41">
        <f>3*I279</f>
        <v>45</v>
      </c>
      <c r="AY279" s="42"/>
      <c r="AZ279" s="42"/>
      <c r="BB279" s="43">
        <v>2</v>
      </c>
      <c r="BC279" s="45"/>
      <c r="BD279" s="50"/>
      <c r="BE279" s="45"/>
      <c r="BF279" s="45"/>
      <c r="BG279" s="18"/>
      <c r="BH279" s="18">
        <v>17</v>
      </c>
      <c r="BI279" s="18">
        <v>26</v>
      </c>
      <c r="BJ279" s="18">
        <v>25</v>
      </c>
      <c r="BK279" s="18">
        <v>25</v>
      </c>
      <c r="BL279" s="18">
        <v>25</v>
      </c>
      <c r="BM279" s="55">
        <f>SUM(AV279:AX279)+SUM(BC279:BD279)+SUM(BE279:BF279)+BG279</f>
        <v>45</v>
      </c>
      <c r="BN279" s="55"/>
      <c r="BO279" s="55"/>
      <c r="BP279" s="55"/>
      <c r="BQ279" s="55"/>
      <c r="BR279" s="55"/>
      <c r="BS279" s="55"/>
      <c r="BT279" s="55"/>
      <c r="BU279" s="55"/>
      <c r="BV279" s="55"/>
      <c r="BW279" s="55"/>
      <c r="BX279" s="55"/>
      <c r="BY279" s="55"/>
    </row>
    <row r="280" spans="1:77" ht="25.5">
      <c r="A280" s="2" t="s">
        <v>800</v>
      </c>
      <c r="B280" s="89">
        <v>274</v>
      </c>
      <c r="C280" s="124">
        <v>201</v>
      </c>
      <c r="D280" s="129">
        <v>71</v>
      </c>
      <c r="E280" s="130">
        <v>0.625</v>
      </c>
      <c r="F280" s="130">
        <v>0.63750000000000007</v>
      </c>
      <c r="G280" s="126" t="s">
        <v>538</v>
      </c>
      <c r="H280" s="93" t="s">
        <v>443</v>
      </c>
      <c r="I280" s="124">
        <v>15</v>
      </c>
      <c r="J280" s="127">
        <v>50</v>
      </c>
      <c r="K280" s="131">
        <v>47</v>
      </c>
      <c r="L280" s="99" t="s">
        <v>741</v>
      </c>
      <c r="M280" s="83" t="s">
        <v>970</v>
      </c>
      <c r="N280" s="83">
        <v>54</v>
      </c>
      <c r="O280" s="83" t="s">
        <v>797</v>
      </c>
      <c r="P280" s="83">
        <v>45</v>
      </c>
      <c r="Q280" s="83" t="s">
        <v>796</v>
      </c>
      <c r="R280" s="83">
        <v>37</v>
      </c>
      <c r="S280" s="26">
        <v>2290</v>
      </c>
      <c r="T280" s="26" t="s">
        <v>1457</v>
      </c>
      <c r="U280" s="26">
        <v>2180</v>
      </c>
      <c r="V280" s="26" t="s">
        <v>1456</v>
      </c>
      <c r="W280" s="63">
        <v>44816</v>
      </c>
      <c r="X280" s="63">
        <v>45100</v>
      </c>
      <c r="Y280" s="63"/>
      <c r="Z280" s="63"/>
      <c r="AA280" s="27" t="s">
        <v>1103</v>
      </c>
      <c r="AB280" s="23" t="s">
        <v>731</v>
      </c>
      <c r="AC280" s="23"/>
      <c r="AD280" s="23"/>
      <c r="AE280" s="23"/>
      <c r="AF280" s="23"/>
      <c r="AG280" s="23"/>
      <c r="AH280" s="23"/>
      <c r="AI280" s="23"/>
      <c r="AJ280" s="23"/>
      <c r="AK280" s="23"/>
      <c r="AL280" s="23" t="s">
        <v>731</v>
      </c>
      <c r="AM280" s="23"/>
      <c r="AN280" s="23"/>
      <c r="AO280" s="23"/>
      <c r="AP280" s="23"/>
      <c r="AQ280" s="23"/>
      <c r="AR280" s="23"/>
      <c r="AS280" s="23"/>
      <c r="AT280" s="23"/>
      <c r="AU280" s="23"/>
      <c r="AV280" s="42"/>
      <c r="AX280" s="41">
        <f>3*I280</f>
        <v>45</v>
      </c>
      <c r="AY280" s="42"/>
      <c r="AZ280" s="42"/>
      <c r="BB280" s="43">
        <v>2</v>
      </c>
      <c r="BC280" s="45"/>
      <c r="BD280" s="50"/>
      <c r="BE280" s="45"/>
      <c r="BF280" s="45"/>
      <c r="BG280" s="18"/>
      <c r="BH280" s="18">
        <v>2</v>
      </c>
      <c r="BI280" s="18">
        <v>5</v>
      </c>
      <c r="BJ280" s="18">
        <v>5</v>
      </c>
      <c r="BK280" s="18">
        <v>6</v>
      </c>
      <c r="BL280" s="18">
        <v>6</v>
      </c>
      <c r="BM280" s="55">
        <f>SUM(AV280:AX280)+SUM(BC280:BD280)+SUM(BE280:BF280)+BG280</f>
        <v>45</v>
      </c>
      <c r="BN280" s="55"/>
      <c r="BO280" s="55"/>
      <c r="BP280" s="55"/>
      <c r="BQ280" s="55"/>
      <c r="BR280" s="55"/>
      <c r="BS280" s="55"/>
      <c r="BT280" s="55"/>
      <c r="BU280" s="55"/>
      <c r="BV280" s="55"/>
      <c r="BW280" s="55"/>
      <c r="BX280" s="55"/>
      <c r="BY280" s="55"/>
    </row>
    <row r="281" spans="1:77" ht="25.5">
      <c r="A281" s="2" t="s">
        <v>799</v>
      </c>
      <c r="B281" s="89">
        <v>275</v>
      </c>
      <c r="C281" s="124">
        <v>201</v>
      </c>
      <c r="D281" s="124">
        <v>71</v>
      </c>
      <c r="E281" s="130">
        <v>0.625</v>
      </c>
      <c r="F281" s="130">
        <v>0.67222222222222217</v>
      </c>
      <c r="G281" s="126" t="s">
        <v>542</v>
      </c>
      <c r="H281" s="93" t="s">
        <v>549</v>
      </c>
      <c r="I281" s="124">
        <v>44</v>
      </c>
      <c r="J281" s="127">
        <v>50</v>
      </c>
      <c r="K281" s="131">
        <v>13</v>
      </c>
      <c r="L281" s="118" t="s">
        <v>742</v>
      </c>
      <c r="M281" s="87" t="s">
        <v>1878</v>
      </c>
      <c r="N281" s="87">
        <v>56</v>
      </c>
      <c r="S281" s="26">
        <v>2290</v>
      </c>
      <c r="T281" s="26" t="s">
        <v>1457</v>
      </c>
      <c r="U281" s="26">
        <v>1</v>
      </c>
      <c r="V281" s="26" t="s">
        <v>1312</v>
      </c>
      <c r="W281" s="63">
        <v>44562</v>
      </c>
      <c r="X281" s="63">
        <v>44815</v>
      </c>
      <c r="Y281" s="63">
        <v>45101</v>
      </c>
      <c r="Z281" s="63">
        <v>45169</v>
      </c>
      <c r="AA281" s="17" t="s">
        <v>1104</v>
      </c>
      <c r="AB281" s="23"/>
      <c r="AC281" s="23" t="s">
        <v>731</v>
      </c>
      <c r="AD281" s="23"/>
      <c r="AE281" s="23"/>
      <c r="AF281" s="23"/>
      <c r="AG281" s="23"/>
      <c r="AH281" s="23"/>
      <c r="AI281" s="23"/>
      <c r="AJ281" s="23"/>
      <c r="AK281" s="23"/>
      <c r="AL281" s="23" t="s">
        <v>731</v>
      </c>
      <c r="AM281" s="23"/>
      <c r="AN281" s="23"/>
      <c r="AO281" s="23"/>
      <c r="AP281" s="23"/>
      <c r="AQ281" s="23"/>
      <c r="AR281" s="23"/>
      <c r="AS281" s="23"/>
      <c r="AT281" s="23"/>
      <c r="AU281" s="23"/>
      <c r="AV281" s="42"/>
      <c r="AW281" s="18"/>
      <c r="AZ281" s="19" t="s">
        <v>1014</v>
      </c>
      <c r="BB281" s="43">
        <v>2</v>
      </c>
      <c r="BD281" s="41"/>
      <c r="BG281" s="18"/>
      <c r="BH281" s="18">
        <v>2</v>
      </c>
      <c r="BI281" s="18">
        <v>0</v>
      </c>
      <c r="BJ281" s="18">
        <v>0</v>
      </c>
      <c r="BK281" s="18">
        <v>0</v>
      </c>
      <c r="BL281" s="18">
        <v>0</v>
      </c>
      <c r="BM281" s="55">
        <f>SUM(AV281:AX281)+SUM(BC281:BD281)+SUM(BE281:BF281)+BG281</f>
        <v>0</v>
      </c>
      <c r="BN281" s="55"/>
      <c r="BO281" s="55"/>
      <c r="BP281" s="55"/>
      <c r="BQ281" s="55"/>
      <c r="BR281" s="55"/>
      <c r="BS281" s="55"/>
      <c r="BT281" s="55"/>
      <c r="BU281" s="55"/>
      <c r="BV281" s="55"/>
      <c r="BW281" s="55"/>
      <c r="BX281" s="55"/>
      <c r="BY281" s="55"/>
    </row>
    <row r="282" spans="1:77" ht="33.75">
      <c r="A282" s="2" t="s">
        <v>800</v>
      </c>
      <c r="B282" s="89">
        <v>276</v>
      </c>
      <c r="C282" s="124">
        <v>201</v>
      </c>
      <c r="D282" s="129">
        <v>530</v>
      </c>
      <c r="E282" s="130">
        <v>0.64861111111111114</v>
      </c>
      <c r="F282" s="130">
        <v>0.66111111111111109</v>
      </c>
      <c r="G282" s="126" t="s">
        <v>539</v>
      </c>
      <c r="H282" s="93" t="s">
        <v>478</v>
      </c>
      <c r="I282" s="124">
        <v>15</v>
      </c>
      <c r="J282" s="127">
        <v>50</v>
      </c>
      <c r="K282" s="131">
        <v>240</v>
      </c>
      <c r="L282" s="99" t="s">
        <v>748</v>
      </c>
      <c r="M282" s="83" t="s">
        <v>833</v>
      </c>
      <c r="N282" s="83">
        <v>57</v>
      </c>
      <c r="O282" s="83" t="s">
        <v>832</v>
      </c>
      <c r="P282" s="83">
        <v>57</v>
      </c>
      <c r="Q282" s="152" t="s">
        <v>2007</v>
      </c>
      <c r="R282" s="152" t="s">
        <v>2008</v>
      </c>
      <c r="S282" s="26">
        <v>2180</v>
      </c>
      <c r="T282" s="26" t="s">
        <v>1456</v>
      </c>
      <c r="U282" s="26">
        <v>2290</v>
      </c>
      <c r="V282" s="26" t="s">
        <v>1457</v>
      </c>
      <c r="W282" s="63">
        <v>44816</v>
      </c>
      <c r="X282" s="63">
        <v>45100</v>
      </c>
      <c r="Y282" s="63"/>
      <c r="Z282" s="63"/>
      <c r="AA282" s="26" t="s">
        <v>1112</v>
      </c>
      <c r="AB282" s="23" t="s">
        <v>731</v>
      </c>
      <c r="AC282" s="23"/>
      <c r="AD282" s="23" t="s">
        <v>731</v>
      </c>
      <c r="AE282" s="23"/>
      <c r="AF282" s="23" t="s">
        <v>731</v>
      </c>
      <c r="AG282" s="23" t="s">
        <v>731</v>
      </c>
      <c r="AH282" s="23" t="s">
        <v>731</v>
      </c>
      <c r="AI282" s="23" t="s">
        <v>731</v>
      </c>
      <c r="AJ282" s="23" t="s">
        <v>731</v>
      </c>
      <c r="AK282" s="23" t="s">
        <v>731</v>
      </c>
      <c r="AL282" s="23"/>
      <c r="AM282" s="23"/>
      <c r="AN282" s="23"/>
      <c r="AO282" s="23"/>
      <c r="AP282" s="23"/>
      <c r="AQ282" s="23"/>
      <c r="AR282" s="23"/>
      <c r="AS282" s="23"/>
      <c r="AT282" s="23"/>
      <c r="AU282" s="23"/>
      <c r="AV282" s="42"/>
      <c r="AW282" s="18"/>
      <c r="AX282" s="41">
        <f>3*I282</f>
        <v>45</v>
      </c>
      <c r="AY282" s="42"/>
      <c r="AZ282" s="42"/>
      <c r="BB282" s="43">
        <v>2</v>
      </c>
      <c r="BC282" s="45"/>
      <c r="BD282" s="50"/>
      <c r="BE282" s="45"/>
      <c r="BF282" s="45"/>
      <c r="BG282" s="18"/>
      <c r="BH282" s="18">
        <v>17</v>
      </c>
      <c r="BI282" s="18">
        <v>26</v>
      </c>
      <c r="BJ282" s="18">
        <v>25</v>
      </c>
      <c r="BK282" s="18">
        <v>25</v>
      </c>
      <c r="BL282" s="18">
        <v>25</v>
      </c>
      <c r="BM282" s="55">
        <f>SUM(AV282:AX282)+SUM(BC282:BD282)+SUM(BE282:BF282)+BG282</f>
        <v>45</v>
      </c>
      <c r="BN282" s="55"/>
      <c r="BO282" s="55"/>
      <c r="BP282" s="55"/>
      <c r="BQ282" s="55"/>
      <c r="BR282" s="55"/>
      <c r="BS282" s="55"/>
      <c r="BT282" s="55"/>
      <c r="BU282" s="55"/>
      <c r="BV282" s="55"/>
      <c r="BW282" s="55"/>
      <c r="BX282" s="55"/>
      <c r="BY282" s="55"/>
    </row>
    <row r="283" spans="1:77" ht="25.5">
      <c r="A283" s="2" t="s">
        <v>800</v>
      </c>
      <c r="B283" s="89">
        <v>277</v>
      </c>
      <c r="C283" s="124">
        <v>201</v>
      </c>
      <c r="D283" s="129">
        <v>530</v>
      </c>
      <c r="E283" s="130">
        <v>0.64861111111111114</v>
      </c>
      <c r="F283" s="130">
        <v>0.66111111111111109</v>
      </c>
      <c r="G283" s="126" t="s">
        <v>539</v>
      </c>
      <c r="H283" s="93" t="s">
        <v>443</v>
      </c>
      <c r="I283" s="124">
        <v>15</v>
      </c>
      <c r="J283" s="127">
        <v>50</v>
      </c>
      <c r="K283" s="131">
        <v>47</v>
      </c>
      <c r="L283" s="99" t="s">
        <v>741</v>
      </c>
      <c r="M283" s="83" t="s">
        <v>970</v>
      </c>
      <c r="N283" s="83">
        <v>54</v>
      </c>
      <c r="O283" s="83" t="s">
        <v>797</v>
      </c>
      <c r="P283" s="83">
        <v>45</v>
      </c>
      <c r="Q283" s="83" t="s">
        <v>796</v>
      </c>
      <c r="R283" s="83">
        <v>37</v>
      </c>
      <c r="S283" s="26">
        <v>2180</v>
      </c>
      <c r="T283" s="26" t="s">
        <v>1456</v>
      </c>
      <c r="U283" s="26">
        <v>2290</v>
      </c>
      <c r="V283" s="26" t="s">
        <v>1457</v>
      </c>
      <c r="W283" s="63">
        <v>44816</v>
      </c>
      <c r="X283" s="63">
        <v>45100</v>
      </c>
      <c r="Y283" s="63"/>
      <c r="Z283" s="63"/>
      <c r="AA283" s="27" t="s">
        <v>1103</v>
      </c>
      <c r="AB283" s="23" t="s">
        <v>731</v>
      </c>
      <c r="AC283" s="23"/>
      <c r="AD283" s="23"/>
      <c r="AE283" s="23"/>
      <c r="AF283" s="23"/>
      <c r="AG283" s="23"/>
      <c r="AH283" s="23"/>
      <c r="AI283" s="23"/>
      <c r="AJ283" s="23"/>
      <c r="AK283" s="23"/>
      <c r="AL283" s="23" t="s">
        <v>731</v>
      </c>
      <c r="AM283" s="23"/>
      <c r="AN283" s="23"/>
      <c r="AO283" s="23"/>
      <c r="AP283" s="23"/>
      <c r="AQ283" s="23"/>
      <c r="AR283" s="23"/>
      <c r="AS283" s="23"/>
      <c r="AT283" s="23"/>
      <c r="AU283" s="23"/>
      <c r="AV283" s="42"/>
      <c r="AW283" s="18"/>
      <c r="AX283" s="41">
        <f>3*I283</f>
        <v>45</v>
      </c>
      <c r="AY283" s="42"/>
      <c r="AZ283" s="42"/>
      <c r="BB283" s="43">
        <v>2</v>
      </c>
      <c r="BC283" s="45"/>
      <c r="BD283" s="50"/>
      <c r="BE283" s="45"/>
      <c r="BF283" s="45"/>
      <c r="BG283" s="18"/>
      <c r="BH283" s="18">
        <v>2</v>
      </c>
      <c r="BI283" s="18">
        <v>5</v>
      </c>
      <c r="BJ283" s="18">
        <v>5</v>
      </c>
      <c r="BK283" s="18">
        <v>6</v>
      </c>
      <c r="BL283" s="18">
        <v>6</v>
      </c>
      <c r="BM283" s="55">
        <f>SUM(AV283:AX283)+SUM(BC283:BD283)+SUM(BE283:BF283)+BG283</f>
        <v>45</v>
      </c>
      <c r="BN283" s="55"/>
      <c r="BO283" s="55"/>
      <c r="BP283" s="55"/>
      <c r="BQ283" s="55"/>
      <c r="BR283" s="55"/>
      <c r="BS283" s="55"/>
      <c r="BT283" s="55"/>
      <c r="BU283" s="55"/>
      <c r="BV283" s="55"/>
      <c r="BW283" s="55"/>
      <c r="BX283" s="55"/>
      <c r="BY283" s="55"/>
    </row>
    <row r="284" spans="1:77" ht="25.5">
      <c r="A284" s="2" t="s">
        <v>799</v>
      </c>
      <c r="B284" s="89">
        <v>278</v>
      </c>
      <c r="C284" s="124">
        <v>201</v>
      </c>
      <c r="D284" s="124">
        <v>73</v>
      </c>
      <c r="E284" s="130">
        <v>0.70833333333333337</v>
      </c>
      <c r="F284" s="130">
        <v>0.72083333333333333</v>
      </c>
      <c r="G284" s="126" t="s">
        <v>538</v>
      </c>
      <c r="H284" s="93" t="s">
        <v>423</v>
      </c>
      <c r="I284" s="124">
        <v>16</v>
      </c>
      <c r="J284" s="127">
        <v>50</v>
      </c>
      <c r="K284" s="131">
        <v>67</v>
      </c>
      <c r="L284" s="99" t="s">
        <v>741</v>
      </c>
      <c r="M284" s="87" t="s">
        <v>970</v>
      </c>
      <c r="N284" s="87">
        <v>54</v>
      </c>
      <c r="O284" s="87" t="s">
        <v>797</v>
      </c>
      <c r="P284" s="87">
        <v>45</v>
      </c>
      <c r="Q284" s="87" t="s">
        <v>798</v>
      </c>
      <c r="R284" s="85">
        <v>28</v>
      </c>
      <c r="S284" s="26">
        <v>2290</v>
      </c>
      <c r="T284" s="26" t="s">
        <v>1457</v>
      </c>
      <c r="U284" s="26">
        <v>2180</v>
      </c>
      <c r="V284" s="26" t="s">
        <v>1456</v>
      </c>
      <c r="W284" s="63">
        <v>44562</v>
      </c>
      <c r="X284" s="63">
        <v>44815</v>
      </c>
      <c r="Y284" s="63">
        <v>45101</v>
      </c>
      <c r="Z284" s="63">
        <v>45169</v>
      </c>
      <c r="AA284" s="23" t="s">
        <v>1107</v>
      </c>
      <c r="AB284" s="23"/>
      <c r="AC284" s="23" t="s">
        <v>731</v>
      </c>
      <c r="AD284" s="23" t="s">
        <v>731</v>
      </c>
      <c r="AE284" s="23"/>
      <c r="AF284" s="23" t="s">
        <v>731</v>
      </c>
      <c r="AG284" s="23" t="s">
        <v>731</v>
      </c>
      <c r="AH284" s="23" t="s">
        <v>731</v>
      </c>
      <c r="AI284" s="23" t="s">
        <v>731</v>
      </c>
      <c r="AJ284" s="23" t="s">
        <v>731</v>
      </c>
      <c r="AK284" s="23" t="s">
        <v>731</v>
      </c>
      <c r="AL284" s="23"/>
      <c r="AM284" s="23"/>
      <c r="AN284" s="23"/>
      <c r="AO284" s="23"/>
      <c r="AP284" s="23"/>
      <c r="AQ284" s="23"/>
      <c r="AR284" s="23"/>
      <c r="AS284" s="23"/>
      <c r="AT284" s="23"/>
      <c r="AU284" s="23"/>
      <c r="AV284" s="42"/>
      <c r="AW284" s="18"/>
      <c r="AZ284" s="51" t="s">
        <v>741</v>
      </c>
      <c r="BB284" s="43">
        <v>2</v>
      </c>
      <c r="BD284" s="41"/>
      <c r="BG284" s="18"/>
      <c r="BH284" s="18">
        <v>9</v>
      </c>
      <c r="BI284" s="18">
        <v>0</v>
      </c>
      <c r="BJ284" s="18">
        <v>0</v>
      </c>
      <c r="BK284" s="18">
        <v>0</v>
      </c>
      <c r="BL284" s="18">
        <v>0</v>
      </c>
      <c r="BM284" s="55">
        <f>SUM(AV284:AX284)+SUM(BC284:BD284)+SUM(BE284:BF284)+BG284</f>
        <v>0</v>
      </c>
      <c r="BN284" s="55" t="s">
        <v>1107</v>
      </c>
      <c r="BO284" s="77">
        <v>9</v>
      </c>
      <c r="BP284" s="77"/>
      <c r="BQ284" s="77">
        <v>0</v>
      </c>
      <c r="BR284" s="77"/>
      <c r="BS284" s="77">
        <v>0</v>
      </c>
      <c r="BT284" s="77"/>
      <c r="BU284" s="77">
        <v>0</v>
      </c>
      <c r="BV284" s="77"/>
      <c r="BW284" s="77">
        <v>0</v>
      </c>
      <c r="BX284" s="77"/>
      <c r="BY284" s="55">
        <v>350</v>
      </c>
    </row>
    <row r="285" spans="1:77" ht="25.5">
      <c r="A285" s="2" t="s">
        <v>800</v>
      </c>
      <c r="B285" s="89">
        <v>279</v>
      </c>
      <c r="C285" s="124">
        <v>201</v>
      </c>
      <c r="D285" s="129">
        <v>73</v>
      </c>
      <c r="E285" s="130">
        <v>0.71180555555555547</v>
      </c>
      <c r="F285" s="130">
        <v>0.72430555555555554</v>
      </c>
      <c r="G285" s="126" t="s">
        <v>538</v>
      </c>
      <c r="H285" s="93" t="s">
        <v>478</v>
      </c>
      <c r="I285" s="124">
        <v>15</v>
      </c>
      <c r="J285" s="127">
        <v>50</v>
      </c>
      <c r="K285" s="131">
        <v>240</v>
      </c>
      <c r="L285" s="99" t="s">
        <v>751</v>
      </c>
      <c r="M285" s="83" t="s">
        <v>885</v>
      </c>
      <c r="N285" s="83">
        <v>57</v>
      </c>
      <c r="O285" s="83" t="s">
        <v>1879</v>
      </c>
      <c r="P285" s="83">
        <v>57</v>
      </c>
      <c r="Q285" s="83" t="s">
        <v>1238</v>
      </c>
      <c r="R285" s="83">
        <v>38</v>
      </c>
      <c r="S285" s="26">
        <v>2290</v>
      </c>
      <c r="T285" s="26" t="s">
        <v>1457</v>
      </c>
      <c r="U285" s="26">
        <v>2180</v>
      </c>
      <c r="V285" s="26" t="s">
        <v>1456</v>
      </c>
      <c r="W285" s="63">
        <v>44816</v>
      </c>
      <c r="X285" s="63">
        <v>45100</v>
      </c>
      <c r="Y285" s="63"/>
      <c r="Z285" s="63"/>
      <c r="AA285" s="26" t="s">
        <v>1112</v>
      </c>
      <c r="AB285" s="23" t="s">
        <v>731</v>
      </c>
      <c r="AC285" s="23"/>
      <c r="AD285" s="23" t="s">
        <v>731</v>
      </c>
      <c r="AE285" s="23"/>
      <c r="AF285" s="23" t="s">
        <v>731</v>
      </c>
      <c r="AG285" s="23" t="s">
        <v>731</v>
      </c>
      <c r="AH285" s="23" t="s">
        <v>731</v>
      </c>
      <c r="AI285" s="23" t="s">
        <v>731</v>
      </c>
      <c r="AJ285" s="23" t="s">
        <v>731</v>
      </c>
      <c r="AK285" s="23" t="s">
        <v>731</v>
      </c>
      <c r="AL285" s="23"/>
      <c r="AM285" s="23"/>
      <c r="AN285" s="23"/>
      <c r="AO285" s="23"/>
      <c r="AP285" s="23"/>
      <c r="AQ285" s="23"/>
      <c r="AR285" s="23"/>
      <c r="AS285" s="23"/>
      <c r="AT285" s="23"/>
      <c r="AU285" s="23"/>
      <c r="AV285" s="42"/>
      <c r="AW285" s="18"/>
      <c r="AX285" s="41">
        <f>3*I285</f>
        <v>45</v>
      </c>
      <c r="AY285" s="42"/>
      <c r="AZ285" s="42"/>
      <c r="BB285" s="43">
        <v>2</v>
      </c>
      <c r="BC285" s="45"/>
      <c r="BD285" s="50"/>
      <c r="BE285" s="45"/>
      <c r="BF285" s="45"/>
      <c r="BG285" s="18"/>
      <c r="BH285" s="18">
        <v>17</v>
      </c>
      <c r="BI285" s="18">
        <v>26</v>
      </c>
      <c r="BJ285" s="18">
        <v>25</v>
      </c>
      <c r="BK285" s="18">
        <v>25</v>
      </c>
      <c r="BL285" s="18">
        <v>25</v>
      </c>
      <c r="BM285" s="55">
        <f>SUM(AV285:AX285)+SUM(BC285:BD285)+SUM(BE285:BF285)+BG285</f>
        <v>45</v>
      </c>
      <c r="BN285" s="55"/>
      <c r="BO285" s="55"/>
      <c r="BP285" s="55"/>
      <c r="BQ285" s="55"/>
      <c r="BR285" s="55"/>
      <c r="BS285" s="55"/>
      <c r="BT285" s="55"/>
      <c r="BU285" s="55"/>
      <c r="BV285" s="55"/>
      <c r="BW285" s="55"/>
      <c r="BX285" s="55"/>
      <c r="BY285" s="55"/>
    </row>
    <row r="286" spans="1:77" ht="25.5">
      <c r="A286" s="2" t="s">
        <v>800</v>
      </c>
      <c r="B286" s="89">
        <v>280</v>
      </c>
      <c r="C286" s="124">
        <v>201</v>
      </c>
      <c r="D286" s="129">
        <v>73</v>
      </c>
      <c r="E286" s="130">
        <v>0.71180555555555547</v>
      </c>
      <c r="F286" s="130">
        <v>0.72430555555555554</v>
      </c>
      <c r="G286" s="126" t="s">
        <v>538</v>
      </c>
      <c r="H286" s="93" t="s">
        <v>443</v>
      </c>
      <c r="I286" s="124">
        <v>15</v>
      </c>
      <c r="J286" s="127">
        <v>50</v>
      </c>
      <c r="K286" s="131">
        <v>47</v>
      </c>
      <c r="L286" s="99" t="s">
        <v>741</v>
      </c>
      <c r="M286" s="83" t="s">
        <v>970</v>
      </c>
      <c r="N286" s="83">
        <v>54</v>
      </c>
      <c r="O286" s="83" t="s">
        <v>797</v>
      </c>
      <c r="P286" s="83">
        <v>45</v>
      </c>
      <c r="Q286" s="83" t="s">
        <v>796</v>
      </c>
      <c r="R286" s="83">
        <v>37</v>
      </c>
      <c r="S286" s="26">
        <v>2290</v>
      </c>
      <c r="T286" s="26" t="s">
        <v>1457</v>
      </c>
      <c r="U286" s="26">
        <v>2180</v>
      </c>
      <c r="V286" s="26" t="s">
        <v>1456</v>
      </c>
      <c r="W286" s="63">
        <v>44816</v>
      </c>
      <c r="X286" s="63">
        <v>45100</v>
      </c>
      <c r="Y286" s="63"/>
      <c r="Z286" s="63"/>
      <c r="AA286" s="27" t="s">
        <v>1103</v>
      </c>
      <c r="AB286" s="23" t="s">
        <v>731</v>
      </c>
      <c r="AC286" s="23"/>
      <c r="AD286" s="23"/>
      <c r="AE286" s="23"/>
      <c r="AF286" s="23"/>
      <c r="AG286" s="23"/>
      <c r="AH286" s="23"/>
      <c r="AI286" s="23"/>
      <c r="AJ286" s="23"/>
      <c r="AK286" s="23"/>
      <c r="AL286" s="23" t="s">
        <v>731</v>
      </c>
      <c r="AM286" s="23"/>
      <c r="AN286" s="23"/>
      <c r="AO286" s="23"/>
      <c r="AP286" s="23"/>
      <c r="AQ286" s="23"/>
      <c r="AR286" s="23"/>
      <c r="AS286" s="23"/>
      <c r="AT286" s="23"/>
      <c r="AU286" s="23"/>
      <c r="AV286" s="42"/>
      <c r="AW286" s="18"/>
      <c r="AX286" s="41">
        <f>3*I286</f>
        <v>45</v>
      </c>
      <c r="AY286" s="42"/>
      <c r="AZ286" s="42"/>
      <c r="BB286" s="43">
        <v>2</v>
      </c>
      <c r="BC286" s="45"/>
      <c r="BD286" s="50"/>
      <c r="BE286" s="45"/>
      <c r="BF286" s="45"/>
      <c r="BG286" s="18"/>
      <c r="BH286" s="18">
        <v>2</v>
      </c>
      <c r="BI286" s="18">
        <v>5</v>
      </c>
      <c r="BJ286" s="18">
        <v>5</v>
      </c>
      <c r="BK286" s="18">
        <v>6</v>
      </c>
      <c r="BL286" s="18">
        <v>6</v>
      </c>
      <c r="BM286" s="55">
        <f>SUM(AV286:AX286)+SUM(BC286:BD286)+SUM(BE286:BF286)+BG286</f>
        <v>45</v>
      </c>
      <c r="BN286" s="55"/>
      <c r="BO286" s="55"/>
      <c r="BP286" s="55"/>
      <c r="BQ286" s="55"/>
      <c r="BR286" s="55"/>
      <c r="BS286" s="55"/>
      <c r="BT286" s="55"/>
      <c r="BU286" s="55"/>
      <c r="BV286" s="55"/>
      <c r="BW286" s="55"/>
      <c r="BX286" s="55"/>
      <c r="BY286" s="55"/>
    </row>
    <row r="287" spans="1:77" ht="25.5">
      <c r="A287" s="2" t="s">
        <v>799</v>
      </c>
      <c r="B287" s="89">
        <v>281</v>
      </c>
      <c r="C287" s="124">
        <v>201</v>
      </c>
      <c r="D287" s="124">
        <v>302</v>
      </c>
      <c r="E287" s="130">
        <v>0.7402777777777777</v>
      </c>
      <c r="F287" s="130">
        <v>0.75277777777777777</v>
      </c>
      <c r="G287" s="126" t="s">
        <v>539</v>
      </c>
      <c r="H287" s="93" t="s">
        <v>549</v>
      </c>
      <c r="I287" s="124">
        <v>16</v>
      </c>
      <c r="J287" s="127">
        <v>50</v>
      </c>
      <c r="K287" s="131">
        <v>13</v>
      </c>
      <c r="L287" s="118" t="s">
        <v>742</v>
      </c>
      <c r="M287" s="2" t="s">
        <v>1237</v>
      </c>
      <c r="N287" s="84">
        <v>58</v>
      </c>
      <c r="O287" s="87" t="s">
        <v>1878</v>
      </c>
      <c r="P287" s="87">
        <v>56</v>
      </c>
      <c r="S287" s="26">
        <v>2180</v>
      </c>
      <c r="T287" s="26" t="s">
        <v>1456</v>
      </c>
      <c r="U287" s="26">
        <v>2290</v>
      </c>
      <c r="V287" s="26" t="s">
        <v>1457</v>
      </c>
      <c r="W287" s="63">
        <v>44562</v>
      </c>
      <c r="X287" s="63">
        <v>44815</v>
      </c>
      <c r="Y287" s="63">
        <v>45101</v>
      </c>
      <c r="Z287" s="63">
        <v>45169</v>
      </c>
      <c r="AA287" s="17" t="s">
        <v>1104</v>
      </c>
      <c r="AB287" s="23"/>
      <c r="AC287" s="23" t="s">
        <v>731</v>
      </c>
      <c r="AD287" s="23"/>
      <c r="AE287" s="23"/>
      <c r="AF287" s="23"/>
      <c r="AG287" s="23"/>
      <c r="AH287" s="23"/>
      <c r="AI287" s="23"/>
      <c r="AJ287" s="23"/>
      <c r="AK287" s="23"/>
      <c r="AL287" s="23" t="s">
        <v>731</v>
      </c>
      <c r="AM287" s="23"/>
      <c r="AN287" s="23"/>
      <c r="AO287" s="23"/>
      <c r="AP287" s="23"/>
      <c r="AQ287" s="23"/>
      <c r="AR287" s="23"/>
      <c r="AS287" s="23"/>
      <c r="AT287" s="23"/>
      <c r="AU287" s="23"/>
      <c r="AV287" s="42"/>
      <c r="AW287" s="18"/>
      <c r="AZ287" s="19" t="s">
        <v>1014</v>
      </c>
      <c r="BB287" s="43">
        <v>2</v>
      </c>
      <c r="BD287" s="41"/>
      <c r="BG287" s="18"/>
      <c r="BH287" s="18">
        <v>2</v>
      </c>
      <c r="BI287" s="18">
        <v>0</v>
      </c>
      <c r="BJ287" s="18">
        <v>0</v>
      </c>
      <c r="BK287" s="18">
        <v>0</v>
      </c>
      <c r="BL287" s="18">
        <v>0</v>
      </c>
      <c r="BM287" s="55">
        <f>SUM(AV287:AX287)+SUM(BC287:BD287)+SUM(BE287:BF287)+BG287</f>
        <v>0</v>
      </c>
      <c r="BN287" s="55"/>
      <c r="BO287" s="55"/>
      <c r="BP287" s="55"/>
      <c r="BQ287" s="55"/>
      <c r="BR287" s="55"/>
      <c r="BS287" s="55"/>
      <c r="BT287" s="55"/>
      <c r="BU287" s="55"/>
      <c r="BV287" s="55"/>
      <c r="BW287" s="55"/>
      <c r="BX287" s="55"/>
      <c r="BY287" s="55"/>
    </row>
    <row r="288" spans="1:77" ht="25.5">
      <c r="A288" s="2" t="s">
        <v>800</v>
      </c>
      <c r="B288" s="89">
        <v>282</v>
      </c>
      <c r="C288" s="124">
        <v>201</v>
      </c>
      <c r="D288" s="129">
        <v>302</v>
      </c>
      <c r="E288" s="130">
        <v>0.7402777777777777</v>
      </c>
      <c r="F288" s="130">
        <v>0.75277777777777777</v>
      </c>
      <c r="G288" s="126" t="s">
        <v>539</v>
      </c>
      <c r="H288" s="93" t="s">
        <v>443</v>
      </c>
      <c r="I288" s="124">
        <v>15</v>
      </c>
      <c r="J288" s="127">
        <v>50</v>
      </c>
      <c r="K288" s="131">
        <v>47</v>
      </c>
      <c r="L288" s="99" t="s">
        <v>741</v>
      </c>
      <c r="M288" s="83" t="s">
        <v>970</v>
      </c>
      <c r="N288" s="83">
        <v>54</v>
      </c>
      <c r="O288" s="83" t="s">
        <v>797</v>
      </c>
      <c r="P288" s="83">
        <v>45</v>
      </c>
      <c r="Q288" s="83" t="s">
        <v>796</v>
      </c>
      <c r="R288" s="83">
        <v>37</v>
      </c>
      <c r="S288" s="26">
        <v>2180</v>
      </c>
      <c r="T288" s="26" t="s">
        <v>1456</v>
      </c>
      <c r="U288" s="26">
        <v>2290</v>
      </c>
      <c r="V288" s="26" t="s">
        <v>1457</v>
      </c>
      <c r="W288" s="63">
        <v>44816</v>
      </c>
      <c r="X288" s="63">
        <v>45100</v>
      </c>
      <c r="Y288" s="63"/>
      <c r="Z288" s="63"/>
      <c r="AA288" s="27" t="s">
        <v>1103</v>
      </c>
      <c r="AB288" s="23" t="s">
        <v>731</v>
      </c>
      <c r="AC288" s="23"/>
      <c r="AD288" s="23"/>
      <c r="AE288" s="23"/>
      <c r="AF288" s="23"/>
      <c r="AG288" s="23"/>
      <c r="AH288" s="23"/>
      <c r="AI288" s="23"/>
      <c r="AJ288" s="23"/>
      <c r="AK288" s="23"/>
      <c r="AL288" s="23" t="s">
        <v>731</v>
      </c>
      <c r="AM288" s="23"/>
      <c r="AN288" s="23"/>
      <c r="AO288" s="23"/>
      <c r="AP288" s="23"/>
      <c r="AQ288" s="23"/>
      <c r="AR288" s="23"/>
      <c r="AS288" s="23"/>
      <c r="AT288" s="23"/>
      <c r="AU288" s="23"/>
      <c r="AV288" s="42"/>
      <c r="AW288" s="18"/>
      <c r="AX288" s="41">
        <f>3*I288</f>
        <v>45</v>
      </c>
      <c r="AY288" s="42"/>
      <c r="AZ288" s="42"/>
      <c r="BB288" s="43">
        <v>2</v>
      </c>
      <c r="BC288" s="45"/>
      <c r="BD288" s="50"/>
      <c r="BE288" s="45"/>
      <c r="BF288" s="45"/>
      <c r="BG288" s="18"/>
      <c r="BH288" s="18">
        <v>2</v>
      </c>
      <c r="BI288" s="18">
        <v>5</v>
      </c>
      <c r="BJ288" s="18">
        <v>5</v>
      </c>
      <c r="BK288" s="18">
        <v>6</v>
      </c>
      <c r="BL288" s="18">
        <v>6</v>
      </c>
      <c r="BM288" s="55">
        <f>SUM(AV288:AX288)+SUM(BC288:BD288)+SUM(BE288:BF288)+BG288</f>
        <v>45</v>
      </c>
      <c r="BN288" s="55"/>
      <c r="BO288" s="55"/>
      <c r="BP288" s="55"/>
      <c r="BQ288" s="55"/>
      <c r="BR288" s="55"/>
      <c r="BS288" s="55"/>
      <c r="BT288" s="55"/>
      <c r="BU288" s="55"/>
      <c r="BV288" s="55"/>
      <c r="BW288" s="55"/>
      <c r="BX288" s="55"/>
      <c r="BY288" s="55"/>
    </row>
    <row r="289" spans="1:78" ht="25.5">
      <c r="A289" s="2" t="s">
        <v>800</v>
      </c>
      <c r="B289" s="89">
        <v>283</v>
      </c>
      <c r="C289" s="124">
        <v>201</v>
      </c>
      <c r="D289" s="129">
        <v>77</v>
      </c>
      <c r="E289" s="130">
        <v>0.74930555555555556</v>
      </c>
      <c r="F289" s="130">
        <v>0.76180555555555562</v>
      </c>
      <c r="G289" s="126" t="s">
        <v>538</v>
      </c>
      <c r="H289" s="93" t="s">
        <v>478</v>
      </c>
      <c r="I289" s="124">
        <v>15</v>
      </c>
      <c r="J289" s="127">
        <v>50</v>
      </c>
      <c r="K289" s="98">
        <v>240</v>
      </c>
      <c r="L289" s="99" t="s">
        <v>751</v>
      </c>
      <c r="M289" s="83" t="s">
        <v>885</v>
      </c>
      <c r="N289" s="83">
        <v>57</v>
      </c>
      <c r="O289" s="83" t="s">
        <v>1879</v>
      </c>
      <c r="P289" s="83">
        <v>57</v>
      </c>
      <c r="Q289" s="83" t="s">
        <v>1238</v>
      </c>
      <c r="R289" s="83">
        <v>38</v>
      </c>
      <c r="S289" s="26">
        <v>2290</v>
      </c>
      <c r="T289" s="26" t="s">
        <v>1457</v>
      </c>
      <c r="U289" s="26">
        <v>2180</v>
      </c>
      <c r="V289" s="26" t="s">
        <v>1456</v>
      </c>
      <c r="W289" s="63">
        <v>44816</v>
      </c>
      <c r="X289" s="63">
        <v>45100</v>
      </c>
      <c r="Y289" s="63"/>
      <c r="Z289" s="63"/>
      <c r="AA289" s="26" t="s">
        <v>1112</v>
      </c>
      <c r="AB289" s="23" t="s">
        <v>731</v>
      </c>
      <c r="AC289" s="23"/>
      <c r="AD289" s="23" t="s">
        <v>731</v>
      </c>
      <c r="AE289" s="23"/>
      <c r="AF289" s="23" t="s">
        <v>731</v>
      </c>
      <c r="AG289" s="23" t="s">
        <v>731</v>
      </c>
      <c r="AH289" s="23" t="s">
        <v>731</v>
      </c>
      <c r="AI289" s="23" t="s">
        <v>731</v>
      </c>
      <c r="AJ289" s="23" t="s">
        <v>731</v>
      </c>
      <c r="AK289" s="23" t="s">
        <v>731</v>
      </c>
      <c r="AL289" s="23"/>
      <c r="AM289" s="23"/>
      <c r="AN289" s="23"/>
      <c r="AO289" s="23"/>
      <c r="AP289" s="23"/>
      <c r="AQ289" s="23"/>
      <c r="AR289" s="23"/>
      <c r="AS289" s="23"/>
      <c r="AT289" s="23"/>
      <c r="AU289" s="23"/>
      <c r="AV289" s="42"/>
      <c r="AW289" s="18"/>
      <c r="AX289" s="41">
        <f>3*I289</f>
        <v>45</v>
      </c>
      <c r="AY289" s="42"/>
      <c r="AZ289" s="42"/>
      <c r="BB289" s="43">
        <v>2</v>
      </c>
      <c r="BC289" s="45"/>
      <c r="BD289" s="50"/>
      <c r="BE289" s="45"/>
      <c r="BF289" s="45"/>
      <c r="BG289" s="18"/>
      <c r="BH289" s="18">
        <v>17</v>
      </c>
      <c r="BI289" s="18">
        <v>26</v>
      </c>
      <c r="BJ289" s="18">
        <v>25</v>
      </c>
      <c r="BK289" s="18">
        <v>25</v>
      </c>
      <c r="BL289" s="18">
        <v>25</v>
      </c>
      <c r="BM289" s="55">
        <f>SUM(AV289:AX289)+SUM(BC289:BD289)+SUM(BE289:BF289)+BG289</f>
        <v>45</v>
      </c>
      <c r="BN289" s="55"/>
      <c r="BO289" s="55"/>
      <c r="BP289" s="55"/>
      <c r="BQ289" s="55"/>
      <c r="BR289" s="55"/>
      <c r="BS289" s="55"/>
      <c r="BT289" s="55"/>
      <c r="BU289" s="55"/>
      <c r="BV289" s="55"/>
      <c r="BW289" s="55"/>
      <c r="BX289" s="55"/>
      <c r="BY289" s="55"/>
    </row>
    <row r="290" spans="1:78" ht="25.5">
      <c r="A290" s="2" t="s">
        <v>800</v>
      </c>
      <c r="B290" s="89">
        <v>284</v>
      </c>
      <c r="C290" s="124">
        <v>201</v>
      </c>
      <c r="D290" s="129">
        <v>308</v>
      </c>
      <c r="E290" s="125">
        <v>0.77708333333333324</v>
      </c>
      <c r="F290" s="125">
        <v>0.7895833333333333</v>
      </c>
      <c r="G290" s="126" t="s">
        <v>539</v>
      </c>
      <c r="H290" s="93" t="s">
        <v>478</v>
      </c>
      <c r="I290" s="124">
        <v>15</v>
      </c>
      <c r="J290" s="127">
        <v>50</v>
      </c>
      <c r="K290" s="131">
        <v>240</v>
      </c>
      <c r="L290" s="99" t="s">
        <v>751</v>
      </c>
      <c r="M290" s="83" t="s">
        <v>885</v>
      </c>
      <c r="N290" s="83">
        <v>57</v>
      </c>
      <c r="O290" s="83" t="s">
        <v>1879</v>
      </c>
      <c r="P290" s="83">
        <v>57</v>
      </c>
      <c r="Q290" s="83" t="s">
        <v>1238</v>
      </c>
      <c r="R290" s="83">
        <v>38</v>
      </c>
      <c r="S290" s="26">
        <v>2180</v>
      </c>
      <c r="T290" s="26" t="s">
        <v>1456</v>
      </c>
      <c r="U290" s="26">
        <v>2290</v>
      </c>
      <c r="V290" s="26" t="s">
        <v>1457</v>
      </c>
      <c r="W290" s="63">
        <v>44816</v>
      </c>
      <c r="X290" s="63">
        <v>45100</v>
      </c>
      <c r="Y290" s="63"/>
      <c r="Z290" s="63"/>
      <c r="AA290" s="26" t="s">
        <v>1112</v>
      </c>
      <c r="AB290" s="23" t="s">
        <v>731</v>
      </c>
      <c r="AC290" s="23"/>
      <c r="AD290" s="23" t="s">
        <v>731</v>
      </c>
      <c r="AE290" s="23"/>
      <c r="AF290" s="23" t="s">
        <v>731</v>
      </c>
      <c r="AG290" s="23" t="s">
        <v>731</v>
      </c>
      <c r="AH290" s="23" t="s">
        <v>731</v>
      </c>
      <c r="AI290" s="23" t="s">
        <v>731</v>
      </c>
      <c r="AJ290" s="23" t="s">
        <v>731</v>
      </c>
      <c r="AK290" s="23" t="s">
        <v>731</v>
      </c>
      <c r="AL290" s="23"/>
      <c r="AM290" s="23"/>
      <c r="AN290" s="23"/>
      <c r="AO290" s="23"/>
      <c r="AP290" s="23"/>
      <c r="AQ290" s="23"/>
      <c r="AR290" s="23"/>
      <c r="AS290" s="23"/>
      <c r="AT290" s="23"/>
      <c r="AU290" s="23"/>
      <c r="AV290" s="42"/>
      <c r="AW290" s="18"/>
      <c r="AX290" s="41">
        <f>3*I290</f>
        <v>45</v>
      </c>
      <c r="AY290" s="42"/>
      <c r="AZ290" s="42"/>
      <c r="BB290" s="43">
        <v>2</v>
      </c>
      <c r="BC290" s="45"/>
      <c r="BD290" s="50"/>
      <c r="BE290" s="45"/>
      <c r="BF290" s="45"/>
      <c r="BG290" s="18"/>
      <c r="BH290" s="18">
        <v>17</v>
      </c>
      <c r="BI290" s="18">
        <v>26</v>
      </c>
      <c r="BJ290" s="18">
        <v>25</v>
      </c>
      <c r="BK290" s="18">
        <v>25</v>
      </c>
      <c r="BL290" s="18">
        <v>25</v>
      </c>
      <c r="BM290" s="55">
        <f>SUM(AV290:AX290)+SUM(BC290:BD290)+SUM(BE290:BF290)+BG290</f>
        <v>45</v>
      </c>
      <c r="BN290" s="55"/>
      <c r="BO290" s="55"/>
      <c r="BP290" s="55"/>
      <c r="BQ290" s="55"/>
      <c r="BR290" s="55"/>
      <c r="BS290" s="55"/>
      <c r="BT290" s="55"/>
      <c r="BU290" s="55"/>
      <c r="BV290" s="55"/>
      <c r="BW290" s="55"/>
      <c r="BX290" s="55"/>
      <c r="BY290" s="55"/>
    </row>
    <row r="291" spans="1:78" ht="25.5">
      <c r="A291" s="2" t="s">
        <v>800</v>
      </c>
      <c r="B291" s="89">
        <v>285</v>
      </c>
      <c r="C291" s="124">
        <v>201</v>
      </c>
      <c r="D291" s="129">
        <v>527</v>
      </c>
      <c r="E291" s="130">
        <v>0.7909722222222223</v>
      </c>
      <c r="F291" s="125">
        <v>0.80347222222222225</v>
      </c>
      <c r="G291" s="126" t="s">
        <v>538</v>
      </c>
      <c r="H291" s="93" t="s">
        <v>478</v>
      </c>
      <c r="I291" s="124">
        <v>15</v>
      </c>
      <c r="J291" s="127">
        <v>50</v>
      </c>
      <c r="K291" s="131">
        <v>240</v>
      </c>
      <c r="L291" s="99" t="s">
        <v>751</v>
      </c>
      <c r="M291" s="83" t="s">
        <v>885</v>
      </c>
      <c r="N291" s="83">
        <v>57</v>
      </c>
      <c r="O291" s="83" t="s">
        <v>1879</v>
      </c>
      <c r="P291" s="83">
        <v>57</v>
      </c>
      <c r="Q291" s="83" t="s">
        <v>1238</v>
      </c>
      <c r="R291" s="83">
        <v>38</v>
      </c>
      <c r="S291" s="26">
        <v>2290</v>
      </c>
      <c r="T291" s="26" t="s">
        <v>1457</v>
      </c>
      <c r="U291" s="26">
        <v>2180</v>
      </c>
      <c r="V291" s="26" t="s">
        <v>1456</v>
      </c>
      <c r="W291" s="63">
        <v>44816</v>
      </c>
      <c r="X291" s="63">
        <v>45100</v>
      </c>
      <c r="Y291" s="63"/>
      <c r="Z291" s="63"/>
      <c r="AA291" s="26" t="s">
        <v>1112</v>
      </c>
      <c r="AB291" s="23" t="s">
        <v>731</v>
      </c>
      <c r="AC291" s="23"/>
      <c r="AD291" s="23" t="s">
        <v>731</v>
      </c>
      <c r="AE291" s="23"/>
      <c r="AF291" s="23" t="s">
        <v>731</v>
      </c>
      <c r="AG291" s="23" t="s">
        <v>731</v>
      </c>
      <c r="AH291" s="23" t="s">
        <v>731</v>
      </c>
      <c r="AI291" s="23" t="s">
        <v>731</v>
      </c>
      <c r="AJ291" s="23" t="s">
        <v>731</v>
      </c>
      <c r="AK291" s="23" t="s">
        <v>731</v>
      </c>
      <c r="AL291" s="23"/>
      <c r="AM291" s="23"/>
      <c r="AN291" s="23"/>
      <c r="AO291" s="23"/>
      <c r="AP291" s="23"/>
      <c r="AQ291" s="23"/>
      <c r="AR291" s="23"/>
      <c r="AS291" s="23"/>
      <c r="AT291" s="23"/>
      <c r="AU291" s="23"/>
      <c r="AV291" s="42"/>
      <c r="AW291" s="18"/>
      <c r="AX291" s="41">
        <f>3*I291</f>
        <v>45</v>
      </c>
      <c r="AY291" s="42"/>
      <c r="AZ291" s="42"/>
      <c r="BB291" s="43">
        <v>2</v>
      </c>
      <c r="BC291" s="45"/>
      <c r="BD291" s="50"/>
      <c r="BE291" s="45"/>
      <c r="BF291" s="45"/>
      <c r="BG291" s="18"/>
      <c r="BH291" s="18">
        <v>17</v>
      </c>
      <c r="BI291" s="18">
        <v>26</v>
      </c>
      <c r="BJ291" s="18">
        <v>25</v>
      </c>
      <c r="BK291" s="18">
        <v>25</v>
      </c>
      <c r="BL291" s="18">
        <v>25</v>
      </c>
      <c r="BM291" s="55">
        <f>SUM(AV291:AX291)+SUM(BC291:BD291)+SUM(BE291:BF291)+BG291</f>
        <v>45</v>
      </c>
      <c r="BN291" s="55"/>
      <c r="BO291" s="55"/>
      <c r="BP291" s="55"/>
      <c r="BQ291" s="55"/>
      <c r="BR291" s="55"/>
      <c r="BS291" s="55"/>
      <c r="BT291" s="55"/>
      <c r="BU291" s="55"/>
      <c r="BV291" s="55"/>
      <c r="BW291" s="55"/>
      <c r="BX291" s="55"/>
      <c r="BY291" s="55"/>
    </row>
    <row r="292" spans="1:78" ht="25.5">
      <c r="A292" s="2" t="s">
        <v>800</v>
      </c>
      <c r="B292" s="89">
        <v>286</v>
      </c>
      <c r="C292" s="124">
        <v>201</v>
      </c>
      <c r="D292" s="124">
        <v>527</v>
      </c>
      <c r="E292" s="130">
        <v>0.7909722222222223</v>
      </c>
      <c r="F292" s="130">
        <v>0.72013888888888899</v>
      </c>
      <c r="G292" s="126" t="s">
        <v>538</v>
      </c>
      <c r="H292" s="93" t="s">
        <v>443</v>
      </c>
      <c r="I292" s="124">
        <v>15</v>
      </c>
      <c r="J292" s="127">
        <v>50</v>
      </c>
      <c r="K292" s="131">
        <v>47</v>
      </c>
      <c r="L292" s="99" t="s">
        <v>741</v>
      </c>
      <c r="M292" s="83" t="s">
        <v>970</v>
      </c>
      <c r="N292" s="83">
        <v>54</v>
      </c>
      <c r="O292" s="83" t="s">
        <v>797</v>
      </c>
      <c r="P292" s="83">
        <v>45</v>
      </c>
      <c r="Q292" s="83" t="s">
        <v>796</v>
      </c>
      <c r="R292" s="83">
        <v>37</v>
      </c>
      <c r="S292" s="26">
        <v>2290</v>
      </c>
      <c r="T292" s="26" t="s">
        <v>1457</v>
      </c>
      <c r="U292" s="26">
        <v>2180</v>
      </c>
      <c r="V292" s="26" t="s">
        <v>1456</v>
      </c>
      <c r="W292" s="63">
        <v>44816</v>
      </c>
      <c r="X292" s="63">
        <v>45100</v>
      </c>
      <c r="Y292" s="63"/>
      <c r="Z292" s="63"/>
      <c r="AA292" s="27" t="s">
        <v>1103</v>
      </c>
      <c r="AB292" s="23" t="s">
        <v>731</v>
      </c>
      <c r="AC292" s="23"/>
      <c r="AD292" s="23"/>
      <c r="AE292" s="23"/>
      <c r="AF292" s="23"/>
      <c r="AG292" s="23"/>
      <c r="AH292" s="23"/>
      <c r="AI292" s="23"/>
      <c r="AJ292" s="23"/>
      <c r="AK292" s="23"/>
      <c r="AL292" s="23" t="s">
        <v>731</v>
      </c>
      <c r="AM292" s="23"/>
      <c r="AN292" s="23"/>
      <c r="AO292" s="23"/>
      <c r="AP292" s="23"/>
      <c r="AQ292" s="23"/>
      <c r="AR292" s="23"/>
      <c r="AS292" s="23"/>
      <c r="AT292" s="23"/>
      <c r="AU292" s="23"/>
      <c r="AV292" s="42"/>
      <c r="AW292" s="18"/>
      <c r="AX292" s="41">
        <f>3*I292</f>
        <v>45</v>
      </c>
      <c r="AY292" s="42"/>
      <c r="AZ292" s="42"/>
      <c r="BB292" s="43">
        <v>2</v>
      </c>
      <c r="BC292" s="45"/>
      <c r="BD292" s="50"/>
      <c r="BE292" s="45"/>
      <c r="BF292" s="45"/>
      <c r="BG292" s="18"/>
      <c r="BH292" s="18">
        <v>2</v>
      </c>
      <c r="BI292" s="18">
        <v>5</v>
      </c>
      <c r="BJ292" s="18">
        <v>5</v>
      </c>
      <c r="BK292" s="18">
        <v>6</v>
      </c>
      <c r="BL292" s="18">
        <v>6</v>
      </c>
      <c r="BM292" s="55">
        <f>SUM(AV292:AX292)+SUM(BC292:BD292)+SUM(BE292:BF292)+BG292</f>
        <v>45</v>
      </c>
      <c r="BN292" s="55"/>
      <c r="BO292" s="55"/>
      <c r="BP292" s="55"/>
      <c r="BQ292" s="55"/>
      <c r="BR292" s="55"/>
      <c r="BS292" s="55"/>
      <c r="BT292" s="55"/>
      <c r="BU292" s="55"/>
      <c r="BV292" s="55"/>
      <c r="BW292" s="55"/>
      <c r="BX292" s="55"/>
      <c r="BY292" s="55"/>
    </row>
    <row r="293" spans="1:78" ht="25.5">
      <c r="A293" s="156" t="s">
        <v>2084</v>
      </c>
      <c r="B293" s="157">
        <v>287</v>
      </c>
      <c r="C293" s="158">
        <v>201</v>
      </c>
      <c r="D293" s="159">
        <v>438</v>
      </c>
      <c r="E293" s="160">
        <v>0.82986111111111116</v>
      </c>
      <c r="F293" s="160">
        <v>0.85277777777777775</v>
      </c>
      <c r="G293" s="158" t="s">
        <v>192</v>
      </c>
      <c r="H293" s="158" t="s">
        <v>203</v>
      </c>
      <c r="I293" s="161">
        <v>27</v>
      </c>
      <c r="J293" s="162" t="s">
        <v>93</v>
      </c>
      <c r="K293" s="163"/>
      <c r="L293" s="164" t="s">
        <v>2082</v>
      </c>
      <c r="M293" s="179"/>
      <c r="N293" s="179"/>
      <c r="O293" s="179"/>
      <c r="P293" s="179"/>
      <c r="Q293" s="179"/>
      <c r="R293" s="179"/>
      <c r="S293" s="170"/>
      <c r="T293" s="170"/>
      <c r="U293" s="170"/>
      <c r="V293" s="170"/>
      <c r="W293" s="165"/>
      <c r="X293" s="165"/>
      <c r="Y293" s="165"/>
      <c r="Z293" s="165"/>
      <c r="AA293" s="165"/>
      <c r="AB293" s="170"/>
      <c r="AC293" s="170"/>
      <c r="AD293" s="170"/>
      <c r="AE293" s="170"/>
      <c r="AF293" s="170"/>
      <c r="AG293" s="170"/>
      <c r="AH293" s="170"/>
      <c r="AI293" s="170"/>
      <c r="AJ293" s="170"/>
      <c r="AK293" s="170"/>
      <c r="AL293" s="170"/>
      <c r="AM293" s="170"/>
      <c r="AN293" s="170"/>
      <c r="AO293" s="170"/>
      <c r="AP293" s="170"/>
      <c r="AQ293" s="170"/>
      <c r="AR293" s="170"/>
      <c r="AS293" s="170"/>
      <c r="AT293" s="170"/>
      <c r="AU293" s="170"/>
      <c r="AV293" s="165"/>
      <c r="AW293" s="165"/>
      <c r="AX293" s="165"/>
      <c r="AY293" s="165"/>
      <c r="AZ293" s="165"/>
      <c r="BA293" s="165"/>
      <c r="BB293" s="165"/>
      <c r="BC293" s="165"/>
      <c r="BD293" s="165"/>
      <c r="BE293" s="165"/>
      <c r="BF293" s="165"/>
      <c r="BG293" s="165"/>
      <c r="BH293" s="166"/>
      <c r="BI293" s="166"/>
      <c r="BJ293" s="166"/>
      <c r="BK293" s="166"/>
      <c r="BL293" s="166"/>
      <c r="BM293" s="167"/>
      <c r="BN293" s="167"/>
      <c r="BO293" s="167"/>
      <c r="BP293" s="167"/>
      <c r="BQ293" s="167"/>
      <c r="BR293" s="167"/>
      <c r="BS293" s="167"/>
      <c r="BT293" s="167"/>
      <c r="BU293" s="167"/>
      <c r="BV293" s="167"/>
      <c r="BW293" s="167"/>
      <c r="BX293" s="167"/>
      <c r="BY293" s="167"/>
      <c r="BZ293" s="166"/>
    </row>
    <row r="294" spans="1:78" ht="25.5">
      <c r="B294" s="89">
        <v>288</v>
      </c>
      <c r="C294" s="101">
        <v>202</v>
      </c>
      <c r="D294" s="101">
        <v>306</v>
      </c>
      <c r="E294" s="102">
        <v>0.35416666666666669</v>
      </c>
      <c r="F294" s="102">
        <v>0.40625</v>
      </c>
      <c r="G294" s="103" t="s">
        <v>9</v>
      </c>
      <c r="H294" s="93" t="s">
        <v>549</v>
      </c>
      <c r="I294" s="101">
        <v>35</v>
      </c>
      <c r="J294" s="104">
        <v>30</v>
      </c>
      <c r="K294" s="98">
        <v>13</v>
      </c>
      <c r="L294" s="99" t="s">
        <v>723</v>
      </c>
      <c r="M294" s="83" t="s">
        <v>932</v>
      </c>
      <c r="N294" s="83">
        <v>37</v>
      </c>
      <c r="O294" s="83" t="s">
        <v>1045</v>
      </c>
      <c r="P294" s="83">
        <v>45</v>
      </c>
      <c r="Q294" s="83" t="s">
        <v>933</v>
      </c>
      <c r="R294" s="85">
        <v>21</v>
      </c>
      <c r="S294" s="26">
        <v>1</v>
      </c>
      <c r="T294" s="26" t="s">
        <v>1309</v>
      </c>
      <c r="U294" s="26">
        <v>2670</v>
      </c>
      <c r="V294" s="26" t="s">
        <v>1458</v>
      </c>
      <c r="W294" s="63">
        <v>44562</v>
      </c>
      <c r="X294" s="63">
        <v>44815</v>
      </c>
      <c r="Y294" s="63">
        <v>45101</v>
      </c>
      <c r="Z294" s="63">
        <v>45169</v>
      </c>
      <c r="AA294" s="17" t="s">
        <v>1104</v>
      </c>
      <c r="AB294" s="23"/>
      <c r="AC294" s="23" t="s">
        <v>731</v>
      </c>
      <c r="AD294" s="23"/>
      <c r="AE294" s="23"/>
      <c r="AF294" s="23"/>
      <c r="AG294" s="23"/>
      <c r="AH294" s="23"/>
      <c r="AI294" s="23"/>
      <c r="AJ294" s="23"/>
      <c r="AK294" s="23"/>
      <c r="AL294" s="23" t="s">
        <v>731</v>
      </c>
      <c r="AM294" s="23"/>
      <c r="AN294" s="23"/>
      <c r="AO294" s="23"/>
      <c r="AP294" s="23"/>
      <c r="AQ294" s="23"/>
      <c r="AR294" s="23"/>
      <c r="AS294" s="23"/>
      <c r="AT294" s="23"/>
      <c r="AU294" s="23"/>
      <c r="AW294" s="18"/>
      <c r="AY294" s="19" t="s">
        <v>1009</v>
      </c>
      <c r="AZ294" s="19"/>
      <c r="BB294" s="45">
        <v>1</v>
      </c>
      <c r="BD294" s="41"/>
      <c r="BG294" s="18"/>
      <c r="BH294" s="18">
        <v>2</v>
      </c>
      <c r="BI294" s="18">
        <v>0</v>
      </c>
      <c r="BJ294" s="18">
        <v>0</v>
      </c>
      <c r="BK294" s="18">
        <v>0</v>
      </c>
      <c r="BL294" s="18">
        <v>0</v>
      </c>
      <c r="BM294" s="55">
        <f>SUM(AV294:AX294)+SUM(BC294:BD294)+SUM(BE294:BF294)+BG294</f>
        <v>0</v>
      </c>
      <c r="BN294" s="55"/>
      <c r="BO294" s="55"/>
      <c r="BP294" s="55"/>
      <c r="BQ294" s="55"/>
      <c r="BR294" s="55"/>
      <c r="BS294" s="55"/>
      <c r="BT294" s="55"/>
      <c r="BU294" s="55"/>
      <c r="BV294" s="55"/>
      <c r="BW294" s="55"/>
      <c r="BX294" s="55"/>
      <c r="BY294" s="55"/>
    </row>
    <row r="295" spans="1:78" ht="25.5">
      <c r="B295" s="89">
        <v>289</v>
      </c>
      <c r="C295" s="132">
        <v>202</v>
      </c>
      <c r="D295" s="97">
        <v>210</v>
      </c>
      <c r="E295" s="94">
        <v>0.36458333333333331</v>
      </c>
      <c r="F295" s="94">
        <v>0.375</v>
      </c>
      <c r="G295" s="93" t="s">
        <v>497</v>
      </c>
      <c r="H295" s="93" t="s">
        <v>498</v>
      </c>
      <c r="I295" s="96">
        <v>10</v>
      </c>
      <c r="J295" s="97" t="s">
        <v>93</v>
      </c>
      <c r="K295" s="98">
        <v>33</v>
      </c>
      <c r="L295" s="133" t="s">
        <v>743</v>
      </c>
      <c r="M295" s="119" t="s">
        <v>914</v>
      </c>
      <c r="N295" s="87">
        <v>21</v>
      </c>
      <c r="O295" s="87" t="s">
        <v>913</v>
      </c>
      <c r="P295" s="87">
        <v>17</v>
      </c>
      <c r="R295" s="87"/>
      <c r="S295" s="26">
        <v>2049</v>
      </c>
      <c r="T295" s="26" t="s">
        <v>1459</v>
      </c>
      <c r="U295" s="26">
        <v>2670</v>
      </c>
      <c r="V295" s="26" t="s">
        <v>1458</v>
      </c>
      <c r="W295" s="63">
        <v>44562</v>
      </c>
      <c r="X295" s="63">
        <v>44815</v>
      </c>
      <c r="Y295" s="63">
        <v>45101</v>
      </c>
      <c r="Z295" s="63">
        <v>45169</v>
      </c>
      <c r="AA295" s="23" t="s">
        <v>1128</v>
      </c>
      <c r="AB295" s="23"/>
      <c r="AC295" s="23" t="s">
        <v>731</v>
      </c>
      <c r="AD295" s="23" t="s">
        <v>731</v>
      </c>
      <c r="AE295" s="23"/>
      <c r="AF295" s="23" t="s">
        <v>731</v>
      </c>
      <c r="AG295" s="23"/>
      <c r="AH295" s="23" t="s">
        <v>731</v>
      </c>
      <c r="AI295" s="23" t="s">
        <v>731</v>
      </c>
      <c r="AJ295" s="23"/>
      <c r="AK295" s="23"/>
      <c r="AL295" s="23"/>
      <c r="AM295" s="23"/>
      <c r="AN295" s="23"/>
      <c r="AO295" s="23"/>
      <c r="AP295" s="23"/>
      <c r="AQ295" s="23"/>
      <c r="AR295" s="23"/>
      <c r="AS295" s="23"/>
      <c r="AT295" s="23"/>
      <c r="AU295" s="23"/>
      <c r="AV295" s="42">
        <v>30</v>
      </c>
      <c r="AW295" s="18"/>
      <c r="AY295" s="42"/>
      <c r="AZ295" s="42"/>
      <c r="BB295" s="45">
        <v>1</v>
      </c>
      <c r="BC295" s="41">
        <f>IF(AND((AV295/I295)&lt;2,BB295=1),(I295*2)-AV295,0)</f>
        <v>0</v>
      </c>
      <c r="BD295" s="41">
        <f>IF(AND((AV295/I295)&lt;3,BB295=2),(I295*3)-AV295,0)</f>
        <v>0</v>
      </c>
      <c r="BG295" s="18"/>
      <c r="BH295" s="18">
        <v>4</v>
      </c>
      <c r="BI295" s="18">
        <v>0</v>
      </c>
      <c r="BJ295" s="18">
        <v>0</v>
      </c>
      <c r="BK295" s="18">
        <v>0</v>
      </c>
      <c r="BL295" s="18">
        <v>0</v>
      </c>
      <c r="BM295" s="55">
        <f>SUM(AV295:AX295)+SUM(BC295:BD295)+SUM(BE295:BF295)+BG295</f>
        <v>30</v>
      </c>
      <c r="BN295" s="55"/>
      <c r="BO295" s="55"/>
      <c r="BP295" s="55"/>
      <c r="BQ295" s="55"/>
      <c r="BR295" s="55"/>
      <c r="BS295" s="55"/>
      <c r="BT295" s="55"/>
      <c r="BU295" s="55"/>
      <c r="BV295" s="55"/>
      <c r="BW295" s="55"/>
      <c r="BX295" s="55"/>
      <c r="BY295" s="55"/>
    </row>
    <row r="296" spans="1:78" ht="25.5">
      <c r="B296" s="89">
        <v>290</v>
      </c>
      <c r="C296" s="132">
        <v>202</v>
      </c>
      <c r="D296" s="97">
        <v>211</v>
      </c>
      <c r="E296" s="94">
        <v>0.38541666666666669</v>
      </c>
      <c r="F296" s="94">
        <v>0.39583333333333331</v>
      </c>
      <c r="G296" s="93" t="s">
        <v>468</v>
      </c>
      <c r="H296" s="93" t="s">
        <v>498</v>
      </c>
      <c r="I296" s="96">
        <v>10</v>
      </c>
      <c r="J296" s="97" t="s">
        <v>93</v>
      </c>
      <c r="K296" s="98">
        <v>33</v>
      </c>
      <c r="L296" s="133" t="s">
        <v>743</v>
      </c>
      <c r="M296" s="119" t="s">
        <v>914</v>
      </c>
      <c r="N296" s="87">
        <v>21</v>
      </c>
      <c r="O296" s="87" t="s">
        <v>913</v>
      </c>
      <c r="P296" s="87">
        <v>17</v>
      </c>
      <c r="R296" s="87"/>
      <c r="S296" s="26">
        <v>2670</v>
      </c>
      <c r="T296" s="26" t="s">
        <v>1458</v>
      </c>
      <c r="U296" s="26">
        <v>2049</v>
      </c>
      <c r="V296" s="26" t="s">
        <v>1459</v>
      </c>
      <c r="W296" s="63">
        <v>44562</v>
      </c>
      <c r="X296" s="63">
        <v>44815</v>
      </c>
      <c r="Y296" s="63">
        <v>45101</v>
      </c>
      <c r="Z296" s="63">
        <v>45169</v>
      </c>
      <c r="AA296" s="23" t="s">
        <v>1128</v>
      </c>
      <c r="AB296" s="23"/>
      <c r="AC296" s="23" t="s">
        <v>731</v>
      </c>
      <c r="AD296" s="23" t="s">
        <v>731</v>
      </c>
      <c r="AE296" s="23"/>
      <c r="AF296" s="23" t="s">
        <v>731</v>
      </c>
      <c r="AG296" s="23"/>
      <c r="AH296" s="23" t="s">
        <v>731</v>
      </c>
      <c r="AI296" s="23" t="s">
        <v>731</v>
      </c>
      <c r="AJ296" s="23"/>
      <c r="AK296" s="23"/>
      <c r="AL296" s="23"/>
      <c r="AM296" s="23"/>
      <c r="AN296" s="23"/>
      <c r="AO296" s="23"/>
      <c r="AP296" s="23"/>
      <c r="AQ296" s="23"/>
      <c r="AR296" s="23"/>
      <c r="AS296" s="23"/>
      <c r="AT296" s="23"/>
      <c r="AU296" s="23"/>
      <c r="AV296" s="42">
        <v>30</v>
      </c>
      <c r="AW296" s="18"/>
      <c r="AY296" s="42"/>
      <c r="AZ296" s="42"/>
      <c r="BB296" s="45">
        <v>1</v>
      </c>
      <c r="BC296" s="41">
        <f>IF(AND((AV296/I296)&lt;2,BB296=1),(I296*2)-AV296,0)</f>
        <v>0</v>
      </c>
      <c r="BD296" s="41">
        <f>IF(AND((AV296/I296)&lt;3,BB296=2),(I296*3)-AV296,0)</f>
        <v>0</v>
      </c>
      <c r="BG296" s="18"/>
      <c r="BH296" s="18">
        <v>4</v>
      </c>
      <c r="BI296" s="18">
        <v>0</v>
      </c>
      <c r="BJ296" s="18">
        <v>0</v>
      </c>
      <c r="BK296" s="18">
        <v>0</v>
      </c>
      <c r="BL296" s="18">
        <v>0</v>
      </c>
      <c r="BM296" s="55">
        <f>SUM(AV296:AX296)+SUM(BC296:BD296)+SUM(BE296:BF296)+BG296</f>
        <v>30</v>
      </c>
      <c r="BN296" s="55"/>
      <c r="BO296" s="55"/>
      <c r="BP296" s="55"/>
      <c r="BQ296" s="55"/>
      <c r="BR296" s="55"/>
      <c r="BS296" s="55"/>
      <c r="BT296" s="55"/>
      <c r="BU296" s="55"/>
      <c r="BV296" s="55"/>
      <c r="BW296" s="55"/>
      <c r="BX296" s="55"/>
      <c r="BY296" s="55"/>
    </row>
    <row r="297" spans="1:78" ht="33.75">
      <c r="B297" s="89">
        <v>291</v>
      </c>
      <c r="C297" s="93">
        <v>202</v>
      </c>
      <c r="D297" s="95">
        <v>94</v>
      </c>
      <c r="E297" s="94">
        <v>0.42708333333333331</v>
      </c>
      <c r="F297" s="94">
        <v>0.43888888888888888</v>
      </c>
      <c r="G297" s="93" t="s">
        <v>226</v>
      </c>
      <c r="H297" s="93" t="s">
        <v>18</v>
      </c>
      <c r="I297" s="96">
        <v>6</v>
      </c>
      <c r="J297" s="97" t="s">
        <v>99</v>
      </c>
      <c r="K297" s="98">
        <v>304</v>
      </c>
      <c r="L297" s="99" t="s">
        <v>723</v>
      </c>
      <c r="M297" s="87" t="s">
        <v>935</v>
      </c>
      <c r="N297" s="87">
        <v>23</v>
      </c>
      <c r="O297" s="83" t="s">
        <v>1880</v>
      </c>
      <c r="P297" s="85">
        <v>23</v>
      </c>
      <c r="S297" s="26">
        <v>1</v>
      </c>
      <c r="T297" s="26" t="s">
        <v>1309</v>
      </c>
      <c r="U297" s="26" t="s">
        <v>1460</v>
      </c>
      <c r="V297" s="26" t="s">
        <v>1461</v>
      </c>
      <c r="W297" s="62">
        <v>44805</v>
      </c>
      <c r="X297" s="62">
        <v>45169</v>
      </c>
      <c r="Y297" s="62"/>
      <c r="Z297" s="62"/>
      <c r="AA297" s="23" t="s">
        <v>1113</v>
      </c>
      <c r="AB297" s="23" t="s">
        <v>731</v>
      </c>
      <c r="AC297" s="23" t="s">
        <v>731</v>
      </c>
      <c r="AD297" s="23" t="s">
        <v>731</v>
      </c>
      <c r="AE297" s="23"/>
      <c r="AF297" s="23" t="s">
        <v>731</v>
      </c>
      <c r="AG297" s="23" t="s">
        <v>731</v>
      </c>
      <c r="AH297" s="23" t="s">
        <v>731</v>
      </c>
      <c r="AI297" s="23" t="s">
        <v>731</v>
      </c>
      <c r="AJ297" s="23" t="s">
        <v>731</v>
      </c>
      <c r="AK297" s="23" t="s">
        <v>731</v>
      </c>
      <c r="AL297" s="23"/>
      <c r="AM297" s="23"/>
      <c r="AN297" s="23"/>
      <c r="AO297" s="23"/>
      <c r="AP297" s="23"/>
      <c r="AQ297" s="23"/>
      <c r="AR297" s="23"/>
      <c r="AS297" s="23"/>
      <c r="AT297" s="23"/>
      <c r="AU297" s="23"/>
      <c r="AV297" s="41">
        <v>20.64</v>
      </c>
      <c r="AW297" s="18"/>
      <c r="AY297" s="42"/>
      <c r="AZ297" s="42"/>
      <c r="BB297" s="45">
        <v>1</v>
      </c>
      <c r="BC297" s="41">
        <f>IF(AND((AV297/I297)&lt;2,BB297=1),(I297*2)-AV297,0)</f>
        <v>0</v>
      </c>
      <c r="BD297" s="41">
        <f>IF(AND((AV297/I297)&lt;3,BB297=2),(I297*3)-AV297,0)</f>
        <v>0</v>
      </c>
      <c r="BG297" s="18"/>
      <c r="BH297" s="18">
        <v>26</v>
      </c>
      <c r="BI297" s="18">
        <v>26</v>
      </c>
      <c r="BJ297" s="18">
        <v>25</v>
      </c>
      <c r="BK297" s="18">
        <v>25</v>
      </c>
      <c r="BL297" s="18">
        <v>25</v>
      </c>
      <c r="BM297" s="55">
        <f>SUM(AV297:AX297)+SUM(BC297:BD297)+SUM(BE297:BF297)+BG297</f>
        <v>20.64</v>
      </c>
      <c r="BN297" s="55"/>
      <c r="BO297" s="55"/>
      <c r="BP297" s="55"/>
      <c r="BQ297" s="55"/>
      <c r="BR297" s="55"/>
      <c r="BS297" s="55"/>
      <c r="BT297" s="55"/>
      <c r="BU297" s="55"/>
      <c r="BV297" s="55"/>
      <c r="BW297" s="55"/>
      <c r="BX297" s="55"/>
      <c r="BY297" s="55"/>
    </row>
    <row r="298" spans="1:78" ht="22.5">
      <c r="B298" s="89">
        <v>292</v>
      </c>
      <c r="C298" s="93">
        <v>202</v>
      </c>
      <c r="D298" s="95">
        <v>87</v>
      </c>
      <c r="E298" s="94">
        <v>0.44097222222222227</v>
      </c>
      <c r="F298" s="94">
        <v>0.45208333333333334</v>
      </c>
      <c r="G298" s="93" t="s">
        <v>225</v>
      </c>
      <c r="H298" s="93" t="s">
        <v>18</v>
      </c>
      <c r="I298" s="96">
        <v>6</v>
      </c>
      <c r="J298" s="97" t="s">
        <v>99</v>
      </c>
      <c r="K298" s="98">
        <v>304</v>
      </c>
      <c r="L298" s="99" t="s">
        <v>723</v>
      </c>
      <c r="M298" s="87" t="s">
        <v>935</v>
      </c>
      <c r="N298" s="87">
        <v>23</v>
      </c>
      <c r="O298" s="87" t="s">
        <v>1881</v>
      </c>
      <c r="P298" s="85">
        <v>23</v>
      </c>
      <c r="S298" s="26" t="s">
        <v>1460</v>
      </c>
      <c r="T298" s="26" t="s">
        <v>1461</v>
      </c>
      <c r="U298" s="26">
        <v>1</v>
      </c>
      <c r="V298" s="26" t="s">
        <v>1312</v>
      </c>
      <c r="W298" s="62">
        <v>44805</v>
      </c>
      <c r="X298" s="62">
        <v>45169</v>
      </c>
      <c r="Y298" s="62"/>
      <c r="Z298" s="62"/>
      <c r="AA298" s="23" t="s">
        <v>1113</v>
      </c>
      <c r="AB298" s="23" t="s">
        <v>731</v>
      </c>
      <c r="AC298" s="23" t="s">
        <v>731</v>
      </c>
      <c r="AD298" s="23" t="s">
        <v>731</v>
      </c>
      <c r="AE298" s="23"/>
      <c r="AF298" s="23" t="s">
        <v>731</v>
      </c>
      <c r="AG298" s="23" t="s">
        <v>731</v>
      </c>
      <c r="AH298" s="23" t="s">
        <v>731</v>
      </c>
      <c r="AI298" s="23" t="s">
        <v>731</v>
      </c>
      <c r="AJ298" s="23" t="s">
        <v>731</v>
      </c>
      <c r="AK298" s="23" t="s">
        <v>731</v>
      </c>
      <c r="AL298" s="23"/>
      <c r="AM298" s="23"/>
      <c r="AN298" s="23"/>
      <c r="AO298" s="23"/>
      <c r="AP298" s="23"/>
      <c r="AQ298" s="23"/>
      <c r="AR298" s="23"/>
      <c r="AS298" s="23"/>
      <c r="AT298" s="23"/>
      <c r="AU298" s="23"/>
      <c r="AV298" s="41">
        <v>20.64</v>
      </c>
      <c r="AW298" s="18"/>
      <c r="AY298" s="42"/>
      <c r="AZ298" s="42"/>
      <c r="BB298" s="45">
        <v>1</v>
      </c>
      <c r="BC298" s="41">
        <f>IF(AND((AV298/I298)&lt;2,BB298=1),(I298*2)-AV298,0)</f>
        <v>0</v>
      </c>
      <c r="BD298" s="41">
        <f>IF(AND((AV298/I298)&lt;3,BB298=2),(I298*3)-AV298,0)</f>
        <v>0</v>
      </c>
      <c r="BG298" s="18"/>
      <c r="BH298" s="18">
        <v>26</v>
      </c>
      <c r="BI298" s="18">
        <v>26</v>
      </c>
      <c r="BJ298" s="18">
        <v>25</v>
      </c>
      <c r="BK298" s="18">
        <v>25</v>
      </c>
      <c r="BL298" s="18">
        <v>25</v>
      </c>
      <c r="BM298" s="55">
        <f>SUM(AV298:AX298)+SUM(BC298:BD298)+SUM(BE298:BF298)+BG298</f>
        <v>20.64</v>
      </c>
      <c r="BN298" s="55"/>
      <c r="BO298" s="55"/>
      <c r="BP298" s="55"/>
      <c r="BQ298" s="55"/>
      <c r="BR298" s="55"/>
      <c r="BS298" s="55"/>
      <c r="BT298" s="55"/>
      <c r="BU298" s="55"/>
      <c r="BV298" s="55"/>
      <c r="BW298" s="55"/>
      <c r="BX298" s="55"/>
      <c r="BY298" s="55"/>
    </row>
    <row r="299" spans="1:78" ht="25.5">
      <c r="B299" s="89">
        <v>293</v>
      </c>
      <c r="C299" s="132">
        <v>202</v>
      </c>
      <c r="D299" s="97">
        <v>216</v>
      </c>
      <c r="E299" s="94">
        <v>0.48958333333333331</v>
      </c>
      <c r="F299" s="94">
        <v>0.5</v>
      </c>
      <c r="G299" s="93" t="s">
        <v>497</v>
      </c>
      <c r="H299" s="93" t="s">
        <v>498</v>
      </c>
      <c r="I299" s="96">
        <v>10</v>
      </c>
      <c r="J299" s="97" t="s">
        <v>93</v>
      </c>
      <c r="K299" s="98">
        <v>33</v>
      </c>
      <c r="L299" s="133" t="s">
        <v>743</v>
      </c>
      <c r="M299" s="119" t="s">
        <v>914</v>
      </c>
      <c r="N299" s="87">
        <v>21</v>
      </c>
      <c r="O299" s="87" t="s">
        <v>913</v>
      </c>
      <c r="P299" s="87">
        <v>17</v>
      </c>
      <c r="R299" s="87"/>
      <c r="S299" s="26">
        <v>2049</v>
      </c>
      <c r="T299" s="26" t="s">
        <v>1459</v>
      </c>
      <c r="U299" s="26">
        <v>2670</v>
      </c>
      <c r="V299" s="26" t="s">
        <v>1458</v>
      </c>
      <c r="W299" s="63">
        <v>44562</v>
      </c>
      <c r="X299" s="63">
        <v>44815</v>
      </c>
      <c r="Y299" s="63">
        <v>45101</v>
      </c>
      <c r="Z299" s="63">
        <v>45169</v>
      </c>
      <c r="AA299" s="23" t="s">
        <v>1128</v>
      </c>
      <c r="AB299" s="23"/>
      <c r="AC299" s="23" t="s">
        <v>731</v>
      </c>
      <c r="AD299" s="23" t="s">
        <v>731</v>
      </c>
      <c r="AE299" s="23"/>
      <c r="AF299" s="23" t="s">
        <v>731</v>
      </c>
      <c r="AG299" s="23"/>
      <c r="AH299" s="23" t="s">
        <v>731</v>
      </c>
      <c r="AI299" s="23" t="s">
        <v>731</v>
      </c>
      <c r="AJ299" s="23"/>
      <c r="AK299" s="23"/>
      <c r="AL299" s="23"/>
      <c r="AM299" s="23"/>
      <c r="AN299" s="23"/>
      <c r="AO299" s="23"/>
      <c r="AP299" s="23"/>
      <c r="AQ299" s="23"/>
      <c r="AR299" s="23"/>
      <c r="AS299" s="23"/>
      <c r="AT299" s="23"/>
      <c r="AU299" s="23"/>
      <c r="AV299" s="42">
        <v>30</v>
      </c>
      <c r="AW299" s="18"/>
      <c r="AY299" s="42"/>
      <c r="AZ299" s="42"/>
      <c r="BB299" s="45">
        <v>1</v>
      </c>
      <c r="BC299" s="41">
        <f>IF(AND((AV299/I299)&lt;2,BB299=1),(I299*2)-AV299,0)</f>
        <v>0</v>
      </c>
      <c r="BD299" s="41">
        <f>IF(AND((AV299/I299)&lt;3,BB299=2),(I299*3)-AV299,0)</f>
        <v>0</v>
      </c>
      <c r="BG299" s="18"/>
      <c r="BH299" s="18">
        <v>4</v>
      </c>
      <c r="BI299" s="18">
        <v>0</v>
      </c>
      <c r="BJ299" s="18">
        <v>0</v>
      </c>
      <c r="BK299" s="18">
        <v>0</v>
      </c>
      <c r="BL299" s="18">
        <v>0</v>
      </c>
      <c r="BM299" s="55">
        <f>SUM(AV299:AX299)+SUM(BC299:BD299)+SUM(BE299:BF299)+BG299</f>
        <v>30</v>
      </c>
      <c r="BN299" s="55"/>
      <c r="BO299" s="55"/>
      <c r="BP299" s="55"/>
      <c r="BQ299" s="55"/>
      <c r="BR299" s="55"/>
      <c r="BS299" s="55"/>
      <c r="BT299" s="55"/>
      <c r="BU299" s="55"/>
      <c r="BV299" s="55"/>
      <c r="BW299" s="55"/>
      <c r="BX299" s="55"/>
      <c r="BY299" s="55"/>
    </row>
    <row r="300" spans="1:78" ht="25.5">
      <c r="B300" s="89">
        <v>294</v>
      </c>
      <c r="C300" s="93">
        <v>202</v>
      </c>
      <c r="D300" s="93">
        <v>100</v>
      </c>
      <c r="E300" s="94">
        <v>0.54166666666666663</v>
      </c>
      <c r="F300" s="94">
        <v>0.57986111111111105</v>
      </c>
      <c r="G300" s="93" t="s">
        <v>512</v>
      </c>
      <c r="H300" s="93" t="s">
        <v>549</v>
      </c>
      <c r="I300" s="96">
        <v>24</v>
      </c>
      <c r="J300" s="97" t="s">
        <v>406</v>
      </c>
      <c r="K300" s="98">
        <v>13</v>
      </c>
      <c r="L300" s="99" t="s">
        <v>744</v>
      </c>
      <c r="M300" s="87" t="s">
        <v>848</v>
      </c>
      <c r="N300" s="87">
        <v>42</v>
      </c>
      <c r="O300" s="83" t="s">
        <v>1924</v>
      </c>
      <c r="P300" s="87">
        <v>45</v>
      </c>
      <c r="Q300" s="83" t="s">
        <v>1217</v>
      </c>
      <c r="R300" s="85">
        <v>48</v>
      </c>
      <c r="S300" s="26">
        <v>1</v>
      </c>
      <c r="T300" s="26" t="s">
        <v>1309</v>
      </c>
      <c r="U300" s="26">
        <v>2660</v>
      </c>
      <c r="V300" s="26" t="s">
        <v>1325</v>
      </c>
      <c r="W300" s="63">
        <v>44562</v>
      </c>
      <c r="X300" s="63">
        <v>44815</v>
      </c>
      <c r="Y300" s="63">
        <v>45101</v>
      </c>
      <c r="Z300" s="63">
        <v>45169</v>
      </c>
      <c r="AA300" s="17" t="s">
        <v>1104</v>
      </c>
      <c r="AB300" s="23"/>
      <c r="AC300" s="23" t="s">
        <v>731</v>
      </c>
      <c r="AD300" s="23"/>
      <c r="AE300" s="23"/>
      <c r="AF300" s="23"/>
      <c r="AG300" s="23"/>
      <c r="AH300" s="23"/>
      <c r="AI300" s="23"/>
      <c r="AJ300" s="23"/>
      <c r="AK300" s="23"/>
      <c r="AL300" s="23" t="s">
        <v>731</v>
      </c>
      <c r="AM300" s="23"/>
      <c r="AN300" s="23"/>
      <c r="AO300" s="23"/>
      <c r="AP300" s="23"/>
      <c r="AQ300" s="23"/>
      <c r="AR300" s="23"/>
      <c r="AS300" s="23"/>
      <c r="AT300" s="23"/>
      <c r="AU300" s="23"/>
      <c r="AV300" s="42">
        <v>72</v>
      </c>
      <c r="AW300" s="18"/>
      <c r="AY300" s="42"/>
      <c r="AZ300" s="42"/>
      <c r="BB300" s="43">
        <v>2</v>
      </c>
      <c r="BC300" s="41">
        <f>IF(AND((AV300/I300)&lt;2,BB300=1),(I300*2)-AV300,0)</f>
        <v>0</v>
      </c>
      <c r="BD300" s="41">
        <f>IF(AND((AV300/I300)&lt;3,BB300=2),(I300*3)-AV300,0)</f>
        <v>0</v>
      </c>
      <c r="BG300" s="18"/>
      <c r="BH300" s="18">
        <v>2</v>
      </c>
      <c r="BI300" s="18">
        <v>0</v>
      </c>
      <c r="BJ300" s="18">
        <v>0</v>
      </c>
      <c r="BK300" s="18">
        <v>0</v>
      </c>
      <c r="BL300" s="18">
        <v>0</v>
      </c>
      <c r="BM300" s="55">
        <f>SUM(AV300:AX300)+SUM(BC300:BD300)+SUM(BE300:BF300)+BG300</f>
        <v>72</v>
      </c>
      <c r="BN300" s="55"/>
      <c r="BO300" s="55"/>
      <c r="BP300" s="55"/>
      <c r="BQ300" s="55"/>
      <c r="BR300" s="55"/>
      <c r="BS300" s="55"/>
      <c r="BT300" s="55"/>
      <c r="BU300" s="55"/>
      <c r="BV300" s="55"/>
      <c r="BW300" s="55"/>
      <c r="BX300" s="55"/>
      <c r="BY300" s="55"/>
    </row>
    <row r="301" spans="1:78" ht="25.5">
      <c r="B301" s="89">
        <v>295</v>
      </c>
      <c r="C301" s="101">
        <v>202</v>
      </c>
      <c r="D301" s="101">
        <v>93</v>
      </c>
      <c r="E301" s="102">
        <v>0.55208333333333337</v>
      </c>
      <c r="F301" s="102">
        <v>0.59027777777777779</v>
      </c>
      <c r="G301" s="103" t="s">
        <v>6</v>
      </c>
      <c r="H301" s="93" t="s">
        <v>549</v>
      </c>
      <c r="I301" s="101">
        <v>24</v>
      </c>
      <c r="J301" s="104">
        <v>30</v>
      </c>
      <c r="K301" s="98">
        <v>13</v>
      </c>
      <c r="L301" s="99" t="s">
        <v>723</v>
      </c>
      <c r="M301" s="83" t="s">
        <v>932</v>
      </c>
      <c r="N301" s="83">
        <v>37</v>
      </c>
      <c r="O301" s="83" t="s">
        <v>931</v>
      </c>
      <c r="P301" s="83">
        <v>23</v>
      </c>
      <c r="Q301" s="190" t="s">
        <v>1997</v>
      </c>
      <c r="R301" s="191">
        <v>45</v>
      </c>
      <c r="S301" s="26">
        <v>2660</v>
      </c>
      <c r="T301" s="26" t="s">
        <v>1325</v>
      </c>
      <c r="U301" s="26">
        <v>1</v>
      </c>
      <c r="V301" s="26" t="s">
        <v>1312</v>
      </c>
      <c r="W301" s="63">
        <v>44562</v>
      </c>
      <c r="X301" s="63">
        <v>44815</v>
      </c>
      <c r="Y301" s="63">
        <v>45101</v>
      </c>
      <c r="Z301" s="63">
        <v>45169</v>
      </c>
      <c r="AA301" s="17" t="s">
        <v>1104</v>
      </c>
      <c r="AB301" s="23"/>
      <c r="AC301" s="23" t="s">
        <v>731</v>
      </c>
      <c r="AD301" s="23"/>
      <c r="AE301" s="23"/>
      <c r="AF301" s="23"/>
      <c r="AG301" s="23"/>
      <c r="AH301" s="23"/>
      <c r="AI301" s="23"/>
      <c r="AJ301" s="23"/>
      <c r="AK301" s="23"/>
      <c r="AL301" s="23" t="s">
        <v>731</v>
      </c>
      <c r="AM301" s="23"/>
      <c r="AN301" s="23"/>
      <c r="AO301" s="23"/>
      <c r="AP301" s="23"/>
      <c r="AQ301" s="23"/>
      <c r="AR301" s="23"/>
      <c r="AS301" s="23"/>
      <c r="AT301" s="23"/>
      <c r="AU301" s="23"/>
      <c r="AW301" s="18"/>
      <c r="AY301" s="19" t="s">
        <v>1009</v>
      </c>
      <c r="AZ301" s="19"/>
      <c r="BB301" s="45">
        <v>1</v>
      </c>
      <c r="BD301" s="41"/>
      <c r="BG301" s="18"/>
      <c r="BH301" s="18">
        <v>2</v>
      </c>
      <c r="BI301" s="18">
        <v>0</v>
      </c>
      <c r="BJ301" s="18">
        <v>0</v>
      </c>
      <c r="BK301" s="18">
        <v>0</v>
      </c>
      <c r="BL301" s="18">
        <v>0</v>
      </c>
      <c r="BM301" s="55">
        <f>SUM(AV301:AX301)+SUM(BC301:BD301)+SUM(BE301:BF301)+BG301</f>
        <v>0</v>
      </c>
      <c r="BN301" s="55"/>
      <c r="BO301" s="55"/>
      <c r="BP301" s="55"/>
      <c r="BQ301" s="55"/>
      <c r="BR301" s="55"/>
      <c r="BS301" s="55"/>
      <c r="BT301" s="55"/>
      <c r="BU301" s="55"/>
      <c r="BV301" s="55"/>
      <c r="BW301" s="55"/>
      <c r="BX301" s="55"/>
      <c r="BY301" s="55"/>
    </row>
    <row r="302" spans="1:78" ht="25.5">
      <c r="B302" s="89">
        <v>296</v>
      </c>
      <c r="C302" s="101">
        <v>202</v>
      </c>
      <c r="D302" s="101">
        <v>548</v>
      </c>
      <c r="E302" s="102">
        <v>0.70833333333333337</v>
      </c>
      <c r="F302" s="102">
        <v>0.76041666666666663</v>
      </c>
      <c r="G302" s="103" t="s">
        <v>9</v>
      </c>
      <c r="H302" s="93" t="s">
        <v>549</v>
      </c>
      <c r="I302" s="101">
        <v>35</v>
      </c>
      <c r="J302" s="104">
        <v>30</v>
      </c>
      <c r="K302" s="98">
        <v>13</v>
      </c>
      <c r="L302" s="99" t="s">
        <v>723</v>
      </c>
      <c r="M302" s="83" t="s">
        <v>932</v>
      </c>
      <c r="N302" s="83">
        <v>37</v>
      </c>
      <c r="O302" s="83" t="s">
        <v>931</v>
      </c>
      <c r="P302" s="83">
        <v>23</v>
      </c>
      <c r="Q302" s="190" t="s">
        <v>1997</v>
      </c>
      <c r="R302" s="191">
        <v>45</v>
      </c>
      <c r="S302" s="26">
        <v>1</v>
      </c>
      <c r="T302" s="26" t="s">
        <v>1309</v>
      </c>
      <c r="U302" s="26">
        <v>2670</v>
      </c>
      <c r="V302" s="26" t="s">
        <v>1458</v>
      </c>
      <c r="W302" s="63">
        <v>44562</v>
      </c>
      <c r="X302" s="63">
        <v>44815</v>
      </c>
      <c r="Y302" s="63">
        <v>45101</v>
      </c>
      <c r="Z302" s="63">
        <v>45169</v>
      </c>
      <c r="AA302" s="17" t="s">
        <v>1104</v>
      </c>
      <c r="AB302" s="23"/>
      <c r="AC302" s="23" t="s">
        <v>731</v>
      </c>
      <c r="AD302" s="23"/>
      <c r="AE302" s="23"/>
      <c r="AF302" s="23"/>
      <c r="AG302" s="23"/>
      <c r="AH302" s="23"/>
      <c r="AI302" s="23"/>
      <c r="AJ302" s="23"/>
      <c r="AK302" s="23"/>
      <c r="AL302" s="23" t="s">
        <v>731</v>
      </c>
      <c r="AM302" s="23"/>
      <c r="AN302" s="23"/>
      <c r="AO302" s="23"/>
      <c r="AP302" s="23"/>
      <c r="AQ302" s="23"/>
      <c r="AR302" s="23"/>
      <c r="AS302" s="23"/>
      <c r="AT302" s="23"/>
      <c r="AU302" s="23"/>
      <c r="AW302" s="18"/>
      <c r="AY302" s="19" t="s">
        <v>1009</v>
      </c>
      <c r="AZ302" s="19"/>
      <c r="BB302" s="45">
        <v>1</v>
      </c>
      <c r="BD302" s="41"/>
      <c r="BG302" s="18"/>
      <c r="BH302" s="18">
        <v>2</v>
      </c>
      <c r="BI302" s="18">
        <v>0</v>
      </c>
      <c r="BJ302" s="18">
        <v>0</v>
      </c>
      <c r="BK302" s="18">
        <v>0</v>
      </c>
      <c r="BL302" s="18">
        <v>0</v>
      </c>
      <c r="BM302" s="55">
        <f>SUM(AV302:AX302)+SUM(BC302:BD302)+SUM(BE302:BF302)+BG302</f>
        <v>0</v>
      </c>
      <c r="BN302" s="55"/>
      <c r="BO302" s="55"/>
      <c r="BP302" s="55"/>
      <c r="BQ302" s="55"/>
      <c r="BR302" s="55"/>
      <c r="BS302" s="55"/>
      <c r="BT302" s="55"/>
      <c r="BU302" s="55"/>
      <c r="BV302" s="55"/>
      <c r="BW302" s="55"/>
      <c r="BX302" s="55"/>
      <c r="BY302" s="55"/>
    </row>
    <row r="303" spans="1:78" ht="25.5">
      <c r="B303" s="89">
        <v>297</v>
      </c>
      <c r="C303" s="132">
        <v>202</v>
      </c>
      <c r="D303" s="97">
        <v>212</v>
      </c>
      <c r="E303" s="94">
        <v>0.71875</v>
      </c>
      <c r="F303" s="94">
        <v>0.72916666666666663</v>
      </c>
      <c r="G303" s="93" t="s">
        <v>497</v>
      </c>
      <c r="H303" s="93" t="s">
        <v>498</v>
      </c>
      <c r="I303" s="96">
        <v>10</v>
      </c>
      <c r="J303" s="97" t="s">
        <v>93</v>
      </c>
      <c r="K303" s="98">
        <v>33</v>
      </c>
      <c r="L303" s="133" t="s">
        <v>743</v>
      </c>
      <c r="M303" s="119" t="s">
        <v>914</v>
      </c>
      <c r="N303" s="87">
        <v>21</v>
      </c>
      <c r="O303" s="87" t="s">
        <v>913</v>
      </c>
      <c r="P303" s="87">
        <v>17</v>
      </c>
      <c r="R303" s="87"/>
      <c r="S303" s="26">
        <v>2049</v>
      </c>
      <c r="T303" s="26" t="s">
        <v>1459</v>
      </c>
      <c r="U303" s="26">
        <v>2670</v>
      </c>
      <c r="V303" s="26" t="s">
        <v>1458</v>
      </c>
      <c r="W303" s="63">
        <v>44562</v>
      </c>
      <c r="X303" s="63">
        <v>44815</v>
      </c>
      <c r="Y303" s="63">
        <v>45101</v>
      </c>
      <c r="Z303" s="63">
        <v>45169</v>
      </c>
      <c r="AA303" s="23" t="s">
        <v>1128</v>
      </c>
      <c r="AB303" s="23"/>
      <c r="AC303" s="23" t="s">
        <v>731</v>
      </c>
      <c r="AD303" s="23" t="s">
        <v>731</v>
      </c>
      <c r="AE303" s="23"/>
      <c r="AF303" s="23" t="s">
        <v>731</v>
      </c>
      <c r="AG303" s="23"/>
      <c r="AH303" s="23" t="s">
        <v>731</v>
      </c>
      <c r="AI303" s="23" t="s">
        <v>731</v>
      </c>
      <c r="AJ303" s="23"/>
      <c r="AK303" s="23"/>
      <c r="AL303" s="23"/>
      <c r="AM303" s="23"/>
      <c r="AN303" s="23"/>
      <c r="AO303" s="23"/>
      <c r="AP303" s="23"/>
      <c r="AQ303" s="23"/>
      <c r="AR303" s="23"/>
      <c r="AS303" s="23"/>
      <c r="AT303" s="23"/>
      <c r="AU303" s="23"/>
      <c r="AV303" s="42">
        <v>30</v>
      </c>
      <c r="AW303" s="18"/>
      <c r="AY303" s="42"/>
      <c r="AZ303" s="42"/>
      <c r="BB303" s="45">
        <v>1</v>
      </c>
      <c r="BC303" s="41">
        <f>IF(AND((AV303/I303)&lt;2,BB303=1),(I303*2)-AV303,0)</f>
        <v>0</v>
      </c>
      <c r="BD303" s="41">
        <f>IF(AND((AV303/I303)&lt;3,BB303=2),(I303*3)-AV303,0)</f>
        <v>0</v>
      </c>
      <c r="BG303" s="18"/>
      <c r="BH303" s="18">
        <v>4</v>
      </c>
      <c r="BI303" s="18">
        <v>0</v>
      </c>
      <c r="BJ303" s="18">
        <v>0</v>
      </c>
      <c r="BK303" s="18">
        <v>0</v>
      </c>
      <c r="BL303" s="18">
        <v>0</v>
      </c>
      <c r="BM303" s="55">
        <f>SUM(AV303:AX303)+SUM(BC303:BD303)+SUM(BE303:BF303)+BG303</f>
        <v>30</v>
      </c>
      <c r="BN303" s="55"/>
      <c r="BO303" s="55"/>
      <c r="BP303" s="55"/>
      <c r="BQ303" s="55"/>
      <c r="BR303" s="55"/>
      <c r="BS303" s="55"/>
      <c r="BT303" s="55"/>
      <c r="BU303" s="55"/>
      <c r="BV303" s="55"/>
      <c r="BW303" s="55"/>
      <c r="BX303" s="55"/>
      <c r="BY303" s="55"/>
    </row>
    <row r="304" spans="1:78" ht="25.5">
      <c r="B304" s="89">
        <v>298</v>
      </c>
      <c r="C304" s="93">
        <v>202</v>
      </c>
      <c r="D304" s="93">
        <v>97</v>
      </c>
      <c r="E304" s="94">
        <v>0.72569444444444453</v>
      </c>
      <c r="F304" s="105">
        <v>0.76388888888888884</v>
      </c>
      <c r="G304" s="93" t="s">
        <v>513</v>
      </c>
      <c r="H304" s="93" t="s">
        <v>549</v>
      </c>
      <c r="I304" s="96">
        <v>24</v>
      </c>
      <c r="J304" s="97" t="s">
        <v>406</v>
      </c>
      <c r="K304" s="98">
        <v>13</v>
      </c>
      <c r="L304" s="99" t="s">
        <v>744</v>
      </c>
      <c r="M304" s="87" t="s">
        <v>848</v>
      </c>
      <c r="N304" s="87">
        <v>42</v>
      </c>
      <c r="O304" s="83" t="s">
        <v>1924</v>
      </c>
      <c r="P304" s="87">
        <v>45</v>
      </c>
      <c r="Q304" s="83" t="s">
        <v>1217</v>
      </c>
      <c r="R304" s="85">
        <v>48</v>
      </c>
      <c r="S304" s="26">
        <v>2660</v>
      </c>
      <c r="T304" s="26" t="s">
        <v>1325</v>
      </c>
      <c r="U304" s="26">
        <v>1</v>
      </c>
      <c r="V304" s="26" t="s">
        <v>1312</v>
      </c>
      <c r="W304" s="63">
        <v>44562</v>
      </c>
      <c r="X304" s="63">
        <v>44815</v>
      </c>
      <c r="Y304" s="63">
        <v>45101</v>
      </c>
      <c r="Z304" s="63">
        <v>45169</v>
      </c>
      <c r="AA304" s="17" t="s">
        <v>1104</v>
      </c>
      <c r="AB304" s="23"/>
      <c r="AC304" s="23" t="s">
        <v>731</v>
      </c>
      <c r="AD304" s="23"/>
      <c r="AE304" s="23"/>
      <c r="AF304" s="23"/>
      <c r="AG304" s="23"/>
      <c r="AH304" s="23"/>
      <c r="AI304" s="23"/>
      <c r="AJ304" s="23"/>
      <c r="AK304" s="23"/>
      <c r="AL304" s="23" t="s">
        <v>731</v>
      </c>
      <c r="AM304" s="23"/>
      <c r="AN304" s="23"/>
      <c r="AO304" s="23"/>
      <c r="AP304" s="23"/>
      <c r="AQ304" s="23"/>
      <c r="AR304" s="23"/>
      <c r="AS304" s="23"/>
      <c r="AT304" s="23"/>
      <c r="AU304" s="23"/>
      <c r="AV304" s="42">
        <v>72</v>
      </c>
      <c r="AW304" s="18"/>
      <c r="AY304" s="42"/>
      <c r="AZ304" s="42"/>
      <c r="BB304" s="43">
        <v>2</v>
      </c>
      <c r="BC304" s="41">
        <f>IF(AND((AV304/I304)&lt;2,BB304=1),(I304*2)-AV304,0)</f>
        <v>0</v>
      </c>
      <c r="BD304" s="41">
        <f>IF(AND((AV304/I304)&lt;3,BB304=2),(I304*3)-AV304,0)</f>
        <v>0</v>
      </c>
      <c r="BG304" s="18"/>
      <c r="BH304" s="18">
        <v>2</v>
      </c>
      <c r="BI304" s="18">
        <v>0</v>
      </c>
      <c r="BJ304" s="18">
        <v>0</v>
      </c>
      <c r="BK304" s="18">
        <v>0</v>
      </c>
      <c r="BL304" s="18">
        <v>0</v>
      </c>
      <c r="BM304" s="55">
        <f>SUM(AV304:AX304)+SUM(BC304:BD304)+SUM(BE304:BF304)+BG304</f>
        <v>72</v>
      </c>
      <c r="BN304" s="55"/>
      <c r="BO304" s="55"/>
      <c r="BP304" s="55"/>
      <c r="BQ304" s="55"/>
      <c r="BR304" s="55"/>
      <c r="BS304" s="55"/>
      <c r="BT304" s="55"/>
      <c r="BU304" s="55"/>
      <c r="BV304" s="55"/>
      <c r="BW304" s="55"/>
      <c r="BX304" s="55"/>
      <c r="BY304" s="55"/>
    </row>
    <row r="305" spans="1:78" ht="25.5">
      <c r="B305" s="89">
        <v>299</v>
      </c>
      <c r="C305" s="132">
        <v>202</v>
      </c>
      <c r="D305" s="97">
        <v>213</v>
      </c>
      <c r="E305" s="94">
        <v>0.74305555555555547</v>
      </c>
      <c r="F305" s="94">
        <v>0.76041666666666663</v>
      </c>
      <c r="G305" s="93" t="s">
        <v>499</v>
      </c>
      <c r="H305" s="93" t="s">
        <v>498</v>
      </c>
      <c r="I305" s="96">
        <v>17.5</v>
      </c>
      <c r="J305" s="97" t="s">
        <v>93</v>
      </c>
      <c r="K305" s="98">
        <v>33</v>
      </c>
      <c r="L305" s="133" t="s">
        <v>743</v>
      </c>
      <c r="M305" s="119" t="s">
        <v>914</v>
      </c>
      <c r="N305" s="87">
        <v>21</v>
      </c>
      <c r="O305" s="83" t="s">
        <v>913</v>
      </c>
      <c r="P305" s="83">
        <v>17</v>
      </c>
      <c r="R305" s="87"/>
      <c r="S305" s="26">
        <v>2670</v>
      </c>
      <c r="T305" s="26" t="s">
        <v>1458</v>
      </c>
      <c r="U305" s="26" t="s">
        <v>1329</v>
      </c>
      <c r="V305" s="26" t="s">
        <v>1330</v>
      </c>
      <c r="W305" s="63">
        <v>44562</v>
      </c>
      <c r="X305" s="63">
        <v>44815</v>
      </c>
      <c r="Y305" s="63">
        <v>45101</v>
      </c>
      <c r="Z305" s="63">
        <v>45169</v>
      </c>
      <c r="AA305" s="23" t="s">
        <v>1128</v>
      </c>
      <c r="AB305" s="23"/>
      <c r="AC305" s="23" t="s">
        <v>731</v>
      </c>
      <c r="AD305" s="23" t="s">
        <v>731</v>
      </c>
      <c r="AE305" s="23"/>
      <c r="AF305" s="23" t="s">
        <v>731</v>
      </c>
      <c r="AG305" s="23"/>
      <c r="AH305" s="23" t="s">
        <v>731</v>
      </c>
      <c r="AI305" s="23" t="s">
        <v>731</v>
      </c>
      <c r="AJ305" s="23"/>
      <c r="AK305" s="23"/>
      <c r="AL305" s="23"/>
      <c r="AM305" s="23"/>
      <c r="AN305" s="23"/>
      <c r="AO305" s="23"/>
      <c r="AP305" s="23"/>
      <c r="AQ305" s="23"/>
      <c r="AR305" s="23"/>
      <c r="AS305" s="23"/>
      <c r="AT305" s="23"/>
      <c r="AU305" s="23"/>
      <c r="AV305" s="42">
        <v>52.5</v>
      </c>
      <c r="AW305" s="18"/>
      <c r="AY305" s="42"/>
      <c r="AZ305" s="42"/>
      <c r="BB305" s="45">
        <v>1</v>
      </c>
      <c r="BC305" s="41">
        <f>IF(AND((AV305/I305)&lt;2,BB305=1),(I305*2)-AV305,0)</f>
        <v>0</v>
      </c>
      <c r="BD305" s="41">
        <f>IF(AND((AV305/I305)&lt;3,BB305=2),(I305*3)-AV305,0)</f>
        <v>0</v>
      </c>
      <c r="BG305" s="18"/>
      <c r="BH305" s="18">
        <v>4</v>
      </c>
      <c r="BI305" s="18">
        <v>0</v>
      </c>
      <c r="BJ305" s="18">
        <v>0</v>
      </c>
      <c r="BK305" s="18">
        <v>0</v>
      </c>
      <c r="BL305" s="18">
        <v>0</v>
      </c>
      <c r="BM305" s="55">
        <f>SUM(AV305:AX305)+SUM(BC305:BD305)+SUM(BE305:BF305)+BG305</f>
        <v>52.5</v>
      </c>
      <c r="BN305" s="55"/>
      <c r="BO305" s="55"/>
      <c r="BP305" s="55"/>
      <c r="BQ305" s="55"/>
      <c r="BR305" s="55"/>
      <c r="BS305" s="55"/>
      <c r="BT305" s="55"/>
      <c r="BU305" s="55"/>
      <c r="BV305" s="55"/>
      <c r="BW305" s="55"/>
      <c r="BX305" s="55"/>
      <c r="BY305" s="55"/>
    </row>
    <row r="306" spans="1:78" ht="22.5">
      <c r="B306" s="89">
        <v>300</v>
      </c>
      <c r="C306" s="101">
        <v>202</v>
      </c>
      <c r="D306" s="101">
        <v>104</v>
      </c>
      <c r="E306" s="102">
        <v>0.75</v>
      </c>
      <c r="F306" s="102">
        <v>0.78819444444444453</v>
      </c>
      <c r="G306" s="103" t="s">
        <v>7</v>
      </c>
      <c r="H306" s="103" t="s">
        <v>1</v>
      </c>
      <c r="I306" s="101">
        <v>24</v>
      </c>
      <c r="J306" s="104">
        <v>40</v>
      </c>
      <c r="K306" s="98">
        <v>67</v>
      </c>
      <c r="L306" s="99" t="s">
        <v>723</v>
      </c>
      <c r="M306" s="83" t="s">
        <v>1045</v>
      </c>
      <c r="N306" s="83">
        <v>45</v>
      </c>
      <c r="O306" s="83" t="s">
        <v>936</v>
      </c>
      <c r="P306" s="83">
        <v>48</v>
      </c>
      <c r="Q306" s="190" t="s">
        <v>1997</v>
      </c>
      <c r="R306" s="191">
        <v>45</v>
      </c>
      <c r="S306" s="26">
        <v>1</v>
      </c>
      <c r="T306" s="26" t="s">
        <v>1309</v>
      </c>
      <c r="U306" s="26">
        <v>2660</v>
      </c>
      <c r="V306" s="26" t="s">
        <v>1325</v>
      </c>
      <c r="W306" s="63">
        <v>44562</v>
      </c>
      <c r="X306" s="63">
        <v>44815</v>
      </c>
      <c r="Y306" s="63">
        <v>45101</v>
      </c>
      <c r="Z306" s="63">
        <v>45169</v>
      </c>
      <c r="AA306" s="23" t="s">
        <v>1107</v>
      </c>
      <c r="AB306" s="23"/>
      <c r="AC306" s="23" t="s">
        <v>731</v>
      </c>
      <c r="AD306" s="23" t="s">
        <v>731</v>
      </c>
      <c r="AE306" s="23"/>
      <c r="AF306" s="23" t="s">
        <v>731</v>
      </c>
      <c r="AG306" s="23" t="s">
        <v>731</v>
      </c>
      <c r="AH306" s="23" t="s">
        <v>731</v>
      </c>
      <c r="AI306" s="23" t="s">
        <v>731</v>
      </c>
      <c r="AJ306" s="23" t="s">
        <v>731</v>
      </c>
      <c r="AK306" s="23" t="s">
        <v>731</v>
      </c>
      <c r="AL306" s="23"/>
      <c r="AM306" s="23"/>
      <c r="AN306" s="23"/>
      <c r="AO306" s="23"/>
      <c r="AP306" s="23"/>
      <c r="AQ306" s="23"/>
      <c r="AR306" s="23"/>
      <c r="AS306" s="23"/>
      <c r="AT306" s="23"/>
      <c r="AU306" s="23"/>
      <c r="AW306" s="18"/>
      <c r="AY306" s="19" t="s">
        <v>1010</v>
      </c>
      <c r="AZ306" s="19"/>
      <c r="BB306" s="43">
        <v>2</v>
      </c>
      <c r="BD306" s="41"/>
      <c r="BG306" s="18"/>
      <c r="BH306" s="18">
        <v>9</v>
      </c>
      <c r="BI306" s="18">
        <v>0</v>
      </c>
      <c r="BJ306" s="18">
        <v>0</v>
      </c>
      <c r="BK306" s="18">
        <v>0</v>
      </c>
      <c r="BL306" s="18">
        <v>0</v>
      </c>
      <c r="BM306" s="55">
        <f>SUM(AV306:AX306)+SUM(BC306:BD306)+SUM(BE306:BF306)+BG306</f>
        <v>0</v>
      </c>
      <c r="BN306" s="55" t="s">
        <v>1107</v>
      </c>
      <c r="BO306" s="77">
        <v>9</v>
      </c>
      <c r="BP306" s="77"/>
      <c r="BQ306" s="77">
        <v>0</v>
      </c>
      <c r="BR306" s="77"/>
      <c r="BS306" s="77">
        <v>0</v>
      </c>
      <c r="BT306" s="77"/>
      <c r="BU306" s="77">
        <v>0</v>
      </c>
      <c r="BV306" s="77"/>
      <c r="BW306" s="77">
        <v>0</v>
      </c>
      <c r="BX306" s="77"/>
      <c r="BY306" s="55">
        <v>220</v>
      </c>
    </row>
    <row r="307" spans="1:78" ht="25.5">
      <c r="B307" s="89">
        <v>301</v>
      </c>
      <c r="C307" s="101">
        <v>202</v>
      </c>
      <c r="D307" s="101">
        <v>104</v>
      </c>
      <c r="E307" s="102">
        <v>0.75</v>
      </c>
      <c r="F307" s="102">
        <v>0.78819444444444453</v>
      </c>
      <c r="G307" s="103" t="s">
        <v>7</v>
      </c>
      <c r="H307" s="93" t="s">
        <v>478</v>
      </c>
      <c r="I307" s="101">
        <v>24</v>
      </c>
      <c r="J307" s="104">
        <v>50</v>
      </c>
      <c r="K307" s="98">
        <v>240</v>
      </c>
      <c r="L307" s="99" t="s">
        <v>723</v>
      </c>
      <c r="M307" s="83" t="s">
        <v>1045</v>
      </c>
      <c r="N307" s="83">
        <v>45</v>
      </c>
      <c r="O307" s="83" t="s">
        <v>936</v>
      </c>
      <c r="P307" s="83">
        <v>48</v>
      </c>
      <c r="Q307" s="190" t="s">
        <v>1997</v>
      </c>
      <c r="R307" s="191">
        <v>45</v>
      </c>
      <c r="S307" s="26">
        <v>1</v>
      </c>
      <c r="T307" s="26" t="s">
        <v>1309</v>
      </c>
      <c r="U307" s="26">
        <v>2660</v>
      </c>
      <c r="V307" s="26" t="s">
        <v>1325</v>
      </c>
      <c r="W307" s="63">
        <v>44816</v>
      </c>
      <c r="X307" s="63">
        <v>45100</v>
      </c>
      <c r="Y307" s="63"/>
      <c r="Z307" s="63"/>
      <c r="AA307" s="26" t="s">
        <v>1112</v>
      </c>
      <c r="AB307" s="23" t="s">
        <v>731</v>
      </c>
      <c r="AC307" s="23"/>
      <c r="AD307" s="23" t="s">
        <v>731</v>
      </c>
      <c r="AE307" s="23"/>
      <c r="AF307" s="23" t="s">
        <v>731</v>
      </c>
      <c r="AG307" s="23" t="s">
        <v>731</v>
      </c>
      <c r="AH307" s="23" t="s">
        <v>731</v>
      </c>
      <c r="AI307" s="23" t="s">
        <v>731</v>
      </c>
      <c r="AJ307" s="23" t="s">
        <v>731</v>
      </c>
      <c r="AK307" s="23" t="s">
        <v>731</v>
      </c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W307" s="41">
        <f>2.6*24</f>
        <v>62.400000000000006</v>
      </c>
      <c r="AY307" s="41"/>
      <c r="AZ307" s="41"/>
      <c r="BB307" s="43">
        <v>2</v>
      </c>
      <c r="BD307" s="41"/>
      <c r="BE307" s="44"/>
      <c r="BF307" s="44"/>
      <c r="BG307" s="18"/>
      <c r="BH307" s="31">
        <v>16</v>
      </c>
      <c r="BI307" s="18">
        <v>26</v>
      </c>
      <c r="BJ307" s="18">
        <v>25</v>
      </c>
      <c r="BK307" s="18">
        <v>25</v>
      </c>
      <c r="BL307" s="18">
        <v>25</v>
      </c>
      <c r="BM307" s="55">
        <f>SUM(AV307:AX307)+SUM(BC307:BD307)+SUM(BE307:BF307)+BG307</f>
        <v>62.400000000000006</v>
      </c>
      <c r="BN307" s="55"/>
      <c r="BO307" s="55"/>
      <c r="BP307" s="55"/>
      <c r="BQ307" s="55"/>
      <c r="BR307" s="55"/>
      <c r="BS307" s="55"/>
      <c r="BT307" s="55"/>
      <c r="BU307" s="55"/>
      <c r="BV307" s="55"/>
      <c r="BW307" s="55"/>
      <c r="BX307" s="55"/>
      <c r="BY307" s="55"/>
    </row>
    <row r="308" spans="1:78" ht="25.5">
      <c r="B308" s="89">
        <v>302</v>
      </c>
      <c r="C308" s="101">
        <v>202</v>
      </c>
      <c r="D308" s="101">
        <v>247</v>
      </c>
      <c r="E308" s="102">
        <v>0.76388888888888884</v>
      </c>
      <c r="F308" s="102">
        <v>0.81597222222222221</v>
      </c>
      <c r="G308" s="103" t="s">
        <v>8</v>
      </c>
      <c r="H308" s="93" t="s">
        <v>549</v>
      </c>
      <c r="I308" s="101">
        <v>35</v>
      </c>
      <c r="J308" s="104">
        <v>30</v>
      </c>
      <c r="K308" s="98">
        <v>13</v>
      </c>
      <c r="L308" s="99" t="s">
        <v>723</v>
      </c>
      <c r="M308" s="83" t="s">
        <v>932</v>
      </c>
      <c r="N308" s="83">
        <v>37</v>
      </c>
      <c r="O308" s="83" t="s">
        <v>931</v>
      </c>
      <c r="P308" s="83">
        <v>23</v>
      </c>
      <c r="Q308" s="190" t="s">
        <v>1997</v>
      </c>
      <c r="R308" s="191">
        <v>45</v>
      </c>
      <c r="S308" s="26">
        <v>2670</v>
      </c>
      <c r="T308" s="26" t="s">
        <v>1458</v>
      </c>
      <c r="U308" s="26">
        <v>1</v>
      </c>
      <c r="V308" s="26" t="s">
        <v>1312</v>
      </c>
      <c r="W308" s="63">
        <v>44562</v>
      </c>
      <c r="X308" s="63">
        <v>44815</v>
      </c>
      <c r="Y308" s="63">
        <v>45101</v>
      </c>
      <c r="Z308" s="63">
        <v>45169</v>
      </c>
      <c r="AA308" s="17" t="s">
        <v>1104</v>
      </c>
      <c r="AB308" s="23"/>
      <c r="AC308" s="23" t="s">
        <v>731</v>
      </c>
      <c r="AD308" s="23"/>
      <c r="AE308" s="23"/>
      <c r="AF308" s="23"/>
      <c r="AG308" s="23"/>
      <c r="AH308" s="23"/>
      <c r="AI308" s="23"/>
      <c r="AJ308" s="23"/>
      <c r="AK308" s="23"/>
      <c r="AL308" s="23" t="s">
        <v>731</v>
      </c>
      <c r="AM308" s="23"/>
      <c r="AN308" s="23"/>
      <c r="AO308" s="23"/>
      <c r="AP308" s="23"/>
      <c r="AQ308" s="23"/>
      <c r="AR308" s="23"/>
      <c r="AS308" s="23"/>
      <c r="AT308" s="23"/>
      <c r="AU308" s="23"/>
      <c r="AW308" s="41">
        <v>192.5</v>
      </c>
      <c r="AY308" s="19"/>
      <c r="AZ308" s="19"/>
      <c r="BB308" s="45">
        <v>1</v>
      </c>
      <c r="BD308" s="41"/>
      <c r="BE308" s="41">
        <f>IF(AND((AW308/I308)&lt;2,BB308=1),(I308*2)-AW308,0)</f>
        <v>0</v>
      </c>
      <c r="BF308" s="41">
        <f>IF(AND((AW308/I308)&lt;3,BB308=2),(I308*3)-AW308,0)</f>
        <v>0</v>
      </c>
      <c r="BG308" s="18"/>
      <c r="BH308" s="18">
        <v>2</v>
      </c>
      <c r="BI308" s="18">
        <v>0</v>
      </c>
      <c r="BJ308" s="18">
        <v>0</v>
      </c>
      <c r="BK308" s="18">
        <v>0</v>
      </c>
      <c r="BL308" s="18">
        <v>0</v>
      </c>
      <c r="BM308" s="55">
        <f>SUM(AV308:AX308)+SUM(BC308:BD308)+SUM(BE308:BF308)+BG308</f>
        <v>192.5</v>
      </c>
      <c r="BN308" s="55"/>
      <c r="BO308" s="55"/>
      <c r="BP308" s="55"/>
      <c r="BQ308" s="55"/>
      <c r="BR308" s="55"/>
      <c r="BS308" s="55"/>
      <c r="BT308" s="55"/>
      <c r="BU308" s="55"/>
      <c r="BV308" s="55"/>
      <c r="BW308" s="55"/>
      <c r="BX308" s="55"/>
      <c r="BY308" s="55"/>
    </row>
    <row r="309" spans="1:78" s="47" customFormat="1" ht="12.75">
      <c r="A309" s="2"/>
      <c r="B309" s="89">
        <v>303</v>
      </c>
      <c r="C309" s="101">
        <v>202</v>
      </c>
      <c r="D309" s="101">
        <v>99</v>
      </c>
      <c r="E309" s="102">
        <v>0.79166666666666663</v>
      </c>
      <c r="F309" s="102">
        <v>0.82986111111111116</v>
      </c>
      <c r="G309" s="103" t="s">
        <v>6</v>
      </c>
      <c r="H309" s="103" t="s">
        <v>1</v>
      </c>
      <c r="I309" s="101">
        <v>24</v>
      </c>
      <c r="J309" s="104">
        <v>40</v>
      </c>
      <c r="K309" s="98">
        <v>67</v>
      </c>
      <c r="L309" s="99" t="s">
        <v>723</v>
      </c>
      <c r="M309" s="83" t="s">
        <v>1045</v>
      </c>
      <c r="N309" s="83">
        <v>45</v>
      </c>
      <c r="O309" s="83" t="s">
        <v>936</v>
      </c>
      <c r="P309" s="83">
        <v>48</v>
      </c>
      <c r="Q309" s="190" t="s">
        <v>1997</v>
      </c>
      <c r="R309" s="191">
        <v>45</v>
      </c>
      <c r="S309" s="26">
        <v>2660</v>
      </c>
      <c r="T309" s="26" t="s">
        <v>1325</v>
      </c>
      <c r="U309" s="26">
        <v>1</v>
      </c>
      <c r="V309" s="26" t="s">
        <v>1312</v>
      </c>
      <c r="W309" s="63">
        <v>44562</v>
      </c>
      <c r="X309" s="63">
        <v>44815</v>
      </c>
      <c r="Y309" s="63">
        <v>45101</v>
      </c>
      <c r="Z309" s="63">
        <v>45169</v>
      </c>
      <c r="AA309" s="23" t="s">
        <v>1107</v>
      </c>
      <c r="AB309" s="23"/>
      <c r="AC309" s="23" t="s">
        <v>731</v>
      </c>
      <c r="AD309" s="23" t="s">
        <v>731</v>
      </c>
      <c r="AE309" s="23"/>
      <c r="AF309" s="23" t="s">
        <v>731</v>
      </c>
      <c r="AG309" s="23" t="s">
        <v>731</v>
      </c>
      <c r="AH309" s="23" t="s">
        <v>731</v>
      </c>
      <c r="AI309" s="23" t="s">
        <v>731</v>
      </c>
      <c r="AJ309" s="23" t="s">
        <v>731</v>
      </c>
      <c r="AK309" s="23" t="s">
        <v>731</v>
      </c>
      <c r="AL309" s="23"/>
      <c r="AM309" s="23"/>
      <c r="AN309" s="23"/>
      <c r="AO309" s="23"/>
      <c r="AP309" s="23"/>
      <c r="AQ309" s="23"/>
      <c r="AR309" s="23"/>
      <c r="AS309" s="23"/>
      <c r="AT309" s="23"/>
      <c r="AU309" s="23"/>
      <c r="AV309" s="41"/>
      <c r="AW309" s="18"/>
      <c r="AX309" s="18"/>
      <c r="AY309" s="19" t="s">
        <v>1010</v>
      </c>
      <c r="AZ309" s="19"/>
      <c r="BA309" s="18"/>
      <c r="BB309" s="43">
        <v>2</v>
      </c>
      <c r="BC309" s="18"/>
      <c r="BD309" s="41"/>
      <c r="BE309" s="18"/>
      <c r="BF309" s="18"/>
      <c r="BG309" s="18"/>
      <c r="BH309" s="18">
        <v>9</v>
      </c>
      <c r="BI309" s="18">
        <v>0</v>
      </c>
      <c r="BJ309" s="18">
        <v>0</v>
      </c>
      <c r="BK309" s="18">
        <v>0</v>
      </c>
      <c r="BL309" s="18">
        <v>0</v>
      </c>
      <c r="BM309" s="55">
        <f>SUM(AV309:AX309)+SUM(BC309:BD309)+SUM(BE309:BF309)+BG309</f>
        <v>0</v>
      </c>
      <c r="BN309" s="55"/>
      <c r="BO309" s="55"/>
      <c r="BP309" s="55"/>
      <c r="BQ309" s="55"/>
      <c r="BR309" s="55"/>
      <c r="BS309" s="55"/>
      <c r="BT309" s="55"/>
      <c r="BU309" s="55"/>
      <c r="BV309" s="55"/>
      <c r="BW309" s="55"/>
      <c r="BX309" s="55"/>
      <c r="BY309" s="55"/>
      <c r="BZ309" s="18"/>
    </row>
    <row r="310" spans="1:78" s="47" customFormat="1" ht="25.5">
      <c r="A310" s="2"/>
      <c r="B310" s="89">
        <v>304</v>
      </c>
      <c r="C310" s="101">
        <v>202</v>
      </c>
      <c r="D310" s="101">
        <v>99</v>
      </c>
      <c r="E310" s="102">
        <v>0.79166666666666663</v>
      </c>
      <c r="F310" s="102">
        <v>0.82986111111111116</v>
      </c>
      <c r="G310" s="103" t="s">
        <v>6</v>
      </c>
      <c r="H310" s="93" t="s">
        <v>478</v>
      </c>
      <c r="I310" s="101">
        <v>24</v>
      </c>
      <c r="J310" s="104">
        <v>50</v>
      </c>
      <c r="K310" s="98">
        <v>240</v>
      </c>
      <c r="L310" s="99" t="s">
        <v>723</v>
      </c>
      <c r="M310" s="83" t="s">
        <v>1045</v>
      </c>
      <c r="N310" s="83">
        <v>45</v>
      </c>
      <c r="O310" s="83" t="s">
        <v>936</v>
      </c>
      <c r="P310" s="83">
        <v>48</v>
      </c>
      <c r="Q310" s="190" t="s">
        <v>1997</v>
      </c>
      <c r="R310" s="191">
        <v>45</v>
      </c>
      <c r="S310" s="26">
        <v>2660</v>
      </c>
      <c r="T310" s="26" t="s">
        <v>1325</v>
      </c>
      <c r="U310" s="26">
        <v>1</v>
      </c>
      <c r="V310" s="26" t="s">
        <v>1312</v>
      </c>
      <c r="W310" s="63">
        <v>44816</v>
      </c>
      <c r="X310" s="63">
        <v>45100</v>
      </c>
      <c r="Y310" s="63"/>
      <c r="Z310" s="63"/>
      <c r="AA310" s="26" t="s">
        <v>1112</v>
      </c>
      <c r="AB310" s="23" t="s">
        <v>731</v>
      </c>
      <c r="AC310" s="23"/>
      <c r="AD310" s="23" t="s">
        <v>731</v>
      </c>
      <c r="AE310" s="23"/>
      <c r="AF310" s="23" t="s">
        <v>731</v>
      </c>
      <c r="AG310" s="23" t="s">
        <v>731</v>
      </c>
      <c r="AH310" s="23" t="s">
        <v>731</v>
      </c>
      <c r="AI310" s="23" t="s">
        <v>731</v>
      </c>
      <c r="AJ310" s="23" t="s">
        <v>731</v>
      </c>
      <c r="AK310" s="23" t="s">
        <v>731</v>
      </c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41"/>
      <c r="AW310" s="41">
        <f>2.6*24</f>
        <v>62.400000000000006</v>
      </c>
      <c r="AX310" s="18"/>
      <c r="AY310" s="41"/>
      <c r="AZ310" s="41"/>
      <c r="BA310" s="18"/>
      <c r="BB310" s="43">
        <v>2</v>
      </c>
      <c r="BD310" s="41"/>
      <c r="BE310" s="44"/>
      <c r="BF310" s="44"/>
      <c r="BH310" s="31">
        <v>16</v>
      </c>
      <c r="BI310" s="18">
        <v>26</v>
      </c>
      <c r="BJ310" s="18">
        <v>25</v>
      </c>
      <c r="BK310" s="18">
        <v>25</v>
      </c>
      <c r="BL310" s="18">
        <v>25</v>
      </c>
      <c r="BM310" s="55">
        <f>SUM(AV310:AX310)+SUM(BC310:BD310)+SUM(BE310:BF310)+BG310</f>
        <v>62.400000000000006</v>
      </c>
      <c r="BN310" s="55"/>
      <c r="BO310" s="55"/>
      <c r="BP310" s="55"/>
      <c r="BQ310" s="55"/>
      <c r="BR310" s="55"/>
      <c r="BS310" s="55"/>
      <c r="BT310" s="55"/>
      <c r="BU310" s="55"/>
      <c r="BV310" s="55"/>
      <c r="BW310" s="55"/>
      <c r="BX310" s="55"/>
      <c r="BY310" s="55"/>
    </row>
    <row r="311" spans="1:78" s="47" customFormat="1" ht="25.5">
      <c r="A311" s="2"/>
      <c r="B311" s="89">
        <v>305</v>
      </c>
      <c r="C311" s="93">
        <v>203</v>
      </c>
      <c r="D311" s="95">
        <v>383</v>
      </c>
      <c r="E311" s="94">
        <v>0.27430555555555552</v>
      </c>
      <c r="F311" s="94">
        <v>0.30069444444444443</v>
      </c>
      <c r="G311" s="93" t="s">
        <v>224</v>
      </c>
      <c r="H311" s="93" t="s">
        <v>203</v>
      </c>
      <c r="I311" s="96">
        <v>15.5</v>
      </c>
      <c r="J311" s="97" t="s">
        <v>93</v>
      </c>
      <c r="K311" s="98">
        <v>202</v>
      </c>
      <c r="L311" s="99" t="s">
        <v>723</v>
      </c>
      <c r="M311" s="87" t="s">
        <v>934</v>
      </c>
      <c r="N311" s="87">
        <v>24</v>
      </c>
      <c r="O311" s="83" t="s">
        <v>933</v>
      </c>
      <c r="P311" s="83">
        <v>21</v>
      </c>
      <c r="Q311" s="83" t="s">
        <v>935</v>
      </c>
      <c r="R311" s="84">
        <v>23</v>
      </c>
      <c r="S311" s="26">
        <v>2046</v>
      </c>
      <c r="T311" s="26" t="s">
        <v>1462</v>
      </c>
      <c r="U311" s="26" t="s">
        <v>1463</v>
      </c>
      <c r="V311" s="26" t="s">
        <v>1464</v>
      </c>
      <c r="W311" s="63">
        <v>44816</v>
      </c>
      <c r="X311" s="63">
        <v>45100</v>
      </c>
      <c r="Y311" s="63"/>
      <c r="Z311" s="63"/>
      <c r="AA311" s="22" t="s">
        <v>1108</v>
      </c>
      <c r="AB311" s="23" t="s">
        <v>731</v>
      </c>
      <c r="AC311" s="23"/>
      <c r="AD311" s="23" t="s">
        <v>731</v>
      </c>
      <c r="AE311" s="23"/>
      <c r="AF311" s="23" t="s">
        <v>731</v>
      </c>
      <c r="AG311" s="23" t="s">
        <v>731</v>
      </c>
      <c r="AH311" s="23" t="s">
        <v>731</v>
      </c>
      <c r="AI311" s="23" t="s">
        <v>731</v>
      </c>
      <c r="AJ311" s="23" t="s">
        <v>731</v>
      </c>
      <c r="AK311" s="23"/>
      <c r="AL311" s="23"/>
      <c r="AM311" s="23"/>
      <c r="AN311" s="23"/>
      <c r="AO311" s="23"/>
      <c r="AP311" s="23"/>
      <c r="AQ311" s="23"/>
      <c r="AR311" s="23"/>
      <c r="AS311" s="23"/>
      <c r="AT311" s="23"/>
      <c r="AU311" s="23"/>
      <c r="AV311" s="42">
        <v>36.049999999999997</v>
      </c>
      <c r="AW311" s="18"/>
      <c r="AX311" s="18"/>
      <c r="AY311" s="42"/>
      <c r="AZ311" s="42"/>
      <c r="BA311" s="18"/>
      <c r="BB311" s="45">
        <v>1</v>
      </c>
      <c r="BC311" s="41">
        <f>IF(AND((AV311/I311)&lt;2,BB311=1),(I311*2)-AV311,0)</f>
        <v>0</v>
      </c>
      <c r="BD311" s="41">
        <f>IF(AND((AV311/I311)&lt;3,BB311=2),(I311*3)-AV311,0)</f>
        <v>0</v>
      </c>
      <c r="BG311" s="41">
        <f>IF((AV311+AW311+AX311)&lt;20,(20-(AV311+AW311+AX311)),0)</f>
        <v>0</v>
      </c>
      <c r="BH311" s="18">
        <v>15</v>
      </c>
      <c r="BI311" s="18">
        <v>21</v>
      </c>
      <c r="BJ311" s="18">
        <v>21</v>
      </c>
      <c r="BK311" s="18">
        <v>20</v>
      </c>
      <c r="BL311" s="18">
        <v>21</v>
      </c>
      <c r="BM311" s="55">
        <f>SUM(AV311:AX311)+SUM(BC311:BD311)+SUM(BE311:BF311)+BG311</f>
        <v>36.049999999999997</v>
      </c>
      <c r="BN311" s="55"/>
      <c r="BO311" s="55"/>
      <c r="BP311" s="55"/>
      <c r="BQ311" s="55"/>
      <c r="BR311" s="55"/>
      <c r="BS311" s="55"/>
      <c r="BT311" s="55"/>
      <c r="BU311" s="55"/>
      <c r="BV311" s="55"/>
      <c r="BW311" s="55"/>
      <c r="BX311" s="55"/>
      <c r="BY311" s="55"/>
    </row>
    <row r="312" spans="1:78" s="47" customFormat="1" ht="25.5">
      <c r="A312" s="2"/>
      <c r="B312" s="89">
        <v>306</v>
      </c>
      <c r="C312" s="93">
        <v>203</v>
      </c>
      <c r="D312" s="95">
        <v>174</v>
      </c>
      <c r="E312" s="94">
        <v>0.5541666666666667</v>
      </c>
      <c r="F312" s="105">
        <v>0.57013888888888886</v>
      </c>
      <c r="G312" s="93" t="s">
        <v>673</v>
      </c>
      <c r="H312" s="93" t="s">
        <v>97</v>
      </c>
      <c r="I312" s="96">
        <v>11.5</v>
      </c>
      <c r="J312" s="97" t="s">
        <v>127</v>
      </c>
      <c r="K312" s="98">
        <v>208</v>
      </c>
      <c r="L312" s="99" t="s">
        <v>723</v>
      </c>
      <c r="M312" s="87" t="s">
        <v>932</v>
      </c>
      <c r="N312" s="87">
        <v>37</v>
      </c>
      <c r="O312" s="83" t="s">
        <v>931</v>
      </c>
      <c r="P312" s="83">
        <v>23</v>
      </c>
      <c r="Q312" s="83" t="s">
        <v>935</v>
      </c>
      <c r="R312" s="84">
        <v>23</v>
      </c>
      <c r="S312" s="26" t="s">
        <v>1465</v>
      </c>
      <c r="T312" s="26" t="s">
        <v>1466</v>
      </c>
      <c r="U312" s="26">
        <v>2046</v>
      </c>
      <c r="V312" s="26" t="s">
        <v>1462</v>
      </c>
      <c r="W312" s="62">
        <v>44816</v>
      </c>
      <c r="X312" s="62">
        <v>45086</v>
      </c>
      <c r="Y312" s="62"/>
      <c r="Z312" s="62"/>
      <c r="AA312" s="22" t="s">
        <v>1106</v>
      </c>
      <c r="AB312" s="23"/>
      <c r="AC312" s="23"/>
      <c r="AD312" s="23"/>
      <c r="AE312" s="23" t="s">
        <v>731</v>
      </c>
      <c r="AF312" s="23" t="s">
        <v>731</v>
      </c>
      <c r="AG312" s="23" t="s">
        <v>731</v>
      </c>
      <c r="AH312" s="23" t="s">
        <v>731</v>
      </c>
      <c r="AI312" s="23" t="s">
        <v>731</v>
      </c>
      <c r="AJ312" s="23" t="s">
        <v>731</v>
      </c>
      <c r="AK312" s="23" t="s">
        <v>731</v>
      </c>
      <c r="AL312" s="23"/>
      <c r="AM312" s="23"/>
      <c r="AN312" s="23"/>
      <c r="AO312" s="23"/>
      <c r="AP312" s="23"/>
      <c r="AQ312" s="23"/>
      <c r="AR312" s="23"/>
      <c r="AS312" s="23"/>
      <c r="AT312" s="23"/>
      <c r="AU312" s="23"/>
      <c r="AV312" s="42">
        <v>52.32</v>
      </c>
      <c r="AW312" s="18"/>
      <c r="AX312" s="18"/>
      <c r="AY312" s="42"/>
      <c r="AZ312" s="42"/>
      <c r="BA312" s="18"/>
      <c r="BB312" s="43">
        <v>2</v>
      </c>
      <c r="BC312" s="41">
        <f>IF(AND((AV312/I312)&lt;2,BB312=1),(I312*2)-AV312,0)</f>
        <v>0</v>
      </c>
      <c r="BD312" s="41">
        <f>IF(AND((AV312/I312)&lt;3,BB312=2),(I312*3)-AV312,0)</f>
        <v>0</v>
      </c>
      <c r="BH312" s="18">
        <v>17</v>
      </c>
      <c r="BI312" s="18">
        <v>25</v>
      </c>
      <c r="BJ312" s="18">
        <v>25</v>
      </c>
      <c r="BK312" s="18">
        <v>18</v>
      </c>
      <c r="BL312" s="18">
        <v>20</v>
      </c>
      <c r="BM312" s="55">
        <f>SUM(AV312:AX312)+SUM(BC312:BD312)+SUM(BE312:BF312)+BG312</f>
        <v>52.32</v>
      </c>
      <c r="BN312" s="55"/>
      <c r="BO312" s="55"/>
      <c r="BP312" s="55"/>
      <c r="BQ312" s="55"/>
      <c r="BR312" s="55"/>
      <c r="BS312" s="55"/>
      <c r="BT312" s="55"/>
      <c r="BU312" s="55"/>
      <c r="BV312" s="55"/>
      <c r="BW312" s="55"/>
      <c r="BX312" s="55"/>
      <c r="BY312" s="55"/>
    </row>
    <row r="313" spans="1:78" s="47" customFormat="1" ht="38.25">
      <c r="A313" s="2"/>
      <c r="B313" s="89">
        <v>307</v>
      </c>
      <c r="C313" s="93">
        <v>203</v>
      </c>
      <c r="D313" s="95">
        <v>176</v>
      </c>
      <c r="E313" s="94">
        <v>0.58402777777777781</v>
      </c>
      <c r="F313" s="94">
        <v>0.59236111111111112</v>
      </c>
      <c r="G313" s="93" t="s">
        <v>223</v>
      </c>
      <c r="H313" s="93" t="s">
        <v>222</v>
      </c>
      <c r="I313" s="96">
        <v>3.5</v>
      </c>
      <c r="J313" s="97" t="s">
        <v>93</v>
      </c>
      <c r="K313" s="98">
        <v>68</v>
      </c>
      <c r="L313" s="99" t="s">
        <v>723</v>
      </c>
      <c r="M313" s="87" t="s">
        <v>934</v>
      </c>
      <c r="N313" s="87">
        <v>24</v>
      </c>
      <c r="O313" s="83" t="s">
        <v>933</v>
      </c>
      <c r="P313" s="83">
        <v>21</v>
      </c>
      <c r="Q313" s="2"/>
      <c r="R313" s="87"/>
      <c r="S313" s="26" t="s">
        <v>1465</v>
      </c>
      <c r="T313" s="26" t="s">
        <v>1466</v>
      </c>
      <c r="U313" s="26">
        <v>2043</v>
      </c>
      <c r="V313" s="26" t="s">
        <v>1467</v>
      </c>
      <c r="W313" s="62">
        <v>44816</v>
      </c>
      <c r="X313" s="62">
        <v>45086</v>
      </c>
      <c r="Y313" s="62"/>
      <c r="Z313" s="62"/>
      <c r="AA313" s="23" t="s">
        <v>1122</v>
      </c>
      <c r="AB313" s="23"/>
      <c r="AC313" s="23"/>
      <c r="AD313" s="23"/>
      <c r="AE313" s="23" t="s">
        <v>731</v>
      </c>
      <c r="AF313" s="23"/>
      <c r="AG313" s="23" t="s">
        <v>731</v>
      </c>
      <c r="AH313" s="23"/>
      <c r="AI313" s="23" t="s">
        <v>731</v>
      </c>
      <c r="AJ313" s="23"/>
      <c r="AK313" s="23"/>
      <c r="AL313" s="23"/>
      <c r="AM313" s="23"/>
      <c r="AN313" s="23"/>
      <c r="AO313" s="23"/>
      <c r="AP313" s="23"/>
      <c r="AQ313" s="23"/>
      <c r="AR313" s="23"/>
      <c r="AS313" s="23"/>
      <c r="AT313" s="23"/>
      <c r="AU313" s="23"/>
      <c r="AV313" s="42">
        <v>8.48</v>
      </c>
      <c r="AW313" s="18"/>
      <c r="AX313" s="18"/>
      <c r="AY313" s="42"/>
      <c r="AZ313" s="42"/>
      <c r="BA313" s="18"/>
      <c r="BB313" s="45">
        <v>1</v>
      </c>
      <c r="BC313" s="41">
        <f>IF(AND((AV313/I313)&lt;2,BB313=1),(I313*2)-AV313,0)</f>
        <v>0</v>
      </c>
      <c r="BD313" s="41">
        <f>IF(AND((AV313/I313)&lt;3,BB313=2),(I313*3)-AV313,0)</f>
        <v>0</v>
      </c>
      <c r="BH313" s="18">
        <v>6</v>
      </c>
      <c r="BI313" s="18">
        <v>8</v>
      </c>
      <c r="BJ313" s="18">
        <v>8</v>
      </c>
      <c r="BK313" s="18">
        <v>6</v>
      </c>
      <c r="BL313" s="18">
        <v>7</v>
      </c>
      <c r="BM313" s="55">
        <f>SUM(AV313:AX313)+SUM(BC313:BD313)+SUM(BE313:BF313)+BG313</f>
        <v>8.48</v>
      </c>
      <c r="BN313" s="55"/>
      <c r="BO313" s="55"/>
      <c r="BP313" s="55"/>
      <c r="BQ313" s="55"/>
      <c r="BR313" s="55"/>
      <c r="BS313" s="55"/>
      <c r="BT313" s="55"/>
      <c r="BU313" s="55"/>
      <c r="BV313" s="55"/>
      <c r="BW313" s="55"/>
      <c r="BX313" s="55"/>
      <c r="BY313" s="55"/>
    </row>
    <row r="314" spans="1:78" s="47" customFormat="1" ht="25.5">
      <c r="A314" s="2"/>
      <c r="B314" s="89">
        <v>308</v>
      </c>
      <c r="C314" s="93">
        <v>203</v>
      </c>
      <c r="D314" s="95">
        <v>176</v>
      </c>
      <c r="E314" s="94">
        <v>0.58402777777777781</v>
      </c>
      <c r="F314" s="105">
        <v>0.61041666666666672</v>
      </c>
      <c r="G314" s="93" t="s">
        <v>221</v>
      </c>
      <c r="H314" s="93" t="s">
        <v>97</v>
      </c>
      <c r="I314" s="96">
        <v>15.5</v>
      </c>
      <c r="J314" s="97" t="s">
        <v>127</v>
      </c>
      <c r="K314" s="98">
        <v>208</v>
      </c>
      <c r="L314" s="99" t="s">
        <v>723</v>
      </c>
      <c r="M314" s="87" t="s">
        <v>932</v>
      </c>
      <c r="N314" s="87">
        <v>37</v>
      </c>
      <c r="O314" s="83" t="s">
        <v>931</v>
      </c>
      <c r="P314" s="83">
        <v>23</v>
      </c>
      <c r="Q314" s="83" t="s">
        <v>935</v>
      </c>
      <c r="R314" s="84">
        <v>23</v>
      </c>
      <c r="S314" s="26" t="s">
        <v>1465</v>
      </c>
      <c r="T314" s="26" t="s">
        <v>1466</v>
      </c>
      <c r="U314" s="26">
        <v>2046</v>
      </c>
      <c r="V314" s="26" t="s">
        <v>1462</v>
      </c>
      <c r="W314" s="62">
        <v>44816</v>
      </c>
      <c r="X314" s="62">
        <v>45086</v>
      </c>
      <c r="Y314" s="62"/>
      <c r="Z314" s="62"/>
      <c r="AA314" s="22" t="s">
        <v>1106</v>
      </c>
      <c r="AB314" s="23"/>
      <c r="AC314" s="23"/>
      <c r="AD314" s="23"/>
      <c r="AE314" s="23" t="s">
        <v>731</v>
      </c>
      <c r="AF314" s="23" t="s">
        <v>731</v>
      </c>
      <c r="AG314" s="23" t="s">
        <v>731</v>
      </c>
      <c r="AH314" s="23" t="s">
        <v>731</v>
      </c>
      <c r="AI314" s="23" t="s">
        <v>731</v>
      </c>
      <c r="AJ314" s="23" t="s">
        <v>731</v>
      </c>
      <c r="AK314" s="23" t="s">
        <v>731</v>
      </c>
      <c r="AL314" s="23"/>
      <c r="AM314" s="23"/>
      <c r="AN314" s="23"/>
      <c r="AO314" s="23"/>
      <c r="AP314" s="23"/>
      <c r="AQ314" s="23"/>
      <c r="AR314" s="23"/>
      <c r="AS314" s="23"/>
      <c r="AT314" s="23"/>
      <c r="AU314" s="23"/>
      <c r="AV314" s="42">
        <v>63.62</v>
      </c>
      <c r="AW314" s="18"/>
      <c r="AX314" s="18"/>
      <c r="AY314" s="42"/>
      <c r="AZ314" s="42"/>
      <c r="BA314" s="18"/>
      <c r="BB314" s="43">
        <v>2</v>
      </c>
      <c r="BC314" s="41">
        <f>IF(AND((AV314/I314)&lt;2,BB314=1),(I314*2)-AV314,0)</f>
        <v>0</v>
      </c>
      <c r="BD314" s="41">
        <f>IF(AND((AV314/I314)&lt;3,BB314=2),(I314*3)-AV314,0)</f>
        <v>0</v>
      </c>
      <c r="BH314" s="18">
        <v>17</v>
      </c>
      <c r="BI314" s="18">
        <v>25</v>
      </c>
      <c r="BJ314" s="18">
        <v>25</v>
      </c>
      <c r="BK314" s="18">
        <v>18</v>
      </c>
      <c r="BL314" s="18">
        <v>20</v>
      </c>
      <c r="BM314" s="55">
        <f>SUM(AV314:AX314)+SUM(BC314:BD314)+SUM(BE314:BF314)+BG314</f>
        <v>63.62</v>
      </c>
      <c r="BN314" s="55"/>
      <c r="BO314" s="55"/>
      <c r="BP314" s="55"/>
      <c r="BQ314" s="55"/>
      <c r="BR314" s="55"/>
      <c r="BS314" s="55"/>
      <c r="BT314" s="55"/>
      <c r="BU314" s="55"/>
      <c r="BV314" s="55"/>
      <c r="BW314" s="55"/>
      <c r="BX314" s="55"/>
      <c r="BY314" s="55"/>
    </row>
    <row r="315" spans="1:78" s="47" customFormat="1" ht="38.25">
      <c r="A315" s="2"/>
      <c r="B315" s="89">
        <v>309</v>
      </c>
      <c r="C315" s="93">
        <v>203</v>
      </c>
      <c r="D315" s="95">
        <v>80</v>
      </c>
      <c r="E315" s="94">
        <v>0.62638888888888888</v>
      </c>
      <c r="F315" s="94">
        <v>0.64513888888888882</v>
      </c>
      <c r="G315" s="93" t="s">
        <v>220</v>
      </c>
      <c r="H315" s="95" t="s">
        <v>713</v>
      </c>
      <c r="I315" s="96">
        <v>10.5</v>
      </c>
      <c r="J315" s="97" t="s">
        <v>116</v>
      </c>
      <c r="K315" s="98">
        <v>16</v>
      </c>
      <c r="L315" s="99" t="s">
        <v>723</v>
      </c>
      <c r="M315" s="2" t="s">
        <v>979</v>
      </c>
      <c r="N315" s="2">
        <v>9</v>
      </c>
      <c r="O315" s="2" t="s">
        <v>1882</v>
      </c>
      <c r="P315" s="2">
        <v>9</v>
      </c>
      <c r="Q315" s="2" t="s">
        <v>1239</v>
      </c>
      <c r="R315" s="1">
        <v>9</v>
      </c>
      <c r="S315" s="26">
        <v>2040</v>
      </c>
      <c r="T315" s="26" t="s">
        <v>1333</v>
      </c>
      <c r="U315" s="26">
        <v>2045</v>
      </c>
      <c r="V315" s="26" t="s">
        <v>1468</v>
      </c>
      <c r="W315" s="62">
        <v>44816</v>
      </c>
      <c r="X315" s="62">
        <v>45086</v>
      </c>
      <c r="Y315" s="62"/>
      <c r="Z315" s="62"/>
      <c r="AA315" s="23" t="s">
        <v>1129</v>
      </c>
      <c r="AB315" s="23"/>
      <c r="AC315" s="23"/>
      <c r="AD315" s="23"/>
      <c r="AE315" s="23" t="s">
        <v>731</v>
      </c>
      <c r="AF315" s="23" t="s">
        <v>731</v>
      </c>
      <c r="AG315" s="23"/>
      <c r="AH315" s="23"/>
      <c r="AI315" s="23"/>
      <c r="AJ315" s="23"/>
      <c r="AK315" s="23"/>
      <c r="AL315" s="23"/>
      <c r="AM315" s="23"/>
      <c r="AN315" s="23"/>
      <c r="AO315" s="23"/>
      <c r="AP315" s="23"/>
      <c r="AQ315" s="23"/>
      <c r="AR315" s="23"/>
      <c r="AS315" s="23"/>
      <c r="AT315" s="23"/>
      <c r="AU315" s="23"/>
      <c r="AV315" s="42">
        <v>18.899999999999999</v>
      </c>
      <c r="AW315" s="18"/>
      <c r="AX315" s="18"/>
      <c r="AY315" s="42"/>
      <c r="AZ315" s="42"/>
      <c r="BA315" s="18"/>
      <c r="BB315" s="45">
        <v>1</v>
      </c>
      <c r="BC315" s="41">
        <f>IF(AND((AV315/I315)&lt;2,BB315=1),(I315*2)-AV315,0)</f>
        <v>2.1000000000000014</v>
      </c>
      <c r="BD315" s="41">
        <f>IF(AND((AV315/I315)&lt;3,BB315=2),(I315*3)-AV315,0)</f>
        <v>0</v>
      </c>
      <c r="BH315" s="47">
        <v>2</v>
      </c>
      <c r="BI315" s="47">
        <v>2</v>
      </c>
      <c r="BJ315" s="47">
        <v>2</v>
      </c>
      <c r="BK315" s="47">
        <v>2</v>
      </c>
      <c r="BL315" s="47">
        <v>2</v>
      </c>
      <c r="BM315" s="55">
        <f>SUM(AV315:AX315)+SUM(BC315:BD315)+SUM(BE315:BF315)+BG315</f>
        <v>21</v>
      </c>
      <c r="BN315" s="55"/>
      <c r="BO315" s="55"/>
      <c r="BP315" s="55"/>
      <c r="BQ315" s="55"/>
      <c r="BR315" s="55"/>
      <c r="BS315" s="55"/>
      <c r="BT315" s="55"/>
      <c r="BU315" s="55"/>
      <c r="BV315" s="55"/>
      <c r="BW315" s="55"/>
      <c r="BX315" s="55"/>
      <c r="BY315" s="55"/>
    </row>
    <row r="316" spans="1:78" s="47" customFormat="1" ht="25.5">
      <c r="A316" s="2"/>
      <c r="B316" s="89">
        <v>310</v>
      </c>
      <c r="C316" s="93">
        <v>204</v>
      </c>
      <c r="D316" s="97">
        <v>405</v>
      </c>
      <c r="E316" s="94">
        <v>0.27013888888888887</v>
      </c>
      <c r="F316" s="105">
        <v>0.27708333333333335</v>
      </c>
      <c r="G316" s="93" t="s">
        <v>685</v>
      </c>
      <c r="H316" s="93" t="s">
        <v>97</v>
      </c>
      <c r="I316" s="96">
        <v>7.5</v>
      </c>
      <c r="J316" s="97" t="s">
        <v>146</v>
      </c>
      <c r="K316" s="98">
        <v>208</v>
      </c>
      <c r="L316" s="133" t="s">
        <v>743</v>
      </c>
      <c r="M316" s="87" t="s">
        <v>913</v>
      </c>
      <c r="N316" s="87">
        <v>17</v>
      </c>
      <c r="O316" s="116" t="s">
        <v>914</v>
      </c>
      <c r="P316" s="116">
        <v>21</v>
      </c>
      <c r="Q316" s="2"/>
      <c r="R316" s="87"/>
      <c r="S316" s="26">
        <v>2057</v>
      </c>
      <c r="T316" s="26" t="s">
        <v>1328</v>
      </c>
      <c r="U316" s="26">
        <v>2054</v>
      </c>
      <c r="V316" s="26" t="s">
        <v>1332</v>
      </c>
      <c r="W316" s="62">
        <v>44816</v>
      </c>
      <c r="X316" s="62">
        <v>45086</v>
      </c>
      <c r="Y316" s="62"/>
      <c r="Z316" s="62"/>
      <c r="AA316" s="22" t="s">
        <v>1106</v>
      </c>
      <c r="AB316" s="23"/>
      <c r="AC316" s="23"/>
      <c r="AD316" s="23"/>
      <c r="AE316" s="23" t="s">
        <v>731</v>
      </c>
      <c r="AF316" s="23" t="s">
        <v>731</v>
      </c>
      <c r="AG316" s="23" t="s">
        <v>731</v>
      </c>
      <c r="AH316" s="23" t="s">
        <v>731</v>
      </c>
      <c r="AI316" s="23" t="s">
        <v>731</v>
      </c>
      <c r="AJ316" s="23" t="s">
        <v>731</v>
      </c>
      <c r="AK316" s="23" t="s">
        <v>731</v>
      </c>
      <c r="AL316" s="23"/>
      <c r="AM316" s="23"/>
      <c r="AN316" s="23"/>
      <c r="AO316" s="23"/>
      <c r="AP316" s="23"/>
      <c r="AQ316" s="23"/>
      <c r="AR316" s="23"/>
      <c r="AS316" s="23"/>
      <c r="AT316" s="23"/>
      <c r="AU316" s="23"/>
      <c r="AV316" s="42">
        <f>6.3+12.77</f>
        <v>19.07</v>
      </c>
      <c r="AW316" s="18"/>
      <c r="AX316" s="18"/>
      <c r="AY316" s="42"/>
      <c r="AZ316" s="42"/>
      <c r="BA316" s="18"/>
      <c r="BB316" s="45">
        <v>1</v>
      </c>
      <c r="BC316" s="41">
        <f>IF(AND((AV316/I316)&lt;2,BB316=1),(I316*2)-AV316,0)</f>
        <v>0</v>
      </c>
      <c r="BD316" s="41">
        <f>IF(AND((AV316/I316)&lt;3,BB316=2),(I316*3)-AV316,0)</f>
        <v>0</v>
      </c>
      <c r="BG316" s="41">
        <f>IF((AV316+AW316+AX316)&lt;20,(20-(AV316+AW316+AX316)),0)</f>
        <v>0.92999999999999972</v>
      </c>
      <c r="BH316" s="18">
        <v>17</v>
      </c>
      <c r="BI316" s="18">
        <v>25</v>
      </c>
      <c r="BJ316" s="18">
        <v>25</v>
      </c>
      <c r="BK316" s="18">
        <v>18</v>
      </c>
      <c r="BL316" s="18">
        <v>20</v>
      </c>
      <c r="BM316" s="55">
        <f>SUM(AV316:AX316)+SUM(BC316:BD316)+SUM(BE316:BF316)+BG316</f>
        <v>20</v>
      </c>
      <c r="BN316" s="55"/>
      <c r="BO316" s="55"/>
      <c r="BP316" s="55"/>
      <c r="BQ316" s="55"/>
      <c r="BR316" s="55"/>
      <c r="BS316" s="55"/>
      <c r="BT316" s="55"/>
      <c r="BU316" s="55"/>
      <c r="BV316" s="55"/>
      <c r="BW316" s="55"/>
      <c r="BX316" s="55"/>
      <c r="BY316" s="55"/>
    </row>
    <row r="317" spans="1:78" s="47" customFormat="1" ht="25.5">
      <c r="A317" s="2"/>
      <c r="B317" s="89">
        <v>311</v>
      </c>
      <c r="C317" s="93">
        <v>204</v>
      </c>
      <c r="D317" s="95">
        <v>226</v>
      </c>
      <c r="E317" s="94">
        <v>0.27013888888888887</v>
      </c>
      <c r="F317" s="94">
        <v>0.28263888888888888</v>
      </c>
      <c r="G317" s="93" t="s">
        <v>461</v>
      </c>
      <c r="H317" s="93" t="s">
        <v>103</v>
      </c>
      <c r="I317" s="96">
        <v>10</v>
      </c>
      <c r="J317" s="97" t="s">
        <v>101</v>
      </c>
      <c r="K317" s="98">
        <v>174</v>
      </c>
      <c r="L317" s="99" t="s">
        <v>740</v>
      </c>
      <c r="M317" s="87" t="s">
        <v>942</v>
      </c>
      <c r="N317" s="87">
        <v>55</v>
      </c>
      <c r="O317" s="83" t="s">
        <v>1220</v>
      </c>
      <c r="P317" s="83">
        <v>54</v>
      </c>
      <c r="Q317" s="83" t="s">
        <v>945</v>
      </c>
      <c r="R317" s="87">
        <v>57</v>
      </c>
      <c r="S317" s="26">
        <v>2054</v>
      </c>
      <c r="T317" s="26" t="s">
        <v>1332</v>
      </c>
      <c r="U317" s="26">
        <v>2127</v>
      </c>
      <c r="V317" s="26" t="s">
        <v>1331</v>
      </c>
      <c r="W317" s="62">
        <v>44816</v>
      </c>
      <c r="X317" s="62">
        <v>45086</v>
      </c>
      <c r="Y317" s="62"/>
      <c r="Z317" s="62"/>
      <c r="AA317" s="22" t="s">
        <v>1102</v>
      </c>
      <c r="AB317" s="23"/>
      <c r="AC317" s="23"/>
      <c r="AD317" s="23"/>
      <c r="AE317" s="23" t="s">
        <v>731</v>
      </c>
      <c r="AF317" s="23" t="s">
        <v>731</v>
      </c>
      <c r="AG317" s="23" t="s">
        <v>731</v>
      </c>
      <c r="AH317" s="23" t="s">
        <v>731</v>
      </c>
      <c r="AI317" s="23" t="s">
        <v>731</v>
      </c>
      <c r="AJ317" s="23" t="s">
        <v>731</v>
      </c>
      <c r="AK317" s="23"/>
      <c r="AL317" s="23"/>
      <c r="AM317" s="23"/>
      <c r="AN317" s="23"/>
      <c r="AO317" s="23"/>
      <c r="AP317" s="23"/>
      <c r="AQ317" s="23"/>
      <c r="AR317" s="23"/>
      <c r="AS317" s="23"/>
      <c r="AT317" s="23"/>
      <c r="AU317" s="23"/>
      <c r="AV317" s="42">
        <v>30</v>
      </c>
      <c r="AW317" s="18"/>
      <c r="AX317" s="18"/>
      <c r="AY317" s="42"/>
      <c r="AZ317" s="42"/>
      <c r="BA317" s="18"/>
      <c r="BB317" s="43">
        <v>2</v>
      </c>
      <c r="BC317" s="41">
        <f>IF(AND((AV317/I317)&lt;2,BB317=1),(I317*2)-AV317,0)</f>
        <v>0</v>
      </c>
      <c r="BD317" s="41">
        <f>IF(AND((AV317/I317)&lt;3,BB317=2),(I317*3)-AV317,0)</f>
        <v>0</v>
      </c>
      <c r="BG317" s="41">
        <f>IF((AV317+AW317+AX317)&lt;20,(20-(AV317+AW317+AX317)),0)</f>
        <v>0</v>
      </c>
      <c r="BH317" s="18">
        <v>15</v>
      </c>
      <c r="BI317" s="18">
        <v>20</v>
      </c>
      <c r="BJ317" s="18">
        <v>21</v>
      </c>
      <c r="BK317" s="18">
        <v>15</v>
      </c>
      <c r="BL317" s="18">
        <v>17</v>
      </c>
      <c r="BM317" s="55">
        <f>SUM(AV317:AX317)+SUM(BC317:BD317)+SUM(BE317:BF317)+BG317</f>
        <v>30</v>
      </c>
      <c r="BN317" s="55"/>
      <c r="BO317" s="55"/>
      <c r="BP317" s="55"/>
      <c r="BQ317" s="55"/>
      <c r="BR317" s="55"/>
      <c r="BS317" s="55"/>
      <c r="BT317" s="55"/>
      <c r="BU317" s="55"/>
      <c r="BV317" s="55"/>
      <c r="BW317" s="55"/>
      <c r="BX317" s="55"/>
      <c r="BY317" s="55"/>
    </row>
    <row r="318" spans="1:78" s="47" customFormat="1" ht="25.5">
      <c r="A318" s="2"/>
      <c r="B318" s="89">
        <v>312</v>
      </c>
      <c r="C318" s="93">
        <v>204</v>
      </c>
      <c r="D318" s="97">
        <v>405</v>
      </c>
      <c r="E318" s="94">
        <v>0.2722222222222222</v>
      </c>
      <c r="F318" s="94">
        <v>0.27708333333333335</v>
      </c>
      <c r="G318" s="93" t="s">
        <v>106</v>
      </c>
      <c r="H318" s="93" t="s">
        <v>107</v>
      </c>
      <c r="I318" s="96">
        <v>4</v>
      </c>
      <c r="J318" s="97" t="s">
        <v>99</v>
      </c>
      <c r="K318" s="98">
        <v>29</v>
      </c>
      <c r="L318" s="133" t="s">
        <v>743</v>
      </c>
      <c r="M318" s="87" t="s">
        <v>913</v>
      </c>
      <c r="N318" s="87">
        <v>17</v>
      </c>
      <c r="O318" s="119" t="s">
        <v>914</v>
      </c>
      <c r="P318" s="119">
        <v>21</v>
      </c>
      <c r="Q318" s="2"/>
      <c r="R318" s="87"/>
      <c r="S318" s="26">
        <v>2057</v>
      </c>
      <c r="T318" s="26" t="s">
        <v>1328</v>
      </c>
      <c r="U318" s="26">
        <v>2054</v>
      </c>
      <c r="V318" s="26" t="s">
        <v>1332</v>
      </c>
      <c r="W318" s="63">
        <v>44816</v>
      </c>
      <c r="X318" s="63">
        <v>45100</v>
      </c>
      <c r="Y318" s="63"/>
      <c r="Z318" s="63"/>
      <c r="AA318" s="22" t="s">
        <v>1110</v>
      </c>
      <c r="AB318" s="23" t="s">
        <v>731</v>
      </c>
      <c r="AC318" s="23"/>
      <c r="AD318" s="23" t="s">
        <v>731</v>
      </c>
      <c r="AE318" s="23"/>
      <c r="AF318" s="23"/>
      <c r="AG318" s="23"/>
      <c r="AH318" s="23"/>
      <c r="AI318" s="23"/>
      <c r="AJ318" s="23"/>
      <c r="AK318" s="23"/>
      <c r="AL318" s="23"/>
      <c r="AM318" s="23"/>
      <c r="AN318" s="23"/>
      <c r="AO318" s="23"/>
      <c r="AP318" s="23" t="s">
        <v>731</v>
      </c>
      <c r="AQ318" s="23" t="s">
        <v>731</v>
      </c>
      <c r="AR318" s="23" t="s">
        <v>731</v>
      </c>
      <c r="AS318" s="23" t="s">
        <v>731</v>
      </c>
      <c r="AT318" s="23" t="s">
        <v>731</v>
      </c>
      <c r="AU318" s="23" t="s">
        <v>731</v>
      </c>
      <c r="AV318" s="42">
        <v>25</v>
      </c>
      <c r="AW318" s="18"/>
      <c r="AX318" s="18"/>
      <c r="AY318" s="42"/>
      <c r="AZ318" s="42"/>
      <c r="BA318" s="18"/>
      <c r="BB318" s="45">
        <v>1</v>
      </c>
      <c r="BC318" s="41">
        <f>IF(AND((AV318/I318)&lt;2,BB318=1),(I318*2)-AV318,0)</f>
        <v>0</v>
      </c>
      <c r="BD318" s="41">
        <f>IF(AND((AV318/I318)&lt;3,BB318=2),(I318*3)-AV318,0)</f>
        <v>0</v>
      </c>
      <c r="BG318" s="41">
        <f>IF((AV318+AW318+AX318)&lt;20,(20-(AV318+AW318+AX318)),0)</f>
        <v>0</v>
      </c>
      <c r="BH318" s="18">
        <v>0</v>
      </c>
      <c r="BI318" s="18">
        <v>1</v>
      </c>
      <c r="BJ318" s="18">
        <v>0</v>
      </c>
      <c r="BK318" s="18">
        <v>7</v>
      </c>
      <c r="BL318" s="18">
        <v>5</v>
      </c>
      <c r="BM318" s="55">
        <f>SUM(AV318:AX318)+SUM(BC318:BD318)+SUM(BE318:BF318)+BG318</f>
        <v>25</v>
      </c>
      <c r="BN318" s="55"/>
      <c r="BO318" s="55"/>
      <c r="BP318" s="55"/>
      <c r="BQ318" s="55"/>
      <c r="BR318" s="55"/>
      <c r="BS318" s="55"/>
      <c r="BT318" s="55"/>
      <c r="BU318" s="55"/>
      <c r="BV318" s="55"/>
      <c r="BW318" s="55"/>
      <c r="BX318" s="55"/>
      <c r="BY318" s="55"/>
    </row>
    <row r="319" spans="1:78" s="47" customFormat="1" ht="25.5">
      <c r="A319" s="2"/>
      <c r="B319" s="89">
        <v>313</v>
      </c>
      <c r="C319" s="93">
        <v>204</v>
      </c>
      <c r="D319" s="97">
        <v>405</v>
      </c>
      <c r="E319" s="94">
        <v>0.27291666666666664</v>
      </c>
      <c r="F319" s="94">
        <v>0.27708333333333335</v>
      </c>
      <c r="G319" s="93" t="s">
        <v>106</v>
      </c>
      <c r="H319" s="93" t="s">
        <v>105</v>
      </c>
      <c r="I319" s="96">
        <v>4</v>
      </c>
      <c r="J319" s="97" t="s">
        <v>99</v>
      </c>
      <c r="K319" s="98">
        <v>67</v>
      </c>
      <c r="L319" s="133" t="s">
        <v>743</v>
      </c>
      <c r="M319" s="87" t="s">
        <v>913</v>
      </c>
      <c r="N319" s="87">
        <v>17</v>
      </c>
      <c r="O319" s="119" t="s">
        <v>914</v>
      </c>
      <c r="P319" s="119">
        <v>21</v>
      </c>
      <c r="Q319" s="2"/>
      <c r="R319" s="87"/>
      <c r="S319" s="26">
        <v>2057</v>
      </c>
      <c r="T319" s="26" t="s">
        <v>1328</v>
      </c>
      <c r="U319" s="26">
        <v>2054</v>
      </c>
      <c r="V319" s="26" t="s">
        <v>1332</v>
      </c>
      <c r="W319" s="63">
        <v>44562</v>
      </c>
      <c r="X319" s="63">
        <v>44815</v>
      </c>
      <c r="Y319" s="63">
        <v>45101</v>
      </c>
      <c r="Z319" s="63">
        <v>45169</v>
      </c>
      <c r="AA319" s="23" t="s">
        <v>1107</v>
      </c>
      <c r="AB319" s="23"/>
      <c r="AC319" s="23" t="s">
        <v>731</v>
      </c>
      <c r="AD319" s="23" t="s">
        <v>731</v>
      </c>
      <c r="AE319" s="23"/>
      <c r="AF319" s="23" t="s">
        <v>731</v>
      </c>
      <c r="AG319" s="23" t="s">
        <v>731</v>
      </c>
      <c r="AH319" s="23" t="s">
        <v>731</v>
      </c>
      <c r="AI319" s="23" t="s">
        <v>731</v>
      </c>
      <c r="AJ319" s="23" t="s">
        <v>731</v>
      </c>
      <c r="AK319" s="23" t="s">
        <v>731</v>
      </c>
      <c r="AL319" s="23"/>
      <c r="AM319" s="23"/>
      <c r="AN319" s="23"/>
      <c r="AO319" s="23"/>
      <c r="AP319" s="23"/>
      <c r="AQ319" s="23"/>
      <c r="AR319" s="23"/>
      <c r="AS319" s="23"/>
      <c r="AT319" s="23"/>
      <c r="AU319" s="23"/>
      <c r="AV319" s="42">
        <v>25</v>
      </c>
      <c r="AW319" s="18"/>
      <c r="AX319" s="18"/>
      <c r="AY319" s="42"/>
      <c r="AZ319" s="42"/>
      <c r="BA319" s="18"/>
      <c r="BB319" s="45">
        <v>1</v>
      </c>
      <c r="BC319" s="41">
        <f>IF(AND((AV319/I319)&lt;2,BB319=1),(I319*2)-AV319,0)</f>
        <v>0</v>
      </c>
      <c r="BD319" s="41">
        <f>IF(AND((AV319/I319)&lt;3,BB319=2),(I319*3)-AV319,0)</f>
        <v>0</v>
      </c>
      <c r="BG319" s="41">
        <f>IF((AV319+AW319+AX319)&lt;20,(20-(AV319+AW319+AX319)),0)</f>
        <v>0</v>
      </c>
      <c r="BH319" s="18">
        <v>9</v>
      </c>
      <c r="BI319" s="18">
        <v>0</v>
      </c>
      <c r="BJ319" s="18">
        <v>0</v>
      </c>
      <c r="BK319" s="18">
        <v>0</v>
      </c>
      <c r="BL319" s="18">
        <v>0</v>
      </c>
      <c r="BM319" s="55">
        <f>SUM(AV319:AX319)+SUM(BC319:BD319)+SUM(BE319:BF319)+BG319</f>
        <v>25</v>
      </c>
      <c r="BN319" s="55"/>
      <c r="BO319" s="55"/>
      <c r="BP319" s="55"/>
      <c r="BQ319" s="55"/>
      <c r="BR319" s="55"/>
      <c r="BS319" s="55"/>
      <c r="BT319" s="55"/>
      <c r="BU319" s="55"/>
      <c r="BV319" s="55"/>
      <c r="BW319" s="55"/>
      <c r="BX319" s="55"/>
      <c r="BY319" s="55"/>
    </row>
    <row r="320" spans="1:78" s="47" customFormat="1" ht="12.75">
      <c r="A320" s="2"/>
      <c r="B320" s="89">
        <v>314</v>
      </c>
      <c r="C320" s="93">
        <v>204</v>
      </c>
      <c r="D320" s="95">
        <v>313</v>
      </c>
      <c r="E320" s="94">
        <v>0.2986111111111111</v>
      </c>
      <c r="F320" s="94">
        <v>0.33124999999999999</v>
      </c>
      <c r="G320" s="93" t="s">
        <v>205</v>
      </c>
      <c r="H320" s="93" t="s">
        <v>206</v>
      </c>
      <c r="I320" s="96">
        <v>27</v>
      </c>
      <c r="J320" s="97" t="s">
        <v>93</v>
      </c>
      <c r="K320" s="98">
        <v>45</v>
      </c>
      <c r="L320" s="99" t="s">
        <v>723</v>
      </c>
      <c r="M320" s="87" t="s">
        <v>934</v>
      </c>
      <c r="N320" s="87">
        <v>24</v>
      </c>
      <c r="O320" s="87" t="s">
        <v>935</v>
      </c>
      <c r="P320" s="87">
        <v>23</v>
      </c>
      <c r="Q320" s="87" t="s">
        <v>931</v>
      </c>
      <c r="R320" s="85">
        <v>23</v>
      </c>
      <c r="S320" s="26">
        <v>2054</v>
      </c>
      <c r="T320" s="26" t="s">
        <v>1332</v>
      </c>
      <c r="U320" s="26">
        <v>1</v>
      </c>
      <c r="V320" s="26" t="s">
        <v>1312</v>
      </c>
      <c r="W320" s="63">
        <v>44816</v>
      </c>
      <c r="X320" s="63">
        <v>45100</v>
      </c>
      <c r="Y320" s="63"/>
      <c r="Z320" s="63"/>
      <c r="AA320" s="26" t="s">
        <v>1103</v>
      </c>
      <c r="AB320" s="23" t="s">
        <v>731</v>
      </c>
      <c r="AC320" s="23"/>
      <c r="AD320" s="23"/>
      <c r="AE320" s="23"/>
      <c r="AF320" s="23"/>
      <c r="AG320" s="23"/>
      <c r="AH320" s="23"/>
      <c r="AI320" s="23"/>
      <c r="AJ320" s="23"/>
      <c r="AK320" s="23"/>
      <c r="AL320" s="23" t="s">
        <v>731</v>
      </c>
      <c r="AM320" s="23"/>
      <c r="AN320" s="23"/>
      <c r="AO320" s="23"/>
      <c r="AP320" s="23"/>
      <c r="AQ320" s="23"/>
      <c r="AR320" s="23"/>
      <c r="AS320" s="23"/>
      <c r="AT320" s="23"/>
      <c r="AU320" s="23"/>
      <c r="AV320" s="42">
        <v>48.6</v>
      </c>
      <c r="AW320" s="18"/>
      <c r="AX320" s="18"/>
      <c r="AY320" s="42"/>
      <c r="AZ320" s="42"/>
      <c r="BA320" s="18"/>
      <c r="BB320" s="45">
        <v>1</v>
      </c>
      <c r="BC320" s="41">
        <f>IF(AND((AV320/I320)&lt;2,BB320=1),(I320*2)-AV320,0)</f>
        <v>5.3999999999999986</v>
      </c>
      <c r="BD320" s="41">
        <f>IF(AND((AV320/I320)&lt;3,BB320=2),(I320*3)-AV320,0)</f>
        <v>0</v>
      </c>
      <c r="BH320" s="18">
        <v>2</v>
      </c>
      <c r="BI320" s="18">
        <v>5</v>
      </c>
      <c r="BJ320" s="18">
        <v>5</v>
      </c>
      <c r="BK320" s="18">
        <v>6</v>
      </c>
      <c r="BL320" s="18">
        <v>6</v>
      </c>
      <c r="BM320" s="55">
        <f>SUM(AV320:AX320)+SUM(BC320:BD320)+SUM(BE320:BF320)+BG320</f>
        <v>54</v>
      </c>
      <c r="BN320" s="55"/>
      <c r="BO320" s="55"/>
      <c r="BP320" s="55"/>
      <c r="BQ320" s="55"/>
      <c r="BR320" s="55"/>
      <c r="BS320" s="55"/>
      <c r="BT320" s="55"/>
      <c r="BU320" s="55"/>
      <c r="BV320" s="55"/>
      <c r="BW320" s="55"/>
      <c r="BX320" s="55"/>
      <c r="BY320" s="55"/>
    </row>
    <row r="321" spans="1:78" ht="25.5">
      <c r="B321" s="89">
        <v>315</v>
      </c>
      <c r="C321" s="93">
        <v>204</v>
      </c>
      <c r="D321" s="95">
        <v>313</v>
      </c>
      <c r="E321" s="94">
        <v>0.2986111111111111</v>
      </c>
      <c r="F321" s="94">
        <v>0.33124999999999999</v>
      </c>
      <c r="G321" s="93" t="s">
        <v>205</v>
      </c>
      <c r="H321" s="93" t="s">
        <v>549</v>
      </c>
      <c r="I321" s="96">
        <v>27</v>
      </c>
      <c r="J321" s="97" t="s">
        <v>93</v>
      </c>
      <c r="K321" s="98">
        <v>13</v>
      </c>
      <c r="L321" s="99" t="s">
        <v>723</v>
      </c>
      <c r="M321" s="87" t="s">
        <v>934</v>
      </c>
      <c r="N321" s="87">
        <v>24</v>
      </c>
      <c r="O321" s="87" t="s">
        <v>935</v>
      </c>
      <c r="P321" s="87">
        <v>23</v>
      </c>
      <c r="Q321" s="87" t="s">
        <v>931</v>
      </c>
      <c r="R321" s="85">
        <v>23</v>
      </c>
      <c r="S321" s="26">
        <v>2054</v>
      </c>
      <c r="T321" s="26" t="s">
        <v>1332</v>
      </c>
      <c r="U321" s="26">
        <v>1</v>
      </c>
      <c r="V321" s="26" t="s">
        <v>1312</v>
      </c>
      <c r="W321" s="63">
        <v>44562</v>
      </c>
      <c r="X321" s="63">
        <v>44815</v>
      </c>
      <c r="Y321" s="63">
        <v>45101</v>
      </c>
      <c r="Z321" s="63">
        <v>45169</v>
      </c>
      <c r="AA321" s="17" t="s">
        <v>1104</v>
      </c>
      <c r="AB321" s="23"/>
      <c r="AC321" s="23" t="s">
        <v>731</v>
      </c>
      <c r="AD321" s="23"/>
      <c r="AE321" s="23"/>
      <c r="AF321" s="23"/>
      <c r="AG321" s="23"/>
      <c r="AH321" s="23"/>
      <c r="AI321" s="23"/>
      <c r="AJ321" s="23"/>
      <c r="AK321" s="23"/>
      <c r="AL321" s="23" t="s">
        <v>731</v>
      </c>
      <c r="AM321" s="23"/>
      <c r="AN321" s="23"/>
      <c r="AO321" s="23"/>
      <c r="AP321" s="23"/>
      <c r="AQ321" s="23"/>
      <c r="AR321" s="23"/>
      <c r="AS321" s="23"/>
      <c r="AT321" s="23"/>
      <c r="AU321" s="23"/>
      <c r="AV321" s="42">
        <v>48.6</v>
      </c>
      <c r="AW321" s="18"/>
      <c r="AY321" s="42"/>
      <c r="AZ321" s="42"/>
      <c r="BB321" s="45">
        <v>1</v>
      </c>
      <c r="BC321" s="41">
        <f>IF(AND((AV321/I321)&lt;2,BB321=1),(I321*2)-AV321,0)</f>
        <v>5.3999999999999986</v>
      </c>
      <c r="BD321" s="41">
        <f>IF(AND((AV321/I321)&lt;3,BB321=2),(I321*3)-AV321,0)</f>
        <v>0</v>
      </c>
      <c r="BE321" s="47"/>
      <c r="BF321" s="47"/>
      <c r="BG321" s="47"/>
      <c r="BH321" s="18">
        <v>2</v>
      </c>
      <c r="BI321" s="18">
        <v>0</v>
      </c>
      <c r="BJ321" s="18">
        <v>0</v>
      </c>
      <c r="BK321" s="18">
        <v>0</v>
      </c>
      <c r="BL321" s="18">
        <v>0</v>
      </c>
      <c r="BM321" s="55">
        <f>SUM(AV321:AX321)+SUM(BC321:BD321)+SUM(BE321:BF321)+BG321</f>
        <v>54</v>
      </c>
      <c r="BN321" s="55"/>
      <c r="BO321" s="55"/>
      <c r="BP321" s="55"/>
      <c r="BQ321" s="55"/>
      <c r="BR321" s="55"/>
      <c r="BS321" s="55"/>
      <c r="BT321" s="55"/>
      <c r="BU321" s="55"/>
      <c r="BV321" s="55"/>
      <c r="BW321" s="55"/>
      <c r="BX321" s="55"/>
      <c r="BY321" s="55"/>
    </row>
    <row r="322" spans="1:78" s="47" customFormat="1" ht="25.5">
      <c r="A322" s="156" t="s">
        <v>2083</v>
      </c>
      <c r="B322" s="157">
        <v>316</v>
      </c>
      <c r="C322" s="158">
        <v>204</v>
      </c>
      <c r="D322" s="159">
        <v>281</v>
      </c>
      <c r="E322" s="160">
        <v>0.30416666666666664</v>
      </c>
      <c r="F322" s="160">
        <v>0.30902777777777779</v>
      </c>
      <c r="G322" s="158" t="s">
        <v>674</v>
      </c>
      <c r="H322" s="158" t="s">
        <v>424</v>
      </c>
      <c r="I322" s="161">
        <v>16.899999999999999</v>
      </c>
      <c r="J322" s="162" t="s">
        <v>165</v>
      </c>
      <c r="K322" s="163"/>
      <c r="L322" s="164" t="s">
        <v>2082</v>
      </c>
      <c r="M322" s="179"/>
      <c r="N322" s="179"/>
      <c r="O322" s="179"/>
      <c r="P322" s="179"/>
      <c r="Q322" s="179"/>
      <c r="R322" s="179"/>
      <c r="S322" s="170"/>
      <c r="T322" s="170"/>
      <c r="U322" s="170"/>
      <c r="V322" s="170"/>
      <c r="W322" s="165"/>
      <c r="X322" s="165"/>
      <c r="Y322" s="165"/>
      <c r="Z322" s="165"/>
      <c r="AA322" s="165"/>
      <c r="AB322" s="170"/>
      <c r="AC322" s="170"/>
      <c r="AD322" s="170"/>
      <c r="AE322" s="170"/>
      <c r="AF322" s="170"/>
      <c r="AG322" s="170"/>
      <c r="AH322" s="170"/>
      <c r="AI322" s="170"/>
      <c r="AJ322" s="170"/>
      <c r="AK322" s="170"/>
      <c r="AL322" s="170"/>
      <c r="AM322" s="170"/>
      <c r="AN322" s="170"/>
      <c r="AO322" s="170"/>
      <c r="AP322" s="170"/>
      <c r="AQ322" s="170"/>
      <c r="AR322" s="170"/>
      <c r="AS322" s="170"/>
      <c r="AT322" s="170"/>
      <c r="AU322" s="170"/>
      <c r="AV322" s="165"/>
      <c r="AW322" s="165"/>
      <c r="AX322" s="165"/>
      <c r="AY322" s="165"/>
      <c r="AZ322" s="165"/>
      <c r="BA322" s="165"/>
      <c r="BB322" s="165"/>
      <c r="BC322" s="165"/>
      <c r="BD322" s="165"/>
      <c r="BE322" s="165"/>
      <c r="BF322" s="165"/>
      <c r="BG322" s="165"/>
      <c r="BH322" s="166"/>
      <c r="BI322" s="166"/>
      <c r="BJ322" s="166"/>
      <c r="BK322" s="166"/>
      <c r="BL322" s="166"/>
      <c r="BM322" s="167"/>
      <c r="BN322" s="167"/>
      <c r="BO322" s="167"/>
      <c r="BP322" s="167"/>
      <c r="BQ322" s="167"/>
      <c r="BR322" s="167"/>
      <c r="BS322" s="167"/>
      <c r="BT322" s="167"/>
      <c r="BU322" s="167"/>
      <c r="BV322" s="167"/>
      <c r="BW322" s="167"/>
      <c r="BX322" s="167"/>
      <c r="BY322" s="167"/>
      <c r="BZ322" s="166"/>
    </row>
    <row r="323" spans="1:78" s="47" customFormat="1" ht="25.5">
      <c r="A323" s="2"/>
      <c r="B323" s="89">
        <v>317</v>
      </c>
      <c r="C323" s="93">
        <v>204</v>
      </c>
      <c r="D323" s="95">
        <v>468</v>
      </c>
      <c r="E323" s="105">
        <v>0.3611111111111111</v>
      </c>
      <c r="F323" s="105">
        <v>0.37777777777777777</v>
      </c>
      <c r="G323" s="93" t="s">
        <v>204</v>
      </c>
      <c r="H323" s="93" t="s">
        <v>203</v>
      </c>
      <c r="I323" s="96">
        <v>14</v>
      </c>
      <c r="J323" s="97" t="s">
        <v>93</v>
      </c>
      <c r="K323" s="98">
        <v>202</v>
      </c>
      <c r="L323" s="99" t="s">
        <v>723</v>
      </c>
      <c r="M323" s="87" t="s">
        <v>931</v>
      </c>
      <c r="N323" s="87">
        <v>23</v>
      </c>
      <c r="O323" s="87" t="s">
        <v>933</v>
      </c>
      <c r="P323" s="87">
        <v>21</v>
      </c>
      <c r="Q323" s="87" t="s">
        <v>934</v>
      </c>
      <c r="R323" s="85">
        <v>24</v>
      </c>
      <c r="S323" s="26" t="s">
        <v>1465</v>
      </c>
      <c r="T323" s="26" t="s">
        <v>1466</v>
      </c>
      <c r="U323" s="26">
        <v>2054</v>
      </c>
      <c r="V323" s="26" t="s">
        <v>1332</v>
      </c>
      <c r="W323" s="63">
        <v>44816</v>
      </c>
      <c r="X323" s="63">
        <v>45100</v>
      </c>
      <c r="Y323" s="63"/>
      <c r="Z323" s="63"/>
      <c r="AA323" s="22" t="s">
        <v>1108</v>
      </c>
      <c r="AB323" s="23" t="s">
        <v>731</v>
      </c>
      <c r="AC323" s="23"/>
      <c r="AD323" s="23" t="s">
        <v>731</v>
      </c>
      <c r="AE323" s="23"/>
      <c r="AF323" s="23" t="s">
        <v>731</v>
      </c>
      <c r="AG323" s="23" t="s">
        <v>731</v>
      </c>
      <c r="AH323" s="23" t="s">
        <v>731</v>
      </c>
      <c r="AI323" s="23" t="s">
        <v>731</v>
      </c>
      <c r="AJ323" s="23" t="s">
        <v>731</v>
      </c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42">
        <v>25.2</v>
      </c>
      <c r="AW323" s="18"/>
      <c r="AX323" s="18"/>
      <c r="AY323" s="42"/>
      <c r="AZ323" s="42"/>
      <c r="BA323" s="18"/>
      <c r="BB323" s="45">
        <v>1</v>
      </c>
      <c r="BC323" s="41">
        <f>IF(AND((AV323/I323)&lt;2,BB323=1),(I323*2)-AV323,0)</f>
        <v>2.8000000000000007</v>
      </c>
      <c r="BD323" s="41">
        <f>IF(AND((AV323/I323)&lt;3,BB323=2),(I323*3)-AV323,0)</f>
        <v>0</v>
      </c>
      <c r="BH323" s="18">
        <v>15</v>
      </c>
      <c r="BI323" s="18">
        <v>21</v>
      </c>
      <c r="BJ323" s="18">
        <v>21</v>
      </c>
      <c r="BK323" s="18">
        <v>20</v>
      </c>
      <c r="BL323" s="18">
        <v>21</v>
      </c>
      <c r="BM323" s="55">
        <f>SUM(AV323:AX323)+SUM(BC323:BD323)+SUM(BE323:BF323)+BG323</f>
        <v>28</v>
      </c>
      <c r="BN323" s="55"/>
      <c r="BO323" s="55"/>
      <c r="BP323" s="55"/>
      <c r="BQ323" s="55"/>
      <c r="BR323" s="55"/>
      <c r="BS323" s="55"/>
      <c r="BT323" s="55"/>
      <c r="BU323" s="55"/>
      <c r="BV323" s="55"/>
      <c r="BW323" s="55"/>
      <c r="BX323" s="55"/>
      <c r="BY323" s="55"/>
    </row>
    <row r="324" spans="1:78" s="47" customFormat="1" ht="25.5">
      <c r="A324" s="2"/>
      <c r="B324" s="89">
        <v>318</v>
      </c>
      <c r="C324" s="93">
        <v>204</v>
      </c>
      <c r="D324" s="97">
        <v>231</v>
      </c>
      <c r="E324" s="94">
        <v>0.3923611111111111</v>
      </c>
      <c r="F324" s="105">
        <v>0.42291666666666666</v>
      </c>
      <c r="G324" s="93" t="s">
        <v>675</v>
      </c>
      <c r="H324" s="93" t="s">
        <v>478</v>
      </c>
      <c r="I324" s="96">
        <v>29</v>
      </c>
      <c r="J324" s="97" t="s">
        <v>188</v>
      </c>
      <c r="K324" s="98">
        <v>240</v>
      </c>
      <c r="L324" s="99" t="s">
        <v>723</v>
      </c>
      <c r="M324" s="83" t="s">
        <v>931</v>
      </c>
      <c r="N324" s="87">
        <v>23</v>
      </c>
      <c r="O324" s="83"/>
      <c r="P324" s="83"/>
      <c r="Q324" s="87"/>
      <c r="R324" s="87"/>
      <c r="S324" s="26">
        <v>2054</v>
      </c>
      <c r="T324" s="26" t="s">
        <v>1332</v>
      </c>
      <c r="U324" s="26">
        <v>1</v>
      </c>
      <c r="V324" s="26" t="s">
        <v>1312</v>
      </c>
      <c r="W324" s="63">
        <v>44816</v>
      </c>
      <c r="X324" s="63">
        <v>45100</v>
      </c>
      <c r="Y324" s="63"/>
      <c r="Z324" s="63"/>
      <c r="AA324" s="26" t="s">
        <v>1112</v>
      </c>
      <c r="AB324" s="23" t="s">
        <v>731</v>
      </c>
      <c r="AC324" s="23"/>
      <c r="AD324" s="23" t="s">
        <v>731</v>
      </c>
      <c r="AE324" s="23"/>
      <c r="AF324" s="23" t="s">
        <v>731</v>
      </c>
      <c r="AG324" s="23" t="s">
        <v>731</v>
      </c>
      <c r="AH324" s="23" t="s">
        <v>731</v>
      </c>
      <c r="AI324" s="23" t="s">
        <v>731</v>
      </c>
      <c r="AJ324" s="23" t="s">
        <v>731</v>
      </c>
      <c r="AK324" s="23" t="s">
        <v>731</v>
      </c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42">
        <f>51.2+39</f>
        <v>90.2</v>
      </c>
      <c r="AW324" s="18"/>
      <c r="AX324" s="18"/>
      <c r="AY324" s="42"/>
      <c r="AZ324" s="42"/>
      <c r="BA324" s="18"/>
      <c r="BB324" s="45">
        <v>1</v>
      </c>
      <c r="BC324" s="41">
        <f>IF(AND((AV324/I324)&lt;2,BB324=1),(I324*2)-AV324,0)</f>
        <v>0</v>
      </c>
      <c r="BD324" s="41">
        <f>IF(AND((AV324/I324)&lt;3,BB324=2),(I324*3)-AV324,0)</f>
        <v>0</v>
      </c>
      <c r="BH324" s="18">
        <v>17</v>
      </c>
      <c r="BI324" s="18">
        <v>26</v>
      </c>
      <c r="BJ324" s="18">
        <v>25</v>
      </c>
      <c r="BK324" s="18">
        <v>25</v>
      </c>
      <c r="BL324" s="18">
        <v>25</v>
      </c>
      <c r="BM324" s="55">
        <f>SUM(AV324:AX324)+SUM(BC324:BD324)+SUM(BE324:BF324)+BG324</f>
        <v>90.2</v>
      </c>
      <c r="BN324" s="55"/>
      <c r="BO324" s="55"/>
      <c r="BP324" s="55"/>
      <c r="BQ324" s="55"/>
      <c r="BR324" s="55"/>
      <c r="BS324" s="55"/>
      <c r="BT324" s="55"/>
      <c r="BU324" s="55"/>
      <c r="BV324" s="55"/>
      <c r="BW324" s="55"/>
      <c r="BX324" s="55"/>
      <c r="BY324" s="55"/>
    </row>
    <row r="325" spans="1:78" ht="25.5">
      <c r="B325" s="89">
        <v>319</v>
      </c>
      <c r="C325" s="93">
        <v>204</v>
      </c>
      <c r="D325" s="95">
        <v>274</v>
      </c>
      <c r="E325" s="94">
        <v>0.42499999999999999</v>
      </c>
      <c r="F325" s="94">
        <v>0.4458333333333333</v>
      </c>
      <c r="G325" s="93" t="s">
        <v>546</v>
      </c>
      <c r="H325" s="93" t="s">
        <v>424</v>
      </c>
      <c r="I325" s="96">
        <v>17.899999999999999</v>
      </c>
      <c r="J325" s="97" t="s">
        <v>188</v>
      </c>
      <c r="K325" s="98">
        <v>55</v>
      </c>
      <c r="L325" s="99" t="s">
        <v>723</v>
      </c>
      <c r="M325" s="87" t="s">
        <v>932</v>
      </c>
      <c r="N325" s="87">
        <v>37</v>
      </c>
      <c r="O325" s="83" t="s">
        <v>1045</v>
      </c>
      <c r="P325" s="83">
        <v>45</v>
      </c>
      <c r="Q325" s="87"/>
      <c r="R325" s="87"/>
      <c r="S325" s="26" t="s">
        <v>1465</v>
      </c>
      <c r="T325" s="26" t="s">
        <v>1466</v>
      </c>
      <c r="U325" s="26">
        <v>2057</v>
      </c>
      <c r="V325" s="26" t="s">
        <v>1328</v>
      </c>
      <c r="W325" s="63">
        <v>44562</v>
      </c>
      <c r="X325" s="63">
        <v>44815</v>
      </c>
      <c r="Y325" s="63">
        <v>45101</v>
      </c>
      <c r="Z325" s="63">
        <v>45169</v>
      </c>
      <c r="AA325" s="22" t="s">
        <v>1109</v>
      </c>
      <c r="AB325" s="23"/>
      <c r="AC325" s="23" t="s">
        <v>731</v>
      </c>
      <c r="AD325" s="23" t="s">
        <v>731</v>
      </c>
      <c r="AE325" s="23"/>
      <c r="AF325" s="23" t="s">
        <v>731</v>
      </c>
      <c r="AG325" s="23" t="s">
        <v>731</v>
      </c>
      <c r="AH325" s="23" t="s">
        <v>731</v>
      </c>
      <c r="AI325" s="23" t="s">
        <v>731</v>
      </c>
      <c r="AJ325" s="23" t="s">
        <v>731</v>
      </c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42">
        <v>53.7</v>
      </c>
      <c r="AW325" s="18"/>
      <c r="AY325" s="42"/>
      <c r="AZ325" s="42"/>
      <c r="BB325" s="45">
        <v>1</v>
      </c>
      <c r="BC325" s="41">
        <f>IF(AND((AV325/I325)&lt;2,BB325=1),(I325*2)-AV325,0)</f>
        <v>0</v>
      </c>
      <c r="BD325" s="41">
        <f>IF(AND((AV325/I325)&lt;3,BB325=2),(I325*3)-AV325,0)</f>
        <v>0</v>
      </c>
      <c r="BE325" s="47"/>
      <c r="BF325" s="47"/>
      <c r="BG325" s="47"/>
      <c r="BH325" s="18">
        <v>7</v>
      </c>
      <c r="BI325" s="18">
        <v>0</v>
      </c>
      <c r="BJ325" s="18">
        <v>0</v>
      </c>
      <c r="BK325" s="18">
        <v>0</v>
      </c>
      <c r="BL325" s="18">
        <v>0</v>
      </c>
      <c r="BM325" s="55">
        <f>SUM(AV325:AX325)+SUM(BC325:BD325)+SUM(BE325:BF325)+BG325</f>
        <v>53.7</v>
      </c>
      <c r="BN325" s="55"/>
      <c r="BO325" s="55"/>
      <c r="BP325" s="55"/>
      <c r="BQ325" s="55"/>
      <c r="BR325" s="55"/>
      <c r="BS325" s="55"/>
      <c r="BT325" s="55"/>
      <c r="BU325" s="55"/>
      <c r="BV325" s="55"/>
      <c r="BW325" s="55"/>
      <c r="BX325" s="55"/>
      <c r="BY325" s="55"/>
      <c r="BZ325" s="47"/>
    </row>
    <row r="326" spans="1:78" ht="25.5">
      <c r="B326" s="89">
        <v>320</v>
      </c>
      <c r="C326" s="93">
        <v>204</v>
      </c>
      <c r="D326" s="95">
        <v>274</v>
      </c>
      <c r="E326" s="94">
        <v>0.45</v>
      </c>
      <c r="F326" s="94">
        <v>0.47083333333333338</v>
      </c>
      <c r="G326" s="93" t="s">
        <v>676</v>
      </c>
      <c r="H326" s="93" t="s">
        <v>423</v>
      </c>
      <c r="I326" s="96">
        <v>19.899999999999999</v>
      </c>
      <c r="J326" s="97" t="s">
        <v>188</v>
      </c>
      <c r="K326" s="98">
        <v>67</v>
      </c>
      <c r="L326" s="99" t="s">
        <v>723</v>
      </c>
      <c r="M326" s="87" t="s">
        <v>932</v>
      </c>
      <c r="N326" s="87">
        <v>37</v>
      </c>
      <c r="O326" s="83" t="s">
        <v>1045</v>
      </c>
      <c r="P326" s="83">
        <v>45</v>
      </c>
      <c r="Q326" s="87"/>
      <c r="R326" s="87"/>
      <c r="S326" s="26">
        <v>2057</v>
      </c>
      <c r="T326" s="26" t="s">
        <v>1328</v>
      </c>
      <c r="U326" s="26" t="s">
        <v>1465</v>
      </c>
      <c r="V326" s="26" t="s">
        <v>1466</v>
      </c>
      <c r="W326" s="63">
        <v>44562</v>
      </c>
      <c r="X326" s="63">
        <v>44815</v>
      </c>
      <c r="Y326" s="63">
        <v>45101</v>
      </c>
      <c r="Z326" s="63">
        <v>45169</v>
      </c>
      <c r="AA326" s="23" t="s">
        <v>1107</v>
      </c>
      <c r="AB326" s="23"/>
      <c r="AC326" s="23" t="s">
        <v>731</v>
      </c>
      <c r="AD326" s="23" t="s">
        <v>731</v>
      </c>
      <c r="AE326" s="23"/>
      <c r="AF326" s="23" t="s">
        <v>731</v>
      </c>
      <c r="AG326" s="23" t="s">
        <v>731</v>
      </c>
      <c r="AH326" s="23" t="s">
        <v>731</v>
      </c>
      <c r="AI326" s="23" t="s">
        <v>731</v>
      </c>
      <c r="AJ326" s="23" t="s">
        <v>731</v>
      </c>
      <c r="AK326" s="23" t="s">
        <v>731</v>
      </c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42">
        <f>11.7+51.2</f>
        <v>62.900000000000006</v>
      </c>
      <c r="AW326" s="18"/>
      <c r="AY326" s="42"/>
      <c r="AZ326" s="42"/>
      <c r="BB326" s="45">
        <v>1</v>
      </c>
      <c r="BC326" s="41">
        <f>IF(AND((AV326/I326)&lt;2,BB326=1),(I326*2)-AV326,0)</f>
        <v>0</v>
      </c>
      <c r="BD326" s="41">
        <f>IF(AND((AV326/I326)&lt;3,BB326=2),(I326*3)-AV326,0)</f>
        <v>0</v>
      </c>
      <c r="BG326" s="18"/>
      <c r="BH326" s="18">
        <v>9</v>
      </c>
      <c r="BI326" s="18">
        <v>0</v>
      </c>
      <c r="BJ326" s="18">
        <v>0</v>
      </c>
      <c r="BK326" s="18">
        <v>0</v>
      </c>
      <c r="BL326" s="18">
        <v>0</v>
      </c>
      <c r="BM326" s="55">
        <f>SUM(AV326:AX326)+SUM(BC326:BD326)+SUM(BE326:BF326)+BG326</f>
        <v>62.900000000000006</v>
      </c>
      <c r="BN326" s="55"/>
      <c r="BO326" s="55"/>
      <c r="BP326" s="55"/>
      <c r="BQ326" s="55"/>
      <c r="BR326" s="55"/>
      <c r="BS326" s="55"/>
      <c r="BT326" s="55"/>
      <c r="BU326" s="55"/>
      <c r="BV326" s="55"/>
      <c r="BW326" s="55"/>
      <c r="BX326" s="55"/>
      <c r="BY326" s="55"/>
    </row>
    <row r="327" spans="1:78" ht="25.5">
      <c r="B327" s="89">
        <v>321</v>
      </c>
      <c r="C327" s="93">
        <v>204</v>
      </c>
      <c r="D327" s="97">
        <v>150</v>
      </c>
      <c r="E327" s="105">
        <v>0.49652777777777773</v>
      </c>
      <c r="F327" s="105">
        <v>0.50138888888888888</v>
      </c>
      <c r="G327" s="93" t="s">
        <v>714</v>
      </c>
      <c r="H327" s="93" t="s">
        <v>107</v>
      </c>
      <c r="I327" s="96">
        <v>4</v>
      </c>
      <c r="J327" s="97" t="s">
        <v>99</v>
      </c>
      <c r="K327" s="98">
        <v>29</v>
      </c>
      <c r="L327" s="133" t="s">
        <v>743</v>
      </c>
      <c r="M327" s="87" t="s">
        <v>913</v>
      </c>
      <c r="N327" s="87">
        <v>17</v>
      </c>
      <c r="O327" s="119" t="s">
        <v>914</v>
      </c>
      <c r="P327" s="119">
        <v>21</v>
      </c>
      <c r="R327" s="87"/>
      <c r="S327" s="26">
        <v>2054</v>
      </c>
      <c r="T327" s="26" t="s">
        <v>1332</v>
      </c>
      <c r="U327" s="26">
        <v>2057</v>
      </c>
      <c r="V327" s="26" t="s">
        <v>1328</v>
      </c>
      <c r="W327" s="63">
        <v>44816</v>
      </c>
      <c r="X327" s="63">
        <v>45100</v>
      </c>
      <c r="Y327" s="63"/>
      <c r="Z327" s="63"/>
      <c r="AA327" s="22" t="s">
        <v>1110</v>
      </c>
      <c r="AB327" s="23" t="s">
        <v>731</v>
      </c>
      <c r="AC327" s="23"/>
      <c r="AD327" s="23" t="s">
        <v>731</v>
      </c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 t="s">
        <v>731</v>
      </c>
      <c r="AQ327" s="23" t="s">
        <v>731</v>
      </c>
      <c r="AR327" s="23" t="s">
        <v>731</v>
      </c>
      <c r="AS327" s="23" t="s">
        <v>731</v>
      </c>
      <c r="AT327" s="23" t="s">
        <v>731</v>
      </c>
      <c r="AU327" s="23" t="s">
        <v>731</v>
      </c>
      <c r="AV327" s="42">
        <v>18</v>
      </c>
      <c r="AW327" s="18"/>
      <c r="AY327" s="42"/>
      <c r="AZ327" s="42"/>
      <c r="BB327" s="45">
        <v>1</v>
      </c>
      <c r="BC327" s="41">
        <f>IF(AND((AV327/I327)&lt;2,BB327=1),(I327*2)-AV327,0)</f>
        <v>0</v>
      </c>
      <c r="BD327" s="41">
        <f>IF(AND((AV327/I327)&lt;3,BB327=2),(I327*3)-AV327,0)</f>
        <v>0</v>
      </c>
      <c r="BG327" s="18"/>
      <c r="BH327" s="18">
        <v>0</v>
      </c>
      <c r="BI327" s="18">
        <v>1</v>
      </c>
      <c r="BJ327" s="18">
        <v>0</v>
      </c>
      <c r="BK327" s="18">
        <v>7</v>
      </c>
      <c r="BL327" s="18">
        <v>5</v>
      </c>
      <c r="BM327" s="55">
        <f>SUM(AV327:AX327)+SUM(BC327:BD327)+SUM(BE327:BF327)+BG327</f>
        <v>18</v>
      </c>
      <c r="BN327" s="55"/>
      <c r="BO327" s="55"/>
      <c r="BP327" s="55"/>
      <c r="BQ327" s="55"/>
      <c r="BR327" s="55"/>
      <c r="BS327" s="55"/>
      <c r="BT327" s="55"/>
      <c r="BU327" s="55"/>
      <c r="BV327" s="55"/>
      <c r="BW327" s="55"/>
      <c r="BX327" s="55"/>
      <c r="BY327" s="55"/>
    </row>
    <row r="328" spans="1:78" ht="25.5">
      <c r="B328" s="89">
        <v>322</v>
      </c>
      <c r="C328" s="93">
        <v>204</v>
      </c>
      <c r="D328" s="97">
        <v>150</v>
      </c>
      <c r="E328" s="94">
        <v>0.49652777777777773</v>
      </c>
      <c r="F328" s="105">
        <v>0.50138888888888888</v>
      </c>
      <c r="G328" s="93" t="s">
        <v>714</v>
      </c>
      <c r="H328" s="93" t="s">
        <v>97</v>
      </c>
      <c r="I328" s="96">
        <v>4</v>
      </c>
      <c r="J328" s="97" t="s">
        <v>99</v>
      </c>
      <c r="K328" s="98">
        <v>208</v>
      </c>
      <c r="L328" s="133" t="s">
        <v>743</v>
      </c>
      <c r="M328" s="87" t="s">
        <v>913</v>
      </c>
      <c r="N328" s="87">
        <v>17</v>
      </c>
      <c r="O328" s="119" t="s">
        <v>914</v>
      </c>
      <c r="P328" s="119">
        <v>21</v>
      </c>
      <c r="R328" s="87"/>
      <c r="S328" s="26">
        <v>2054</v>
      </c>
      <c r="T328" s="26" t="s">
        <v>1332</v>
      </c>
      <c r="U328" s="26">
        <v>2057</v>
      </c>
      <c r="V328" s="26" t="s">
        <v>1328</v>
      </c>
      <c r="W328" s="62">
        <v>44816</v>
      </c>
      <c r="X328" s="62">
        <v>45086</v>
      </c>
      <c r="Y328" s="62"/>
      <c r="Z328" s="62"/>
      <c r="AA328" s="22" t="s">
        <v>1106</v>
      </c>
      <c r="AB328" s="23"/>
      <c r="AC328" s="23"/>
      <c r="AD328" s="23"/>
      <c r="AE328" s="23" t="s">
        <v>731</v>
      </c>
      <c r="AF328" s="23" t="s">
        <v>731</v>
      </c>
      <c r="AG328" s="23" t="s">
        <v>731</v>
      </c>
      <c r="AH328" s="23" t="s">
        <v>731</v>
      </c>
      <c r="AI328" s="23" t="s">
        <v>731</v>
      </c>
      <c r="AJ328" s="23" t="s">
        <v>731</v>
      </c>
      <c r="AK328" s="23" t="s">
        <v>731</v>
      </c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42">
        <v>18</v>
      </c>
      <c r="AW328" s="18"/>
      <c r="AY328" s="42"/>
      <c r="AZ328" s="42"/>
      <c r="BB328" s="45">
        <v>1</v>
      </c>
      <c r="BC328" s="41">
        <f>IF(AND((AV328/I328)&lt;2,BB328=1),(I328*2)-AV328,0)</f>
        <v>0</v>
      </c>
      <c r="BD328" s="41">
        <f>IF(AND((AV328/I328)&lt;3,BB328=2),(I328*3)-AV328,0)</f>
        <v>0</v>
      </c>
      <c r="BG328" s="18"/>
      <c r="BH328" s="18">
        <v>17</v>
      </c>
      <c r="BI328" s="18">
        <v>25</v>
      </c>
      <c r="BJ328" s="18">
        <v>25</v>
      </c>
      <c r="BK328" s="18">
        <v>18</v>
      </c>
      <c r="BL328" s="18">
        <v>20</v>
      </c>
      <c r="BM328" s="55">
        <f>SUM(AV328:AX328)+SUM(BC328:BD328)+SUM(BE328:BF328)+BG328</f>
        <v>18</v>
      </c>
      <c r="BN328" s="55"/>
      <c r="BO328" s="55"/>
      <c r="BP328" s="55"/>
      <c r="BQ328" s="55"/>
      <c r="BR328" s="55"/>
      <c r="BS328" s="55"/>
      <c r="BT328" s="55"/>
      <c r="BU328" s="55"/>
      <c r="BV328" s="55"/>
      <c r="BW328" s="55"/>
      <c r="BX328" s="55"/>
      <c r="BY328" s="55"/>
    </row>
    <row r="329" spans="1:78" ht="25.5">
      <c r="B329" s="89">
        <v>323</v>
      </c>
      <c r="C329" s="93">
        <v>204</v>
      </c>
      <c r="D329" s="97">
        <v>276</v>
      </c>
      <c r="E329" s="94">
        <v>0.50486111111111109</v>
      </c>
      <c r="F329" s="94">
        <v>0.49861111111111112</v>
      </c>
      <c r="G329" s="93" t="s">
        <v>714</v>
      </c>
      <c r="H329" s="93" t="s">
        <v>105</v>
      </c>
      <c r="I329" s="96">
        <v>4</v>
      </c>
      <c r="J329" s="97" t="s">
        <v>99</v>
      </c>
      <c r="K329" s="98">
        <v>67</v>
      </c>
      <c r="L329" s="133" t="s">
        <v>743</v>
      </c>
      <c r="M329" s="87" t="s">
        <v>913</v>
      </c>
      <c r="N329" s="87">
        <v>17</v>
      </c>
      <c r="O329" s="119" t="s">
        <v>914</v>
      </c>
      <c r="P329" s="119">
        <v>21</v>
      </c>
      <c r="R329" s="87"/>
      <c r="S329" s="26">
        <v>2054</v>
      </c>
      <c r="T329" s="26" t="s">
        <v>1332</v>
      </c>
      <c r="U329" s="26">
        <v>2057</v>
      </c>
      <c r="V329" s="26" t="s">
        <v>1328</v>
      </c>
      <c r="W329" s="63">
        <v>44562</v>
      </c>
      <c r="X329" s="63">
        <v>44815</v>
      </c>
      <c r="Y329" s="63">
        <v>45101</v>
      </c>
      <c r="Z329" s="63">
        <v>45169</v>
      </c>
      <c r="AA329" s="23" t="s">
        <v>1107</v>
      </c>
      <c r="AB329" s="23"/>
      <c r="AC329" s="23" t="s">
        <v>731</v>
      </c>
      <c r="AD329" s="23" t="s">
        <v>731</v>
      </c>
      <c r="AE329" s="23"/>
      <c r="AF329" s="23" t="s">
        <v>731</v>
      </c>
      <c r="AG329" s="23" t="s">
        <v>731</v>
      </c>
      <c r="AH329" s="23" t="s">
        <v>731</v>
      </c>
      <c r="AI329" s="23" t="s">
        <v>731</v>
      </c>
      <c r="AJ329" s="23" t="s">
        <v>731</v>
      </c>
      <c r="AK329" s="23" t="s">
        <v>731</v>
      </c>
      <c r="AL329" s="23"/>
      <c r="AM329" s="23"/>
      <c r="AN329" s="23"/>
      <c r="AO329" s="23"/>
      <c r="AP329" s="23"/>
      <c r="AQ329" s="23"/>
      <c r="AR329" s="23"/>
      <c r="AS329" s="23"/>
      <c r="AT329" s="23"/>
      <c r="AU329" s="23"/>
      <c r="AV329" s="42">
        <v>25</v>
      </c>
      <c r="AW329" s="18"/>
      <c r="AY329" s="42"/>
      <c r="AZ329" s="42"/>
      <c r="BB329" s="45">
        <v>1</v>
      </c>
      <c r="BC329" s="41">
        <f>IF(AND((AV329/I329)&lt;2,BB329=1),(I329*2)-AV329,0)</f>
        <v>0</v>
      </c>
      <c r="BD329" s="41">
        <f>IF(AND((AV329/I329)&lt;3,BB329=2),(I329*3)-AV329,0)</f>
        <v>0</v>
      </c>
      <c r="BG329" s="18"/>
      <c r="BH329" s="18">
        <v>9</v>
      </c>
      <c r="BI329" s="18">
        <v>0</v>
      </c>
      <c r="BJ329" s="18">
        <v>0</v>
      </c>
      <c r="BK329" s="18">
        <v>0</v>
      </c>
      <c r="BL329" s="18">
        <v>0</v>
      </c>
      <c r="BM329" s="55">
        <f>SUM(AV329:AX329)+SUM(BC329:BD329)+SUM(BE329:BF329)+BG329</f>
        <v>25</v>
      </c>
      <c r="BN329" s="55"/>
      <c r="BO329" s="55"/>
      <c r="BP329" s="55"/>
      <c r="BQ329" s="55"/>
      <c r="BR329" s="55"/>
      <c r="BS329" s="55"/>
      <c r="BT329" s="55"/>
      <c r="BU329" s="55"/>
      <c r="BV329" s="55"/>
      <c r="BW329" s="55"/>
      <c r="BX329" s="55"/>
      <c r="BY329" s="55"/>
    </row>
    <row r="330" spans="1:78" ht="25.5">
      <c r="B330" s="89">
        <v>324</v>
      </c>
      <c r="C330" s="93">
        <v>204</v>
      </c>
      <c r="D330" s="95">
        <v>427</v>
      </c>
      <c r="E330" s="105">
        <v>0.62361111111111112</v>
      </c>
      <c r="F330" s="105">
        <v>0.64583333333333337</v>
      </c>
      <c r="G330" s="93" t="s">
        <v>467</v>
      </c>
      <c r="H330" s="93" t="s">
        <v>103</v>
      </c>
      <c r="I330" s="96">
        <v>16</v>
      </c>
      <c r="J330" s="97" t="s">
        <v>93</v>
      </c>
      <c r="K330" s="98">
        <v>174</v>
      </c>
      <c r="L330" s="99" t="s">
        <v>740</v>
      </c>
      <c r="M330" s="87" t="s">
        <v>947</v>
      </c>
      <c r="N330" s="87">
        <v>17</v>
      </c>
      <c r="O330" s="87" t="s">
        <v>945</v>
      </c>
      <c r="P330" s="83">
        <v>57</v>
      </c>
      <c r="Q330" s="83"/>
      <c r="R330" s="87"/>
      <c r="S330" s="26">
        <v>2127</v>
      </c>
      <c r="T330" s="26" t="s">
        <v>1331</v>
      </c>
      <c r="U330" s="26">
        <v>2048</v>
      </c>
      <c r="V330" s="26" t="s">
        <v>1326</v>
      </c>
      <c r="W330" s="62">
        <v>44816</v>
      </c>
      <c r="X330" s="62">
        <v>45086</v>
      </c>
      <c r="Y330" s="62"/>
      <c r="Z330" s="62"/>
      <c r="AA330" s="22" t="s">
        <v>1102</v>
      </c>
      <c r="AB330" s="23"/>
      <c r="AC330" s="23"/>
      <c r="AD330" s="23"/>
      <c r="AE330" s="23" t="s">
        <v>731</v>
      </c>
      <c r="AF330" s="23" t="s">
        <v>731</v>
      </c>
      <c r="AG330" s="23" t="s">
        <v>731</v>
      </c>
      <c r="AH330" s="23" t="s">
        <v>731</v>
      </c>
      <c r="AI330" s="23" t="s">
        <v>731</v>
      </c>
      <c r="AJ330" s="23" t="s">
        <v>731</v>
      </c>
      <c r="AK330" s="23"/>
      <c r="AL330" s="23"/>
      <c r="AM330" s="23"/>
      <c r="AN330" s="23"/>
      <c r="AO330" s="23"/>
      <c r="AP330" s="23"/>
      <c r="AQ330" s="23"/>
      <c r="AR330" s="23"/>
      <c r="AS330" s="23"/>
      <c r="AT330" s="23"/>
      <c r="AU330" s="23"/>
      <c r="AV330" s="42">
        <v>48</v>
      </c>
      <c r="AW330" s="18"/>
      <c r="AY330" s="42"/>
      <c r="AZ330" s="42"/>
      <c r="BB330" s="45">
        <v>1</v>
      </c>
      <c r="BC330" s="41">
        <f>IF(AND((AV330/I330)&lt;2,BB330=1),(I330*2)-AV330,0)</f>
        <v>0</v>
      </c>
      <c r="BD330" s="41">
        <f>IF(AND((AV330/I330)&lt;3,BB330=2),(I330*3)-AV330,0)</f>
        <v>0</v>
      </c>
      <c r="BG330" s="18"/>
      <c r="BH330" s="18">
        <v>15</v>
      </c>
      <c r="BI330" s="18">
        <v>20</v>
      </c>
      <c r="BJ330" s="18">
        <v>21</v>
      </c>
      <c r="BK330" s="18">
        <v>15</v>
      </c>
      <c r="BL330" s="18">
        <v>17</v>
      </c>
      <c r="BM330" s="55">
        <f>SUM(AV330:AX330)+SUM(BC330:BD330)+SUM(BE330:BF330)+BG330</f>
        <v>48</v>
      </c>
      <c r="BN330" s="55"/>
      <c r="BO330" s="55"/>
      <c r="BP330" s="55"/>
      <c r="BQ330" s="55"/>
      <c r="BR330" s="55"/>
      <c r="BS330" s="55"/>
      <c r="BT330" s="55"/>
      <c r="BU330" s="55"/>
      <c r="BV330" s="55"/>
      <c r="BW330" s="55"/>
      <c r="BX330" s="55"/>
      <c r="BY330" s="55"/>
    </row>
    <row r="331" spans="1:78" ht="25.5">
      <c r="B331" s="89">
        <v>325</v>
      </c>
      <c r="C331" s="93">
        <v>204</v>
      </c>
      <c r="D331" s="93">
        <v>160</v>
      </c>
      <c r="E331" s="94">
        <v>0.71875</v>
      </c>
      <c r="F331" s="94">
        <v>0.74930555555555556</v>
      </c>
      <c r="G331" s="93" t="s">
        <v>439</v>
      </c>
      <c r="H331" s="93" t="s">
        <v>549</v>
      </c>
      <c r="I331" s="96">
        <v>27</v>
      </c>
      <c r="J331" s="97" t="s">
        <v>188</v>
      </c>
      <c r="K331" s="98">
        <v>13</v>
      </c>
      <c r="L331" s="99" t="s">
        <v>744</v>
      </c>
      <c r="M331" s="87" t="s">
        <v>847</v>
      </c>
      <c r="N331" s="87">
        <v>31</v>
      </c>
      <c r="O331" s="87" t="s">
        <v>1240</v>
      </c>
      <c r="P331" s="83">
        <v>57</v>
      </c>
      <c r="R331" s="87"/>
      <c r="S331" s="26">
        <v>1</v>
      </c>
      <c r="T331" s="26" t="s">
        <v>1309</v>
      </c>
      <c r="U331" s="26">
        <v>2054</v>
      </c>
      <c r="V331" s="26" t="s">
        <v>1332</v>
      </c>
      <c r="W331" s="63">
        <v>44562</v>
      </c>
      <c r="X331" s="63">
        <v>44815</v>
      </c>
      <c r="Y331" s="63">
        <v>45101</v>
      </c>
      <c r="Z331" s="63">
        <v>45169</v>
      </c>
      <c r="AA331" s="17" t="s">
        <v>1104</v>
      </c>
      <c r="AB331" s="23"/>
      <c r="AC331" s="23" t="s">
        <v>731</v>
      </c>
      <c r="AD331" s="23"/>
      <c r="AE331" s="23"/>
      <c r="AF331" s="23"/>
      <c r="AG331" s="23"/>
      <c r="AH331" s="23"/>
      <c r="AI331" s="23"/>
      <c r="AJ331" s="23"/>
      <c r="AK331" s="23"/>
      <c r="AL331" s="23" t="s">
        <v>731</v>
      </c>
      <c r="AM331" s="23"/>
      <c r="AN331" s="23"/>
      <c r="AO331" s="23"/>
      <c r="AP331" s="23"/>
      <c r="AQ331" s="23"/>
      <c r="AR331" s="23"/>
      <c r="AS331" s="23"/>
      <c r="AT331" s="23"/>
      <c r="AU331" s="23"/>
      <c r="AV331" s="42">
        <v>81</v>
      </c>
      <c r="AW331" s="18"/>
      <c r="AY331" s="42"/>
      <c r="AZ331" s="42"/>
      <c r="BB331" s="45">
        <v>1</v>
      </c>
      <c r="BC331" s="41">
        <f>IF(AND((AV331/I331)&lt;2,BB331=1),(I331*2)-AV331,0)</f>
        <v>0</v>
      </c>
      <c r="BD331" s="41">
        <f>IF(AND((AV331/I331)&lt;3,BB331=2),(I331*3)-AV331,0)</f>
        <v>0</v>
      </c>
      <c r="BG331" s="18"/>
      <c r="BH331" s="18">
        <v>2</v>
      </c>
      <c r="BI331" s="18">
        <v>0</v>
      </c>
      <c r="BJ331" s="18">
        <v>0</v>
      </c>
      <c r="BK331" s="18">
        <v>0</v>
      </c>
      <c r="BL331" s="18">
        <v>0</v>
      </c>
      <c r="BM331" s="55">
        <f>SUM(AV331:AX331)+SUM(BC331:BD331)+SUM(BE331:BF331)+BG331</f>
        <v>81</v>
      </c>
      <c r="BN331" s="55"/>
      <c r="BO331" s="55"/>
      <c r="BP331" s="55"/>
      <c r="BQ331" s="55"/>
      <c r="BR331" s="55"/>
      <c r="BS331" s="55"/>
      <c r="BT331" s="55"/>
      <c r="BU331" s="55"/>
      <c r="BV331" s="55"/>
      <c r="BW331" s="55"/>
      <c r="BX331" s="55"/>
      <c r="BY331" s="55"/>
    </row>
    <row r="332" spans="1:78" ht="25.5">
      <c r="B332" s="89">
        <v>326</v>
      </c>
      <c r="C332" s="93">
        <v>204</v>
      </c>
      <c r="D332" s="95">
        <v>162</v>
      </c>
      <c r="E332" s="94">
        <v>0.73611111111111116</v>
      </c>
      <c r="F332" s="94">
        <v>0.75138888888888899</v>
      </c>
      <c r="G332" s="93" t="s">
        <v>439</v>
      </c>
      <c r="H332" s="93" t="s">
        <v>103</v>
      </c>
      <c r="I332" s="96">
        <v>27.6</v>
      </c>
      <c r="J332" s="97" t="s">
        <v>101</v>
      </c>
      <c r="K332" s="98">
        <v>174</v>
      </c>
      <c r="L332" s="99" t="s">
        <v>740</v>
      </c>
      <c r="M332" s="87" t="s">
        <v>945</v>
      </c>
      <c r="N332" s="87">
        <v>57</v>
      </c>
      <c r="O332" s="87" t="s">
        <v>1220</v>
      </c>
      <c r="P332" s="83">
        <v>54</v>
      </c>
      <c r="Q332" s="83" t="s">
        <v>944</v>
      </c>
      <c r="R332" s="87">
        <v>55</v>
      </c>
      <c r="S332" s="26">
        <v>1</v>
      </c>
      <c r="T332" s="26" t="s">
        <v>1309</v>
      </c>
      <c r="U332" s="26">
        <v>2054</v>
      </c>
      <c r="V332" s="26" t="s">
        <v>1332</v>
      </c>
      <c r="W332" s="62">
        <v>44816</v>
      </c>
      <c r="X332" s="62">
        <v>45086</v>
      </c>
      <c r="Y332" s="62"/>
      <c r="Z332" s="62"/>
      <c r="AA332" s="22" t="s">
        <v>1102</v>
      </c>
      <c r="AB332" s="23"/>
      <c r="AC332" s="23"/>
      <c r="AD332" s="23"/>
      <c r="AE332" s="23" t="s">
        <v>731</v>
      </c>
      <c r="AF332" s="23" t="s">
        <v>731</v>
      </c>
      <c r="AG332" s="23" t="s">
        <v>731</v>
      </c>
      <c r="AH332" s="23" t="s">
        <v>731</v>
      </c>
      <c r="AI332" s="23" t="s">
        <v>731</v>
      </c>
      <c r="AJ332" s="23" t="s">
        <v>731</v>
      </c>
      <c r="AK332" s="23"/>
      <c r="AL332" s="23"/>
      <c r="AM332" s="23"/>
      <c r="AN332" s="23"/>
      <c r="AO332" s="23"/>
      <c r="AP332" s="23"/>
      <c r="AQ332" s="23"/>
      <c r="AR332" s="23"/>
      <c r="AS332" s="23"/>
      <c r="AT332" s="23"/>
      <c r="AU332" s="23"/>
      <c r="AV332" s="42">
        <v>82.8</v>
      </c>
      <c r="AW332" s="18"/>
      <c r="AY332" s="42"/>
      <c r="AZ332" s="42"/>
      <c r="BB332" s="43">
        <v>2</v>
      </c>
      <c r="BC332" s="41">
        <f>IF(AND((AV332/I332)&lt;2,BB332=1),(I332*2)-AV332,0)</f>
        <v>0</v>
      </c>
      <c r="BD332" s="41">
        <f>IF(AND((AV332/I332)&lt;3,BB332=2),(I332*3)-AV332,0)</f>
        <v>0</v>
      </c>
      <c r="BG332" s="18"/>
      <c r="BH332" s="18">
        <v>15</v>
      </c>
      <c r="BI332" s="18">
        <v>20</v>
      </c>
      <c r="BJ332" s="18">
        <v>21</v>
      </c>
      <c r="BK332" s="18">
        <v>15</v>
      </c>
      <c r="BL332" s="18">
        <v>17</v>
      </c>
      <c r="BM332" s="55">
        <f>SUM(AV332:AX332)+SUM(BC332:BD332)+SUM(BE332:BF332)+BG332</f>
        <v>82.8</v>
      </c>
      <c r="BN332" s="55"/>
      <c r="BO332" s="55"/>
      <c r="BP332" s="55"/>
      <c r="BQ332" s="55"/>
      <c r="BR332" s="55"/>
      <c r="BS332" s="55"/>
      <c r="BT332" s="55"/>
      <c r="BU332" s="55"/>
      <c r="BV332" s="55"/>
      <c r="BW332" s="55"/>
      <c r="BX332" s="55"/>
      <c r="BY332" s="55"/>
    </row>
    <row r="333" spans="1:78" ht="25.5">
      <c r="B333" s="89">
        <v>327</v>
      </c>
      <c r="C333" s="93">
        <v>204</v>
      </c>
      <c r="D333" s="97">
        <v>412</v>
      </c>
      <c r="E333" s="94">
        <v>0.75</v>
      </c>
      <c r="F333" s="94">
        <v>0.75486111111111109</v>
      </c>
      <c r="G333" s="93" t="s">
        <v>714</v>
      </c>
      <c r="H333" s="93" t="s">
        <v>107</v>
      </c>
      <c r="I333" s="96">
        <v>4</v>
      </c>
      <c r="J333" s="97" t="s">
        <v>99</v>
      </c>
      <c r="K333" s="98">
        <v>29</v>
      </c>
      <c r="L333" s="133" t="s">
        <v>743</v>
      </c>
      <c r="M333" s="87" t="s">
        <v>913</v>
      </c>
      <c r="N333" s="87">
        <v>17</v>
      </c>
      <c r="O333" s="119" t="s">
        <v>914</v>
      </c>
      <c r="P333" s="116">
        <v>21</v>
      </c>
      <c r="R333" s="87"/>
      <c r="S333" s="26">
        <v>2054</v>
      </c>
      <c r="T333" s="26" t="s">
        <v>1332</v>
      </c>
      <c r="U333" s="26">
        <v>2057</v>
      </c>
      <c r="V333" s="26" t="s">
        <v>1328</v>
      </c>
      <c r="W333" s="63">
        <v>44816</v>
      </c>
      <c r="X333" s="63">
        <v>45100</v>
      </c>
      <c r="Y333" s="63"/>
      <c r="Z333" s="63"/>
      <c r="AA333" s="22" t="s">
        <v>1110</v>
      </c>
      <c r="AB333" s="23" t="s">
        <v>731</v>
      </c>
      <c r="AC333" s="23"/>
      <c r="AD333" s="23" t="s">
        <v>731</v>
      </c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 t="s">
        <v>731</v>
      </c>
      <c r="AQ333" s="23" t="s">
        <v>731</v>
      </c>
      <c r="AR333" s="23" t="s">
        <v>731</v>
      </c>
      <c r="AS333" s="23" t="s">
        <v>731</v>
      </c>
      <c r="AT333" s="23" t="s">
        <v>731</v>
      </c>
      <c r="AU333" s="23" t="s">
        <v>731</v>
      </c>
      <c r="AV333" s="42">
        <v>25</v>
      </c>
      <c r="AW333" s="18"/>
      <c r="AY333" s="42"/>
      <c r="AZ333" s="42"/>
      <c r="BB333" s="45">
        <v>1</v>
      </c>
      <c r="BC333" s="41">
        <f>IF(AND((AV333/I333)&lt;2,BB333=1),(I333*2)-AV333,0)</f>
        <v>0</v>
      </c>
      <c r="BD333" s="41">
        <f>IF(AND((AV333/I333)&lt;3,BB333=2),(I333*3)-AV333,0)</f>
        <v>0</v>
      </c>
      <c r="BG333" s="18"/>
      <c r="BH333" s="18">
        <v>0</v>
      </c>
      <c r="BI333" s="18">
        <v>1</v>
      </c>
      <c r="BJ333" s="18">
        <v>0</v>
      </c>
      <c r="BK333" s="18">
        <v>7</v>
      </c>
      <c r="BL333" s="18">
        <v>5</v>
      </c>
      <c r="BM333" s="55">
        <f>SUM(AV333:AX333)+SUM(BC333:BD333)+SUM(BE333:BF333)+BG333</f>
        <v>25</v>
      </c>
      <c r="BN333" s="55"/>
      <c r="BO333" s="55"/>
      <c r="BP333" s="55"/>
      <c r="BQ333" s="55"/>
      <c r="BR333" s="55"/>
      <c r="BS333" s="55"/>
      <c r="BT333" s="55"/>
      <c r="BU333" s="55"/>
      <c r="BV333" s="55"/>
      <c r="BW333" s="55"/>
      <c r="BX333" s="55"/>
      <c r="BY333" s="55"/>
    </row>
    <row r="334" spans="1:78" ht="25.5">
      <c r="B334" s="89">
        <v>328</v>
      </c>
      <c r="C334" s="93">
        <v>204</v>
      </c>
      <c r="D334" s="97">
        <v>412</v>
      </c>
      <c r="E334" s="94">
        <v>0.75</v>
      </c>
      <c r="F334" s="94">
        <v>0.75763888888888886</v>
      </c>
      <c r="G334" s="93" t="s">
        <v>686</v>
      </c>
      <c r="H334" s="93" t="s">
        <v>97</v>
      </c>
      <c r="I334" s="96">
        <v>7.5</v>
      </c>
      <c r="J334" s="97" t="s">
        <v>146</v>
      </c>
      <c r="K334" s="98">
        <v>208</v>
      </c>
      <c r="L334" s="133" t="s">
        <v>743</v>
      </c>
      <c r="M334" s="87" t="s">
        <v>913</v>
      </c>
      <c r="N334" s="87">
        <v>17</v>
      </c>
      <c r="O334" s="119" t="s">
        <v>914</v>
      </c>
      <c r="P334" s="116">
        <v>21</v>
      </c>
      <c r="R334" s="87"/>
      <c r="S334" s="26">
        <v>2054</v>
      </c>
      <c r="T334" s="26" t="s">
        <v>1332</v>
      </c>
      <c r="U334" s="26">
        <v>2057</v>
      </c>
      <c r="V334" s="26" t="s">
        <v>1328</v>
      </c>
      <c r="W334" s="62">
        <v>44816</v>
      </c>
      <c r="X334" s="62">
        <v>45086</v>
      </c>
      <c r="Y334" s="62"/>
      <c r="Z334" s="62"/>
      <c r="AA334" s="22" t="s">
        <v>1106</v>
      </c>
      <c r="AB334" s="23"/>
      <c r="AC334" s="23"/>
      <c r="AD334" s="23"/>
      <c r="AE334" s="23" t="s">
        <v>731</v>
      </c>
      <c r="AF334" s="23" t="s">
        <v>731</v>
      </c>
      <c r="AG334" s="23" t="s">
        <v>731</v>
      </c>
      <c r="AH334" s="23" t="s">
        <v>731</v>
      </c>
      <c r="AI334" s="23" t="s">
        <v>731</v>
      </c>
      <c r="AJ334" s="23" t="s">
        <v>731</v>
      </c>
      <c r="AK334" s="23" t="s">
        <v>731</v>
      </c>
      <c r="AL334" s="23"/>
      <c r="AM334" s="23"/>
      <c r="AN334" s="23"/>
      <c r="AO334" s="23"/>
      <c r="AP334" s="23"/>
      <c r="AQ334" s="23"/>
      <c r="AR334" s="23"/>
      <c r="AS334" s="23"/>
      <c r="AT334" s="23"/>
      <c r="AU334" s="23"/>
      <c r="AV334" s="42">
        <f>12.77+6.3</f>
        <v>19.07</v>
      </c>
      <c r="AW334" s="18"/>
      <c r="AY334" s="42"/>
      <c r="AZ334" s="42"/>
      <c r="BB334" s="45">
        <v>1</v>
      </c>
      <c r="BC334" s="41">
        <f>IF(AND((AV334/I334)&lt;2,BB334=1),(I334*2)-AV334,0)</f>
        <v>0</v>
      </c>
      <c r="BD334" s="41">
        <f>IF(AND((AV334/I334)&lt;3,BB334=2),(I334*3)-AV334,0)</f>
        <v>0</v>
      </c>
      <c r="BG334" s="18"/>
      <c r="BH334" s="18">
        <v>17</v>
      </c>
      <c r="BI334" s="18">
        <v>25</v>
      </c>
      <c r="BJ334" s="18">
        <v>25</v>
      </c>
      <c r="BK334" s="18">
        <v>18</v>
      </c>
      <c r="BL334" s="18">
        <v>20</v>
      </c>
      <c r="BM334" s="55">
        <f>SUM(AV334:AX334)+SUM(BC334:BD334)+SUM(BE334:BF334)+BG334</f>
        <v>19.07</v>
      </c>
      <c r="BN334" s="55"/>
      <c r="BO334" s="55"/>
      <c r="BP334" s="55"/>
      <c r="BQ334" s="55"/>
      <c r="BR334" s="55"/>
      <c r="BS334" s="55"/>
      <c r="BT334" s="55"/>
      <c r="BU334" s="55"/>
      <c r="BV334" s="55"/>
      <c r="BW334" s="55"/>
      <c r="BX334" s="55"/>
      <c r="BY334" s="55"/>
    </row>
    <row r="335" spans="1:78" ht="22.5">
      <c r="B335" s="89">
        <v>329</v>
      </c>
      <c r="C335" s="101">
        <v>204</v>
      </c>
      <c r="D335" s="101">
        <v>164</v>
      </c>
      <c r="E335" s="102">
        <v>0.77777777777777779</v>
      </c>
      <c r="F335" s="102">
        <v>0.81319444444444444</v>
      </c>
      <c r="G335" s="103" t="s">
        <v>2</v>
      </c>
      <c r="H335" s="103" t="s">
        <v>1</v>
      </c>
      <c r="I335" s="101">
        <v>31</v>
      </c>
      <c r="J335" s="104">
        <v>50</v>
      </c>
      <c r="K335" s="98">
        <v>67</v>
      </c>
      <c r="L335" s="99" t="s">
        <v>740</v>
      </c>
      <c r="M335" s="87" t="s">
        <v>945</v>
      </c>
      <c r="N335" s="87">
        <v>57</v>
      </c>
      <c r="O335" s="87" t="s">
        <v>1220</v>
      </c>
      <c r="P335" s="83">
        <v>54</v>
      </c>
      <c r="Q335" s="83" t="s">
        <v>944</v>
      </c>
      <c r="R335" s="87">
        <v>55</v>
      </c>
      <c r="S335" s="26">
        <v>1</v>
      </c>
      <c r="T335" s="26" t="s">
        <v>1309</v>
      </c>
      <c r="U335" s="26">
        <v>2057</v>
      </c>
      <c r="V335" s="26" t="s">
        <v>1328</v>
      </c>
      <c r="W335" s="63">
        <v>44562</v>
      </c>
      <c r="X335" s="63">
        <v>44815</v>
      </c>
      <c r="Y335" s="63">
        <v>45101</v>
      </c>
      <c r="Z335" s="63">
        <v>45169</v>
      </c>
      <c r="AA335" s="23" t="s">
        <v>1107</v>
      </c>
      <c r="AB335" s="23"/>
      <c r="AC335" s="23" t="s">
        <v>731</v>
      </c>
      <c r="AD335" s="23" t="s">
        <v>731</v>
      </c>
      <c r="AE335" s="23"/>
      <c r="AF335" s="23" t="s">
        <v>731</v>
      </c>
      <c r="AG335" s="23" t="s">
        <v>731</v>
      </c>
      <c r="AH335" s="23" t="s">
        <v>731</v>
      </c>
      <c r="AI335" s="23" t="s">
        <v>731</v>
      </c>
      <c r="AJ335" s="23" t="s">
        <v>731</v>
      </c>
      <c r="AK335" s="23" t="s">
        <v>731</v>
      </c>
      <c r="AL335" s="23"/>
      <c r="AM335" s="23"/>
      <c r="AN335" s="23"/>
      <c r="AO335" s="23"/>
      <c r="AP335" s="23"/>
      <c r="AQ335" s="23"/>
      <c r="AR335" s="23"/>
      <c r="AS335" s="23"/>
      <c r="AT335" s="23"/>
      <c r="AU335" s="23"/>
      <c r="AW335" s="41">
        <v>220</v>
      </c>
      <c r="AY335" s="41"/>
      <c r="AZ335" s="41"/>
      <c r="BB335" s="43">
        <v>2</v>
      </c>
      <c r="BD335" s="41"/>
      <c r="BE335" s="41">
        <f>IF(AND((AW335/I335)&lt;2,BB335=1),(I335*2)-AW335,0)</f>
        <v>0</v>
      </c>
      <c r="BF335" s="41">
        <f>IF(AND((AW335/I335)&lt;3,BB335=2),(I335*3)-AW335,0)</f>
        <v>0</v>
      </c>
      <c r="BG335" s="18"/>
      <c r="BH335" s="18">
        <v>9</v>
      </c>
      <c r="BI335" s="18">
        <v>0</v>
      </c>
      <c r="BJ335" s="18">
        <v>0</v>
      </c>
      <c r="BK335" s="18">
        <v>0</v>
      </c>
      <c r="BL335" s="18">
        <v>0</v>
      </c>
      <c r="BM335" s="55">
        <f>SUM(AV335:AX335)+SUM(BC335:BD335)+SUM(BE335:BF335)+BG335</f>
        <v>220</v>
      </c>
      <c r="BN335" s="55"/>
      <c r="BO335" s="55"/>
      <c r="BP335" s="55"/>
      <c r="BQ335" s="55"/>
      <c r="BR335" s="55"/>
      <c r="BS335" s="55"/>
      <c r="BT335" s="55"/>
      <c r="BU335" s="55"/>
      <c r="BV335" s="55"/>
      <c r="BW335" s="55"/>
      <c r="BX335" s="55"/>
      <c r="BY335" s="55"/>
    </row>
    <row r="336" spans="1:78" ht="25.5">
      <c r="B336" s="89">
        <v>330</v>
      </c>
      <c r="C336" s="101">
        <v>204</v>
      </c>
      <c r="D336" s="101">
        <v>168</v>
      </c>
      <c r="E336" s="102">
        <v>0.8125</v>
      </c>
      <c r="F336" s="102">
        <v>0.84305555555555556</v>
      </c>
      <c r="G336" s="103" t="s">
        <v>0</v>
      </c>
      <c r="H336" s="93" t="s">
        <v>478</v>
      </c>
      <c r="I336" s="101">
        <v>27</v>
      </c>
      <c r="J336" s="104">
        <v>40</v>
      </c>
      <c r="K336" s="98">
        <v>240</v>
      </c>
      <c r="L336" s="99" t="s">
        <v>740</v>
      </c>
      <c r="M336" s="87" t="s">
        <v>945</v>
      </c>
      <c r="N336" s="87">
        <v>57</v>
      </c>
      <c r="O336" s="87" t="s">
        <v>1220</v>
      </c>
      <c r="P336" s="83">
        <v>54</v>
      </c>
      <c r="Q336" s="83" t="s">
        <v>944</v>
      </c>
      <c r="R336" s="87">
        <v>55</v>
      </c>
      <c r="S336" s="26">
        <v>1</v>
      </c>
      <c r="T336" s="26" t="s">
        <v>1309</v>
      </c>
      <c r="U336" s="26">
        <v>2054</v>
      </c>
      <c r="V336" s="26" t="s">
        <v>1332</v>
      </c>
      <c r="W336" s="63">
        <v>44816</v>
      </c>
      <c r="X336" s="63">
        <v>45100</v>
      </c>
      <c r="Y336" s="63"/>
      <c r="Z336" s="63"/>
      <c r="AA336" s="26" t="s">
        <v>1112</v>
      </c>
      <c r="AB336" s="23" t="s">
        <v>731</v>
      </c>
      <c r="AC336" s="23"/>
      <c r="AD336" s="23" t="s">
        <v>731</v>
      </c>
      <c r="AE336" s="23"/>
      <c r="AF336" s="23" t="s">
        <v>731</v>
      </c>
      <c r="AG336" s="23" t="s">
        <v>731</v>
      </c>
      <c r="AH336" s="23" t="s">
        <v>731</v>
      </c>
      <c r="AI336" s="23" t="s">
        <v>731</v>
      </c>
      <c r="AJ336" s="23" t="s">
        <v>731</v>
      </c>
      <c r="AK336" s="23" t="s">
        <v>731</v>
      </c>
      <c r="AL336" s="23"/>
      <c r="AM336" s="23"/>
      <c r="AN336" s="23"/>
      <c r="AO336" s="23"/>
      <c r="AP336" s="23"/>
      <c r="AQ336" s="23"/>
      <c r="AR336" s="23"/>
      <c r="AS336" s="23"/>
      <c r="AT336" s="23"/>
      <c r="AU336" s="23"/>
      <c r="AW336" s="41">
        <f>2.2*27</f>
        <v>59.400000000000006</v>
      </c>
      <c r="AY336" s="41"/>
      <c r="AZ336" s="41"/>
      <c r="BB336" s="43">
        <v>2</v>
      </c>
      <c r="BD336" s="41"/>
      <c r="BE336" s="41">
        <f>IF(AND((AW336/I336)&lt;2,BB336=1),(I336*2)-AW336,0)</f>
        <v>0</v>
      </c>
      <c r="BF336" s="41">
        <f>IF(AND((AW336/I336)&lt;3,BB336=2),(I336*3)-AW336,0)</f>
        <v>21.599999999999994</v>
      </c>
      <c r="BG336" s="18"/>
      <c r="BH336" s="18">
        <v>17</v>
      </c>
      <c r="BI336" s="18">
        <v>26</v>
      </c>
      <c r="BJ336" s="18">
        <v>25</v>
      </c>
      <c r="BK336" s="18">
        <v>25</v>
      </c>
      <c r="BL336" s="18">
        <v>25</v>
      </c>
      <c r="BM336" s="55">
        <f>SUM(AV336:AX336)+SUM(BC336:BD336)+SUM(BE336:BF336)+BG336</f>
        <v>81</v>
      </c>
      <c r="BN336" s="55"/>
      <c r="BO336" s="55"/>
      <c r="BP336" s="55"/>
      <c r="BQ336" s="55"/>
      <c r="BR336" s="55"/>
      <c r="BS336" s="55"/>
      <c r="BT336" s="55"/>
      <c r="BU336" s="55"/>
      <c r="BV336" s="55"/>
      <c r="BW336" s="55"/>
      <c r="BX336" s="55"/>
      <c r="BY336" s="55"/>
    </row>
    <row r="337" spans="1:78" ht="38.25">
      <c r="B337" s="89">
        <v>331</v>
      </c>
      <c r="C337" s="93">
        <v>204</v>
      </c>
      <c r="D337" s="95">
        <v>232</v>
      </c>
      <c r="E337" s="94">
        <v>0.86111111111111116</v>
      </c>
      <c r="F337" s="94">
        <v>0.90347222222222223</v>
      </c>
      <c r="G337" s="93" t="s">
        <v>610</v>
      </c>
      <c r="H337" s="93" t="s">
        <v>424</v>
      </c>
      <c r="I337" s="96">
        <f>39+3.9</f>
        <v>42.9</v>
      </c>
      <c r="J337" s="97" t="s">
        <v>93</v>
      </c>
      <c r="K337" s="98">
        <v>55</v>
      </c>
      <c r="L337" s="99" t="s">
        <v>723</v>
      </c>
      <c r="M337" s="87" t="s">
        <v>933</v>
      </c>
      <c r="N337" s="87">
        <v>21</v>
      </c>
      <c r="O337" s="87" t="s">
        <v>931</v>
      </c>
      <c r="P337" s="87">
        <v>23</v>
      </c>
      <c r="Q337" s="87" t="s">
        <v>934</v>
      </c>
      <c r="R337" s="85">
        <v>24</v>
      </c>
      <c r="S337" s="26">
        <v>1</v>
      </c>
      <c r="T337" s="26" t="s">
        <v>1309</v>
      </c>
      <c r="U337" s="26">
        <v>2057</v>
      </c>
      <c r="V337" s="26" t="s">
        <v>1328</v>
      </c>
      <c r="W337" s="63">
        <v>44562</v>
      </c>
      <c r="X337" s="63">
        <v>44815</v>
      </c>
      <c r="Y337" s="63">
        <v>45101</v>
      </c>
      <c r="Z337" s="63">
        <v>45169</v>
      </c>
      <c r="AA337" s="22" t="s">
        <v>1109</v>
      </c>
      <c r="AB337" s="23"/>
      <c r="AC337" s="23" t="s">
        <v>731</v>
      </c>
      <c r="AD337" s="23" t="s">
        <v>731</v>
      </c>
      <c r="AE337" s="23"/>
      <c r="AF337" s="23" t="s">
        <v>731</v>
      </c>
      <c r="AG337" s="23" t="s">
        <v>731</v>
      </c>
      <c r="AH337" s="23" t="s">
        <v>731</v>
      </c>
      <c r="AI337" s="23" t="s">
        <v>731</v>
      </c>
      <c r="AJ337" s="23" t="s">
        <v>731</v>
      </c>
      <c r="AK337" s="23"/>
      <c r="AL337" s="23"/>
      <c r="AM337" s="23"/>
      <c r="AN337" s="23"/>
      <c r="AO337" s="23"/>
      <c r="AP337" s="23"/>
      <c r="AQ337" s="23"/>
      <c r="AR337" s="23"/>
      <c r="AS337" s="23"/>
      <c r="AT337" s="23"/>
      <c r="AU337" s="23"/>
      <c r="AV337" s="42">
        <f>88.5+12</f>
        <v>100.5</v>
      </c>
      <c r="AW337" s="18"/>
      <c r="AY337" s="42"/>
      <c r="AZ337" s="42"/>
      <c r="BB337" s="45">
        <v>1</v>
      </c>
      <c r="BC337" s="41">
        <f>IF(AND((AV337/I337)&lt;2,BB337=1),(I337*2)-AV337,0)</f>
        <v>0</v>
      </c>
      <c r="BD337" s="41">
        <f>IF(AND((AV337/I337)&lt;3,BB337=2),(I337*3)-AV337,0)</f>
        <v>0</v>
      </c>
      <c r="BG337" s="18"/>
      <c r="BH337" s="18">
        <v>7</v>
      </c>
      <c r="BI337" s="18">
        <v>0</v>
      </c>
      <c r="BJ337" s="18">
        <v>0</v>
      </c>
      <c r="BK337" s="18">
        <v>0</v>
      </c>
      <c r="BL337" s="18">
        <v>0</v>
      </c>
      <c r="BM337" s="55">
        <f>SUM(AV337:AX337)+SUM(BC337:BD337)+SUM(BE337:BF337)+BG337</f>
        <v>100.5</v>
      </c>
      <c r="BN337" s="55"/>
      <c r="BO337" s="55"/>
      <c r="BP337" s="55"/>
      <c r="BQ337" s="55"/>
      <c r="BR337" s="55"/>
      <c r="BS337" s="55"/>
      <c r="BT337" s="55"/>
      <c r="BU337" s="55"/>
      <c r="BV337" s="55"/>
      <c r="BW337" s="55"/>
      <c r="BX337" s="55"/>
      <c r="BY337" s="55"/>
    </row>
    <row r="338" spans="1:78" ht="51">
      <c r="B338" s="89">
        <v>332</v>
      </c>
      <c r="C338" s="93">
        <v>205</v>
      </c>
      <c r="D338" s="95">
        <v>159</v>
      </c>
      <c r="E338" s="94">
        <v>0.27291666666666664</v>
      </c>
      <c r="F338" s="94">
        <v>0.30833333333333335</v>
      </c>
      <c r="G338" s="93" t="s">
        <v>605</v>
      </c>
      <c r="H338" s="93" t="s">
        <v>634</v>
      </c>
      <c r="I338" s="96">
        <f>31+1.5</f>
        <v>32.5</v>
      </c>
      <c r="J338" s="97" t="s">
        <v>191</v>
      </c>
      <c r="K338" s="98">
        <f>174-33</f>
        <v>141</v>
      </c>
      <c r="L338" s="99" t="s">
        <v>740</v>
      </c>
      <c r="M338" s="83" t="s">
        <v>943</v>
      </c>
      <c r="N338" s="83">
        <v>51</v>
      </c>
      <c r="O338" s="83" t="s">
        <v>944</v>
      </c>
      <c r="P338" s="83">
        <v>55</v>
      </c>
      <c r="Q338" s="83" t="s">
        <v>945</v>
      </c>
      <c r="R338" s="87">
        <v>57</v>
      </c>
      <c r="S338" s="26">
        <v>2128</v>
      </c>
      <c r="T338" s="26" t="s">
        <v>1469</v>
      </c>
      <c r="U338" s="26">
        <v>1</v>
      </c>
      <c r="V338" s="26" t="s">
        <v>1312</v>
      </c>
      <c r="W338" s="62">
        <v>44816</v>
      </c>
      <c r="X338" s="62">
        <v>45086</v>
      </c>
      <c r="Y338" s="62"/>
      <c r="Z338" s="62"/>
      <c r="AA338" s="26" t="s">
        <v>1126</v>
      </c>
      <c r="AB338" s="23"/>
      <c r="AC338" s="23"/>
      <c r="AD338" s="23"/>
      <c r="AE338" s="23" t="s">
        <v>731</v>
      </c>
      <c r="AF338" s="23"/>
      <c r="AG338" s="23" t="s">
        <v>731</v>
      </c>
      <c r="AH338" s="23" t="s">
        <v>731</v>
      </c>
      <c r="AI338" s="23" t="s">
        <v>731</v>
      </c>
      <c r="AJ338" s="23" t="s">
        <v>731</v>
      </c>
      <c r="AK338" s="23"/>
      <c r="AL338" s="23"/>
      <c r="AM338" s="23"/>
      <c r="AN338" s="23" t="s">
        <v>731</v>
      </c>
      <c r="AO338" s="23"/>
      <c r="AP338" s="23"/>
      <c r="AQ338" s="23"/>
      <c r="AR338" s="23"/>
      <c r="AS338" s="23"/>
      <c r="AT338" s="23"/>
      <c r="AU338" s="23"/>
      <c r="AV338" s="42">
        <v>147.68</v>
      </c>
      <c r="AW338" s="18"/>
      <c r="AY338" s="42"/>
      <c r="AZ338" s="42"/>
      <c r="BB338" s="43">
        <v>2</v>
      </c>
      <c r="BC338" s="41">
        <f>IF(AND((AV338/I338)&lt;2,BB338=1),(I338*2)-AV338,0)</f>
        <v>0</v>
      </c>
      <c r="BD338" s="41">
        <f>IF(AND((AV338/I338)&lt;3,BB338=2),(I338*3)-AV338,0)</f>
        <v>0</v>
      </c>
      <c r="BG338" s="41">
        <f>IF((AV338+AW338+AX338)&lt;20,(20-(AV338+AW338+AX338)),0)</f>
        <v>0</v>
      </c>
      <c r="BH338" s="18">
        <v>12</v>
      </c>
      <c r="BI338" s="18">
        <v>16</v>
      </c>
      <c r="BJ338" s="18">
        <v>16</v>
      </c>
      <c r="BK338" s="18">
        <v>11</v>
      </c>
      <c r="BL338" s="18">
        <v>13</v>
      </c>
      <c r="BM338" s="55">
        <f>SUM(AV338:AX338)+SUM(BC338:BD338)+SUM(BE338:BF338)+BG338</f>
        <v>147.68</v>
      </c>
      <c r="BN338" s="55"/>
      <c r="BO338" s="55"/>
      <c r="BP338" s="55"/>
      <c r="BQ338" s="55"/>
      <c r="BR338" s="55"/>
      <c r="BS338" s="55"/>
      <c r="BT338" s="55"/>
      <c r="BU338" s="55"/>
      <c r="BV338" s="55"/>
      <c r="BW338" s="55"/>
      <c r="BX338" s="55"/>
      <c r="BY338" s="55"/>
    </row>
    <row r="339" spans="1:78" ht="25.5">
      <c r="B339" s="89">
        <v>333</v>
      </c>
      <c r="C339" s="93">
        <v>205</v>
      </c>
      <c r="D339" s="95">
        <v>184</v>
      </c>
      <c r="E339" s="94">
        <v>0.29652777777777778</v>
      </c>
      <c r="F339" s="94">
        <v>0.31736111111111115</v>
      </c>
      <c r="G339" s="93" t="s">
        <v>462</v>
      </c>
      <c r="H339" s="93" t="s">
        <v>103</v>
      </c>
      <c r="I339" s="96">
        <v>11</v>
      </c>
      <c r="J339" s="97" t="s">
        <v>93</v>
      </c>
      <c r="K339" s="98">
        <v>174</v>
      </c>
      <c r="L339" s="99" t="s">
        <v>740</v>
      </c>
      <c r="M339" s="83" t="s">
        <v>942</v>
      </c>
      <c r="N339" s="83">
        <v>55</v>
      </c>
      <c r="O339" s="83" t="s">
        <v>1220</v>
      </c>
      <c r="P339" s="83">
        <v>54</v>
      </c>
      <c r="Q339" s="83" t="s">
        <v>945</v>
      </c>
      <c r="R339" s="87">
        <v>57</v>
      </c>
      <c r="S339" s="26">
        <v>2127</v>
      </c>
      <c r="T339" s="26" t="s">
        <v>1331</v>
      </c>
      <c r="U339" s="26">
        <v>960</v>
      </c>
      <c r="V339" s="26" t="s">
        <v>1327</v>
      </c>
      <c r="W339" s="62">
        <v>44816</v>
      </c>
      <c r="X339" s="62">
        <v>45086</v>
      </c>
      <c r="Y339" s="62"/>
      <c r="Z339" s="62"/>
      <c r="AA339" s="22" t="s">
        <v>1102</v>
      </c>
      <c r="AB339" s="23"/>
      <c r="AC339" s="23"/>
      <c r="AD339" s="23"/>
      <c r="AE339" s="23" t="s">
        <v>731</v>
      </c>
      <c r="AF339" s="23" t="s">
        <v>731</v>
      </c>
      <c r="AG339" s="23" t="s">
        <v>731</v>
      </c>
      <c r="AH339" s="23" t="s">
        <v>731</v>
      </c>
      <c r="AI339" s="23" t="s">
        <v>731</v>
      </c>
      <c r="AJ339" s="23" t="s">
        <v>731</v>
      </c>
      <c r="AK339" s="23"/>
      <c r="AL339" s="23"/>
      <c r="AM339" s="23"/>
      <c r="AN339" s="23"/>
      <c r="AO339" s="23"/>
      <c r="AP339" s="23"/>
      <c r="AQ339" s="23"/>
      <c r="AR339" s="23"/>
      <c r="AS339" s="23"/>
      <c r="AT339" s="23"/>
      <c r="AU339" s="23"/>
      <c r="AV339" s="42">
        <v>33</v>
      </c>
      <c r="AW339" s="18"/>
      <c r="AY339" s="42"/>
      <c r="AZ339" s="42"/>
      <c r="BA339" s="18">
        <v>59</v>
      </c>
      <c r="BB339" s="45">
        <v>1</v>
      </c>
      <c r="BC339" s="41">
        <f>IF(AND((AV339/I339)&lt;2,BB339=1),(I339*2)-AV339,0)</f>
        <v>0</v>
      </c>
      <c r="BD339" s="41">
        <f>IF(AND((AV339/I339)&lt;3,BB339=2),(I339*3)-AV339,0)</f>
        <v>0</v>
      </c>
      <c r="BG339" s="18"/>
      <c r="BH339" s="18">
        <v>15</v>
      </c>
      <c r="BI339" s="18">
        <v>20</v>
      </c>
      <c r="BJ339" s="18">
        <v>21</v>
      </c>
      <c r="BK339" s="18">
        <v>15</v>
      </c>
      <c r="BL339" s="18">
        <v>17</v>
      </c>
      <c r="BM339" s="55">
        <f>SUM(AV339:AX339)+SUM(BC339:BD339)+SUM(BE339:BF339)+BG339</f>
        <v>33</v>
      </c>
      <c r="BN339" s="73" t="s">
        <v>1102</v>
      </c>
      <c r="BO339" s="73" t="s">
        <v>125</v>
      </c>
      <c r="BP339" s="73"/>
      <c r="BQ339" s="73" t="s">
        <v>99</v>
      </c>
      <c r="BR339" s="73"/>
      <c r="BS339" s="73" t="s">
        <v>1993</v>
      </c>
      <c r="BT339" s="73"/>
      <c r="BU339" s="73" t="s">
        <v>125</v>
      </c>
      <c r="BV339" s="73"/>
      <c r="BW339" s="73" t="s">
        <v>331</v>
      </c>
      <c r="BX339" s="73"/>
      <c r="BY339" s="55">
        <v>87</v>
      </c>
    </row>
    <row r="340" spans="1:78" ht="25.5">
      <c r="B340" s="89">
        <v>334</v>
      </c>
      <c r="C340" s="93">
        <v>205</v>
      </c>
      <c r="D340" s="95">
        <v>409</v>
      </c>
      <c r="E340" s="94">
        <v>0.36458333333333331</v>
      </c>
      <c r="F340" s="94">
        <v>0.37708333333333338</v>
      </c>
      <c r="G340" s="93" t="s">
        <v>494</v>
      </c>
      <c r="H340" s="93" t="s">
        <v>478</v>
      </c>
      <c r="I340" s="96">
        <v>9</v>
      </c>
      <c r="J340" s="97" t="s">
        <v>93</v>
      </c>
      <c r="K340" s="98">
        <v>240</v>
      </c>
      <c r="L340" s="99" t="s">
        <v>740</v>
      </c>
      <c r="M340" s="83" t="s">
        <v>947</v>
      </c>
      <c r="N340" s="83">
        <v>17</v>
      </c>
      <c r="O340" s="83" t="s">
        <v>1883</v>
      </c>
      <c r="P340" s="83">
        <v>37</v>
      </c>
      <c r="Q340" s="83"/>
      <c r="R340" s="87"/>
      <c r="S340" s="26" t="s">
        <v>1470</v>
      </c>
      <c r="T340" s="26" t="s">
        <v>1471</v>
      </c>
      <c r="U340" s="26" t="s">
        <v>1472</v>
      </c>
      <c r="V340" s="26" t="s">
        <v>1473</v>
      </c>
      <c r="W340" s="63">
        <v>44816</v>
      </c>
      <c r="X340" s="63">
        <v>45100</v>
      </c>
      <c r="Y340" s="63"/>
      <c r="Z340" s="63"/>
      <c r="AA340" s="26" t="s">
        <v>1112</v>
      </c>
      <c r="AB340" s="23" t="s">
        <v>731</v>
      </c>
      <c r="AC340" s="23"/>
      <c r="AD340" s="23" t="s">
        <v>731</v>
      </c>
      <c r="AE340" s="23"/>
      <c r="AF340" s="23" t="s">
        <v>731</v>
      </c>
      <c r="AG340" s="23" t="s">
        <v>731</v>
      </c>
      <c r="AH340" s="23" t="s">
        <v>731</v>
      </c>
      <c r="AI340" s="23" t="s">
        <v>731</v>
      </c>
      <c r="AJ340" s="23" t="s">
        <v>731</v>
      </c>
      <c r="AK340" s="23" t="s">
        <v>731</v>
      </c>
      <c r="AL340" s="23"/>
      <c r="AM340" s="23"/>
      <c r="AN340" s="23"/>
      <c r="AO340" s="23"/>
      <c r="AP340" s="23"/>
      <c r="AQ340" s="23"/>
      <c r="AR340" s="23"/>
      <c r="AS340" s="23"/>
      <c r="AT340" s="23"/>
      <c r="AU340" s="23"/>
      <c r="AV340" s="42">
        <v>27</v>
      </c>
      <c r="AW340" s="18"/>
      <c r="AY340" s="42"/>
      <c r="AZ340" s="42"/>
      <c r="BB340" s="45">
        <v>1</v>
      </c>
      <c r="BC340" s="41">
        <f>IF(AND((AV340/I340)&lt;2,BB340=1),(I340*2)-AV340,0)</f>
        <v>0</v>
      </c>
      <c r="BD340" s="41">
        <f>IF(AND((AV340/I340)&lt;3,BB340=2),(I340*3)-AV340,0)</f>
        <v>0</v>
      </c>
      <c r="BG340" s="18"/>
      <c r="BH340" s="18">
        <v>17</v>
      </c>
      <c r="BI340" s="18">
        <v>26</v>
      </c>
      <c r="BJ340" s="18">
        <v>25</v>
      </c>
      <c r="BK340" s="18">
        <v>25</v>
      </c>
      <c r="BL340" s="18">
        <v>25</v>
      </c>
      <c r="BM340" s="55">
        <f>SUM(AV340:AX340)+SUM(BC340:BD340)+SUM(BE340:BF340)+BG340</f>
        <v>27</v>
      </c>
      <c r="BN340" s="55"/>
      <c r="BO340" s="55"/>
      <c r="BP340" s="55"/>
      <c r="BQ340" s="55"/>
      <c r="BR340" s="55"/>
      <c r="BS340" s="55"/>
      <c r="BT340" s="55"/>
      <c r="BU340" s="55"/>
      <c r="BV340" s="55"/>
      <c r="BW340" s="55"/>
      <c r="BX340" s="55"/>
      <c r="BY340" s="55"/>
    </row>
    <row r="341" spans="1:78" ht="25.5">
      <c r="B341" s="89">
        <v>335</v>
      </c>
      <c r="C341" s="93">
        <v>205</v>
      </c>
      <c r="D341" s="95">
        <v>409</v>
      </c>
      <c r="E341" s="94">
        <v>0.36458333333333331</v>
      </c>
      <c r="F341" s="94">
        <v>0.37708333333333338</v>
      </c>
      <c r="G341" s="93" t="s">
        <v>494</v>
      </c>
      <c r="H341" s="93" t="s">
        <v>500</v>
      </c>
      <c r="I341" s="96">
        <v>9</v>
      </c>
      <c r="J341" s="97" t="s">
        <v>93</v>
      </c>
      <c r="K341" s="98">
        <v>67</v>
      </c>
      <c r="L341" s="99" t="s">
        <v>740</v>
      </c>
      <c r="M341" s="83" t="s">
        <v>947</v>
      </c>
      <c r="N341" s="83">
        <v>17</v>
      </c>
      <c r="O341" s="83" t="s">
        <v>1883</v>
      </c>
      <c r="P341" s="83">
        <v>37</v>
      </c>
      <c r="Q341" s="83"/>
      <c r="R341" s="87"/>
      <c r="S341" s="26" t="s">
        <v>1470</v>
      </c>
      <c r="T341" s="26" t="s">
        <v>1471</v>
      </c>
      <c r="U341" s="26" t="s">
        <v>1472</v>
      </c>
      <c r="V341" s="26" t="s">
        <v>1473</v>
      </c>
      <c r="W341" s="63">
        <v>44562</v>
      </c>
      <c r="X341" s="63">
        <v>44815</v>
      </c>
      <c r="Y341" s="63">
        <v>45101</v>
      </c>
      <c r="Z341" s="63">
        <v>45169</v>
      </c>
      <c r="AA341" s="23" t="s">
        <v>1107</v>
      </c>
      <c r="AB341" s="23"/>
      <c r="AC341" s="23" t="s">
        <v>731</v>
      </c>
      <c r="AD341" s="23" t="s">
        <v>731</v>
      </c>
      <c r="AE341" s="23"/>
      <c r="AF341" s="23" t="s">
        <v>731</v>
      </c>
      <c r="AG341" s="23" t="s">
        <v>731</v>
      </c>
      <c r="AH341" s="23" t="s">
        <v>731</v>
      </c>
      <c r="AI341" s="23" t="s">
        <v>731</v>
      </c>
      <c r="AJ341" s="23" t="s">
        <v>731</v>
      </c>
      <c r="AK341" s="23" t="s">
        <v>731</v>
      </c>
      <c r="AL341" s="23"/>
      <c r="AM341" s="23"/>
      <c r="AN341" s="23"/>
      <c r="AO341" s="23"/>
      <c r="AP341" s="23"/>
      <c r="AQ341" s="23"/>
      <c r="AR341" s="23"/>
      <c r="AS341" s="23"/>
      <c r="AT341" s="23"/>
      <c r="AU341" s="23"/>
      <c r="AV341" s="42">
        <v>27</v>
      </c>
      <c r="AW341" s="18"/>
      <c r="AY341" s="42"/>
      <c r="AZ341" s="42"/>
      <c r="BB341" s="45">
        <v>1</v>
      </c>
      <c r="BC341" s="41">
        <f>IF(AND((AV341/I341)&lt;2,BB341=1),(I341*2)-AV341,0)</f>
        <v>0</v>
      </c>
      <c r="BD341" s="41">
        <f>IF(AND((AV341/I341)&lt;3,BB341=2),(I341*3)-AV341,0)</f>
        <v>0</v>
      </c>
      <c r="BG341" s="18"/>
      <c r="BH341" s="18">
        <v>9</v>
      </c>
      <c r="BI341" s="18">
        <v>0</v>
      </c>
      <c r="BJ341" s="18">
        <v>0</v>
      </c>
      <c r="BK341" s="18">
        <v>0</v>
      </c>
      <c r="BL341" s="18">
        <v>0</v>
      </c>
      <c r="BM341" s="55">
        <f>SUM(AV341:AX341)+SUM(BC341:BD341)+SUM(BE341:BF341)+BG341</f>
        <v>27</v>
      </c>
      <c r="BN341" s="55"/>
      <c r="BO341" s="55"/>
      <c r="BP341" s="55"/>
      <c r="BQ341" s="55"/>
      <c r="BR341" s="55"/>
      <c r="BS341" s="55"/>
      <c r="BT341" s="55"/>
      <c r="BU341" s="55"/>
      <c r="BV341" s="55"/>
      <c r="BW341" s="55"/>
      <c r="BX341" s="55"/>
      <c r="BY341" s="55"/>
    </row>
    <row r="342" spans="1:78" ht="25.5">
      <c r="B342" s="89">
        <v>336</v>
      </c>
      <c r="C342" s="93">
        <v>205</v>
      </c>
      <c r="D342" s="93">
        <v>404</v>
      </c>
      <c r="E342" s="94">
        <v>0.59375</v>
      </c>
      <c r="F342" s="94">
        <v>0.60347222222222219</v>
      </c>
      <c r="G342" s="93" t="s">
        <v>352</v>
      </c>
      <c r="H342" s="93" t="s">
        <v>103</v>
      </c>
      <c r="I342" s="96">
        <v>9</v>
      </c>
      <c r="J342" s="97" t="s">
        <v>93</v>
      </c>
      <c r="K342" s="98">
        <v>174</v>
      </c>
      <c r="L342" s="99" t="s">
        <v>745</v>
      </c>
      <c r="M342" s="83" t="s">
        <v>899</v>
      </c>
      <c r="N342" s="83">
        <v>20</v>
      </c>
      <c r="O342" s="83" t="s">
        <v>902</v>
      </c>
      <c r="P342" s="83">
        <v>24</v>
      </c>
      <c r="Q342" s="83" t="s">
        <v>898</v>
      </c>
      <c r="R342" s="84">
        <v>23</v>
      </c>
      <c r="S342" s="26">
        <v>2120</v>
      </c>
      <c r="T342" s="26" t="s">
        <v>1474</v>
      </c>
      <c r="U342" s="26" t="s">
        <v>1475</v>
      </c>
      <c r="V342" s="26" t="s">
        <v>1476</v>
      </c>
      <c r="W342" s="62">
        <v>44816</v>
      </c>
      <c r="X342" s="62">
        <v>45086</v>
      </c>
      <c r="Y342" s="62"/>
      <c r="Z342" s="62"/>
      <c r="AA342" s="22" t="s">
        <v>1102</v>
      </c>
      <c r="AB342" s="23"/>
      <c r="AC342" s="23"/>
      <c r="AD342" s="23"/>
      <c r="AE342" s="23" t="s">
        <v>731</v>
      </c>
      <c r="AF342" s="23" t="s">
        <v>731</v>
      </c>
      <c r="AG342" s="23" t="s">
        <v>731</v>
      </c>
      <c r="AH342" s="23" t="s">
        <v>731</v>
      </c>
      <c r="AI342" s="23" t="s">
        <v>731</v>
      </c>
      <c r="AJ342" s="23" t="s">
        <v>731</v>
      </c>
      <c r="AK342" s="23"/>
      <c r="AL342" s="23"/>
      <c r="AM342" s="23"/>
      <c r="AN342" s="23"/>
      <c r="AO342" s="23"/>
      <c r="AP342" s="23"/>
      <c r="AQ342" s="23"/>
      <c r="AR342" s="23"/>
      <c r="AS342" s="23"/>
      <c r="AT342" s="23"/>
      <c r="AU342" s="23"/>
      <c r="AV342" s="42">
        <v>46.89</v>
      </c>
      <c r="AW342" s="18"/>
      <c r="AY342" s="42"/>
      <c r="AZ342" s="42"/>
      <c r="BB342" s="45">
        <v>1</v>
      </c>
      <c r="BC342" s="41">
        <f>IF(AND((AV342/I342)&lt;2,BB342=1),(I342*2)-AV342,0)</f>
        <v>0</v>
      </c>
      <c r="BD342" s="41">
        <f>IF(AND((AV342/I342)&lt;3,BB342=2),(I342*3)-AV342,0)</f>
        <v>0</v>
      </c>
      <c r="BG342" s="18"/>
      <c r="BH342" s="18">
        <v>15</v>
      </c>
      <c r="BI342" s="18">
        <v>20</v>
      </c>
      <c r="BJ342" s="18">
        <v>21</v>
      </c>
      <c r="BK342" s="18">
        <v>15</v>
      </c>
      <c r="BL342" s="18">
        <v>17</v>
      </c>
      <c r="BM342" s="55">
        <f>SUM(AV342:AX342)+SUM(BC342:BD342)+SUM(BE342:BF342)+BG342</f>
        <v>46.89</v>
      </c>
      <c r="BN342" s="55"/>
      <c r="BO342" s="55"/>
      <c r="BP342" s="55"/>
      <c r="BQ342" s="55"/>
      <c r="BR342" s="55"/>
      <c r="BS342" s="55"/>
      <c r="BT342" s="55"/>
      <c r="BU342" s="55"/>
      <c r="BV342" s="55"/>
      <c r="BW342" s="55"/>
      <c r="BX342" s="55"/>
      <c r="BY342" s="55"/>
    </row>
    <row r="343" spans="1:78" ht="25.5">
      <c r="A343" s="156" t="s">
        <v>1980</v>
      </c>
      <c r="B343" s="157">
        <v>337</v>
      </c>
      <c r="C343" s="158">
        <v>205</v>
      </c>
      <c r="D343" s="159">
        <v>171</v>
      </c>
      <c r="E343" s="160">
        <v>0.66666666666666663</v>
      </c>
      <c r="F343" s="160">
        <v>0.69861111111111107</v>
      </c>
      <c r="G343" s="158" t="s">
        <v>569</v>
      </c>
      <c r="H343" s="158" t="s">
        <v>103</v>
      </c>
      <c r="I343" s="161">
        <v>23</v>
      </c>
      <c r="J343" s="162" t="s">
        <v>101</v>
      </c>
      <c r="K343" s="169">
        <v>174</v>
      </c>
      <c r="L343" s="164" t="s">
        <v>740</v>
      </c>
      <c r="M343" s="179" t="s">
        <v>945</v>
      </c>
      <c r="N343" s="179">
        <v>57</v>
      </c>
      <c r="O343" s="179" t="s">
        <v>1220</v>
      </c>
      <c r="P343" s="179">
        <v>54</v>
      </c>
      <c r="Q343" s="179" t="s">
        <v>944</v>
      </c>
      <c r="R343" s="179">
        <v>55</v>
      </c>
      <c r="S343" s="170">
        <v>960</v>
      </c>
      <c r="T343" s="170" t="s">
        <v>1327</v>
      </c>
      <c r="U343" s="170" t="s">
        <v>1472</v>
      </c>
      <c r="V343" s="170" t="s">
        <v>1473</v>
      </c>
      <c r="W343" s="180">
        <v>44816</v>
      </c>
      <c r="X343" s="180">
        <v>44865</v>
      </c>
      <c r="Y343" s="180"/>
      <c r="Z343" s="180"/>
      <c r="AA343" s="170" t="s">
        <v>1102</v>
      </c>
      <c r="AB343" s="181"/>
      <c r="AC343" s="181"/>
      <c r="AD343" s="181"/>
      <c r="AE343" s="181" t="s">
        <v>731</v>
      </c>
      <c r="AF343" s="181" t="s">
        <v>731</v>
      </c>
      <c r="AG343" s="181" t="s">
        <v>731</v>
      </c>
      <c r="AH343" s="181" t="s">
        <v>731</v>
      </c>
      <c r="AI343" s="181" t="s">
        <v>731</v>
      </c>
      <c r="AJ343" s="181" t="s">
        <v>731</v>
      </c>
      <c r="AK343" s="181"/>
      <c r="AL343" s="181"/>
      <c r="AM343" s="181"/>
      <c r="AN343" s="181"/>
      <c r="AO343" s="181"/>
      <c r="AP343" s="181"/>
      <c r="AQ343" s="181"/>
      <c r="AR343" s="181"/>
      <c r="AS343" s="181"/>
      <c r="AT343" s="181"/>
      <c r="AU343" s="181"/>
      <c r="AV343" s="168">
        <v>69</v>
      </c>
      <c r="AW343" s="166"/>
      <c r="AX343" s="166"/>
      <c r="AY343" s="168"/>
      <c r="AZ343" s="168"/>
      <c r="BA343" s="166"/>
      <c r="BB343" s="166">
        <v>2</v>
      </c>
      <c r="BC343" s="168">
        <f>IF(AND((AV343/I343)&lt;2,BB343=1),(I343*2)-AV343,0)</f>
        <v>0</v>
      </c>
      <c r="BD343" s="168">
        <f>IF(AND((AV343/I343)&lt;3,BB343=2),(I343*3)-AV343,0)</f>
        <v>0</v>
      </c>
      <c r="BE343" s="166"/>
      <c r="BF343" s="166"/>
      <c r="BG343" s="166"/>
      <c r="BH343" s="166">
        <v>15</v>
      </c>
      <c r="BI343" s="166">
        <v>20</v>
      </c>
      <c r="BJ343" s="166">
        <v>0</v>
      </c>
      <c r="BK343" s="166">
        <v>0</v>
      </c>
      <c r="BL343" s="166"/>
      <c r="BM343" s="167">
        <f>SUM(AV343:AX343)+SUM(BC343:BD343)+SUM(BE343:BF343)+BG343</f>
        <v>69</v>
      </c>
      <c r="BN343" s="167"/>
      <c r="BO343" s="167"/>
      <c r="BP343" s="167"/>
      <c r="BQ343" s="167"/>
      <c r="BR343" s="167"/>
      <c r="BS343" s="167"/>
      <c r="BT343" s="167"/>
      <c r="BU343" s="167"/>
      <c r="BV343" s="167"/>
      <c r="BW343" s="167"/>
      <c r="BX343" s="167"/>
      <c r="BY343" s="167"/>
      <c r="BZ343" s="166"/>
    </row>
    <row r="344" spans="1:78" ht="27" customHeight="1">
      <c r="B344" s="89">
        <v>338</v>
      </c>
      <c r="C344" s="93">
        <v>205</v>
      </c>
      <c r="D344" s="95">
        <v>366</v>
      </c>
      <c r="E344" s="94">
        <v>0.70138888888888884</v>
      </c>
      <c r="F344" s="94">
        <v>0.71319444444444446</v>
      </c>
      <c r="G344" s="93" t="s">
        <v>495</v>
      </c>
      <c r="H344" s="93" t="s">
        <v>500</v>
      </c>
      <c r="I344" s="96">
        <v>9</v>
      </c>
      <c r="J344" s="97" t="s">
        <v>93</v>
      </c>
      <c r="K344" s="98">
        <v>67</v>
      </c>
      <c r="L344" s="99" t="s">
        <v>740</v>
      </c>
      <c r="M344" s="83" t="s">
        <v>947</v>
      </c>
      <c r="N344" s="83">
        <v>17</v>
      </c>
      <c r="O344" s="83" t="s">
        <v>1883</v>
      </c>
      <c r="P344" s="83">
        <v>37</v>
      </c>
      <c r="Q344" s="83"/>
      <c r="R344" s="87"/>
      <c r="S344" s="26">
        <v>2120</v>
      </c>
      <c r="T344" s="26" t="s">
        <v>1474</v>
      </c>
      <c r="U344" s="26" t="s">
        <v>1470</v>
      </c>
      <c r="V344" s="26" t="s">
        <v>1471</v>
      </c>
      <c r="W344" s="63">
        <v>44562</v>
      </c>
      <c r="X344" s="63">
        <v>44815</v>
      </c>
      <c r="Y344" s="63">
        <v>45101</v>
      </c>
      <c r="Z344" s="63">
        <v>45169</v>
      </c>
      <c r="AA344" s="23" t="s">
        <v>1107</v>
      </c>
      <c r="AB344" s="23"/>
      <c r="AC344" s="23" t="s">
        <v>731</v>
      </c>
      <c r="AD344" s="23" t="s">
        <v>731</v>
      </c>
      <c r="AE344" s="23"/>
      <c r="AF344" s="23" t="s">
        <v>731</v>
      </c>
      <c r="AG344" s="23" t="s">
        <v>731</v>
      </c>
      <c r="AH344" s="23" t="s">
        <v>731</v>
      </c>
      <c r="AI344" s="23" t="s">
        <v>731</v>
      </c>
      <c r="AJ344" s="23" t="s">
        <v>731</v>
      </c>
      <c r="AK344" s="23" t="s">
        <v>731</v>
      </c>
      <c r="AL344" s="23"/>
      <c r="AM344" s="23"/>
      <c r="AN344" s="23"/>
      <c r="AO344" s="23"/>
      <c r="AP344" s="23"/>
      <c r="AQ344" s="23"/>
      <c r="AR344" s="23"/>
      <c r="AS344" s="23"/>
      <c r="AT344" s="23"/>
      <c r="AU344" s="23"/>
      <c r="AV344" s="42">
        <v>27</v>
      </c>
      <c r="AW344" s="18"/>
      <c r="AY344" s="42"/>
      <c r="AZ344" s="42"/>
      <c r="BB344" s="45">
        <v>1</v>
      </c>
      <c r="BC344" s="41">
        <f>IF(AND((AV344/I344)&lt;2,BB344=1),(I344*2)-AV344,0)</f>
        <v>0</v>
      </c>
      <c r="BD344" s="41">
        <f>IF(AND((AV344/I344)&lt;3,BB344=2),(I344*3)-AV344,0)</f>
        <v>0</v>
      </c>
      <c r="BG344" s="18"/>
      <c r="BH344" s="18">
        <v>9</v>
      </c>
      <c r="BI344" s="18">
        <v>0</v>
      </c>
      <c r="BJ344" s="18">
        <v>0</v>
      </c>
      <c r="BK344" s="18">
        <v>0</v>
      </c>
      <c r="BL344" s="18">
        <v>0</v>
      </c>
      <c r="BM344" s="55">
        <f>SUM(AV344:AX344)+SUM(BC344:BD344)+SUM(BE344:BF344)+BG344</f>
        <v>27</v>
      </c>
      <c r="BN344" s="55"/>
      <c r="BO344" s="55"/>
      <c r="BP344" s="55"/>
      <c r="BQ344" s="55"/>
      <c r="BR344" s="55"/>
      <c r="BS344" s="55"/>
      <c r="BT344" s="55"/>
      <c r="BU344" s="55"/>
      <c r="BV344" s="55"/>
      <c r="BW344" s="55"/>
      <c r="BX344" s="55"/>
      <c r="BY344" s="55"/>
    </row>
    <row r="345" spans="1:78" ht="25.5">
      <c r="A345" s="156" t="s">
        <v>1955</v>
      </c>
      <c r="B345" s="157">
        <v>339</v>
      </c>
      <c r="C345" s="158">
        <v>205</v>
      </c>
      <c r="D345" s="159">
        <v>366</v>
      </c>
      <c r="E345" s="160">
        <v>0.70277777777777783</v>
      </c>
      <c r="F345" s="160">
        <v>0.71458333333333324</v>
      </c>
      <c r="G345" s="158" t="s">
        <v>495</v>
      </c>
      <c r="H345" s="158" t="s">
        <v>1956</v>
      </c>
      <c r="I345" s="161">
        <v>9</v>
      </c>
      <c r="J345" s="162" t="s">
        <v>93</v>
      </c>
      <c r="K345" s="169">
        <v>240</v>
      </c>
      <c r="L345" s="164" t="s">
        <v>740</v>
      </c>
      <c r="M345" s="179" t="s">
        <v>947</v>
      </c>
      <c r="N345" s="179">
        <v>17</v>
      </c>
      <c r="O345" s="179" t="s">
        <v>1883</v>
      </c>
      <c r="P345" s="179">
        <v>37</v>
      </c>
      <c r="Q345" s="179"/>
      <c r="R345" s="179"/>
      <c r="S345" s="170">
        <v>2120</v>
      </c>
      <c r="T345" s="170" t="s">
        <v>1474</v>
      </c>
      <c r="U345" s="170" t="s">
        <v>1470</v>
      </c>
      <c r="V345" s="170" t="s">
        <v>1471</v>
      </c>
      <c r="W345" s="182">
        <v>44816</v>
      </c>
      <c r="X345" s="182">
        <v>44894</v>
      </c>
      <c r="Y345" s="182"/>
      <c r="Z345" s="182"/>
      <c r="AA345" s="170" t="s">
        <v>1112</v>
      </c>
      <c r="AB345" s="181" t="s">
        <v>731</v>
      </c>
      <c r="AC345" s="181"/>
      <c r="AD345" s="181" t="s">
        <v>731</v>
      </c>
      <c r="AE345" s="181"/>
      <c r="AF345" s="181" t="s">
        <v>731</v>
      </c>
      <c r="AG345" s="181" t="s">
        <v>731</v>
      </c>
      <c r="AH345" s="181" t="s">
        <v>731</v>
      </c>
      <c r="AI345" s="181" t="s">
        <v>731</v>
      </c>
      <c r="AJ345" s="181" t="s">
        <v>731</v>
      </c>
      <c r="AK345" s="181" t="s">
        <v>731</v>
      </c>
      <c r="AL345" s="181"/>
      <c r="AM345" s="181"/>
      <c r="AN345" s="181"/>
      <c r="AO345" s="181"/>
      <c r="AP345" s="181"/>
      <c r="AQ345" s="181"/>
      <c r="AR345" s="181"/>
      <c r="AS345" s="181"/>
      <c r="AT345" s="181"/>
      <c r="AU345" s="181"/>
      <c r="AV345" s="168">
        <v>27</v>
      </c>
      <c r="AW345" s="166"/>
      <c r="AX345" s="166"/>
      <c r="AY345" s="168"/>
      <c r="AZ345" s="168"/>
      <c r="BA345" s="166"/>
      <c r="BB345" s="166">
        <v>1</v>
      </c>
      <c r="BC345" s="168">
        <f>IF(AND((AV345/I345)&lt;2,BB345=1),(I345*2)-AV345,0)</f>
        <v>0</v>
      </c>
      <c r="BD345" s="168">
        <f>IF(AND((AV345/I345)&lt;3,BB345=2),(I345*3)-AV345,0)</f>
        <v>0</v>
      </c>
      <c r="BE345" s="166"/>
      <c r="BF345" s="166"/>
      <c r="BG345" s="166"/>
      <c r="BH345" s="166">
        <v>17</v>
      </c>
      <c r="BI345" s="166">
        <v>26</v>
      </c>
      <c r="BJ345" s="166">
        <v>24</v>
      </c>
      <c r="BK345" s="166">
        <v>0</v>
      </c>
      <c r="BL345" s="166">
        <v>0</v>
      </c>
      <c r="BM345" s="167">
        <f>SUM(AV345:AX345)+SUM(BC345:BD345)+SUM(BE345:BF345)+BG345</f>
        <v>27</v>
      </c>
      <c r="BN345" s="167"/>
      <c r="BO345" s="167"/>
      <c r="BP345" s="167"/>
      <c r="BQ345" s="167"/>
      <c r="BR345" s="167"/>
      <c r="BS345" s="167"/>
      <c r="BT345" s="167"/>
      <c r="BU345" s="167"/>
      <c r="BV345" s="167"/>
      <c r="BW345" s="167"/>
      <c r="BX345" s="167"/>
      <c r="BY345" s="167"/>
      <c r="BZ345" s="166"/>
    </row>
    <row r="346" spans="1:78" ht="25.5">
      <c r="B346" s="89">
        <v>340</v>
      </c>
      <c r="C346" s="93">
        <v>205</v>
      </c>
      <c r="D346" s="95">
        <v>402</v>
      </c>
      <c r="E346" s="105">
        <v>0.80555555555555547</v>
      </c>
      <c r="F346" s="105">
        <v>0.80833333333333324</v>
      </c>
      <c r="G346" s="93" t="s">
        <v>187</v>
      </c>
      <c r="H346" s="93" t="s">
        <v>103</v>
      </c>
      <c r="I346" s="96">
        <v>3</v>
      </c>
      <c r="J346" s="97" t="s">
        <v>93</v>
      </c>
      <c r="K346" s="98">
        <v>174</v>
      </c>
      <c r="L346" s="99" t="s">
        <v>723</v>
      </c>
      <c r="M346" s="83" t="s">
        <v>1076</v>
      </c>
      <c r="N346" s="83">
        <v>23</v>
      </c>
      <c r="O346" s="83" t="s">
        <v>931</v>
      </c>
      <c r="P346" s="83">
        <v>23</v>
      </c>
      <c r="Q346" s="83" t="s">
        <v>933</v>
      </c>
      <c r="R346" s="85">
        <v>21</v>
      </c>
      <c r="S346" s="26">
        <v>2120</v>
      </c>
      <c r="T346" s="26" t="s">
        <v>1474</v>
      </c>
      <c r="U346" s="26">
        <v>2122</v>
      </c>
      <c r="V346" s="26" t="s">
        <v>1477</v>
      </c>
      <c r="W346" s="62">
        <v>44816</v>
      </c>
      <c r="X346" s="62">
        <v>45086</v>
      </c>
      <c r="Y346" s="62"/>
      <c r="Z346" s="62"/>
      <c r="AA346" s="22" t="s">
        <v>1102</v>
      </c>
      <c r="AB346" s="23"/>
      <c r="AC346" s="23"/>
      <c r="AD346" s="23"/>
      <c r="AE346" s="23" t="s">
        <v>731</v>
      </c>
      <c r="AF346" s="23" t="s">
        <v>731</v>
      </c>
      <c r="AG346" s="23" t="s">
        <v>731</v>
      </c>
      <c r="AH346" s="23" t="s">
        <v>731</v>
      </c>
      <c r="AI346" s="23" t="s">
        <v>731</v>
      </c>
      <c r="AJ346" s="23" t="s">
        <v>731</v>
      </c>
      <c r="AK346" s="23"/>
      <c r="AL346" s="23"/>
      <c r="AM346" s="23"/>
      <c r="AN346" s="23"/>
      <c r="AO346" s="23"/>
      <c r="AP346" s="23"/>
      <c r="AQ346" s="23"/>
      <c r="AR346" s="23"/>
      <c r="AS346" s="23"/>
      <c r="AT346" s="23"/>
      <c r="AU346" s="23"/>
      <c r="AV346" s="42">
        <v>10</v>
      </c>
      <c r="AW346" s="18"/>
      <c r="AY346" s="42"/>
      <c r="AZ346" s="42"/>
      <c r="BA346" s="18">
        <v>56</v>
      </c>
      <c r="BB346" s="45">
        <v>1</v>
      </c>
      <c r="BC346" s="41">
        <f>IF(AND((AV346/I346)&lt;2,BB346=1),(I346*2)-AV346,0)</f>
        <v>0</v>
      </c>
      <c r="BD346" s="41">
        <f>IF(AND((AV346/I346)&lt;3,BB346=2),(I346*3)-AV346,0)</f>
        <v>0</v>
      </c>
      <c r="BG346" s="18"/>
      <c r="BH346" s="18">
        <v>15</v>
      </c>
      <c r="BI346" s="18">
        <v>20</v>
      </c>
      <c r="BJ346" s="18">
        <v>21</v>
      </c>
      <c r="BK346" s="18">
        <v>15</v>
      </c>
      <c r="BL346" s="18">
        <v>17</v>
      </c>
      <c r="BM346" s="55">
        <f>SUM(AV346:AX346)+SUM(BC346:BD346)+SUM(BE346:BF346)+BG346</f>
        <v>10</v>
      </c>
      <c r="BN346" s="22" t="s">
        <v>1102</v>
      </c>
      <c r="BO346" s="73" t="s">
        <v>125</v>
      </c>
      <c r="BP346" s="73"/>
      <c r="BQ346" s="73" t="s">
        <v>99</v>
      </c>
      <c r="BR346" s="73"/>
      <c r="BS346" s="73" t="s">
        <v>1993</v>
      </c>
      <c r="BT346" s="73"/>
      <c r="BU346" s="73" t="s">
        <v>125</v>
      </c>
      <c r="BV346" s="73"/>
      <c r="BW346" s="73" t="s">
        <v>331</v>
      </c>
      <c r="BX346" s="73"/>
      <c r="BY346" s="55">
        <v>30</v>
      </c>
    </row>
    <row r="347" spans="1:78" ht="25.5">
      <c r="B347" s="89">
        <v>341</v>
      </c>
      <c r="C347" s="93">
        <v>206</v>
      </c>
      <c r="D347" s="95">
        <v>403</v>
      </c>
      <c r="E347" s="105">
        <v>0.25694444444444448</v>
      </c>
      <c r="F347" s="105">
        <v>0.2722222222222222</v>
      </c>
      <c r="G347" s="93" t="s">
        <v>207</v>
      </c>
      <c r="H347" s="93" t="s">
        <v>18</v>
      </c>
      <c r="I347" s="96">
        <v>12.5</v>
      </c>
      <c r="J347" s="97" t="s">
        <v>188</v>
      </c>
      <c r="K347" s="98">
        <v>304</v>
      </c>
      <c r="L347" s="99" t="s">
        <v>723</v>
      </c>
      <c r="M347" s="87" t="s">
        <v>931</v>
      </c>
      <c r="N347" s="83">
        <v>23</v>
      </c>
      <c r="O347" s="83" t="s">
        <v>932</v>
      </c>
      <c r="P347" s="83">
        <v>37</v>
      </c>
      <c r="Q347" s="83" t="s">
        <v>933</v>
      </c>
      <c r="R347" s="85">
        <v>21</v>
      </c>
      <c r="S347" s="26" t="s">
        <v>1336</v>
      </c>
      <c r="T347" s="26" t="s">
        <v>1337</v>
      </c>
      <c r="U347" s="26" t="s">
        <v>1478</v>
      </c>
      <c r="V347" s="26" t="s">
        <v>1479</v>
      </c>
      <c r="W347" s="62">
        <v>44805</v>
      </c>
      <c r="X347" s="62">
        <v>45169</v>
      </c>
      <c r="Y347" s="62"/>
      <c r="Z347" s="62"/>
      <c r="AA347" s="23" t="s">
        <v>1113</v>
      </c>
      <c r="AB347" s="23" t="s">
        <v>731</v>
      </c>
      <c r="AC347" s="23" t="s">
        <v>731</v>
      </c>
      <c r="AD347" s="23" t="s">
        <v>731</v>
      </c>
      <c r="AE347" s="23"/>
      <c r="AF347" s="23" t="s">
        <v>731</v>
      </c>
      <c r="AG347" s="23" t="s">
        <v>731</v>
      </c>
      <c r="AH347" s="23" t="s">
        <v>731</v>
      </c>
      <c r="AI347" s="23" t="s">
        <v>731</v>
      </c>
      <c r="AJ347" s="23" t="s">
        <v>731</v>
      </c>
      <c r="AK347" s="23" t="s">
        <v>731</v>
      </c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42">
        <v>50.66</v>
      </c>
      <c r="AW347" s="18"/>
      <c r="AY347" s="42"/>
      <c r="AZ347" s="42"/>
      <c r="BB347" s="45">
        <v>1</v>
      </c>
      <c r="BC347" s="41">
        <f>IF(AND((AV347/I347)&lt;2,BB347=1),(I347*2)-AV347,0)</f>
        <v>0</v>
      </c>
      <c r="BD347" s="41">
        <f>IF(AND((AV347/I347)&lt;3,BB347=2),(I347*3)-AV347,0)</f>
        <v>0</v>
      </c>
      <c r="BG347" s="41">
        <f>IF((AV347+AW347+AX347)&lt;20,(20-(AV347+AW347+AX347)),0)</f>
        <v>0</v>
      </c>
      <c r="BH347" s="18">
        <v>26</v>
      </c>
      <c r="BI347" s="18">
        <v>26</v>
      </c>
      <c r="BJ347" s="18">
        <v>25</v>
      </c>
      <c r="BK347" s="18">
        <v>25</v>
      </c>
      <c r="BL347" s="18">
        <v>25</v>
      </c>
      <c r="BM347" s="55">
        <f>SUM(AV347:AX347)+SUM(BC347:BD347)+SUM(BE347:BF347)+BG347</f>
        <v>50.66</v>
      </c>
      <c r="BN347" s="55"/>
      <c r="BO347" s="55"/>
      <c r="BP347" s="55"/>
      <c r="BQ347" s="55"/>
      <c r="BR347" s="55"/>
      <c r="BS347" s="55"/>
      <c r="BT347" s="55"/>
      <c r="BU347" s="55"/>
      <c r="BV347" s="55"/>
      <c r="BW347" s="55"/>
      <c r="BX347" s="55"/>
      <c r="BY347" s="55"/>
    </row>
    <row r="348" spans="1:78" ht="25.5">
      <c r="A348" s="110" t="s">
        <v>1166</v>
      </c>
      <c r="B348" s="89">
        <v>342</v>
      </c>
      <c r="C348" s="93">
        <v>206</v>
      </c>
      <c r="D348" s="95">
        <v>107</v>
      </c>
      <c r="E348" s="94">
        <v>0.29305555555555557</v>
      </c>
      <c r="F348" s="105">
        <v>0.30555555555555552</v>
      </c>
      <c r="G348" s="93" t="s">
        <v>677</v>
      </c>
      <c r="H348" s="106" t="s">
        <v>1035</v>
      </c>
      <c r="I348" s="96">
        <v>11</v>
      </c>
      <c r="J348" s="97" t="s">
        <v>99</v>
      </c>
      <c r="K348" s="111">
        <v>304</v>
      </c>
      <c r="L348" s="109" t="s">
        <v>723</v>
      </c>
      <c r="M348" s="87" t="s">
        <v>931</v>
      </c>
      <c r="N348" s="83">
        <v>23</v>
      </c>
      <c r="O348" s="83" t="s">
        <v>932</v>
      </c>
      <c r="P348" s="83">
        <v>37</v>
      </c>
      <c r="Q348" s="83" t="s">
        <v>933</v>
      </c>
      <c r="R348" s="85">
        <v>21</v>
      </c>
      <c r="S348" s="26" t="s">
        <v>1336</v>
      </c>
      <c r="T348" s="26" t="s">
        <v>1337</v>
      </c>
      <c r="U348" s="26" t="s">
        <v>1480</v>
      </c>
      <c r="V348" s="26" t="s">
        <v>1481</v>
      </c>
      <c r="W348" s="62">
        <v>44805</v>
      </c>
      <c r="X348" s="62">
        <v>45169</v>
      </c>
      <c r="Y348" s="62"/>
      <c r="Z348" s="62"/>
      <c r="AA348" s="22" t="s">
        <v>1113</v>
      </c>
      <c r="AB348" s="23" t="s">
        <v>731</v>
      </c>
      <c r="AC348" s="23" t="s">
        <v>731</v>
      </c>
      <c r="AD348" s="23" t="s">
        <v>731</v>
      </c>
      <c r="AE348" s="23"/>
      <c r="AF348" s="23" t="s">
        <v>731</v>
      </c>
      <c r="AG348" s="23" t="s">
        <v>731</v>
      </c>
      <c r="AH348" s="23" t="s">
        <v>731</v>
      </c>
      <c r="AI348" s="23" t="s">
        <v>731</v>
      </c>
      <c r="AJ348" s="23" t="s">
        <v>731</v>
      </c>
      <c r="AK348" s="23" t="s">
        <v>731</v>
      </c>
      <c r="AL348" s="23"/>
      <c r="AM348" s="23"/>
      <c r="AN348" s="23"/>
      <c r="AO348" s="23"/>
      <c r="AP348" s="23"/>
      <c r="AQ348" s="23"/>
      <c r="AR348" s="23"/>
      <c r="AS348" s="23"/>
      <c r="AT348" s="23"/>
      <c r="AU348" s="23"/>
      <c r="AV348" s="42">
        <v>50.44</v>
      </c>
      <c r="AW348" s="18"/>
      <c r="AY348" s="42"/>
      <c r="AZ348" s="42"/>
      <c r="BB348" s="45">
        <v>1</v>
      </c>
      <c r="BC348" s="41">
        <f>IF(AND((AV348/I348)&lt;2,BB348=1),(I348*2)-AV348,0)</f>
        <v>0</v>
      </c>
      <c r="BD348" s="41">
        <f>IF(AND((AV348/I348)&lt;3,BB348=2),(I348*3)-AV348,0)</f>
        <v>0</v>
      </c>
      <c r="BG348" s="18"/>
      <c r="BH348" s="18">
        <v>26</v>
      </c>
      <c r="BI348" s="18">
        <v>26</v>
      </c>
      <c r="BJ348" s="18">
        <v>25</v>
      </c>
      <c r="BK348" s="18">
        <v>25</v>
      </c>
      <c r="BL348" s="18">
        <v>25</v>
      </c>
      <c r="BM348" s="55">
        <f>SUM(AV348:AX348)+SUM(BC348:BD348)+SUM(BE348:BF348)+BG348</f>
        <v>50.44</v>
      </c>
      <c r="BN348" s="55"/>
      <c r="BO348" s="55"/>
      <c r="BP348" s="55"/>
      <c r="BQ348" s="55"/>
      <c r="BR348" s="55"/>
      <c r="BS348" s="55"/>
      <c r="BT348" s="55"/>
      <c r="BU348" s="55"/>
      <c r="BV348" s="55"/>
      <c r="BW348" s="55"/>
      <c r="BX348" s="55"/>
      <c r="BY348" s="55"/>
    </row>
    <row r="349" spans="1:78" ht="22.5">
      <c r="B349" s="89">
        <v>343</v>
      </c>
      <c r="C349" s="93">
        <v>206</v>
      </c>
      <c r="D349" s="95">
        <v>109</v>
      </c>
      <c r="E349" s="94">
        <v>0.31805555555555554</v>
      </c>
      <c r="F349" s="94">
        <v>0.34236111111111112</v>
      </c>
      <c r="G349" s="93" t="s">
        <v>152</v>
      </c>
      <c r="H349" s="93" t="s">
        <v>18</v>
      </c>
      <c r="I349" s="96">
        <v>16</v>
      </c>
      <c r="J349" s="97" t="s">
        <v>127</v>
      </c>
      <c r="K349" s="98">
        <v>304</v>
      </c>
      <c r="L349" s="109" t="s">
        <v>723</v>
      </c>
      <c r="M349" s="87" t="s">
        <v>932</v>
      </c>
      <c r="N349" s="83">
        <v>37</v>
      </c>
      <c r="O349" s="83" t="s">
        <v>936</v>
      </c>
      <c r="P349" s="83">
        <v>48</v>
      </c>
      <c r="Q349" s="190" t="s">
        <v>1997</v>
      </c>
      <c r="R349" s="191">
        <v>45</v>
      </c>
      <c r="S349" s="26" t="s">
        <v>1336</v>
      </c>
      <c r="T349" s="26" t="s">
        <v>1337</v>
      </c>
      <c r="U349" s="26">
        <v>1</v>
      </c>
      <c r="V349" s="26" t="s">
        <v>1312</v>
      </c>
      <c r="W349" s="62">
        <v>44805</v>
      </c>
      <c r="X349" s="62">
        <v>45169</v>
      </c>
      <c r="Y349" s="62"/>
      <c r="Z349" s="62"/>
      <c r="AA349" s="23" t="s">
        <v>1113</v>
      </c>
      <c r="AB349" s="23" t="s">
        <v>731</v>
      </c>
      <c r="AC349" s="23" t="s">
        <v>731</v>
      </c>
      <c r="AD349" s="23" t="s">
        <v>731</v>
      </c>
      <c r="AE349" s="23"/>
      <c r="AF349" s="23" t="s">
        <v>731</v>
      </c>
      <c r="AG349" s="23" t="s">
        <v>731</v>
      </c>
      <c r="AH349" s="23" t="s">
        <v>731</v>
      </c>
      <c r="AI349" s="23" t="s">
        <v>731</v>
      </c>
      <c r="AJ349" s="23" t="s">
        <v>731</v>
      </c>
      <c r="AK349" s="23" t="s">
        <v>731</v>
      </c>
      <c r="AL349" s="23"/>
      <c r="AM349" s="23"/>
      <c r="AN349" s="23"/>
      <c r="AO349" s="23"/>
      <c r="AP349" s="23"/>
      <c r="AQ349" s="23"/>
      <c r="AR349" s="23"/>
      <c r="AS349" s="23"/>
      <c r="AT349" s="23"/>
      <c r="AU349" s="23"/>
      <c r="AV349" s="42">
        <v>73.349999999999994</v>
      </c>
      <c r="AW349" s="18"/>
      <c r="AY349" s="42"/>
      <c r="AZ349" s="42"/>
      <c r="BB349" s="43">
        <v>2</v>
      </c>
      <c r="BC349" s="41">
        <f>IF(AND((AV349/I349)&lt;2,BB349=1),(I349*2)-AV349,0)</f>
        <v>0</v>
      </c>
      <c r="BD349" s="41">
        <f>IF(AND((AV349/I349)&lt;3,BB349=2),(I349*3)-AV349,0)</f>
        <v>0</v>
      </c>
      <c r="BG349" s="18"/>
      <c r="BH349" s="18">
        <v>26</v>
      </c>
      <c r="BI349" s="18">
        <v>26</v>
      </c>
      <c r="BJ349" s="18">
        <v>25</v>
      </c>
      <c r="BK349" s="18">
        <v>25</v>
      </c>
      <c r="BL349" s="18">
        <v>25</v>
      </c>
      <c r="BM349" s="55">
        <f>SUM(AV349:AX349)+SUM(BC349:BD349)+SUM(BE349:BF349)+BG349</f>
        <v>73.349999999999994</v>
      </c>
      <c r="BN349" s="55"/>
      <c r="BO349" s="55"/>
      <c r="BP349" s="55"/>
      <c r="BQ349" s="55"/>
      <c r="BR349" s="55"/>
      <c r="BS349" s="55"/>
      <c r="BT349" s="55"/>
      <c r="BU349" s="55"/>
      <c r="BV349" s="55"/>
      <c r="BW349" s="55"/>
      <c r="BX349" s="55"/>
      <c r="BY349" s="55"/>
    </row>
    <row r="350" spans="1:78" ht="22.5">
      <c r="B350" s="89">
        <v>344</v>
      </c>
      <c r="C350" s="93">
        <v>206</v>
      </c>
      <c r="D350" s="95">
        <v>110</v>
      </c>
      <c r="E350" s="105">
        <v>0.3527777777777778</v>
      </c>
      <c r="F350" s="105">
        <v>0.36805555555555558</v>
      </c>
      <c r="G350" s="93" t="s">
        <v>219</v>
      </c>
      <c r="H350" s="93" t="s">
        <v>157</v>
      </c>
      <c r="I350" s="96">
        <v>11</v>
      </c>
      <c r="J350" s="97" t="s">
        <v>93</v>
      </c>
      <c r="K350" s="98">
        <v>58</v>
      </c>
      <c r="L350" s="134" t="s">
        <v>723</v>
      </c>
      <c r="M350" s="87" t="s">
        <v>931</v>
      </c>
      <c r="N350" s="83">
        <v>23</v>
      </c>
      <c r="O350" s="83" t="s">
        <v>935</v>
      </c>
      <c r="P350" s="83">
        <v>23</v>
      </c>
      <c r="Q350" s="83" t="s">
        <v>933</v>
      </c>
      <c r="R350" s="85">
        <v>21</v>
      </c>
      <c r="S350" s="26">
        <v>2010</v>
      </c>
      <c r="T350" s="26" t="s">
        <v>1482</v>
      </c>
      <c r="U350" s="26" t="s">
        <v>1336</v>
      </c>
      <c r="V350" s="26" t="s">
        <v>1337</v>
      </c>
      <c r="W350" s="62">
        <v>44805</v>
      </c>
      <c r="X350" s="62">
        <v>45169</v>
      </c>
      <c r="Y350" s="62"/>
      <c r="Z350" s="62"/>
      <c r="AA350" s="23" t="s">
        <v>1115</v>
      </c>
      <c r="AB350" s="23" t="s">
        <v>731</v>
      </c>
      <c r="AC350" s="23" t="s">
        <v>731</v>
      </c>
      <c r="AD350" s="23"/>
      <c r="AE350" s="23"/>
      <c r="AF350" s="23"/>
      <c r="AG350" s="23"/>
      <c r="AH350" s="23"/>
      <c r="AI350" s="23"/>
      <c r="AJ350" s="23"/>
      <c r="AK350" s="23"/>
      <c r="AL350" s="23" t="s">
        <v>731</v>
      </c>
      <c r="AM350" s="23"/>
      <c r="AN350" s="23"/>
      <c r="AO350" s="23"/>
      <c r="AP350" s="23"/>
      <c r="AQ350" s="23"/>
      <c r="AR350" s="23"/>
      <c r="AS350" s="23"/>
      <c r="AT350" s="23"/>
      <c r="AU350" s="23"/>
      <c r="AV350" s="42">
        <v>43.05</v>
      </c>
      <c r="AW350" s="18"/>
      <c r="AY350" s="42"/>
      <c r="AZ350" s="42"/>
      <c r="BB350" s="45">
        <v>1</v>
      </c>
      <c r="BC350" s="41">
        <f>IF(AND((AV350/I350)&lt;2,BB350=1),(I350*2)-AV350,0)</f>
        <v>0</v>
      </c>
      <c r="BD350" s="41">
        <f>IF(AND((AV350/I350)&lt;3,BB350=2),(I350*3)-AV350,0)</f>
        <v>0</v>
      </c>
      <c r="BG350" s="18"/>
      <c r="BH350" s="18">
        <v>4</v>
      </c>
      <c r="BI350" s="18">
        <v>5</v>
      </c>
      <c r="BJ350" s="18">
        <v>5</v>
      </c>
      <c r="BK350" s="18">
        <v>6</v>
      </c>
      <c r="BL350" s="18">
        <v>6</v>
      </c>
      <c r="BM350" s="55">
        <f>SUM(AV350:AX350)+SUM(BC350:BD350)+SUM(BE350:BF350)+BG350</f>
        <v>43.05</v>
      </c>
      <c r="BN350" s="55"/>
      <c r="BO350" s="55"/>
      <c r="BP350" s="55"/>
      <c r="BQ350" s="55"/>
      <c r="BR350" s="55"/>
      <c r="BS350" s="55"/>
      <c r="BT350" s="55"/>
      <c r="BU350" s="55"/>
      <c r="BV350" s="55"/>
      <c r="BW350" s="55"/>
      <c r="BX350" s="55"/>
      <c r="BY350" s="55"/>
    </row>
    <row r="351" spans="1:78" ht="22.5">
      <c r="B351" s="89">
        <v>345</v>
      </c>
      <c r="C351" s="93">
        <v>206</v>
      </c>
      <c r="D351" s="95">
        <v>113</v>
      </c>
      <c r="E351" s="105">
        <v>0.375</v>
      </c>
      <c r="F351" s="94">
        <v>0.39930555555555558</v>
      </c>
      <c r="G351" s="93" t="s">
        <v>152</v>
      </c>
      <c r="H351" s="93" t="s">
        <v>157</v>
      </c>
      <c r="I351" s="96">
        <v>16</v>
      </c>
      <c r="J351" s="97" t="s">
        <v>93</v>
      </c>
      <c r="K351" s="98">
        <v>58</v>
      </c>
      <c r="L351" s="134" t="s">
        <v>723</v>
      </c>
      <c r="M351" s="87" t="s">
        <v>931</v>
      </c>
      <c r="N351" s="83">
        <v>23</v>
      </c>
      <c r="O351" s="83" t="s">
        <v>935</v>
      </c>
      <c r="P351" s="83">
        <v>23</v>
      </c>
      <c r="Q351" s="83" t="s">
        <v>933</v>
      </c>
      <c r="R351" s="85">
        <v>21</v>
      </c>
      <c r="S351" s="26" t="s">
        <v>1336</v>
      </c>
      <c r="T351" s="26" t="s">
        <v>1337</v>
      </c>
      <c r="U351" s="26">
        <v>1</v>
      </c>
      <c r="V351" s="26" t="s">
        <v>1312</v>
      </c>
      <c r="W351" s="62">
        <v>44805</v>
      </c>
      <c r="X351" s="62">
        <v>45169</v>
      </c>
      <c r="Y351" s="62"/>
      <c r="Z351" s="62"/>
      <c r="AA351" s="23" t="s">
        <v>1115</v>
      </c>
      <c r="AB351" s="23" t="s">
        <v>731</v>
      </c>
      <c r="AC351" s="23" t="s">
        <v>731</v>
      </c>
      <c r="AD351" s="23"/>
      <c r="AE351" s="23"/>
      <c r="AF351" s="23"/>
      <c r="AG351" s="23"/>
      <c r="AH351" s="23"/>
      <c r="AI351" s="23"/>
      <c r="AJ351" s="23"/>
      <c r="AK351" s="23"/>
      <c r="AL351" s="23" t="s">
        <v>731</v>
      </c>
      <c r="AM351" s="23"/>
      <c r="AN351" s="23"/>
      <c r="AO351" s="23"/>
      <c r="AP351" s="23"/>
      <c r="AQ351" s="23"/>
      <c r="AR351" s="23"/>
      <c r="AS351" s="23"/>
      <c r="AT351" s="23"/>
      <c r="AU351" s="23"/>
      <c r="AV351" s="42">
        <v>62.48</v>
      </c>
      <c r="AW351" s="18"/>
      <c r="AY351" s="42"/>
      <c r="AZ351" s="42"/>
      <c r="BB351" s="45">
        <v>1</v>
      </c>
      <c r="BC351" s="41">
        <f>IF(AND((AV351/I351)&lt;2,BB351=1),(I351*2)-AV351,0)</f>
        <v>0</v>
      </c>
      <c r="BD351" s="41">
        <f>IF(AND((AV351/I351)&lt;3,BB351=2),(I351*3)-AV351,0)</f>
        <v>0</v>
      </c>
      <c r="BG351" s="18"/>
      <c r="BH351" s="18">
        <v>4</v>
      </c>
      <c r="BI351" s="18">
        <v>5</v>
      </c>
      <c r="BJ351" s="18">
        <v>5</v>
      </c>
      <c r="BK351" s="18">
        <v>6</v>
      </c>
      <c r="BL351" s="18">
        <v>6</v>
      </c>
      <c r="BM351" s="55">
        <f>SUM(AV351:AX351)+SUM(BC351:BD351)+SUM(BE351:BF351)+BG351</f>
        <v>62.48</v>
      </c>
      <c r="BN351" s="55"/>
      <c r="BO351" s="55"/>
      <c r="BP351" s="55"/>
      <c r="BQ351" s="55"/>
      <c r="BR351" s="55"/>
      <c r="BS351" s="55"/>
      <c r="BT351" s="55"/>
      <c r="BU351" s="55"/>
      <c r="BV351" s="55"/>
      <c r="BW351" s="55"/>
      <c r="BX351" s="55"/>
      <c r="BY351" s="55"/>
    </row>
    <row r="352" spans="1:78" ht="25.5">
      <c r="B352" s="89">
        <v>346</v>
      </c>
      <c r="C352" s="93">
        <v>206</v>
      </c>
      <c r="D352" s="95">
        <v>112</v>
      </c>
      <c r="E352" s="94">
        <v>0.4236111111111111</v>
      </c>
      <c r="F352" s="105">
        <v>0.4513888888888889</v>
      </c>
      <c r="G352" s="93" t="s">
        <v>438</v>
      </c>
      <c r="H352" s="93" t="s">
        <v>97</v>
      </c>
      <c r="I352" s="96">
        <v>18</v>
      </c>
      <c r="J352" s="97" t="s">
        <v>188</v>
      </c>
      <c r="K352" s="98">
        <v>208</v>
      </c>
      <c r="L352" s="109" t="s">
        <v>723</v>
      </c>
      <c r="M352" s="83" t="s">
        <v>931</v>
      </c>
      <c r="N352" s="83">
        <v>23</v>
      </c>
      <c r="O352" s="83" t="s">
        <v>935</v>
      </c>
      <c r="P352" s="83">
        <v>23</v>
      </c>
      <c r="Q352" s="83" t="s">
        <v>934</v>
      </c>
      <c r="R352" s="85">
        <v>24</v>
      </c>
      <c r="S352" s="26">
        <v>1</v>
      </c>
      <c r="T352" s="26" t="s">
        <v>1309</v>
      </c>
      <c r="U352" s="26" t="s">
        <v>1336</v>
      </c>
      <c r="V352" s="26" t="s">
        <v>1337</v>
      </c>
      <c r="W352" s="62">
        <v>44816</v>
      </c>
      <c r="X352" s="62">
        <v>45086</v>
      </c>
      <c r="Y352" s="62"/>
      <c r="Z352" s="62"/>
      <c r="AA352" s="22" t="s">
        <v>1106</v>
      </c>
      <c r="AB352" s="25"/>
      <c r="AC352" s="25"/>
      <c r="AD352" s="25"/>
      <c r="AE352" s="23" t="s">
        <v>731</v>
      </c>
      <c r="AF352" s="23" t="s">
        <v>731</v>
      </c>
      <c r="AG352" s="23" t="s">
        <v>731</v>
      </c>
      <c r="AH352" s="23" t="s">
        <v>731</v>
      </c>
      <c r="AI352" s="23" t="s">
        <v>731</v>
      </c>
      <c r="AJ352" s="23" t="s">
        <v>731</v>
      </c>
      <c r="AK352" s="23" t="s">
        <v>731</v>
      </c>
      <c r="AL352" s="25"/>
      <c r="AM352" s="25"/>
      <c r="AN352" s="25"/>
      <c r="AO352" s="25"/>
      <c r="AP352" s="23"/>
      <c r="AQ352" s="23"/>
      <c r="AR352" s="23"/>
      <c r="AS352" s="23"/>
      <c r="AT352" s="23"/>
      <c r="AU352" s="23"/>
      <c r="AV352" s="42">
        <v>31.5</v>
      </c>
      <c r="AW352" s="47"/>
      <c r="AX352" s="47"/>
      <c r="AY352" s="42"/>
      <c r="AZ352" s="42"/>
      <c r="BA352" s="47"/>
      <c r="BB352" s="45">
        <v>1</v>
      </c>
      <c r="BC352" s="41">
        <f>IF(AND((AV352/I352)&lt;2,BB352=1),(I352*2)-AV352,0)</f>
        <v>4.5</v>
      </c>
      <c r="BD352" s="41">
        <f>IF(AND((AV352/I352)&lt;3,BB352=2),(I352*3)-AV352,0)</f>
        <v>0</v>
      </c>
      <c r="BG352" s="18"/>
      <c r="BH352" s="18">
        <v>17</v>
      </c>
      <c r="BI352" s="18">
        <v>25</v>
      </c>
      <c r="BJ352" s="18">
        <v>25</v>
      </c>
      <c r="BK352" s="18">
        <v>18</v>
      </c>
      <c r="BL352" s="18">
        <v>20</v>
      </c>
      <c r="BM352" s="55">
        <f>SUM(AV352:AX352)+SUM(BC352:BD352)+SUM(BE352:BF352)+BG352</f>
        <v>36</v>
      </c>
      <c r="BN352" s="55"/>
      <c r="BO352" s="55"/>
      <c r="BP352" s="55"/>
      <c r="BQ352" s="55"/>
      <c r="BR352" s="55"/>
      <c r="BS352" s="55"/>
      <c r="BT352" s="55"/>
      <c r="BU352" s="55"/>
      <c r="BV352" s="55"/>
      <c r="BW352" s="55"/>
      <c r="BX352" s="55"/>
      <c r="BY352" s="55"/>
    </row>
    <row r="353" spans="2:77" ht="22.5">
      <c r="B353" s="89">
        <v>347</v>
      </c>
      <c r="C353" s="93">
        <v>206</v>
      </c>
      <c r="D353" s="95">
        <v>116</v>
      </c>
      <c r="E353" s="94">
        <v>0.5229166666666667</v>
      </c>
      <c r="F353" s="94">
        <v>0.53819444444444442</v>
      </c>
      <c r="G353" s="93" t="s">
        <v>219</v>
      </c>
      <c r="H353" s="93" t="s">
        <v>157</v>
      </c>
      <c r="I353" s="96">
        <v>11</v>
      </c>
      <c r="J353" s="97" t="s">
        <v>93</v>
      </c>
      <c r="K353" s="98">
        <v>58</v>
      </c>
      <c r="L353" s="109" t="s">
        <v>723</v>
      </c>
      <c r="M353" s="87" t="s">
        <v>931</v>
      </c>
      <c r="N353" s="83">
        <v>23</v>
      </c>
      <c r="O353" s="83" t="s">
        <v>933</v>
      </c>
      <c r="P353" s="83">
        <v>21</v>
      </c>
      <c r="Q353" s="83" t="s">
        <v>935</v>
      </c>
      <c r="R353" s="84">
        <v>23</v>
      </c>
      <c r="S353" s="26">
        <v>2010</v>
      </c>
      <c r="T353" s="26" t="s">
        <v>1482</v>
      </c>
      <c r="U353" s="26" t="s">
        <v>1336</v>
      </c>
      <c r="V353" s="26" t="s">
        <v>1337</v>
      </c>
      <c r="W353" s="62">
        <v>44805</v>
      </c>
      <c r="X353" s="62">
        <v>45169</v>
      </c>
      <c r="Y353" s="62"/>
      <c r="Z353" s="62"/>
      <c r="AA353" s="23" t="s">
        <v>1115</v>
      </c>
      <c r="AB353" s="23" t="s">
        <v>731</v>
      </c>
      <c r="AC353" s="23" t="s">
        <v>731</v>
      </c>
      <c r="AD353" s="23"/>
      <c r="AE353" s="23"/>
      <c r="AF353" s="23"/>
      <c r="AG353" s="23"/>
      <c r="AH353" s="23"/>
      <c r="AI353" s="23"/>
      <c r="AJ353" s="23"/>
      <c r="AK353" s="23"/>
      <c r="AL353" s="23" t="s">
        <v>731</v>
      </c>
      <c r="AM353" s="25"/>
      <c r="AN353" s="25"/>
      <c r="AO353" s="25"/>
      <c r="AP353" s="23"/>
      <c r="AQ353" s="23"/>
      <c r="AR353" s="23"/>
      <c r="AS353" s="23"/>
      <c r="AT353" s="23"/>
      <c r="AU353" s="23"/>
      <c r="AV353" s="42">
        <v>50.66</v>
      </c>
      <c r="AW353" s="47"/>
      <c r="AX353" s="47"/>
      <c r="AY353" s="42"/>
      <c r="AZ353" s="42"/>
      <c r="BA353" s="47"/>
      <c r="BB353" s="45">
        <v>1</v>
      </c>
      <c r="BC353" s="41">
        <f>IF(AND((AV353/I353)&lt;2,BB353=1),(I353*2)-AV353,0)</f>
        <v>0</v>
      </c>
      <c r="BD353" s="41">
        <f>IF(AND((AV353/I353)&lt;3,BB353=2),(I353*3)-AV353,0)</f>
        <v>0</v>
      </c>
      <c r="BG353" s="18"/>
      <c r="BH353" s="31">
        <v>3</v>
      </c>
      <c r="BI353" s="18">
        <v>5</v>
      </c>
      <c r="BJ353" s="18">
        <v>5</v>
      </c>
      <c r="BK353" s="18">
        <v>6</v>
      </c>
      <c r="BL353" s="18">
        <v>6</v>
      </c>
      <c r="BM353" s="55">
        <f>SUM(AV353:AX353)+SUM(BC353:BD353)+SUM(BE353:BF353)+BG353</f>
        <v>50.66</v>
      </c>
      <c r="BN353" s="55"/>
      <c r="BO353" s="55"/>
      <c r="BP353" s="55"/>
      <c r="BQ353" s="55"/>
      <c r="BR353" s="55"/>
      <c r="BS353" s="55"/>
      <c r="BT353" s="55"/>
      <c r="BU353" s="55"/>
      <c r="BV353" s="55"/>
      <c r="BW353" s="55"/>
      <c r="BX353" s="55"/>
      <c r="BY353" s="55"/>
    </row>
    <row r="354" spans="2:77" ht="25.5">
      <c r="B354" s="89">
        <v>348</v>
      </c>
      <c r="C354" s="93">
        <v>206</v>
      </c>
      <c r="D354" s="95">
        <v>116</v>
      </c>
      <c r="E354" s="94">
        <v>0.53819444444444442</v>
      </c>
      <c r="F354" s="94">
        <v>0.5395833333333333</v>
      </c>
      <c r="G354" s="93" t="s">
        <v>218</v>
      </c>
      <c r="H354" s="93" t="s">
        <v>549</v>
      </c>
      <c r="I354" s="96">
        <v>2</v>
      </c>
      <c r="J354" s="97" t="s">
        <v>93</v>
      </c>
      <c r="K354" s="98">
        <v>13</v>
      </c>
      <c r="L354" s="109" t="s">
        <v>723</v>
      </c>
      <c r="M354" s="87" t="s">
        <v>931</v>
      </c>
      <c r="N354" s="83">
        <v>23</v>
      </c>
      <c r="O354" s="83" t="s">
        <v>933</v>
      </c>
      <c r="P354" s="83">
        <v>21</v>
      </c>
      <c r="Q354" s="83" t="s">
        <v>935</v>
      </c>
      <c r="R354" s="84">
        <v>23</v>
      </c>
      <c r="S354" s="26" t="s">
        <v>1336</v>
      </c>
      <c r="T354" s="26" t="s">
        <v>1337</v>
      </c>
      <c r="U354" s="26">
        <v>2024</v>
      </c>
      <c r="V354" s="26" t="s">
        <v>1483</v>
      </c>
      <c r="W354" s="63">
        <v>44562</v>
      </c>
      <c r="X354" s="63">
        <v>44815</v>
      </c>
      <c r="Y354" s="63">
        <v>45101</v>
      </c>
      <c r="Z354" s="63">
        <v>45169</v>
      </c>
      <c r="AA354" s="17" t="s">
        <v>1104</v>
      </c>
      <c r="AB354" s="25"/>
      <c r="AC354" s="23" t="s">
        <v>731</v>
      </c>
      <c r="AD354" s="23"/>
      <c r="AE354" s="23"/>
      <c r="AF354" s="23"/>
      <c r="AG354" s="23"/>
      <c r="AH354" s="23"/>
      <c r="AI354" s="23"/>
      <c r="AJ354" s="23"/>
      <c r="AK354" s="23"/>
      <c r="AL354" s="23" t="s">
        <v>731</v>
      </c>
      <c r="AM354" s="25"/>
      <c r="AN354" s="25"/>
      <c r="AO354" s="25"/>
      <c r="AP354" s="23"/>
      <c r="AQ354" s="23"/>
      <c r="AR354" s="23"/>
      <c r="AS354" s="23"/>
      <c r="AT354" s="23"/>
      <c r="AU354" s="23"/>
      <c r="AV354" s="42">
        <v>3.6</v>
      </c>
      <c r="AW354" s="47"/>
      <c r="AX354" s="47"/>
      <c r="AY354" s="42"/>
      <c r="AZ354" s="42"/>
      <c r="BA354" s="47"/>
      <c r="BB354" s="45">
        <v>1</v>
      </c>
      <c r="BC354" s="41">
        <f>IF(AND((AV354/I354)&lt;2,BB354=1),(I354*2)-AV354,0)</f>
        <v>0.39999999999999991</v>
      </c>
      <c r="BD354" s="41">
        <f>IF(AND((AV354/I354)&lt;3,BB354=2),(I354*3)-AV354,0)</f>
        <v>0</v>
      </c>
      <c r="BG354" s="18"/>
      <c r="BH354" s="18">
        <v>2</v>
      </c>
      <c r="BI354" s="18">
        <v>0</v>
      </c>
      <c r="BJ354" s="18">
        <v>0</v>
      </c>
      <c r="BK354" s="18">
        <v>0</v>
      </c>
      <c r="BL354" s="18">
        <v>0</v>
      </c>
      <c r="BM354" s="55">
        <f>SUM(AV354:AX354)+SUM(BC354:BD354)+SUM(BE354:BF354)+BG354</f>
        <v>4</v>
      </c>
      <c r="BN354" s="55"/>
      <c r="BO354" s="55"/>
      <c r="BP354" s="55"/>
      <c r="BQ354" s="55"/>
      <c r="BR354" s="55"/>
      <c r="BS354" s="55"/>
      <c r="BT354" s="55"/>
      <c r="BU354" s="55"/>
      <c r="BV354" s="55"/>
      <c r="BW354" s="55"/>
      <c r="BX354" s="55"/>
      <c r="BY354" s="55"/>
    </row>
    <row r="355" spans="2:77" ht="25.5">
      <c r="B355" s="89">
        <v>349</v>
      </c>
      <c r="C355" s="93">
        <v>206</v>
      </c>
      <c r="D355" s="95">
        <v>382</v>
      </c>
      <c r="E355" s="94">
        <v>0.54861111111111105</v>
      </c>
      <c r="F355" s="94">
        <v>0.5625</v>
      </c>
      <c r="G355" s="93" t="s">
        <v>217</v>
      </c>
      <c r="H355" s="93" t="s">
        <v>97</v>
      </c>
      <c r="I355" s="96">
        <v>11</v>
      </c>
      <c r="J355" s="97" t="s">
        <v>99</v>
      </c>
      <c r="K355" s="98">
        <v>208</v>
      </c>
      <c r="L355" s="109" t="s">
        <v>723</v>
      </c>
      <c r="M355" s="87" t="s">
        <v>931</v>
      </c>
      <c r="N355" s="83">
        <v>23</v>
      </c>
      <c r="O355" s="83" t="s">
        <v>933</v>
      </c>
      <c r="P355" s="83">
        <v>21</v>
      </c>
      <c r="Q355" s="83" t="s">
        <v>935</v>
      </c>
      <c r="R355" s="84">
        <v>23</v>
      </c>
      <c r="S355" s="26">
        <v>2020</v>
      </c>
      <c r="T355" s="26" t="s">
        <v>1484</v>
      </c>
      <c r="U355" s="26" t="s">
        <v>1336</v>
      </c>
      <c r="V355" s="26" t="s">
        <v>1337</v>
      </c>
      <c r="W355" s="62">
        <v>44816</v>
      </c>
      <c r="X355" s="62">
        <v>45086</v>
      </c>
      <c r="Y355" s="62"/>
      <c r="Z355" s="62"/>
      <c r="AA355" s="22" t="s">
        <v>1106</v>
      </c>
      <c r="AB355" s="25"/>
      <c r="AC355" s="25"/>
      <c r="AD355" s="25"/>
      <c r="AE355" s="23" t="s">
        <v>731</v>
      </c>
      <c r="AF355" s="23" t="s">
        <v>731</v>
      </c>
      <c r="AG355" s="23" t="s">
        <v>731</v>
      </c>
      <c r="AH355" s="23" t="s">
        <v>731</v>
      </c>
      <c r="AI355" s="23" t="s">
        <v>731</v>
      </c>
      <c r="AJ355" s="23" t="s">
        <v>731</v>
      </c>
      <c r="AK355" s="23" t="s">
        <v>731</v>
      </c>
      <c r="AL355" s="25"/>
      <c r="AM355" s="25"/>
      <c r="AN355" s="25"/>
      <c r="AO355" s="25"/>
      <c r="AP355" s="23"/>
      <c r="AQ355" s="23"/>
      <c r="AR355" s="23"/>
      <c r="AS355" s="23"/>
      <c r="AT355" s="23"/>
      <c r="AU355" s="23"/>
      <c r="AV355" s="42">
        <v>38.869999999999997</v>
      </c>
      <c r="AW355" s="47"/>
      <c r="AX355" s="47"/>
      <c r="AY355" s="42"/>
      <c r="AZ355" s="42"/>
      <c r="BA355" s="47"/>
      <c r="BB355" s="45">
        <v>1</v>
      </c>
      <c r="BC355" s="41">
        <f>IF(AND((AV355/I355)&lt;2,BB355=1),(I355*2)-AV355,0)</f>
        <v>0</v>
      </c>
      <c r="BD355" s="41">
        <f>IF(AND((AV355/I355)&lt;3,BB355=2),(I355*3)-AV355,0)</f>
        <v>0</v>
      </c>
      <c r="BG355" s="18"/>
      <c r="BH355" s="18">
        <v>17</v>
      </c>
      <c r="BI355" s="18">
        <v>25</v>
      </c>
      <c r="BJ355" s="18">
        <v>25</v>
      </c>
      <c r="BK355" s="18">
        <v>18</v>
      </c>
      <c r="BL355" s="18">
        <v>20</v>
      </c>
      <c r="BM355" s="55">
        <f>SUM(AV355:AX355)+SUM(BC355:BD355)+SUM(BE355:BF355)+BG355</f>
        <v>38.869999999999997</v>
      </c>
      <c r="BN355" s="55"/>
      <c r="BO355" s="55"/>
      <c r="BP355" s="55"/>
      <c r="BQ355" s="55"/>
      <c r="BR355" s="55"/>
      <c r="BS355" s="55"/>
      <c r="BT355" s="55"/>
      <c r="BU355" s="55"/>
      <c r="BV355" s="55"/>
      <c r="BW355" s="55"/>
      <c r="BX355" s="55"/>
      <c r="BY355" s="55"/>
    </row>
    <row r="356" spans="2:77" ht="22.5">
      <c r="B356" s="89">
        <v>350</v>
      </c>
      <c r="C356" s="93">
        <v>206</v>
      </c>
      <c r="D356" s="95">
        <v>117</v>
      </c>
      <c r="E356" s="94">
        <v>0.5854166666666667</v>
      </c>
      <c r="F356" s="94">
        <v>0.60972222222222217</v>
      </c>
      <c r="G356" s="93" t="s">
        <v>152</v>
      </c>
      <c r="H356" s="93" t="s">
        <v>157</v>
      </c>
      <c r="I356" s="96">
        <v>16</v>
      </c>
      <c r="J356" s="97" t="s">
        <v>93</v>
      </c>
      <c r="K356" s="98">
        <v>58</v>
      </c>
      <c r="L356" s="109" t="s">
        <v>723</v>
      </c>
      <c r="M356" s="87" t="s">
        <v>933</v>
      </c>
      <c r="N356" s="83">
        <v>21</v>
      </c>
      <c r="O356" s="83" t="s">
        <v>931</v>
      </c>
      <c r="P356" s="83">
        <v>23</v>
      </c>
      <c r="Q356" s="83" t="s">
        <v>935</v>
      </c>
      <c r="R356" s="84">
        <v>23</v>
      </c>
      <c r="S356" s="26" t="s">
        <v>1336</v>
      </c>
      <c r="T356" s="26" t="s">
        <v>1337</v>
      </c>
      <c r="U356" s="26">
        <v>1</v>
      </c>
      <c r="V356" s="26" t="s">
        <v>1312</v>
      </c>
      <c r="W356" s="62">
        <v>44805</v>
      </c>
      <c r="X356" s="62">
        <v>45169</v>
      </c>
      <c r="Y356" s="62"/>
      <c r="Z356" s="62"/>
      <c r="AA356" s="23" t="s">
        <v>1115</v>
      </c>
      <c r="AB356" s="23" t="s">
        <v>731</v>
      </c>
      <c r="AC356" s="23" t="s">
        <v>731</v>
      </c>
      <c r="AD356" s="23"/>
      <c r="AE356" s="23"/>
      <c r="AF356" s="23"/>
      <c r="AG356" s="23"/>
      <c r="AH356" s="23"/>
      <c r="AI356" s="23"/>
      <c r="AJ356" s="23"/>
      <c r="AK356" s="23"/>
      <c r="AL356" s="23" t="s">
        <v>731</v>
      </c>
      <c r="AM356" s="25"/>
      <c r="AN356" s="25"/>
      <c r="AO356" s="25"/>
      <c r="AP356" s="23"/>
      <c r="AQ356" s="23"/>
      <c r="AR356" s="23"/>
      <c r="AS356" s="23"/>
      <c r="AT356" s="23"/>
      <c r="AU356" s="23"/>
      <c r="AV356" s="42">
        <v>62.48</v>
      </c>
      <c r="AW356" s="47"/>
      <c r="AX356" s="47"/>
      <c r="AY356" s="42"/>
      <c r="AZ356" s="42"/>
      <c r="BA356" s="47"/>
      <c r="BB356" s="45">
        <v>1</v>
      </c>
      <c r="BC356" s="41">
        <f>IF(AND((AV356/I356)&lt;2,BB356=1),(I356*2)-AV356,0)</f>
        <v>0</v>
      </c>
      <c r="BD356" s="41">
        <f>IF(AND((AV356/I356)&lt;3,BB356=2),(I356*3)-AV356,0)</f>
        <v>0</v>
      </c>
      <c r="BG356" s="18"/>
      <c r="BH356" s="31">
        <v>3</v>
      </c>
      <c r="BI356" s="18">
        <v>5</v>
      </c>
      <c r="BJ356" s="18">
        <v>5</v>
      </c>
      <c r="BK356" s="18">
        <v>6</v>
      </c>
      <c r="BL356" s="18">
        <v>6</v>
      </c>
      <c r="BM356" s="55">
        <f>SUM(AV356:AX356)+SUM(BC356:BD356)+SUM(BE356:BF356)+BG356</f>
        <v>62.48</v>
      </c>
      <c r="BN356" s="55"/>
      <c r="BO356" s="55"/>
      <c r="BP356" s="55"/>
      <c r="BQ356" s="55"/>
      <c r="BR356" s="55"/>
      <c r="BS356" s="55"/>
      <c r="BT356" s="55"/>
      <c r="BU356" s="55"/>
      <c r="BV356" s="55"/>
      <c r="BW356" s="55"/>
      <c r="BX356" s="55"/>
      <c r="BY356" s="55"/>
    </row>
    <row r="357" spans="2:77" ht="22.5">
      <c r="B357" s="89">
        <v>351</v>
      </c>
      <c r="C357" s="93">
        <v>206</v>
      </c>
      <c r="D357" s="95">
        <v>128</v>
      </c>
      <c r="E357" s="94">
        <v>0.70833333333333337</v>
      </c>
      <c r="F357" s="105">
        <v>0.72638888888888886</v>
      </c>
      <c r="G357" s="93" t="s">
        <v>153</v>
      </c>
      <c r="H357" s="93" t="s">
        <v>157</v>
      </c>
      <c r="I357" s="96">
        <v>16</v>
      </c>
      <c r="J357" s="97" t="s">
        <v>93</v>
      </c>
      <c r="K357" s="98">
        <v>58</v>
      </c>
      <c r="L357" s="109" t="s">
        <v>723</v>
      </c>
      <c r="M357" s="87" t="s">
        <v>933</v>
      </c>
      <c r="N357" s="83">
        <v>21</v>
      </c>
      <c r="O357" s="83" t="s">
        <v>931</v>
      </c>
      <c r="P357" s="83">
        <v>23</v>
      </c>
      <c r="Q357" s="83" t="s">
        <v>935</v>
      </c>
      <c r="R357" s="84">
        <v>23</v>
      </c>
      <c r="S357" s="26">
        <v>1</v>
      </c>
      <c r="T357" s="26" t="s">
        <v>1309</v>
      </c>
      <c r="U357" s="26">
        <v>2023</v>
      </c>
      <c r="V357" s="26" t="s">
        <v>1485</v>
      </c>
      <c r="W357" s="62">
        <v>44805</v>
      </c>
      <c r="X357" s="62">
        <v>45169</v>
      </c>
      <c r="Y357" s="62"/>
      <c r="Z357" s="62"/>
      <c r="AA357" s="23" t="s">
        <v>1115</v>
      </c>
      <c r="AB357" s="23" t="s">
        <v>731</v>
      </c>
      <c r="AC357" s="23" t="s">
        <v>731</v>
      </c>
      <c r="AD357" s="23"/>
      <c r="AE357" s="23"/>
      <c r="AF357" s="23"/>
      <c r="AG357" s="23"/>
      <c r="AH357" s="23"/>
      <c r="AI357" s="23"/>
      <c r="AJ357" s="23"/>
      <c r="AK357" s="23"/>
      <c r="AL357" s="23" t="s">
        <v>731</v>
      </c>
      <c r="AM357" s="25"/>
      <c r="AN357" s="25"/>
      <c r="AO357" s="25"/>
      <c r="AP357" s="23"/>
      <c r="AQ357" s="23"/>
      <c r="AR357" s="23"/>
      <c r="AS357" s="23"/>
      <c r="AT357" s="23"/>
      <c r="AU357" s="23"/>
      <c r="AV357" s="42">
        <v>62.48</v>
      </c>
      <c r="AW357" s="47"/>
      <c r="AX357" s="47"/>
      <c r="AY357" s="42"/>
      <c r="AZ357" s="42"/>
      <c r="BA357" s="47"/>
      <c r="BB357" s="45">
        <v>1</v>
      </c>
      <c r="BC357" s="41">
        <f>IF(AND((AV357/I357)&lt;2,BB357=1),(I357*2)-AV357,0)</f>
        <v>0</v>
      </c>
      <c r="BD357" s="41">
        <f>IF(AND((AV357/I357)&lt;3,BB357=2),(I357*3)-AV357,0)</f>
        <v>0</v>
      </c>
      <c r="BG357" s="18"/>
      <c r="BH357" s="18">
        <v>4</v>
      </c>
      <c r="BI357" s="18">
        <v>5</v>
      </c>
      <c r="BJ357" s="18">
        <v>5</v>
      </c>
      <c r="BK357" s="18">
        <v>6</v>
      </c>
      <c r="BL357" s="18">
        <v>6</v>
      </c>
      <c r="BM357" s="55">
        <f>SUM(AV357:AX357)+SUM(BC357:BD357)+SUM(BE357:BF357)+BG357</f>
        <v>62.48</v>
      </c>
      <c r="BN357" s="55"/>
      <c r="BO357" s="55"/>
      <c r="BP357" s="55"/>
      <c r="BQ357" s="55"/>
      <c r="BR357" s="55"/>
      <c r="BS357" s="55"/>
      <c r="BT357" s="55"/>
      <c r="BU357" s="55"/>
      <c r="BV357" s="55"/>
      <c r="BW357" s="55"/>
      <c r="BX357" s="55"/>
      <c r="BY357" s="55"/>
    </row>
    <row r="358" spans="2:77" ht="25.5">
      <c r="B358" s="89">
        <v>352</v>
      </c>
      <c r="C358" s="93">
        <v>206</v>
      </c>
      <c r="D358" s="95">
        <v>580</v>
      </c>
      <c r="E358" s="94">
        <v>0.71180555555555547</v>
      </c>
      <c r="F358" s="94">
        <v>0.71875</v>
      </c>
      <c r="G358" s="93" t="s">
        <v>210</v>
      </c>
      <c r="H358" s="93" t="s">
        <v>155</v>
      </c>
      <c r="I358" s="96">
        <v>6</v>
      </c>
      <c r="J358" s="97" t="s">
        <v>93</v>
      </c>
      <c r="K358" s="98">
        <v>252</v>
      </c>
      <c r="L358" s="109" t="s">
        <v>723</v>
      </c>
      <c r="M358" s="87" t="s">
        <v>934</v>
      </c>
      <c r="N358" s="83">
        <v>24</v>
      </c>
      <c r="O358" s="83" t="s">
        <v>933</v>
      </c>
      <c r="P358" s="83">
        <v>21</v>
      </c>
      <c r="Q358" s="83" t="s">
        <v>935</v>
      </c>
      <c r="R358" s="84">
        <v>23</v>
      </c>
      <c r="S358" s="26">
        <v>2021</v>
      </c>
      <c r="T358" s="26" t="s">
        <v>1486</v>
      </c>
      <c r="U358" s="26" t="s">
        <v>1336</v>
      </c>
      <c r="V358" s="26" t="s">
        <v>1337</v>
      </c>
      <c r="W358" s="62">
        <v>44805</v>
      </c>
      <c r="X358" s="62">
        <v>45169</v>
      </c>
      <c r="Y358" s="62"/>
      <c r="Z358" s="62"/>
      <c r="AA358" s="22" t="s">
        <v>1101</v>
      </c>
      <c r="AB358" s="23" t="s">
        <v>731</v>
      </c>
      <c r="AC358" s="23" t="s">
        <v>731</v>
      </c>
      <c r="AD358" s="23" t="s">
        <v>731</v>
      </c>
      <c r="AE358" s="23"/>
      <c r="AF358" s="23" t="s">
        <v>731</v>
      </c>
      <c r="AG358" s="23" t="s">
        <v>731</v>
      </c>
      <c r="AH358" s="23" t="s">
        <v>731</v>
      </c>
      <c r="AI358" s="23" t="s">
        <v>731</v>
      </c>
      <c r="AJ358" s="23" t="s">
        <v>731</v>
      </c>
      <c r="AK358" s="25"/>
      <c r="AL358" s="25"/>
      <c r="AM358" s="25"/>
      <c r="AN358" s="25"/>
      <c r="AO358" s="23"/>
      <c r="AP358" s="23"/>
      <c r="AQ358" s="23"/>
      <c r="AR358" s="23"/>
      <c r="AS358" s="23"/>
      <c r="AT358" s="23"/>
      <c r="AU358" s="23"/>
      <c r="AV358" s="42">
        <v>10.76</v>
      </c>
      <c r="AW358" s="47"/>
      <c r="AX358" s="47"/>
      <c r="AY358" s="42"/>
      <c r="AZ358" s="42"/>
      <c r="BA358" s="47"/>
      <c r="BB358" s="45">
        <v>1</v>
      </c>
      <c r="BC358" s="41">
        <f>IF(AND((AV358/I358)&lt;2,BB358=1),(I358*2)-AV358,0)</f>
        <v>1.2400000000000002</v>
      </c>
      <c r="BD358" s="41">
        <f>IF(AND((AV358/I358)&lt;3,BB358=2),(I358*3)-AV358,0)</f>
        <v>0</v>
      </c>
      <c r="BG358" s="18"/>
      <c r="BH358" s="18">
        <v>22</v>
      </c>
      <c r="BI358" s="18">
        <v>21</v>
      </c>
      <c r="BJ358" s="18">
        <v>21</v>
      </c>
      <c r="BK358" s="18">
        <v>20</v>
      </c>
      <c r="BL358" s="18">
        <v>21</v>
      </c>
      <c r="BM358" s="55">
        <f>SUM(AV358:AX358)+SUM(BC358:BD358)+SUM(BE358:BF358)+BG358</f>
        <v>12</v>
      </c>
      <c r="BN358" s="55"/>
      <c r="BO358" s="55"/>
      <c r="BP358" s="55"/>
      <c r="BQ358" s="55"/>
      <c r="BR358" s="55"/>
      <c r="BS358" s="55"/>
      <c r="BT358" s="55"/>
      <c r="BU358" s="55"/>
      <c r="BV358" s="55"/>
      <c r="BW358" s="55"/>
      <c r="BX358" s="55"/>
      <c r="BY358" s="55"/>
    </row>
    <row r="359" spans="2:77" ht="25.5">
      <c r="B359" s="89">
        <v>353</v>
      </c>
      <c r="C359" s="93">
        <v>206</v>
      </c>
      <c r="D359" s="95">
        <v>372</v>
      </c>
      <c r="E359" s="94">
        <v>0.71875</v>
      </c>
      <c r="F359" s="94">
        <v>0.74652777777777779</v>
      </c>
      <c r="G359" s="93" t="s">
        <v>213</v>
      </c>
      <c r="H359" s="93" t="s">
        <v>478</v>
      </c>
      <c r="I359" s="96">
        <v>18.5</v>
      </c>
      <c r="J359" s="97" t="s">
        <v>188</v>
      </c>
      <c r="K359" s="98">
        <v>240</v>
      </c>
      <c r="L359" s="109" t="s">
        <v>723</v>
      </c>
      <c r="M359" s="87" t="s">
        <v>932</v>
      </c>
      <c r="N359" s="83">
        <v>37</v>
      </c>
      <c r="O359" s="83" t="s">
        <v>936</v>
      </c>
      <c r="P359" s="83">
        <v>48</v>
      </c>
      <c r="Q359" s="190" t="s">
        <v>1997</v>
      </c>
      <c r="R359" s="191">
        <v>45</v>
      </c>
      <c r="S359" s="26">
        <v>1</v>
      </c>
      <c r="T359" s="26" t="s">
        <v>1309</v>
      </c>
      <c r="U359" s="26" t="s">
        <v>1336</v>
      </c>
      <c r="V359" s="26" t="s">
        <v>1337</v>
      </c>
      <c r="W359" s="63">
        <v>44816</v>
      </c>
      <c r="X359" s="63">
        <v>45100</v>
      </c>
      <c r="Y359" s="63"/>
      <c r="Z359" s="63"/>
      <c r="AA359" s="26" t="s">
        <v>1112</v>
      </c>
      <c r="AB359" s="23" t="s">
        <v>731</v>
      </c>
      <c r="AC359" s="23"/>
      <c r="AD359" s="23" t="s">
        <v>731</v>
      </c>
      <c r="AE359" s="23"/>
      <c r="AF359" s="23" t="s">
        <v>731</v>
      </c>
      <c r="AG359" s="23" t="s">
        <v>731</v>
      </c>
      <c r="AH359" s="23" t="s">
        <v>731</v>
      </c>
      <c r="AI359" s="23" t="s">
        <v>731</v>
      </c>
      <c r="AJ359" s="23" t="s">
        <v>731</v>
      </c>
      <c r="AK359" s="23" t="s">
        <v>731</v>
      </c>
      <c r="AL359" s="25"/>
      <c r="AM359" s="25"/>
      <c r="AN359" s="25"/>
      <c r="AO359" s="25"/>
      <c r="AP359" s="23"/>
      <c r="AQ359" s="23"/>
      <c r="AR359" s="23"/>
      <c r="AS359" s="23"/>
      <c r="AT359" s="23"/>
      <c r="AU359" s="23"/>
      <c r="AV359" s="42">
        <v>49.94</v>
      </c>
      <c r="AW359" s="47"/>
      <c r="AX359" s="47"/>
      <c r="AY359" s="42"/>
      <c r="AZ359" s="42"/>
      <c r="BA359" s="47"/>
      <c r="BB359" s="45">
        <v>1</v>
      </c>
      <c r="BC359" s="41">
        <f>IF(AND((AV359/I359)&lt;2,BB359=1),(I359*2)-AV359,0)</f>
        <v>0</v>
      </c>
      <c r="BD359" s="41">
        <f>IF(AND((AV359/I359)&lt;3,BB359=2),(I359*3)-AV359,0)</f>
        <v>0</v>
      </c>
      <c r="BG359" s="18"/>
      <c r="BH359" s="18">
        <v>17</v>
      </c>
      <c r="BI359" s="18">
        <v>26</v>
      </c>
      <c r="BJ359" s="18">
        <v>25</v>
      </c>
      <c r="BK359" s="18">
        <v>25</v>
      </c>
      <c r="BL359" s="18">
        <v>25</v>
      </c>
      <c r="BM359" s="55">
        <f>SUM(AV359:AX359)+SUM(BC359:BD359)+SUM(BE359:BF359)+BG359</f>
        <v>49.94</v>
      </c>
      <c r="BN359" s="55"/>
      <c r="BO359" s="55"/>
      <c r="BP359" s="55"/>
      <c r="BQ359" s="55"/>
      <c r="BR359" s="55"/>
      <c r="BS359" s="55"/>
      <c r="BT359" s="55"/>
      <c r="BU359" s="55"/>
      <c r="BV359" s="55"/>
      <c r="BW359" s="55"/>
      <c r="BX359" s="55"/>
      <c r="BY359" s="55"/>
    </row>
    <row r="360" spans="2:77" ht="33.75">
      <c r="B360" s="89">
        <v>354</v>
      </c>
      <c r="C360" s="93">
        <v>206</v>
      </c>
      <c r="D360" s="95">
        <v>128</v>
      </c>
      <c r="E360" s="94">
        <v>0.72222222222222221</v>
      </c>
      <c r="F360" s="105">
        <v>0.75069444444444444</v>
      </c>
      <c r="G360" s="93" t="s">
        <v>445</v>
      </c>
      <c r="H360" s="93" t="s">
        <v>446</v>
      </c>
      <c r="I360" s="96">
        <v>15.5</v>
      </c>
      <c r="J360" s="97" t="s">
        <v>188</v>
      </c>
      <c r="K360" s="98">
        <v>47</v>
      </c>
      <c r="L360" s="109" t="s">
        <v>723</v>
      </c>
      <c r="M360" s="87" t="s">
        <v>932</v>
      </c>
      <c r="N360" s="83">
        <v>37</v>
      </c>
      <c r="O360" s="83" t="s">
        <v>931</v>
      </c>
      <c r="P360" s="83">
        <v>23</v>
      </c>
      <c r="Q360" s="83" t="s">
        <v>934</v>
      </c>
      <c r="R360" s="85">
        <v>24</v>
      </c>
      <c r="S360" s="26">
        <v>2023</v>
      </c>
      <c r="T360" s="26" t="s">
        <v>1485</v>
      </c>
      <c r="U360" s="26">
        <v>2054</v>
      </c>
      <c r="V360" s="26" t="s">
        <v>1332</v>
      </c>
      <c r="W360" s="63">
        <v>44816</v>
      </c>
      <c r="X360" s="63">
        <v>45100</v>
      </c>
      <c r="Y360" s="63"/>
      <c r="Z360" s="63"/>
      <c r="AA360" s="27" t="s">
        <v>1103</v>
      </c>
      <c r="AB360" s="23" t="s">
        <v>731</v>
      </c>
      <c r="AC360" s="23"/>
      <c r="AD360" s="23"/>
      <c r="AE360" s="23"/>
      <c r="AF360" s="23"/>
      <c r="AG360" s="23"/>
      <c r="AH360" s="23"/>
      <c r="AI360" s="23"/>
      <c r="AJ360" s="23"/>
      <c r="AK360" s="23"/>
      <c r="AL360" s="23" t="s">
        <v>731</v>
      </c>
      <c r="AM360" s="25"/>
      <c r="AN360" s="25"/>
      <c r="AO360" s="25"/>
      <c r="AP360" s="23"/>
      <c r="AQ360" s="23"/>
      <c r="AR360" s="23"/>
      <c r="AS360" s="23"/>
      <c r="AT360" s="23"/>
      <c r="AU360" s="23"/>
      <c r="AV360" s="42">
        <v>62.48</v>
      </c>
      <c r="AW360" s="47"/>
      <c r="AX360" s="47"/>
      <c r="AY360" s="42"/>
      <c r="AZ360" s="42"/>
      <c r="BA360" s="47"/>
      <c r="BB360" s="45">
        <v>1</v>
      </c>
      <c r="BC360" s="41">
        <f>IF(AND((AV360/I360)&lt;2,BB360=1),(I360*2)-AV360,0)</f>
        <v>0</v>
      </c>
      <c r="BD360" s="41">
        <f>IF(AND((AV360/I360)&lt;3,BB360=2),(I360*3)-AV360,0)</f>
        <v>0</v>
      </c>
      <c r="BG360" s="18"/>
      <c r="BH360" s="18">
        <v>2</v>
      </c>
      <c r="BI360" s="18">
        <v>5</v>
      </c>
      <c r="BJ360" s="18">
        <v>5</v>
      </c>
      <c r="BK360" s="18">
        <v>6</v>
      </c>
      <c r="BL360" s="18">
        <v>6</v>
      </c>
      <c r="BM360" s="55">
        <f>SUM(AV360:AX360)+SUM(BC360:BD360)+SUM(BE360:BF360)+BG360</f>
        <v>62.48</v>
      </c>
      <c r="BN360" s="55"/>
      <c r="BO360" s="55"/>
      <c r="BP360" s="55"/>
      <c r="BQ360" s="55"/>
      <c r="BR360" s="55"/>
      <c r="BS360" s="55"/>
      <c r="BT360" s="55"/>
      <c r="BU360" s="55"/>
      <c r="BV360" s="55"/>
      <c r="BW360" s="55"/>
      <c r="BX360" s="55"/>
      <c r="BY360" s="55"/>
    </row>
    <row r="361" spans="2:77" ht="25.5">
      <c r="B361" s="89">
        <v>355</v>
      </c>
      <c r="C361" s="93">
        <v>206</v>
      </c>
      <c r="D361" s="95">
        <v>121</v>
      </c>
      <c r="E361" s="105">
        <v>0.74513888888888891</v>
      </c>
      <c r="F361" s="105">
        <v>0.74652777777777779</v>
      </c>
      <c r="G361" s="93" t="s">
        <v>216</v>
      </c>
      <c r="H361" s="93" t="s">
        <v>549</v>
      </c>
      <c r="I361" s="96">
        <v>2</v>
      </c>
      <c r="J361" s="97" t="s">
        <v>93</v>
      </c>
      <c r="K361" s="98">
        <v>13</v>
      </c>
      <c r="L361" s="109" t="s">
        <v>723</v>
      </c>
      <c r="M361" s="87" t="s">
        <v>934</v>
      </c>
      <c r="N361" s="87">
        <v>24</v>
      </c>
      <c r="O361" s="87" t="s">
        <v>935</v>
      </c>
      <c r="P361" s="87">
        <v>23</v>
      </c>
      <c r="Q361" s="114"/>
      <c r="R361" s="87"/>
      <c r="S361" s="26">
        <v>2024</v>
      </c>
      <c r="T361" s="26" t="s">
        <v>1483</v>
      </c>
      <c r="U361" s="26" t="s">
        <v>1336</v>
      </c>
      <c r="V361" s="26" t="s">
        <v>1337</v>
      </c>
      <c r="W361" s="63">
        <v>44562</v>
      </c>
      <c r="X361" s="63">
        <v>44815</v>
      </c>
      <c r="Y361" s="63">
        <v>45101</v>
      </c>
      <c r="Z361" s="63">
        <v>45169</v>
      </c>
      <c r="AA361" s="17" t="s">
        <v>1104</v>
      </c>
      <c r="AB361" s="25"/>
      <c r="AC361" s="23" t="s">
        <v>731</v>
      </c>
      <c r="AD361" s="23"/>
      <c r="AE361" s="23"/>
      <c r="AF361" s="23"/>
      <c r="AG361" s="23"/>
      <c r="AH361" s="23"/>
      <c r="AI361" s="23"/>
      <c r="AJ361" s="23"/>
      <c r="AK361" s="23"/>
      <c r="AL361" s="23" t="s">
        <v>731</v>
      </c>
      <c r="AM361" s="25"/>
      <c r="AN361" s="25"/>
      <c r="AO361" s="25"/>
      <c r="AP361" s="23"/>
      <c r="AQ361" s="23"/>
      <c r="AR361" s="23"/>
      <c r="AS361" s="23"/>
      <c r="AT361" s="23"/>
      <c r="AU361" s="23"/>
      <c r="AV361" s="42">
        <v>3.6</v>
      </c>
      <c r="AW361" s="47"/>
      <c r="AX361" s="47"/>
      <c r="AY361" s="42"/>
      <c r="AZ361" s="42"/>
      <c r="BA361" s="47"/>
      <c r="BB361" s="45">
        <v>1</v>
      </c>
      <c r="BC361" s="41">
        <f>IF(AND((AV361/I361)&lt;2,BB361=1),(I361*2)-AV361,0)</f>
        <v>0.39999999999999991</v>
      </c>
      <c r="BD361" s="41">
        <f>IF(AND((AV361/I361)&lt;3,BB361=2),(I361*3)-AV361,0)</f>
        <v>0</v>
      </c>
      <c r="BG361" s="18"/>
      <c r="BH361" s="18">
        <v>2</v>
      </c>
      <c r="BI361" s="18">
        <v>0</v>
      </c>
      <c r="BJ361" s="18">
        <v>0</v>
      </c>
      <c r="BK361" s="18">
        <v>0</v>
      </c>
      <c r="BL361" s="18">
        <v>0</v>
      </c>
      <c r="BM361" s="55">
        <f>SUM(AV361:AX361)+SUM(BC361:BD361)+SUM(BE361:BF361)+BG361</f>
        <v>4</v>
      </c>
      <c r="BN361" s="55"/>
      <c r="BO361" s="55"/>
      <c r="BP361" s="55"/>
      <c r="BQ361" s="55"/>
      <c r="BR361" s="55"/>
      <c r="BS361" s="55"/>
      <c r="BT361" s="55"/>
      <c r="BU361" s="55"/>
      <c r="BV361" s="55"/>
      <c r="BW361" s="55"/>
      <c r="BX361" s="55"/>
      <c r="BY361" s="55"/>
    </row>
    <row r="362" spans="2:77" ht="25.5">
      <c r="B362" s="89">
        <v>356</v>
      </c>
      <c r="C362" s="93">
        <v>206</v>
      </c>
      <c r="D362" s="95">
        <v>121</v>
      </c>
      <c r="E362" s="105">
        <v>0.74652777777777779</v>
      </c>
      <c r="F362" s="105">
        <v>0.77083333333333337</v>
      </c>
      <c r="G362" s="93" t="s">
        <v>214</v>
      </c>
      <c r="H362" s="93" t="s">
        <v>549</v>
      </c>
      <c r="I362" s="96">
        <v>16</v>
      </c>
      <c r="J362" s="97" t="s">
        <v>188</v>
      </c>
      <c r="K362" s="98">
        <v>13</v>
      </c>
      <c r="L362" s="109" t="s">
        <v>723</v>
      </c>
      <c r="M362" s="87" t="s">
        <v>934</v>
      </c>
      <c r="N362" s="87">
        <v>24</v>
      </c>
      <c r="O362" s="87" t="s">
        <v>935</v>
      </c>
      <c r="P362" s="87">
        <v>23</v>
      </c>
      <c r="Q362" s="114"/>
      <c r="R362" s="87"/>
      <c r="S362" s="26" t="s">
        <v>1336</v>
      </c>
      <c r="T362" s="26" t="s">
        <v>1337</v>
      </c>
      <c r="U362" s="26">
        <v>1</v>
      </c>
      <c r="V362" s="26" t="s">
        <v>1312</v>
      </c>
      <c r="W362" s="63">
        <v>44562</v>
      </c>
      <c r="X362" s="63">
        <v>44815</v>
      </c>
      <c r="Y362" s="63">
        <v>45101</v>
      </c>
      <c r="Z362" s="63">
        <v>45169</v>
      </c>
      <c r="AA362" s="17" t="s">
        <v>1104</v>
      </c>
      <c r="AB362" s="25"/>
      <c r="AC362" s="23" t="s">
        <v>731</v>
      </c>
      <c r="AD362" s="23"/>
      <c r="AE362" s="23"/>
      <c r="AF362" s="23"/>
      <c r="AG362" s="23"/>
      <c r="AH362" s="23"/>
      <c r="AI362" s="23"/>
      <c r="AJ362" s="23"/>
      <c r="AK362" s="23"/>
      <c r="AL362" s="23" t="s">
        <v>731</v>
      </c>
      <c r="AM362" s="25"/>
      <c r="AN362" s="25"/>
      <c r="AO362" s="25"/>
      <c r="AP362" s="23"/>
      <c r="AQ362" s="23"/>
      <c r="AR362" s="23"/>
      <c r="AS362" s="23"/>
      <c r="AT362" s="23"/>
      <c r="AU362" s="23"/>
      <c r="AV362" s="42">
        <v>62.48</v>
      </c>
      <c r="AW362" s="47"/>
      <c r="AX362" s="47"/>
      <c r="AY362" s="42"/>
      <c r="AZ362" s="42"/>
      <c r="BA362" s="47"/>
      <c r="BB362" s="45">
        <v>1</v>
      </c>
      <c r="BC362" s="41">
        <f>IF(AND((AV362/I362)&lt;2,BB362=1),(I362*2)-AV362,0)</f>
        <v>0</v>
      </c>
      <c r="BD362" s="41">
        <f>IF(AND((AV362/I362)&lt;3,BB362=2),(I362*3)-AV362,0)</f>
        <v>0</v>
      </c>
      <c r="BG362" s="18"/>
      <c r="BH362" s="18">
        <v>2</v>
      </c>
      <c r="BI362" s="18">
        <v>0</v>
      </c>
      <c r="BJ362" s="18">
        <v>0</v>
      </c>
      <c r="BK362" s="18">
        <v>0</v>
      </c>
      <c r="BL362" s="18">
        <v>0</v>
      </c>
      <c r="BM362" s="55">
        <f>SUM(AV362:AX362)+SUM(BC362:BD362)+SUM(BE362:BF362)+BG362</f>
        <v>62.48</v>
      </c>
      <c r="BN362" s="55"/>
      <c r="BO362" s="55"/>
      <c r="BP362" s="55"/>
      <c r="BQ362" s="55"/>
      <c r="BR362" s="55"/>
      <c r="BS362" s="55"/>
      <c r="BT362" s="55"/>
      <c r="BU362" s="55"/>
      <c r="BV362" s="55"/>
      <c r="BW362" s="55"/>
      <c r="BX362" s="55"/>
      <c r="BY362" s="55"/>
    </row>
    <row r="363" spans="2:77" ht="25.5">
      <c r="B363" s="89">
        <v>357</v>
      </c>
      <c r="C363" s="93">
        <v>206</v>
      </c>
      <c r="D363" s="95">
        <v>121</v>
      </c>
      <c r="E363" s="94">
        <v>0.74652777777777779</v>
      </c>
      <c r="F363" s="94">
        <v>0.77083333333333337</v>
      </c>
      <c r="G363" s="93" t="s">
        <v>215</v>
      </c>
      <c r="H363" s="93" t="s">
        <v>478</v>
      </c>
      <c r="I363" s="96">
        <v>16</v>
      </c>
      <c r="J363" s="97" t="s">
        <v>99</v>
      </c>
      <c r="K363" s="98">
        <v>240</v>
      </c>
      <c r="L363" s="99" t="s">
        <v>723</v>
      </c>
      <c r="M363" s="83" t="s">
        <v>931</v>
      </c>
      <c r="N363" s="83">
        <v>23</v>
      </c>
      <c r="O363" s="83" t="s">
        <v>935</v>
      </c>
      <c r="P363" s="83">
        <v>23</v>
      </c>
      <c r="Q363" s="83" t="s">
        <v>933</v>
      </c>
      <c r="R363" s="85">
        <v>21</v>
      </c>
      <c r="S363" s="26" t="s">
        <v>1336</v>
      </c>
      <c r="T363" s="26" t="s">
        <v>1337</v>
      </c>
      <c r="U363" s="26">
        <v>1</v>
      </c>
      <c r="V363" s="26" t="s">
        <v>1312</v>
      </c>
      <c r="W363" s="63">
        <v>44816</v>
      </c>
      <c r="X363" s="63">
        <v>45100</v>
      </c>
      <c r="Y363" s="63"/>
      <c r="Z363" s="63"/>
      <c r="AA363" s="26" t="s">
        <v>1112</v>
      </c>
      <c r="AB363" s="23" t="s">
        <v>731</v>
      </c>
      <c r="AC363" s="23"/>
      <c r="AD363" s="23" t="s">
        <v>731</v>
      </c>
      <c r="AE363" s="23"/>
      <c r="AF363" s="23" t="s">
        <v>731</v>
      </c>
      <c r="AG363" s="23" t="s">
        <v>731</v>
      </c>
      <c r="AH363" s="23" t="s">
        <v>731</v>
      </c>
      <c r="AI363" s="23" t="s">
        <v>731</v>
      </c>
      <c r="AJ363" s="23" t="s">
        <v>731</v>
      </c>
      <c r="AK363" s="23" t="s">
        <v>731</v>
      </c>
      <c r="AL363" s="25"/>
      <c r="AM363" s="25"/>
      <c r="AN363" s="25"/>
      <c r="AO363" s="25"/>
      <c r="AP363" s="23"/>
      <c r="AQ363" s="23"/>
      <c r="AR363" s="23"/>
      <c r="AS363" s="23"/>
      <c r="AT363" s="23"/>
      <c r="AU363" s="23"/>
      <c r="AV363" s="42">
        <v>43.11</v>
      </c>
      <c r="AW363" s="47"/>
      <c r="AX363" s="47"/>
      <c r="AY363" s="42"/>
      <c r="AZ363" s="42"/>
      <c r="BA363" s="47"/>
      <c r="BB363" s="45">
        <v>1</v>
      </c>
      <c r="BC363" s="41">
        <f>IF(AND((AV363/I363)&lt;2,BB363=1),(I363*2)-AV363,0)</f>
        <v>0</v>
      </c>
      <c r="BD363" s="41">
        <f>IF(AND((AV363/I363)&lt;3,BB363=2),(I363*3)-AV363,0)</f>
        <v>0</v>
      </c>
      <c r="BG363" s="18"/>
      <c r="BH363" s="18">
        <v>17</v>
      </c>
      <c r="BI363" s="18">
        <v>26</v>
      </c>
      <c r="BJ363" s="18">
        <v>25</v>
      </c>
      <c r="BK363" s="18">
        <v>25</v>
      </c>
      <c r="BL363" s="18">
        <v>25</v>
      </c>
      <c r="BM363" s="55">
        <f>SUM(AV363:AX363)+SUM(BC363:BD363)+SUM(BE363:BF363)+BG363</f>
        <v>43.11</v>
      </c>
      <c r="BN363" s="55"/>
      <c r="BO363" s="55"/>
      <c r="BP363" s="55"/>
      <c r="BQ363" s="55"/>
      <c r="BR363" s="55"/>
      <c r="BS363" s="55"/>
      <c r="BT363" s="55"/>
      <c r="BU363" s="55"/>
      <c r="BV363" s="55"/>
      <c r="BW363" s="55"/>
      <c r="BX363" s="55"/>
      <c r="BY363" s="55"/>
    </row>
    <row r="364" spans="2:77" ht="25.5">
      <c r="B364" s="89">
        <v>358</v>
      </c>
      <c r="C364" s="93">
        <v>206</v>
      </c>
      <c r="D364" s="93">
        <v>130</v>
      </c>
      <c r="E364" s="94">
        <v>0.76041666666666663</v>
      </c>
      <c r="F364" s="94">
        <v>0.78472222222222221</v>
      </c>
      <c r="G364" s="93" t="s">
        <v>153</v>
      </c>
      <c r="H364" s="93" t="s">
        <v>424</v>
      </c>
      <c r="I364" s="96">
        <v>15</v>
      </c>
      <c r="J364" s="97" t="s">
        <v>93</v>
      </c>
      <c r="K364" s="98">
        <v>55</v>
      </c>
      <c r="L364" s="99" t="s">
        <v>2013</v>
      </c>
      <c r="M364" s="193" t="s">
        <v>2012</v>
      </c>
      <c r="N364" s="193">
        <v>23</v>
      </c>
      <c r="O364" s="83" t="s">
        <v>2010</v>
      </c>
      <c r="P364" s="83">
        <v>24</v>
      </c>
      <c r="Q364" s="83" t="s">
        <v>2011</v>
      </c>
      <c r="R364" s="83">
        <v>23</v>
      </c>
      <c r="S364" s="26">
        <v>1</v>
      </c>
      <c r="T364" s="26" t="s">
        <v>1309</v>
      </c>
      <c r="U364" s="26" t="s">
        <v>1336</v>
      </c>
      <c r="V364" s="26" t="s">
        <v>1337</v>
      </c>
      <c r="W364" s="63">
        <v>44562</v>
      </c>
      <c r="X364" s="63">
        <v>44815</v>
      </c>
      <c r="Y364" s="63">
        <v>45101</v>
      </c>
      <c r="Z364" s="63">
        <v>45169</v>
      </c>
      <c r="AA364" s="22" t="s">
        <v>1109</v>
      </c>
      <c r="AB364" s="25"/>
      <c r="AC364" s="23" t="s">
        <v>731</v>
      </c>
      <c r="AD364" s="23" t="s">
        <v>731</v>
      </c>
      <c r="AE364" s="23"/>
      <c r="AF364" s="23" t="s">
        <v>731</v>
      </c>
      <c r="AG364" s="23" t="s">
        <v>731</v>
      </c>
      <c r="AH364" s="23" t="s">
        <v>731</v>
      </c>
      <c r="AI364" s="23" t="s">
        <v>731</v>
      </c>
      <c r="AJ364" s="23" t="s">
        <v>731</v>
      </c>
      <c r="AK364" s="25"/>
      <c r="AL364" s="25"/>
      <c r="AM364" s="25"/>
      <c r="AN364" s="25"/>
      <c r="AO364" s="23"/>
      <c r="AP364" s="23"/>
      <c r="AQ364" s="23"/>
      <c r="AR364" s="23"/>
      <c r="AS364" s="23"/>
      <c r="AT364" s="23"/>
      <c r="AU364" s="23"/>
      <c r="AV364" s="42">
        <v>37.5</v>
      </c>
      <c r="AW364" s="47"/>
      <c r="AX364" s="47"/>
      <c r="AY364" s="42"/>
      <c r="AZ364" s="42"/>
      <c r="BA364" s="47"/>
      <c r="BB364" s="45">
        <v>1</v>
      </c>
      <c r="BC364" s="41">
        <f>IF(AND((AV364/I364)&lt;2,BB364=1),(I364*2)-AV364,0)</f>
        <v>0</v>
      </c>
      <c r="BD364" s="41">
        <f>IF(AND((AV364/I364)&lt;3,BB364=2),(I364*3)-AV364,0)</f>
        <v>0</v>
      </c>
      <c r="BG364" s="18"/>
      <c r="BH364" s="18">
        <v>7</v>
      </c>
      <c r="BI364" s="18">
        <v>0</v>
      </c>
      <c r="BJ364" s="18">
        <v>0</v>
      </c>
      <c r="BK364" s="18">
        <v>0</v>
      </c>
      <c r="BL364" s="18">
        <v>0</v>
      </c>
      <c r="BM364" s="55">
        <f>SUM(AV364:AX364)+SUM(BC364:BD364)+SUM(BE364:BF364)+BG364</f>
        <v>37.5</v>
      </c>
      <c r="BN364" s="55"/>
      <c r="BO364" s="55"/>
      <c r="BP364" s="55"/>
      <c r="BQ364" s="55"/>
      <c r="BR364" s="55"/>
      <c r="BS364" s="55"/>
      <c r="BT364" s="55"/>
      <c r="BU364" s="55"/>
      <c r="BV364" s="55"/>
      <c r="BW364" s="55"/>
      <c r="BX364" s="55"/>
      <c r="BY364" s="55"/>
    </row>
    <row r="365" spans="2:77" ht="25.5">
      <c r="B365" s="89">
        <v>359</v>
      </c>
      <c r="C365" s="93">
        <v>206</v>
      </c>
      <c r="D365" s="93">
        <v>130</v>
      </c>
      <c r="E365" s="94">
        <v>0.76041666666666663</v>
      </c>
      <c r="F365" s="94">
        <v>0.78472222222222221</v>
      </c>
      <c r="G365" s="93" t="s">
        <v>163</v>
      </c>
      <c r="H365" s="93" t="s">
        <v>103</v>
      </c>
      <c r="I365" s="96">
        <v>16</v>
      </c>
      <c r="J365" s="97" t="s">
        <v>93</v>
      </c>
      <c r="K365" s="98">
        <v>174</v>
      </c>
      <c r="L365" s="99" t="s">
        <v>2013</v>
      </c>
      <c r="M365" s="193" t="s">
        <v>2012</v>
      </c>
      <c r="N365" s="193">
        <v>23</v>
      </c>
      <c r="O365" s="83" t="s">
        <v>2010</v>
      </c>
      <c r="P365" s="83">
        <v>24</v>
      </c>
      <c r="Q365" s="83" t="s">
        <v>2011</v>
      </c>
      <c r="R365" s="83">
        <v>23</v>
      </c>
      <c r="S365" s="26">
        <v>1</v>
      </c>
      <c r="T365" s="26" t="s">
        <v>1309</v>
      </c>
      <c r="U365" s="26" t="s">
        <v>1336</v>
      </c>
      <c r="V365" s="26" t="s">
        <v>1337</v>
      </c>
      <c r="W365" s="62">
        <v>44816</v>
      </c>
      <c r="X365" s="62">
        <v>45086</v>
      </c>
      <c r="Y365" s="62"/>
      <c r="Z365" s="62"/>
      <c r="AA365" s="22" t="s">
        <v>1102</v>
      </c>
      <c r="AB365" s="25"/>
      <c r="AC365" s="25"/>
      <c r="AD365" s="25"/>
      <c r="AE365" s="23" t="s">
        <v>731</v>
      </c>
      <c r="AF365" s="23" t="s">
        <v>731</v>
      </c>
      <c r="AG365" s="23" t="s">
        <v>731</v>
      </c>
      <c r="AH365" s="23" t="s">
        <v>731</v>
      </c>
      <c r="AI365" s="23" t="s">
        <v>731</v>
      </c>
      <c r="AJ365" s="23" t="s">
        <v>731</v>
      </c>
      <c r="AK365" s="25"/>
      <c r="AL365" s="25"/>
      <c r="AM365" s="25"/>
      <c r="AN365" s="25"/>
      <c r="AO365" s="25"/>
      <c r="AP365" s="23"/>
      <c r="AQ365" s="23"/>
      <c r="AR365" s="23"/>
      <c r="AS365" s="23"/>
      <c r="AT365" s="23"/>
      <c r="AU365" s="25"/>
      <c r="AV365" s="42">
        <v>39.46</v>
      </c>
      <c r="AW365" s="47"/>
      <c r="AX365" s="47"/>
      <c r="AY365" s="42"/>
      <c r="AZ365" s="42"/>
      <c r="BA365" s="47"/>
      <c r="BB365" s="45">
        <v>1</v>
      </c>
      <c r="BC365" s="41">
        <f>IF(AND((AV365/I365)&lt;2,BB365=1),(I365*2)-AV365,0)</f>
        <v>0</v>
      </c>
      <c r="BD365" s="41">
        <f>IF(AND((AV365/I365)&lt;3,BB365=2),(I365*3)-AV365,0)</f>
        <v>0</v>
      </c>
      <c r="BG365" s="18"/>
      <c r="BH365" s="18">
        <v>15</v>
      </c>
      <c r="BI365" s="18">
        <v>20</v>
      </c>
      <c r="BJ365" s="18">
        <v>21</v>
      </c>
      <c r="BK365" s="18">
        <v>15</v>
      </c>
      <c r="BL365" s="18">
        <v>17</v>
      </c>
      <c r="BM365" s="55">
        <f>SUM(AV365:AX365)+SUM(BC365:BD365)+SUM(BE365:BF365)+BG365</f>
        <v>39.46</v>
      </c>
      <c r="BN365" s="55"/>
      <c r="BO365" s="55"/>
      <c r="BP365" s="55"/>
      <c r="BQ365" s="55"/>
      <c r="BR365" s="55"/>
      <c r="BS365" s="55"/>
      <c r="BT365" s="55"/>
      <c r="BU365" s="55"/>
      <c r="BV365" s="55"/>
      <c r="BW365" s="55"/>
      <c r="BX365" s="55"/>
      <c r="BY365" s="55"/>
    </row>
    <row r="366" spans="2:77" ht="25.5">
      <c r="B366" s="89">
        <v>360</v>
      </c>
      <c r="C366" s="93">
        <v>206</v>
      </c>
      <c r="D366" s="95">
        <v>132</v>
      </c>
      <c r="E366" s="94">
        <v>0.77430555555555547</v>
      </c>
      <c r="F366" s="94">
        <v>0.80208333333333337</v>
      </c>
      <c r="G366" s="93" t="s">
        <v>687</v>
      </c>
      <c r="H366" s="93" t="s">
        <v>18</v>
      </c>
      <c r="I366" s="96">
        <v>16</v>
      </c>
      <c r="J366" s="97" t="s">
        <v>99</v>
      </c>
      <c r="K366" s="98">
        <v>304</v>
      </c>
      <c r="L366" s="99" t="s">
        <v>723</v>
      </c>
      <c r="M366" s="83" t="s">
        <v>931</v>
      </c>
      <c r="N366" s="83">
        <v>23</v>
      </c>
      <c r="O366" s="83" t="s">
        <v>935</v>
      </c>
      <c r="P366" s="83">
        <v>23</v>
      </c>
      <c r="Q366" s="83" t="s">
        <v>936</v>
      </c>
      <c r="R366" s="85">
        <v>48</v>
      </c>
      <c r="S366" s="26">
        <v>1</v>
      </c>
      <c r="T366" s="26" t="s">
        <v>1309</v>
      </c>
      <c r="U366" s="26" t="s">
        <v>1336</v>
      </c>
      <c r="V366" s="26" t="s">
        <v>1337</v>
      </c>
      <c r="W366" s="62">
        <v>44805</v>
      </c>
      <c r="X366" s="62">
        <v>45169</v>
      </c>
      <c r="Y366" s="62"/>
      <c r="Z366" s="62"/>
      <c r="AA366" s="23" t="s">
        <v>1113</v>
      </c>
      <c r="AB366" s="23" t="s">
        <v>731</v>
      </c>
      <c r="AC366" s="23" t="s">
        <v>731</v>
      </c>
      <c r="AD366" s="23" t="s">
        <v>731</v>
      </c>
      <c r="AE366" s="23"/>
      <c r="AF366" s="23" t="s">
        <v>731</v>
      </c>
      <c r="AG366" s="23" t="s">
        <v>731</v>
      </c>
      <c r="AH366" s="23" t="s">
        <v>731</v>
      </c>
      <c r="AI366" s="23" t="s">
        <v>731</v>
      </c>
      <c r="AJ366" s="23" t="s">
        <v>731</v>
      </c>
      <c r="AK366" s="23" t="s">
        <v>731</v>
      </c>
      <c r="AL366" s="25"/>
      <c r="AM366" s="25"/>
      <c r="AN366" s="25"/>
      <c r="AO366" s="23"/>
      <c r="AP366" s="23"/>
      <c r="AQ366" s="23"/>
      <c r="AR366" s="23"/>
      <c r="AS366" s="23"/>
      <c r="AT366" s="23"/>
      <c r="AU366" s="23"/>
      <c r="AV366" s="42">
        <v>47.34</v>
      </c>
      <c r="AW366" s="47"/>
      <c r="AX366" s="47"/>
      <c r="AY366" s="42"/>
      <c r="AZ366" s="42"/>
      <c r="BA366" s="47"/>
      <c r="BB366" s="45">
        <v>1</v>
      </c>
      <c r="BC366" s="41">
        <f>IF(AND((AV366/I366)&lt;2,BB366=1),(I366*2)-AV366,0)</f>
        <v>0</v>
      </c>
      <c r="BD366" s="41">
        <f>IF(AND((AV366/I366)&lt;3,BB366=2),(I366*3)-AV366,0)</f>
        <v>0</v>
      </c>
      <c r="BG366" s="18"/>
      <c r="BH366" s="18">
        <v>26</v>
      </c>
      <c r="BI366" s="18">
        <v>26</v>
      </c>
      <c r="BJ366" s="18">
        <v>25</v>
      </c>
      <c r="BK366" s="18">
        <v>25</v>
      </c>
      <c r="BL366" s="18">
        <v>25</v>
      </c>
      <c r="BM366" s="55">
        <f>SUM(AV366:AX366)+SUM(BC366:BD366)+SUM(BE366:BF366)+BG366</f>
        <v>47.34</v>
      </c>
      <c r="BN366" s="55"/>
      <c r="BO366" s="55"/>
      <c r="BP366" s="55"/>
      <c r="BQ366" s="55"/>
      <c r="BR366" s="55"/>
      <c r="BS366" s="55"/>
      <c r="BT366" s="55"/>
      <c r="BU366" s="55"/>
      <c r="BV366" s="55"/>
      <c r="BW366" s="55"/>
      <c r="BX366" s="55"/>
      <c r="BY366" s="55"/>
    </row>
    <row r="367" spans="2:77" ht="25.5">
      <c r="B367" s="89">
        <v>361</v>
      </c>
      <c r="C367" s="93">
        <v>206</v>
      </c>
      <c r="D367" s="93">
        <v>123</v>
      </c>
      <c r="E367" s="94">
        <v>0.78472222222222221</v>
      </c>
      <c r="F367" s="94">
        <v>0.80902777777777779</v>
      </c>
      <c r="G367" s="106" t="s">
        <v>1036</v>
      </c>
      <c r="H367" s="93" t="s">
        <v>103</v>
      </c>
      <c r="I367" s="96">
        <v>16</v>
      </c>
      <c r="J367" s="97" t="s">
        <v>93</v>
      </c>
      <c r="K367" s="98">
        <v>174</v>
      </c>
      <c r="L367" s="99" t="s">
        <v>2013</v>
      </c>
      <c r="M367" s="193" t="s">
        <v>2012</v>
      </c>
      <c r="N367" s="193">
        <v>23</v>
      </c>
      <c r="O367" s="83" t="s">
        <v>2010</v>
      </c>
      <c r="P367" s="83">
        <v>24</v>
      </c>
      <c r="Q367" s="83" t="s">
        <v>2011</v>
      </c>
      <c r="R367" s="83">
        <v>23</v>
      </c>
      <c r="S367" s="26" t="s">
        <v>1336</v>
      </c>
      <c r="T367" s="26" t="s">
        <v>1337</v>
      </c>
      <c r="U367" s="26">
        <v>1</v>
      </c>
      <c r="V367" s="26" t="s">
        <v>1312</v>
      </c>
      <c r="W367" s="62">
        <v>44816</v>
      </c>
      <c r="X367" s="62">
        <v>45086</v>
      </c>
      <c r="Y367" s="62"/>
      <c r="Z367" s="62"/>
      <c r="AA367" s="22" t="s">
        <v>1102</v>
      </c>
      <c r="AB367" s="23"/>
      <c r="AC367" s="23"/>
      <c r="AD367" s="23"/>
      <c r="AE367" s="23" t="s">
        <v>731</v>
      </c>
      <c r="AF367" s="23" t="s">
        <v>731</v>
      </c>
      <c r="AG367" s="23" t="s">
        <v>731</v>
      </c>
      <c r="AH367" s="23" t="s">
        <v>731</v>
      </c>
      <c r="AI367" s="23" t="s">
        <v>731</v>
      </c>
      <c r="AJ367" s="23" t="s">
        <v>731</v>
      </c>
      <c r="AK367" s="23"/>
      <c r="AL367" s="23"/>
      <c r="AM367" s="23"/>
      <c r="AN367" s="23"/>
      <c r="AO367" s="23"/>
      <c r="AP367" s="23"/>
      <c r="AQ367" s="23"/>
      <c r="AR367" s="23"/>
      <c r="AS367" s="23"/>
      <c r="AT367" s="23"/>
      <c r="AU367" s="23"/>
      <c r="AV367" s="42">
        <v>39.46</v>
      </c>
      <c r="AW367" s="18"/>
      <c r="AY367" s="42"/>
      <c r="AZ367" s="42"/>
      <c r="BB367" s="45">
        <v>1</v>
      </c>
      <c r="BC367" s="41">
        <f>IF(AND((AV367/I367)&lt;2,BB367=1),(I367*2)-AV367,0)</f>
        <v>0</v>
      </c>
      <c r="BD367" s="41">
        <f>IF(AND((AV367/I367)&lt;3,BB367=2),(I367*3)-AV367,0)</f>
        <v>0</v>
      </c>
      <c r="BG367" s="18"/>
      <c r="BH367" s="18">
        <v>15</v>
      </c>
      <c r="BI367" s="18">
        <v>20</v>
      </c>
      <c r="BJ367" s="18">
        <v>21</v>
      </c>
      <c r="BK367" s="18">
        <v>15</v>
      </c>
      <c r="BL367" s="18">
        <v>17</v>
      </c>
      <c r="BM367" s="55">
        <f>SUM(AV367:AX367)+SUM(BC367:BD367)+SUM(BE367:BF367)+BG367</f>
        <v>39.46</v>
      </c>
      <c r="BN367" s="55"/>
      <c r="BO367" s="55"/>
      <c r="BP367" s="55"/>
      <c r="BQ367" s="55"/>
      <c r="BR367" s="55"/>
      <c r="BS367" s="55"/>
      <c r="BT367" s="55"/>
      <c r="BU367" s="55"/>
      <c r="BV367" s="55"/>
      <c r="BW367" s="55"/>
      <c r="BX367" s="55"/>
      <c r="BY367" s="55"/>
    </row>
    <row r="368" spans="2:77" ht="25.5">
      <c r="B368" s="89">
        <v>362</v>
      </c>
      <c r="C368" s="93">
        <v>206</v>
      </c>
      <c r="D368" s="93">
        <v>123</v>
      </c>
      <c r="E368" s="94">
        <v>0.78472222222222221</v>
      </c>
      <c r="F368" s="94">
        <v>0.80902777777777779</v>
      </c>
      <c r="G368" s="93" t="s">
        <v>152</v>
      </c>
      <c r="H368" s="93" t="s">
        <v>424</v>
      </c>
      <c r="I368" s="96">
        <v>15</v>
      </c>
      <c r="J368" s="97" t="s">
        <v>93</v>
      </c>
      <c r="K368" s="98">
        <v>55</v>
      </c>
      <c r="L368" s="99" t="s">
        <v>2013</v>
      </c>
      <c r="M368" s="193" t="s">
        <v>2012</v>
      </c>
      <c r="N368" s="193">
        <v>23</v>
      </c>
      <c r="O368" s="83" t="s">
        <v>2010</v>
      </c>
      <c r="P368" s="83">
        <v>24</v>
      </c>
      <c r="Q368" s="83" t="s">
        <v>2011</v>
      </c>
      <c r="R368" s="83">
        <v>23</v>
      </c>
      <c r="S368" s="26" t="s">
        <v>1336</v>
      </c>
      <c r="T368" s="26" t="s">
        <v>1337</v>
      </c>
      <c r="U368" s="26">
        <v>1</v>
      </c>
      <c r="V368" s="26" t="s">
        <v>1312</v>
      </c>
      <c r="W368" s="63">
        <v>44562</v>
      </c>
      <c r="X368" s="63">
        <v>44815</v>
      </c>
      <c r="Y368" s="63">
        <v>45101</v>
      </c>
      <c r="Z368" s="63">
        <v>45169</v>
      </c>
      <c r="AA368" s="22" t="s">
        <v>1109</v>
      </c>
      <c r="AB368" s="23"/>
      <c r="AC368" s="23" t="s">
        <v>731</v>
      </c>
      <c r="AD368" s="23" t="s">
        <v>731</v>
      </c>
      <c r="AE368" s="23"/>
      <c r="AF368" s="23" t="s">
        <v>731</v>
      </c>
      <c r="AG368" s="23" t="s">
        <v>731</v>
      </c>
      <c r="AH368" s="23" t="s">
        <v>731</v>
      </c>
      <c r="AI368" s="23" t="s">
        <v>731</v>
      </c>
      <c r="AJ368" s="23" t="s">
        <v>731</v>
      </c>
      <c r="AK368" s="23"/>
      <c r="AL368" s="23"/>
      <c r="AM368" s="23"/>
      <c r="AN368" s="23"/>
      <c r="AO368" s="23"/>
      <c r="AP368" s="23"/>
      <c r="AQ368" s="23"/>
      <c r="AR368" s="23"/>
      <c r="AS368" s="23"/>
      <c r="AT368" s="23"/>
      <c r="AU368" s="23"/>
      <c r="AV368" s="42">
        <v>37.5</v>
      </c>
      <c r="AW368" s="18"/>
      <c r="AY368" s="42"/>
      <c r="AZ368" s="42"/>
      <c r="BB368" s="45">
        <v>1</v>
      </c>
      <c r="BC368" s="41">
        <f>IF(AND((AV368/I368)&lt;2,BB368=1),(I368*2)-AV368,0)</f>
        <v>0</v>
      </c>
      <c r="BD368" s="41">
        <f>IF(AND((AV368/I368)&lt;3,BB368=2),(I368*3)-AV368,0)</f>
        <v>0</v>
      </c>
      <c r="BG368" s="18"/>
      <c r="BH368" s="18">
        <v>7</v>
      </c>
      <c r="BI368" s="18">
        <v>0</v>
      </c>
      <c r="BJ368" s="18">
        <v>0</v>
      </c>
      <c r="BK368" s="18">
        <v>0</v>
      </c>
      <c r="BL368" s="18">
        <v>0</v>
      </c>
      <c r="BM368" s="55">
        <f>SUM(AV368:AX368)+SUM(BC368:BD368)+SUM(BE368:BF368)+BG368</f>
        <v>37.5</v>
      </c>
      <c r="BN368" s="55"/>
      <c r="BO368" s="55"/>
      <c r="BP368" s="55"/>
      <c r="BQ368" s="55"/>
      <c r="BR368" s="55"/>
      <c r="BS368" s="55"/>
      <c r="BT368" s="55"/>
      <c r="BU368" s="55"/>
      <c r="BV368" s="55"/>
      <c r="BW368" s="55"/>
      <c r="BX368" s="55"/>
      <c r="BY368" s="55"/>
    </row>
    <row r="369" spans="1:77" ht="25.5">
      <c r="B369" s="89">
        <v>363</v>
      </c>
      <c r="C369" s="93">
        <v>206</v>
      </c>
      <c r="D369" s="93">
        <v>134</v>
      </c>
      <c r="E369" s="94">
        <v>0.8125</v>
      </c>
      <c r="F369" s="94">
        <v>0.83680555555555547</v>
      </c>
      <c r="G369" s="93" t="s">
        <v>163</v>
      </c>
      <c r="H369" s="93" t="s">
        <v>103</v>
      </c>
      <c r="I369" s="96">
        <v>16</v>
      </c>
      <c r="J369" s="97" t="s">
        <v>93</v>
      </c>
      <c r="K369" s="98">
        <v>174</v>
      </c>
      <c r="L369" s="99" t="s">
        <v>2013</v>
      </c>
      <c r="M369" s="193" t="s">
        <v>2012</v>
      </c>
      <c r="N369" s="193">
        <v>23</v>
      </c>
      <c r="O369" s="83" t="s">
        <v>2010</v>
      </c>
      <c r="P369" s="83">
        <v>24</v>
      </c>
      <c r="Q369" s="83" t="s">
        <v>2011</v>
      </c>
      <c r="R369" s="83">
        <v>23</v>
      </c>
      <c r="S369" s="26">
        <v>1</v>
      </c>
      <c r="T369" s="26" t="s">
        <v>1309</v>
      </c>
      <c r="U369" s="26" t="s">
        <v>1336</v>
      </c>
      <c r="V369" s="26" t="s">
        <v>1337</v>
      </c>
      <c r="W369" s="62">
        <v>44816</v>
      </c>
      <c r="X369" s="62">
        <v>45086</v>
      </c>
      <c r="Y369" s="62"/>
      <c r="Z369" s="62"/>
      <c r="AA369" s="22" t="s">
        <v>1102</v>
      </c>
      <c r="AB369" s="23"/>
      <c r="AC369" s="23"/>
      <c r="AD369" s="23"/>
      <c r="AE369" s="23" t="s">
        <v>731</v>
      </c>
      <c r="AF369" s="23" t="s">
        <v>731</v>
      </c>
      <c r="AG369" s="23" t="s">
        <v>731</v>
      </c>
      <c r="AH369" s="23" t="s">
        <v>731</v>
      </c>
      <c r="AI369" s="23" t="s">
        <v>731</v>
      </c>
      <c r="AJ369" s="23" t="s">
        <v>731</v>
      </c>
      <c r="AK369" s="23"/>
      <c r="AL369" s="23"/>
      <c r="AM369" s="23"/>
      <c r="AN369" s="23"/>
      <c r="AO369" s="23"/>
      <c r="AP369" s="23"/>
      <c r="AQ369" s="23"/>
      <c r="AR369" s="23"/>
      <c r="AS369" s="23"/>
      <c r="AT369" s="23"/>
      <c r="AU369" s="23"/>
      <c r="AV369" s="42">
        <v>39.46</v>
      </c>
      <c r="AW369" s="18"/>
      <c r="AY369" s="42"/>
      <c r="AZ369" s="42"/>
      <c r="BB369" s="45">
        <v>1</v>
      </c>
      <c r="BC369" s="41">
        <f>IF(AND((AV369/I369)&lt;2,BB369=1),(I369*2)-AV369,0)</f>
        <v>0</v>
      </c>
      <c r="BD369" s="41">
        <f>IF(AND((AV369/I369)&lt;3,BB369=2),(I369*3)-AV369,0)</f>
        <v>0</v>
      </c>
      <c r="BG369" s="18"/>
      <c r="BH369" s="18">
        <v>15</v>
      </c>
      <c r="BI369" s="18">
        <v>20</v>
      </c>
      <c r="BJ369" s="18">
        <v>21</v>
      </c>
      <c r="BK369" s="18">
        <v>15</v>
      </c>
      <c r="BL369" s="18">
        <v>17</v>
      </c>
      <c r="BM369" s="55">
        <f>SUM(AV369:AX369)+SUM(BC369:BD369)+SUM(BE369:BF369)+BG369</f>
        <v>39.46</v>
      </c>
      <c r="BN369" s="55"/>
      <c r="BO369" s="55"/>
      <c r="BP369" s="55"/>
      <c r="BQ369" s="55"/>
      <c r="BR369" s="55"/>
      <c r="BS369" s="55"/>
      <c r="BT369" s="55"/>
      <c r="BU369" s="55"/>
      <c r="BV369" s="55"/>
      <c r="BW369" s="55"/>
      <c r="BX369" s="55"/>
      <c r="BY369" s="55"/>
    </row>
    <row r="370" spans="1:77" ht="25.5">
      <c r="B370" s="89">
        <v>364</v>
      </c>
      <c r="C370" s="93">
        <v>206</v>
      </c>
      <c r="D370" s="93">
        <v>134</v>
      </c>
      <c r="E370" s="94">
        <v>0.8125</v>
      </c>
      <c r="F370" s="94">
        <v>0.83680555555555547</v>
      </c>
      <c r="G370" s="93" t="s">
        <v>163</v>
      </c>
      <c r="H370" s="93" t="s">
        <v>161</v>
      </c>
      <c r="I370" s="96">
        <v>16</v>
      </c>
      <c r="J370" s="97" t="s">
        <v>93</v>
      </c>
      <c r="K370" s="98">
        <v>38</v>
      </c>
      <c r="L370" s="99" t="s">
        <v>2013</v>
      </c>
      <c r="M370" s="193" t="s">
        <v>2012</v>
      </c>
      <c r="N370" s="193">
        <v>23</v>
      </c>
      <c r="O370" s="83" t="s">
        <v>2010</v>
      </c>
      <c r="P370" s="83">
        <v>24</v>
      </c>
      <c r="Q370" s="83" t="s">
        <v>2011</v>
      </c>
      <c r="R370" s="83">
        <v>23</v>
      </c>
      <c r="S370" s="26">
        <v>1</v>
      </c>
      <c r="T370" s="26" t="s">
        <v>1309</v>
      </c>
      <c r="U370" s="26" t="s">
        <v>1336</v>
      </c>
      <c r="V370" s="26" t="s">
        <v>1337</v>
      </c>
      <c r="W370" s="63">
        <v>44816</v>
      </c>
      <c r="X370" s="63">
        <v>45100</v>
      </c>
      <c r="Y370" s="63"/>
      <c r="Z370" s="63"/>
      <c r="AA370" s="22" t="s">
        <v>1127</v>
      </c>
      <c r="AB370" s="23" t="s">
        <v>731</v>
      </c>
      <c r="AC370" s="23"/>
      <c r="AD370" s="23" t="s">
        <v>731</v>
      </c>
      <c r="AE370" s="23"/>
      <c r="AF370" s="23"/>
      <c r="AG370" s="23"/>
      <c r="AH370" s="23"/>
      <c r="AI370" s="23"/>
      <c r="AJ370" s="23"/>
      <c r="AK370" s="23" t="s">
        <v>731</v>
      </c>
      <c r="AL370" s="23"/>
      <c r="AM370" s="23"/>
      <c r="AN370" s="23"/>
      <c r="AO370" s="23"/>
      <c r="AP370" s="23"/>
      <c r="AQ370" s="23"/>
      <c r="AR370" s="23"/>
      <c r="AS370" s="23"/>
      <c r="AT370" s="23"/>
      <c r="AU370" s="23"/>
      <c r="AV370" s="42">
        <v>75.33</v>
      </c>
      <c r="AW370" s="18"/>
      <c r="AY370" s="42"/>
      <c r="AZ370" s="42"/>
      <c r="BB370" s="45">
        <v>1</v>
      </c>
      <c r="BC370" s="41">
        <f>IF(AND((AV370/I370)&lt;2,BB370=1),(I370*2)-AV370,0)</f>
        <v>0</v>
      </c>
      <c r="BD370" s="41">
        <f>IF(AND((AV370/I370)&lt;3,BB370=2),(I370*3)-AV370,0)</f>
        <v>0</v>
      </c>
      <c r="BG370" s="18"/>
      <c r="BH370" s="18">
        <v>2</v>
      </c>
      <c r="BI370" s="18">
        <v>5</v>
      </c>
      <c r="BJ370" s="18">
        <v>4</v>
      </c>
      <c r="BK370" s="18">
        <v>5</v>
      </c>
      <c r="BL370" s="18">
        <v>4</v>
      </c>
      <c r="BM370" s="55">
        <f>SUM(AV370:AX370)+SUM(BC370:BD370)+SUM(BE370:BF370)+BG370</f>
        <v>75.33</v>
      </c>
      <c r="BN370" s="55"/>
      <c r="BO370" s="55"/>
      <c r="BP370" s="55"/>
      <c r="BQ370" s="55"/>
      <c r="BR370" s="55"/>
      <c r="BS370" s="55"/>
      <c r="BT370" s="55"/>
      <c r="BU370" s="55"/>
      <c r="BV370" s="55"/>
      <c r="BW370" s="55"/>
      <c r="BX370" s="55"/>
      <c r="BY370" s="55"/>
    </row>
    <row r="371" spans="1:77" ht="25.5">
      <c r="B371" s="89">
        <v>365</v>
      </c>
      <c r="C371" s="93">
        <v>208</v>
      </c>
      <c r="D371" s="97">
        <v>551</v>
      </c>
      <c r="E371" s="105">
        <v>0.25694444444444448</v>
      </c>
      <c r="F371" s="105">
        <v>0.27291666666666664</v>
      </c>
      <c r="G371" s="93" t="s">
        <v>281</v>
      </c>
      <c r="H371" s="93" t="s">
        <v>103</v>
      </c>
      <c r="I371" s="96">
        <v>11.5</v>
      </c>
      <c r="J371" s="97" t="s">
        <v>269</v>
      </c>
      <c r="K371" s="98">
        <v>174</v>
      </c>
      <c r="L371" s="109" t="s">
        <v>741</v>
      </c>
      <c r="M371" s="83" t="s">
        <v>972</v>
      </c>
      <c r="N371" s="83">
        <v>25</v>
      </c>
      <c r="O371" s="83" t="s">
        <v>798</v>
      </c>
      <c r="P371" s="83">
        <v>29</v>
      </c>
      <c r="Q371" s="87" t="s">
        <v>1241</v>
      </c>
      <c r="R371" s="83">
        <v>37</v>
      </c>
      <c r="S371" s="26" t="s">
        <v>1487</v>
      </c>
      <c r="T371" s="26" t="s">
        <v>1488</v>
      </c>
      <c r="U371" s="26">
        <v>2180</v>
      </c>
      <c r="V371" s="26" t="s">
        <v>1456</v>
      </c>
      <c r="W371" s="62">
        <v>44816</v>
      </c>
      <c r="X371" s="62">
        <v>45086</v>
      </c>
      <c r="Y371" s="62"/>
      <c r="Z371" s="62"/>
      <c r="AA371" s="22" t="s">
        <v>1102</v>
      </c>
      <c r="AB371" s="23"/>
      <c r="AC371" s="23"/>
      <c r="AD371" s="23"/>
      <c r="AE371" s="23" t="s">
        <v>731</v>
      </c>
      <c r="AF371" s="23" t="s">
        <v>731</v>
      </c>
      <c r="AG371" s="23" t="s">
        <v>731</v>
      </c>
      <c r="AH371" s="23" t="s">
        <v>731</v>
      </c>
      <c r="AI371" s="23" t="s">
        <v>731</v>
      </c>
      <c r="AJ371" s="23" t="s">
        <v>731</v>
      </c>
      <c r="AK371" s="23"/>
      <c r="AL371" s="23"/>
      <c r="AM371" s="23"/>
      <c r="AN371" s="23"/>
      <c r="AO371" s="23"/>
      <c r="AP371" s="23"/>
      <c r="AQ371" s="23"/>
      <c r="AR371" s="23"/>
      <c r="AS371" s="23"/>
      <c r="AT371" s="23"/>
      <c r="AU371" s="23"/>
      <c r="AV371" s="42">
        <v>28.75</v>
      </c>
      <c r="AW371" s="18"/>
      <c r="AY371" s="42"/>
      <c r="AZ371" s="42"/>
      <c r="BB371" s="45">
        <v>1</v>
      </c>
      <c r="BC371" s="41">
        <f>IF(AND((AV371/I371)&lt;2,BB371=1),(I371*2)-AV371,0)</f>
        <v>0</v>
      </c>
      <c r="BD371" s="41">
        <f>IF(AND((AV371/I371)&lt;3,BB371=2),(I371*3)-AV371,0)</f>
        <v>0</v>
      </c>
      <c r="BG371" s="41">
        <f>IF((AV371+AW371+AX371)&lt;20,(20-(AV371+AW371+AX371)),0)</f>
        <v>0</v>
      </c>
      <c r="BH371" s="18">
        <v>15</v>
      </c>
      <c r="BI371" s="18">
        <v>20</v>
      </c>
      <c r="BJ371" s="18">
        <v>21</v>
      </c>
      <c r="BK371" s="18">
        <v>15</v>
      </c>
      <c r="BL371" s="18">
        <v>17</v>
      </c>
      <c r="BM371" s="55">
        <f>SUM(AV371:AX371)+SUM(BC371:BD371)+SUM(BE371:BF371)+BG371</f>
        <v>28.75</v>
      </c>
      <c r="BN371" s="55"/>
      <c r="BO371" s="55"/>
      <c r="BP371" s="55"/>
      <c r="BQ371" s="55"/>
      <c r="BR371" s="55"/>
      <c r="BS371" s="55"/>
      <c r="BT371" s="55"/>
      <c r="BU371" s="55"/>
      <c r="BV371" s="55"/>
      <c r="BW371" s="55"/>
      <c r="BX371" s="55"/>
      <c r="BY371" s="55"/>
    </row>
    <row r="372" spans="1:77" ht="25.5">
      <c r="A372" s="110" t="s">
        <v>1166</v>
      </c>
      <c r="B372" s="89">
        <v>366</v>
      </c>
      <c r="C372" s="93">
        <v>208</v>
      </c>
      <c r="D372" s="95">
        <v>444</v>
      </c>
      <c r="E372" s="94">
        <v>0.2673611111111111</v>
      </c>
      <c r="F372" s="94">
        <v>0.27777777777777779</v>
      </c>
      <c r="G372" s="93" t="s">
        <v>201</v>
      </c>
      <c r="H372" s="106" t="s">
        <v>103</v>
      </c>
      <c r="I372" s="96">
        <v>10.5</v>
      </c>
      <c r="J372" s="97" t="s">
        <v>116</v>
      </c>
      <c r="K372" s="98">
        <v>174</v>
      </c>
      <c r="L372" s="99" t="s">
        <v>746</v>
      </c>
      <c r="M372" s="87" t="s">
        <v>940</v>
      </c>
      <c r="N372" s="87">
        <v>9</v>
      </c>
      <c r="O372" s="87" t="s">
        <v>941</v>
      </c>
      <c r="P372" s="87">
        <v>9</v>
      </c>
      <c r="R372" s="87"/>
      <c r="S372" s="26">
        <v>2219</v>
      </c>
      <c r="T372" s="26" t="s">
        <v>1489</v>
      </c>
      <c r="U372" s="26">
        <v>956</v>
      </c>
      <c r="V372" s="26" t="s">
        <v>1490</v>
      </c>
      <c r="W372" s="62">
        <v>44816</v>
      </c>
      <c r="X372" s="62">
        <v>45086</v>
      </c>
      <c r="Y372" s="62"/>
      <c r="Z372" s="62"/>
      <c r="AA372" s="22" t="s">
        <v>1102</v>
      </c>
      <c r="AB372" s="23"/>
      <c r="AC372" s="23"/>
      <c r="AD372" s="23"/>
      <c r="AE372" s="23" t="s">
        <v>731</v>
      </c>
      <c r="AF372" s="23" t="s">
        <v>731</v>
      </c>
      <c r="AG372" s="23" t="s">
        <v>731</v>
      </c>
      <c r="AH372" s="23" t="s">
        <v>731</v>
      </c>
      <c r="AI372" s="23" t="s">
        <v>731</v>
      </c>
      <c r="AJ372" s="23" t="s">
        <v>731</v>
      </c>
      <c r="AK372" s="23"/>
      <c r="AL372" s="23"/>
      <c r="AM372" s="23"/>
      <c r="AN372" s="23"/>
      <c r="AO372" s="23"/>
      <c r="AP372" s="23"/>
      <c r="AQ372" s="23"/>
      <c r="AR372" s="23"/>
      <c r="AS372" s="23"/>
      <c r="AT372" s="23"/>
      <c r="AU372" s="23"/>
      <c r="AV372" s="42">
        <v>49.61</v>
      </c>
      <c r="AW372" s="18"/>
      <c r="AY372" s="42"/>
      <c r="AZ372" s="42"/>
      <c r="BB372" s="45">
        <v>1</v>
      </c>
      <c r="BC372" s="41">
        <f>IF(AND((AV372/I372)&lt;2,BB372=1),(I372*2)-AV372,0)</f>
        <v>0</v>
      </c>
      <c r="BD372" s="41">
        <f>IF(AND((AV372/I372)&lt;3,BB372=2),(I372*3)-AV372,0)</f>
        <v>0</v>
      </c>
      <c r="BG372" s="41">
        <f>IF((AV372+AW372+AX372)&lt;20,(20-(AV372+AW372+AX372)),0)</f>
        <v>0</v>
      </c>
      <c r="BH372" s="18">
        <v>15</v>
      </c>
      <c r="BI372" s="18">
        <v>20</v>
      </c>
      <c r="BJ372" s="18">
        <v>21</v>
      </c>
      <c r="BK372" s="18">
        <v>15</v>
      </c>
      <c r="BL372" s="18">
        <v>17</v>
      </c>
      <c r="BM372" s="55">
        <f>SUM(AV372:AX372)+SUM(BC372:BD372)+SUM(BE372:BF372)+BG372</f>
        <v>49.61</v>
      </c>
      <c r="BN372" s="55"/>
      <c r="BO372" s="55"/>
      <c r="BP372" s="55"/>
      <c r="BQ372" s="55"/>
      <c r="BR372" s="55"/>
      <c r="BS372" s="55"/>
      <c r="BT372" s="55"/>
      <c r="BU372" s="55"/>
      <c r="BV372" s="55"/>
      <c r="BW372" s="55"/>
      <c r="BX372" s="55"/>
      <c r="BY372" s="55"/>
    </row>
    <row r="373" spans="1:77" ht="25.5">
      <c r="B373" s="89">
        <v>367</v>
      </c>
      <c r="C373" s="93">
        <v>208</v>
      </c>
      <c r="D373" s="95">
        <v>449</v>
      </c>
      <c r="E373" s="94">
        <v>0.28472222222222221</v>
      </c>
      <c r="F373" s="94">
        <v>0.2986111111111111</v>
      </c>
      <c r="G373" s="93" t="s">
        <v>198</v>
      </c>
      <c r="H373" s="93" t="s">
        <v>688</v>
      </c>
      <c r="I373" s="96">
        <v>4.3</v>
      </c>
      <c r="J373" s="97" t="s">
        <v>116</v>
      </c>
      <c r="K373" s="98">
        <f>67+29</f>
        <v>96</v>
      </c>
      <c r="L373" s="109" t="s">
        <v>746</v>
      </c>
      <c r="M373" s="87" t="s">
        <v>940</v>
      </c>
      <c r="N373" s="87">
        <v>9</v>
      </c>
      <c r="O373" s="87" t="s">
        <v>941</v>
      </c>
      <c r="P373" s="87">
        <v>9</v>
      </c>
      <c r="Q373" s="87" t="s">
        <v>1242</v>
      </c>
      <c r="R373" s="84">
        <v>24</v>
      </c>
      <c r="S373" s="26" t="s">
        <v>1491</v>
      </c>
      <c r="T373" s="26" t="s">
        <v>1492</v>
      </c>
      <c r="U373" s="26">
        <v>2217</v>
      </c>
      <c r="V373" s="26" t="s">
        <v>1493</v>
      </c>
      <c r="W373" s="63">
        <v>44562</v>
      </c>
      <c r="X373" s="63">
        <v>44815</v>
      </c>
      <c r="Y373" s="63">
        <v>45101</v>
      </c>
      <c r="Z373" s="63">
        <v>45169</v>
      </c>
      <c r="AA373" s="24" t="s">
        <v>1130</v>
      </c>
      <c r="AB373" s="23"/>
      <c r="AC373" s="23" t="s">
        <v>731</v>
      </c>
      <c r="AD373" s="23" t="s">
        <v>731</v>
      </c>
      <c r="AE373" s="23"/>
      <c r="AF373" s="23" t="s">
        <v>731</v>
      </c>
      <c r="AG373" s="23" t="s">
        <v>731</v>
      </c>
      <c r="AH373" s="23" t="s">
        <v>731</v>
      </c>
      <c r="AI373" s="23" t="s">
        <v>731</v>
      </c>
      <c r="AJ373" s="23" t="s">
        <v>731</v>
      </c>
      <c r="AK373" s="23" t="s">
        <v>731</v>
      </c>
      <c r="AL373" s="23"/>
      <c r="AM373" s="23"/>
      <c r="AN373" s="23"/>
      <c r="AO373" s="23"/>
      <c r="AP373" s="23" t="s">
        <v>731</v>
      </c>
      <c r="AQ373" s="23" t="s">
        <v>731</v>
      </c>
      <c r="AR373" s="23" t="s">
        <v>731</v>
      </c>
      <c r="AS373" s="23" t="s">
        <v>731</v>
      </c>
      <c r="AT373" s="23" t="s">
        <v>731</v>
      </c>
      <c r="AU373" s="23" t="s">
        <v>731</v>
      </c>
      <c r="AV373" s="42">
        <v>8.9</v>
      </c>
      <c r="AW373" s="18"/>
      <c r="AY373" s="42"/>
      <c r="AZ373" s="42"/>
      <c r="BB373" s="45">
        <v>1</v>
      </c>
      <c r="BC373" s="41">
        <f>IF(AND((AV373/I373)&lt;2,BB373=1),(I373*2)-AV373,0)</f>
        <v>0</v>
      </c>
      <c r="BD373" s="41">
        <f>IF(AND((AV373/I373)&lt;3,BB373=2),(I373*3)-AV373,0)</f>
        <v>0</v>
      </c>
      <c r="BG373" s="41">
        <f>IF((AV373+AW373+AX373)&lt;20,(20-(AV373+AW373+AX373)),0)</f>
        <v>11.1</v>
      </c>
      <c r="BH373" s="18">
        <v>9</v>
      </c>
      <c r="BI373" s="18">
        <v>1</v>
      </c>
      <c r="BJ373" s="18">
        <v>0</v>
      </c>
      <c r="BK373" s="18">
        <v>7</v>
      </c>
      <c r="BL373" s="18">
        <v>5</v>
      </c>
      <c r="BM373" s="55">
        <f>SUM(AV373:AX373)+SUM(BC373:BD373)+SUM(BE373:BF373)+BG373</f>
        <v>20</v>
      </c>
      <c r="BN373" s="55"/>
      <c r="BO373" s="55"/>
      <c r="BP373" s="55"/>
      <c r="BQ373" s="55"/>
      <c r="BR373" s="55"/>
      <c r="BS373" s="55"/>
      <c r="BT373" s="55"/>
      <c r="BU373" s="55"/>
      <c r="BV373" s="55"/>
      <c r="BW373" s="55"/>
      <c r="BX373" s="55"/>
      <c r="BY373" s="55"/>
    </row>
    <row r="374" spans="1:77" ht="25.5">
      <c r="B374" s="89">
        <v>368</v>
      </c>
      <c r="C374" s="93">
        <v>208</v>
      </c>
      <c r="D374" s="95">
        <v>449</v>
      </c>
      <c r="E374" s="94">
        <v>0.28819444444444448</v>
      </c>
      <c r="F374" s="94">
        <v>0.30555555555555552</v>
      </c>
      <c r="G374" s="93" t="s">
        <v>197</v>
      </c>
      <c r="H374" s="93" t="s">
        <v>688</v>
      </c>
      <c r="I374" s="96">
        <v>4.4000000000000004</v>
      </c>
      <c r="J374" s="97" t="s">
        <v>116</v>
      </c>
      <c r="K374" s="98">
        <v>96</v>
      </c>
      <c r="L374" s="109" t="s">
        <v>746</v>
      </c>
      <c r="M374" s="87" t="s">
        <v>940</v>
      </c>
      <c r="N374" s="87">
        <v>9</v>
      </c>
      <c r="O374" s="87" t="s">
        <v>941</v>
      </c>
      <c r="P374" s="87">
        <v>9</v>
      </c>
      <c r="Q374" s="87" t="s">
        <v>1242</v>
      </c>
      <c r="R374" s="84">
        <v>24</v>
      </c>
      <c r="S374" s="26">
        <v>2217</v>
      </c>
      <c r="T374" s="26" t="s">
        <v>1493</v>
      </c>
      <c r="U374" s="26" t="s">
        <v>1491</v>
      </c>
      <c r="V374" s="26" t="s">
        <v>1492</v>
      </c>
      <c r="W374" s="63">
        <v>44562</v>
      </c>
      <c r="X374" s="63">
        <v>44815</v>
      </c>
      <c r="Y374" s="63">
        <v>45101</v>
      </c>
      <c r="Z374" s="63">
        <v>45169</v>
      </c>
      <c r="AA374" s="24" t="s">
        <v>1130</v>
      </c>
      <c r="AB374" s="23"/>
      <c r="AC374" s="23" t="s">
        <v>731</v>
      </c>
      <c r="AD374" s="23" t="s">
        <v>731</v>
      </c>
      <c r="AE374" s="23"/>
      <c r="AF374" s="23" t="s">
        <v>731</v>
      </c>
      <c r="AG374" s="23" t="s">
        <v>731</v>
      </c>
      <c r="AH374" s="23" t="s">
        <v>731</v>
      </c>
      <c r="AI374" s="23" t="s">
        <v>731</v>
      </c>
      <c r="AJ374" s="23" t="s">
        <v>731</v>
      </c>
      <c r="AK374" s="23" t="s">
        <v>731</v>
      </c>
      <c r="AL374" s="23"/>
      <c r="AM374" s="23"/>
      <c r="AN374" s="23"/>
      <c r="AO374" s="23"/>
      <c r="AP374" s="23" t="s">
        <v>731</v>
      </c>
      <c r="AQ374" s="23" t="s">
        <v>731</v>
      </c>
      <c r="AR374" s="23" t="s">
        <v>731</v>
      </c>
      <c r="AS374" s="23" t="s">
        <v>731</v>
      </c>
      <c r="AT374" s="23" t="s">
        <v>731</v>
      </c>
      <c r="AU374" s="23" t="s">
        <v>731</v>
      </c>
      <c r="AV374" s="42">
        <v>8.9</v>
      </c>
      <c r="AW374" s="18"/>
      <c r="AY374" s="42"/>
      <c r="AZ374" s="42"/>
      <c r="BB374" s="45">
        <v>1</v>
      </c>
      <c r="BC374" s="41">
        <f>IF(AND((AV374/I374)&lt;2,BB374=1),(I374*2)-AV374,0)</f>
        <v>0</v>
      </c>
      <c r="BD374" s="41">
        <f>IF(AND((AV374/I374)&lt;3,BB374=2),(I374*3)-AV374,0)</f>
        <v>0</v>
      </c>
      <c r="BG374" s="41">
        <f>IF((AV374+AW374+AX374)&lt;20,(20-(AV374+AW374+AX374)),0)</f>
        <v>11.1</v>
      </c>
      <c r="BH374" s="18">
        <v>9</v>
      </c>
      <c r="BI374" s="18">
        <v>1</v>
      </c>
      <c r="BJ374" s="18">
        <v>0</v>
      </c>
      <c r="BK374" s="18">
        <v>7</v>
      </c>
      <c r="BL374" s="18">
        <v>5</v>
      </c>
      <c r="BM374" s="55">
        <f>SUM(AV374:AX374)+SUM(BC374:BD374)+SUM(BE374:BF374)+BG374</f>
        <v>20</v>
      </c>
      <c r="BN374" s="55"/>
      <c r="BO374" s="55"/>
      <c r="BP374" s="55"/>
      <c r="BQ374" s="55"/>
      <c r="BR374" s="55"/>
      <c r="BS374" s="55"/>
      <c r="BT374" s="55"/>
      <c r="BU374" s="55"/>
      <c r="BV374" s="55"/>
      <c r="BW374" s="55"/>
      <c r="BX374" s="55"/>
      <c r="BY374" s="55"/>
    </row>
    <row r="375" spans="1:77" ht="25.5">
      <c r="B375" s="89">
        <v>369</v>
      </c>
      <c r="C375" s="93">
        <v>208</v>
      </c>
      <c r="D375" s="95">
        <v>449</v>
      </c>
      <c r="E375" s="94">
        <v>0.2951388888888889</v>
      </c>
      <c r="F375" s="94">
        <v>0.2986111111111111</v>
      </c>
      <c r="G375" s="93" t="s">
        <v>198</v>
      </c>
      <c r="H375" s="93" t="s">
        <v>97</v>
      </c>
      <c r="I375" s="96">
        <v>4.3</v>
      </c>
      <c r="J375" s="97" t="s">
        <v>116</v>
      </c>
      <c r="K375" s="98">
        <v>208</v>
      </c>
      <c r="L375" s="109" t="s">
        <v>746</v>
      </c>
      <c r="M375" s="87" t="s">
        <v>940</v>
      </c>
      <c r="N375" s="87">
        <v>9</v>
      </c>
      <c r="O375" s="87" t="s">
        <v>941</v>
      </c>
      <c r="P375" s="87">
        <v>9</v>
      </c>
      <c r="R375" s="87"/>
      <c r="S375" s="26" t="s">
        <v>1491</v>
      </c>
      <c r="T375" s="26" t="s">
        <v>1492</v>
      </c>
      <c r="U375" s="26">
        <v>2217</v>
      </c>
      <c r="V375" s="26" t="s">
        <v>1493</v>
      </c>
      <c r="W375" s="62">
        <v>44816</v>
      </c>
      <c r="X375" s="62">
        <v>45086</v>
      </c>
      <c r="Y375" s="62"/>
      <c r="Z375" s="62"/>
      <c r="AA375" s="22" t="s">
        <v>1106</v>
      </c>
      <c r="AB375" s="23"/>
      <c r="AC375" s="23"/>
      <c r="AD375" s="23"/>
      <c r="AE375" s="23" t="s">
        <v>731</v>
      </c>
      <c r="AF375" s="23" t="s">
        <v>731</v>
      </c>
      <c r="AG375" s="23" t="s">
        <v>731</v>
      </c>
      <c r="AH375" s="23" t="s">
        <v>731</v>
      </c>
      <c r="AI375" s="23" t="s">
        <v>731</v>
      </c>
      <c r="AJ375" s="23" t="s">
        <v>731</v>
      </c>
      <c r="AK375" s="23" t="s">
        <v>731</v>
      </c>
      <c r="AL375" s="23"/>
      <c r="AM375" s="23"/>
      <c r="AN375" s="23"/>
      <c r="AO375" s="23"/>
      <c r="AP375" s="23"/>
      <c r="AQ375" s="23"/>
      <c r="AR375" s="23"/>
      <c r="AS375" s="23"/>
      <c r="AT375" s="23"/>
      <c r="AU375" s="23"/>
      <c r="AV375" s="42">
        <v>8.9</v>
      </c>
      <c r="AW375" s="18"/>
      <c r="AY375" s="42"/>
      <c r="AZ375" s="42"/>
      <c r="BB375" s="45">
        <v>1</v>
      </c>
      <c r="BC375" s="41">
        <f>IF(AND((AV375/I375)&lt;2,BB375=1),(I375*2)-AV375,0)</f>
        <v>0</v>
      </c>
      <c r="BD375" s="41">
        <f>IF(AND((AV375/I375)&lt;3,BB375=2),(I375*3)-AV375,0)</f>
        <v>0</v>
      </c>
      <c r="BG375" s="18"/>
      <c r="BH375" s="18">
        <v>17</v>
      </c>
      <c r="BI375" s="18">
        <v>25</v>
      </c>
      <c r="BJ375" s="18">
        <v>25</v>
      </c>
      <c r="BK375" s="18">
        <v>18</v>
      </c>
      <c r="BL375" s="18">
        <v>20</v>
      </c>
      <c r="BM375" s="55">
        <f>SUM(AV375:AX375)+SUM(BC375:BD375)+SUM(BE375:BF375)+BG375</f>
        <v>8.9</v>
      </c>
      <c r="BN375" s="55"/>
      <c r="BO375" s="55"/>
      <c r="BP375" s="55"/>
      <c r="BQ375" s="55"/>
      <c r="BR375" s="55"/>
      <c r="BS375" s="55"/>
      <c r="BT375" s="55"/>
      <c r="BU375" s="55"/>
      <c r="BV375" s="55"/>
      <c r="BW375" s="55"/>
      <c r="BX375" s="55"/>
      <c r="BY375" s="55"/>
    </row>
    <row r="376" spans="1:77" ht="25.5">
      <c r="B376" s="89">
        <v>370</v>
      </c>
      <c r="C376" s="93">
        <v>208</v>
      </c>
      <c r="D376" s="95">
        <v>449</v>
      </c>
      <c r="E376" s="94">
        <v>0.2986111111111111</v>
      </c>
      <c r="F376" s="94">
        <v>0.30555555555555552</v>
      </c>
      <c r="G376" s="93" t="s">
        <v>197</v>
      </c>
      <c r="H376" s="93" t="s">
        <v>97</v>
      </c>
      <c r="I376" s="96">
        <v>4.4000000000000004</v>
      </c>
      <c r="J376" s="97" t="s">
        <v>116</v>
      </c>
      <c r="K376" s="98">
        <v>208</v>
      </c>
      <c r="L376" s="109" t="s">
        <v>746</v>
      </c>
      <c r="M376" s="87" t="s">
        <v>940</v>
      </c>
      <c r="N376" s="87">
        <v>9</v>
      </c>
      <c r="O376" s="87" t="s">
        <v>941</v>
      </c>
      <c r="P376" s="87">
        <v>9</v>
      </c>
      <c r="R376" s="87"/>
      <c r="S376" s="26">
        <v>2217</v>
      </c>
      <c r="T376" s="26" t="s">
        <v>1493</v>
      </c>
      <c r="U376" s="26" t="s">
        <v>1491</v>
      </c>
      <c r="V376" s="26" t="s">
        <v>1492</v>
      </c>
      <c r="W376" s="62">
        <v>44816</v>
      </c>
      <c r="X376" s="62">
        <v>45086</v>
      </c>
      <c r="Y376" s="62"/>
      <c r="Z376" s="62"/>
      <c r="AA376" s="22" t="s">
        <v>1106</v>
      </c>
      <c r="AB376" s="23"/>
      <c r="AC376" s="23"/>
      <c r="AD376" s="23"/>
      <c r="AE376" s="23" t="s">
        <v>731</v>
      </c>
      <c r="AF376" s="23" t="s">
        <v>731</v>
      </c>
      <c r="AG376" s="23" t="s">
        <v>731</v>
      </c>
      <c r="AH376" s="23" t="s">
        <v>731</v>
      </c>
      <c r="AI376" s="23" t="s">
        <v>731</v>
      </c>
      <c r="AJ376" s="23" t="s">
        <v>731</v>
      </c>
      <c r="AK376" s="23" t="s">
        <v>731</v>
      </c>
      <c r="AL376" s="23"/>
      <c r="AM376" s="23"/>
      <c r="AN376" s="23"/>
      <c r="AO376" s="23"/>
      <c r="AP376" s="23"/>
      <c r="AQ376" s="23"/>
      <c r="AR376" s="23"/>
      <c r="AS376" s="23"/>
      <c r="AT376" s="23"/>
      <c r="AU376" s="23"/>
      <c r="AV376" s="42">
        <v>8.9</v>
      </c>
      <c r="AW376" s="18"/>
      <c r="AY376" s="42"/>
      <c r="AZ376" s="42"/>
      <c r="BB376" s="45">
        <v>1</v>
      </c>
      <c r="BC376" s="41">
        <f>IF(AND((AV376/I376)&lt;2,BB376=1),(I376*2)-AV376,0)</f>
        <v>0</v>
      </c>
      <c r="BD376" s="41">
        <f>IF(AND((AV376/I376)&lt;3,BB376=2),(I376*3)-AV376,0)</f>
        <v>0</v>
      </c>
      <c r="BG376" s="18"/>
      <c r="BH376" s="18">
        <v>17</v>
      </c>
      <c r="BI376" s="18">
        <v>25</v>
      </c>
      <c r="BJ376" s="18">
        <v>25</v>
      </c>
      <c r="BK376" s="18">
        <v>18</v>
      </c>
      <c r="BL376" s="18">
        <v>20</v>
      </c>
      <c r="BM376" s="55">
        <f>SUM(AV376:AX376)+SUM(BC376:BD376)+SUM(BE376:BF376)+BG376</f>
        <v>8.9</v>
      </c>
      <c r="BN376" s="55"/>
      <c r="BO376" s="55"/>
      <c r="BP376" s="55"/>
      <c r="BQ376" s="55"/>
      <c r="BR376" s="55"/>
      <c r="BS376" s="55"/>
      <c r="BT376" s="55"/>
      <c r="BU376" s="55"/>
      <c r="BV376" s="55"/>
      <c r="BW376" s="55"/>
      <c r="BX376" s="55"/>
      <c r="BY376" s="55"/>
    </row>
    <row r="377" spans="1:77" ht="25.5">
      <c r="B377" s="89">
        <v>371</v>
      </c>
      <c r="C377" s="93">
        <v>208</v>
      </c>
      <c r="D377" s="95">
        <v>552</v>
      </c>
      <c r="E377" s="94">
        <v>0.40277777777777773</v>
      </c>
      <c r="F377" s="94">
        <v>0.42708333333333331</v>
      </c>
      <c r="G377" s="93" t="s">
        <v>200</v>
      </c>
      <c r="H377" s="93" t="s">
        <v>492</v>
      </c>
      <c r="I377" s="96">
        <v>17</v>
      </c>
      <c r="J377" s="97" t="s">
        <v>116</v>
      </c>
      <c r="K377" s="98">
        <v>240</v>
      </c>
      <c r="L377" s="109" t="s">
        <v>746</v>
      </c>
      <c r="M377" s="87" t="s">
        <v>940</v>
      </c>
      <c r="N377" s="87">
        <v>9</v>
      </c>
      <c r="O377" s="87" t="s">
        <v>941</v>
      </c>
      <c r="P377" s="87">
        <v>9</v>
      </c>
      <c r="Q377" s="87" t="s">
        <v>1242</v>
      </c>
      <c r="R377" s="84">
        <v>24</v>
      </c>
      <c r="S377" s="26" t="s">
        <v>1491</v>
      </c>
      <c r="T377" s="26" t="s">
        <v>1492</v>
      </c>
      <c r="U377" s="26">
        <v>2180</v>
      </c>
      <c r="V377" s="26" t="s">
        <v>1456</v>
      </c>
      <c r="W377" s="63">
        <v>44816</v>
      </c>
      <c r="X377" s="63">
        <v>45100</v>
      </c>
      <c r="Y377" s="63"/>
      <c r="Z377" s="63"/>
      <c r="AA377" s="24" t="s">
        <v>1112</v>
      </c>
      <c r="AB377" s="23" t="s">
        <v>731</v>
      </c>
      <c r="AC377" s="23"/>
      <c r="AD377" s="23" t="s">
        <v>731</v>
      </c>
      <c r="AE377" s="23"/>
      <c r="AF377" s="23" t="s">
        <v>731</v>
      </c>
      <c r="AG377" s="23" t="s">
        <v>731</v>
      </c>
      <c r="AH377" s="23" t="s">
        <v>731</v>
      </c>
      <c r="AI377" s="23" t="s">
        <v>731</v>
      </c>
      <c r="AJ377" s="23" t="s">
        <v>731</v>
      </c>
      <c r="AK377" s="23" t="s">
        <v>731</v>
      </c>
      <c r="AL377" s="23"/>
      <c r="AM377" s="23"/>
      <c r="AN377" s="23"/>
      <c r="AO377" s="23"/>
      <c r="AP377" s="23"/>
      <c r="AQ377" s="23"/>
      <c r="AR377" s="23"/>
      <c r="AS377" s="23"/>
      <c r="AT377" s="23"/>
      <c r="AU377" s="23"/>
      <c r="AV377" s="42">
        <v>30.6</v>
      </c>
      <c r="AW377" s="18"/>
      <c r="AY377" s="42"/>
      <c r="AZ377" s="42"/>
      <c r="BB377" s="45">
        <v>1</v>
      </c>
      <c r="BC377" s="41">
        <f>IF(AND((AV377/I377)&lt;2,BB377=1),(I377*2)-AV377,0)</f>
        <v>3.3999999999999986</v>
      </c>
      <c r="BD377" s="41">
        <f>IF(AND((AV377/I377)&lt;3,BB377=2),(I377*3)-AV377,0)</f>
        <v>0</v>
      </c>
      <c r="BG377" s="18"/>
      <c r="BH377" s="18">
        <v>17</v>
      </c>
      <c r="BI377" s="18">
        <v>26</v>
      </c>
      <c r="BJ377" s="18">
        <v>25</v>
      </c>
      <c r="BK377" s="18">
        <v>25</v>
      </c>
      <c r="BL377" s="18">
        <v>25</v>
      </c>
      <c r="BM377" s="55">
        <f>SUM(AV377:AX377)+SUM(BC377:BD377)+SUM(BE377:BF377)+BG377</f>
        <v>34</v>
      </c>
      <c r="BN377" s="55"/>
      <c r="BO377" s="55"/>
      <c r="BP377" s="55"/>
      <c r="BQ377" s="55"/>
      <c r="BR377" s="55"/>
      <c r="BS377" s="55"/>
      <c r="BT377" s="55"/>
      <c r="BU377" s="55"/>
      <c r="BV377" s="55"/>
      <c r="BW377" s="55"/>
      <c r="BX377" s="55"/>
      <c r="BY377" s="55"/>
    </row>
    <row r="378" spans="1:77" ht="25.5">
      <c r="B378" s="89">
        <v>372</v>
      </c>
      <c r="C378" s="93">
        <v>208</v>
      </c>
      <c r="D378" s="95">
        <v>550</v>
      </c>
      <c r="E378" s="94">
        <v>0.50694444444444442</v>
      </c>
      <c r="F378" s="94">
        <v>0.53125</v>
      </c>
      <c r="G378" s="93" t="s">
        <v>199</v>
      </c>
      <c r="H378" s="93" t="s">
        <v>492</v>
      </c>
      <c r="I378" s="96">
        <v>17</v>
      </c>
      <c r="J378" s="97" t="s">
        <v>116</v>
      </c>
      <c r="K378" s="98">
        <v>240</v>
      </c>
      <c r="L378" s="109" t="s">
        <v>746</v>
      </c>
      <c r="M378" s="87" t="s">
        <v>940</v>
      </c>
      <c r="N378" s="87">
        <v>9</v>
      </c>
      <c r="O378" s="87" t="s">
        <v>941</v>
      </c>
      <c r="P378" s="87">
        <v>9</v>
      </c>
      <c r="Q378" s="87" t="s">
        <v>1242</v>
      </c>
      <c r="R378" s="84">
        <v>24</v>
      </c>
      <c r="S378" s="26">
        <v>2180</v>
      </c>
      <c r="T378" s="26" t="s">
        <v>1456</v>
      </c>
      <c r="U378" s="26" t="s">
        <v>1491</v>
      </c>
      <c r="V378" s="26" t="s">
        <v>1492</v>
      </c>
      <c r="W378" s="63">
        <v>44816</v>
      </c>
      <c r="X378" s="63">
        <v>45100</v>
      </c>
      <c r="Y378" s="63"/>
      <c r="Z378" s="63"/>
      <c r="AA378" s="24" t="s">
        <v>1112</v>
      </c>
      <c r="AB378" s="23" t="s">
        <v>731</v>
      </c>
      <c r="AC378" s="23"/>
      <c r="AD378" s="23" t="s">
        <v>731</v>
      </c>
      <c r="AE378" s="23"/>
      <c r="AF378" s="23" t="s">
        <v>731</v>
      </c>
      <c r="AG378" s="23" t="s">
        <v>731</v>
      </c>
      <c r="AH378" s="23" t="s">
        <v>731</v>
      </c>
      <c r="AI378" s="23" t="s">
        <v>731</v>
      </c>
      <c r="AJ378" s="23" t="s">
        <v>731</v>
      </c>
      <c r="AK378" s="23" t="s">
        <v>731</v>
      </c>
      <c r="AL378" s="23"/>
      <c r="AM378" s="23"/>
      <c r="AN378" s="23"/>
      <c r="AO378" s="23"/>
      <c r="AP378" s="23"/>
      <c r="AQ378" s="23"/>
      <c r="AR378" s="23"/>
      <c r="AS378" s="23"/>
      <c r="AT378" s="23"/>
      <c r="AU378" s="23"/>
      <c r="AV378" s="42">
        <v>30.6</v>
      </c>
      <c r="AW378" s="18"/>
      <c r="AY378" s="42"/>
      <c r="AZ378" s="42"/>
      <c r="BB378" s="45">
        <v>1</v>
      </c>
      <c r="BC378" s="41">
        <f>IF(AND((AV378/I378)&lt;2,BB378=1),(I378*2)-AV378,0)</f>
        <v>3.3999999999999986</v>
      </c>
      <c r="BD378" s="41">
        <f>IF(AND((AV378/I378)&lt;3,BB378=2),(I378*3)-AV378,0)</f>
        <v>0</v>
      </c>
      <c r="BG378" s="18"/>
      <c r="BH378" s="18">
        <v>17</v>
      </c>
      <c r="BI378" s="18">
        <v>26</v>
      </c>
      <c r="BJ378" s="18">
        <v>25</v>
      </c>
      <c r="BK378" s="18">
        <v>25</v>
      </c>
      <c r="BL378" s="18">
        <v>25</v>
      </c>
      <c r="BM378" s="55">
        <f>SUM(AV378:AX378)+SUM(BC378:BD378)+SUM(BE378:BF378)+BG378</f>
        <v>34</v>
      </c>
      <c r="BN378" s="55"/>
      <c r="BO378" s="55"/>
      <c r="BP378" s="55"/>
      <c r="BQ378" s="55"/>
      <c r="BR378" s="55"/>
      <c r="BS378" s="55"/>
      <c r="BT378" s="55"/>
      <c r="BU378" s="55"/>
      <c r="BV378" s="55"/>
      <c r="BW378" s="55"/>
      <c r="BX378" s="55"/>
      <c r="BY378" s="55"/>
    </row>
    <row r="379" spans="1:77" ht="22.5">
      <c r="B379" s="89">
        <v>373</v>
      </c>
      <c r="C379" s="93">
        <v>208</v>
      </c>
      <c r="D379" s="95">
        <v>451</v>
      </c>
      <c r="E379" s="105">
        <v>0.54305555555555551</v>
      </c>
      <c r="F379" s="105">
        <v>0.54861111111111105</v>
      </c>
      <c r="G379" s="93" t="s">
        <v>679</v>
      </c>
      <c r="H379" s="93" t="s">
        <v>18</v>
      </c>
      <c r="I379" s="96">
        <v>4.3</v>
      </c>
      <c r="J379" s="97" t="s">
        <v>116</v>
      </c>
      <c r="K379" s="98">
        <v>304</v>
      </c>
      <c r="L379" s="109" t="s">
        <v>746</v>
      </c>
      <c r="M379" s="87" t="s">
        <v>940</v>
      </c>
      <c r="N379" s="87">
        <v>9</v>
      </c>
      <c r="O379" s="87" t="s">
        <v>941</v>
      </c>
      <c r="P379" s="87">
        <v>9</v>
      </c>
      <c r="R379" s="87"/>
      <c r="S379" s="26" t="s">
        <v>1491</v>
      </c>
      <c r="T379" s="26" t="s">
        <v>1492</v>
      </c>
      <c r="U379" s="26" t="s">
        <v>1494</v>
      </c>
      <c r="V379" s="26" t="s">
        <v>1495</v>
      </c>
      <c r="W379" s="62">
        <v>44805</v>
      </c>
      <c r="X379" s="62">
        <v>45169</v>
      </c>
      <c r="Y379" s="62"/>
      <c r="Z379" s="62"/>
      <c r="AA379" s="23" t="s">
        <v>1113</v>
      </c>
      <c r="AB379" s="23" t="s">
        <v>731</v>
      </c>
      <c r="AC379" s="23" t="s">
        <v>731</v>
      </c>
      <c r="AD379" s="23" t="s">
        <v>731</v>
      </c>
      <c r="AE379" s="23"/>
      <c r="AF379" s="23" t="s">
        <v>731</v>
      </c>
      <c r="AG379" s="23" t="s">
        <v>731</v>
      </c>
      <c r="AH379" s="23" t="s">
        <v>731</v>
      </c>
      <c r="AI379" s="23" t="s">
        <v>731</v>
      </c>
      <c r="AJ379" s="23" t="s">
        <v>731</v>
      </c>
      <c r="AK379" s="23" t="s">
        <v>731</v>
      </c>
      <c r="AL379" s="23"/>
      <c r="AM379" s="23"/>
      <c r="AN379" s="23"/>
      <c r="AO379" s="23"/>
      <c r="AP379" s="23"/>
      <c r="AQ379" s="23"/>
      <c r="AR379" s="23"/>
      <c r="AS379" s="23"/>
      <c r="AT379" s="23"/>
      <c r="AU379" s="23"/>
      <c r="AV379" s="42">
        <v>8.9</v>
      </c>
      <c r="AW379" s="18"/>
      <c r="AY379" s="42"/>
      <c r="AZ379" s="42"/>
      <c r="BB379" s="45">
        <v>1</v>
      </c>
      <c r="BC379" s="41">
        <f>IF(AND((AV379/I379)&lt;2,BB379=1),(I379*2)-AV379,0)</f>
        <v>0</v>
      </c>
      <c r="BD379" s="41">
        <f>IF(AND((AV379/I379)&lt;3,BB379=2),(I379*3)-AV379,0)</f>
        <v>0</v>
      </c>
      <c r="BG379" s="18"/>
      <c r="BH379" s="18">
        <v>26</v>
      </c>
      <c r="BI379" s="18">
        <v>26</v>
      </c>
      <c r="BJ379" s="18">
        <v>25</v>
      </c>
      <c r="BK379" s="18">
        <v>25</v>
      </c>
      <c r="BL379" s="18">
        <v>25</v>
      </c>
      <c r="BM379" s="55">
        <f>SUM(AV379:AX379)+SUM(BC379:BD379)+SUM(BE379:BF379)+BG379</f>
        <v>8.9</v>
      </c>
      <c r="BN379" s="55"/>
      <c r="BO379" s="55"/>
      <c r="BP379" s="55"/>
      <c r="BQ379" s="55"/>
      <c r="BR379" s="55"/>
      <c r="BS379" s="55"/>
      <c r="BT379" s="55"/>
      <c r="BU379" s="55"/>
      <c r="BV379" s="55"/>
      <c r="BW379" s="55"/>
      <c r="BX379" s="55"/>
      <c r="BY379" s="55"/>
    </row>
    <row r="380" spans="1:77" ht="25.5">
      <c r="B380" s="89">
        <v>374</v>
      </c>
      <c r="C380" s="93">
        <v>208</v>
      </c>
      <c r="D380" s="95">
        <v>451</v>
      </c>
      <c r="E380" s="94">
        <v>0.54861111111111105</v>
      </c>
      <c r="F380" s="94">
        <v>0.5541666666666667</v>
      </c>
      <c r="G380" s="93" t="s">
        <v>678</v>
      </c>
      <c r="H380" s="93" t="s">
        <v>18</v>
      </c>
      <c r="I380" s="96">
        <v>8.6999999999999993</v>
      </c>
      <c r="J380" s="97" t="s">
        <v>116</v>
      </c>
      <c r="K380" s="98">
        <v>304</v>
      </c>
      <c r="L380" s="109" t="s">
        <v>746</v>
      </c>
      <c r="M380" s="87" t="s">
        <v>940</v>
      </c>
      <c r="N380" s="87">
        <v>9</v>
      </c>
      <c r="O380" s="87" t="s">
        <v>941</v>
      </c>
      <c r="P380" s="87">
        <v>9</v>
      </c>
      <c r="Q380" s="87" t="s">
        <v>1242</v>
      </c>
      <c r="R380" s="84">
        <v>24</v>
      </c>
      <c r="S380" s="26" t="s">
        <v>1496</v>
      </c>
      <c r="T380" s="26" t="s">
        <v>1497</v>
      </c>
      <c r="U380" s="26" t="s">
        <v>1491</v>
      </c>
      <c r="V380" s="26" t="s">
        <v>1492</v>
      </c>
      <c r="W380" s="62">
        <v>44805</v>
      </c>
      <c r="X380" s="62">
        <v>45169</v>
      </c>
      <c r="Y380" s="62"/>
      <c r="Z380" s="62"/>
      <c r="AA380" s="23" t="s">
        <v>1113</v>
      </c>
      <c r="AB380" s="23" t="s">
        <v>731</v>
      </c>
      <c r="AC380" s="23" t="s">
        <v>731</v>
      </c>
      <c r="AD380" s="23" t="s">
        <v>731</v>
      </c>
      <c r="AE380" s="23"/>
      <c r="AF380" s="23" t="s">
        <v>731</v>
      </c>
      <c r="AG380" s="23" t="s">
        <v>731</v>
      </c>
      <c r="AH380" s="23" t="s">
        <v>731</v>
      </c>
      <c r="AI380" s="23" t="s">
        <v>731</v>
      </c>
      <c r="AJ380" s="23" t="s">
        <v>731</v>
      </c>
      <c r="AK380" s="23" t="s">
        <v>731</v>
      </c>
      <c r="AL380" s="23"/>
      <c r="AM380" s="23"/>
      <c r="AN380" s="23"/>
      <c r="AO380" s="23"/>
      <c r="AP380" s="23"/>
      <c r="AQ380" s="23"/>
      <c r="AR380" s="23"/>
      <c r="AS380" s="23"/>
      <c r="AT380" s="23"/>
      <c r="AU380" s="23"/>
      <c r="AV380" s="42">
        <v>8.9</v>
      </c>
      <c r="AW380" s="18"/>
      <c r="AY380" s="42"/>
      <c r="AZ380" s="42"/>
      <c r="BB380" s="45">
        <v>1</v>
      </c>
      <c r="BC380" s="41">
        <f>IF(AND((AV380/I380)&lt;2,BB380=1),(I380*2)-AV380,0)</f>
        <v>8.4999999999999982</v>
      </c>
      <c r="BD380" s="41">
        <f>IF(AND((AV380/I380)&lt;3,BB380=2),(I380*3)-AV380,0)</f>
        <v>0</v>
      </c>
      <c r="BG380" s="18"/>
      <c r="BH380" s="18">
        <v>26</v>
      </c>
      <c r="BI380" s="18">
        <v>26</v>
      </c>
      <c r="BJ380" s="18">
        <v>25</v>
      </c>
      <c r="BK380" s="18">
        <v>25</v>
      </c>
      <c r="BL380" s="18">
        <v>25</v>
      </c>
      <c r="BM380" s="55">
        <f>SUM(AV380:AX380)+SUM(BC380:BD380)+SUM(BE380:BF380)+BG380</f>
        <v>17.399999999999999</v>
      </c>
      <c r="BN380" s="55"/>
      <c r="BO380" s="55"/>
      <c r="BP380" s="55"/>
      <c r="BQ380" s="55"/>
      <c r="BR380" s="55"/>
      <c r="BS380" s="55"/>
      <c r="BT380" s="55"/>
      <c r="BU380" s="55"/>
      <c r="BV380" s="55"/>
      <c r="BW380" s="55"/>
      <c r="BX380" s="55"/>
      <c r="BY380" s="55"/>
    </row>
    <row r="381" spans="1:77" ht="25.5">
      <c r="B381" s="89">
        <v>375</v>
      </c>
      <c r="C381" s="93">
        <v>208</v>
      </c>
      <c r="D381" s="95">
        <v>384</v>
      </c>
      <c r="E381" s="94">
        <v>0.5541666666666667</v>
      </c>
      <c r="F381" s="94">
        <v>0.56666666666666665</v>
      </c>
      <c r="G381" s="93" t="s">
        <v>196</v>
      </c>
      <c r="H381" s="93" t="s">
        <v>103</v>
      </c>
      <c r="I381" s="96">
        <v>10.5</v>
      </c>
      <c r="J381" s="97" t="s">
        <v>116</v>
      </c>
      <c r="K381" s="98">
        <v>174</v>
      </c>
      <c r="L381" s="109" t="s">
        <v>746</v>
      </c>
      <c r="M381" s="87" t="s">
        <v>941</v>
      </c>
      <c r="N381" s="87">
        <v>9</v>
      </c>
      <c r="O381" s="87" t="s">
        <v>940</v>
      </c>
      <c r="P381" s="87">
        <v>9</v>
      </c>
      <c r="R381" s="87"/>
      <c r="S381" s="26">
        <v>2219</v>
      </c>
      <c r="T381" s="26" t="s">
        <v>1489</v>
      </c>
      <c r="U381" s="26" t="s">
        <v>1498</v>
      </c>
      <c r="V381" s="26" t="s">
        <v>1499</v>
      </c>
      <c r="W381" s="62">
        <v>44816</v>
      </c>
      <c r="X381" s="62">
        <v>45086</v>
      </c>
      <c r="Y381" s="62"/>
      <c r="Z381" s="62"/>
      <c r="AA381" s="22" t="s">
        <v>1102</v>
      </c>
      <c r="AB381" s="23"/>
      <c r="AC381" s="23"/>
      <c r="AD381" s="23"/>
      <c r="AE381" s="23" t="s">
        <v>731</v>
      </c>
      <c r="AF381" s="23" t="s">
        <v>731</v>
      </c>
      <c r="AG381" s="23" t="s">
        <v>731</v>
      </c>
      <c r="AH381" s="23" t="s">
        <v>731</v>
      </c>
      <c r="AI381" s="23" t="s">
        <v>731</v>
      </c>
      <c r="AJ381" s="23" t="s">
        <v>731</v>
      </c>
      <c r="AK381" s="23"/>
      <c r="AL381" s="23"/>
      <c r="AM381" s="23"/>
      <c r="AN381" s="23"/>
      <c r="AO381" s="23"/>
      <c r="AP381" s="23"/>
      <c r="AQ381" s="23"/>
      <c r="AR381" s="23"/>
      <c r="AS381" s="23"/>
      <c r="AT381" s="23"/>
      <c r="AU381" s="23"/>
      <c r="AV381" s="42">
        <v>18.899999999999999</v>
      </c>
      <c r="AW381" s="18"/>
      <c r="AY381" s="42"/>
      <c r="AZ381" s="42"/>
      <c r="BB381" s="45">
        <v>1</v>
      </c>
      <c r="BC381" s="41">
        <f>IF(AND((AV381/I381)&lt;2,BB381=1),(I381*2)-AV381,0)</f>
        <v>2.1000000000000014</v>
      </c>
      <c r="BD381" s="41">
        <f>IF(AND((AV381/I381)&lt;3,BB381=2),(I381*3)-AV381,0)</f>
        <v>0</v>
      </c>
      <c r="BG381" s="18"/>
      <c r="BH381" s="18">
        <v>15</v>
      </c>
      <c r="BI381" s="18">
        <v>20</v>
      </c>
      <c r="BJ381" s="18">
        <v>21</v>
      </c>
      <c r="BK381" s="18">
        <v>15</v>
      </c>
      <c r="BL381" s="18">
        <v>17</v>
      </c>
      <c r="BM381" s="55">
        <f>SUM(AV381:AX381)+SUM(BC381:BD381)+SUM(BE381:BF381)+BG381</f>
        <v>21</v>
      </c>
      <c r="BN381" s="55"/>
      <c r="BO381" s="55"/>
      <c r="BP381" s="55"/>
      <c r="BQ381" s="55"/>
      <c r="BR381" s="55"/>
      <c r="BS381" s="55"/>
      <c r="BT381" s="55"/>
      <c r="BU381" s="55"/>
      <c r="BV381" s="55"/>
      <c r="BW381" s="55"/>
      <c r="BX381" s="55"/>
      <c r="BY381" s="55"/>
    </row>
    <row r="382" spans="1:77" ht="25.5">
      <c r="B382" s="89">
        <v>376</v>
      </c>
      <c r="C382" s="93">
        <v>208</v>
      </c>
      <c r="D382" s="93">
        <v>221</v>
      </c>
      <c r="E382" s="94">
        <v>0.55625000000000002</v>
      </c>
      <c r="F382" s="94">
        <v>0.57013888888888886</v>
      </c>
      <c r="G382" s="106" t="s">
        <v>1037</v>
      </c>
      <c r="H382" s="95" t="s">
        <v>123</v>
      </c>
      <c r="I382" s="96">
        <v>9</v>
      </c>
      <c r="J382" s="97" t="s">
        <v>116</v>
      </c>
      <c r="K382" s="98">
        <v>34</v>
      </c>
      <c r="L382" s="109" t="s">
        <v>746</v>
      </c>
      <c r="M382" s="87" t="s">
        <v>941</v>
      </c>
      <c r="N382" s="87">
        <v>9</v>
      </c>
      <c r="O382" s="87" t="s">
        <v>940</v>
      </c>
      <c r="P382" s="87">
        <v>9</v>
      </c>
      <c r="R382" s="87"/>
      <c r="S382" s="26" t="s">
        <v>1491</v>
      </c>
      <c r="T382" s="26" t="s">
        <v>1492</v>
      </c>
      <c r="U382" s="26">
        <v>2180</v>
      </c>
      <c r="V382" s="26" t="s">
        <v>1456</v>
      </c>
      <c r="W382" s="62">
        <v>44816</v>
      </c>
      <c r="X382" s="62">
        <v>45086</v>
      </c>
      <c r="Y382" s="62"/>
      <c r="Z382" s="62"/>
      <c r="AA382" s="22" t="s">
        <v>1111</v>
      </c>
      <c r="AB382" s="23"/>
      <c r="AC382" s="23"/>
      <c r="AD382" s="23"/>
      <c r="AE382" s="23" t="s">
        <v>731</v>
      </c>
      <c r="AF382" s="23"/>
      <c r="AG382" s="23"/>
      <c r="AH382" s="23"/>
      <c r="AI382" s="23"/>
      <c r="AJ382" s="23"/>
      <c r="AK382" s="23" t="s">
        <v>731</v>
      </c>
      <c r="AL382" s="23"/>
      <c r="AM382" s="23"/>
      <c r="AN382" s="23"/>
      <c r="AO382" s="23"/>
      <c r="AP382" s="23"/>
      <c r="AQ382" s="23"/>
      <c r="AR382" s="23"/>
      <c r="AS382" s="23"/>
      <c r="AT382" s="23"/>
      <c r="AU382" s="23"/>
      <c r="AV382" s="42">
        <v>18.899999999999999</v>
      </c>
      <c r="AW382" s="18"/>
      <c r="AY382" s="42"/>
      <c r="AZ382" s="42"/>
      <c r="BB382" s="45">
        <v>1</v>
      </c>
      <c r="BC382" s="41">
        <f>IF(AND((AV382/I382)&lt;2,BB382=1),(I382*2)-AV382,0)</f>
        <v>0</v>
      </c>
      <c r="BD382" s="41">
        <f>IF(AND((AV382/I382)&lt;3,BB382=2),(I382*3)-AV382,0)</f>
        <v>0</v>
      </c>
      <c r="BG382" s="18"/>
      <c r="BH382" s="18">
        <v>2</v>
      </c>
      <c r="BI382" s="18">
        <v>5</v>
      </c>
      <c r="BJ382" s="18">
        <v>4</v>
      </c>
      <c r="BK382" s="18">
        <v>3</v>
      </c>
      <c r="BL382" s="18">
        <v>3</v>
      </c>
      <c r="BM382" s="55">
        <f>SUM(AV382:AX382)+SUM(BC382:BD382)+SUM(BE382:BF382)+BG382</f>
        <v>18.899999999999999</v>
      </c>
      <c r="BN382" s="55"/>
      <c r="BO382" s="55"/>
      <c r="BP382" s="55"/>
      <c r="BQ382" s="55"/>
      <c r="BR382" s="55"/>
      <c r="BS382" s="55"/>
      <c r="BT382" s="55"/>
      <c r="BU382" s="55"/>
      <c r="BV382" s="55"/>
      <c r="BW382" s="55"/>
      <c r="BX382" s="55"/>
      <c r="BY382" s="55"/>
    </row>
    <row r="383" spans="1:77" ht="25.5">
      <c r="B383" s="89">
        <v>377</v>
      </c>
      <c r="C383" s="93">
        <v>208</v>
      </c>
      <c r="D383" s="97">
        <v>498</v>
      </c>
      <c r="E383" s="105">
        <v>0.5756944444444444</v>
      </c>
      <c r="F383" s="105">
        <v>0.59166666666666667</v>
      </c>
      <c r="G383" s="93" t="s">
        <v>280</v>
      </c>
      <c r="H383" s="93" t="s">
        <v>103</v>
      </c>
      <c r="I383" s="96">
        <v>10.5</v>
      </c>
      <c r="J383" s="97" t="s">
        <v>269</v>
      </c>
      <c r="K383" s="98">
        <v>174</v>
      </c>
      <c r="L383" s="109" t="s">
        <v>741</v>
      </c>
      <c r="M383" s="87" t="s">
        <v>796</v>
      </c>
      <c r="N383" s="87">
        <v>37</v>
      </c>
      <c r="O383" s="87" t="s">
        <v>798</v>
      </c>
      <c r="P383" s="87">
        <v>29</v>
      </c>
      <c r="Q383" s="87" t="s">
        <v>969</v>
      </c>
      <c r="R383" s="85">
        <v>29</v>
      </c>
      <c r="S383" s="26">
        <v>2180</v>
      </c>
      <c r="T383" s="26" t="s">
        <v>1456</v>
      </c>
      <c r="U383" s="26" t="s">
        <v>1487</v>
      </c>
      <c r="V383" s="26" t="s">
        <v>1488</v>
      </c>
      <c r="W383" s="62">
        <v>44816</v>
      </c>
      <c r="X383" s="62">
        <v>45086</v>
      </c>
      <c r="Y383" s="62"/>
      <c r="Z383" s="62"/>
      <c r="AA383" s="22" t="s">
        <v>1102</v>
      </c>
      <c r="AB383" s="23"/>
      <c r="AC383" s="23"/>
      <c r="AD383" s="23"/>
      <c r="AE383" s="23" t="s">
        <v>731</v>
      </c>
      <c r="AF383" s="23" t="s">
        <v>731</v>
      </c>
      <c r="AG383" s="23" t="s">
        <v>731</v>
      </c>
      <c r="AH383" s="23" t="s">
        <v>731</v>
      </c>
      <c r="AI383" s="23" t="s">
        <v>731</v>
      </c>
      <c r="AJ383" s="23" t="s">
        <v>731</v>
      </c>
      <c r="AK383" s="23"/>
      <c r="AL383" s="23"/>
      <c r="AM383" s="23"/>
      <c r="AN383" s="23"/>
      <c r="AO383" s="23"/>
      <c r="AP383" s="23"/>
      <c r="AQ383" s="23"/>
      <c r="AR383" s="23"/>
      <c r="AS383" s="23"/>
      <c r="AT383" s="23"/>
      <c r="AU383" s="23"/>
      <c r="AV383" s="42">
        <v>18.899999999999999</v>
      </c>
      <c r="AW383" s="18"/>
      <c r="AY383" s="42"/>
      <c r="AZ383" s="42"/>
      <c r="BB383" s="45">
        <v>1</v>
      </c>
      <c r="BC383" s="41">
        <f>IF(AND((AV383/I383)&lt;2,BB383=1),(I383*2)-AV383,0)</f>
        <v>2.1000000000000014</v>
      </c>
      <c r="BD383" s="41">
        <f>IF(AND((AV383/I383)&lt;3,BB383=2),(I383*3)-AV383,0)</f>
        <v>0</v>
      </c>
      <c r="BG383" s="18"/>
      <c r="BH383" s="18">
        <v>15</v>
      </c>
      <c r="BI383" s="18">
        <v>20</v>
      </c>
      <c r="BJ383" s="18">
        <v>21</v>
      </c>
      <c r="BK383" s="18">
        <v>15</v>
      </c>
      <c r="BL383" s="18">
        <v>17</v>
      </c>
      <c r="BM383" s="55">
        <f>SUM(AV383:AX383)+SUM(BC383:BD383)+SUM(BE383:BF383)+BG383</f>
        <v>21</v>
      </c>
      <c r="BN383" s="55"/>
      <c r="BO383" s="55"/>
      <c r="BP383" s="55"/>
      <c r="BQ383" s="55"/>
      <c r="BR383" s="55"/>
      <c r="BS383" s="55"/>
      <c r="BT383" s="55"/>
      <c r="BU383" s="55"/>
      <c r="BV383" s="55"/>
      <c r="BW383" s="55"/>
      <c r="BX383" s="55"/>
      <c r="BY383" s="55"/>
    </row>
    <row r="384" spans="1:77" ht="25.5">
      <c r="B384" s="89">
        <v>378</v>
      </c>
      <c r="C384" s="93">
        <v>208</v>
      </c>
      <c r="D384" s="93">
        <v>223</v>
      </c>
      <c r="E384" s="94">
        <v>0.58472222222222225</v>
      </c>
      <c r="F384" s="94">
        <v>0.60138888888888886</v>
      </c>
      <c r="G384" s="93" t="s">
        <v>523</v>
      </c>
      <c r="H384" s="93" t="s">
        <v>103</v>
      </c>
      <c r="I384" s="96">
        <v>11.6</v>
      </c>
      <c r="J384" s="97" t="s">
        <v>522</v>
      </c>
      <c r="K384" s="98">
        <v>174</v>
      </c>
      <c r="L384" s="109" t="s">
        <v>747</v>
      </c>
      <c r="M384" s="87" t="s">
        <v>859</v>
      </c>
      <c r="N384" s="87">
        <v>55</v>
      </c>
      <c r="O384" s="87" t="s">
        <v>1243</v>
      </c>
      <c r="P384" s="87">
        <v>57</v>
      </c>
      <c r="Q384" s="87" t="s">
        <v>1244</v>
      </c>
      <c r="R384" s="87">
        <v>37</v>
      </c>
      <c r="S384" s="26" t="s">
        <v>1498</v>
      </c>
      <c r="T384" s="26" t="s">
        <v>1499</v>
      </c>
      <c r="U384" s="26">
        <v>2218</v>
      </c>
      <c r="V384" s="26" t="s">
        <v>1500</v>
      </c>
      <c r="W384" s="62">
        <v>44816</v>
      </c>
      <c r="X384" s="62">
        <v>45086</v>
      </c>
      <c r="Y384" s="62"/>
      <c r="Z384" s="62"/>
      <c r="AA384" s="22" t="s">
        <v>1102</v>
      </c>
      <c r="AB384" s="23"/>
      <c r="AC384" s="23"/>
      <c r="AD384" s="23"/>
      <c r="AE384" s="23" t="s">
        <v>731</v>
      </c>
      <c r="AF384" s="23" t="s">
        <v>731</v>
      </c>
      <c r="AG384" s="23" t="s">
        <v>731</v>
      </c>
      <c r="AH384" s="23" t="s">
        <v>731</v>
      </c>
      <c r="AI384" s="23" t="s">
        <v>731</v>
      </c>
      <c r="AJ384" s="23" t="s">
        <v>731</v>
      </c>
      <c r="AK384" s="23"/>
      <c r="AL384" s="23"/>
      <c r="AM384" s="23"/>
      <c r="AN384" s="23"/>
      <c r="AO384" s="23"/>
      <c r="AP384" s="23"/>
      <c r="AQ384" s="23"/>
      <c r="AR384" s="23"/>
      <c r="AS384" s="23"/>
      <c r="AT384" s="23"/>
      <c r="AU384" s="23"/>
      <c r="AV384" s="42">
        <v>34.799999999999997</v>
      </c>
      <c r="AW384" s="18"/>
      <c r="AY384" s="42"/>
      <c r="AZ384" s="42"/>
      <c r="BB384" s="43">
        <v>2</v>
      </c>
      <c r="BC384" s="41">
        <f>IF(AND((AV384/I384)&lt;2,BB384=1),(I384*2)-AV384,0)</f>
        <v>0</v>
      </c>
      <c r="BD384" s="41">
        <f>IF(AND((AV384/I384)&lt;3,BB384=2),(I384*3)-AV384,0)</f>
        <v>0</v>
      </c>
      <c r="BG384" s="18"/>
      <c r="BH384" s="18">
        <v>15</v>
      </c>
      <c r="BI384" s="18">
        <v>20</v>
      </c>
      <c r="BJ384" s="18">
        <v>21</v>
      </c>
      <c r="BK384" s="18">
        <v>15</v>
      </c>
      <c r="BL384" s="18">
        <v>17</v>
      </c>
      <c r="BM384" s="55">
        <f>SUM(AV384:AX384)+SUM(BC384:BD384)+SUM(BE384:BF384)+BG384</f>
        <v>34.799999999999997</v>
      </c>
      <c r="BN384" s="55"/>
      <c r="BO384" s="55"/>
      <c r="BP384" s="55"/>
      <c r="BQ384" s="55"/>
      <c r="BR384" s="55"/>
      <c r="BS384" s="55"/>
      <c r="BT384" s="55"/>
      <c r="BU384" s="55"/>
      <c r="BV384" s="55"/>
      <c r="BW384" s="55"/>
      <c r="BX384" s="55"/>
      <c r="BY384" s="55"/>
    </row>
    <row r="385" spans="1:77" ht="25.5">
      <c r="B385" s="89">
        <v>379</v>
      </c>
      <c r="C385" s="93">
        <v>208</v>
      </c>
      <c r="D385" s="95">
        <v>420</v>
      </c>
      <c r="E385" s="105">
        <v>0.6875</v>
      </c>
      <c r="F385" s="105">
        <v>0.72152777777777777</v>
      </c>
      <c r="G385" s="95" t="s">
        <v>271</v>
      </c>
      <c r="H385" s="93" t="s">
        <v>194</v>
      </c>
      <c r="I385" s="96">
        <v>27.5</v>
      </c>
      <c r="J385" s="97">
        <v>50</v>
      </c>
      <c r="K385" s="98">
        <f>34+34+36+33</f>
        <v>137</v>
      </c>
      <c r="L385" s="109" t="s">
        <v>741</v>
      </c>
      <c r="M385" s="87" t="s">
        <v>797</v>
      </c>
      <c r="N385" s="87">
        <v>45</v>
      </c>
      <c r="O385" s="87" t="s">
        <v>798</v>
      </c>
      <c r="P385" s="87">
        <v>29</v>
      </c>
      <c r="Q385" s="87" t="s">
        <v>796</v>
      </c>
      <c r="R385" s="83">
        <v>37</v>
      </c>
      <c r="S385" s="26">
        <v>2180</v>
      </c>
      <c r="T385" s="26" t="s">
        <v>1456</v>
      </c>
      <c r="U385" s="26" t="s">
        <v>1498</v>
      </c>
      <c r="V385" s="26" t="s">
        <v>1499</v>
      </c>
      <c r="W385" s="62">
        <v>44816</v>
      </c>
      <c r="X385" s="62">
        <v>45086</v>
      </c>
      <c r="Y385" s="62"/>
      <c r="Z385" s="62"/>
      <c r="AA385" s="24" t="s">
        <v>1105</v>
      </c>
      <c r="AB385" s="23"/>
      <c r="AC385" s="23"/>
      <c r="AD385" s="23"/>
      <c r="AE385" s="23" t="s">
        <v>731</v>
      </c>
      <c r="AF385" s="23" t="s">
        <v>731</v>
      </c>
      <c r="AG385" s="23" t="s">
        <v>731</v>
      </c>
      <c r="AH385" s="23" t="s">
        <v>731</v>
      </c>
      <c r="AI385" s="23" t="s">
        <v>731</v>
      </c>
      <c r="AJ385" s="23"/>
      <c r="AK385" s="23"/>
      <c r="AL385" s="23"/>
      <c r="AM385" s="23"/>
      <c r="AN385" s="23"/>
      <c r="AO385" s="23"/>
      <c r="AP385" s="23"/>
      <c r="AQ385" s="23"/>
      <c r="AR385" s="23"/>
      <c r="AS385" s="23"/>
      <c r="AT385" s="23"/>
      <c r="AU385" s="23"/>
      <c r="AV385" s="42">
        <v>81.36</v>
      </c>
      <c r="AW385" s="18"/>
      <c r="AY385" s="42"/>
      <c r="AZ385" s="42"/>
      <c r="BB385" s="43">
        <v>2</v>
      </c>
      <c r="BC385" s="41">
        <f>IF(AND((AV385/I385)&lt;2,BB385=1),(I385*2)-AV385,0)</f>
        <v>0</v>
      </c>
      <c r="BD385" s="41">
        <f>IF(AND((AV385/I385)&lt;3,BB385=2),(I385*3)-AV385,0)</f>
        <v>1.1400000000000006</v>
      </c>
      <c r="BG385" s="18"/>
      <c r="BH385" s="18">
        <v>12</v>
      </c>
      <c r="BI385" s="18">
        <v>16</v>
      </c>
      <c r="BJ385" s="18">
        <v>17</v>
      </c>
      <c r="BK385" s="18">
        <v>12</v>
      </c>
      <c r="BL385" s="18">
        <v>14</v>
      </c>
      <c r="BM385" s="55">
        <f>SUM(AV385:AX385)+SUM(BC385:BD385)+SUM(BE385:BF385)+BG385</f>
        <v>82.5</v>
      </c>
      <c r="BN385" s="55"/>
      <c r="BO385" s="55"/>
      <c r="BP385" s="55"/>
      <c r="BQ385" s="55"/>
      <c r="BR385" s="55"/>
      <c r="BS385" s="55"/>
      <c r="BT385" s="55"/>
      <c r="BU385" s="55"/>
      <c r="BV385" s="55"/>
      <c r="BW385" s="55"/>
      <c r="BX385" s="55"/>
      <c r="BY385" s="55"/>
    </row>
    <row r="386" spans="1:77" ht="25.5">
      <c r="B386" s="89">
        <v>380</v>
      </c>
      <c r="C386" s="93">
        <v>208</v>
      </c>
      <c r="D386" s="97">
        <v>374</v>
      </c>
      <c r="E386" s="105">
        <v>0.72430555555555554</v>
      </c>
      <c r="F386" s="105">
        <v>0.74861111111111101</v>
      </c>
      <c r="G386" s="93" t="s">
        <v>279</v>
      </c>
      <c r="H386" s="93" t="s">
        <v>103</v>
      </c>
      <c r="I386" s="96">
        <v>17</v>
      </c>
      <c r="J386" s="97">
        <v>44</v>
      </c>
      <c r="K386" s="98">
        <v>174</v>
      </c>
      <c r="L386" s="109" t="s">
        <v>741</v>
      </c>
      <c r="M386" s="87" t="s">
        <v>969</v>
      </c>
      <c r="N386" s="87">
        <v>29</v>
      </c>
      <c r="O386" s="87" t="s">
        <v>798</v>
      </c>
      <c r="P386" s="87">
        <v>29</v>
      </c>
      <c r="Q386" s="87" t="s">
        <v>972</v>
      </c>
      <c r="R386" s="85">
        <v>25</v>
      </c>
      <c r="S386" s="26">
        <v>2180</v>
      </c>
      <c r="T386" s="26" t="s">
        <v>1456</v>
      </c>
      <c r="U386" s="26" t="s">
        <v>1491</v>
      </c>
      <c r="V386" s="26" t="s">
        <v>1492</v>
      </c>
      <c r="W386" s="62">
        <v>44816</v>
      </c>
      <c r="X386" s="62">
        <v>45086</v>
      </c>
      <c r="Y386" s="62"/>
      <c r="Z386" s="62"/>
      <c r="AA386" s="22" t="s">
        <v>1102</v>
      </c>
      <c r="AB386" s="23"/>
      <c r="AC386" s="23"/>
      <c r="AD386" s="23"/>
      <c r="AE386" s="23" t="s">
        <v>731</v>
      </c>
      <c r="AF386" s="23" t="s">
        <v>731</v>
      </c>
      <c r="AG386" s="23" t="s">
        <v>731</v>
      </c>
      <c r="AH386" s="23" t="s">
        <v>731</v>
      </c>
      <c r="AI386" s="23" t="s">
        <v>731</v>
      </c>
      <c r="AJ386" s="23" t="s">
        <v>731</v>
      </c>
      <c r="AK386" s="23"/>
      <c r="AL386" s="23"/>
      <c r="AM386" s="23"/>
      <c r="AN386" s="23"/>
      <c r="AO386" s="23"/>
      <c r="AP386" s="23"/>
      <c r="AQ386" s="23"/>
      <c r="AR386" s="23"/>
      <c r="AS386" s="23"/>
      <c r="AT386" s="23"/>
      <c r="AU386" s="23"/>
      <c r="AV386" s="42">
        <v>69.38</v>
      </c>
      <c r="AW386" s="18"/>
      <c r="AY386" s="42"/>
      <c r="AZ386" s="42"/>
      <c r="BB386" s="43">
        <v>2</v>
      </c>
      <c r="BC386" s="41">
        <f>IF(AND((AV386/I386)&lt;2,BB386=1),(I386*2)-AV386,0)</f>
        <v>0</v>
      </c>
      <c r="BD386" s="41">
        <f>IF(AND((AV386/I386)&lt;3,BB386=2),(I386*3)-AV386,0)</f>
        <v>0</v>
      </c>
      <c r="BG386" s="18"/>
      <c r="BH386" s="18">
        <v>15</v>
      </c>
      <c r="BI386" s="18">
        <v>20</v>
      </c>
      <c r="BJ386" s="18">
        <v>21</v>
      </c>
      <c r="BK386" s="18">
        <v>15</v>
      </c>
      <c r="BL386" s="18">
        <v>17</v>
      </c>
      <c r="BM386" s="55">
        <f>SUM(AV386:AX386)+SUM(BC386:BD386)+SUM(BE386:BF386)+BG386</f>
        <v>69.38</v>
      </c>
      <c r="BN386" s="55"/>
      <c r="BO386" s="55"/>
      <c r="BP386" s="55"/>
      <c r="BQ386" s="55"/>
      <c r="BR386" s="55"/>
      <c r="BS386" s="55"/>
      <c r="BT386" s="55"/>
      <c r="BU386" s="55"/>
      <c r="BV386" s="55"/>
      <c r="BW386" s="55"/>
      <c r="BX386" s="55"/>
      <c r="BY386" s="55"/>
    </row>
    <row r="387" spans="1:77" ht="25.5">
      <c r="B387" s="89">
        <v>381</v>
      </c>
      <c r="C387" s="93">
        <v>208</v>
      </c>
      <c r="D387" s="93">
        <v>54</v>
      </c>
      <c r="E387" s="94">
        <v>0.74305555555555547</v>
      </c>
      <c r="F387" s="94">
        <v>0.76736111111111116</v>
      </c>
      <c r="G387" s="93" t="s">
        <v>199</v>
      </c>
      <c r="H387" s="93" t="s">
        <v>103</v>
      </c>
      <c r="I387" s="96">
        <v>17</v>
      </c>
      <c r="J387" s="97">
        <v>22</v>
      </c>
      <c r="K387" s="98">
        <v>174</v>
      </c>
      <c r="L387" s="109" t="s">
        <v>748</v>
      </c>
      <c r="M387" s="83" t="s">
        <v>790</v>
      </c>
      <c r="N387" s="87">
        <v>23</v>
      </c>
      <c r="O387" s="87" t="s">
        <v>789</v>
      </c>
      <c r="P387" s="87">
        <v>23</v>
      </c>
      <c r="Q387" s="87" t="s">
        <v>831</v>
      </c>
      <c r="R387" s="83">
        <v>17</v>
      </c>
      <c r="S387" s="26">
        <v>2180</v>
      </c>
      <c r="T387" s="26" t="s">
        <v>1456</v>
      </c>
      <c r="U387" s="26" t="s">
        <v>1491</v>
      </c>
      <c r="V387" s="26" t="s">
        <v>1492</v>
      </c>
      <c r="W387" s="62">
        <v>44816</v>
      </c>
      <c r="X387" s="62">
        <v>45086</v>
      </c>
      <c r="Y387" s="62"/>
      <c r="Z387" s="62"/>
      <c r="AA387" s="22" t="s">
        <v>1102</v>
      </c>
      <c r="AB387" s="23"/>
      <c r="AC387" s="23"/>
      <c r="AD387" s="23"/>
      <c r="AE387" s="23" t="s">
        <v>731</v>
      </c>
      <c r="AF387" s="23" t="s">
        <v>731</v>
      </c>
      <c r="AG387" s="23" t="s">
        <v>731</v>
      </c>
      <c r="AH387" s="23" t="s">
        <v>731</v>
      </c>
      <c r="AI387" s="23" t="s">
        <v>731</v>
      </c>
      <c r="AJ387" s="23" t="s">
        <v>731</v>
      </c>
      <c r="AK387" s="23"/>
      <c r="AL387" s="23"/>
      <c r="AM387" s="23"/>
      <c r="AN387" s="23"/>
      <c r="AO387" s="23"/>
      <c r="AP387" s="23"/>
      <c r="AQ387" s="23"/>
      <c r="AR387" s="23"/>
      <c r="AS387" s="23"/>
      <c r="AT387" s="23"/>
      <c r="AU387" s="23"/>
      <c r="AV387" s="42">
        <v>42.5</v>
      </c>
      <c r="AW387" s="18"/>
      <c r="AY387" s="42"/>
      <c r="AZ387" s="42"/>
      <c r="BB387" s="45">
        <v>1</v>
      </c>
      <c r="BC387" s="41">
        <f>IF(AND((AV387/I387)&lt;2,BB387=1),(I387*2)-AV387,0)</f>
        <v>0</v>
      </c>
      <c r="BD387" s="41">
        <f>IF(AND((AV387/I387)&lt;3,BB387=2),(I387*3)-AV387,0)</f>
        <v>0</v>
      </c>
      <c r="BG387" s="18"/>
      <c r="BH387" s="18">
        <v>15</v>
      </c>
      <c r="BI387" s="18">
        <v>20</v>
      </c>
      <c r="BJ387" s="18">
        <v>21</v>
      </c>
      <c r="BK387" s="18">
        <v>15</v>
      </c>
      <c r="BL387" s="18">
        <v>17</v>
      </c>
      <c r="BM387" s="55">
        <f>SUM(AV387:AX387)+SUM(BC387:BD387)+SUM(BE387:BF387)+BG387</f>
        <v>42.5</v>
      </c>
      <c r="BN387" s="55"/>
      <c r="BO387" s="55"/>
      <c r="BP387" s="55"/>
      <c r="BQ387" s="55"/>
      <c r="BR387" s="55"/>
      <c r="BS387" s="55"/>
      <c r="BT387" s="55"/>
      <c r="BU387" s="55"/>
      <c r="BV387" s="55"/>
      <c r="BW387" s="55"/>
      <c r="BX387" s="55"/>
      <c r="BY387" s="55"/>
    </row>
    <row r="388" spans="1:77" ht="25.5">
      <c r="A388" s="2" t="s">
        <v>799</v>
      </c>
      <c r="B388" s="89">
        <v>382</v>
      </c>
      <c r="C388" s="124">
        <v>208</v>
      </c>
      <c r="D388" s="124">
        <v>226</v>
      </c>
      <c r="E388" s="130">
        <v>0.81597222222222221</v>
      </c>
      <c r="F388" s="130">
        <v>0.84027777777777779</v>
      </c>
      <c r="G388" s="126" t="s">
        <v>545</v>
      </c>
      <c r="H388" s="93" t="s">
        <v>423</v>
      </c>
      <c r="I388" s="124">
        <v>17</v>
      </c>
      <c r="J388" s="127">
        <v>50</v>
      </c>
      <c r="K388" s="98">
        <v>67</v>
      </c>
      <c r="L388" s="99" t="s">
        <v>748</v>
      </c>
      <c r="M388" s="83" t="s">
        <v>789</v>
      </c>
      <c r="N388" s="87">
        <v>23</v>
      </c>
      <c r="O388" s="87" t="s">
        <v>790</v>
      </c>
      <c r="P388" s="87">
        <v>23</v>
      </c>
      <c r="R388" s="87"/>
      <c r="S388" s="26">
        <v>2180</v>
      </c>
      <c r="T388" s="26" t="s">
        <v>1456</v>
      </c>
      <c r="U388" s="26">
        <v>2219</v>
      </c>
      <c r="V388" s="26" t="s">
        <v>1489</v>
      </c>
      <c r="W388" s="63">
        <v>44562</v>
      </c>
      <c r="X388" s="63">
        <v>44815</v>
      </c>
      <c r="Y388" s="63">
        <v>45101</v>
      </c>
      <c r="Z388" s="63">
        <v>45169</v>
      </c>
      <c r="AA388" s="23" t="s">
        <v>1107</v>
      </c>
      <c r="AB388" s="23"/>
      <c r="AC388" s="23" t="s">
        <v>731</v>
      </c>
      <c r="AD388" s="23" t="s">
        <v>731</v>
      </c>
      <c r="AE388" s="23"/>
      <c r="AF388" s="23" t="s">
        <v>731</v>
      </c>
      <c r="AG388" s="23" t="s">
        <v>731</v>
      </c>
      <c r="AH388" s="23" t="s">
        <v>731</v>
      </c>
      <c r="AI388" s="23" t="s">
        <v>731</v>
      </c>
      <c r="AJ388" s="23" t="s">
        <v>731</v>
      </c>
      <c r="AK388" s="23" t="s">
        <v>731</v>
      </c>
      <c r="AL388" s="23"/>
      <c r="AM388" s="23"/>
      <c r="AN388" s="23"/>
      <c r="AO388" s="23"/>
      <c r="AP388" s="23"/>
      <c r="AQ388" s="23"/>
      <c r="AR388" s="23"/>
      <c r="AS388" s="23"/>
      <c r="AT388" s="23"/>
      <c r="AU388" s="23"/>
      <c r="AV388" s="42">
        <v>40.799999999999997</v>
      </c>
      <c r="AW388" s="18"/>
      <c r="AY388" s="42"/>
      <c r="AZ388" s="42"/>
      <c r="BB388" s="43">
        <v>2</v>
      </c>
      <c r="BC388" s="41">
        <f>IF(AND((AV388/I388)&lt;2,BB388=1),(I388*2)-AV388,0)</f>
        <v>0</v>
      </c>
      <c r="BD388" s="41">
        <f>IF(AND((AV388/I388)&lt;3,BB388=2),(I388*3)-AV388,0)</f>
        <v>10.200000000000003</v>
      </c>
      <c r="BG388" s="18"/>
      <c r="BH388" s="18">
        <v>9</v>
      </c>
      <c r="BI388" s="18">
        <v>0</v>
      </c>
      <c r="BJ388" s="18">
        <v>0</v>
      </c>
      <c r="BK388" s="18">
        <v>0</v>
      </c>
      <c r="BL388" s="18">
        <v>0</v>
      </c>
      <c r="BM388" s="55">
        <f>SUM(AV388:AX388)+SUM(BC388:BD388)+SUM(BE388:BF388)+BG388</f>
        <v>51</v>
      </c>
      <c r="BN388" s="55"/>
      <c r="BO388" s="55"/>
      <c r="BP388" s="55"/>
      <c r="BQ388" s="55"/>
      <c r="BR388" s="55"/>
      <c r="BS388" s="55"/>
      <c r="BT388" s="55"/>
      <c r="BU388" s="55"/>
      <c r="BV388" s="55"/>
      <c r="BW388" s="55"/>
      <c r="BX388" s="55"/>
      <c r="BY388" s="55"/>
    </row>
    <row r="389" spans="1:77" ht="25.5">
      <c r="B389" s="89">
        <v>383</v>
      </c>
      <c r="C389" s="93">
        <v>209</v>
      </c>
      <c r="D389" s="95">
        <v>9</v>
      </c>
      <c r="E389" s="94">
        <v>0.26041666666666669</v>
      </c>
      <c r="F389" s="94">
        <v>0.27361111111111108</v>
      </c>
      <c r="G389" s="95" t="s">
        <v>394</v>
      </c>
      <c r="H389" s="93" t="s">
        <v>97</v>
      </c>
      <c r="I389" s="96">
        <v>10.3</v>
      </c>
      <c r="J389" s="97">
        <v>22</v>
      </c>
      <c r="K389" s="131">
        <v>208</v>
      </c>
      <c r="L389" s="109" t="s">
        <v>748</v>
      </c>
      <c r="M389" s="83" t="s">
        <v>790</v>
      </c>
      <c r="N389" s="87">
        <v>23</v>
      </c>
      <c r="O389" s="87" t="s">
        <v>789</v>
      </c>
      <c r="P389" s="87" t="s">
        <v>269</v>
      </c>
      <c r="Q389" s="87" t="s">
        <v>831</v>
      </c>
      <c r="R389" s="83">
        <v>17</v>
      </c>
      <c r="S389" s="26">
        <v>2174</v>
      </c>
      <c r="T389" s="26" t="s">
        <v>1501</v>
      </c>
      <c r="U389" s="26">
        <v>2180</v>
      </c>
      <c r="V389" s="26" t="s">
        <v>1456</v>
      </c>
      <c r="W389" s="62">
        <v>44816</v>
      </c>
      <c r="X389" s="62">
        <v>45086</v>
      </c>
      <c r="Y389" s="62"/>
      <c r="Z389" s="62"/>
      <c r="AA389" s="22" t="s">
        <v>1106</v>
      </c>
      <c r="AB389" s="23"/>
      <c r="AC389" s="23"/>
      <c r="AD389" s="23"/>
      <c r="AE389" s="23" t="s">
        <v>731</v>
      </c>
      <c r="AF389" s="23" t="s">
        <v>731</v>
      </c>
      <c r="AG389" s="23" t="s">
        <v>731</v>
      </c>
      <c r="AH389" s="23" t="s">
        <v>731</v>
      </c>
      <c r="AI389" s="23" t="s">
        <v>731</v>
      </c>
      <c r="AJ389" s="23" t="s">
        <v>731</v>
      </c>
      <c r="AK389" s="23" t="s">
        <v>731</v>
      </c>
      <c r="AL389" s="23"/>
      <c r="AM389" s="23"/>
      <c r="AN389" s="23"/>
      <c r="AO389" s="23"/>
      <c r="AP389" s="23"/>
      <c r="AQ389" s="23"/>
      <c r="AR389" s="23"/>
      <c r="AS389" s="23"/>
      <c r="AT389" s="23"/>
      <c r="AU389" s="23"/>
      <c r="AV389" s="42">
        <v>25.71</v>
      </c>
      <c r="AW389" s="18"/>
      <c r="AY389" s="42"/>
      <c r="AZ389" s="42"/>
      <c r="BB389" s="45">
        <v>1</v>
      </c>
      <c r="BC389" s="41">
        <f>IF(AND((AV389/I389)&lt;2,BB389=1),(I389*2)-AV389,0)</f>
        <v>0</v>
      </c>
      <c r="BD389" s="41">
        <f>IF(AND((AV389/I389)&lt;3,BB389=2),(I389*3)-AV389,0)</f>
        <v>0</v>
      </c>
      <c r="BG389" s="41">
        <f>IF((AV389+AW389+AX389)&lt;20,(20-(AV389+AW389+AX389)),0)</f>
        <v>0</v>
      </c>
      <c r="BH389" s="18">
        <v>17</v>
      </c>
      <c r="BI389" s="18">
        <v>25</v>
      </c>
      <c r="BJ389" s="18">
        <v>25</v>
      </c>
      <c r="BK389" s="18">
        <v>18</v>
      </c>
      <c r="BL389" s="18">
        <v>20</v>
      </c>
      <c r="BM389" s="55">
        <f>SUM(AV389:AX389)+SUM(BC389:BD389)+SUM(BE389:BF389)+BG389</f>
        <v>25.71</v>
      </c>
      <c r="BN389" s="55"/>
      <c r="BO389" s="55"/>
      <c r="BP389" s="55"/>
      <c r="BQ389" s="55"/>
      <c r="BR389" s="55"/>
      <c r="BS389" s="55"/>
      <c r="BT389" s="55"/>
      <c r="BU389" s="55"/>
      <c r="BV389" s="55"/>
      <c r="BW389" s="55"/>
      <c r="BX389" s="55"/>
      <c r="BY389" s="55"/>
    </row>
    <row r="390" spans="1:77" ht="25.5">
      <c r="B390" s="89">
        <v>384</v>
      </c>
      <c r="C390" s="93">
        <v>209</v>
      </c>
      <c r="D390" s="95">
        <v>11</v>
      </c>
      <c r="E390" s="94">
        <v>0.28819444444444448</v>
      </c>
      <c r="F390" s="94">
        <v>0.30208333333333331</v>
      </c>
      <c r="G390" s="95" t="s">
        <v>394</v>
      </c>
      <c r="H390" s="93" t="s">
        <v>97</v>
      </c>
      <c r="I390" s="96">
        <v>10</v>
      </c>
      <c r="J390" s="97">
        <v>22</v>
      </c>
      <c r="K390" s="98">
        <v>208</v>
      </c>
      <c r="L390" s="109" t="s">
        <v>748</v>
      </c>
      <c r="M390" s="83" t="s">
        <v>790</v>
      </c>
      <c r="N390" s="87">
        <v>23</v>
      </c>
      <c r="O390" s="87" t="s">
        <v>789</v>
      </c>
      <c r="P390" s="87">
        <v>23</v>
      </c>
      <c r="Q390" s="87" t="s">
        <v>831</v>
      </c>
      <c r="R390" s="83">
        <v>17</v>
      </c>
      <c r="S390" s="26">
        <v>2174</v>
      </c>
      <c r="T390" s="26" t="s">
        <v>1501</v>
      </c>
      <c r="U390" s="26">
        <v>2180</v>
      </c>
      <c r="V390" s="26" t="s">
        <v>1456</v>
      </c>
      <c r="W390" s="62">
        <v>44816</v>
      </c>
      <c r="X390" s="62">
        <v>45086</v>
      </c>
      <c r="Y390" s="62"/>
      <c r="Z390" s="62"/>
      <c r="AA390" s="22" t="s">
        <v>1106</v>
      </c>
      <c r="AB390" s="23"/>
      <c r="AC390" s="23"/>
      <c r="AD390" s="23"/>
      <c r="AE390" s="23" t="s">
        <v>731</v>
      </c>
      <c r="AF390" s="23" t="s">
        <v>731</v>
      </c>
      <c r="AG390" s="23" t="s">
        <v>731</v>
      </c>
      <c r="AH390" s="23" t="s">
        <v>731</v>
      </c>
      <c r="AI390" s="23" t="s">
        <v>731</v>
      </c>
      <c r="AJ390" s="23" t="s">
        <v>731</v>
      </c>
      <c r="AK390" s="23" t="s">
        <v>731</v>
      </c>
      <c r="AL390" s="23"/>
      <c r="AM390" s="23"/>
      <c r="AN390" s="23"/>
      <c r="AO390" s="23"/>
      <c r="AP390" s="23"/>
      <c r="AQ390" s="23"/>
      <c r="AR390" s="23"/>
      <c r="AS390" s="23"/>
      <c r="AT390" s="23"/>
      <c r="AU390" s="23"/>
      <c r="AV390" s="42">
        <v>26.33</v>
      </c>
      <c r="AW390" s="18"/>
      <c r="AY390" s="42"/>
      <c r="AZ390" s="42"/>
      <c r="BB390" s="45">
        <v>1</v>
      </c>
      <c r="BC390" s="41">
        <f>IF(AND((AV390/I390)&lt;2,BB390=1),(I390*2)-AV390,0)</f>
        <v>0</v>
      </c>
      <c r="BD390" s="41">
        <f>IF(AND((AV390/I390)&lt;3,BB390=2),(I390*3)-AV390,0)</f>
        <v>0</v>
      </c>
      <c r="BG390" s="41">
        <f>IF((AV390+AW390+AX390)&lt;20,(20-(AV390+AW390+AX390)),0)</f>
        <v>0</v>
      </c>
      <c r="BH390" s="18">
        <v>17</v>
      </c>
      <c r="BI390" s="18">
        <v>25</v>
      </c>
      <c r="BJ390" s="18">
        <v>25</v>
      </c>
      <c r="BK390" s="18">
        <v>18</v>
      </c>
      <c r="BL390" s="18">
        <v>20</v>
      </c>
      <c r="BM390" s="55">
        <f>SUM(AV390:AX390)+SUM(BC390:BD390)+SUM(BE390:BF390)+BG390</f>
        <v>26.33</v>
      </c>
      <c r="BN390" s="55"/>
      <c r="BO390" s="55"/>
      <c r="BP390" s="55"/>
      <c r="BQ390" s="55"/>
      <c r="BR390" s="55"/>
      <c r="BS390" s="55"/>
      <c r="BT390" s="55"/>
      <c r="BU390" s="55"/>
      <c r="BV390" s="55"/>
      <c r="BW390" s="55"/>
      <c r="BX390" s="55"/>
      <c r="BY390" s="55"/>
    </row>
    <row r="391" spans="1:77" ht="25.5">
      <c r="A391" s="2" t="s">
        <v>799</v>
      </c>
      <c r="B391" s="89">
        <v>385</v>
      </c>
      <c r="C391" s="124">
        <v>209</v>
      </c>
      <c r="D391" s="124">
        <v>11</v>
      </c>
      <c r="E391" s="130">
        <v>0.2986111111111111</v>
      </c>
      <c r="F391" s="130">
        <v>0.3125</v>
      </c>
      <c r="G391" s="126" t="s">
        <v>541</v>
      </c>
      <c r="H391" s="93" t="s">
        <v>424</v>
      </c>
      <c r="I391" s="124">
        <v>9</v>
      </c>
      <c r="J391" s="127">
        <v>50</v>
      </c>
      <c r="K391" s="98">
        <v>55</v>
      </c>
      <c r="L391" s="99" t="s">
        <v>741</v>
      </c>
      <c r="M391" s="87" t="s">
        <v>970</v>
      </c>
      <c r="N391" s="87">
        <v>54</v>
      </c>
      <c r="O391" s="87" t="s">
        <v>797</v>
      </c>
      <c r="P391" s="87">
        <v>45</v>
      </c>
      <c r="Q391" s="87" t="s">
        <v>798</v>
      </c>
      <c r="R391" s="85">
        <v>28</v>
      </c>
      <c r="S391" s="26">
        <v>2174</v>
      </c>
      <c r="T391" s="26" t="s">
        <v>1501</v>
      </c>
      <c r="U391" s="26">
        <v>2180</v>
      </c>
      <c r="V391" s="26" t="s">
        <v>1456</v>
      </c>
      <c r="W391" s="63">
        <v>44562</v>
      </c>
      <c r="X391" s="63">
        <v>44815</v>
      </c>
      <c r="Y391" s="63">
        <v>45101</v>
      </c>
      <c r="Z391" s="63">
        <v>45169</v>
      </c>
      <c r="AA391" s="22" t="s">
        <v>1109</v>
      </c>
      <c r="AB391" s="23"/>
      <c r="AC391" s="23" t="s">
        <v>731</v>
      </c>
      <c r="AD391" s="23" t="s">
        <v>731</v>
      </c>
      <c r="AE391" s="23"/>
      <c r="AF391" s="23" t="s">
        <v>731</v>
      </c>
      <c r="AG391" s="23" t="s">
        <v>731</v>
      </c>
      <c r="AH391" s="23" t="s">
        <v>731</v>
      </c>
      <c r="AI391" s="23" t="s">
        <v>731</v>
      </c>
      <c r="AJ391" s="23" t="s">
        <v>731</v>
      </c>
      <c r="AK391" s="23"/>
      <c r="AL391" s="23"/>
      <c r="AM391" s="23"/>
      <c r="AN391" s="23"/>
      <c r="AO391" s="23"/>
      <c r="AP391" s="23"/>
      <c r="AQ391" s="23"/>
      <c r="AR391" s="23"/>
      <c r="AS391" s="23"/>
      <c r="AT391" s="23"/>
      <c r="AU391" s="23"/>
      <c r="AV391" s="42"/>
      <c r="AW391" s="18"/>
      <c r="AY391" s="18"/>
      <c r="AZ391" s="51" t="s">
        <v>741</v>
      </c>
      <c r="BB391" s="43">
        <v>2</v>
      </c>
      <c r="BD391" s="41"/>
      <c r="BG391" s="18"/>
      <c r="BH391" s="18">
        <v>7</v>
      </c>
      <c r="BI391" s="18">
        <v>0</v>
      </c>
      <c r="BJ391" s="18">
        <v>0</v>
      </c>
      <c r="BK391" s="18">
        <v>0</v>
      </c>
      <c r="BL391" s="18">
        <v>0</v>
      </c>
      <c r="BM391" s="55">
        <f>SUM(AV391:AX391)+SUM(BC391:BD391)+SUM(BE391:BF391)+BG391</f>
        <v>0</v>
      </c>
      <c r="BN391" s="55"/>
      <c r="BO391" s="55"/>
      <c r="BP391" s="55"/>
      <c r="BQ391" s="55"/>
      <c r="BR391" s="55"/>
      <c r="BS391" s="55"/>
      <c r="BT391" s="55"/>
      <c r="BU391" s="55"/>
      <c r="BV391" s="55"/>
      <c r="BW391" s="55"/>
      <c r="BX391" s="55"/>
      <c r="BY391" s="55"/>
    </row>
    <row r="392" spans="1:77" ht="25.5">
      <c r="B392" s="89">
        <v>386</v>
      </c>
      <c r="C392" s="93">
        <v>209</v>
      </c>
      <c r="D392" s="123">
        <v>22</v>
      </c>
      <c r="E392" s="105">
        <v>0.60277777777777775</v>
      </c>
      <c r="F392" s="105">
        <v>0.6166666666666667</v>
      </c>
      <c r="G392" s="95" t="s">
        <v>393</v>
      </c>
      <c r="H392" s="93" t="s">
        <v>103</v>
      </c>
      <c r="I392" s="96">
        <v>10</v>
      </c>
      <c r="J392" s="97">
        <v>22</v>
      </c>
      <c r="K392" s="131">
        <v>174</v>
      </c>
      <c r="L392" s="109" t="s">
        <v>748</v>
      </c>
      <c r="M392" s="83" t="s">
        <v>790</v>
      </c>
      <c r="N392" s="87">
        <v>23</v>
      </c>
      <c r="O392" s="87" t="s">
        <v>789</v>
      </c>
      <c r="P392" s="87">
        <v>23</v>
      </c>
      <c r="Q392" s="87" t="s">
        <v>831</v>
      </c>
      <c r="R392" s="83">
        <v>17</v>
      </c>
      <c r="S392" s="26">
        <v>2180</v>
      </c>
      <c r="T392" s="26" t="s">
        <v>1456</v>
      </c>
      <c r="U392" s="26">
        <v>2174</v>
      </c>
      <c r="V392" s="26" t="s">
        <v>1501</v>
      </c>
      <c r="W392" s="62">
        <v>44816</v>
      </c>
      <c r="X392" s="62">
        <v>45086</v>
      </c>
      <c r="Y392" s="62"/>
      <c r="Z392" s="62"/>
      <c r="AA392" s="22" t="s">
        <v>1102</v>
      </c>
      <c r="AB392" s="23"/>
      <c r="AC392" s="23"/>
      <c r="AD392" s="23"/>
      <c r="AE392" s="23" t="s">
        <v>731</v>
      </c>
      <c r="AF392" s="23" t="s">
        <v>731</v>
      </c>
      <c r="AG392" s="23" t="s">
        <v>731</v>
      </c>
      <c r="AH392" s="23" t="s">
        <v>731</v>
      </c>
      <c r="AI392" s="23" t="s">
        <v>731</v>
      </c>
      <c r="AJ392" s="23" t="s">
        <v>731</v>
      </c>
      <c r="AK392" s="23"/>
      <c r="AL392" s="23"/>
      <c r="AM392" s="23"/>
      <c r="AN392" s="23"/>
      <c r="AO392" s="23"/>
      <c r="AP392" s="23"/>
      <c r="AQ392" s="23"/>
      <c r="AR392" s="23"/>
      <c r="AS392" s="23"/>
      <c r="AT392" s="23"/>
      <c r="AU392" s="23"/>
      <c r="AV392" s="42">
        <v>27.51</v>
      </c>
      <c r="AW392" s="18"/>
      <c r="AY392" s="42"/>
      <c r="AZ392" s="42"/>
      <c r="BB392" s="45">
        <v>1</v>
      </c>
      <c r="BC392" s="41">
        <f>IF(AND((AV392/I392)&lt;2,BB392=1),(I392*2)-AV392,0)</f>
        <v>0</v>
      </c>
      <c r="BD392" s="41">
        <f>IF(AND((AV392/I392)&lt;3,BB392=2),(I392*3)-AV392,0)</f>
        <v>0</v>
      </c>
      <c r="BG392" s="18"/>
      <c r="BH392" s="18">
        <v>15</v>
      </c>
      <c r="BI392" s="18">
        <v>20</v>
      </c>
      <c r="BJ392" s="18">
        <v>21</v>
      </c>
      <c r="BK392" s="18">
        <v>15</v>
      </c>
      <c r="BL392" s="18">
        <v>17</v>
      </c>
      <c r="BM392" s="55">
        <f>SUM(AV392:AX392)+SUM(BC392:BD392)+SUM(BE392:BF392)+BG392</f>
        <v>27.51</v>
      </c>
      <c r="BN392" s="55"/>
      <c r="BO392" s="55"/>
      <c r="BP392" s="55"/>
      <c r="BQ392" s="55"/>
      <c r="BR392" s="55"/>
      <c r="BS392" s="55"/>
      <c r="BT392" s="55"/>
      <c r="BU392" s="55"/>
      <c r="BV392" s="55"/>
      <c r="BW392" s="55"/>
      <c r="BX392" s="55"/>
      <c r="BY392" s="55"/>
    </row>
    <row r="393" spans="1:77" ht="25.5">
      <c r="A393" s="2" t="s">
        <v>799</v>
      </c>
      <c r="B393" s="89">
        <v>387</v>
      </c>
      <c r="C393" s="124">
        <v>209</v>
      </c>
      <c r="D393" s="124">
        <v>14</v>
      </c>
      <c r="E393" s="130">
        <v>0.77777777777777779</v>
      </c>
      <c r="F393" s="130">
        <v>0.79166666666666663</v>
      </c>
      <c r="G393" s="126" t="s">
        <v>544</v>
      </c>
      <c r="H393" s="93" t="s">
        <v>423</v>
      </c>
      <c r="I393" s="124">
        <v>9</v>
      </c>
      <c r="J393" s="127">
        <v>22</v>
      </c>
      <c r="K393" s="98">
        <v>67</v>
      </c>
      <c r="L393" s="99" t="s">
        <v>748</v>
      </c>
      <c r="M393" s="83" t="s">
        <v>789</v>
      </c>
      <c r="N393" s="87">
        <v>23</v>
      </c>
      <c r="O393" s="87" t="s">
        <v>790</v>
      </c>
      <c r="P393" s="87">
        <v>23</v>
      </c>
      <c r="Q393" s="87"/>
      <c r="R393" s="87"/>
      <c r="S393" s="26">
        <v>2180</v>
      </c>
      <c r="T393" s="26" t="s">
        <v>1456</v>
      </c>
      <c r="U393" s="26">
        <v>2174</v>
      </c>
      <c r="V393" s="26" t="s">
        <v>1501</v>
      </c>
      <c r="W393" s="63">
        <v>44562</v>
      </c>
      <c r="X393" s="63">
        <v>44815</v>
      </c>
      <c r="Y393" s="63">
        <v>45101</v>
      </c>
      <c r="Z393" s="63">
        <v>45169</v>
      </c>
      <c r="AA393" s="23" t="s">
        <v>1107</v>
      </c>
      <c r="AB393" s="23"/>
      <c r="AC393" s="23" t="s">
        <v>731</v>
      </c>
      <c r="AD393" s="23" t="s">
        <v>731</v>
      </c>
      <c r="AE393" s="23"/>
      <c r="AF393" s="23" t="s">
        <v>731</v>
      </c>
      <c r="AG393" s="23" t="s">
        <v>731</v>
      </c>
      <c r="AH393" s="23" t="s">
        <v>731</v>
      </c>
      <c r="AI393" s="23" t="s">
        <v>731</v>
      </c>
      <c r="AJ393" s="23" t="s">
        <v>731</v>
      </c>
      <c r="AK393" s="23" t="s">
        <v>731</v>
      </c>
      <c r="AL393" s="23"/>
      <c r="AM393" s="23"/>
      <c r="AN393" s="23"/>
      <c r="AO393" s="23"/>
      <c r="AP393" s="23"/>
      <c r="AQ393" s="23"/>
      <c r="AR393" s="23"/>
      <c r="AS393" s="23"/>
      <c r="AT393" s="23"/>
      <c r="AU393" s="23"/>
      <c r="AV393" s="42">
        <v>21.6</v>
      </c>
      <c r="AW393" s="18"/>
      <c r="AY393" s="42"/>
      <c r="AZ393" s="42"/>
      <c r="BB393" s="45">
        <v>1</v>
      </c>
      <c r="BC393" s="41">
        <f>IF(AND((AV393/I393)&lt;2,BB393=1),(I393*2)-AV393,0)</f>
        <v>0</v>
      </c>
      <c r="BD393" s="41">
        <f>IF(AND((AV393/I393)&lt;3,BB393=2),(I393*3)-AV393,0)</f>
        <v>0</v>
      </c>
      <c r="BG393" s="18"/>
      <c r="BH393" s="18">
        <v>9</v>
      </c>
      <c r="BI393" s="18">
        <v>0</v>
      </c>
      <c r="BJ393" s="18">
        <v>0</v>
      </c>
      <c r="BK393" s="18">
        <v>0</v>
      </c>
      <c r="BL393" s="18">
        <v>0</v>
      </c>
      <c r="BM393" s="55">
        <f>SUM(AV393:AX393)+SUM(BC393:BD393)+SUM(BE393:BF393)+BG393</f>
        <v>21.6</v>
      </c>
      <c r="BN393" s="55"/>
      <c r="BO393" s="55"/>
      <c r="BP393" s="55"/>
      <c r="BQ393" s="55"/>
      <c r="BR393" s="55"/>
      <c r="BS393" s="55"/>
      <c r="BT393" s="55"/>
      <c r="BU393" s="55"/>
      <c r="BV393" s="55"/>
      <c r="BW393" s="55"/>
      <c r="BX393" s="55"/>
      <c r="BY393" s="55"/>
    </row>
    <row r="394" spans="1:77" ht="25.5">
      <c r="A394" s="2" t="s">
        <v>799</v>
      </c>
      <c r="B394" s="89">
        <v>388</v>
      </c>
      <c r="C394" s="124">
        <v>210</v>
      </c>
      <c r="D394" s="124">
        <v>55</v>
      </c>
      <c r="E394" s="130">
        <v>0.2902777777777778</v>
      </c>
      <c r="F394" s="130">
        <v>0.31180555555555556</v>
      </c>
      <c r="G394" s="126" t="s">
        <v>578</v>
      </c>
      <c r="H394" s="93" t="s">
        <v>508</v>
      </c>
      <c r="I394" s="124">
        <v>11</v>
      </c>
      <c r="J394" s="127">
        <v>50</v>
      </c>
      <c r="K394" s="131">
        <v>12</v>
      </c>
      <c r="L394" s="99" t="s">
        <v>741</v>
      </c>
      <c r="M394" s="87" t="s">
        <v>970</v>
      </c>
      <c r="N394" s="87">
        <v>54</v>
      </c>
      <c r="O394" s="87" t="s">
        <v>797</v>
      </c>
      <c r="P394" s="87">
        <v>45</v>
      </c>
      <c r="Q394" s="87" t="s">
        <v>798</v>
      </c>
      <c r="R394" s="85">
        <v>28</v>
      </c>
      <c r="S394" s="26">
        <v>2208</v>
      </c>
      <c r="T394" s="26" t="s">
        <v>1502</v>
      </c>
      <c r="U394" s="26">
        <v>2180</v>
      </c>
      <c r="V394" s="26" t="s">
        <v>1456</v>
      </c>
      <c r="W394" s="63">
        <v>44562</v>
      </c>
      <c r="X394" s="63">
        <v>44815</v>
      </c>
      <c r="Y394" s="63">
        <v>45101</v>
      </c>
      <c r="Z394" s="63">
        <v>45169</v>
      </c>
      <c r="AA394" s="22" t="s">
        <v>1119</v>
      </c>
      <c r="AB394" s="23"/>
      <c r="AC394" s="23" t="s">
        <v>731</v>
      </c>
      <c r="AD394" s="23" t="s">
        <v>731</v>
      </c>
      <c r="AE394" s="23"/>
      <c r="AF394" s="23"/>
      <c r="AG394" s="23"/>
      <c r="AH394" s="23"/>
      <c r="AI394" s="23"/>
      <c r="AJ394" s="23"/>
      <c r="AK394" s="23" t="s">
        <v>731</v>
      </c>
      <c r="AL394" s="23"/>
      <c r="AM394" s="23"/>
      <c r="AN394" s="23"/>
      <c r="AO394" s="23"/>
      <c r="AP394" s="23"/>
      <c r="AQ394" s="23"/>
      <c r="AR394" s="23"/>
      <c r="AS394" s="23"/>
      <c r="AT394" s="23"/>
      <c r="AU394" s="23"/>
      <c r="AV394" s="42"/>
      <c r="AW394" s="18"/>
      <c r="AY394" s="18"/>
      <c r="AZ394" s="51" t="s">
        <v>741</v>
      </c>
      <c r="BB394" s="43">
        <v>2</v>
      </c>
      <c r="BD394" s="41"/>
      <c r="BH394" s="18">
        <v>2</v>
      </c>
      <c r="BI394" s="18">
        <v>0</v>
      </c>
      <c r="BJ394" s="18">
        <v>0</v>
      </c>
      <c r="BK394" s="18">
        <v>0</v>
      </c>
      <c r="BL394" s="18">
        <v>0</v>
      </c>
      <c r="BM394" s="55">
        <f>SUM(AV394:AX394)+SUM(BC394:BD394)+SUM(BE394:BF394)+BG394</f>
        <v>0</v>
      </c>
      <c r="BN394" s="55"/>
      <c r="BO394" s="55"/>
      <c r="BP394" s="55"/>
      <c r="BQ394" s="55"/>
      <c r="BR394" s="55"/>
      <c r="BS394" s="55"/>
      <c r="BT394" s="55"/>
      <c r="BU394" s="55"/>
      <c r="BV394" s="55"/>
      <c r="BW394" s="55"/>
      <c r="BX394" s="55"/>
      <c r="BY394" s="55"/>
    </row>
    <row r="395" spans="1:77" ht="25.5">
      <c r="B395" s="89">
        <v>389</v>
      </c>
      <c r="C395" s="93">
        <v>210</v>
      </c>
      <c r="D395" s="95">
        <v>55</v>
      </c>
      <c r="E395" s="94">
        <v>0.30486111111111108</v>
      </c>
      <c r="F395" s="94">
        <v>0.3263888888888889</v>
      </c>
      <c r="G395" s="95" t="s">
        <v>392</v>
      </c>
      <c r="H395" s="93" t="s">
        <v>103</v>
      </c>
      <c r="I395" s="96">
        <v>19</v>
      </c>
      <c r="J395" s="97">
        <v>50</v>
      </c>
      <c r="K395" s="131">
        <v>174</v>
      </c>
      <c r="L395" s="109" t="s">
        <v>748</v>
      </c>
      <c r="M395" s="83" t="s">
        <v>833</v>
      </c>
      <c r="N395" s="83">
        <v>57</v>
      </c>
      <c r="O395" s="193" t="s">
        <v>2005</v>
      </c>
      <c r="P395" s="193">
        <v>58</v>
      </c>
      <c r="Q395" s="152" t="s">
        <v>2006</v>
      </c>
      <c r="R395" s="152">
        <v>37</v>
      </c>
      <c r="S395" s="26">
        <v>2197</v>
      </c>
      <c r="T395" s="26" t="s">
        <v>1503</v>
      </c>
      <c r="U395" s="26">
        <v>2290</v>
      </c>
      <c r="V395" s="26" t="s">
        <v>1457</v>
      </c>
      <c r="W395" s="62">
        <v>44816</v>
      </c>
      <c r="X395" s="62">
        <v>45086</v>
      </c>
      <c r="Y395" s="62"/>
      <c r="Z395" s="62"/>
      <c r="AA395" s="22" t="s">
        <v>1102</v>
      </c>
      <c r="AB395" s="23"/>
      <c r="AC395" s="23"/>
      <c r="AD395" s="23"/>
      <c r="AE395" s="23" t="s">
        <v>731</v>
      </c>
      <c r="AF395" s="23" t="s">
        <v>731</v>
      </c>
      <c r="AG395" s="23" t="s">
        <v>731</v>
      </c>
      <c r="AH395" s="23" t="s">
        <v>731</v>
      </c>
      <c r="AI395" s="23" t="s">
        <v>731</v>
      </c>
      <c r="AJ395" s="23" t="s">
        <v>731</v>
      </c>
      <c r="AK395" s="23"/>
      <c r="AL395" s="23"/>
      <c r="AM395" s="23"/>
      <c r="AN395" s="23"/>
      <c r="AO395" s="23"/>
      <c r="AP395" s="23"/>
      <c r="AQ395" s="23"/>
      <c r="AR395" s="23"/>
      <c r="AS395" s="23"/>
      <c r="AT395" s="23"/>
      <c r="AU395" s="23"/>
      <c r="AV395" s="42">
        <v>162.84</v>
      </c>
      <c r="AW395" s="18"/>
      <c r="AY395" s="42"/>
      <c r="AZ395" s="42"/>
      <c r="BB395" s="43">
        <v>2</v>
      </c>
      <c r="BC395" s="41">
        <f>IF(AND((AV395/I395)&lt;2,BB395=1),(I395*2)-AV395,0)</f>
        <v>0</v>
      </c>
      <c r="BD395" s="41">
        <f>IF(AND((AV395/I395)&lt;3,BB395=2),(I395*3)-AV395,0)</f>
        <v>0</v>
      </c>
      <c r="BG395" s="18"/>
      <c r="BH395" s="18">
        <v>15</v>
      </c>
      <c r="BI395" s="18">
        <v>20</v>
      </c>
      <c r="BJ395" s="18">
        <v>21</v>
      </c>
      <c r="BK395" s="18">
        <v>15</v>
      </c>
      <c r="BL395" s="18">
        <v>17</v>
      </c>
      <c r="BM395" s="55">
        <f>SUM(AV395:AX395)+SUM(BC395:BD395)+SUM(BE395:BF395)+BG395</f>
        <v>162.84</v>
      </c>
      <c r="BN395" s="55"/>
      <c r="BO395" s="55"/>
      <c r="BP395" s="55"/>
      <c r="BQ395" s="55"/>
      <c r="BR395" s="55"/>
      <c r="BS395" s="55"/>
      <c r="BT395" s="55"/>
      <c r="BU395" s="55"/>
      <c r="BV395" s="55"/>
      <c r="BW395" s="55"/>
      <c r="BX395" s="55"/>
      <c r="BY395" s="55"/>
    </row>
    <row r="396" spans="1:77" ht="25.5">
      <c r="B396" s="89">
        <v>390</v>
      </c>
      <c r="C396" s="93">
        <v>210</v>
      </c>
      <c r="D396" s="95">
        <v>245</v>
      </c>
      <c r="E396" s="105">
        <v>0.30902777777777779</v>
      </c>
      <c r="F396" s="105">
        <v>0.31666666666666665</v>
      </c>
      <c r="G396" s="95" t="s">
        <v>391</v>
      </c>
      <c r="H396" s="93" t="s">
        <v>103</v>
      </c>
      <c r="I396" s="96">
        <v>5</v>
      </c>
      <c r="J396" s="97">
        <v>22</v>
      </c>
      <c r="K396" s="98">
        <v>174</v>
      </c>
      <c r="L396" s="109" t="s">
        <v>748</v>
      </c>
      <c r="M396" s="83" t="s">
        <v>790</v>
      </c>
      <c r="N396" s="87">
        <v>23</v>
      </c>
      <c r="O396" s="87" t="s">
        <v>789</v>
      </c>
      <c r="P396" s="87" t="s">
        <v>269</v>
      </c>
      <c r="Q396" s="87" t="s">
        <v>831</v>
      </c>
      <c r="R396" s="83">
        <v>17</v>
      </c>
      <c r="S396" s="26">
        <v>2198</v>
      </c>
      <c r="T396" s="26" t="s">
        <v>1504</v>
      </c>
      <c r="U396" s="26">
        <v>2180</v>
      </c>
      <c r="V396" s="26" t="s">
        <v>1456</v>
      </c>
      <c r="W396" s="62">
        <v>44816</v>
      </c>
      <c r="X396" s="62">
        <v>45086</v>
      </c>
      <c r="Y396" s="62"/>
      <c r="Z396" s="62"/>
      <c r="AA396" s="22" t="s">
        <v>1102</v>
      </c>
      <c r="AB396" s="23"/>
      <c r="AC396" s="23"/>
      <c r="AD396" s="23"/>
      <c r="AE396" s="23" t="s">
        <v>731</v>
      </c>
      <c r="AF396" s="23" t="s">
        <v>731</v>
      </c>
      <c r="AG396" s="23" t="s">
        <v>731</v>
      </c>
      <c r="AH396" s="23" t="s">
        <v>731</v>
      </c>
      <c r="AI396" s="23" t="s">
        <v>731</v>
      </c>
      <c r="AJ396" s="23" t="s">
        <v>731</v>
      </c>
      <c r="AK396" s="23"/>
      <c r="AL396" s="23"/>
      <c r="AM396" s="23"/>
      <c r="AN396" s="23"/>
      <c r="AO396" s="23"/>
      <c r="AP396" s="23"/>
      <c r="AQ396" s="23"/>
      <c r="AR396" s="23"/>
      <c r="AS396" s="23"/>
      <c r="AT396" s="23"/>
      <c r="AU396" s="23"/>
      <c r="AV396" s="42">
        <v>35.479999999999997</v>
      </c>
      <c r="AW396" s="18"/>
      <c r="AY396" s="42"/>
      <c r="AZ396" s="42"/>
      <c r="BB396" s="45">
        <v>1</v>
      </c>
      <c r="BC396" s="41">
        <f>IF(AND((AV396/I396)&lt;2,BB396=1),(I396*2)-AV396,0)</f>
        <v>0</v>
      </c>
      <c r="BD396" s="41">
        <f>IF(AND((AV396/I396)&lt;3,BB396=2),(I396*3)-AV396,0)</f>
        <v>0</v>
      </c>
      <c r="BG396" s="18"/>
      <c r="BH396" s="18">
        <v>15</v>
      </c>
      <c r="BI396" s="18">
        <v>20</v>
      </c>
      <c r="BJ396" s="18">
        <v>21</v>
      </c>
      <c r="BK396" s="18">
        <v>15</v>
      </c>
      <c r="BL396" s="18">
        <v>17</v>
      </c>
      <c r="BM396" s="55">
        <f>SUM(AV396:AX396)+SUM(BC396:BD396)+SUM(BE396:BF396)+BG396</f>
        <v>35.479999999999997</v>
      </c>
      <c r="BN396" s="55"/>
      <c r="BO396" s="55"/>
      <c r="BP396" s="55"/>
      <c r="BQ396" s="55"/>
      <c r="BR396" s="55"/>
      <c r="BS396" s="55"/>
      <c r="BT396" s="55"/>
      <c r="BU396" s="55"/>
      <c r="BV396" s="55"/>
      <c r="BW396" s="55"/>
      <c r="BX396" s="55"/>
      <c r="BY396" s="55"/>
    </row>
    <row r="397" spans="1:77" ht="45">
      <c r="B397" s="89">
        <v>391</v>
      </c>
      <c r="C397" s="93">
        <v>210</v>
      </c>
      <c r="D397" s="93">
        <v>66</v>
      </c>
      <c r="E397" s="94">
        <v>0.63541666666666663</v>
      </c>
      <c r="F397" s="94">
        <v>0.64027777777777783</v>
      </c>
      <c r="G397" s="93" t="s">
        <v>680</v>
      </c>
      <c r="H397" s="93" t="s">
        <v>103</v>
      </c>
      <c r="I397" s="93">
        <v>5</v>
      </c>
      <c r="J397" s="97" t="s">
        <v>99</v>
      </c>
      <c r="K397" s="98">
        <v>174</v>
      </c>
      <c r="L397" s="109" t="s">
        <v>749</v>
      </c>
      <c r="M397" s="87" t="s">
        <v>869</v>
      </c>
      <c r="N397" s="87">
        <v>25</v>
      </c>
      <c r="O397" s="87" t="s">
        <v>870</v>
      </c>
      <c r="P397" s="87">
        <v>23</v>
      </c>
      <c r="R397" s="87"/>
      <c r="S397" s="26">
        <v>2180</v>
      </c>
      <c r="T397" s="26" t="s">
        <v>1456</v>
      </c>
      <c r="U397" s="26">
        <v>2225</v>
      </c>
      <c r="V397" s="26" t="s">
        <v>1505</v>
      </c>
      <c r="W397" s="62">
        <v>44816</v>
      </c>
      <c r="X397" s="62">
        <v>45086</v>
      </c>
      <c r="Y397" s="62"/>
      <c r="Z397" s="62"/>
      <c r="AA397" s="22" t="s">
        <v>1102</v>
      </c>
      <c r="AB397" s="23"/>
      <c r="AC397" s="23"/>
      <c r="AD397" s="23"/>
      <c r="AE397" s="23" t="s">
        <v>731</v>
      </c>
      <c r="AF397" s="23" t="s">
        <v>731</v>
      </c>
      <c r="AG397" s="23" t="s">
        <v>731</v>
      </c>
      <c r="AH397" s="23" t="s">
        <v>731</v>
      </c>
      <c r="AI397" s="23" t="s">
        <v>731</v>
      </c>
      <c r="AJ397" s="23" t="s">
        <v>731</v>
      </c>
      <c r="AK397" s="23"/>
      <c r="AL397" s="23"/>
      <c r="AM397" s="23"/>
      <c r="AN397" s="23"/>
      <c r="AO397" s="23"/>
      <c r="AP397" s="23"/>
      <c r="AQ397" s="23"/>
      <c r="AR397" s="23"/>
      <c r="AS397" s="23"/>
      <c r="AT397" s="23"/>
      <c r="AU397" s="23"/>
      <c r="AV397" s="42">
        <f>9.6+5.4</f>
        <v>15</v>
      </c>
      <c r="AW397" s="18"/>
      <c r="AY397" s="42"/>
      <c r="AZ397" s="42"/>
      <c r="BB397" s="45">
        <v>1</v>
      </c>
      <c r="BC397" s="41">
        <f>IF(AND((AV397/I397)&lt;2,BB397=1),(I397*2)-AV397,0)</f>
        <v>0</v>
      </c>
      <c r="BD397" s="41">
        <f>IF(AND((AV397/I397)&lt;3,BB397=2),(I397*3)-AV397,0)</f>
        <v>0</v>
      </c>
      <c r="BG397" s="18"/>
      <c r="BH397" s="18">
        <v>15</v>
      </c>
      <c r="BI397" s="18">
        <v>20</v>
      </c>
      <c r="BJ397" s="18">
        <v>21</v>
      </c>
      <c r="BK397" s="18">
        <v>15</v>
      </c>
      <c r="BL397" s="18">
        <v>17</v>
      </c>
      <c r="BM397" s="55">
        <f>SUM(AV397:AX397)+SUM(BC397:BD397)+SUM(BE397:BF397)+BG397</f>
        <v>15</v>
      </c>
      <c r="BN397" s="55"/>
      <c r="BO397" s="55"/>
      <c r="BP397" s="55"/>
      <c r="BQ397" s="55"/>
      <c r="BR397" s="55"/>
      <c r="BS397" s="55"/>
      <c r="BT397" s="55"/>
      <c r="BU397" s="55"/>
      <c r="BV397" s="55"/>
      <c r="BW397" s="55"/>
      <c r="BX397" s="55"/>
      <c r="BY397" s="55"/>
    </row>
    <row r="398" spans="1:77" ht="25.5">
      <c r="B398" s="89">
        <v>392</v>
      </c>
      <c r="C398" s="93">
        <v>210</v>
      </c>
      <c r="D398" s="95">
        <v>430</v>
      </c>
      <c r="E398" s="94">
        <v>0.64930555555555558</v>
      </c>
      <c r="F398" s="94">
        <v>0.65694444444444444</v>
      </c>
      <c r="G398" s="93" t="s">
        <v>556</v>
      </c>
      <c r="H398" s="95" t="s">
        <v>557</v>
      </c>
      <c r="I398" s="96">
        <v>5</v>
      </c>
      <c r="J398" s="97">
        <v>22</v>
      </c>
      <c r="K398" s="98">
        <f>33+36+36</f>
        <v>105</v>
      </c>
      <c r="L398" s="109" t="s">
        <v>748</v>
      </c>
      <c r="M398" s="83" t="s">
        <v>831</v>
      </c>
      <c r="N398" s="87">
        <v>17</v>
      </c>
      <c r="O398" s="87" t="s">
        <v>790</v>
      </c>
      <c r="P398" s="87">
        <v>23</v>
      </c>
      <c r="Q398" s="87" t="s">
        <v>789</v>
      </c>
      <c r="R398" s="83" t="s">
        <v>269</v>
      </c>
      <c r="S398" s="26">
        <v>2180</v>
      </c>
      <c r="T398" s="26" t="s">
        <v>1456</v>
      </c>
      <c r="U398" s="26">
        <v>2198</v>
      </c>
      <c r="V398" s="26" t="s">
        <v>1504</v>
      </c>
      <c r="W398" s="62">
        <v>44816</v>
      </c>
      <c r="X398" s="62">
        <v>45086</v>
      </c>
      <c r="Y398" s="62"/>
      <c r="Z398" s="62"/>
      <c r="AA398" s="26" t="s">
        <v>1131</v>
      </c>
      <c r="AB398" s="23"/>
      <c r="AC398" s="23"/>
      <c r="AD398" s="23"/>
      <c r="AE398" s="23" t="s">
        <v>731</v>
      </c>
      <c r="AF398" s="23" t="s">
        <v>731</v>
      </c>
      <c r="AG398" s="23"/>
      <c r="AH398" s="23" t="s">
        <v>731</v>
      </c>
      <c r="AI398" s="23"/>
      <c r="AJ398" s="23" t="s">
        <v>731</v>
      </c>
      <c r="AK398" s="23"/>
      <c r="AL398" s="23"/>
      <c r="AM398" s="23"/>
      <c r="AN398" s="23"/>
      <c r="AO398" s="23"/>
      <c r="AP398" s="23"/>
      <c r="AQ398" s="23"/>
      <c r="AR398" s="23"/>
      <c r="AS398" s="23"/>
      <c r="AT398" s="23"/>
      <c r="AU398" s="23"/>
      <c r="AV398" s="42">
        <v>35.479999999999997</v>
      </c>
      <c r="AW398" s="18"/>
      <c r="AY398" s="42"/>
      <c r="AZ398" s="42"/>
      <c r="BB398" s="45">
        <v>1</v>
      </c>
      <c r="BC398" s="41">
        <f>IF(AND((AV398/I398)&lt;2,BB398=1),(I398*2)-AV398,0)</f>
        <v>0</v>
      </c>
      <c r="BD398" s="41">
        <f>IF(AND((AV398/I398)&lt;3,BB398=2),(I398*3)-AV398,0)</f>
        <v>0</v>
      </c>
      <c r="BG398" s="18"/>
      <c r="BH398" s="18">
        <v>9</v>
      </c>
      <c r="BI398" s="18">
        <v>12</v>
      </c>
      <c r="BJ398" s="18">
        <v>13</v>
      </c>
      <c r="BK398" s="18">
        <v>9</v>
      </c>
      <c r="BL398" s="18">
        <v>10</v>
      </c>
      <c r="BM398" s="55">
        <f>SUM(AV398:AX398)+SUM(BC398:BD398)+SUM(BE398:BF398)+BG398</f>
        <v>35.479999999999997</v>
      </c>
      <c r="BN398" s="55"/>
      <c r="BO398" s="55"/>
      <c r="BP398" s="55"/>
      <c r="BQ398" s="55"/>
      <c r="BR398" s="55"/>
      <c r="BS398" s="55"/>
      <c r="BT398" s="55"/>
      <c r="BU398" s="55"/>
      <c r="BV398" s="55"/>
      <c r="BW398" s="55"/>
      <c r="BX398" s="55"/>
      <c r="BY398" s="55"/>
    </row>
    <row r="399" spans="1:77" ht="25.5">
      <c r="B399" s="89">
        <v>393</v>
      </c>
      <c r="C399" s="93">
        <v>210</v>
      </c>
      <c r="D399" s="97">
        <v>458</v>
      </c>
      <c r="E399" s="105">
        <v>0.6875</v>
      </c>
      <c r="F399" s="105">
        <v>0.70763888888888893</v>
      </c>
      <c r="G399" s="93" t="s">
        <v>277</v>
      </c>
      <c r="H399" s="93" t="s">
        <v>421</v>
      </c>
      <c r="I399" s="96">
        <v>11</v>
      </c>
      <c r="J399" s="97">
        <v>44</v>
      </c>
      <c r="K399" s="98">
        <f>33+34+34</f>
        <v>101</v>
      </c>
      <c r="L399" s="109" t="s">
        <v>741</v>
      </c>
      <c r="M399" s="87" t="s">
        <v>969</v>
      </c>
      <c r="N399" s="87">
        <v>29</v>
      </c>
      <c r="O399" s="87" t="s">
        <v>798</v>
      </c>
      <c r="P399" s="87">
        <v>29</v>
      </c>
      <c r="Q399" s="87" t="s">
        <v>972</v>
      </c>
      <c r="R399" s="85">
        <v>25</v>
      </c>
      <c r="S399" s="26">
        <v>2180</v>
      </c>
      <c r="T399" s="26" t="s">
        <v>1456</v>
      </c>
      <c r="U399" s="26">
        <v>2208</v>
      </c>
      <c r="V399" s="26" t="s">
        <v>1502</v>
      </c>
      <c r="W399" s="62">
        <v>44816</v>
      </c>
      <c r="X399" s="62">
        <v>45086</v>
      </c>
      <c r="Y399" s="62"/>
      <c r="Z399" s="62"/>
      <c r="AA399" s="207" t="s">
        <v>2036</v>
      </c>
      <c r="AB399" s="23"/>
      <c r="AC399" s="23"/>
      <c r="AD399" s="23"/>
      <c r="AE399" s="23" t="s">
        <v>731</v>
      </c>
      <c r="AF399" s="23" t="s">
        <v>731</v>
      </c>
      <c r="AG399" s="23" t="s">
        <v>731</v>
      </c>
      <c r="AH399" s="23"/>
      <c r="AI399" s="23" t="s">
        <v>731</v>
      </c>
      <c r="AJ399" s="23"/>
      <c r="AK399" s="23"/>
      <c r="AL399" s="23"/>
      <c r="AM399" s="23"/>
      <c r="AN399" s="23"/>
      <c r="AO399" s="23"/>
      <c r="AP399" s="23"/>
      <c r="AQ399" s="23"/>
      <c r="AR399" s="23"/>
      <c r="AS399" s="23"/>
      <c r="AT399" s="23"/>
      <c r="AU399" s="23"/>
      <c r="AV399" s="42">
        <v>64.67</v>
      </c>
      <c r="AW399" s="18"/>
      <c r="AY399" s="42"/>
      <c r="AZ399" s="42"/>
      <c r="BB399" s="43">
        <v>2</v>
      </c>
      <c r="BC399" s="41">
        <f>IF(AND((AV399/I399)&lt;2,BB399=1),(I399*2)-AV399,0)</f>
        <v>0</v>
      </c>
      <c r="BD399" s="41">
        <f>IF(AND((AV399/I399)&lt;3,BB399=2),(I399*3)-AV399,0)</f>
        <v>0</v>
      </c>
      <c r="BG399" s="18"/>
      <c r="BH399" s="212">
        <v>12</v>
      </c>
      <c r="BI399" s="212">
        <v>16</v>
      </c>
      <c r="BJ399" s="212">
        <v>17</v>
      </c>
      <c r="BK399" s="212">
        <v>12</v>
      </c>
      <c r="BL399" s="211">
        <v>-4</v>
      </c>
      <c r="BM399" s="55">
        <f>SUM(AV399:AX399)+SUM(BC399:BD399)+SUM(BE399:BF399)+BG399</f>
        <v>64.67</v>
      </c>
      <c r="BN399" s="55"/>
      <c r="BO399" s="55"/>
      <c r="BP399" s="55"/>
      <c r="BQ399" s="55"/>
      <c r="BR399" s="55"/>
      <c r="BS399" s="55"/>
      <c r="BT399" s="55"/>
      <c r="BU399" s="55"/>
      <c r="BV399" s="55"/>
      <c r="BW399" s="55"/>
      <c r="BX399" s="55"/>
      <c r="BY399" s="55"/>
    </row>
    <row r="400" spans="1:77" ht="25.5">
      <c r="A400" s="2" t="s">
        <v>799</v>
      </c>
      <c r="B400" s="89">
        <v>394</v>
      </c>
      <c r="C400" s="124">
        <v>211</v>
      </c>
      <c r="D400" s="124">
        <v>16</v>
      </c>
      <c r="E400" s="130">
        <v>0.26111111111111113</v>
      </c>
      <c r="F400" s="130">
        <v>0.27291666666666664</v>
      </c>
      <c r="G400" s="126" t="s">
        <v>540</v>
      </c>
      <c r="H400" s="93" t="s">
        <v>423</v>
      </c>
      <c r="I400" s="124">
        <v>7.5</v>
      </c>
      <c r="J400" s="127">
        <v>50</v>
      </c>
      <c r="K400" s="98">
        <v>67</v>
      </c>
      <c r="L400" s="99" t="s">
        <v>741</v>
      </c>
      <c r="M400" s="87" t="s">
        <v>970</v>
      </c>
      <c r="N400" s="87">
        <v>54</v>
      </c>
      <c r="O400" s="87" t="s">
        <v>797</v>
      </c>
      <c r="P400" s="87">
        <v>45</v>
      </c>
      <c r="Q400" s="87" t="s">
        <v>798</v>
      </c>
      <c r="R400" s="85">
        <v>28</v>
      </c>
      <c r="S400" s="26" t="s">
        <v>1506</v>
      </c>
      <c r="T400" s="26" t="s">
        <v>1507</v>
      </c>
      <c r="U400" s="26">
        <v>2180</v>
      </c>
      <c r="V400" s="26" t="s">
        <v>1456</v>
      </c>
      <c r="W400" s="63">
        <v>44562</v>
      </c>
      <c r="X400" s="63">
        <v>44815</v>
      </c>
      <c r="Y400" s="63">
        <v>45101</v>
      </c>
      <c r="Z400" s="63">
        <v>45169</v>
      </c>
      <c r="AA400" s="23" t="s">
        <v>1107</v>
      </c>
      <c r="AB400" s="23"/>
      <c r="AC400" s="23" t="s">
        <v>731</v>
      </c>
      <c r="AD400" s="23" t="s">
        <v>731</v>
      </c>
      <c r="AE400" s="23"/>
      <c r="AF400" s="23" t="s">
        <v>731</v>
      </c>
      <c r="AG400" s="23" t="s">
        <v>731</v>
      </c>
      <c r="AH400" s="23" t="s">
        <v>731</v>
      </c>
      <c r="AI400" s="23" t="s">
        <v>731</v>
      </c>
      <c r="AJ400" s="23" t="s">
        <v>731</v>
      </c>
      <c r="AK400" s="23" t="s">
        <v>731</v>
      </c>
      <c r="AL400" s="23"/>
      <c r="AM400" s="23"/>
      <c r="AN400" s="23"/>
      <c r="AO400" s="23"/>
      <c r="AP400" s="23"/>
      <c r="AQ400" s="23"/>
      <c r="AR400" s="23"/>
      <c r="AS400" s="23"/>
      <c r="AT400" s="23"/>
      <c r="AU400" s="23"/>
      <c r="AV400" s="42"/>
      <c r="AW400" s="18"/>
      <c r="AZ400" s="51" t="s">
        <v>741</v>
      </c>
      <c r="BB400" s="43">
        <v>2</v>
      </c>
      <c r="BD400" s="41"/>
      <c r="BH400" s="18">
        <v>9</v>
      </c>
      <c r="BI400" s="18">
        <v>0</v>
      </c>
      <c r="BJ400" s="18">
        <v>0</v>
      </c>
      <c r="BK400" s="18">
        <v>0</v>
      </c>
      <c r="BL400" s="18">
        <v>0</v>
      </c>
      <c r="BM400" s="55">
        <f>SUM(AV400:AX400)+SUM(BC400:BD400)+SUM(BE400:BF400)+BG400</f>
        <v>0</v>
      </c>
      <c r="BN400" s="55"/>
      <c r="BO400" s="55"/>
      <c r="BP400" s="55"/>
      <c r="BQ400" s="55"/>
      <c r="BR400" s="55"/>
      <c r="BS400" s="55"/>
      <c r="BT400" s="55"/>
      <c r="BU400" s="55"/>
      <c r="BV400" s="55"/>
      <c r="BW400" s="55"/>
      <c r="BX400" s="55"/>
      <c r="BY400" s="55"/>
    </row>
    <row r="401" spans="1:77" ht="45">
      <c r="B401" s="89">
        <v>395</v>
      </c>
      <c r="C401" s="93">
        <v>211</v>
      </c>
      <c r="D401" s="93">
        <v>8</v>
      </c>
      <c r="E401" s="105">
        <v>0.25555555555555559</v>
      </c>
      <c r="F401" s="105">
        <v>0.27291666666666664</v>
      </c>
      <c r="G401" s="106" t="s">
        <v>2079</v>
      </c>
      <c r="H401" s="93" t="s">
        <v>103</v>
      </c>
      <c r="I401" s="93">
        <v>7.7</v>
      </c>
      <c r="J401" s="97" t="s">
        <v>99</v>
      </c>
      <c r="K401" s="131">
        <v>174</v>
      </c>
      <c r="L401" s="109" t="s">
        <v>749</v>
      </c>
      <c r="M401" s="83" t="s">
        <v>870</v>
      </c>
      <c r="N401" s="83">
        <v>23</v>
      </c>
      <c r="O401" s="87" t="s">
        <v>1245</v>
      </c>
      <c r="P401" s="87">
        <v>9</v>
      </c>
      <c r="R401" s="83"/>
      <c r="S401" s="26">
        <v>2186</v>
      </c>
      <c r="T401" s="26" t="s">
        <v>1857</v>
      </c>
      <c r="U401" s="26" t="s">
        <v>1858</v>
      </c>
      <c r="V401" s="26" t="s">
        <v>1859</v>
      </c>
      <c r="W401" s="62">
        <v>44816</v>
      </c>
      <c r="X401" s="62">
        <v>45086</v>
      </c>
      <c r="Y401" s="62"/>
      <c r="Z401" s="62"/>
      <c r="AA401" s="22" t="s">
        <v>1102</v>
      </c>
      <c r="AB401" s="23"/>
      <c r="AC401" s="23"/>
      <c r="AD401" s="23"/>
      <c r="AE401" s="23" t="s">
        <v>731</v>
      </c>
      <c r="AF401" s="23" t="s">
        <v>731</v>
      </c>
      <c r="AG401" s="23" t="s">
        <v>731</v>
      </c>
      <c r="AH401" s="23" t="s">
        <v>731</v>
      </c>
      <c r="AI401" s="23" t="s">
        <v>731</v>
      </c>
      <c r="AJ401" s="23" t="s">
        <v>731</v>
      </c>
      <c r="AK401" s="23"/>
      <c r="AL401" s="23"/>
      <c r="AM401" s="23"/>
      <c r="AN401" s="23"/>
      <c r="AO401" s="23"/>
      <c r="AP401" s="23"/>
      <c r="AQ401" s="23"/>
      <c r="AR401" s="23"/>
      <c r="AS401" s="23"/>
      <c r="AT401" s="23"/>
      <c r="AU401" s="23"/>
      <c r="AV401" s="42">
        <v>20</v>
      </c>
      <c r="AW401" s="18"/>
      <c r="AY401" s="42"/>
      <c r="AZ401" s="42"/>
      <c r="BB401" s="45">
        <v>1</v>
      </c>
      <c r="BC401" s="41">
        <f>IF(AND((AV401/I401)&lt;2,BB401=1),(I401*2)-AV401,0)</f>
        <v>0</v>
      </c>
      <c r="BD401" s="41">
        <f>IF(AND((AV401/I401)&lt;3,BB401=2),(I401*3)-AV401,0)</f>
        <v>0</v>
      </c>
      <c r="BG401" s="41">
        <f>IF((AV401+AW401+AX401)&lt;20,(20-(AV401+AW401+AX401)),0)</f>
        <v>0</v>
      </c>
      <c r="BH401" s="18">
        <v>15</v>
      </c>
      <c r="BI401" s="18">
        <v>20</v>
      </c>
      <c r="BJ401" s="18">
        <v>21</v>
      </c>
      <c r="BK401" s="18">
        <v>15</v>
      </c>
      <c r="BL401" s="18">
        <v>17</v>
      </c>
      <c r="BM401" s="55">
        <f>SUM(AV401:AX401)+SUM(BC401:BD401)+SUM(BE401:BF401)+BG401</f>
        <v>20</v>
      </c>
      <c r="BN401" s="22" t="s">
        <v>1102</v>
      </c>
      <c r="BP401" s="55"/>
      <c r="BQ401" s="55"/>
      <c r="BR401" s="55"/>
      <c r="BS401" s="55"/>
      <c r="BT401" s="55"/>
      <c r="BU401" s="55"/>
      <c r="BV401" s="55"/>
      <c r="BW401" s="18">
        <v>17</v>
      </c>
      <c r="BX401" s="55"/>
      <c r="BY401" s="55">
        <v>10</v>
      </c>
    </row>
    <row r="402" spans="1:77" ht="25.5">
      <c r="B402" s="89">
        <v>396</v>
      </c>
      <c r="C402" s="93">
        <v>211</v>
      </c>
      <c r="D402" s="95">
        <v>373</v>
      </c>
      <c r="E402" s="94">
        <v>0.29444444444444445</v>
      </c>
      <c r="F402" s="105">
        <v>0.29791666666666666</v>
      </c>
      <c r="G402" s="95" t="s">
        <v>369</v>
      </c>
      <c r="H402" s="95" t="s">
        <v>123</v>
      </c>
      <c r="I402" s="96">
        <v>1.5</v>
      </c>
      <c r="J402" s="97">
        <v>8</v>
      </c>
      <c r="K402" s="98">
        <v>34</v>
      </c>
      <c r="L402" s="109" t="s">
        <v>750</v>
      </c>
      <c r="M402" s="87" t="s">
        <v>837</v>
      </c>
      <c r="N402" s="87">
        <v>9</v>
      </c>
      <c r="O402" s="87" t="s">
        <v>838</v>
      </c>
      <c r="P402" s="87">
        <v>23</v>
      </c>
      <c r="Q402" s="87" t="s">
        <v>1224</v>
      </c>
      <c r="R402" s="87">
        <v>7</v>
      </c>
      <c r="S402" s="26">
        <v>2221</v>
      </c>
      <c r="T402" s="26" t="s">
        <v>1512</v>
      </c>
      <c r="U402" s="26">
        <v>2210</v>
      </c>
      <c r="V402" s="26" t="s">
        <v>1513</v>
      </c>
      <c r="W402" s="62">
        <v>44816</v>
      </c>
      <c r="X402" s="62">
        <v>45086</v>
      </c>
      <c r="Y402" s="62"/>
      <c r="Z402" s="62"/>
      <c r="AA402" s="22" t="s">
        <v>1111</v>
      </c>
      <c r="AB402" s="23"/>
      <c r="AC402" s="23"/>
      <c r="AD402" s="23"/>
      <c r="AE402" s="23" t="s">
        <v>731</v>
      </c>
      <c r="AF402" s="23"/>
      <c r="AG402" s="23"/>
      <c r="AH402" s="23"/>
      <c r="AI402" s="23"/>
      <c r="AJ402" s="23"/>
      <c r="AK402" s="23" t="s">
        <v>731</v>
      </c>
      <c r="AL402" s="23"/>
      <c r="AM402" s="23"/>
      <c r="AN402" s="23"/>
      <c r="AO402" s="23"/>
      <c r="AP402" s="23"/>
      <c r="AQ402" s="23"/>
      <c r="AR402" s="23"/>
      <c r="AS402" s="23"/>
      <c r="AT402" s="23"/>
      <c r="AU402" s="23"/>
      <c r="AV402" s="42">
        <v>34.69</v>
      </c>
      <c r="AW402" s="18"/>
      <c r="AY402" s="42"/>
      <c r="AZ402" s="42"/>
      <c r="BB402" s="45">
        <v>1</v>
      </c>
      <c r="BC402" s="41">
        <f>IF(AND((AV402/I402)&lt;2,BB402=1),(I402*2)-AV402,0)</f>
        <v>0</v>
      </c>
      <c r="BD402" s="41">
        <f>IF(AND((AV402/I402)&lt;3,BB402=2),(I402*3)-AV402,0)</f>
        <v>0</v>
      </c>
      <c r="BG402" s="18"/>
      <c r="BH402" s="18">
        <v>2</v>
      </c>
      <c r="BI402" s="18">
        <v>5</v>
      </c>
      <c r="BJ402" s="18">
        <v>4</v>
      </c>
      <c r="BK402" s="18">
        <v>3</v>
      </c>
      <c r="BL402" s="18">
        <v>3</v>
      </c>
      <c r="BM402" s="55">
        <f>SUM(AV402:AX402)+SUM(BC402:BD402)+SUM(BE402:BF402)+BG402</f>
        <v>34.69</v>
      </c>
      <c r="BN402" s="55"/>
      <c r="BO402" s="55"/>
      <c r="BP402" s="55"/>
      <c r="BQ402" s="55"/>
      <c r="BR402" s="55"/>
      <c r="BS402" s="55"/>
      <c r="BT402" s="55"/>
      <c r="BU402" s="55"/>
      <c r="BV402" s="55"/>
      <c r="BW402" s="55"/>
      <c r="BX402" s="55"/>
      <c r="BY402" s="55"/>
    </row>
    <row r="403" spans="1:77" ht="25.5">
      <c r="A403" s="2" t="s">
        <v>800</v>
      </c>
      <c r="B403" s="89">
        <v>397</v>
      </c>
      <c r="C403" s="93">
        <v>211</v>
      </c>
      <c r="D403" s="95"/>
      <c r="E403" s="94">
        <v>0.3611111111111111</v>
      </c>
      <c r="F403" s="94">
        <v>0.40208333333333335</v>
      </c>
      <c r="G403" s="95" t="s">
        <v>613</v>
      </c>
      <c r="H403" s="93" t="s">
        <v>423</v>
      </c>
      <c r="I403" s="96">
        <v>29</v>
      </c>
      <c r="J403" s="97" t="s">
        <v>101</v>
      </c>
      <c r="K403" s="98">
        <v>67</v>
      </c>
      <c r="L403" s="109" t="s">
        <v>748</v>
      </c>
      <c r="M403" s="83" t="s">
        <v>833</v>
      </c>
      <c r="N403" s="83">
        <v>57</v>
      </c>
      <c r="O403" s="83" t="s">
        <v>832</v>
      </c>
      <c r="P403" s="83">
        <v>57</v>
      </c>
      <c r="R403" s="83"/>
      <c r="S403" s="26">
        <v>2180</v>
      </c>
      <c r="T403" s="26" t="s">
        <v>1456</v>
      </c>
      <c r="U403" s="26">
        <v>960</v>
      </c>
      <c r="V403" s="26" t="s">
        <v>1327</v>
      </c>
      <c r="W403" s="63">
        <v>44562</v>
      </c>
      <c r="X403" s="63">
        <v>44815</v>
      </c>
      <c r="Y403" s="63">
        <v>45101</v>
      </c>
      <c r="Z403" s="63">
        <v>45169</v>
      </c>
      <c r="AA403" s="23" t="s">
        <v>1107</v>
      </c>
      <c r="AB403" s="23"/>
      <c r="AC403" s="23" t="s">
        <v>731</v>
      </c>
      <c r="AD403" s="23" t="s">
        <v>731</v>
      </c>
      <c r="AE403" s="23"/>
      <c r="AF403" s="23" t="s">
        <v>731</v>
      </c>
      <c r="AG403" s="23" t="s">
        <v>731</v>
      </c>
      <c r="AH403" s="23" t="s">
        <v>731</v>
      </c>
      <c r="AI403" s="23" t="s">
        <v>731</v>
      </c>
      <c r="AJ403" s="23" t="s">
        <v>731</v>
      </c>
      <c r="AK403" s="23" t="s">
        <v>731</v>
      </c>
      <c r="AL403" s="23"/>
      <c r="AM403" s="23"/>
      <c r="AN403" s="23"/>
      <c r="AO403" s="23"/>
      <c r="AP403" s="23"/>
      <c r="AQ403" s="23"/>
      <c r="AR403" s="23"/>
      <c r="AS403" s="23"/>
      <c r="AT403" s="23"/>
      <c r="AU403" s="23"/>
      <c r="AV403" s="42"/>
      <c r="AW403" s="18"/>
      <c r="AX403" s="41">
        <f>3*I403</f>
        <v>87</v>
      </c>
      <c r="AY403" s="42"/>
      <c r="AZ403" s="42"/>
      <c r="BB403" s="43">
        <v>2</v>
      </c>
      <c r="BC403" s="45"/>
      <c r="BD403" s="50"/>
      <c r="BE403" s="45"/>
      <c r="BF403" s="45"/>
      <c r="BG403" s="18"/>
      <c r="BH403" s="18">
        <v>9</v>
      </c>
      <c r="BI403" s="18">
        <v>0</v>
      </c>
      <c r="BJ403" s="18">
        <v>0</v>
      </c>
      <c r="BK403" s="18">
        <v>0</v>
      </c>
      <c r="BL403" s="18">
        <v>0</v>
      </c>
      <c r="BM403" s="55">
        <f>SUM(AV403:AX403)+SUM(BC403:BD403)+SUM(BE403:BF403)+BG403</f>
        <v>87</v>
      </c>
      <c r="BN403" s="55"/>
      <c r="BO403" s="55"/>
      <c r="BP403" s="55"/>
      <c r="BQ403" s="55"/>
      <c r="BR403" s="55"/>
      <c r="BS403" s="55"/>
      <c r="BT403" s="55"/>
      <c r="BU403" s="55"/>
      <c r="BV403" s="55"/>
      <c r="BW403" s="55"/>
      <c r="BX403" s="55"/>
      <c r="BY403" s="55"/>
    </row>
    <row r="404" spans="1:77" ht="25.5">
      <c r="A404" s="2" t="s">
        <v>800</v>
      </c>
      <c r="B404" s="89">
        <v>398</v>
      </c>
      <c r="C404" s="93">
        <v>211</v>
      </c>
      <c r="D404" s="95"/>
      <c r="E404" s="94">
        <v>0.40625</v>
      </c>
      <c r="F404" s="94">
        <v>0.4465277777777778</v>
      </c>
      <c r="G404" s="95" t="s">
        <v>612</v>
      </c>
      <c r="H404" s="93" t="s">
        <v>423</v>
      </c>
      <c r="I404" s="96">
        <v>29</v>
      </c>
      <c r="J404" s="97" t="s">
        <v>101</v>
      </c>
      <c r="K404" s="131">
        <v>67</v>
      </c>
      <c r="L404" s="109" t="s">
        <v>748</v>
      </c>
      <c r="M404" s="83" t="s">
        <v>833</v>
      </c>
      <c r="N404" s="83">
        <v>57</v>
      </c>
      <c r="O404" s="83" t="s">
        <v>832</v>
      </c>
      <c r="P404" s="83">
        <v>57</v>
      </c>
      <c r="R404" s="83"/>
      <c r="S404" s="26">
        <v>960</v>
      </c>
      <c r="T404" s="26" t="s">
        <v>1327</v>
      </c>
      <c r="U404" s="26">
        <v>2180</v>
      </c>
      <c r="V404" s="26" t="s">
        <v>1456</v>
      </c>
      <c r="W404" s="63">
        <v>44562</v>
      </c>
      <c r="X404" s="63">
        <v>44815</v>
      </c>
      <c r="Y404" s="63">
        <v>45101</v>
      </c>
      <c r="Z404" s="63">
        <v>45169</v>
      </c>
      <c r="AA404" s="23" t="s">
        <v>1107</v>
      </c>
      <c r="AB404" s="23"/>
      <c r="AC404" s="23" t="s">
        <v>731</v>
      </c>
      <c r="AD404" s="23" t="s">
        <v>731</v>
      </c>
      <c r="AE404" s="23"/>
      <c r="AF404" s="23" t="s">
        <v>731</v>
      </c>
      <c r="AG404" s="23" t="s">
        <v>731</v>
      </c>
      <c r="AH404" s="23" t="s">
        <v>731</v>
      </c>
      <c r="AI404" s="23" t="s">
        <v>731</v>
      </c>
      <c r="AJ404" s="23" t="s">
        <v>731</v>
      </c>
      <c r="AK404" s="23" t="s">
        <v>731</v>
      </c>
      <c r="AL404" s="23"/>
      <c r="AM404" s="23"/>
      <c r="AN404" s="23"/>
      <c r="AO404" s="23"/>
      <c r="AP404" s="23"/>
      <c r="AQ404" s="23"/>
      <c r="AR404" s="23"/>
      <c r="AS404" s="23"/>
      <c r="AT404" s="23"/>
      <c r="AU404" s="23"/>
      <c r="AV404" s="42"/>
      <c r="AW404" s="18"/>
      <c r="AX404" s="41">
        <f>3*I404</f>
        <v>87</v>
      </c>
      <c r="AY404" s="42"/>
      <c r="AZ404" s="42"/>
      <c r="BB404" s="43">
        <v>2</v>
      </c>
      <c r="BC404" s="45"/>
      <c r="BD404" s="50"/>
      <c r="BE404" s="45"/>
      <c r="BF404" s="45"/>
      <c r="BG404" s="18"/>
      <c r="BH404" s="18">
        <v>9</v>
      </c>
      <c r="BI404" s="18">
        <v>0</v>
      </c>
      <c r="BJ404" s="18">
        <v>0</v>
      </c>
      <c r="BK404" s="18">
        <v>0</v>
      </c>
      <c r="BL404" s="18">
        <v>0</v>
      </c>
      <c r="BM404" s="55">
        <f>SUM(AV404:AX404)+SUM(BC404:BD404)+SUM(BE404:BF404)+BG404</f>
        <v>87</v>
      </c>
      <c r="BN404" s="55"/>
      <c r="BO404" s="55"/>
      <c r="BP404" s="55"/>
      <c r="BQ404" s="55"/>
      <c r="BR404" s="55"/>
      <c r="BS404" s="55"/>
      <c r="BT404" s="55"/>
      <c r="BU404" s="55"/>
      <c r="BV404" s="55"/>
      <c r="BW404" s="55"/>
      <c r="BX404" s="55"/>
      <c r="BY404" s="55"/>
    </row>
    <row r="405" spans="1:77" ht="25.5">
      <c r="B405" s="89">
        <v>399</v>
      </c>
      <c r="C405" s="93">
        <v>211</v>
      </c>
      <c r="D405" s="95">
        <v>376</v>
      </c>
      <c r="E405" s="94">
        <v>0.54652777777777783</v>
      </c>
      <c r="F405" s="94">
        <v>0.55000000000000004</v>
      </c>
      <c r="G405" s="95" t="s">
        <v>390</v>
      </c>
      <c r="H405" s="93" t="s">
        <v>97</v>
      </c>
      <c r="I405" s="96">
        <v>1.5</v>
      </c>
      <c r="J405" s="97">
        <v>22</v>
      </c>
      <c r="K405" s="98">
        <v>208</v>
      </c>
      <c r="L405" s="109" t="s">
        <v>748</v>
      </c>
      <c r="M405" s="83" t="s">
        <v>790</v>
      </c>
      <c r="N405" s="87">
        <v>23</v>
      </c>
      <c r="O405" s="87" t="s">
        <v>789</v>
      </c>
      <c r="P405" s="87">
        <v>23</v>
      </c>
      <c r="Q405" s="87" t="s">
        <v>831</v>
      </c>
      <c r="R405" s="83">
        <v>17</v>
      </c>
      <c r="S405" s="26">
        <v>2210</v>
      </c>
      <c r="T405" s="26" t="s">
        <v>1513</v>
      </c>
      <c r="U405" s="26">
        <v>2221</v>
      </c>
      <c r="V405" s="26" t="s">
        <v>1512</v>
      </c>
      <c r="W405" s="62">
        <v>44816</v>
      </c>
      <c r="X405" s="62">
        <v>45086</v>
      </c>
      <c r="Y405" s="62"/>
      <c r="Z405" s="62"/>
      <c r="AA405" s="22" t="s">
        <v>1106</v>
      </c>
      <c r="AB405" s="23"/>
      <c r="AC405" s="23"/>
      <c r="AD405" s="23"/>
      <c r="AE405" s="23" t="s">
        <v>731</v>
      </c>
      <c r="AF405" s="23" t="s">
        <v>731</v>
      </c>
      <c r="AG405" s="23" t="s">
        <v>731</v>
      </c>
      <c r="AH405" s="23" t="s">
        <v>731</v>
      </c>
      <c r="AI405" s="23" t="s">
        <v>731</v>
      </c>
      <c r="AJ405" s="23" t="s">
        <v>731</v>
      </c>
      <c r="AK405" s="23" t="s">
        <v>731</v>
      </c>
      <c r="AL405" s="23"/>
      <c r="AM405" s="23"/>
      <c r="AN405" s="23"/>
      <c r="AO405" s="23"/>
      <c r="AP405" s="23"/>
      <c r="AQ405" s="23"/>
      <c r="AR405" s="23"/>
      <c r="AS405" s="23"/>
      <c r="AT405" s="23"/>
      <c r="AU405" s="23"/>
      <c r="AV405" s="41">
        <v>4.5</v>
      </c>
      <c r="AW405" s="18"/>
      <c r="AY405" s="18"/>
      <c r="AZ405" s="18"/>
      <c r="BB405" s="45">
        <v>1</v>
      </c>
      <c r="BC405" s="41">
        <f>IF(AND((AV405/I405)&lt;2,BB405=1),(I405*2)-AV405,0)</f>
        <v>0</v>
      </c>
      <c r="BD405" s="41">
        <f>IF(AND((AV405/I405)&lt;3,BB405=2),(I405*3)-AV405,0)</f>
        <v>0</v>
      </c>
      <c r="BG405" s="18"/>
      <c r="BH405" s="18">
        <v>17</v>
      </c>
      <c r="BI405" s="18">
        <v>25</v>
      </c>
      <c r="BJ405" s="18">
        <v>25</v>
      </c>
      <c r="BK405" s="18">
        <v>18</v>
      </c>
      <c r="BL405" s="18">
        <v>20</v>
      </c>
      <c r="BM405" s="55">
        <f>SUM(AV405:AX405)+SUM(BC405:BD405)+SUM(BE405:BF405)+BG405</f>
        <v>4.5</v>
      </c>
      <c r="BN405" s="55"/>
      <c r="BO405" s="55"/>
      <c r="BP405" s="55"/>
      <c r="BQ405" s="55"/>
      <c r="BR405" s="55"/>
      <c r="BS405" s="55"/>
      <c r="BT405" s="55"/>
      <c r="BU405" s="55"/>
      <c r="BV405" s="55"/>
      <c r="BW405" s="55"/>
      <c r="BX405" s="55"/>
      <c r="BY405" s="55"/>
    </row>
    <row r="406" spans="1:77" ht="25.5">
      <c r="B406" s="89">
        <v>400</v>
      </c>
      <c r="C406" s="93">
        <v>211</v>
      </c>
      <c r="D406" s="95">
        <v>492</v>
      </c>
      <c r="E406" s="94">
        <v>0.56388888888888888</v>
      </c>
      <c r="F406" s="94">
        <v>0.56736111111111109</v>
      </c>
      <c r="G406" s="95" t="s">
        <v>390</v>
      </c>
      <c r="H406" s="95" t="s">
        <v>389</v>
      </c>
      <c r="I406" s="96">
        <v>1.5</v>
      </c>
      <c r="J406" s="97">
        <v>22</v>
      </c>
      <c r="K406" s="98">
        <f>174-34</f>
        <v>140</v>
      </c>
      <c r="L406" s="109" t="s">
        <v>748</v>
      </c>
      <c r="M406" s="83" t="s">
        <v>790</v>
      </c>
      <c r="N406" s="87">
        <v>23</v>
      </c>
      <c r="O406" s="87" t="s">
        <v>789</v>
      </c>
      <c r="P406" s="87">
        <v>23</v>
      </c>
      <c r="Q406" s="87" t="s">
        <v>831</v>
      </c>
      <c r="R406" s="83">
        <v>17</v>
      </c>
      <c r="S406" s="26">
        <v>2210</v>
      </c>
      <c r="T406" s="26" t="s">
        <v>1513</v>
      </c>
      <c r="U406" s="26">
        <v>2221</v>
      </c>
      <c r="V406" s="26" t="s">
        <v>1512</v>
      </c>
      <c r="W406" s="62">
        <v>44816</v>
      </c>
      <c r="X406" s="62">
        <v>45086</v>
      </c>
      <c r="Y406" s="62"/>
      <c r="Z406" s="62"/>
      <c r="AA406" s="26" t="s">
        <v>1132</v>
      </c>
      <c r="AB406" s="23"/>
      <c r="AC406" s="23"/>
      <c r="AD406" s="23"/>
      <c r="AE406" s="23" t="s">
        <v>731</v>
      </c>
      <c r="AF406" s="23" t="s">
        <v>731</v>
      </c>
      <c r="AG406" s="23" t="s">
        <v>731</v>
      </c>
      <c r="AH406" s="23" t="s">
        <v>731</v>
      </c>
      <c r="AI406" s="23"/>
      <c r="AJ406" s="23" t="s">
        <v>731</v>
      </c>
      <c r="AK406" s="23"/>
      <c r="AL406" s="23"/>
      <c r="AM406" s="23"/>
      <c r="AN406" s="23"/>
      <c r="AO406" s="23"/>
      <c r="AP406" s="23"/>
      <c r="AQ406" s="23"/>
      <c r="AR406" s="23"/>
      <c r="AS406" s="23"/>
      <c r="AT406" s="23"/>
      <c r="AU406" s="23"/>
      <c r="AV406" s="42">
        <v>3.96</v>
      </c>
      <c r="AW406" s="18"/>
      <c r="AY406" s="42"/>
      <c r="AZ406" s="42"/>
      <c r="BB406" s="45">
        <v>1</v>
      </c>
      <c r="BC406" s="41">
        <f>IF(AND((AV406/I406)&lt;2,BB406=1),(I406*2)-AV406,0)</f>
        <v>0</v>
      </c>
      <c r="BD406" s="41">
        <f>IF(AND((AV406/I406)&lt;3,BB406=2),(I406*3)-AV406,0)</f>
        <v>0</v>
      </c>
      <c r="BG406" s="18"/>
      <c r="BH406" s="18">
        <v>12</v>
      </c>
      <c r="BI406" s="18">
        <v>16</v>
      </c>
      <c r="BJ406" s="18">
        <v>17</v>
      </c>
      <c r="BK406" s="18">
        <v>12</v>
      </c>
      <c r="BL406" s="18">
        <v>14</v>
      </c>
      <c r="BM406" s="55">
        <f>SUM(AV406:AX406)+SUM(BC406:BD406)+SUM(BE406:BF406)+BG406</f>
        <v>3.96</v>
      </c>
      <c r="BN406" s="55"/>
      <c r="BO406" s="55"/>
      <c r="BP406" s="55"/>
      <c r="BQ406" s="55"/>
      <c r="BR406" s="55"/>
      <c r="BS406" s="55"/>
      <c r="BT406" s="55"/>
      <c r="BU406" s="55"/>
      <c r="BV406" s="55"/>
      <c r="BW406" s="55"/>
      <c r="BX406" s="55"/>
      <c r="BY406" s="55"/>
    </row>
    <row r="407" spans="1:77" ht="25.5">
      <c r="B407" s="89">
        <v>401</v>
      </c>
      <c r="C407" s="93">
        <v>211</v>
      </c>
      <c r="D407" s="95">
        <v>22</v>
      </c>
      <c r="E407" s="94">
        <v>0.58472222222222225</v>
      </c>
      <c r="F407" s="94">
        <v>0.60069444444444442</v>
      </c>
      <c r="G407" s="95" t="s">
        <v>388</v>
      </c>
      <c r="H407" s="210" t="s">
        <v>2042</v>
      </c>
      <c r="I407" s="96">
        <v>18</v>
      </c>
      <c r="J407" s="97">
        <v>22</v>
      </c>
      <c r="K407" s="98">
        <v>208</v>
      </c>
      <c r="L407" s="109" t="s">
        <v>748</v>
      </c>
      <c r="M407" s="83" t="s">
        <v>790</v>
      </c>
      <c r="N407" s="87">
        <v>23</v>
      </c>
      <c r="O407" s="87" t="s">
        <v>789</v>
      </c>
      <c r="P407" s="87">
        <v>23</v>
      </c>
      <c r="Q407" s="87" t="s">
        <v>831</v>
      </c>
      <c r="R407" s="83">
        <v>17</v>
      </c>
      <c r="S407" s="26">
        <v>2210</v>
      </c>
      <c r="T407" s="26" t="s">
        <v>1513</v>
      </c>
      <c r="U407" s="26">
        <v>2180</v>
      </c>
      <c r="V407" s="26" t="s">
        <v>1456</v>
      </c>
      <c r="W407" s="62">
        <v>44816</v>
      </c>
      <c r="X407" s="62">
        <v>45086</v>
      </c>
      <c r="Y407" s="62"/>
      <c r="Z407" s="62"/>
      <c r="AA407" s="38" t="s">
        <v>1102</v>
      </c>
      <c r="AB407" s="23"/>
      <c r="AC407" s="23"/>
      <c r="AD407" s="23"/>
      <c r="AE407" s="23" t="s">
        <v>731</v>
      </c>
      <c r="AF407" s="23" t="s">
        <v>731</v>
      </c>
      <c r="AG407" s="23" t="s">
        <v>731</v>
      </c>
      <c r="AH407" s="23" t="s">
        <v>731</v>
      </c>
      <c r="AI407" s="23" t="s">
        <v>731</v>
      </c>
      <c r="AJ407" s="23" t="s">
        <v>731</v>
      </c>
      <c r="AK407" s="23"/>
      <c r="AL407" s="23"/>
      <c r="AM407" s="23"/>
      <c r="AN407" s="23"/>
      <c r="AO407" s="23"/>
      <c r="AP407" s="23"/>
      <c r="AQ407" s="23"/>
      <c r="AR407" s="23"/>
      <c r="AS407" s="23"/>
      <c r="AT407" s="23"/>
      <c r="AU407" s="23"/>
      <c r="AV407" s="42">
        <v>47.52</v>
      </c>
      <c r="AW407" s="18"/>
      <c r="AY407" s="42"/>
      <c r="AZ407" s="42"/>
      <c r="BB407" s="45">
        <v>1</v>
      </c>
      <c r="BC407" s="41">
        <f>IF(AND((AV407/I407)&lt;2,BB407=1),(I407*2)-AV407,0)</f>
        <v>0</v>
      </c>
      <c r="BD407" s="41">
        <f>IF(AND((AV407/I407)&lt;3,BB407=2),(I407*3)-AV407,0)</f>
        <v>0</v>
      </c>
      <c r="BG407" s="18"/>
      <c r="BH407" s="18">
        <v>17</v>
      </c>
      <c r="BI407" s="18">
        <v>25</v>
      </c>
      <c r="BJ407" s="18">
        <v>25</v>
      </c>
      <c r="BK407" s="18">
        <v>18</v>
      </c>
      <c r="BL407" s="211">
        <v>19</v>
      </c>
      <c r="BM407" s="55">
        <f>SUM(AV407:AX407)+SUM(BC407:BD407)+SUM(BE407:BF407)+BG407</f>
        <v>47.52</v>
      </c>
      <c r="BN407" s="55"/>
      <c r="BO407" s="55"/>
      <c r="BP407" s="55"/>
      <c r="BQ407" s="55"/>
      <c r="BR407" s="55"/>
      <c r="BS407" s="55"/>
      <c r="BT407" s="55"/>
      <c r="BU407" s="55"/>
      <c r="BV407" s="55"/>
      <c r="BW407" s="55"/>
      <c r="BX407" s="55"/>
      <c r="BY407" s="55"/>
    </row>
    <row r="408" spans="1:77" ht="25.5">
      <c r="A408" s="2" t="s">
        <v>800</v>
      </c>
      <c r="B408" s="89">
        <v>402</v>
      </c>
      <c r="C408" s="93">
        <v>211</v>
      </c>
      <c r="D408" s="95"/>
      <c r="E408" s="94">
        <v>0.61111111111111105</v>
      </c>
      <c r="F408" s="94">
        <v>0.65208333333333335</v>
      </c>
      <c r="G408" s="95" t="s">
        <v>613</v>
      </c>
      <c r="H408" s="93" t="s">
        <v>423</v>
      </c>
      <c r="I408" s="96">
        <v>29</v>
      </c>
      <c r="J408" s="97" t="s">
        <v>101</v>
      </c>
      <c r="K408" s="98">
        <v>67</v>
      </c>
      <c r="L408" s="109" t="s">
        <v>750</v>
      </c>
      <c r="M408" s="83" t="s">
        <v>839</v>
      </c>
      <c r="N408" s="83">
        <v>57</v>
      </c>
      <c r="O408" s="83" t="s">
        <v>1884</v>
      </c>
      <c r="P408" s="83">
        <v>56</v>
      </c>
      <c r="Q408" s="83" t="s">
        <v>1246</v>
      </c>
      <c r="R408" s="83">
        <v>45</v>
      </c>
      <c r="S408" s="26">
        <v>2180</v>
      </c>
      <c r="T408" s="26" t="s">
        <v>1456</v>
      </c>
      <c r="U408" s="26">
        <v>960</v>
      </c>
      <c r="V408" s="26" t="s">
        <v>1327</v>
      </c>
      <c r="W408" s="63">
        <v>44562</v>
      </c>
      <c r="X408" s="63">
        <v>44815</v>
      </c>
      <c r="Y408" s="63">
        <v>45101</v>
      </c>
      <c r="Z408" s="63">
        <v>45169</v>
      </c>
      <c r="AA408" s="23" t="s">
        <v>1107</v>
      </c>
      <c r="AB408" s="23"/>
      <c r="AC408" s="23" t="s">
        <v>731</v>
      </c>
      <c r="AD408" s="23" t="s">
        <v>731</v>
      </c>
      <c r="AE408" s="23"/>
      <c r="AF408" s="23" t="s">
        <v>731</v>
      </c>
      <c r="AG408" s="23" t="s">
        <v>731</v>
      </c>
      <c r="AH408" s="23" t="s">
        <v>731</v>
      </c>
      <c r="AI408" s="23" t="s">
        <v>731</v>
      </c>
      <c r="AJ408" s="23" t="s">
        <v>731</v>
      </c>
      <c r="AK408" s="23" t="s">
        <v>731</v>
      </c>
      <c r="AL408" s="23"/>
      <c r="AM408" s="23"/>
      <c r="AN408" s="23"/>
      <c r="AO408" s="23"/>
      <c r="AP408" s="23"/>
      <c r="AQ408" s="23"/>
      <c r="AR408" s="23"/>
      <c r="AS408" s="23"/>
      <c r="AT408" s="23"/>
      <c r="AU408" s="23"/>
      <c r="AV408" s="42"/>
      <c r="AW408" s="18"/>
      <c r="AX408" s="41">
        <f>3*I408</f>
        <v>87</v>
      </c>
      <c r="AY408" s="42"/>
      <c r="AZ408" s="42"/>
      <c r="BB408" s="43">
        <v>2</v>
      </c>
      <c r="BC408" s="45"/>
      <c r="BD408" s="50"/>
      <c r="BE408" s="45"/>
      <c r="BF408" s="45"/>
      <c r="BG408" s="18"/>
      <c r="BH408" s="18">
        <v>9</v>
      </c>
      <c r="BI408" s="18">
        <v>0</v>
      </c>
      <c r="BJ408" s="18">
        <v>0</v>
      </c>
      <c r="BK408" s="18">
        <v>0</v>
      </c>
      <c r="BL408" s="18">
        <v>0</v>
      </c>
      <c r="BM408" s="55">
        <f>SUM(AV408:AX408)+SUM(BC408:BD408)+SUM(BE408:BF408)+BG408</f>
        <v>87</v>
      </c>
      <c r="BN408" s="55"/>
      <c r="BO408" s="55"/>
      <c r="BP408" s="55"/>
      <c r="BQ408" s="55"/>
      <c r="BR408" s="55"/>
      <c r="BS408" s="55"/>
      <c r="BT408" s="55"/>
      <c r="BU408" s="55"/>
      <c r="BV408" s="55"/>
      <c r="BW408" s="55"/>
      <c r="BX408" s="55"/>
      <c r="BY408" s="55"/>
    </row>
    <row r="409" spans="1:77" ht="45">
      <c r="B409" s="89">
        <v>403</v>
      </c>
      <c r="C409" s="93">
        <v>211</v>
      </c>
      <c r="D409" s="93">
        <v>86</v>
      </c>
      <c r="E409" s="94">
        <v>0.61249999999999993</v>
      </c>
      <c r="F409" s="94">
        <v>0.63472222222222219</v>
      </c>
      <c r="G409" s="93" t="s">
        <v>470</v>
      </c>
      <c r="H409" s="93" t="s">
        <v>103</v>
      </c>
      <c r="I409" s="93">
        <v>17.399999999999999</v>
      </c>
      <c r="J409" s="97" t="s">
        <v>99</v>
      </c>
      <c r="K409" s="98">
        <v>174</v>
      </c>
      <c r="L409" s="109" t="s">
        <v>749</v>
      </c>
      <c r="M409" s="87" t="s">
        <v>869</v>
      </c>
      <c r="N409" s="87">
        <v>25</v>
      </c>
      <c r="O409" s="87" t="s">
        <v>870</v>
      </c>
      <c r="P409" s="87">
        <v>23</v>
      </c>
      <c r="R409" s="87"/>
      <c r="S409" s="26" t="s">
        <v>1514</v>
      </c>
      <c r="T409" s="26" t="s">
        <v>1515</v>
      </c>
      <c r="U409" s="26">
        <v>2180</v>
      </c>
      <c r="V409" s="26" t="s">
        <v>1456</v>
      </c>
      <c r="W409" s="62">
        <v>44816</v>
      </c>
      <c r="X409" s="62">
        <v>45086</v>
      </c>
      <c r="Y409" s="62"/>
      <c r="Z409" s="62"/>
      <c r="AA409" s="22" t="s">
        <v>1102</v>
      </c>
      <c r="AB409" s="23"/>
      <c r="AC409" s="23"/>
      <c r="AD409" s="23"/>
      <c r="AE409" s="23" t="s">
        <v>731</v>
      </c>
      <c r="AF409" s="23" t="s">
        <v>731</v>
      </c>
      <c r="AG409" s="23" t="s">
        <v>731</v>
      </c>
      <c r="AH409" s="23" t="s">
        <v>731</v>
      </c>
      <c r="AI409" s="23" t="s">
        <v>731</v>
      </c>
      <c r="AJ409" s="23" t="s">
        <v>731</v>
      </c>
      <c r="AK409" s="23"/>
      <c r="AL409" s="23"/>
      <c r="AM409" s="23"/>
      <c r="AN409" s="23"/>
      <c r="AO409" s="23"/>
      <c r="AP409" s="23"/>
      <c r="AQ409" s="23"/>
      <c r="AR409" s="23"/>
      <c r="AS409" s="23"/>
      <c r="AT409" s="23"/>
      <c r="AU409" s="23"/>
      <c r="AV409" s="42">
        <v>52.2</v>
      </c>
      <c r="AW409" s="18"/>
      <c r="AY409" s="42"/>
      <c r="AZ409" s="42"/>
      <c r="BB409" s="45">
        <v>1</v>
      </c>
      <c r="BC409" s="41">
        <f>IF(AND((AV409/I409)&lt;2,BB409=1),(I409*2)-AV409,0)</f>
        <v>0</v>
      </c>
      <c r="BD409" s="41">
        <f>IF(AND((AV409/I409)&lt;3,BB409=2),(I409*3)-AV409,0)</f>
        <v>0</v>
      </c>
      <c r="BG409" s="18"/>
      <c r="BH409" s="18">
        <v>15</v>
      </c>
      <c r="BI409" s="18">
        <v>20</v>
      </c>
      <c r="BJ409" s="18">
        <v>21</v>
      </c>
      <c r="BK409" s="18">
        <v>15</v>
      </c>
      <c r="BL409" s="18">
        <v>17</v>
      </c>
      <c r="BM409" s="55">
        <f>SUM(AV409:AX409)+SUM(BC409:BD409)+SUM(BE409:BF409)+BG409</f>
        <v>52.2</v>
      </c>
      <c r="BN409" s="55"/>
      <c r="BO409" s="55"/>
      <c r="BP409" s="55"/>
      <c r="BQ409" s="55"/>
      <c r="BR409" s="55"/>
      <c r="BS409" s="55"/>
      <c r="BT409" s="55"/>
      <c r="BU409" s="55"/>
      <c r="BV409" s="55"/>
      <c r="BW409" s="55"/>
      <c r="BX409" s="55"/>
      <c r="BY409" s="55"/>
    </row>
    <row r="410" spans="1:77" ht="38.25">
      <c r="B410" s="89">
        <v>404</v>
      </c>
      <c r="C410" s="93">
        <v>211</v>
      </c>
      <c r="D410" s="97">
        <v>574</v>
      </c>
      <c r="E410" s="105">
        <v>0.6875</v>
      </c>
      <c r="F410" s="105">
        <v>0.69791666666666663</v>
      </c>
      <c r="G410" s="93" t="s">
        <v>278</v>
      </c>
      <c r="H410" s="93" t="s">
        <v>681</v>
      </c>
      <c r="I410" s="96">
        <v>21</v>
      </c>
      <c r="J410" s="97" t="s">
        <v>93</v>
      </c>
      <c r="K410" s="98">
        <f>33+34+34</f>
        <v>101</v>
      </c>
      <c r="L410" s="109" t="s">
        <v>741</v>
      </c>
      <c r="M410" s="87" t="s">
        <v>969</v>
      </c>
      <c r="N410" s="87">
        <v>29</v>
      </c>
      <c r="O410" s="87" t="s">
        <v>798</v>
      </c>
      <c r="P410" s="87">
        <v>29</v>
      </c>
      <c r="Q410" s="87" t="s">
        <v>972</v>
      </c>
      <c r="R410" s="85">
        <v>25</v>
      </c>
      <c r="S410" s="26">
        <v>2180</v>
      </c>
      <c r="T410" s="26" t="s">
        <v>1456</v>
      </c>
      <c r="U410" s="26" t="s">
        <v>1516</v>
      </c>
      <c r="V410" s="26" t="s">
        <v>1517</v>
      </c>
      <c r="W410" s="62">
        <v>44816</v>
      </c>
      <c r="X410" s="62">
        <v>45086</v>
      </c>
      <c r="Y410" s="62"/>
      <c r="Z410" s="62"/>
      <c r="AA410" s="207" t="s">
        <v>2036</v>
      </c>
      <c r="AB410" s="23"/>
      <c r="AC410" s="23"/>
      <c r="AD410" s="23"/>
      <c r="AE410" s="23" t="s">
        <v>731</v>
      </c>
      <c r="AF410" s="23" t="s">
        <v>731</v>
      </c>
      <c r="AG410" s="23" t="s">
        <v>731</v>
      </c>
      <c r="AH410" s="23"/>
      <c r="AI410" s="23" t="s">
        <v>731</v>
      </c>
      <c r="AJ410" s="23"/>
      <c r="AK410" s="23"/>
      <c r="AL410" s="23"/>
      <c r="AM410" s="23"/>
      <c r="AN410" s="23"/>
      <c r="AO410" s="23"/>
      <c r="AP410" s="23"/>
      <c r="AQ410" s="23"/>
      <c r="AR410" s="23"/>
      <c r="AS410" s="23"/>
      <c r="AT410" s="23"/>
      <c r="AU410" s="23"/>
      <c r="AV410" s="41">
        <f>((37.8*33)+(80.71*68))/101</f>
        <v>66.689900990099005</v>
      </c>
      <c r="AW410" s="18"/>
      <c r="AY410" s="42"/>
      <c r="AZ410" s="42"/>
      <c r="BB410" s="45">
        <v>1</v>
      </c>
      <c r="BC410" s="41">
        <f>IF(AND((AV410/I410)&lt;2,BB410=1),(I410*2)-AV410,0)</f>
        <v>0</v>
      </c>
      <c r="BD410" s="41">
        <f>IF(AND((AV410/I410)&lt;3,BB410=2),(I410*3)-AV410,0)</f>
        <v>0</v>
      </c>
      <c r="BG410" s="18"/>
      <c r="BH410" s="212">
        <v>12</v>
      </c>
      <c r="BI410" s="212">
        <v>16</v>
      </c>
      <c r="BJ410" s="212">
        <v>17</v>
      </c>
      <c r="BK410" s="212">
        <v>12</v>
      </c>
      <c r="BL410" s="211">
        <v>-4</v>
      </c>
      <c r="BM410" s="55">
        <f>SUM(AV410:AX410)+SUM(BC410:BD410)+SUM(BE410:BF410)+BG410</f>
        <v>66.689900990099005</v>
      </c>
      <c r="BN410" s="55"/>
      <c r="BO410" s="55"/>
      <c r="BP410" s="55"/>
      <c r="BQ410" s="55"/>
      <c r="BR410" s="55"/>
      <c r="BS410" s="55"/>
      <c r="BT410" s="55"/>
      <c r="BU410" s="55"/>
      <c r="BV410" s="55"/>
      <c r="BW410" s="55"/>
      <c r="BX410" s="55"/>
      <c r="BY410" s="55"/>
    </row>
    <row r="411" spans="1:77" ht="25.5">
      <c r="A411" s="2" t="s">
        <v>800</v>
      </c>
      <c r="B411" s="89">
        <v>405</v>
      </c>
      <c r="C411" s="124">
        <v>211</v>
      </c>
      <c r="D411" s="124">
        <v>8</v>
      </c>
      <c r="E411" s="130">
        <v>0.69791666666666663</v>
      </c>
      <c r="F411" s="130">
        <v>0.73819444444444438</v>
      </c>
      <c r="G411" s="126" t="s">
        <v>709</v>
      </c>
      <c r="H411" s="93" t="s">
        <v>423</v>
      </c>
      <c r="I411" s="124">
        <v>29</v>
      </c>
      <c r="J411" s="127">
        <v>50</v>
      </c>
      <c r="K411" s="98">
        <v>67</v>
      </c>
      <c r="L411" s="109" t="s">
        <v>750</v>
      </c>
      <c r="M411" s="83" t="s">
        <v>839</v>
      </c>
      <c r="N411" s="83">
        <v>57</v>
      </c>
      <c r="O411" s="83" t="s">
        <v>1884</v>
      </c>
      <c r="P411" s="83">
        <v>56</v>
      </c>
      <c r="Q411" s="83" t="s">
        <v>1246</v>
      </c>
      <c r="R411" s="83">
        <v>45</v>
      </c>
      <c r="S411" s="26">
        <v>960</v>
      </c>
      <c r="T411" s="26" t="s">
        <v>1327</v>
      </c>
      <c r="U411" s="26">
        <v>2180</v>
      </c>
      <c r="V411" s="26" t="s">
        <v>1456</v>
      </c>
      <c r="W411" s="63">
        <v>44562</v>
      </c>
      <c r="X411" s="63">
        <v>44815</v>
      </c>
      <c r="Y411" s="63">
        <v>45101</v>
      </c>
      <c r="Z411" s="63">
        <v>45169</v>
      </c>
      <c r="AA411" s="23" t="s">
        <v>1107</v>
      </c>
      <c r="AB411" s="23"/>
      <c r="AC411" s="23" t="s">
        <v>731</v>
      </c>
      <c r="AD411" s="23" t="s">
        <v>731</v>
      </c>
      <c r="AE411" s="23"/>
      <c r="AF411" s="23" t="s">
        <v>731</v>
      </c>
      <c r="AG411" s="23" t="s">
        <v>731</v>
      </c>
      <c r="AH411" s="23" t="s">
        <v>731</v>
      </c>
      <c r="AI411" s="23" t="s">
        <v>731</v>
      </c>
      <c r="AJ411" s="23" t="s">
        <v>731</v>
      </c>
      <c r="AK411" s="23" t="s">
        <v>731</v>
      </c>
      <c r="AL411" s="23"/>
      <c r="AM411" s="23"/>
      <c r="AN411" s="23"/>
      <c r="AO411" s="23"/>
      <c r="AP411" s="23"/>
      <c r="AQ411" s="23"/>
      <c r="AR411" s="23"/>
      <c r="AS411" s="23"/>
      <c r="AT411" s="23"/>
      <c r="AU411" s="23"/>
      <c r="AV411" s="42"/>
      <c r="AW411" s="18"/>
      <c r="AX411" s="41">
        <f>3*I411</f>
        <v>87</v>
      </c>
      <c r="AY411" s="42"/>
      <c r="AZ411" s="42"/>
      <c r="BB411" s="43">
        <v>2</v>
      </c>
      <c r="BC411" s="45"/>
      <c r="BD411" s="50"/>
      <c r="BE411" s="45"/>
      <c r="BF411" s="45"/>
      <c r="BG411" s="18"/>
      <c r="BH411" s="18">
        <v>9</v>
      </c>
      <c r="BI411" s="18">
        <v>0</v>
      </c>
      <c r="BJ411" s="18">
        <v>0</v>
      </c>
      <c r="BK411" s="18">
        <v>0</v>
      </c>
      <c r="BL411" s="18">
        <v>0</v>
      </c>
      <c r="BM411" s="55">
        <f>SUM(AV411:AX411)+SUM(BC411:BD411)+SUM(BE411:BF411)+BG411</f>
        <v>87</v>
      </c>
      <c r="BN411" s="55"/>
      <c r="BO411" s="55"/>
      <c r="BP411" s="55"/>
      <c r="BQ411" s="55"/>
      <c r="BR411" s="55"/>
      <c r="BS411" s="55"/>
      <c r="BT411" s="55"/>
      <c r="BU411" s="55"/>
      <c r="BV411" s="55"/>
      <c r="BW411" s="55"/>
      <c r="BX411" s="55"/>
      <c r="BY411" s="55"/>
    </row>
    <row r="412" spans="1:77" ht="25.5">
      <c r="B412" s="89">
        <v>406</v>
      </c>
      <c r="C412" s="93">
        <v>211</v>
      </c>
      <c r="D412" s="93">
        <v>584</v>
      </c>
      <c r="E412" s="94">
        <v>0.69097222222222221</v>
      </c>
      <c r="F412" s="94">
        <v>0.72152777777777777</v>
      </c>
      <c r="G412" s="93" t="s">
        <v>373</v>
      </c>
      <c r="H412" s="93" t="s">
        <v>103</v>
      </c>
      <c r="I412" s="96">
        <v>23</v>
      </c>
      <c r="J412" s="97">
        <v>16</v>
      </c>
      <c r="K412" s="98">
        <v>174</v>
      </c>
      <c r="L412" s="109" t="s">
        <v>750</v>
      </c>
      <c r="M412" s="87" t="s">
        <v>840</v>
      </c>
      <c r="N412" s="87">
        <v>29</v>
      </c>
      <c r="O412" s="87" t="s">
        <v>838</v>
      </c>
      <c r="P412" s="87">
        <v>23</v>
      </c>
      <c r="R412" s="87"/>
      <c r="S412" s="26">
        <v>960</v>
      </c>
      <c r="T412" s="26" t="s">
        <v>1327</v>
      </c>
      <c r="U412" s="26" t="s">
        <v>1518</v>
      </c>
      <c r="V412" s="26" t="s">
        <v>1519</v>
      </c>
      <c r="W412" s="62">
        <v>44816</v>
      </c>
      <c r="X412" s="62">
        <v>45086</v>
      </c>
      <c r="Y412" s="62"/>
      <c r="Z412" s="62"/>
      <c r="AA412" s="22" t="s">
        <v>1102</v>
      </c>
      <c r="AB412" s="23"/>
      <c r="AC412" s="23"/>
      <c r="AD412" s="23"/>
      <c r="AE412" s="23" t="s">
        <v>731</v>
      </c>
      <c r="AF412" s="23" t="s">
        <v>731</v>
      </c>
      <c r="AG412" s="23" t="s">
        <v>731</v>
      </c>
      <c r="AH412" s="23" t="s">
        <v>731</v>
      </c>
      <c r="AI412" s="23" t="s">
        <v>731</v>
      </c>
      <c r="AJ412" s="23" t="s">
        <v>731</v>
      </c>
      <c r="AK412" s="23"/>
      <c r="AL412" s="23"/>
      <c r="AM412" s="23"/>
      <c r="AN412" s="23"/>
      <c r="AO412" s="23"/>
      <c r="AP412" s="23"/>
      <c r="AQ412" s="23"/>
      <c r="AR412" s="23"/>
      <c r="AS412" s="23"/>
      <c r="AT412" s="23"/>
      <c r="AU412" s="23"/>
      <c r="AV412" s="42">
        <v>53.21</v>
      </c>
      <c r="AW412" s="18"/>
      <c r="AY412" s="42"/>
      <c r="AZ412" s="42"/>
      <c r="BB412" s="45">
        <v>1</v>
      </c>
      <c r="BC412" s="41">
        <f>IF(AND((AV412/I412)&lt;2,BB412=1),(I412*2)-AV412,0)</f>
        <v>0</v>
      </c>
      <c r="BD412" s="41">
        <f>IF(AND((AV412/I412)&lt;3,BB412=2),(I412*3)-AV412,0)</f>
        <v>0</v>
      </c>
      <c r="BG412" s="18"/>
      <c r="BH412" s="18">
        <v>15</v>
      </c>
      <c r="BI412" s="18">
        <v>20</v>
      </c>
      <c r="BJ412" s="18">
        <v>21</v>
      </c>
      <c r="BK412" s="18">
        <v>15</v>
      </c>
      <c r="BL412" s="18">
        <v>17</v>
      </c>
      <c r="BM412" s="55">
        <f>SUM(AV412:AX412)+SUM(BC412:BD412)+SUM(BE412:BF412)+BG412</f>
        <v>53.21</v>
      </c>
      <c r="BN412" s="55"/>
      <c r="BO412" s="55"/>
      <c r="BP412" s="55"/>
      <c r="BQ412" s="55"/>
      <c r="BR412" s="55"/>
      <c r="BS412" s="55"/>
      <c r="BT412" s="55"/>
      <c r="BU412" s="55"/>
      <c r="BV412" s="55"/>
      <c r="BW412" s="55"/>
      <c r="BX412" s="55"/>
      <c r="BY412" s="55"/>
    </row>
    <row r="413" spans="1:77" ht="38.25">
      <c r="B413" s="89">
        <v>407</v>
      </c>
      <c r="C413" s="93">
        <v>211</v>
      </c>
      <c r="D413" s="93">
        <v>584</v>
      </c>
      <c r="E413" s="94">
        <v>0.72152777777777777</v>
      </c>
      <c r="F413" s="105">
        <v>0.7319444444444444</v>
      </c>
      <c r="G413" s="93" t="s">
        <v>371</v>
      </c>
      <c r="H413" s="95" t="s">
        <v>370</v>
      </c>
      <c r="I413" s="96">
        <v>7</v>
      </c>
      <c r="J413" s="97" t="s">
        <v>99</v>
      </c>
      <c r="K413" s="98">
        <f>34+34+36+33</f>
        <v>137</v>
      </c>
      <c r="L413" s="109" t="s">
        <v>750</v>
      </c>
      <c r="M413" s="87" t="s">
        <v>838</v>
      </c>
      <c r="N413" s="87">
        <v>23</v>
      </c>
      <c r="O413" s="87" t="s">
        <v>841</v>
      </c>
      <c r="P413" s="87">
        <v>29</v>
      </c>
      <c r="R413" s="87"/>
      <c r="S413" s="26" t="s">
        <v>1518</v>
      </c>
      <c r="T413" s="26" t="s">
        <v>1519</v>
      </c>
      <c r="U413" s="26">
        <v>2180</v>
      </c>
      <c r="V413" s="26" t="s">
        <v>1456</v>
      </c>
      <c r="W413" s="62">
        <v>44816</v>
      </c>
      <c r="X413" s="62">
        <v>45086</v>
      </c>
      <c r="Y413" s="62"/>
      <c r="Z413" s="62"/>
      <c r="AA413" s="24" t="s">
        <v>1105</v>
      </c>
      <c r="AB413" s="23"/>
      <c r="AC413" s="23"/>
      <c r="AD413" s="23"/>
      <c r="AE413" s="23" t="s">
        <v>731</v>
      </c>
      <c r="AF413" s="23" t="s">
        <v>731</v>
      </c>
      <c r="AG413" s="23" t="s">
        <v>731</v>
      </c>
      <c r="AH413" s="23" t="s">
        <v>731</v>
      </c>
      <c r="AI413" s="23" t="s">
        <v>731</v>
      </c>
      <c r="AJ413" s="23"/>
      <c r="AK413" s="23"/>
      <c r="AL413" s="23"/>
      <c r="AM413" s="23"/>
      <c r="AN413" s="23"/>
      <c r="AO413" s="23"/>
      <c r="AP413" s="23"/>
      <c r="AQ413" s="23"/>
      <c r="AR413" s="23"/>
      <c r="AS413" s="23"/>
      <c r="AT413" s="23"/>
      <c r="AU413" s="23"/>
      <c r="AV413" s="42">
        <v>17.5</v>
      </c>
      <c r="AY413" s="42"/>
      <c r="AZ413" s="42"/>
      <c r="BB413" s="45">
        <v>1</v>
      </c>
      <c r="BC413" s="41">
        <f>IF(AND((AV413/I413)&lt;2,BB413=1),(I413*2)-AV413,0)</f>
        <v>0</v>
      </c>
      <c r="BD413" s="41">
        <f>IF(AND((AV413/I413)&lt;3,BB413=2),(I413*3)-AV413,0)</f>
        <v>0</v>
      </c>
      <c r="BG413" s="18"/>
      <c r="BH413" s="18">
        <v>12</v>
      </c>
      <c r="BI413" s="18">
        <v>16</v>
      </c>
      <c r="BJ413" s="18">
        <v>17</v>
      </c>
      <c r="BK413" s="18">
        <v>12</v>
      </c>
      <c r="BL413" s="18">
        <v>14</v>
      </c>
      <c r="BM413" s="55">
        <f>SUM(AV413:AX413)+SUM(BC413:BD413)+SUM(BE413:BF413)+BG413</f>
        <v>17.5</v>
      </c>
      <c r="BN413" s="55"/>
      <c r="BO413" s="55"/>
      <c r="BP413" s="55"/>
      <c r="BQ413" s="55"/>
      <c r="BR413" s="55"/>
      <c r="BS413" s="55"/>
      <c r="BT413" s="55"/>
      <c r="BU413" s="55"/>
      <c r="BV413" s="55"/>
      <c r="BW413" s="55"/>
      <c r="BX413" s="55"/>
      <c r="BY413" s="55"/>
    </row>
    <row r="414" spans="1:77" ht="25.5">
      <c r="A414" s="2" t="s">
        <v>800</v>
      </c>
      <c r="B414" s="89">
        <v>408</v>
      </c>
      <c r="C414" s="124">
        <v>211</v>
      </c>
      <c r="D414" s="124">
        <v>7</v>
      </c>
      <c r="E414" s="130">
        <v>0.74652777777777779</v>
      </c>
      <c r="F414" s="130">
        <v>0.78749999999999998</v>
      </c>
      <c r="G414" s="126" t="s">
        <v>614</v>
      </c>
      <c r="H414" s="93" t="s">
        <v>423</v>
      </c>
      <c r="I414" s="124">
        <v>29</v>
      </c>
      <c r="J414" s="127">
        <v>50</v>
      </c>
      <c r="K414" s="131">
        <v>67</v>
      </c>
      <c r="L414" s="109" t="s">
        <v>750</v>
      </c>
      <c r="M414" s="83" t="s">
        <v>839</v>
      </c>
      <c r="N414" s="83">
        <v>57</v>
      </c>
      <c r="O414" s="83" t="s">
        <v>1884</v>
      </c>
      <c r="P414" s="83">
        <v>56</v>
      </c>
      <c r="Q414" s="83" t="s">
        <v>1246</v>
      </c>
      <c r="R414" s="83">
        <v>45</v>
      </c>
      <c r="S414" s="26">
        <v>2180</v>
      </c>
      <c r="T414" s="26" t="s">
        <v>1456</v>
      </c>
      <c r="U414" s="26">
        <v>960</v>
      </c>
      <c r="V414" s="26" t="s">
        <v>1327</v>
      </c>
      <c r="W414" s="63">
        <v>44562</v>
      </c>
      <c r="X414" s="63">
        <v>44815</v>
      </c>
      <c r="Y414" s="63">
        <v>45101</v>
      </c>
      <c r="Z414" s="63">
        <v>45169</v>
      </c>
      <c r="AA414" s="23" t="s">
        <v>1107</v>
      </c>
      <c r="AB414" s="23"/>
      <c r="AC414" s="23" t="s">
        <v>731</v>
      </c>
      <c r="AD414" s="23" t="s">
        <v>731</v>
      </c>
      <c r="AE414" s="23"/>
      <c r="AF414" s="23" t="s">
        <v>731</v>
      </c>
      <c r="AG414" s="23" t="s">
        <v>731</v>
      </c>
      <c r="AH414" s="23" t="s">
        <v>731</v>
      </c>
      <c r="AI414" s="23" t="s">
        <v>731</v>
      </c>
      <c r="AJ414" s="23" t="s">
        <v>731</v>
      </c>
      <c r="AK414" s="23" t="s">
        <v>731</v>
      </c>
      <c r="AL414" s="23"/>
      <c r="AM414" s="23"/>
      <c r="AN414" s="23"/>
      <c r="AO414" s="23"/>
      <c r="AP414" s="23"/>
      <c r="AQ414" s="23"/>
      <c r="AR414" s="23"/>
      <c r="AS414" s="23"/>
      <c r="AT414" s="23"/>
      <c r="AU414" s="23"/>
      <c r="AV414" s="42"/>
      <c r="AX414" s="41">
        <f>3*I414</f>
        <v>87</v>
      </c>
      <c r="AY414" s="42"/>
      <c r="AZ414" s="42"/>
      <c r="BB414" s="43">
        <v>2</v>
      </c>
      <c r="BC414" s="45"/>
      <c r="BD414" s="50"/>
      <c r="BE414" s="45"/>
      <c r="BF414" s="45"/>
      <c r="BG414" s="18"/>
      <c r="BH414" s="18">
        <v>9</v>
      </c>
      <c r="BI414" s="18">
        <v>0</v>
      </c>
      <c r="BJ414" s="18">
        <v>0</v>
      </c>
      <c r="BK414" s="18">
        <v>0</v>
      </c>
      <c r="BL414" s="18">
        <v>0</v>
      </c>
      <c r="BM414" s="55">
        <f>SUM(AV414:AX414)+SUM(BC414:BD414)+SUM(BE414:BF414)+BG414</f>
        <v>87</v>
      </c>
      <c r="BN414" s="55"/>
      <c r="BO414" s="55"/>
      <c r="BP414" s="55"/>
      <c r="BQ414" s="55"/>
      <c r="BR414" s="55"/>
      <c r="BS414" s="55"/>
      <c r="BT414" s="55"/>
      <c r="BU414" s="55"/>
      <c r="BV414" s="55"/>
      <c r="BW414" s="55"/>
      <c r="BX414" s="55"/>
      <c r="BY414" s="55"/>
    </row>
    <row r="415" spans="1:77" ht="25.5">
      <c r="A415" s="83"/>
      <c r="B415" s="89">
        <v>409</v>
      </c>
      <c r="C415" s="93">
        <v>212</v>
      </c>
      <c r="D415" s="97">
        <v>318</v>
      </c>
      <c r="E415" s="94">
        <v>0.53888888888888886</v>
      </c>
      <c r="F415" s="94">
        <v>0.5493055555555556</v>
      </c>
      <c r="G415" s="93" t="s">
        <v>104</v>
      </c>
      <c r="H415" s="93" t="s">
        <v>103</v>
      </c>
      <c r="I415" s="96">
        <v>4</v>
      </c>
      <c r="J415" s="97" t="s">
        <v>99</v>
      </c>
      <c r="K415" s="131">
        <v>174</v>
      </c>
      <c r="L415" s="109" t="s">
        <v>751</v>
      </c>
      <c r="M415" s="83" t="s">
        <v>886</v>
      </c>
      <c r="N415" s="83">
        <v>21</v>
      </c>
      <c r="O415" s="83" t="s">
        <v>1238</v>
      </c>
      <c r="P415" s="83">
        <v>38</v>
      </c>
      <c r="S415" s="26" t="s">
        <v>1520</v>
      </c>
      <c r="T415" s="26" t="s">
        <v>1521</v>
      </c>
      <c r="U415" s="26">
        <v>2300</v>
      </c>
      <c r="V415" s="26" t="s">
        <v>1522</v>
      </c>
      <c r="W415" s="62">
        <v>44816</v>
      </c>
      <c r="X415" s="62">
        <v>45086</v>
      </c>
      <c r="Y415" s="62"/>
      <c r="Z415" s="62"/>
      <c r="AA415" s="22" t="s">
        <v>1102</v>
      </c>
      <c r="AB415" s="23"/>
      <c r="AC415" s="23"/>
      <c r="AD415" s="23"/>
      <c r="AE415" s="23" t="s">
        <v>731</v>
      </c>
      <c r="AF415" s="23" t="s">
        <v>731</v>
      </c>
      <c r="AG415" s="23" t="s">
        <v>731</v>
      </c>
      <c r="AH415" s="23" t="s">
        <v>731</v>
      </c>
      <c r="AI415" s="23" t="s">
        <v>731</v>
      </c>
      <c r="AJ415" s="23" t="s">
        <v>731</v>
      </c>
      <c r="AK415" s="23"/>
      <c r="AL415" s="23"/>
      <c r="AM415" s="23"/>
      <c r="AN415" s="23"/>
      <c r="AO415" s="23"/>
      <c r="AP415" s="23"/>
      <c r="AQ415" s="23"/>
      <c r="AR415" s="23"/>
      <c r="AS415" s="23"/>
      <c r="AT415" s="23"/>
      <c r="AU415" s="23"/>
      <c r="AV415" s="42">
        <v>55</v>
      </c>
      <c r="AY415" s="42"/>
      <c r="AZ415" s="42"/>
      <c r="BB415" s="45">
        <v>1</v>
      </c>
      <c r="BC415" s="41">
        <f>IF(AND((AV415/I415)&lt;2,BB415=1),(I415*2)-AV415,0)</f>
        <v>0</v>
      </c>
      <c r="BD415" s="41">
        <f>IF(AND((AV415/I415)&lt;3,BB415=2),(I415*3)-AV415,0)</f>
        <v>0</v>
      </c>
      <c r="BG415" s="18"/>
      <c r="BH415" s="18">
        <v>15</v>
      </c>
      <c r="BI415" s="18">
        <v>20</v>
      </c>
      <c r="BJ415" s="18">
        <v>21</v>
      </c>
      <c r="BK415" s="18">
        <v>15</v>
      </c>
      <c r="BL415" s="18">
        <v>17</v>
      </c>
      <c r="BM415" s="55">
        <f>SUM(AV415:AX415)+SUM(BC415:BD415)+SUM(BE415:BF415)+BG415</f>
        <v>55</v>
      </c>
      <c r="BN415" s="55"/>
      <c r="BO415" s="55"/>
      <c r="BP415" s="55"/>
      <c r="BQ415" s="55"/>
      <c r="BR415" s="55"/>
      <c r="BS415" s="55"/>
      <c r="BT415" s="55"/>
      <c r="BU415" s="55"/>
      <c r="BV415" s="55"/>
      <c r="BW415" s="55"/>
      <c r="BX415" s="55"/>
      <c r="BY415" s="55"/>
    </row>
    <row r="416" spans="1:77" ht="25.5">
      <c r="B416" s="89">
        <v>410</v>
      </c>
      <c r="C416" s="93">
        <v>212</v>
      </c>
      <c r="D416" s="97">
        <v>308</v>
      </c>
      <c r="E416" s="94">
        <v>0.6875</v>
      </c>
      <c r="F416" s="94">
        <v>0.6958333333333333</v>
      </c>
      <c r="G416" s="93" t="s">
        <v>104</v>
      </c>
      <c r="H416" s="93" t="s">
        <v>103</v>
      </c>
      <c r="I416" s="96">
        <v>4</v>
      </c>
      <c r="J416" s="97" t="s">
        <v>99</v>
      </c>
      <c r="K416" s="98">
        <v>174</v>
      </c>
      <c r="L416" s="109" t="s">
        <v>751</v>
      </c>
      <c r="M416" s="83" t="s">
        <v>886</v>
      </c>
      <c r="N416" s="83">
        <v>21</v>
      </c>
      <c r="O416" s="83" t="s">
        <v>887</v>
      </c>
      <c r="P416" s="83">
        <v>9</v>
      </c>
      <c r="Q416" s="83" t="s">
        <v>888</v>
      </c>
      <c r="R416" s="84">
        <v>9</v>
      </c>
      <c r="S416" s="26" t="s">
        <v>1520</v>
      </c>
      <c r="T416" s="26" t="s">
        <v>1521</v>
      </c>
      <c r="U416" s="26">
        <v>2300</v>
      </c>
      <c r="V416" s="26" t="s">
        <v>1522</v>
      </c>
      <c r="W416" s="62">
        <v>44816</v>
      </c>
      <c r="X416" s="62">
        <v>45086</v>
      </c>
      <c r="Y416" s="62"/>
      <c r="Z416" s="62"/>
      <c r="AA416" s="22" t="s">
        <v>1102</v>
      </c>
      <c r="AB416" s="23"/>
      <c r="AC416" s="23"/>
      <c r="AD416" s="23"/>
      <c r="AE416" s="23" t="s">
        <v>731</v>
      </c>
      <c r="AF416" s="23" t="s">
        <v>731</v>
      </c>
      <c r="AG416" s="23" t="s">
        <v>731</v>
      </c>
      <c r="AH416" s="23" t="s">
        <v>731</v>
      </c>
      <c r="AI416" s="23" t="s">
        <v>731</v>
      </c>
      <c r="AJ416" s="23" t="s">
        <v>731</v>
      </c>
      <c r="AK416" s="23"/>
      <c r="AL416" s="23"/>
      <c r="AM416" s="23"/>
      <c r="AN416" s="23"/>
      <c r="AO416" s="23"/>
      <c r="AP416" s="23"/>
      <c r="AQ416" s="23"/>
      <c r="AR416" s="23"/>
      <c r="AS416" s="23"/>
      <c r="AT416" s="23"/>
      <c r="AU416" s="23"/>
      <c r="AV416" s="42">
        <v>20</v>
      </c>
      <c r="AY416" s="42"/>
      <c r="AZ416" s="42"/>
      <c r="BB416" s="45">
        <v>1</v>
      </c>
      <c r="BC416" s="41">
        <f>IF(AND((AV416/I416)&lt;2,BB416=1),(I416*2)-AV416,0)</f>
        <v>0</v>
      </c>
      <c r="BD416" s="41">
        <f>IF(AND((AV416/I416)&lt;3,BB416=2),(I416*3)-AV416,0)</f>
        <v>0</v>
      </c>
      <c r="BG416" s="18"/>
      <c r="BH416" s="18">
        <v>15</v>
      </c>
      <c r="BI416" s="18">
        <v>20</v>
      </c>
      <c r="BJ416" s="18">
        <v>21</v>
      </c>
      <c r="BK416" s="18">
        <v>15</v>
      </c>
      <c r="BL416" s="18">
        <v>17</v>
      </c>
      <c r="BM416" s="55">
        <f>SUM(AV416:AX416)+SUM(BC416:BD416)+SUM(BE416:BF416)+BG416</f>
        <v>20</v>
      </c>
      <c r="BN416" s="55"/>
      <c r="BO416" s="55"/>
      <c r="BP416" s="55"/>
      <c r="BQ416" s="55"/>
      <c r="BR416" s="55"/>
      <c r="BS416" s="55"/>
      <c r="BT416" s="55"/>
      <c r="BU416" s="55"/>
      <c r="BV416" s="55"/>
      <c r="BW416" s="55"/>
      <c r="BX416" s="55"/>
      <c r="BY416" s="55"/>
    </row>
    <row r="417" spans="1:78" ht="25.5">
      <c r="B417" s="89">
        <v>411</v>
      </c>
      <c r="C417" s="93">
        <v>213</v>
      </c>
      <c r="D417" s="93">
        <v>413</v>
      </c>
      <c r="E417" s="94">
        <v>0.29166666666666669</v>
      </c>
      <c r="F417" s="94">
        <v>0.2951388888888889</v>
      </c>
      <c r="G417" s="93" t="s">
        <v>286</v>
      </c>
      <c r="H417" s="93" t="s">
        <v>97</v>
      </c>
      <c r="I417" s="96">
        <v>3.2</v>
      </c>
      <c r="J417" s="97" t="s">
        <v>116</v>
      </c>
      <c r="K417" s="98">
        <v>208</v>
      </c>
      <c r="L417" s="109" t="s">
        <v>751</v>
      </c>
      <c r="M417" s="83" t="s">
        <v>887</v>
      </c>
      <c r="N417" s="83">
        <v>9</v>
      </c>
      <c r="O417" s="83" t="s">
        <v>888</v>
      </c>
      <c r="P417" s="83">
        <v>9</v>
      </c>
      <c r="Q417" s="83"/>
      <c r="R417" s="83"/>
      <c r="S417" s="26">
        <v>2308</v>
      </c>
      <c r="T417" s="26" t="s">
        <v>1523</v>
      </c>
      <c r="U417" s="26" t="s">
        <v>1524</v>
      </c>
      <c r="V417" s="26" t="s">
        <v>1525</v>
      </c>
      <c r="W417" s="62">
        <v>44816</v>
      </c>
      <c r="X417" s="62">
        <v>45086</v>
      </c>
      <c r="Y417" s="62"/>
      <c r="Z417" s="62"/>
      <c r="AA417" s="22" t="s">
        <v>1106</v>
      </c>
      <c r="AB417" s="23"/>
      <c r="AC417" s="23"/>
      <c r="AD417" s="23"/>
      <c r="AE417" s="23" t="s">
        <v>731</v>
      </c>
      <c r="AF417" s="23" t="s">
        <v>731</v>
      </c>
      <c r="AG417" s="23" t="s">
        <v>731</v>
      </c>
      <c r="AH417" s="23" t="s">
        <v>731</v>
      </c>
      <c r="AI417" s="23" t="s">
        <v>731</v>
      </c>
      <c r="AJ417" s="23" t="s">
        <v>731</v>
      </c>
      <c r="AK417" s="23" t="s">
        <v>731</v>
      </c>
      <c r="AL417" s="23"/>
      <c r="AM417" s="23"/>
      <c r="AN417" s="23"/>
      <c r="AO417" s="23"/>
      <c r="AP417" s="23"/>
      <c r="AQ417" s="23"/>
      <c r="AR417" s="23"/>
      <c r="AS417" s="23"/>
      <c r="AT417" s="23"/>
      <c r="AU417" s="23"/>
      <c r="AV417" s="42">
        <v>13.79</v>
      </c>
      <c r="AY417" s="42"/>
      <c r="AZ417" s="42"/>
      <c r="BB417" s="45">
        <v>1</v>
      </c>
      <c r="BC417" s="41">
        <f>IF(AND((AV417/I417)&lt;2,BB417=1),(I417*2)-AV417,0)</f>
        <v>0</v>
      </c>
      <c r="BD417" s="41">
        <f>IF(AND((AV417/I417)&lt;3,BB417=2),(I417*3)-AV417,0)</f>
        <v>0</v>
      </c>
      <c r="BG417" s="18"/>
      <c r="BH417" s="18">
        <v>17</v>
      </c>
      <c r="BI417" s="18">
        <v>25</v>
      </c>
      <c r="BJ417" s="18">
        <v>25</v>
      </c>
      <c r="BK417" s="18">
        <v>18</v>
      </c>
      <c r="BL417" s="18">
        <v>20</v>
      </c>
      <c r="BM417" s="55">
        <f>SUM(AV417:AX417)+SUM(BC417:BD417)+SUM(BE417:BF417)+BG417</f>
        <v>13.79</v>
      </c>
      <c r="BN417" s="55"/>
      <c r="BO417" s="55"/>
      <c r="BP417" s="55"/>
      <c r="BQ417" s="55"/>
      <c r="BR417" s="55"/>
      <c r="BS417" s="55"/>
      <c r="BT417" s="55"/>
      <c r="BU417" s="55"/>
      <c r="BV417" s="55"/>
      <c r="BW417" s="55"/>
      <c r="BX417" s="55"/>
      <c r="BY417" s="55"/>
    </row>
    <row r="418" spans="1:78" ht="25.5">
      <c r="B418" s="89">
        <v>412</v>
      </c>
      <c r="C418" s="93">
        <v>213</v>
      </c>
      <c r="D418" s="93">
        <v>968</v>
      </c>
      <c r="E418" s="94">
        <v>0.55208333333333337</v>
      </c>
      <c r="F418" s="94">
        <v>0.55902777777777779</v>
      </c>
      <c r="G418" s="93" t="s">
        <v>482</v>
      </c>
      <c r="H418" s="93" t="s">
        <v>253</v>
      </c>
      <c r="I418" s="96">
        <v>4.5999999999999996</v>
      </c>
      <c r="J418" s="97" t="s">
        <v>234</v>
      </c>
      <c r="K418" s="98">
        <v>34</v>
      </c>
      <c r="L418" s="109" t="s">
        <v>751</v>
      </c>
      <c r="M418" s="83" t="s">
        <v>888</v>
      </c>
      <c r="N418" s="83">
        <v>9</v>
      </c>
      <c r="O418" s="83" t="s">
        <v>887</v>
      </c>
      <c r="P418" s="83">
        <v>9</v>
      </c>
      <c r="R418" s="83"/>
      <c r="S418" s="26">
        <v>2326</v>
      </c>
      <c r="T418" s="26" t="s">
        <v>1526</v>
      </c>
      <c r="U418" s="26">
        <v>2324</v>
      </c>
      <c r="V418" s="26" t="s">
        <v>1338</v>
      </c>
      <c r="W418" s="62">
        <v>44816</v>
      </c>
      <c r="X418" s="62">
        <v>45086</v>
      </c>
      <c r="Y418" s="62"/>
      <c r="Z418" s="62"/>
      <c r="AA418" s="23" t="s">
        <v>1111</v>
      </c>
      <c r="AB418" s="23"/>
      <c r="AC418" s="23"/>
      <c r="AD418" s="23"/>
      <c r="AE418" s="23" t="s">
        <v>731</v>
      </c>
      <c r="AF418" s="23"/>
      <c r="AG418" s="23"/>
      <c r="AH418" s="23"/>
      <c r="AI418" s="23"/>
      <c r="AJ418" s="23"/>
      <c r="AK418" s="23" t="s">
        <v>731</v>
      </c>
      <c r="AL418" s="23"/>
      <c r="AM418" s="23"/>
      <c r="AN418" s="23"/>
      <c r="AO418" s="23"/>
      <c r="AP418" s="23"/>
      <c r="AQ418" s="23"/>
      <c r="AR418" s="23"/>
      <c r="AS418" s="23"/>
      <c r="AT418" s="23"/>
      <c r="AU418" s="23"/>
      <c r="AV418" s="42">
        <v>13.8</v>
      </c>
      <c r="AY418" s="42"/>
      <c r="AZ418" s="42"/>
      <c r="BB418" s="45">
        <v>1</v>
      </c>
      <c r="BC418" s="41">
        <f>IF(AND((AV418/I418)&lt;2,BB418=1),(I418*2)-AV418,0)</f>
        <v>0</v>
      </c>
      <c r="BD418" s="41">
        <f>IF(AND((AV418/I418)&lt;3,BB418=2),(I418*3)-AV418,0)</f>
        <v>0</v>
      </c>
      <c r="BG418" s="18"/>
      <c r="BH418" s="18">
        <v>2</v>
      </c>
      <c r="BI418" s="18">
        <v>5</v>
      </c>
      <c r="BJ418" s="18">
        <v>4</v>
      </c>
      <c r="BK418" s="18">
        <v>3</v>
      </c>
      <c r="BL418" s="18">
        <v>3</v>
      </c>
      <c r="BM418" s="55">
        <f>SUM(AV418:AX418)+SUM(BC418:BD418)+SUM(BE418:BF418)+BG418</f>
        <v>13.8</v>
      </c>
      <c r="BN418" s="55"/>
      <c r="BO418" s="55"/>
      <c r="BP418" s="55"/>
      <c r="BQ418" s="55"/>
      <c r="BR418" s="55"/>
      <c r="BS418" s="55"/>
      <c r="BT418" s="55"/>
      <c r="BU418" s="55"/>
      <c r="BV418" s="55"/>
      <c r="BW418" s="55"/>
      <c r="BX418" s="55"/>
      <c r="BY418" s="55"/>
    </row>
    <row r="419" spans="1:78" ht="25.5">
      <c r="A419" s="83"/>
      <c r="B419" s="89">
        <v>413</v>
      </c>
      <c r="C419" s="93">
        <v>213</v>
      </c>
      <c r="D419" s="93">
        <v>6</v>
      </c>
      <c r="E419" s="94">
        <v>0.59375</v>
      </c>
      <c r="F419" s="94">
        <v>0.60416666666666663</v>
      </c>
      <c r="G419" s="93" t="s">
        <v>430</v>
      </c>
      <c r="H419" s="93" t="s">
        <v>103</v>
      </c>
      <c r="I419" s="96">
        <v>7</v>
      </c>
      <c r="J419" s="97" t="s">
        <v>167</v>
      </c>
      <c r="K419" s="98">
        <v>174</v>
      </c>
      <c r="L419" s="109" t="s">
        <v>751</v>
      </c>
      <c r="M419" s="83" t="s">
        <v>887</v>
      </c>
      <c r="N419" s="83">
        <v>9</v>
      </c>
      <c r="O419" s="83" t="s">
        <v>888</v>
      </c>
      <c r="P419" s="83">
        <v>9</v>
      </c>
      <c r="Q419" s="83" t="s">
        <v>886</v>
      </c>
      <c r="R419" s="84">
        <v>21</v>
      </c>
      <c r="S419" s="26" t="s">
        <v>1527</v>
      </c>
      <c r="T419" s="26" t="s">
        <v>1528</v>
      </c>
      <c r="U419" s="26">
        <v>2324</v>
      </c>
      <c r="V419" s="26" t="s">
        <v>1338</v>
      </c>
      <c r="W419" s="62">
        <v>44816</v>
      </c>
      <c r="X419" s="62">
        <v>45086</v>
      </c>
      <c r="Y419" s="62"/>
      <c r="Z419" s="62"/>
      <c r="AA419" s="22" t="s">
        <v>1102</v>
      </c>
      <c r="AB419" s="23"/>
      <c r="AC419" s="23"/>
      <c r="AD419" s="23"/>
      <c r="AE419" s="23" t="s">
        <v>731</v>
      </c>
      <c r="AF419" s="23" t="s">
        <v>731</v>
      </c>
      <c r="AG419" s="23" t="s">
        <v>731</v>
      </c>
      <c r="AH419" s="23" t="s">
        <v>731</v>
      </c>
      <c r="AI419" s="23" t="s">
        <v>731</v>
      </c>
      <c r="AJ419" s="23" t="s">
        <v>731</v>
      </c>
      <c r="AK419" s="23"/>
      <c r="AL419" s="23"/>
      <c r="AM419" s="23"/>
      <c r="AN419" s="23"/>
      <c r="AO419" s="23"/>
      <c r="AP419" s="23"/>
      <c r="AQ419" s="23"/>
      <c r="AR419" s="23"/>
      <c r="AS419" s="23"/>
      <c r="AT419" s="23"/>
      <c r="AU419" s="23"/>
      <c r="AV419" s="41">
        <f>((24*137)+(12.6*37))/174</f>
        <v>21.575862068965517</v>
      </c>
      <c r="AY419" s="42"/>
      <c r="AZ419" s="42"/>
      <c r="BB419" s="45">
        <v>1</v>
      </c>
      <c r="BC419" s="41">
        <f>IF(AND((AV419/I419)&lt;2,BB419=1),(I419*2)-AV419,0)</f>
        <v>0</v>
      </c>
      <c r="BD419" s="41">
        <f>IF(AND((AV419/I419)&lt;3,BB419=2),(I419*3)-AV419,0)</f>
        <v>0</v>
      </c>
      <c r="BG419" s="18"/>
      <c r="BH419" s="18">
        <v>15</v>
      </c>
      <c r="BI419" s="18">
        <v>20</v>
      </c>
      <c r="BJ419" s="18">
        <v>21</v>
      </c>
      <c r="BK419" s="18">
        <v>15</v>
      </c>
      <c r="BL419" s="18">
        <v>17</v>
      </c>
      <c r="BM419" s="55">
        <f>SUM(AV419:AX419)+SUM(BC419:BD419)+SUM(BE419:BF419)+BG419</f>
        <v>21.575862068965517</v>
      </c>
      <c r="BN419" s="55"/>
      <c r="BO419" s="55"/>
      <c r="BP419" s="55"/>
      <c r="BQ419" s="55"/>
      <c r="BR419" s="55"/>
      <c r="BS419" s="55"/>
      <c r="BT419" s="55"/>
      <c r="BU419" s="55"/>
      <c r="BV419" s="55"/>
      <c r="BW419" s="55"/>
      <c r="BX419" s="55"/>
      <c r="BY419" s="55"/>
    </row>
    <row r="420" spans="1:78" ht="22.5">
      <c r="B420" s="89">
        <v>414</v>
      </c>
      <c r="C420" s="101">
        <v>214</v>
      </c>
      <c r="D420" s="101">
        <v>27</v>
      </c>
      <c r="E420" s="102">
        <v>0.24652777777777779</v>
      </c>
      <c r="F420" s="102">
        <v>0.30624999999999997</v>
      </c>
      <c r="G420" s="103" t="s">
        <v>611</v>
      </c>
      <c r="H420" s="103" t="s">
        <v>1</v>
      </c>
      <c r="I420" s="101">
        <v>54</v>
      </c>
      <c r="J420" s="104">
        <v>50</v>
      </c>
      <c r="K420" s="98">
        <v>67</v>
      </c>
      <c r="L420" s="109" t="s">
        <v>742</v>
      </c>
      <c r="M420" s="2" t="s">
        <v>1237</v>
      </c>
      <c r="N420" s="84">
        <v>58</v>
      </c>
      <c r="O420" s="87"/>
      <c r="P420" s="87"/>
      <c r="S420" s="26">
        <v>2323</v>
      </c>
      <c r="T420" s="26" t="s">
        <v>1529</v>
      </c>
      <c r="U420" s="26">
        <v>960</v>
      </c>
      <c r="V420" s="26" t="s">
        <v>1327</v>
      </c>
      <c r="W420" s="63">
        <v>44562</v>
      </c>
      <c r="X420" s="63">
        <v>44815</v>
      </c>
      <c r="Y420" s="63">
        <v>45101</v>
      </c>
      <c r="Z420" s="63">
        <v>45169</v>
      </c>
      <c r="AA420" s="23" t="s">
        <v>1107</v>
      </c>
      <c r="AB420" s="23"/>
      <c r="AC420" s="23" t="s">
        <v>731</v>
      </c>
      <c r="AD420" s="23" t="s">
        <v>731</v>
      </c>
      <c r="AE420" s="23"/>
      <c r="AF420" s="23" t="s">
        <v>731</v>
      </c>
      <c r="AG420" s="23" t="s">
        <v>731</v>
      </c>
      <c r="AH420" s="23" t="s">
        <v>731</v>
      </c>
      <c r="AI420" s="23" t="s">
        <v>731</v>
      </c>
      <c r="AJ420" s="23" t="s">
        <v>731</v>
      </c>
      <c r="AK420" s="23" t="s">
        <v>731</v>
      </c>
      <c r="AL420" s="23"/>
      <c r="AM420" s="23"/>
      <c r="AN420" s="23"/>
      <c r="AO420" s="23"/>
      <c r="AP420" s="23"/>
      <c r="AQ420" s="23"/>
      <c r="AR420" s="23"/>
      <c r="AS420" s="23"/>
      <c r="AT420" s="23"/>
      <c r="AU420" s="23"/>
      <c r="AW420" s="41">
        <v>220</v>
      </c>
      <c r="AY420" s="19"/>
      <c r="AZ420" s="19"/>
      <c r="BB420" s="43">
        <v>2</v>
      </c>
      <c r="BD420" s="41"/>
      <c r="BE420" s="41">
        <f>IF(AND((AW420/I420)&lt;2,BB420=1),(I420*2)-AW420,0)</f>
        <v>0</v>
      </c>
      <c r="BF420" s="41">
        <f>IF(AND((AW420/I420)&lt;3,BB420=2),(I420*3)-AW420,0)</f>
        <v>0</v>
      </c>
      <c r="BG420" s="41">
        <f>IF((AV420+AW420+AX420)&lt;20,(20-(AV420+AW420+AX420)),0)</f>
        <v>0</v>
      </c>
      <c r="BH420" s="18">
        <v>9</v>
      </c>
      <c r="BI420" s="18">
        <v>0</v>
      </c>
      <c r="BJ420" s="18">
        <v>0</v>
      </c>
      <c r="BK420" s="18">
        <v>0</v>
      </c>
      <c r="BL420" s="18">
        <v>0</v>
      </c>
      <c r="BM420" s="55">
        <f>SUM(AV420:AX420)+SUM(BC420:BD420)+SUM(BE420:BF420)+BG420</f>
        <v>220</v>
      </c>
      <c r="BN420" s="55"/>
      <c r="BO420" s="55"/>
      <c r="BP420" s="55"/>
      <c r="BQ420" s="55"/>
      <c r="BR420" s="55"/>
      <c r="BS420" s="55"/>
      <c r="BT420" s="55"/>
      <c r="BU420" s="55"/>
      <c r="BV420" s="55"/>
      <c r="BW420" s="55"/>
      <c r="BX420" s="55"/>
      <c r="BY420" s="55"/>
    </row>
    <row r="421" spans="1:78" ht="25.5">
      <c r="B421" s="89">
        <v>415</v>
      </c>
      <c r="C421" s="101">
        <v>214</v>
      </c>
      <c r="D421" s="101">
        <v>27</v>
      </c>
      <c r="E421" s="102">
        <v>0.25347222222222221</v>
      </c>
      <c r="F421" s="108">
        <v>0.31805555555555554</v>
      </c>
      <c r="G421" s="103" t="s">
        <v>611</v>
      </c>
      <c r="H421" s="103" t="s">
        <v>39</v>
      </c>
      <c r="I421" s="101">
        <f>50+4</f>
        <v>54</v>
      </c>
      <c r="J421" s="104">
        <v>50</v>
      </c>
      <c r="K421" s="98">
        <v>29</v>
      </c>
      <c r="L421" s="109" t="s">
        <v>742</v>
      </c>
      <c r="M421" s="2" t="s">
        <v>1237</v>
      </c>
      <c r="N421" s="84">
        <v>58</v>
      </c>
      <c r="O421" s="87" t="s">
        <v>1878</v>
      </c>
      <c r="P421" s="87">
        <v>56</v>
      </c>
      <c r="S421" s="26">
        <v>2323</v>
      </c>
      <c r="T421" s="26" t="s">
        <v>1529</v>
      </c>
      <c r="U421" s="26">
        <v>960</v>
      </c>
      <c r="V421" s="26" t="s">
        <v>1327</v>
      </c>
      <c r="W421" s="63">
        <v>44816</v>
      </c>
      <c r="X421" s="63">
        <v>45100</v>
      </c>
      <c r="Y421" s="63"/>
      <c r="Z421" s="63"/>
      <c r="AA421" s="22" t="s">
        <v>1110</v>
      </c>
      <c r="AB421" s="23" t="s">
        <v>731</v>
      </c>
      <c r="AC421" s="23"/>
      <c r="AD421" s="23" t="s">
        <v>731</v>
      </c>
      <c r="AE421" s="23"/>
      <c r="AF421" s="23"/>
      <c r="AG421" s="23"/>
      <c r="AH421" s="23"/>
      <c r="AI421" s="23"/>
      <c r="AJ421" s="23"/>
      <c r="AK421" s="23"/>
      <c r="AL421" s="23"/>
      <c r="AM421" s="23"/>
      <c r="AN421" s="23"/>
      <c r="AO421" s="23"/>
      <c r="AP421" s="23" t="s">
        <v>731</v>
      </c>
      <c r="AQ421" s="23" t="s">
        <v>731</v>
      </c>
      <c r="AR421" s="23" t="s">
        <v>731</v>
      </c>
      <c r="AS421" s="23" t="s">
        <v>731</v>
      </c>
      <c r="AT421" s="23" t="s">
        <v>731</v>
      </c>
      <c r="AU421" s="23" t="s">
        <v>731</v>
      </c>
      <c r="AY421" s="19" t="s">
        <v>1012</v>
      </c>
      <c r="AZ421" s="19"/>
      <c r="BB421" s="43">
        <v>2</v>
      </c>
      <c r="BD421" s="41"/>
      <c r="BH421" s="18">
        <v>0</v>
      </c>
      <c r="BI421" s="18">
        <v>1</v>
      </c>
      <c r="BJ421" s="18">
        <v>0</v>
      </c>
      <c r="BK421" s="18">
        <v>7</v>
      </c>
      <c r="BL421" s="18">
        <v>5</v>
      </c>
      <c r="BM421" s="55">
        <f>SUM(AV421:AX421)+SUM(BC421:BD421)+SUM(BE421:BF421)+BG421</f>
        <v>0</v>
      </c>
      <c r="BN421" s="55" t="s">
        <v>1112</v>
      </c>
      <c r="BO421" s="77">
        <v>17</v>
      </c>
      <c r="BP421" s="77"/>
      <c r="BQ421" s="77">
        <v>26</v>
      </c>
      <c r="BR421" s="77"/>
      <c r="BS421" s="77">
        <v>25</v>
      </c>
      <c r="BT421" s="77"/>
      <c r="BU421" s="77">
        <v>25</v>
      </c>
      <c r="BV421" s="77"/>
      <c r="BW421" s="77">
        <v>25</v>
      </c>
      <c r="BX421" s="77"/>
      <c r="BY421" s="55">
        <v>220</v>
      </c>
    </row>
    <row r="422" spans="1:78" ht="25.5">
      <c r="B422" s="89">
        <v>416</v>
      </c>
      <c r="C422" s="101">
        <v>214</v>
      </c>
      <c r="D422" s="101">
        <v>582</v>
      </c>
      <c r="E422" s="102">
        <v>0.25833333333333336</v>
      </c>
      <c r="F422" s="102">
        <v>0.31805555555555554</v>
      </c>
      <c r="G422" s="103" t="s">
        <v>689</v>
      </c>
      <c r="H422" s="93" t="s">
        <v>97</v>
      </c>
      <c r="I422" s="101">
        <v>61</v>
      </c>
      <c r="J422" s="104">
        <v>55</v>
      </c>
      <c r="K422" s="98">
        <v>208</v>
      </c>
      <c r="L422" s="99" t="s">
        <v>742</v>
      </c>
      <c r="M422" s="2" t="s">
        <v>1237</v>
      </c>
      <c r="N422" s="85">
        <v>58</v>
      </c>
      <c r="O422" s="83" t="s">
        <v>1878</v>
      </c>
      <c r="P422" s="83">
        <v>56</v>
      </c>
      <c r="S422" s="22">
        <v>2305</v>
      </c>
      <c r="T422" s="22" t="s">
        <v>1530</v>
      </c>
      <c r="U422" s="22">
        <v>960</v>
      </c>
      <c r="V422" s="22" t="s">
        <v>1327</v>
      </c>
      <c r="W422" s="62">
        <v>44816</v>
      </c>
      <c r="X422" s="62">
        <v>45086</v>
      </c>
      <c r="Y422" s="62"/>
      <c r="Z422" s="62"/>
      <c r="AA422" s="22" t="s">
        <v>1106</v>
      </c>
      <c r="AB422" s="23"/>
      <c r="AC422" s="23"/>
      <c r="AD422" s="23"/>
      <c r="AE422" s="23" t="s">
        <v>731</v>
      </c>
      <c r="AF422" s="23" t="s">
        <v>731</v>
      </c>
      <c r="AG422" s="23" t="s">
        <v>731</v>
      </c>
      <c r="AH422" s="23" t="s">
        <v>731</v>
      </c>
      <c r="AI422" s="23" t="s">
        <v>731</v>
      </c>
      <c r="AJ422" s="23" t="s">
        <v>731</v>
      </c>
      <c r="AK422" s="23" t="s">
        <v>731</v>
      </c>
      <c r="AL422" s="23"/>
      <c r="AM422" s="23"/>
      <c r="AN422" s="23"/>
      <c r="AO422" s="23"/>
      <c r="AP422" s="23"/>
      <c r="AQ422" s="23"/>
      <c r="AR422" s="23"/>
      <c r="AS422" s="23"/>
      <c r="AT422" s="23"/>
      <c r="AU422" s="23"/>
      <c r="AY422" s="19" t="s">
        <v>1012</v>
      </c>
      <c r="AZ422" s="19"/>
      <c r="BA422" s="18">
        <v>44</v>
      </c>
      <c r="BB422" s="18">
        <v>2</v>
      </c>
      <c r="BD422" s="41"/>
      <c r="BH422" s="18">
        <v>17</v>
      </c>
      <c r="BI422" s="18">
        <v>25</v>
      </c>
      <c r="BJ422" s="18">
        <v>25</v>
      </c>
      <c r="BK422" s="18">
        <v>18</v>
      </c>
      <c r="BL422" s="18">
        <v>20</v>
      </c>
      <c r="BM422" s="55">
        <f>SUM(AV422:AX422)+SUM(BC422:BD422)+SUM(BE422:BF422)+BG422</f>
        <v>0</v>
      </c>
      <c r="BN422" s="55" t="s">
        <v>1106</v>
      </c>
      <c r="BO422" s="77">
        <v>17</v>
      </c>
      <c r="BP422" s="77"/>
      <c r="BQ422" s="77">
        <v>25</v>
      </c>
      <c r="BR422" s="77"/>
      <c r="BS422" s="77">
        <v>25</v>
      </c>
      <c r="BT422" s="77"/>
      <c r="BU422" s="77">
        <v>18</v>
      </c>
      <c r="BV422" s="77"/>
      <c r="BW422" s="77">
        <v>20</v>
      </c>
      <c r="BX422" s="77"/>
      <c r="BY422" s="41">
        <v>18.2</v>
      </c>
    </row>
    <row r="423" spans="1:78" ht="25.5">
      <c r="A423" s="156" t="s">
        <v>1986</v>
      </c>
      <c r="B423" s="157">
        <v>417</v>
      </c>
      <c r="C423" s="158">
        <v>214</v>
      </c>
      <c r="D423" s="162">
        <v>582</v>
      </c>
      <c r="E423" s="160">
        <v>0.28472222222222221</v>
      </c>
      <c r="F423" s="160">
        <v>0.31805555555555554</v>
      </c>
      <c r="G423" s="158" t="s">
        <v>691</v>
      </c>
      <c r="H423" s="158" t="s">
        <v>102</v>
      </c>
      <c r="I423" s="161">
        <v>24</v>
      </c>
      <c r="J423" s="162" t="s">
        <v>101</v>
      </c>
      <c r="K423" s="169">
        <v>33</v>
      </c>
      <c r="L423" s="164" t="s">
        <v>740</v>
      </c>
      <c r="M423" s="179" t="s">
        <v>943</v>
      </c>
      <c r="N423" s="179">
        <v>51</v>
      </c>
      <c r="O423" s="179" t="s">
        <v>944</v>
      </c>
      <c r="P423" s="179">
        <v>55</v>
      </c>
      <c r="Q423" s="179" t="s">
        <v>1220</v>
      </c>
      <c r="R423" s="179">
        <v>54</v>
      </c>
      <c r="S423" s="170" t="s">
        <v>1531</v>
      </c>
      <c r="T423" s="170" t="s">
        <v>1532</v>
      </c>
      <c r="U423" s="170">
        <v>960</v>
      </c>
      <c r="V423" s="170" t="s">
        <v>1327</v>
      </c>
      <c r="W423" s="180">
        <v>44816</v>
      </c>
      <c r="X423" s="180">
        <v>44878</v>
      </c>
      <c r="Y423" s="180"/>
      <c r="Z423" s="180"/>
      <c r="AA423" s="170" t="s">
        <v>1120</v>
      </c>
      <c r="AB423" s="181"/>
      <c r="AC423" s="181"/>
      <c r="AD423" s="181"/>
      <c r="AE423" s="181" t="s">
        <v>731</v>
      </c>
      <c r="AF423" s="181" t="s">
        <v>731</v>
      </c>
      <c r="AG423" s="181"/>
      <c r="AH423" s="181"/>
      <c r="AI423" s="181"/>
      <c r="AJ423" s="181"/>
      <c r="AK423" s="181"/>
      <c r="AL423" s="181"/>
      <c r="AM423" s="181"/>
      <c r="AN423" s="181"/>
      <c r="AO423" s="181"/>
      <c r="AP423" s="181"/>
      <c r="AQ423" s="181"/>
      <c r="AR423" s="181"/>
      <c r="AS423" s="181"/>
      <c r="AT423" s="181"/>
      <c r="AU423" s="181"/>
      <c r="AV423" s="168">
        <f>15+150</f>
        <v>165</v>
      </c>
      <c r="AW423" s="168"/>
      <c r="AX423" s="166"/>
      <c r="AY423" s="168"/>
      <c r="AZ423" s="168"/>
      <c r="BA423" s="166"/>
      <c r="BB423" s="166">
        <v>2</v>
      </c>
      <c r="BC423" s="168">
        <f>IF(AND((AV423/I423)&lt;2,BB423=1),(I423*2)-AV423,0)</f>
        <v>0</v>
      </c>
      <c r="BD423" s="168">
        <f>IF(AND((AV423/I423)&lt;3,BB423=2),(I423*3)-AV423,0)</f>
        <v>0</v>
      </c>
      <c r="BE423" s="166"/>
      <c r="BF423" s="166"/>
      <c r="BG423" s="168">
        <f>IF((AV423+AW423+AX423)&lt;20,(20-(AV423+AW423+AX423)),0)</f>
        <v>0</v>
      </c>
      <c r="BH423" s="166">
        <v>3</v>
      </c>
      <c r="BI423" s="166">
        <v>4</v>
      </c>
      <c r="BJ423" s="166">
        <v>2</v>
      </c>
      <c r="BK423" s="166">
        <v>0</v>
      </c>
      <c r="BL423" s="166"/>
      <c r="BM423" s="167">
        <f>SUM(AV423:AX423)+SUM(BC423:BD423)+SUM(BE423:BF423)+BG423</f>
        <v>165</v>
      </c>
      <c r="BN423" s="167"/>
      <c r="BO423" s="167"/>
      <c r="BP423" s="167"/>
      <c r="BQ423" s="167"/>
      <c r="BR423" s="167"/>
      <c r="BS423" s="167"/>
      <c r="BT423" s="167"/>
      <c r="BU423" s="167"/>
      <c r="BV423" s="167"/>
      <c r="BW423" s="167"/>
      <c r="BX423" s="167"/>
      <c r="BY423" s="167"/>
      <c r="BZ423" s="166"/>
    </row>
    <row r="424" spans="1:78" ht="25.5">
      <c r="B424" s="89">
        <v>418</v>
      </c>
      <c r="C424" s="93">
        <v>214</v>
      </c>
      <c r="D424" s="93">
        <v>450</v>
      </c>
      <c r="E424" s="94">
        <v>0.34027777777777773</v>
      </c>
      <c r="F424" s="94">
        <v>0.35416666666666669</v>
      </c>
      <c r="G424" s="93" t="s">
        <v>372</v>
      </c>
      <c r="H424" s="93" t="s">
        <v>108</v>
      </c>
      <c r="I424" s="96">
        <v>11.5</v>
      </c>
      <c r="J424" s="97">
        <v>8</v>
      </c>
      <c r="K424" s="98">
        <v>52</v>
      </c>
      <c r="L424" s="109" t="s">
        <v>750</v>
      </c>
      <c r="M424" s="87" t="s">
        <v>838</v>
      </c>
      <c r="N424" s="87">
        <v>23</v>
      </c>
      <c r="O424" s="87" t="s">
        <v>837</v>
      </c>
      <c r="P424" s="87">
        <v>9</v>
      </c>
      <c r="R424" s="87"/>
      <c r="S424" s="26">
        <v>960</v>
      </c>
      <c r="T424" s="26" t="s">
        <v>1327</v>
      </c>
      <c r="U424" s="26">
        <v>2160</v>
      </c>
      <c r="V424" s="26" t="s">
        <v>1340</v>
      </c>
      <c r="W424" s="62">
        <v>44805</v>
      </c>
      <c r="X424" s="62">
        <v>45169</v>
      </c>
      <c r="Y424" s="62"/>
      <c r="Z424" s="62"/>
      <c r="AA424" s="23" t="s">
        <v>1125</v>
      </c>
      <c r="AB424" s="23" t="s">
        <v>731</v>
      </c>
      <c r="AC424" s="23" t="s">
        <v>731</v>
      </c>
      <c r="AD424" s="23" t="s">
        <v>731</v>
      </c>
      <c r="AE424" s="23"/>
      <c r="AF424" s="23"/>
      <c r="AG424" s="23"/>
      <c r="AH424" s="23" t="s">
        <v>731</v>
      </c>
      <c r="AI424" s="23"/>
      <c r="AJ424" s="23"/>
      <c r="AK424" s="23"/>
      <c r="AL424" s="23"/>
      <c r="AM424" s="23"/>
      <c r="AN424" s="23"/>
      <c r="AO424" s="23"/>
      <c r="AP424" s="23"/>
      <c r="AQ424" s="23"/>
      <c r="AR424" s="23"/>
      <c r="AS424" s="23"/>
      <c r="AT424" s="23"/>
      <c r="AU424" s="23"/>
      <c r="AV424" s="42">
        <v>26.39</v>
      </c>
      <c r="AY424" s="42"/>
      <c r="AZ424" s="42"/>
      <c r="BB424" s="45">
        <v>1</v>
      </c>
      <c r="BC424" s="41">
        <f>IF(AND((AV424/I424)&lt;2,BB424=1),(I424*2)-AV424,0)</f>
        <v>0</v>
      </c>
      <c r="BD424" s="41">
        <f>IF(AND((AV424/I424)&lt;3,BB424=2),(I424*3)-AV424,0)</f>
        <v>0</v>
      </c>
      <c r="BG424" s="18"/>
      <c r="BH424" s="18">
        <v>4</v>
      </c>
      <c r="BI424" s="18">
        <v>4</v>
      </c>
      <c r="BJ424" s="18">
        <v>5</v>
      </c>
      <c r="BK424" s="18">
        <v>4</v>
      </c>
      <c r="BL424" s="18">
        <v>4</v>
      </c>
      <c r="BM424" s="55">
        <f>SUM(AV424:AX424)+SUM(BC424:BD424)+SUM(BE424:BF424)+BG424</f>
        <v>26.39</v>
      </c>
      <c r="BN424" s="55"/>
      <c r="BO424" s="55"/>
      <c r="BP424" s="55"/>
      <c r="BQ424" s="55"/>
      <c r="BR424" s="55"/>
      <c r="BS424" s="55"/>
      <c r="BT424" s="55"/>
      <c r="BU424" s="55"/>
      <c r="BV424" s="55"/>
      <c r="BW424" s="55"/>
      <c r="BX424" s="55"/>
      <c r="BY424" s="55"/>
    </row>
    <row r="425" spans="1:78" ht="25.5">
      <c r="B425" s="89">
        <v>419</v>
      </c>
      <c r="C425" s="93">
        <v>214</v>
      </c>
      <c r="D425" s="93">
        <v>29</v>
      </c>
      <c r="E425" s="94">
        <v>0.35416666666666669</v>
      </c>
      <c r="F425" s="105">
        <v>0.36874999999999997</v>
      </c>
      <c r="G425" s="93" t="s">
        <v>327</v>
      </c>
      <c r="H425" s="93" t="s">
        <v>108</v>
      </c>
      <c r="I425" s="96">
        <v>11.5</v>
      </c>
      <c r="J425" s="97">
        <v>8</v>
      </c>
      <c r="K425" s="98">
        <v>52</v>
      </c>
      <c r="L425" s="109" t="s">
        <v>750</v>
      </c>
      <c r="M425" s="87" t="s">
        <v>838</v>
      </c>
      <c r="N425" s="87">
        <v>23</v>
      </c>
      <c r="O425" s="87" t="s">
        <v>837</v>
      </c>
      <c r="P425" s="87">
        <v>9</v>
      </c>
      <c r="R425" s="87"/>
      <c r="S425" s="26">
        <v>2160</v>
      </c>
      <c r="T425" s="26" t="s">
        <v>1340</v>
      </c>
      <c r="U425" s="26">
        <v>960</v>
      </c>
      <c r="V425" s="26" t="s">
        <v>1327</v>
      </c>
      <c r="W425" s="62">
        <v>44805</v>
      </c>
      <c r="X425" s="62">
        <v>45169</v>
      </c>
      <c r="Y425" s="62"/>
      <c r="Z425" s="62"/>
      <c r="AA425" s="23" t="s">
        <v>1125</v>
      </c>
      <c r="AB425" s="23" t="s">
        <v>731</v>
      </c>
      <c r="AC425" s="23" t="s">
        <v>731</v>
      </c>
      <c r="AD425" s="23" t="s">
        <v>731</v>
      </c>
      <c r="AE425" s="23"/>
      <c r="AF425" s="23"/>
      <c r="AG425" s="23"/>
      <c r="AH425" s="23" t="s">
        <v>731</v>
      </c>
      <c r="AI425" s="23"/>
      <c r="AJ425" s="23"/>
      <c r="AK425" s="23"/>
      <c r="AL425" s="23"/>
      <c r="AM425" s="23"/>
      <c r="AN425" s="23"/>
      <c r="AO425" s="23"/>
      <c r="AP425" s="23"/>
      <c r="AQ425" s="23"/>
      <c r="AR425" s="23"/>
      <c r="AS425" s="23"/>
      <c r="AT425" s="23"/>
      <c r="AU425" s="23"/>
      <c r="AV425" s="42">
        <v>26.39</v>
      </c>
      <c r="AY425" s="42"/>
      <c r="AZ425" s="42"/>
      <c r="BB425" s="45">
        <v>1</v>
      </c>
      <c r="BC425" s="41">
        <f>IF(AND((AV425/I425)&lt;2,BB425=1),(I425*2)-AV425,0)</f>
        <v>0</v>
      </c>
      <c r="BD425" s="41">
        <f>IF(AND((AV425/I425)&lt;3,BB425=2),(I425*3)-AV425,0)</f>
        <v>0</v>
      </c>
      <c r="BG425" s="18"/>
      <c r="BH425" s="18">
        <v>4</v>
      </c>
      <c r="BI425" s="18">
        <v>4</v>
      </c>
      <c r="BJ425" s="18">
        <v>5</v>
      </c>
      <c r="BK425" s="18">
        <v>4</v>
      </c>
      <c r="BL425" s="18">
        <v>4</v>
      </c>
      <c r="BM425" s="55">
        <f>SUM(AV425:AX425)+SUM(BC425:BD425)+SUM(BE425:BF425)+BG425</f>
        <v>26.39</v>
      </c>
      <c r="BN425" s="55"/>
      <c r="BO425" s="55"/>
      <c r="BP425" s="55"/>
      <c r="BQ425" s="55"/>
      <c r="BR425" s="55"/>
      <c r="BS425" s="55"/>
      <c r="BT425" s="55"/>
      <c r="BU425" s="55"/>
      <c r="BV425" s="55"/>
      <c r="BW425" s="55"/>
      <c r="BX425" s="55"/>
      <c r="BY425" s="55"/>
    </row>
    <row r="426" spans="1:78" ht="38.25">
      <c r="B426" s="89">
        <v>420</v>
      </c>
      <c r="C426" s="93">
        <v>214</v>
      </c>
      <c r="D426" s="93">
        <v>615</v>
      </c>
      <c r="E426" s="94">
        <v>0.41666666666666669</v>
      </c>
      <c r="F426" s="94">
        <v>0.4291666666666667</v>
      </c>
      <c r="G426" s="93" t="s">
        <v>455</v>
      </c>
      <c r="H426" s="106" t="s">
        <v>1184</v>
      </c>
      <c r="I426" s="96">
        <v>12.5</v>
      </c>
      <c r="J426" s="97" t="s">
        <v>93</v>
      </c>
      <c r="K426" s="111">
        <v>34</v>
      </c>
      <c r="L426" s="109" t="s">
        <v>742</v>
      </c>
      <c r="M426" s="87" t="s">
        <v>949</v>
      </c>
      <c r="N426" s="87">
        <v>20</v>
      </c>
      <c r="O426" s="87" t="s">
        <v>1885</v>
      </c>
      <c r="P426" s="87">
        <v>27</v>
      </c>
      <c r="R426" s="87"/>
      <c r="S426" s="26">
        <v>2314</v>
      </c>
      <c r="T426" s="26" t="s">
        <v>1533</v>
      </c>
      <c r="U426" s="26" t="s">
        <v>1534</v>
      </c>
      <c r="V426" s="26" t="s">
        <v>1535</v>
      </c>
      <c r="W426" s="63">
        <v>44562</v>
      </c>
      <c r="X426" s="63">
        <v>44815</v>
      </c>
      <c r="Y426" s="63">
        <v>45108</v>
      </c>
      <c r="Z426" s="63">
        <v>45138</v>
      </c>
      <c r="AA426" s="23" t="s">
        <v>1823</v>
      </c>
      <c r="AB426" s="23"/>
      <c r="AC426" s="23" t="s">
        <v>731</v>
      </c>
      <c r="AD426" s="23" t="s">
        <v>731</v>
      </c>
      <c r="AE426" s="23"/>
      <c r="AF426" s="23" t="s">
        <v>731</v>
      </c>
      <c r="AG426" s="23" t="s">
        <v>731</v>
      </c>
      <c r="AH426" s="23" t="s">
        <v>731</v>
      </c>
      <c r="AI426" s="23" t="s">
        <v>731</v>
      </c>
      <c r="AJ426" s="23" t="s">
        <v>731</v>
      </c>
      <c r="AK426" s="23" t="s">
        <v>731</v>
      </c>
      <c r="AL426" s="23"/>
      <c r="AM426" s="23"/>
      <c r="AN426" s="23"/>
      <c r="AO426" s="23"/>
      <c r="AP426" s="23"/>
      <c r="AQ426" s="23"/>
      <c r="AR426" s="23"/>
      <c r="AS426" s="23"/>
      <c r="AT426" s="23"/>
      <c r="AU426" s="23"/>
      <c r="AV426" s="42">
        <v>37.5</v>
      </c>
      <c r="AY426" s="42"/>
      <c r="AZ426" s="42"/>
      <c r="BB426" s="45">
        <v>1</v>
      </c>
      <c r="BC426" s="41">
        <f>IF(AND((AV426/I426)&lt;2,BB426=1),(I426*2)-AV426,0)</f>
        <v>0</v>
      </c>
      <c r="BD426" s="41">
        <f>IF(AND((AV426/I426)&lt;3,BB426=2),(I426*3)-AV426,0)</f>
        <v>0</v>
      </c>
      <c r="BG426" s="18"/>
      <c r="BH426" s="18">
        <v>9</v>
      </c>
      <c r="BI426" s="18">
        <v>0</v>
      </c>
      <c r="BJ426" s="18">
        <v>0</v>
      </c>
      <c r="BK426" s="18">
        <v>0</v>
      </c>
      <c r="BL426" s="18">
        <v>0</v>
      </c>
      <c r="BM426" s="55">
        <f>SUM(AV426:AX426)+SUM(BC426:BD426)+SUM(BE426:BF426)+BG426</f>
        <v>37.5</v>
      </c>
      <c r="BN426" s="55"/>
      <c r="BO426" s="55"/>
      <c r="BP426" s="55"/>
      <c r="BQ426" s="55"/>
      <c r="BR426" s="55"/>
      <c r="BS426" s="55"/>
      <c r="BT426" s="55"/>
      <c r="BU426" s="55"/>
      <c r="BV426" s="55"/>
      <c r="BW426" s="55"/>
      <c r="BX426" s="55"/>
      <c r="BY426" s="55"/>
    </row>
    <row r="427" spans="1:78" ht="45">
      <c r="B427" s="113" t="s">
        <v>1185</v>
      </c>
      <c r="C427" s="93">
        <v>214</v>
      </c>
      <c r="D427" s="93">
        <v>615</v>
      </c>
      <c r="E427" s="94">
        <v>0.41666666666666669</v>
      </c>
      <c r="F427" s="94">
        <v>0.4291666666666667</v>
      </c>
      <c r="G427" s="93" t="s">
        <v>455</v>
      </c>
      <c r="H427" s="106" t="s">
        <v>1184</v>
      </c>
      <c r="I427" s="96">
        <v>12.5</v>
      </c>
      <c r="J427" s="97" t="s">
        <v>93</v>
      </c>
      <c r="K427" s="111">
        <v>33</v>
      </c>
      <c r="L427" s="109" t="s">
        <v>753</v>
      </c>
      <c r="M427" s="87" t="s">
        <v>962</v>
      </c>
      <c r="N427" s="87">
        <v>18</v>
      </c>
      <c r="O427" s="87" t="s">
        <v>950</v>
      </c>
      <c r="P427" s="87">
        <v>17</v>
      </c>
      <c r="R427" s="87"/>
      <c r="S427" s="26">
        <v>2314</v>
      </c>
      <c r="T427" s="26" t="s">
        <v>1533</v>
      </c>
      <c r="U427" s="26" t="s">
        <v>1534</v>
      </c>
      <c r="V427" s="26" t="s">
        <v>1535</v>
      </c>
      <c r="W427" s="63">
        <v>45101</v>
      </c>
      <c r="X427" s="63">
        <v>45107</v>
      </c>
      <c r="Y427" s="63">
        <v>45139</v>
      </c>
      <c r="Z427" s="63">
        <v>45169</v>
      </c>
      <c r="AA427" s="23" t="s">
        <v>1822</v>
      </c>
      <c r="AB427" s="23"/>
      <c r="AC427" s="23" t="s">
        <v>731</v>
      </c>
      <c r="AD427" s="23" t="s">
        <v>731</v>
      </c>
      <c r="AE427" s="23"/>
      <c r="AF427" s="23" t="s">
        <v>731</v>
      </c>
      <c r="AG427" s="23" t="s">
        <v>731</v>
      </c>
      <c r="AH427" s="23" t="s">
        <v>731</v>
      </c>
      <c r="AI427" s="23" t="s">
        <v>731</v>
      </c>
      <c r="AJ427" s="23" t="s">
        <v>731</v>
      </c>
      <c r="AK427" s="23" t="s">
        <v>731</v>
      </c>
      <c r="AL427" s="23"/>
      <c r="AM427" s="23"/>
      <c r="AN427" s="23"/>
      <c r="AO427" s="23"/>
      <c r="AP427" s="23"/>
      <c r="AQ427" s="23"/>
      <c r="AR427" s="23"/>
      <c r="AS427" s="23"/>
      <c r="AT427" s="23"/>
      <c r="AU427" s="23"/>
      <c r="AV427" s="42">
        <v>37.5</v>
      </c>
      <c r="AY427" s="42"/>
      <c r="AZ427" s="42"/>
      <c r="BB427" s="45">
        <v>1</v>
      </c>
      <c r="BC427" s="41">
        <f>IF(AND((AV427/I427)&lt;2,BB427=1),(I427*2)-AV427,0)</f>
        <v>0</v>
      </c>
      <c r="BD427" s="41">
        <f>IF(AND((AV427/I427)&lt;3,BB427=2),(I427*3)-AV427,0)</f>
        <v>0</v>
      </c>
      <c r="BG427" s="18"/>
      <c r="BH427" s="18">
        <v>0</v>
      </c>
      <c r="BI427" s="18">
        <v>0</v>
      </c>
      <c r="BJ427" s="18">
        <v>0</v>
      </c>
      <c r="BK427" s="18">
        <v>0</v>
      </c>
      <c r="BL427" s="18">
        <v>0</v>
      </c>
      <c r="BM427" s="55">
        <f>SUM(AV427:AX427)+SUM(BC427:BD427)+SUM(BE427:BF427)+BG427</f>
        <v>37.5</v>
      </c>
      <c r="BN427" s="55"/>
      <c r="BO427" s="55"/>
      <c r="BP427" s="55"/>
      <c r="BQ427" s="55"/>
      <c r="BR427" s="55"/>
      <c r="BS427" s="55"/>
      <c r="BT427" s="55"/>
      <c r="BU427" s="55"/>
      <c r="BV427" s="55"/>
      <c r="BW427" s="55"/>
      <c r="BX427" s="55"/>
      <c r="BY427" s="55"/>
    </row>
    <row r="428" spans="1:78" ht="25.5">
      <c r="A428" s="83"/>
      <c r="B428" s="89">
        <v>421</v>
      </c>
      <c r="C428" s="93">
        <v>214</v>
      </c>
      <c r="D428" s="93">
        <v>18</v>
      </c>
      <c r="E428" s="94">
        <v>0.4236111111111111</v>
      </c>
      <c r="F428" s="94">
        <v>0.46597222222222223</v>
      </c>
      <c r="G428" s="93" t="s">
        <v>450</v>
      </c>
      <c r="H428" s="93" t="s">
        <v>549</v>
      </c>
      <c r="I428" s="96">
        <v>28</v>
      </c>
      <c r="J428" s="97" t="s">
        <v>101</v>
      </c>
      <c r="K428" s="98">
        <v>13</v>
      </c>
      <c r="L428" s="109" t="s">
        <v>750</v>
      </c>
      <c r="M428" s="83" t="s">
        <v>839</v>
      </c>
      <c r="N428" s="83">
        <v>57</v>
      </c>
      <c r="O428" s="83" t="s">
        <v>1884</v>
      </c>
      <c r="P428" s="83">
        <v>56</v>
      </c>
      <c r="R428" s="83"/>
      <c r="S428" s="26">
        <v>960</v>
      </c>
      <c r="T428" s="26" t="s">
        <v>1327</v>
      </c>
      <c r="U428" s="26">
        <v>2156</v>
      </c>
      <c r="V428" s="26" t="s">
        <v>1535</v>
      </c>
      <c r="W428" s="63">
        <v>44562</v>
      </c>
      <c r="X428" s="63">
        <v>44815</v>
      </c>
      <c r="Y428" s="63">
        <v>45101</v>
      </c>
      <c r="Z428" s="63">
        <v>45169</v>
      </c>
      <c r="AA428" s="17" t="s">
        <v>1104</v>
      </c>
      <c r="AB428" s="23"/>
      <c r="AC428" s="23" t="s">
        <v>731</v>
      </c>
      <c r="AD428" s="23"/>
      <c r="AE428" s="23"/>
      <c r="AF428" s="23"/>
      <c r="AG428" s="23"/>
      <c r="AH428" s="23"/>
      <c r="AI428" s="23"/>
      <c r="AJ428" s="23"/>
      <c r="AK428" s="23"/>
      <c r="AL428" s="23" t="s">
        <v>731</v>
      </c>
      <c r="AM428" s="23"/>
      <c r="AN428" s="23"/>
      <c r="AO428" s="23"/>
      <c r="AP428" s="23"/>
      <c r="AQ428" s="23"/>
      <c r="AR428" s="23"/>
      <c r="AS428" s="23"/>
      <c r="AT428" s="23"/>
      <c r="AU428" s="23"/>
      <c r="AV428" s="42">
        <v>84</v>
      </c>
      <c r="AY428" s="42"/>
      <c r="AZ428" s="42"/>
      <c r="BB428" s="43">
        <v>2</v>
      </c>
      <c r="BC428" s="41">
        <f>IF(AND((AV428/I428)&lt;2,BB428=1),(I428*2)-AV428,0)</f>
        <v>0</v>
      </c>
      <c r="BD428" s="41">
        <f>IF(AND((AV428/I428)&lt;3,BB428=2),(I428*3)-AV428,0)</f>
        <v>0</v>
      </c>
      <c r="BG428" s="18"/>
      <c r="BH428" s="18">
        <v>2</v>
      </c>
      <c r="BI428" s="18">
        <v>0</v>
      </c>
      <c r="BJ428" s="18">
        <v>0</v>
      </c>
      <c r="BK428" s="18">
        <v>0</v>
      </c>
      <c r="BL428" s="18">
        <v>0</v>
      </c>
      <c r="BM428" s="55">
        <f>SUM(AV428:AX428)+SUM(BC428:BD428)+SUM(BE428:BF428)+BG428</f>
        <v>84</v>
      </c>
      <c r="BN428" s="55"/>
      <c r="BO428" s="55"/>
      <c r="BP428" s="55"/>
      <c r="BQ428" s="55"/>
      <c r="BR428" s="55"/>
      <c r="BS428" s="55"/>
      <c r="BT428" s="55"/>
      <c r="BU428" s="55"/>
      <c r="BV428" s="55"/>
      <c r="BW428" s="55"/>
      <c r="BX428" s="55"/>
      <c r="BY428" s="55"/>
    </row>
    <row r="429" spans="1:78" ht="25.5">
      <c r="B429" s="89">
        <v>422</v>
      </c>
      <c r="C429" s="93">
        <v>214</v>
      </c>
      <c r="D429" s="93">
        <v>639</v>
      </c>
      <c r="E429" s="94">
        <v>0.45833333333333331</v>
      </c>
      <c r="F429" s="94">
        <v>0.47083333333333338</v>
      </c>
      <c r="G429" s="93" t="s">
        <v>455</v>
      </c>
      <c r="H429" s="93" t="s">
        <v>549</v>
      </c>
      <c r="I429" s="96">
        <v>12.5</v>
      </c>
      <c r="J429" s="97" t="s">
        <v>93</v>
      </c>
      <c r="K429" s="98">
        <v>13</v>
      </c>
      <c r="L429" s="109" t="s">
        <v>742</v>
      </c>
      <c r="M429" s="87" t="s">
        <v>949</v>
      </c>
      <c r="N429" s="87">
        <v>20</v>
      </c>
      <c r="O429" s="87" t="s">
        <v>1885</v>
      </c>
      <c r="P429" s="87">
        <v>27</v>
      </c>
      <c r="R429" s="87"/>
      <c r="S429" s="26">
        <v>2314</v>
      </c>
      <c r="T429" s="26" t="s">
        <v>1533</v>
      </c>
      <c r="U429" s="26" t="s">
        <v>1534</v>
      </c>
      <c r="V429" s="26" t="s">
        <v>1535</v>
      </c>
      <c r="W429" s="63">
        <v>44562</v>
      </c>
      <c r="X429" s="63">
        <v>44815</v>
      </c>
      <c r="Y429" s="63">
        <v>45101</v>
      </c>
      <c r="Z429" s="63">
        <v>45169</v>
      </c>
      <c r="AA429" s="17" t="s">
        <v>1104</v>
      </c>
      <c r="AB429" s="23"/>
      <c r="AC429" s="23" t="s">
        <v>731</v>
      </c>
      <c r="AD429" s="23"/>
      <c r="AE429" s="23"/>
      <c r="AF429" s="23"/>
      <c r="AG429" s="23"/>
      <c r="AH429" s="23"/>
      <c r="AI429" s="23"/>
      <c r="AJ429" s="23"/>
      <c r="AK429" s="23"/>
      <c r="AL429" s="23" t="s">
        <v>731</v>
      </c>
      <c r="AM429" s="23"/>
      <c r="AN429" s="23"/>
      <c r="AO429" s="23"/>
      <c r="AP429" s="23"/>
      <c r="AQ429" s="23"/>
      <c r="AR429" s="23"/>
      <c r="AS429" s="23"/>
      <c r="AT429" s="23"/>
      <c r="AU429" s="23"/>
      <c r="AV429" s="42">
        <v>37.5</v>
      </c>
      <c r="AY429" s="42"/>
      <c r="AZ429" s="42"/>
      <c r="BB429" s="45">
        <v>1</v>
      </c>
      <c r="BC429" s="41">
        <f>IF(AND((AV429/I429)&lt;2,BB429=1),(I429*2)-AV429,0)</f>
        <v>0</v>
      </c>
      <c r="BD429" s="41">
        <f>IF(AND((AV429/I429)&lt;3,BB429=2),(I429*3)-AV429,0)</f>
        <v>0</v>
      </c>
      <c r="BG429" s="18"/>
      <c r="BH429" s="18">
        <v>2</v>
      </c>
      <c r="BI429" s="18">
        <v>0</v>
      </c>
      <c r="BJ429" s="18">
        <v>0</v>
      </c>
      <c r="BK429" s="18">
        <v>0</v>
      </c>
      <c r="BL429" s="18">
        <v>0</v>
      </c>
      <c r="BM429" s="55">
        <f>SUM(AV429:AX429)+SUM(BC429:BD429)+SUM(BE429:BF429)+BG429</f>
        <v>37.5</v>
      </c>
      <c r="BN429" s="55"/>
      <c r="BO429" s="55"/>
      <c r="BP429" s="55"/>
      <c r="BQ429" s="55"/>
      <c r="BR429" s="55"/>
      <c r="BS429" s="55"/>
      <c r="BT429" s="55"/>
      <c r="BU429" s="55"/>
      <c r="BV429" s="55"/>
      <c r="BW429" s="55"/>
      <c r="BX429" s="55"/>
      <c r="BY429" s="55"/>
    </row>
    <row r="430" spans="1:78" ht="38.25">
      <c r="B430" s="89">
        <v>423</v>
      </c>
      <c r="C430" s="93">
        <v>214</v>
      </c>
      <c r="D430" s="93">
        <v>36</v>
      </c>
      <c r="E430" s="94">
        <v>0.46666666666666662</v>
      </c>
      <c r="F430" s="94">
        <v>0.47916666666666669</v>
      </c>
      <c r="G430" s="93" t="s">
        <v>690</v>
      </c>
      <c r="H430" s="106" t="s">
        <v>1184</v>
      </c>
      <c r="I430" s="96">
        <v>12.5</v>
      </c>
      <c r="J430" s="97" t="s">
        <v>93</v>
      </c>
      <c r="K430" s="111">
        <v>34</v>
      </c>
      <c r="L430" s="109" t="s">
        <v>742</v>
      </c>
      <c r="M430" s="87" t="s">
        <v>949</v>
      </c>
      <c r="N430" s="87">
        <v>20</v>
      </c>
      <c r="O430" s="87" t="s">
        <v>1885</v>
      </c>
      <c r="P430" s="87">
        <v>27</v>
      </c>
      <c r="R430" s="87"/>
      <c r="S430" s="26" t="s">
        <v>1534</v>
      </c>
      <c r="T430" s="26" t="s">
        <v>1535</v>
      </c>
      <c r="U430" s="26">
        <v>2314</v>
      </c>
      <c r="V430" s="26" t="s">
        <v>1533</v>
      </c>
      <c r="W430" s="63">
        <v>44562</v>
      </c>
      <c r="X430" s="63">
        <v>44815</v>
      </c>
      <c r="Y430" s="63">
        <v>45108</v>
      </c>
      <c r="Z430" s="63">
        <v>45138</v>
      </c>
      <c r="AA430" s="23" t="s">
        <v>1823</v>
      </c>
      <c r="AB430" s="23"/>
      <c r="AC430" s="23" t="s">
        <v>731</v>
      </c>
      <c r="AD430" s="23" t="s">
        <v>731</v>
      </c>
      <c r="AE430" s="23"/>
      <c r="AF430" s="23" t="s">
        <v>731</v>
      </c>
      <c r="AG430" s="23" t="s">
        <v>731</v>
      </c>
      <c r="AH430" s="23" t="s">
        <v>731</v>
      </c>
      <c r="AI430" s="23" t="s">
        <v>731</v>
      </c>
      <c r="AJ430" s="23" t="s">
        <v>731</v>
      </c>
      <c r="AK430" s="23" t="s">
        <v>731</v>
      </c>
      <c r="AL430" s="23"/>
      <c r="AM430" s="23"/>
      <c r="AN430" s="23"/>
      <c r="AO430" s="23"/>
      <c r="AP430" s="23"/>
      <c r="AQ430" s="23"/>
      <c r="AR430" s="23"/>
      <c r="AS430" s="23"/>
      <c r="AT430" s="23"/>
      <c r="AU430" s="23"/>
      <c r="AV430" s="42">
        <v>37.5</v>
      </c>
      <c r="AY430" s="42"/>
      <c r="AZ430" s="42"/>
      <c r="BB430" s="45">
        <v>1</v>
      </c>
      <c r="BC430" s="41">
        <f>IF(AND((AV430/I430)&lt;2,BB430=1),(I430*2)-AV430,0)</f>
        <v>0</v>
      </c>
      <c r="BD430" s="41">
        <f>IF(AND((AV430/I430)&lt;3,BB430=2),(I430*3)-AV430,0)</f>
        <v>0</v>
      </c>
      <c r="BG430" s="18"/>
      <c r="BH430" s="18">
        <v>9</v>
      </c>
      <c r="BI430" s="18">
        <v>0</v>
      </c>
      <c r="BJ430" s="18">
        <v>0</v>
      </c>
      <c r="BK430" s="18">
        <v>0</v>
      </c>
      <c r="BL430" s="18">
        <v>0</v>
      </c>
      <c r="BM430" s="55">
        <f>SUM(AV430:AX430)+SUM(BC430:BD430)+SUM(BE430:BF430)+BG430</f>
        <v>37.5</v>
      </c>
      <c r="BN430" s="55"/>
      <c r="BO430" s="55"/>
      <c r="BP430" s="55"/>
      <c r="BQ430" s="55"/>
      <c r="BR430" s="55"/>
      <c r="BS430" s="55"/>
      <c r="BT430" s="55"/>
      <c r="BU430" s="55"/>
      <c r="BV430" s="55"/>
      <c r="BW430" s="55"/>
      <c r="BX430" s="55"/>
      <c r="BY430" s="55"/>
    </row>
    <row r="431" spans="1:78" ht="45">
      <c r="B431" s="113" t="s">
        <v>1186</v>
      </c>
      <c r="C431" s="93">
        <v>214</v>
      </c>
      <c r="D431" s="93">
        <v>36</v>
      </c>
      <c r="E431" s="94">
        <v>0.46666666666666662</v>
      </c>
      <c r="F431" s="94">
        <v>0.47916666666666669</v>
      </c>
      <c r="G431" s="93" t="s">
        <v>690</v>
      </c>
      <c r="H431" s="106" t="s">
        <v>1184</v>
      </c>
      <c r="I431" s="96">
        <v>12.5</v>
      </c>
      <c r="J431" s="97" t="s">
        <v>93</v>
      </c>
      <c r="K431" s="111">
        <v>33</v>
      </c>
      <c r="L431" s="109" t="s">
        <v>753</v>
      </c>
      <c r="M431" s="87" t="s">
        <v>962</v>
      </c>
      <c r="N431" s="87">
        <v>18</v>
      </c>
      <c r="O431" s="87" t="s">
        <v>950</v>
      </c>
      <c r="P431" s="87">
        <v>17</v>
      </c>
      <c r="R431" s="87"/>
      <c r="S431" s="26" t="s">
        <v>1534</v>
      </c>
      <c r="T431" s="26" t="s">
        <v>1535</v>
      </c>
      <c r="U431" s="26">
        <v>2314</v>
      </c>
      <c r="V431" s="26" t="s">
        <v>1533</v>
      </c>
      <c r="W431" s="63">
        <v>45101</v>
      </c>
      <c r="X431" s="63">
        <v>45107</v>
      </c>
      <c r="Y431" s="63">
        <v>45139</v>
      </c>
      <c r="Z431" s="63">
        <v>45169</v>
      </c>
      <c r="AA431" s="23" t="s">
        <v>1822</v>
      </c>
      <c r="AB431" s="23"/>
      <c r="AC431" s="23" t="s">
        <v>731</v>
      </c>
      <c r="AD431" s="23" t="s">
        <v>731</v>
      </c>
      <c r="AE431" s="23"/>
      <c r="AF431" s="23" t="s">
        <v>731</v>
      </c>
      <c r="AG431" s="23" t="s">
        <v>731</v>
      </c>
      <c r="AH431" s="23" t="s">
        <v>731</v>
      </c>
      <c r="AI431" s="23" t="s">
        <v>731</v>
      </c>
      <c r="AJ431" s="23" t="s">
        <v>731</v>
      </c>
      <c r="AK431" s="23" t="s">
        <v>731</v>
      </c>
      <c r="AL431" s="23"/>
      <c r="AM431" s="23"/>
      <c r="AN431" s="23"/>
      <c r="AO431" s="23"/>
      <c r="AP431" s="23"/>
      <c r="AQ431" s="23"/>
      <c r="AR431" s="23"/>
      <c r="AS431" s="23"/>
      <c r="AT431" s="23"/>
      <c r="AU431" s="23"/>
      <c r="AV431" s="42">
        <v>37.5</v>
      </c>
      <c r="AY431" s="42"/>
      <c r="AZ431" s="42"/>
      <c r="BB431" s="45">
        <v>1</v>
      </c>
      <c r="BC431" s="41">
        <f>IF(AND((AV431/I431)&lt;2,BB431=1),(I431*2)-AV431,0)</f>
        <v>0</v>
      </c>
      <c r="BD431" s="41">
        <f>IF(AND((AV431/I431)&lt;3,BB431=2),(I431*3)-AV431,0)</f>
        <v>0</v>
      </c>
      <c r="BG431" s="18"/>
      <c r="BH431" s="18">
        <v>0</v>
      </c>
      <c r="BI431" s="18">
        <v>0</v>
      </c>
      <c r="BJ431" s="18">
        <v>0</v>
      </c>
      <c r="BK431" s="18">
        <v>0</v>
      </c>
      <c r="BL431" s="18">
        <v>0</v>
      </c>
      <c r="BM431" s="55">
        <f>SUM(AV431:AX431)+SUM(BC431:BD431)+SUM(BE431:BF431)+BG431</f>
        <v>37.5</v>
      </c>
      <c r="BN431" s="55"/>
      <c r="BO431" s="55"/>
      <c r="BP431" s="55"/>
      <c r="BQ431" s="55"/>
      <c r="BR431" s="55"/>
      <c r="BS431" s="55"/>
      <c r="BT431" s="55"/>
      <c r="BU431" s="55"/>
      <c r="BV431" s="55"/>
      <c r="BW431" s="55"/>
      <c r="BX431" s="55"/>
      <c r="BY431" s="55"/>
    </row>
    <row r="432" spans="1:78" ht="25.5">
      <c r="A432" s="83"/>
      <c r="B432" s="89">
        <v>424</v>
      </c>
      <c r="C432" s="93">
        <v>214</v>
      </c>
      <c r="D432" s="93">
        <v>741</v>
      </c>
      <c r="E432" s="94">
        <v>0.47222222222222227</v>
      </c>
      <c r="F432" s="94">
        <v>0.51527777777777783</v>
      </c>
      <c r="G432" s="93" t="s">
        <v>452</v>
      </c>
      <c r="H432" s="93" t="s">
        <v>549</v>
      </c>
      <c r="I432" s="96">
        <v>28</v>
      </c>
      <c r="J432" s="97" t="s">
        <v>101</v>
      </c>
      <c r="K432" s="98">
        <v>13</v>
      </c>
      <c r="L432" s="109" t="s">
        <v>750</v>
      </c>
      <c r="M432" s="83" t="s">
        <v>839</v>
      </c>
      <c r="N432" s="83">
        <v>57</v>
      </c>
      <c r="O432" s="83" t="s">
        <v>1884</v>
      </c>
      <c r="P432" s="83">
        <v>56</v>
      </c>
      <c r="R432" s="83"/>
      <c r="S432" s="26">
        <v>2156</v>
      </c>
      <c r="T432" s="26" t="s">
        <v>1535</v>
      </c>
      <c r="U432" s="26">
        <v>960</v>
      </c>
      <c r="V432" s="26" t="s">
        <v>1327</v>
      </c>
      <c r="W432" s="63">
        <v>44562</v>
      </c>
      <c r="X432" s="63">
        <v>44815</v>
      </c>
      <c r="Y432" s="63">
        <v>45101</v>
      </c>
      <c r="Z432" s="63">
        <v>45169</v>
      </c>
      <c r="AA432" s="17" t="s">
        <v>1104</v>
      </c>
      <c r="AB432" s="23"/>
      <c r="AC432" s="23" t="s">
        <v>731</v>
      </c>
      <c r="AD432" s="23"/>
      <c r="AE432" s="23"/>
      <c r="AF432" s="23"/>
      <c r="AG432" s="23"/>
      <c r="AH432" s="23"/>
      <c r="AI432" s="23"/>
      <c r="AJ432" s="23"/>
      <c r="AK432" s="23"/>
      <c r="AL432" s="23" t="s">
        <v>731</v>
      </c>
      <c r="AM432" s="23"/>
      <c r="AN432" s="23"/>
      <c r="AO432" s="23"/>
      <c r="AP432" s="23"/>
      <c r="AQ432" s="23"/>
      <c r="AR432" s="23"/>
      <c r="AS432" s="23"/>
      <c r="AT432" s="23"/>
      <c r="AU432" s="23"/>
      <c r="AV432" s="42">
        <v>84</v>
      </c>
      <c r="AY432" s="42"/>
      <c r="AZ432" s="42"/>
      <c r="BB432" s="43">
        <v>2</v>
      </c>
      <c r="BC432" s="41">
        <f>IF(AND((AV432/I432)&lt;2,BB432=1),(I432*2)-AV432,0)</f>
        <v>0</v>
      </c>
      <c r="BD432" s="41">
        <f>IF(AND((AV432/I432)&lt;3,BB432=2),(I432*3)-AV432,0)</f>
        <v>0</v>
      </c>
      <c r="BG432" s="18"/>
      <c r="BH432" s="18">
        <v>2</v>
      </c>
      <c r="BI432" s="18">
        <v>0</v>
      </c>
      <c r="BJ432" s="18">
        <v>0</v>
      </c>
      <c r="BK432" s="18">
        <v>0</v>
      </c>
      <c r="BL432" s="18">
        <v>0</v>
      </c>
      <c r="BM432" s="55">
        <f>SUM(AV432:AX432)+SUM(BC432:BD432)+SUM(BE432:BF432)+BG432</f>
        <v>84</v>
      </c>
      <c r="BN432" s="55"/>
      <c r="BO432" s="55"/>
      <c r="BP432" s="55"/>
      <c r="BQ432" s="55"/>
      <c r="BR432" s="55"/>
      <c r="BS432" s="55"/>
      <c r="BT432" s="55"/>
      <c r="BU432" s="55"/>
      <c r="BV432" s="55"/>
      <c r="BW432" s="55"/>
      <c r="BX432" s="55"/>
      <c r="BY432" s="55"/>
    </row>
    <row r="433" spans="1:77" ht="25.5">
      <c r="B433" s="89">
        <v>425</v>
      </c>
      <c r="C433" s="93">
        <v>214</v>
      </c>
      <c r="D433" s="93">
        <v>36</v>
      </c>
      <c r="E433" s="94">
        <v>0.47222222222222227</v>
      </c>
      <c r="F433" s="94">
        <v>0.48472222222222222</v>
      </c>
      <c r="G433" s="93" t="s">
        <v>456</v>
      </c>
      <c r="H433" s="93" t="s">
        <v>549</v>
      </c>
      <c r="I433" s="96">
        <v>12.5</v>
      </c>
      <c r="J433" s="97" t="s">
        <v>93</v>
      </c>
      <c r="K433" s="98">
        <v>13</v>
      </c>
      <c r="L433" s="109" t="s">
        <v>742</v>
      </c>
      <c r="M433" s="87" t="s">
        <v>949</v>
      </c>
      <c r="N433" s="87">
        <v>20</v>
      </c>
      <c r="O433" s="87" t="s">
        <v>1885</v>
      </c>
      <c r="P433" s="87">
        <v>27</v>
      </c>
      <c r="R433" s="87"/>
      <c r="S433" s="26" t="s">
        <v>1534</v>
      </c>
      <c r="T433" s="26" t="s">
        <v>1535</v>
      </c>
      <c r="U433" s="26">
        <v>2314</v>
      </c>
      <c r="V433" s="26" t="s">
        <v>1533</v>
      </c>
      <c r="W433" s="63">
        <v>44562</v>
      </c>
      <c r="X433" s="63">
        <v>44815</v>
      </c>
      <c r="Y433" s="63">
        <v>45101</v>
      </c>
      <c r="Z433" s="63">
        <v>45169</v>
      </c>
      <c r="AA433" s="17" t="s">
        <v>1104</v>
      </c>
      <c r="AB433" s="23"/>
      <c r="AC433" s="23" t="s">
        <v>731</v>
      </c>
      <c r="AD433" s="23"/>
      <c r="AE433" s="23"/>
      <c r="AF433" s="23"/>
      <c r="AG433" s="23"/>
      <c r="AH433" s="23"/>
      <c r="AI433" s="23"/>
      <c r="AJ433" s="23"/>
      <c r="AK433" s="23"/>
      <c r="AL433" s="23" t="s">
        <v>731</v>
      </c>
      <c r="AM433" s="23"/>
      <c r="AN433" s="23"/>
      <c r="AO433" s="23"/>
      <c r="AP433" s="23"/>
      <c r="AQ433" s="23"/>
      <c r="AR433" s="23"/>
      <c r="AS433" s="23"/>
      <c r="AT433" s="23"/>
      <c r="AU433" s="23"/>
      <c r="AV433" s="42">
        <v>37.5</v>
      </c>
      <c r="AY433" s="42"/>
      <c r="AZ433" s="42"/>
      <c r="BB433" s="45">
        <v>1</v>
      </c>
      <c r="BC433" s="41">
        <f>IF(AND((AV433/I433)&lt;2,BB433=1),(I433*2)-AV433,0)</f>
        <v>0</v>
      </c>
      <c r="BD433" s="41">
        <f>IF(AND((AV433/I433)&lt;3,BB433=2),(I433*3)-AV433,0)</f>
        <v>0</v>
      </c>
      <c r="BG433" s="18"/>
      <c r="BH433" s="18">
        <v>2</v>
      </c>
      <c r="BI433" s="18">
        <v>0</v>
      </c>
      <c r="BJ433" s="18">
        <v>0</v>
      </c>
      <c r="BK433" s="18">
        <v>0</v>
      </c>
      <c r="BL433" s="18">
        <v>0</v>
      </c>
      <c r="BM433" s="55">
        <f>SUM(AV433:AX433)+SUM(BC433:BD433)+SUM(BE433:BF433)+BG433</f>
        <v>37.5</v>
      </c>
      <c r="BN433" s="55"/>
      <c r="BO433" s="55"/>
      <c r="BP433" s="55"/>
      <c r="BQ433" s="55"/>
      <c r="BR433" s="55"/>
      <c r="BS433" s="55"/>
      <c r="BT433" s="55"/>
      <c r="BU433" s="55"/>
      <c r="BV433" s="55"/>
      <c r="BW433" s="55"/>
      <c r="BX433" s="55"/>
      <c r="BY433" s="55"/>
    </row>
    <row r="434" spans="1:77" ht="45">
      <c r="B434" s="89">
        <v>426</v>
      </c>
      <c r="C434" s="93">
        <v>214</v>
      </c>
      <c r="D434" s="93">
        <v>38</v>
      </c>
      <c r="E434" s="94">
        <v>0.57361111111111118</v>
      </c>
      <c r="F434" s="94">
        <v>0.58472222222222225</v>
      </c>
      <c r="G434" s="93" t="s">
        <v>375</v>
      </c>
      <c r="H434" s="93" t="s">
        <v>374</v>
      </c>
      <c r="I434" s="96">
        <v>13</v>
      </c>
      <c r="J434" s="97" t="s">
        <v>125</v>
      </c>
      <c r="K434" s="98">
        <f>174-36</f>
        <v>138</v>
      </c>
      <c r="L434" s="109" t="s">
        <v>753</v>
      </c>
      <c r="M434" s="87" t="s">
        <v>962</v>
      </c>
      <c r="N434" s="87">
        <v>18</v>
      </c>
      <c r="O434" s="87" t="s">
        <v>960</v>
      </c>
      <c r="P434" s="87">
        <v>17</v>
      </c>
      <c r="Q434" s="87" t="s">
        <v>963</v>
      </c>
      <c r="R434" s="84">
        <v>24</v>
      </c>
      <c r="S434" s="26">
        <v>2156</v>
      </c>
      <c r="T434" s="26" t="s">
        <v>1535</v>
      </c>
      <c r="U434" s="26" t="s">
        <v>1536</v>
      </c>
      <c r="V434" s="26" t="s">
        <v>1533</v>
      </c>
      <c r="W434" s="62">
        <v>44816</v>
      </c>
      <c r="X434" s="62">
        <v>45086</v>
      </c>
      <c r="Y434" s="62"/>
      <c r="Z434" s="62"/>
      <c r="AA434" s="26" t="s">
        <v>1133</v>
      </c>
      <c r="AB434" s="23"/>
      <c r="AC434" s="23"/>
      <c r="AD434" s="23"/>
      <c r="AE434" s="23" t="s">
        <v>731</v>
      </c>
      <c r="AF434" s="23" t="s">
        <v>731</v>
      </c>
      <c r="AG434" s="23" t="s">
        <v>731</v>
      </c>
      <c r="AH434" s="23"/>
      <c r="AI434" s="23" t="s">
        <v>731</v>
      </c>
      <c r="AJ434" s="23" t="s">
        <v>731</v>
      </c>
      <c r="AK434" s="23"/>
      <c r="AL434" s="23"/>
      <c r="AM434" s="23"/>
      <c r="AN434" s="23"/>
      <c r="AO434" s="23"/>
      <c r="AP434" s="23"/>
      <c r="AQ434" s="23"/>
      <c r="AR434" s="23"/>
      <c r="AS434" s="23"/>
      <c r="AT434" s="23"/>
      <c r="AU434" s="23"/>
      <c r="AV434" s="42">
        <v>40.79</v>
      </c>
      <c r="AY434" s="42"/>
      <c r="AZ434" s="42"/>
      <c r="BB434" s="45">
        <v>1</v>
      </c>
      <c r="BC434" s="41">
        <f>IF(AND((AV434/I434)&lt;2,BB434=1),(I434*2)-AV434,0)</f>
        <v>0</v>
      </c>
      <c r="BD434" s="41">
        <f>IF(AND((AV434/I434)&lt;3,BB434=2),(I434*3)-AV434,0)</f>
        <v>0</v>
      </c>
      <c r="BG434" s="18"/>
      <c r="BH434" s="18">
        <v>12</v>
      </c>
      <c r="BI434" s="18">
        <v>16</v>
      </c>
      <c r="BJ434" s="18">
        <v>16</v>
      </c>
      <c r="BK434" s="18">
        <v>12</v>
      </c>
      <c r="BL434" s="18">
        <v>14</v>
      </c>
      <c r="BM434" s="55">
        <f>SUM(AV434:AX434)+SUM(BC434:BD434)+SUM(BE434:BF434)+BG434</f>
        <v>40.79</v>
      </c>
      <c r="BN434" s="55"/>
      <c r="BO434" s="55"/>
      <c r="BP434" s="55"/>
      <c r="BQ434" s="55"/>
      <c r="BR434" s="55"/>
      <c r="BS434" s="55"/>
      <c r="BT434" s="55"/>
      <c r="BU434" s="55"/>
      <c r="BV434" s="55"/>
      <c r="BW434" s="55"/>
      <c r="BX434" s="55"/>
      <c r="BY434" s="55"/>
    </row>
    <row r="435" spans="1:77" ht="25.5">
      <c r="A435" s="83"/>
      <c r="B435" s="89">
        <v>427</v>
      </c>
      <c r="C435" s="93">
        <v>214</v>
      </c>
      <c r="D435" s="93">
        <v>66</v>
      </c>
      <c r="E435" s="94">
        <v>0.59027777777777779</v>
      </c>
      <c r="F435" s="94">
        <v>0.63263888888888886</v>
      </c>
      <c r="G435" s="93" t="s">
        <v>450</v>
      </c>
      <c r="H435" s="93" t="s">
        <v>549</v>
      </c>
      <c r="I435" s="96">
        <v>28</v>
      </c>
      <c r="J435" s="97" t="s">
        <v>188</v>
      </c>
      <c r="K435" s="98">
        <v>13</v>
      </c>
      <c r="L435" s="109" t="s">
        <v>750</v>
      </c>
      <c r="M435" s="83" t="s">
        <v>839</v>
      </c>
      <c r="N435" s="83">
        <v>57</v>
      </c>
      <c r="O435" s="83" t="s">
        <v>1884</v>
      </c>
      <c r="P435" s="83">
        <v>56</v>
      </c>
      <c r="R435" s="83"/>
      <c r="S435" s="26">
        <v>960</v>
      </c>
      <c r="T435" s="26" t="s">
        <v>1327</v>
      </c>
      <c r="U435" s="26">
        <v>2156</v>
      </c>
      <c r="V435" s="26" t="s">
        <v>1535</v>
      </c>
      <c r="W435" s="63">
        <v>44562</v>
      </c>
      <c r="X435" s="63">
        <v>44815</v>
      </c>
      <c r="Y435" s="63">
        <v>45101</v>
      </c>
      <c r="Z435" s="63">
        <v>45169</v>
      </c>
      <c r="AA435" s="17" t="s">
        <v>1104</v>
      </c>
      <c r="AB435" s="23"/>
      <c r="AC435" s="23" t="s">
        <v>731</v>
      </c>
      <c r="AD435" s="23"/>
      <c r="AE435" s="23"/>
      <c r="AF435" s="23"/>
      <c r="AG435" s="23"/>
      <c r="AH435" s="23"/>
      <c r="AI435" s="23"/>
      <c r="AJ435" s="23"/>
      <c r="AK435" s="23"/>
      <c r="AL435" s="23" t="s">
        <v>731</v>
      </c>
      <c r="AM435" s="23"/>
      <c r="AN435" s="23"/>
      <c r="AO435" s="23"/>
      <c r="AP435" s="23"/>
      <c r="AQ435" s="23"/>
      <c r="AR435" s="23"/>
      <c r="AS435" s="23"/>
      <c r="AT435" s="23"/>
      <c r="AU435" s="23"/>
      <c r="AV435" s="42">
        <v>84</v>
      </c>
      <c r="AY435" s="42"/>
      <c r="AZ435" s="42"/>
      <c r="BB435" s="45">
        <v>1</v>
      </c>
      <c r="BC435" s="41">
        <f>IF(AND((AV435/I435)&lt;2,BB435=1),(I435*2)-AV435,0)</f>
        <v>0</v>
      </c>
      <c r="BD435" s="41">
        <f>IF(AND((AV435/I435)&lt;3,BB435=2),(I435*3)-AV435,0)</f>
        <v>0</v>
      </c>
      <c r="BG435" s="18"/>
      <c r="BH435" s="18">
        <v>2</v>
      </c>
      <c r="BI435" s="18">
        <v>0</v>
      </c>
      <c r="BJ435" s="18">
        <v>0</v>
      </c>
      <c r="BK435" s="18">
        <v>0</v>
      </c>
      <c r="BL435" s="18">
        <v>0</v>
      </c>
      <c r="BM435" s="55">
        <f>SUM(AV435:AX435)+SUM(BC435:BD435)+SUM(BE435:BF435)+BG435</f>
        <v>84</v>
      </c>
      <c r="BN435" s="55"/>
      <c r="BO435" s="55"/>
      <c r="BP435" s="55"/>
      <c r="BQ435" s="55"/>
      <c r="BR435" s="55"/>
      <c r="BS435" s="55"/>
      <c r="BT435" s="55"/>
      <c r="BU435" s="55"/>
      <c r="BV435" s="55"/>
      <c r="BW435" s="55"/>
      <c r="BX435" s="55"/>
      <c r="BY435" s="55"/>
    </row>
    <row r="436" spans="1:77" ht="25.5">
      <c r="B436" s="89">
        <v>428</v>
      </c>
      <c r="C436" s="93">
        <v>214</v>
      </c>
      <c r="D436" s="93">
        <v>641</v>
      </c>
      <c r="E436" s="94">
        <v>0.625</v>
      </c>
      <c r="F436" s="94">
        <v>0.63750000000000007</v>
      </c>
      <c r="G436" s="93" t="s">
        <v>455</v>
      </c>
      <c r="H436" s="93" t="s">
        <v>549</v>
      </c>
      <c r="I436" s="96">
        <v>12.5</v>
      </c>
      <c r="J436" s="97" t="s">
        <v>93</v>
      </c>
      <c r="K436" s="98">
        <v>13</v>
      </c>
      <c r="L436" s="109" t="s">
        <v>742</v>
      </c>
      <c r="M436" s="87" t="s">
        <v>949</v>
      </c>
      <c r="N436" s="87">
        <v>20</v>
      </c>
      <c r="O436" s="87" t="s">
        <v>1885</v>
      </c>
      <c r="P436" s="87">
        <v>27</v>
      </c>
      <c r="R436" s="87"/>
      <c r="S436" s="26">
        <v>2314</v>
      </c>
      <c r="T436" s="26" t="s">
        <v>1533</v>
      </c>
      <c r="U436" s="26" t="s">
        <v>1534</v>
      </c>
      <c r="V436" s="26" t="s">
        <v>1535</v>
      </c>
      <c r="W436" s="63">
        <v>44562</v>
      </c>
      <c r="X436" s="63">
        <v>44815</v>
      </c>
      <c r="Y436" s="63">
        <v>45101</v>
      </c>
      <c r="Z436" s="63">
        <v>45169</v>
      </c>
      <c r="AA436" s="17" t="s">
        <v>1104</v>
      </c>
      <c r="AB436" s="23"/>
      <c r="AC436" s="23" t="s">
        <v>731</v>
      </c>
      <c r="AD436" s="23"/>
      <c r="AE436" s="23"/>
      <c r="AF436" s="23"/>
      <c r="AG436" s="23"/>
      <c r="AH436" s="23"/>
      <c r="AI436" s="23"/>
      <c r="AJ436" s="23"/>
      <c r="AK436" s="23"/>
      <c r="AL436" s="23" t="s">
        <v>731</v>
      </c>
      <c r="AM436" s="23"/>
      <c r="AN436" s="23"/>
      <c r="AO436" s="23"/>
      <c r="AP436" s="23"/>
      <c r="AQ436" s="23"/>
      <c r="AR436" s="23"/>
      <c r="AS436" s="23"/>
      <c r="AT436" s="23"/>
      <c r="AU436" s="23"/>
      <c r="AV436" s="42">
        <v>37.5</v>
      </c>
      <c r="AY436" s="42"/>
      <c r="AZ436" s="42"/>
      <c r="BB436" s="45">
        <v>1</v>
      </c>
      <c r="BC436" s="41">
        <f>IF(AND((AV436/I436)&lt;2,BB436=1),(I436*2)-AV436,0)</f>
        <v>0</v>
      </c>
      <c r="BD436" s="41">
        <f>IF(AND((AV436/I436)&lt;3,BB436=2),(I436*3)-AV436,0)</f>
        <v>0</v>
      </c>
      <c r="BG436" s="18"/>
      <c r="BH436" s="18">
        <v>2</v>
      </c>
      <c r="BI436" s="18">
        <v>0</v>
      </c>
      <c r="BJ436" s="18">
        <v>0</v>
      </c>
      <c r="BK436" s="18">
        <v>0</v>
      </c>
      <c r="BL436" s="18">
        <v>0</v>
      </c>
      <c r="BM436" s="55">
        <f>SUM(AV436:AX436)+SUM(BC436:BD436)+SUM(BE436:BF436)+BG436</f>
        <v>37.5</v>
      </c>
      <c r="BN436" s="55"/>
      <c r="BO436" s="55"/>
      <c r="BP436" s="55"/>
      <c r="BQ436" s="55"/>
      <c r="BR436" s="55"/>
      <c r="BS436" s="55"/>
      <c r="BT436" s="55"/>
      <c r="BU436" s="55"/>
      <c r="BV436" s="55"/>
      <c r="BW436" s="55"/>
      <c r="BX436" s="55"/>
      <c r="BY436" s="55"/>
    </row>
    <row r="437" spans="1:77" ht="45">
      <c r="B437" s="89">
        <v>429</v>
      </c>
      <c r="C437" s="93">
        <v>214</v>
      </c>
      <c r="D437" s="93">
        <v>42</v>
      </c>
      <c r="E437" s="94">
        <v>0.62638888888888888</v>
      </c>
      <c r="F437" s="105">
        <v>0.66180555555555554</v>
      </c>
      <c r="G437" s="93" t="s">
        <v>481</v>
      </c>
      <c r="H437" s="93" t="s">
        <v>103</v>
      </c>
      <c r="I437" s="96">
        <v>36</v>
      </c>
      <c r="J437" s="97" t="s">
        <v>269</v>
      </c>
      <c r="K437" s="98">
        <v>174</v>
      </c>
      <c r="L437" s="109" t="s">
        <v>753</v>
      </c>
      <c r="M437" s="87" t="s">
        <v>962</v>
      </c>
      <c r="N437" s="87">
        <v>18</v>
      </c>
      <c r="O437" s="87" t="s">
        <v>960</v>
      </c>
      <c r="P437" s="87">
        <v>17</v>
      </c>
      <c r="Q437" s="2" t="s">
        <v>963</v>
      </c>
      <c r="R437" s="84">
        <v>24</v>
      </c>
      <c r="S437" s="26">
        <v>2156</v>
      </c>
      <c r="T437" s="26" t="s">
        <v>1535</v>
      </c>
      <c r="U437" s="26">
        <v>2305</v>
      </c>
      <c r="V437" s="26" t="s">
        <v>1530</v>
      </c>
      <c r="W437" s="62">
        <v>44816</v>
      </c>
      <c r="X437" s="62">
        <v>45086</v>
      </c>
      <c r="Y437" s="62"/>
      <c r="Z437" s="62"/>
      <c r="AA437" s="22" t="s">
        <v>1102</v>
      </c>
      <c r="AB437" s="23"/>
      <c r="AC437" s="23"/>
      <c r="AD437" s="23"/>
      <c r="AE437" s="23" t="s">
        <v>731</v>
      </c>
      <c r="AF437" s="23" t="s">
        <v>731</v>
      </c>
      <c r="AG437" s="23" t="s">
        <v>731</v>
      </c>
      <c r="AH437" s="23" t="s">
        <v>731</v>
      </c>
      <c r="AI437" s="23" t="s">
        <v>731</v>
      </c>
      <c r="AJ437" s="23" t="s">
        <v>731</v>
      </c>
      <c r="AK437" s="23"/>
      <c r="AL437" s="23"/>
      <c r="AM437" s="23"/>
      <c r="AN437" s="23"/>
      <c r="AO437" s="23"/>
      <c r="AP437" s="23"/>
      <c r="AQ437" s="23"/>
      <c r="AR437" s="23"/>
      <c r="AS437" s="23"/>
      <c r="AT437" s="23"/>
      <c r="AU437" s="23"/>
      <c r="AV437" s="41">
        <f>((108*138)+(102.59*36))/K437</f>
        <v>106.88068965517242</v>
      </c>
      <c r="AY437" s="42"/>
      <c r="AZ437" s="42"/>
      <c r="BB437" s="45">
        <v>1</v>
      </c>
      <c r="BC437" s="41">
        <f>IF(AND((AV437/I437)&lt;2,BB437=1),(I437*2)-AV437,0)</f>
        <v>0</v>
      </c>
      <c r="BD437" s="41">
        <f>IF(AND((AV437/I437)&lt;3,BB437=2),(I437*3)-AV437,0)</f>
        <v>0</v>
      </c>
      <c r="BG437" s="18"/>
      <c r="BH437" s="18">
        <v>15</v>
      </c>
      <c r="BI437" s="18">
        <v>20</v>
      </c>
      <c r="BJ437" s="18">
        <v>21</v>
      </c>
      <c r="BK437" s="18">
        <v>15</v>
      </c>
      <c r="BL437" s="18">
        <v>17</v>
      </c>
      <c r="BM437" s="55">
        <f>SUM(AV437:AX437)+SUM(BC437:BD437)+SUM(BE437:BF437)+BG437</f>
        <v>106.88068965517242</v>
      </c>
      <c r="BN437" s="55"/>
      <c r="BO437" s="55"/>
      <c r="BP437" s="55"/>
      <c r="BQ437" s="55"/>
      <c r="BR437" s="55"/>
      <c r="BS437" s="55"/>
      <c r="BT437" s="55"/>
      <c r="BU437" s="55"/>
      <c r="BV437" s="55"/>
      <c r="BW437" s="55"/>
      <c r="BX437" s="55"/>
      <c r="BY437" s="55"/>
    </row>
    <row r="438" spans="1:77" ht="25.5">
      <c r="B438" s="89">
        <v>430</v>
      </c>
      <c r="C438" s="93">
        <v>214</v>
      </c>
      <c r="D438" s="95">
        <v>42</v>
      </c>
      <c r="E438" s="94">
        <v>0.63472222222222219</v>
      </c>
      <c r="F438" s="94">
        <v>0.67013888888888884</v>
      </c>
      <c r="G438" s="93" t="s">
        <v>190</v>
      </c>
      <c r="H438" s="95" t="s">
        <v>123</v>
      </c>
      <c r="I438" s="96">
        <v>36</v>
      </c>
      <c r="J438" s="97" t="s">
        <v>116</v>
      </c>
      <c r="K438" s="98">
        <v>34</v>
      </c>
      <c r="L438" s="109" t="s">
        <v>740</v>
      </c>
      <c r="M438" s="87" t="s">
        <v>947</v>
      </c>
      <c r="N438" s="87">
        <v>17</v>
      </c>
      <c r="O438" s="87" t="s">
        <v>1886</v>
      </c>
      <c r="P438" s="87">
        <v>9</v>
      </c>
      <c r="Q438" s="83"/>
      <c r="R438" s="87"/>
      <c r="S438" s="26">
        <v>2156</v>
      </c>
      <c r="T438" s="26" t="s">
        <v>1535</v>
      </c>
      <c r="U438" s="26">
        <v>2305</v>
      </c>
      <c r="V438" s="26" t="s">
        <v>1530</v>
      </c>
      <c r="W438" s="62">
        <v>44816</v>
      </c>
      <c r="X438" s="62">
        <v>45086</v>
      </c>
      <c r="Y438" s="62"/>
      <c r="Z438" s="62"/>
      <c r="AA438" s="22" t="s">
        <v>1111</v>
      </c>
      <c r="AB438" s="23"/>
      <c r="AC438" s="23"/>
      <c r="AD438" s="23"/>
      <c r="AE438" s="23" t="s">
        <v>731</v>
      </c>
      <c r="AF438" s="23"/>
      <c r="AG438" s="23"/>
      <c r="AH438" s="23"/>
      <c r="AI438" s="23"/>
      <c r="AJ438" s="23"/>
      <c r="AK438" s="23" t="s">
        <v>731</v>
      </c>
      <c r="AL438" s="23"/>
      <c r="AM438" s="23"/>
      <c r="AN438" s="23"/>
      <c r="AO438" s="23"/>
      <c r="AP438" s="23"/>
      <c r="AQ438" s="23"/>
      <c r="AR438" s="23"/>
      <c r="AS438" s="23"/>
      <c r="AT438" s="23"/>
      <c r="AU438" s="23"/>
      <c r="AV438" s="42">
        <v>106.44</v>
      </c>
      <c r="AY438" s="42"/>
      <c r="AZ438" s="42"/>
      <c r="BB438" s="45">
        <v>1</v>
      </c>
      <c r="BC438" s="41">
        <f>IF(AND((AV438/I438)&lt;2,BB438=1),(I438*2)-AV438,0)</f>
        <v>0</v>
      </c>
      <c r="BD438" s="41">
        <f>IF(AND((AV438/I438)&lt;3,BB438=2),(I438*3)-AV438,0)</f>
        <v>0</v>
      </c>
      <c r="BG438" s="18"/>
      <c r="BH438" s="18">
        <v>2</v>
      </c>
      <c r="BI438" s="18">
        <v>5</v>
      </c>
      <c r="BJ438" s="18">
        <v>4</v>
      </c>
      <c r="BK438" s="18">
        <v>3</v>
      </c>
      <c r="BL438" s="18">
        <v>3</v>
      </c>
      <c r="BM438" s="55">
        <f>SUM(AV438:AX438)+SUM(BC438:BD438)+SUM(BE438:BF438)+BG438</f>
        <v>106.44</v>
      </c>
      <c r="BN438" s="55"/>
      <c r="BO438" s="55"/>
      <c r="BP438" s="55"/>
      <c r="BQ438" s="55"/>
      <c r="BR438" s="55"/>
      <c r="BS438" s="55"/>
      <c r="BT438" s="55"/>
      <c r="BU438" s="55"/>
      <c r="BV438" s="55"/>
      <c r="BW438" s="55"/>
      <c r="BX438" s="55"/>
      <c r="BY438" s="55"/>
    </row>
    <row r="439" spans="1:77" ht="25.5">
      <c r="A439" s="83"/>
      <c r="B439" s="89">
        <v>431</v>
      </c>
      <c r="C439" s="93">
        <v>214</v>
      </c>
      <c r="D439" s="93">
        <v>745</v>
      </c>
      <c r="E439" s="94">
        <v>0.63888888888888895</v>
      </c>
      <c r="F439" s="94">
        <v>0.68194444444444446</v>
      </c>
      <c r="G439" s="93" t="s">
        <v>452</v>
      </c>
      <c r="H439" s="93" t="s">
        <v>549</v>
      </c>
      <c r="I439" s="96">
        <v>28</v>
      </c>
      <c r="J439" s="97" t="s">
        <v>101</v>
      </c>
      <c r="K439" s="98">
        <v>13</v>
      </c>
      <c r="L439" s="109" t="s">
        <v>750</v>
      </c>
      <c r="M439" s="83" t="s">
        <v>839</v>
      </c>
      <c r="N439" s="83">
        <v>57</v>
      </c>
      <c r="O439" s="83" t="s">
        <v>1884</v>
      </c>
      <c r="P439" s="83">
        <v>56</v>
      </c>
      <c r="R439" s="83"/>
      <c r="S439" s="26">
        <v>2156</v>
      </c>
      <c r="T439" s="26" t="s">
        <v>1535</v>
      </c>
      <c r="U439" s="26">
        <v>960</v>
      </c>
      <c r="V439" s="26" t="s">
        <v>1327</v>
      </c>
      <c r="W439" s="63">
        <v>44562</v>
      </c>
      <c r="X439" s="63">
        <v>44815</v>
      </c>
      <c r="Y439" s="63">
        <v>45101</v>
      </c>
      <c r="Z439" s="63">
        <v>45169</v>
      </c>
      <c r="AA439" s="17" t="s">
        <v>1104</v>
      </c>
      <c r="AB439" s="23"/>
      <c r="AC439" s="23" t="s">
        <v>731</v>
      </c>
      <c r="AD439" s="23"/>
      <c r="AE439" s="23"/>
      <c r="AF439" s="23"/>
      <c r="AG439" s="23"/>
      <c r="AH439" s="23"/>
      <c r="AI439" s="23"/>
      <c r="AJ439" s="23"/>
      <c r="AK439" s="23"/>
      <c r="AL439" s="23" t="s">
        <v>731</v>
      </c>
      <c r="AM439" s="23"/>
      <c r="AN439" s="23"/>
      <c r="AO439" s="23"/>
      <c r="AP439" s="23"/>
      <c r="AQ439" s="23"/>
      <c r="AR439" s="23"/>
      <c r="AS439" s="23"/>
      <c r="AT439" s="23"/>
      <c r="AU439" s="23"/>
      <c r="AV439" s="42">
        <v>84</v>
      </c>
      <c r="AY439" s="42"/>
      <c r="AZ439" s="42"/>
      <c r="BB439" s="43">
        <v>2</v>
      </c>
      <c r="BC439" s="41">
        <f>IF(AND((AV439/I439)&lt;2,BB439=1),(I439*2)-AV439,0)</f>
        <v>0</v>
      </c>
      <c r="BD439" s="41">
        <f>IF(AND((AV439/I439)&lt;3,BB439=2),(I439*3)-AV439,0)</f>
        <v>0</v>
      </c>
      <c r="BG439" s="18"/>
      <c r="BH439" s="18">
        <v>2</v>
      </c>
      <c r="BI439" s="18">
        <v>0</v>
      </c>
      <c r="BJ439" s="18">
        <v>0</v>
      </c>
      <c r="BK439" s="18">
        <v>0</v>
      </c>
      <c r="BL439" s="18">
        <v>0</v>
      </c>
      <c r="BM439" s="55">
        <f>SUM(AV439:AX439)+SUM(BC439:BD439)+SUM(BE439:BF439)+BG439</f>
        <v>84</v>
      </c>
      <c r="BN439" s="55"/>
      <c r="BO439" s="55"/>
      <c r="BP439" s="55"/>
      <c r="BQ439" s="55"/>
      <c r="BR439" s="55"/>
      <c r="BS439" s="55"/>
      <c r="BT439" s="55"/>
      <c r="BU439" s="55"/>
      <c r="BV439" s="55"/>
      <c r="BW439" s="55"/>
      <c r="BX439" s="55"/>
      <c r="BY439" s="55"/>
    </row>
    <row r="440" spans="1:77" ht="38.25">
      <c r="B440" s="89">
        <v>432</v>
      </c>
      <c r="C440" s="93">
        <v>214</v>
      </c>
      <c r="D440" s="93">
        <v>457</v>
      </c>
      <c r="E440" s="94">
        <v>0.66666666666666663</v>
      </c>
      <c r="F440" s="94">
        <v>0.6791666666666667</v>
      </c>
      <c r="G440" s="93" t="s">
        <v>455</v>
      </c>
      <c r="H440" s="106" t="s">
        <v>1184</v>
      </c>
      <c r="I440" s="96">
        <v>12.5</v>
      </c>
      <c r="J440" s="97" t="s">
        <v>93</v>
      </c>
      <c r="K440" s="111">
        <v>34</v>
      </c>
      <c r="L440" s="109" t="s">
        <v>742</v>
      </c>
      <c r="M440" s="87" t="s">
        <v>949</v>
      </c>
      <c r="N440" s="87">
        <v>20</v>
      </c>
      <c r="O440" s="87" t="s">
        <v>1885</v>
      </c>
      <c r="P440" s="87">
        <v>27</v>
      </c>
      <c r="R440" s="87"/>
      <c r="S440" s="26">
        <v>2314</v>
      </c>
      <c r="T440" s="26" t="s">
        <v>1533</v>
      </c>
      <c r="U440" s="26" t="s">
        <v>1534</v>
      </c>
      <c r="V440" s="26" t="s">
        <v>1535</v>
      </c>
      <c r="W440" s="63">
        <v>44562</v>
      </c>
      <c r="X440" s="63">
        <v>44815</v>
      </c>
      <c r="Y440" s="63">
        <v>45108</v>
      </c>
      <c r="Z440" s="63">
        <v>45138</v>
      </c>
      <c r="AA440" s="23" t="s">
        <v>1823</v>
      </c>
      <c r="AB440" s="23"/>
      <c r="AC440" s="23" t="s">
        <v>731</v>
      </c>
      <c r="AD440" s="23" t="s">
        <v>731</v>
      </c>
      <c r="AE440" s="23"/>
      <c r="AF440" s="23" t="s">
        <v>731</v>
      </c>
      <c r="AG440" s="23" t="s">
        <v>731</v>
      </c>
      <c r="AH440" s="23" t="s">
        <v>731</v>
      </c>
      <c r="AI440" s="23" t="s">
        <v>731</v>
      </c>
      <c r="AJ440" s="23" t="s">
        <v>731</v>
      </c>
      <c r="AK440" s="23" t="s">
        <v>731</v>
      </c>
      <c r="AL440" s="23"/>
      <c r="AM440" s="23"/>
      <c r="AN440" s="23"/>
      <c r="AO440" s="23"/>
      <c r="AP440" s="23"/>
      <c r="AQ440" s="23"/>
      <c r="AR440" s="23"/>
      <c r="AS440" s="23"/>
      <c r="AT440" s="23"/>
      <c r="AU440" s="23"/>
      <c r="AV440" s="42">
        <v>37.5</v>
      </c>
      <c r="AY440" s="42"/>
      <c r="AZ440" s="42"/>
      <c r="BB440" s="45">
        <v>1</v>
      </c>
      <c r="BC440" s="41">
        <f>IF(AND((AV440/I440)&lt;2,BB440=1),(I440*2)-AV440,0)</f>
        <v>0</v>
      </c>
      <c r="BD440" s="41">
        <f>IF(AND((AV440/I440)&lt;3,BB440=2),(I440*3)-AV440,0)</f>
        <v>0</v>
      </c>
      <c r="BG440" s="18"/>
      <c r="BH440" s="18">
        <v>9</v>
      </c>
      <c r="BI440" s="18">
        <v>0</v>
      </c>
      <c r="BJ440" s="18">
        <v>0</v>
      </c>
      <c r="BK440" s="18">
        <v>0</v>
      </c>
      <c r="BL440" s="18">
        <v>0</v>
      </c>
      <c r="BM440" s="55">
        <f>SUM(AV440:AX440)+SUM(BC440:BD440)+SUM(BE440:BF440)+BG440</f>
        <v>37.5</v>
      </c>
      <c r="BN440" s="55"/>
      <c r="BO440" s="55"/>
      <c r="BP440" s="55"/>
      <c r="BQ440" s="55"/>
      <c r="BR440" s="55"/>
      <c r="BS440" s="55"/>
      <c r="BT440" s="55"/>
      <c r="BU440" s="55"/>
      <c r="BV440" s="55"/>
      <c r="BW440" s="55"/>
      <c r="BX440" s="55"/>
      <c r="BY440" s="55"/>
    </row>
    <row r="441" spans="1:77" ht="45">
      <c r="B441" s="113" t="s">
        <v>1187</v>
      </c>
      <c r="C441" s="93">
        <v>214</v>
      </c>
      <c r="D441" s="93">
        <v>457</v>
      </c>
      <c r="E441" s="94">
        <v>0.66666666666666663</v>
      </c>
      <c r="F441" s="94">
        <v>0.6791666666666667</v>
      </c>
      <c r="G441" s="93" t="s">
        <v>455</v>
      </c>
      <c r="H441" s="106" t="s">
        <v>1184</v>
      </c>
      <c r="I441" s="96">
        <v>12.5</v>
      </c>
      <c r="J441" s="97" t="s">
        <v>93</v>
      </c>
      <c r="K441" s="111">
        <v>33</v>
      </c>
      <c r="L441" s="109" t="s">
        <v>753</v>
      </c>
      <c r="M441" s="87" t="s">
        <v>962</v>
      </c>
      <c r="N441" s="87">
        <v>18</v>
      </c>
      <c r="O441" s="87" t="s">
        <v>950</v>
      </c>
      <c r="P441" s="87">
        <v>17</v>
      </c>
      <c r="R441" s="87"/>
      <c r="S441" s="26">
        <v>2314</v>
      </c>
      <c r="T441" s="26" t="s">
        <v>1533</v>
      </c>
      <c r="U441" s="26" t="s">
        <v>1534</v>
      </c>
      <c r="V441" s="26" t="s">
        <v>1535</v>
      </c>
      <c r="W441" s="63">
        <v>45101</v>
      </c>
      <c r="X441" s="63">
        <v>45107</v>
      </c>
      <c r="Y441" s="63">
        <v>45139</v>
      </c>
      <c r="Z441" s="63">
        <v>45169</v>
      </c>
      <c r="AA441" s="23" t="s">
        <v>1822</v>
      </c>
      <c r="AB441" s="23"/>
      <c r="AC441" s="23" t="s">
        <v>731</v>
      </c>
      <c r="AD441" s="23" t="s">
        <v>731</v>
      </c>
      <c r="AE441" s="23"/>
      <c r="AF441" s="23" t="s">
        <v>731</v>
      </c>
      <c r="AG441" s="23" t="s">
        <v>731</v>
      </c>
      <c r="AH441" s="23" t="s">
        <v>731</v>
      </c>
      <c r="AI441" s="23" t="s">
        <v>731</v>
      </c>
      <c r="AJ441" s="23" t="s">
        <v>731</v>
      </c>
      <c r="AK441" s="23" t="s">
        <v>731</v>
      </c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42">
        <v>37.5</v>
      </c>
      <c r="AY441" s="42"/>
      <c r="AZ441" s="42"/>
      <c r="BB441" s="45">
        <v>1</v>
      </c>
      <c r="BC441" s="41">
        <f>IF(AND((AV441/I441)&lt;2,BB441=1),(I441*2)-AV441,0)</f>
        <v>0</v>
      </c>
      <c r="BD441" s="41">
        <f>IF(AND((AV441/I441)&lt;3,BB441=2),(I441*3)-AV441,0)</f>
        <v>0</v>
      </c>
      <c r="BG441" s="18"/>
      <c r="BH441" s="18">
        <v>0</v>
      </c>
      <c r="BI441" s="18">
        <v>0</v>
      </c>
      <c r="BJ441" s="18">
        <v>0</v>
      </c>
      <c r="BK441" s="18">
        <v>0</v>
      </c>
      <c r="BL441" s="18">
        <v>0</v>
      </c>
      <c r="BM441" s="55">
        <f>SUM(AV441:AX441)+SUM(BC441:BD441)+SUM(BE441:BF441)+BG441</f>
        <v>37.5</v>
      </c>
      <c r="BN441" s="55"/>
      <c r="BO441" s="55"/>
      <c r="BP441" s="55"/>
      <c r="BQ441" s="55"/>
      <c r="BR441" s="55"/>
      <c r="BS441" s="55"/>
      <c r="BT441" s="55"/>
      <c r="BU441" s="55"/>
      <c r="BV441" s="55"/>
      <c r="BW441" s="55"/>
      <c r="BX441" s="55"/>
      <c r="BY441" s="55"/>
    </row>
    <row r="442" spans="1:77" ht="25.5">
      <c r="A442" s="83"/>
      <c r="B442" s="89">
        <v>433</v>
      </c>
      <c r="C442" s="93">
        <v>214</v>
      </c>
      <c r="D442" s="93">
        <v>334</v>
      </c>
      <c r="E442" s="94">
        <v>0.6875</v>
      </c>
      <c r="F442" s="94">
        <v>0.72986111111111107</v>
      </c>
      <c r="G442" s="93" t="s">
        <v>450</v>
      </c>
      <c r="H442" s="93" t="s">
        <v>549</v>
      </c>
      <c r="I442" s="96">
        <v>28</v>
      </c>
      <c r="J442" s="97" t="s">
        <v>101</v>
      </c>
      <c r="K442" s="98">
        <v>13</v>
      </c>
      <c r="L442" s="109" t="s">
        <v>750</v>
      </c>
      <c r="M442" s="83" t="s">
        <v>839</v>
      </c>
      <c r="N442" s="83">
        <v>57</v>
      </c>
      <c r="O442" s="83" t="s">
        <v>1884</v>
      </c>
      <c r="P442" s="83">
        <v>56</v>
      </c>
      <c r="R442" s="83"/>
      <c r="S442" s="26">
        <v>960</v>
      </c>
      <c r="T442" s="26" t="s">
        <v>1327</v>
      </c>
      <c r="U442" s="26">
        <v>2156</v>
      </c>
      <c r="V442" s="26" t="s">
        <v>1535</v>
      </c>
      <c r="W442" s="63">
        <v>44562</v>
      </c>
      <c r="X442" s="63">
        <v>44815</v>
      </c>
      <c r="Y442" s="63">
        <v>45101</v>
      </c>
      <c r="Z442" s="63">
        <v>45169</v>
      </c>
      <c r="AA442" s="17" t="s">
        <v>1104</v>
      </c>
      <c r="AB442" s="23"/>
      <c r="AC442" s="23" t="s">
        <v>731</v>
      </c>
      <c r="AD442" s="23"/>
      <c r="AE442" s="23"/>
      <c r="AF442" s="23"/>
      <c r="AG442" s="23"/>
      <c r="AH442" s="23"/>
      <c r="AI442" s="23"/>
      <c r="AJ442" s="23"/>
      <c r="AK442" s="23"/>
      <c r="AL442" s="23" t="s">
        <v>731</v>
      </c>
      <c r="AM442" s="23"/>
      <c r="AN442" s="23"/>
      <c r="AO442" s="23"/>
      <c r="AP442" s="23"/>
      <c r="AQ442" s="23"/>
      <c r="AR442" s="23"/>
      <c r="AS442" s="23"/>
      <c r="AT442" s="23"/>
      <c r="AU442" s="23"/>
      <c r="AV442" s="42">
        <v>84</v>
      </c>
      <c r="AY442" s="42"/>
      <c r="AZ442" s="42"/>
      <c r="BB442" s="43">
        <v>2</v>
      </c>
      <c r="BC442" s="41">
        <f>IF(AND((AV442/I442)&lt;2,BB442=1),(I442*2)-AV442,0)</f>
        <v>0</v>
      </c>
      <c r="BD442" s="41">
        <f>IF(AND((AV442/I442)&lt;3,BB442=2),(I442*3)-AV442,0)</f>
        <v>0</v>
      </c>
      <c r="BG442" s="18"/>
      <c r="BH442" s="18">
        <v>2</v>
      </c>
      <c r="BI442" s="18">
        <v>0</v>
      </c>
      <c r="BJ442" s="18">
        <v>0</v>
      </c>
      <c r="BK442" s="18">
        <v>0</v>
      </c>
      <c r="BL442" s="18">
        <v>0</v>
      </c>
      <c r="BM442" s="55">
        <f>SUM(AV442:AX442)+SUM(BC442:BD442)+SUM(BE442:BF442)+BG442</f>
        <v>84</v>
      </c>
      <c r="BN442" s="55"/>
      <c r="BO442" s="55"/>
      <c r="BP442" s="55"/>
      <c r="BQ442" s="55"/>
      <c r="BR442" s="55"/>
      <c r="BS442" s="55"/>
      <c r="BT442" s="55"/>
      <c r="BU442" s="55"/>
      <c r="BV442" s="55"/>
      <c r="BW442" s="55"/>
      <c r="BX442" s="55"/>
      <c r="BY442" s="55"/>
    </row>
    <row r="443" spans="1:77" ht="25.5">
      <c r="B443" s="89">
        <v>434</v>
      </c>
      <c r="C443" s="93">
        <v>214</v>
      </c>
      <c r="D443" s="93">
        <v>570</v>
      </c>
      <c r="E443" s="94">
        <v>0.6875</v>
      </c>
      <c r="F443" s="94">
        <v>0.72986111111111107</v>
      </c>
      <c r="G443" s="93" t="s">
        <v>450</v>
      </c>
      <c r="H443" s="93" t="s">
        <v>451</v>
      </c>
      <c r="I443" s="96">
        <v>28</v>
      </c>
      <c r="J443" s="97" t="s">
        <v>269</v>
      </c>
      <c r="K443" s="98">
        <v>26</v>
      </c>
      <c r="L443" s="109" t="s">
        <v>750</v>
      </c>
      <c r="M443" s="87" t="s">
        <v>841</v>
      </c>
      <c r="N443" s="87">
        <v>29</v>
      </c>
      <c r="O443" s="87" t="s">
        <v>838</v>
      </c>
      <c r="P443" s="87">
        <v>23</v>
      </c>
      <c r="R443" s="87"/>
      <c r="S443" s="26">
        <v>960</v>
      </c>
      <c r="T443" s="26" t="s">
        <v>1327</v>
      </c>
      <c r="U443" s="26">
        <v>2156</v>
      </c>
      <c r="V443" s="26" t="s">
        <v>1535</v>
      </c>
      <c r="W443" s="63">
        <v>44816</v>
      </c>
      <c r="X443" s="63">
        <v>45100</v>
      </c>
      <c r="Y443" s="63"/>
      <c r="Z443" s="63"/>
      <c r="AA443" s="22" t="s">
        <v>1134</v>
      </c>
      <c r="AB443" s="23" t="s">
        <v>731</v>
      </c>
      <c r="AC443" s="23"/>
      <c r="AD443" s="23" t="s">
        <v>731</v>
      </c>
      <c r="AE443" s="23"/>
      <c r="AF443" s="23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 t="s">
        <v>731</v>
      </c>
      <c r="AQ443" s="23" t="s">
        <v>731</v>
      </c>
      <c r="AR443" s="23" t="s">
        <v>731</v>
      </c>
      <c r="AS443" s="23" t="s">
        <v>731</v>
      </c>
      <c r="AT443" s="23" t="s">
        <v>731</v>
      </c>
      <c r="AU443" s="23"/>
      <c r="AV443" s="42">
        <v>84</v>
      </c>
      <c r="AY443" s="42"/>
      <c r="AZ443" s="42"/>
      <c r="BB443" s="45">
        <v>1</v>
      </c>
      <c r="BC443" s="41">
        <f>IF(AND((AV443/I443)&lt;2,BB443=1),(I443*2)-AV443,0)</f>
        <v>0</v>
      </c>
      <c r="BD443" s="41">
        <f>IF(AND((AV443/I443)&lt;3,BB443=2),(I443*3)-AV443,0)</f>
        <v>0</v>
      </c>
      <c r="BG443" s="18"/>
      <c r="BH443" s="18">
        <v>0</v>
      </c>
      <c r="BI443" s="18">
        <v>1</v>
      </c>
      <c r="BJ443" s="18">
        <v>0</v>
      </c>
      <c r="BK443" s="18">
        <v>5</v>
      </c>
      <c r="BL443" s="18">
        <v>4</v>
      </c>
      <c r="BM443" s="55">
        <f>SUM(AV443:AX443)+SUM(BC443:BD443)+SUM(BE443:BF443)+BG443</f>
        <v>84</v>
      </c>
      <c r="BN443" s="55"/>
      <c r="BO443" s="55"/>
      <c r="BP443" s="55"/>
      <c r="BQ443" s="55"/>
      <c r="BR443" s="55"/>
      <c r="BS443" s="55"/>
      <c r="BT443" s="55"/>
      <c r="BU443" s="55"/>
      <c r="BV443" s="55"/>
      <c r="BW443" s="55"/>
      <c r="BX443" s="55"/>
      <c r="BY443" s="55"/>
    </row>
    <row r="444" spans="1:77" ht="38.25">
      <c r="B444" s="89">
        <v>435</v>
      </c>
      <c r="C444" s="93">
        <v>214</v>
      </c>
      <c r="D444" s="106">
        <v>74</v>
      </c>
      <c r="E444" s="94">
        <v>0.72013888888888899</v>
      </c>
      <c r="F444" s="94">
        <v>0.73263888888888884</v>
      </c>
      <c r="G444" s="93" t="s">
        <v>456</v>
      </c>
      <c r="H444" s="106" t="s">
        <v>1184</v>
      </c>
      <c r="I444" s="96">
        <v>12.5</v>
      </c>
      <c r="J444" s="97" t="s">
        <v>93</v>
      </c>
      <c r="K444" s="111">
        <v>34</v>
      </c>
      <c r="L444" s="109" t="s">
        <v>742</v>
      </c>
      <c r="M444" s="87" t="s">
        <v>949</v>
      </c>
      <c r="N444" s="87">
        <v>20</v>
      </c>
      <c r="O444" s="87" t="s">
        <v>1885</v>
      </c>
      <c r="P444" s="87">
        <v>27</v>
      </c>
      <c r="R444" s="87"/>
      <c r="S444" s="26" t="s">
        <v>1534</v>
      </c>
      <c r="T444" s="26" t="s">
        <v>1535</v>
      </c>
      <c r="U444" s="26">
        <v>2314</v>
      </c>
      <c r="V444" s="26" t="s">
        <v>1533</v>
      </c>
      <c r="W444" s="63">
        <v>44562</v>
      </c>
      <c r="X444" s="63">
        <v>44815</v>
      </c>
      <c r="Y444" s="63">
        <v>45108</v>
      </c>
      <c r="Z444" s="63">
        <v>45138</v>
      </c>
      <c r="AA444" s="23" t="s">
        <v>1823</v>
      </c>
      <c r="AB444" s="23"/>
      <c r="AC444" s="23" t="s">
        <v>731</v>
      </c>
      <c r="AD444" s="23" t="s">
        <v>731</v>
      </c>
      <c r="AE444" s="23"/>
      <c r="AF444" s="23" t="s">
        <v>731</v>
      </c>
      <c r="AG444" s="23" t="s">
        <v>731</v>
      </c>
      <c r="AH444" s="23" t="s">
        <v>731</v>
      </c>
      <c r="AI444" s="23" t="s">
        <v>731</v>
      </c>
      <c r="AJ444" s="23" t="s">
        <v>731</v>
      </c>
      <c r="AK444" s="23" t="s">
        <v>731</v>
      </c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42">
        <v>37.5</v>
      </c>
      <c r="AY444" s="42"/>
      <c r="AZ444" s="42"/>
      <c r="BB444" s="45">
        <v>1</v>
      </c>
      <c r="BC444" s="41">
        <f>IF(AND((AV444/I444)&lt;2,BB444=1),(I444*2)-AV444,0)</f>
        <v>0</v>
      </c>
      <c r="BD444" s="41">
        <f>IF(AND((AV444/I444)&lt;3,BB444=2),(I444*3)-AV444,0)</f>
        <v>0</v>
      </c>
      <c r="BG444" s="18"/>
      <c r="BH444" s="18">
        <v>9</v>
      </c>
      <c r="BI444" s="18">
        <v>0</v>
      </c>
      <c r="BJ444" s="18">
        <v>0</v>
      </c>
      <c r="BK444" s="18">
        <v>0</v>
      </c>
      <c r="BL444" s="18">
        <v>0</v>
      </c>
      <c r="BM444" s="55">
        <f>SUM(AV444:AX444)+SUM(BC444:BD444)+SUM(BE444:BF444)+BG444</f>
        <v>37.5</v>
      </c>
      <c r="BN444" s="55"/>
      <c r="BO444" s="55"/>
      <c r="BP444" s="55"/>
      <c r="BQ444" s="55"/>
      <c r="BR444" s="55"/>
      <c r="BS444" s="55"/>
      <c r="BT444" s="55"/>
      <c r="BU444" s="55"/>
      <c r="BV444" s="55"/>
      <c r="BW444" s="55"/>
      <c r="BX444" s="55"/>
      <c r="BY444" s="55"/>
    </row>
    <row r="445" spans="1:77" ht="45">
      <c r="B445" s="113" t="s">
        <v>1188</v>
      </c>
      <c r="C445" s="93">
        <v>214</v>
      </c>
      <c r="D445" s="106">
        <v>74</v>
      </c>
      <c r="E445" s="94">
        <v>0.72013888888888899</v>
      </c>
      <c r="F445" s="94">
        <v>0.73263888888888884</v>
      </c>
      <c r="G445" s="93" t="s">
        <v>456</v>
      </c>
      <c r="H445" s="106" t="s">
        <v>1184</v>
      </c>
      <c r="I445" s="96">
        <v>12.5</v>
      </c>
      <c r="J445" s="97" t="s">
        <v>93</v>
      </c>
      <c r="K445" s="111">
        <v>33</v>
      </c>
      <c r="L445" s="109" t="s">
        <v>753</v>
      </c>
      <c r="M445" s="87" t="s">
        <v>962</v>
      </c>
      <c r="N445" s="87">
        <v>18</v>
      </c>
      <c r="O445" s="87" t="s">
        <v>950</v>
      </c>
      <c r="P445" s="87">
        <v>17</v>
      </c>
      <c r="Q445" s="87"/>
      <c r="R445" s="87"/>
      <c r="S445" s="26" t="s">
        <v>1534</v>
      </c>
      <c r="T445" s="26" t="s">
        <v>1535</v>
      </c>
      <c r="U445" s="26">
        <v>2314</v>
      </c>
      <c r="V445" s="26" t="s">
        <v>1533</v>
      </c>
      <c r="W445" s="63">
        <v>45101</v>
      </c>
      <c r="X445" s="63">
        <v>45107</v>
      </c>
      <c r="Y445" s="63">
        <v>45139</v>
      </c>
      <c r="Z445" s="63">
        <v>45169</v>
      </c>
      <c r="AA445" s="23" t="s">
        <v>1822</v>
      </c>
      <c r="AB445" s="23"/>
      <c r="AC445" s="23" t="s">
        <v>731</v>
      </c>
      <c r="AD445" s="23" t="s">
        <v>731</v>
      </c>
      <c r="AE445" s="23"/>
      <c r="AF445" s="23" t="s">
        <v>731</v>
      </c>
      <c r="AG445" s="23" t="s">
        <v>731</v>
      </c>
      <c r="AH445" s="23" t="s">
        <v>731</v>
      </c>
      <c r="AI445" s="23" t="s">
        <v>731</v>
      </c>
      <c r="AJ445" s="23" t="s">
        <v>731</v>
      </c>
      <c r="AK445" s="23" t="s">
        <v>731</v>
      </c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42">
        <v>37.5</v>
      </c>
      <c r="AY445" s="42"/>
      <c r="AZ445" s="42"/>
      <c r="BB445" s="45">
        <v>1</v>
      </c>
      <c r="BC445" s="41">
        <f>IF(AND((AV445/I445)&lt;2,BB445=1),(I445*2)-AV445,0)</f>
        <v>0</v>
      </c>
      <c r="BD445" s="41">
        <f>IF(AND((AV445/I445)&lt;3,BB445=2),(I445*3)-AV445,0)</f>
        <v>0</v>
      </c>
      <c r="BG445" s="18"/>
      <c r="BH445" s="18">
        <v>0</v>
      </c>
      <c r="BI445" s="18">
        <v>0</v>
      </c>
      <c r="BJ445" s="18">
        <v>0</v>
      </c>
      <c r="BK445" s="18">
        <v>0</v>
      </c>
      <c r="BL445" s="18">
        <v>0</v>
      </c>
      <c r="BM445" s="55">
        <f>SUM(AV445:AX445)+SUM(BC445:BD445)+SUM(BE445:BF445)+BG445</f>
        <v>37.5</v>
      </c>
      <c r="BN445" s="55"/>
      <c r="BO445" s="55"/>
      <c r="BP445" s="55"/>
      <c r="BQ445" s="55"/>
      <c r="BR445" s="55"/>
      <c r="BS445" s="55"/>
      <c r="BT445" s="55"/>
      <c r="BU445" s="55"/>
      <c r="BV445" s="55"/>
      <c r="BW445" s="55"/>
      <c r="BX445" s="55"/>
      <c r="BY445" s="55"/>
    </row>
    <row r="446" spans="1:77" ht="25.5">
      <c r="B446" s="89">
        <v>436</v>
      </c>
      <c r="C446" s="93">
        <v>214</v>
      </c>
      <c r="D446" s="93">
        <v>574</v>
      </c>
      <c r="E446" s="94">
        <v>0.73055555555555562</v>
      </c>
      <c r="F446" s="94">
        <v>0.74305555555555547</v>
      </c>
      <c r="G446" s="93" t="s">
        <v>456</v>
      </c>
      <c r="H446" s="93" t="s">
        <v>549</v>
      </c>
      <c r="I446" s="96">
        <v>12.5</v>
      </c>
      <c r="J446" s="97" t="s">
        <v>93</v>
      </c>
      <c r="K446" s="98">
        <v>13</v>
      </c>
      <c r="L446" s="109" t="s">
        <v>742</v>
      </c>
      <c r="M446" s="87" t="s">
        <v>949</v>
      </c>
      <c r="N446" s="87">
        <v>20</v>
      </c>
      <c r="O446" s="87" t="s">
        <v>1885</v>
      </c>
      <c r="P446" s="87">
        <v>27</v>
      </c>
      <c r="R446" s="87"/>
      <c r="S446" s="26" t="s">
        <v>1534</v>
      </c>
      <c r="T446" s="26" t="s">
        <v>1535</v>
      </c>
      <c r="U446" s="26">
        <v>2314</v>
      </c>
      <c r="V446" s="26" t="s">
        <v>1533</v>
      </c>
      <c r="W446" s="63">
        <v>44562</v>
      </c>
      <c r="X446" s="63">
        <v>44815</v>
      </c>
      <c r="Y446" s="63">
        <v>45101</v>
      </c>
      <c r="Z446" s="63">
        <v>45169</v>
      </c>
      <c r="AA446" s="17" t="s">
        <v>1104</v>
      </c>
      <c r="AB446" s="23"/>
      <c r="AC446" s="23" t="s">
        <v>731</v>
      </c>
      <c r="AD446" s="23"/>
      <c r="AE446" s="23"/>
      <c r="AF446" s="23"/>
      <c r="AG446" s="23"/>
      <c r="AH446" s="23"/>
      <c r="AI446" s="23"/>
      <c r="AJ446" s="23"/>
      <c r="AK446" s="23"/>
      <c r="AL446" s="23" t="s">
        <v>731</v>
      </c>
      <c r="AM446" s="23"/>
      <c r="AN446" s="23"/>
      <c r="AO446" s="23"/>
      <c r="AP446" s="23"/>
      <c r="AQ446" s="23"/>
      <c r="AR446" s="23"/>
      <c r="AS446" s="23"/>
      <c r="AT446" s="23"/>
      <c r="AU446" s="23"/>
      <c r="AV446" s="42">
        <v>37.5</v>
      </c>
      <c r="AY446" s="42"/>
      <c r="AZ446" s="42"/>
      <c r="BB446" s="45">
        <v>1</v>
      </c>
      <c r="BC446" s="41">
        <f>IF(AND((AV446/I446)&lt;2,BB446=1),(I446*2)-AV446,0)</f>
        <v>0</v>
      </c>
      <c r="BD446" s="41">
        <f>IF(AND((AV446/I446)&lt;3,BB446=2),(I446*3)-AV446,0)</f>
        <v>0</v>
      </c>
      <c r="BG446" s="18"/>
      <c r="BH446" s="18">
        <v>2</v>
      </c>
      <c r="BI446" s="18">
        <v>0</v>
      </c>
      <c r="BJ446" s="18">
        <v>0</v>
      </c>
      <c r="BK446" s="18">
        <v>0</v>
      </c>
      <c r="BL446" s="18">
        <v>0</v>
      </c>
      <c r="BM446" s="55">
        <f>SUM(AV446:AX446)+SUM(BC446:BD446)+SUM(BE446:BF446)+BG446</f>
        <v>37.5</v>
      </c>
      <c r="BN446" s="55"/>
      <c r="BO446" s="55"/>
      <c r="BP446" s="55"/>
      <c r="BQ446" s="55"/>
      <c r="BR446" s="55"/>
      <c r="BS446" s="55"/>
      <c r="BT446" s="55"/>
      <c r="BU446" s="55"/>
      <c r="BV446" s="55"/>
      <c r="BW446" s="55"/>
      <c r="BX446" s="55"/>
      <c r="BY446" s="55"/>
    </row>
    <row r="447" spans="1:77" ht="25.5">
      <c r="A447" s="83"/>
      <c r="B447" s="89">
        <v>437</v>
      </c>
      <c r="C447" s="93">
        <v>214</v>
      </c>
      <c r="D447" s="93">
        <v>41</v>
      </c>
      <c r="E447" s="94">
        <v>0.73263888888888884</v>
      </c>
      <c r="F447" s="94">
        <v>0.77569444444444446</v>
      </c>
      <c r="G447" s="93" t="s">
        <v>452</v>
      </c>
      <c r="H447" s="93" t="s">
        <v>549</v>
      </c>
      <c r="I447" s="96">
        <v>28</v>
      </c>
      <c r="J447" s="97" t="s">
        <v>101</v>
      </c>
      <c r="K447" s="98">
        <v>13</v>
      </c>
      <c r="L447" s="109" t="s">
        <v>750</v>
      </c>
      <c r="M447" s="83" t="s">
        <v>839</v>
      </c>
      <c r="N447" s="83">
        <v>57</v>
      </c>
      <c r="O447" s="83" t="s">
        <v>1884</v>
      </c>
      <c r="P447" s="83">
        <v>56</v>
      </c>
      <c r="R447" s="83"/>
      <c r="S447" s="26">
        <v>2156</v>
      </c>
      <c r="T447" s="26" t="s">
        <v>1535</v>
      </c>
      <c r="U447" s="26">
        <v>960</v>
      </c>
      <c r="V447" s="26" t="s">
        <v>1327</v>
      </c>
      <c r="W447" s="63">
        <v>44562</v>
      </c>
      <c r="X447" s="63">
        <v>44815</v>
      </c>
      <c r="Y447" s="63">
        <v>45101</v>
      </c>
      <c r="Z447" s="63">
        <v>45169</v>
      </c>
      <c r="AA447" s="17" t="s">
        <v>1104</v>
      </c>
      <c r="AB447" s="23"/>
      <c r="AC447" s="23" t="s">
        <v>731</v>
      </c>
      <c r="AD447" s="23"/>
      <c r="AE447" s="23"/>
      <c r="AF447" s="23"/>
      <c r="AG447" s="23"/>
      <c r="AH447" s="23"/>
      <c r="AI447" s="23"/>
      <c r="AJ447" s="23"/>
      <c r="AK447" s="23"/>
      <c r="AL447" s="23" t="s">
        <v>731</v>
      </c>
      <c r="AM447" s="23"/>
      <c r="AN447" s="23"/>
      <c r="AO447" s="23"/>
      <c r="AP447" s="23"/>
      <c r="AQ447" s="23"/>
      <c r="AR447" s="23"/>
      <c r="AS447" s="23"/>
      <c r="AT447" s="23"/>
      <c r="AU447" s="23"/>
      <c r="AV447" s="42">
        <v>84</v>
      </c>
      <c r="AY447" s="42"/>
      <c r="AZ447" s="42"/>
      <c r="BB447" s="43">
        <v>2</v>
      </c>
      <c r="BC447" s="41">
        <f>IF(AND((AV447/I447)&lt;2,BB447=1),(I447*2)-AV447,0)</f>
        <v>0</v>
      </c>
      <c r="BD447" s="41">
        <f>IF(AND((AV447/I447)&lt;3,BB447=2),(I447*3)-AV447,0)</f>
        <v>0</v>
      </c>
      <c r="BG447" s="18"/>
      <c r="BH447" s="18">
        <v>2</v>
      </c>
      <c r="BI447" s="18">
        <v>0</v>
      </c>
      <c r="BJ447" s="18">
        <v>0</v>
      </c>
      <c r="BK447" s="18">
        <v>0</v>
      </c>
      <c r="BL447" s="18">
        <v>0</v>
      </c>
      <c r="BM447" s="55">
        <f>SUM(AV447:AX447)+SUM(BC447:BD447)+SUM(BE447:BF447)+BG447</f>
        <v>84</v>
      </c>
      <c r="BN447" s="55"/>
      <c r="BO447" s="55"/>
      <c r="BP447" s="55"/>
      <c r="BQ447" s="55"/>
      <c r="BR447" s="55"/>
      <c r="BS447" s="55"/>
      <c r="BT447" s="55"/>
      <c r="BU447" s="55"/>
      <c r="BV447" s="55"/>
      <c r="BW447" s="55"/>
      <c r="BX447" s="55"/>
      <c r="BY447" s="55"/>
    </row>
    <row r="448" spans="1:77" ht="25.5">
      <c r="B448" s="89">
        <v>438</v>
      </c>
      <c r="C448" s="101">
        <v>214</v>
      </c>
      <c r="D448" s="101">
        <v>46</v>
      </c>
      <c r="E448" s="108">
        <v>0.78125</v>
      </c>
      <c r="F448" s="108">
        <v>0.84652777777777777</v>
      </c>
      <c r="G448" s="103" t="s">
        <v>38</v>
      </c>
      <c r="H448" s="93" t="s">
        <v>478</v>
      </c>
      <c r="I448" s="101">
        <v>50</v>
      </c>
      <c r="J448" s="104">
        <v>50</v>
      </c>
      <c r="K448" s="98">
        <v>240</v>
      </c>
      <c r="L448" s="109" t="s">
        <v>742</v>
      </c>
      <c r="M448" s="2" t="s">
        <v>1237</v>
      </c>
      <c r="N448" s="85">
        <v>58</v>
      </c>
      <c r="O448" s="87" t="s">
        <v>1878</v>
      </c>
      <c r="P448" s="87">
        <v>56</v>
      </c>
      <c r="R448" s="83"/>
      <c r="S448" s="26">
        <v>960</v>
      </c>
      <c r="T448" s="26" t="s">
        <v>1327</v>
      </c>
      <c r="U448" s="26">
        <v>2323</v>
      </c>
      <c r="V448" s="26" t="s">
        <v>1529</v>
      </c>
      <c r="W448" s="63">
        <v>44816</v>
      </c>
      <c r="X448" s="63">
        <v>45100</v>
      </c>
      <c r="Y448" s="63"/>
      <c r="Z448" s="63"/>
      <c r="AA448" s="26" t="s">
        <v>1112</v>
      </c>
      <c r="AB448" s="23" t="s">
        <v>731</v>
      </c>
      <c r="AC448" s="23"/>
      <c r="AD448" s="23" t="s">
        <v>731</v>
      </c>
      <c r="AE448" s="23"/>
      <c r="AF448" s="23" t="s">
        <v>731</v>
      </c>
      <c r="AG448" s="23" t="s">
        <v>731</v>
      </c>
      <c r="AH448" s="23" t="s">
        <v>731</v>
      </c>
      <c r="AI448" s="23" t="s">
        <v>731</v>
      </c>
      <c r="AJ448" s="23" t="s">
        <v>731</v>
      </c>
      <c r="AK448" s="23" t="s">
        <v>731</v>
      </c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W448" s="41">
        <f>2.6*50</f>
        <v>130</v>
      </c>
      <c r="AY448" s="41"/>
      <c r="AZ448" s="41"/>
      <c r="BB448" s="43">
        <v>2</v>
      </c>
      <c r="BD448" s="41"/>
      <c r="BE448" s="44"/>
      <c r="BF448" s="44"/>
      <c r="BG448" s="18"/>
      <c r="BH448" s="18">
        <v>17</v>
      </c>
      <c r="BI448" s="18">
        <v>26</v>
      </c>
      <c r="BJ448" s="18">
        <v>25</v>
      </c>
      <c r="BK448" s="18">
        <v>25</v>
      </c>
      <c r="BL448" s="18">
        <v>25</v>
      </c>
      <c r="BM448" s="55">
        <f>SUM(AV448:AX448)+SUM(BC448:BD448)+SUM(BE448:BF448)+BG448</f>
        <v>130</v>
      </c>
      <c r="BN448" s="55"/>
      <c r="BO448" s="55"/>
      <c r="BP448" s="55"/>
      <c r="BQ448" s="55"/>
      <c r="BR448" s="55"/>
      <c r="BS448" s="55"/>
      <c r="BT448" s="55"/>
      <c r="BU448" s="55"/>
      <c r="BV448" s="55"/>
      <c r="BW448" s="55"/>
      <c r="BX448" s="55"/>
      <c r="BY448" s="55"/>
    </row>
    <row r="449" spans="1:77" ht="25.5">
      <c r="B449" s="89">
        <v>439</v>
      </c>
      <c r="C449" s="93">
        <v>214</v>
      </c>
      <c r="D449" s="93">
        <v>385</v>
      </c>
      <c r="E449" s="94">
        <v>0.77777777777777779</v>
      </c>
      <c r="F449" s="94">
        <v>0.81180555555555556</v>
      </c>
      <c r="G449" s="93" t="s">
        <v>452</v>
      </c>
      <c r="H449" s="93" t="s">
        <v>451</v>
      </c>
      <c r="I449" s="96">
        <v>28</v>
      </c>
      <c r="J449" s="97" t="s">
        <v>269</v>
      </c>
      <c r="K449" s="98">
        <v>26</v>
      </c>
      <c r="L449" s="109" t="s">
        <v>750</v>
      </c>
      <c r="M449" s="87" t="s">
        <v>838</v>
      </c>
      <c r="N449" s="87">
        <v>23</v>
      </c>
      <c r="O449" s="87" t="s">
        <v>841</v>
      </c>
      <c r="P449" s="87">
        <v>29</v>
      </c>
      <c r="R449" s="87"/>
      <c r="S449" s="26">
        <v>2156</v>
      </c>
      <c r="T449" s="26" t="s">
        <v>1535</v>
      </c>
      <c r="U449" s="26">
        <v>960</v>
      </c>
      <c r="V449" s="26" t="s">
        <v>1327</v>
      </c>
      <c r="W449" s="63">
        <v>44816</v>
      </c>
      <c r="X449" s="63">
        <v>45100</v>
      </c>
      <c r="Y449" s="63"/>
      <c r="Z449" s="63"/>
      <c r="AA449" s="22" t="s">
        <v>1134</v>
      </c>
      <c r="AB449" s="23" t="s">
        <v>731</v>
      </c>
      <c r="AC449" s="23"/>
      <c r="AD449" s="23" t="s">
        <v>731</v>
      </c>
      <c r="AE449" s="23"/>
      <c r="AF449" s="23"/>
      <c r="AG449" s="23"/>
      <c r="AH449" s="23"/>
      <c r="AI449" s="23"/>
      <c r="AJ449" s="23"/>
      <c r="AK449" s="23"/>
      <c r="AL449" s="23"/>
      <c r="AM449" s="23"/>
      <c r="AN449" s="23"/>
      <c r="AO449" s="23"/>
      <c r="AP449" s="23" t="s">
        <v>731</v>
      </c>
      <c r="AQ449" s="23" t="s">
        <v>731</v>
      </c>
      <c r="AR449" s="23" t="s">
        <v>731</v>
      </c>
      <c r="AS449" s="23" t="s">
        <v>731</v>
      </c>
      <c r="AT449" s="23" t="s">
        <v>731</v>
      </c>
      <c r="AU449" s="23"/>
      <c r="AV449" s="42">
        <f>69+6</f>
        <v>75</v>
      </c>
      <c r="AY449" s="42"/>
      <c r="AZ449" s="42"/>
      <c r="BB449" s="45">
        <v>1</v>
      </c>
      <c r="BC449" s="41">
        <f>IF(AND((AV449/I449)&lt;2,BB449=1),(I449*2)-AV449,0)</f>
        <v>0</v>
      </c>
      <c r="BD449" s="41">
        <f>IF(AND((AV449/I449)&lt;3,BB449=2),(I449*3)-AV449,0)</f>
        <v>0</v>
      </c>
      <c r="BG449" s="18"/>
      <c r="BH449" s="18">
        <v>0</v>
      </c>
      <c r="BI449" s="18">
        <v>1</v>
      </c>
      <c r="BJ449" s="18">
        <v>0</v>
      </c>
      <c r="BK449" s="18">
        <v>5</v>
      </c>
      <c r="BL449" s="18">
        <v>4</v>
      </c>
      <c r="BM449" s="55">
        <f>SUM(AV449:AX449)+SUM(BC449:BD449)+SUM(BE449:BF449)+BG449</f>
        <v>75</v>
      </c>
      <c r="BN449" s="55"/>
      <c r="BO449" s="55"/>
      <c r="BP449" s="55"/>
      <c r="BQ449" s="55"/>
      <c r="BR449" s="55"/>
      <c r="BS449" s="55"/>
      <c r="BT449" s="55"/>
      <c r="BU449" s="55"/>
      <c r="BV449" s="55"/>
      <c r="BW449" s="55"/>
      <c r="BX449" s="55"/>
      <c r="BY449" s="55"/>
    </row>
    <row r="450" spans="1:77" ht="25.5">
      <c r="A450" s="83"/>
      <c r="B450" s="89">
        <v>440</v>
      </c>
      <c r="C450" s="93">
        <v>214</v>
      </c>
      <c r="D450" s="93">
        <v>46</v>
      </c>
      <c r="E450" s="94">
        <v>0.78125</v>
      </c>
      <c r="F450" s="94">
        <v>0.82291666666666663</v>
      </c>
      <c r="G450" s="93" t="s">
        <v>450</v>
      </c>
      <c r="H450" s="93" t="s">
        <v>549</v>
      </c>
      <c r="I450" s="96">
        <v>28</v>
      </c>
      <c r="J450" s="97" t="s">
        <v>101</v>
      </c>
      <c r="K450" s="98">
        <v>13</v>
      </c>
      <c r="L450" s="109" t="s">
        <v>750</v>
      </c>
      <c r="M450" s="83" t="s">
        <v>839</v>
      </c>
      <c r="N450" s="83">
        <v>57</v>
      </c>
      <c r="O450" s="83" t="s">
        <v>1884</v>
      </c>
      <c r="P450" s="83">
        <v>56</v>
      </c>
      <c r="R450" s="83"/>
      <c r="S450" s="26">
        <v>960</v>
      </c>
      <c r="T450" s="26" t="s">
        <v>1327</v>
      </c>
      <c r="U450" s="26">
        <v>2156</v>
      </c>
      <c r="V450" s="26" t="s">
        <v>1535</v>
      </c>
      <c r="W450" s="63">
        <v>44562</v>
      </c>
      <c r="X450" s="63">
        <v>44815</v>
      </c>
      <c r="Y450" s="63">
        <v>45101</v>
      </c>
      <c r="Z450" s="63">
        <v>45169</v>
      </c>
      <c r="AA450" s="17" t="s">
        <v>1104</v>
      </c>
      <c r="AB450" s="23"/>
      <c r="AC450" s="23" t="s">
        <v>731</v>
      </c>
      <c r="AD450" s="23"/>
      <c r="AE450" s="23"/>
      <c r="AF450" s="23"/>
      <c r="AG450" s="23"/>
      <c r="AH450" s="23"/>
      <c r="AI450" s="23"/>
      <c r="AJ450" s="23"/>
      <c r="AK450" s="23"/>
      <c r="AL450" s="23" t="s">
        <v>731</v>
      </c>
      <c r="AM450" s="23"/>
      <c r="AN450" s="23"/>
      <c r="AO450" s="23"/>
      <c r="AP450" s="23"/>
      <c r="AQ450" s="23"/>
      <c r="AR450" s="23"/>
      <c r="AS450" s="23"/>
      <c r="AT450" s="23"/>
      <c r="AU450" s="23"/>
      <c r="AV450" s="42">
        <v>84</v>
      </c>
      <c r="AY450" s="42"/>
      <c r="AZ450" s="42"/>
      <c r="BB450" s="43">
        <v>2</v>
      </c>
      <c r="BC450" s="41">
        <f>IF(AND((AV450/I450)&lt;2,BB450=1),(I450*2)-AV450,0)</f>
        <v>0</v>
      </c>
      <c r="BD450" s="41">
        <f>IF(AND((AV450/I450)&lt;3,BB450=2),(I450*3)-AV450,0)</f>
        <v>0</v>
      </c>
      <c r="BG450" s="18"/>
      <c r="BH450" s="18">
        <v>2</v>
      </c>
      <c r="BI450" s="18">
        <v>0</v>
      </c>
      <c r="BJ450" s="18">
        <v>0</v>
      </c>
      <c r="BK450" s="18">
        <v>0</v>
      </c>
      <c r="BL450" s="18">
        <v>0</v>
      </c>
      <c r="BM450" s="55">
        <f>SUM(AV450:AX450)+SUM(BC450:BD450)+SUM(BE450:BF450)+BG450</f>
        <v>84</v>
      </c>
      <c r="BN450" s="55"/>
      <c r="BO450" s="55"/>
      <c r="BP450" s="55"/>
      <c r="BQ450" s="55"/>
      <c r="BR450" s="55"/>
      <c r="BS450" s="55"/>
      <c r="BT450" s="55"/>
      <c r="BU450" s="55"/>
      <c r="BV450" s="55"/>
      <c r="BW450" s="55"/>
      <c r="BX450" s="55"/>
      <c r="BY450" s="55"/>
    </row>
    <row r="451" spans="1:77" ht="25.5">
      <c r="B451" s="89">
        <v>441</v>
      </c>
      <c r="C451" s="101">
        <v>214</v>
      </c>
      <c r="D451" s="101">
        <v>46</v>
      </c>
      <c r="E451" s="102">
        <v>0.79166666666666663</v>
      </c>
      <c r="F451" s="108">
        <v>0.8569444444444444</v>
      </c>
      <c r="G451" s="103" t="s">
        <v>38</v>
      </c>
      <c r="H451" s="93" t="s">
        <v>423</v>
      </c>
      <c r="I451" s="101">
        <v>50</v>
      </c>
      <c r="J451" s="104">
        <v>50</v>
      </c>
      <c r="K451" s="98">
        <v>67</v>
      </c>
      <c r="L451" s="109" t="s">
        <v>742</v>
      </c>
      <c r="M451" s="2" t="s">
        <v>1237</v>
      </c>
      <c r="N451" s="85">
        <v>58</v>
      </c>
      <c r="O451" s="87" t="s">
        <v>1878</v>
      </c>
      <c r="P451" s="87">
        <v>56</v>
      </c>
      <c r="R451" s="83"/>
      <c r="S451" s="26">
        <v>960</v>
      </c>
      <c r="T451" s="26" t="s">
        <v>1327</v>
      </c>
      <c r="U451" s="26">
        <v>2323</v>
      </c>
      <c r="V451" s="26" t="s">
        <v>1529</v>
      </c>
      <c r="W451" s="63">
        <v>44562</v>
      </c>
      <c r="X451" s="63">
        <v>44815</v>
      </c>
      <c r="Y451" s="63">
        <v>45101</v>
      </c>
      <c r="Z451" s="63">
        <v>45169</v>
      </c>
      <c r="AA451" s="23" t="s">
        <v>1107</v>
      </c>
      <c r="AB451" s="23"/>
      <c r="AC451" s="23" t="s">
        <v>731</v>
      </c>
      <c r="AD451" s="23" t="s">
        <v>731</v>
      </c>
      <c r="AE451" s="23"/>
      <c r="AF451" s="23" t="s">
        <v>731</v>
      </c>
      <c r="AG451" s="23" t="s">
        <v>731</v>
      </c>
      <c r="AH451" s="23" t="s">
        <v>731</v>
      </c>
      <c r="AI451" s="23" t="s">
        <v>731</v>
      </c>
      <c r="AJ451" s="23" t="s">
        <v>731</v>
      </c>
      <c r="AK451" s="23" t="s">
        <v>731</v>
      </c>
      <c r="AL451" s="23"/>
      <c r="AM451" s="23"/>
      <c r="AN451" s="23"/>
      <c r="AO451" s="23"/>
      <c r="AP451" s="23"/>
      <c r="AQ451" s="23"/>
      <c r="AR451" s="23"/>
      <c r="AS451" s="23"/>
      <c r="AT451" s="23"/>
      <c r="AU451" s="23"/>
      <c r="AW451" s="41">
        <f>2.6*50</f>
        <v>130</v>
      </c>
      <c r="AY451" s="41"/>
      <c r="AZ451" s="41"/>
      <c r="BB451" s="43">
        <v>2</v>
      </c>
      <c r="BD451" s="41"/>
      <c r="BE451" s="44"/>
      <c r="BF451" s="44"/>
      <c r="BG451" s="18"/>
      <c r="BH451" s="18">
        <v>9</v>
      </c>
      <c r="BI451" s="18">
        <v>0</v>
      </c>
      <c r="BJ451" s="18">
        <v>0</v>
      </c>
      <c r="BK451" s="18">
        <v>0</v>
      </c>
      <c r="BL451" s="18">
        <v>0</v>
      </c>
      <c r="BM451" s="55">
        <f>SUM(AV451:AX451)+SUM(BC451:BD451)+SUM(BE451:BF451)+BG451</f>
        <v>130</v>
      </c>
      <c r="BN451" s="55"/>
      <c r="BO451" s="55"/>
      <c r="BP451" s="55"/>
      <c r="BQ451" s="55"/>
      <c r="BR451" s="55"/>
      <c r="BS451" s="55"/>
      <c r="BT451" s="55"/>
      <c r="BU451" s="55"/>
      <c r="BV451" s="55"/>
      <c r="BW451" s="55"/>
      <c r="BX451" s="55"/>
      <c r="BY451" s="55"/>
    </row>
    <row r="452" spans="1:77" ht="25.5">
      <c r="A452" s="83"/>
      <c r="B452" s="89">
        <v>442</v>
      </c>
      <c r="C452" s="124">
        <v>215</v>
      </c>
      <c r="D452" s="124">
        <v>135</v>
      </c>
      <c r="E452" s="125">
        <v>0.25555555555555559</v>
      </c>
      <c r="F452" s="125">
        <v>0.29583333333333334</v>
      </c>
      <c r="G452" s="126" t="s">
        <v>25</v>
      </c>
      <c r="H452" s="93" t="s">
        <v>478</v>
      </c>
      <c r="I452" s="124">
        <v>37</v>
      </c>
      <c r="J452" s="127">
        <v>50</v>
      </c>
      <c r="K452" s="98">
        <v>240</v>
      </c>
      <c r="L452" s="99" t="s">
        <v>751</v>
      </c>
      <c r="M452" s="83" t="s">
        <v>885</v>
      </c>
      <c r="N452" s="83">
        <v>57</v>
      </c>
      <c r="O452" s="83" t="s">
        <v>1879</v>
      </c>
      <c r="P452" s="83">
        <v>57</v>
      </c>
      <c r="Q452" s="83" t="s">
        <v>1238</v>
      </c>
      <c r="R452" s="83">
        <v>38</v>
      </c>
      <c r="S452" s="26">
        <v>2323</v>
      </c>
      <c r="T452" s="26" t="s">
        <v>1529</v>
      </c>
      <c r="U452" s="26">
        <v>2290</v>
      </c>
      <c r="V452" s="26" t="s">
        <v>1457</v>
      </c>
      <c r="W452" s="63">
        <v>44816</v>
      </c>
      <c r="X452" s="63">
        <v>45100</v>
      </c>
      <c r="Y452" s="63"/>
      <c r="Z452" s="63"/>
      <c r="AA452" s="26" t="s">
        <v>1112</v>
      </c>
      <c r="AB452" s="23" t="s">
        <v>731</v>
      </c>
      <c r="AC452" s="23"/>
      <c r="AD452" s="23" t="s">
        <v>731</v>
      </c>
      <c r="AE452" s="23"/>
      <c r="AF452" s="23" t="s">
        <v>731</v>
      </c>
      <c r="AG452" s="23" t="s">
        <v>731</v>
      </c>
      <c r="AH452" s="23" t="s">
        <v>731</v>
      </c>
      <c r="AI452" s="23" t="s">
        <v>731</v>
      </c>
      <c r="AJ452" s="23" t="s">
        <v>731</v>
      </c>
      <c r="AK452" s="23" t="s">
        <v>731</v>
      </c>
      <c r="AL452" s="23"/>
      <c r="AM452" s="23"/>
      <c r="AN452" s="23"/>
      <c r="AO452" s="23"/>
      <c r="AP452" s="23"/>
      <c r="AQ452" s="23"/>
      <c r="AR452" s="23"/>
      <c r="AS452" s="23"/>
      <c r="AT452" s="23"/>
      <c r="AU452" s="23"/>
      <c r="AV452" s="42">
        <v>88.8</v>
      </c>
      <c r="AY452" s="42"/>
      <c r="AZ452" s="42"/>
      <c r="BB452" s="43">
        <v>2</v>
      </c>
      <c r="BC452" s="44"/>
      <c r="BD452" s="44"/>
      <c r="BG452" s="41">
        <f>IF((AV452+AW452+AX452)&lt;20,(20-(AV452+AW452+AX452)),0)</f>
        <v>0</v>
      </c>
      <c r="BH452" s="18">
        <v>17</v>
      </c>
      <c r="BI452" s="18">
        <v>26</v>
      </c>
      <c r="BJ452" s="18">
        <v>25</v>
      </c>
      <c r="BK452" s="18">
        <v>25</v>
      </c>
      <c r="BL452" s="18">
        <v>25</v>
      </c>
      <c r="BM452" s="55">
        <f>SUM(AV452:AX452)+SUM(BC452:BD452)+SUM(BE452:BF452)+BG452</f>
        <v>88.8</v>
      </c>
      <c r="BN452" s="55"/>
      <c r="BO452" s="55"/>
      <c r="BP452" s="55"/>
      <c r="BQ452" s="55"/>
      <c r="BR452" s="55"/>
      <c r="BS452" s="55"/>
      <c r="BT452" s="55"/>
      <c r="BU452" s="55"/>
      <c r="BV452" s="55"/>
      <c r="BW452" s="55"/>
      <c r="BX452" s="55"/>
      <c r="BY452" s="55"/>
    </row>
    <row r="453" spans="1:77" ht="45">
      <c r="B453" s="89">
        <v>443</v>
      </c>
      <c r="C453" s="93">
        <v>215</v>
      </c>
      <c r="D453" s="93">
        <v>585</v>
      </c>
      <c r="E453" s="105">
        <v>0.27430555555555552</v>
      </c>
      <c r="F453" s="105">
        <v>0.27986111111111112</v>
      </c>
      <c r="G453" s="93" t="s">
        <v>381</v>
      </c>
      <c r="H453" s="93" t="s">
        <v>97</v>
      </c>
      <c r="I453" s="96">
        <v>5.2</v>
      </c>
      <c r="J453" s="97">
        <v>19</v>
      </c>
      <c r="K453" s="131">
        <v>208</v>
      </c>
      <c r="L453" s="99" t="s">
        <v>753</v>
      </c>
      <c r="M453" s="87" t="s">
        <v>950</v>
      </c>
      <c r="N453" s="87">
        <v>17</v>
      </c>
      <c r="O453" s="87" t="s">
        <v>960</v>
      </c>
      <c r="P453" s="87">
        <v>17</v>
      </c>
      <c r="Q453" s="87" t="s">
        <v>961</v>
      </c>
      <c r="R453" s="84">
        <v>9</v>
      </c>
      <c r="S453" s="26">
        <v>2327</v>
      </c>
      <c r="T453" s="26" t="s">
        <v>1537</v>
      </c>
      <c r="U453" s="26">
        <v>2323</v>
      </c>
      <c r="V453" s="26" t="s">
        <v>1529</v>
      </c>
      <c r="W453" s="62">
        <v>44816</v>
      </c>
      <c r="X453" s="62">
        <v>45086</v>
      </c>
      <c r="Y453" s="62"/>
      <c r="Z453" s="62"/>
      <c r="AA453" s="22" t="s">
        <v>1106</v>
      </c>
      <c r="AB453" s="23"/>
      <c r="AC453" s="23"/>
      <c r="AD453" s="23"/>
      <c r="AE453" s="23" t="s">
        <v>731</v>
      </c>
      <c r="AF453" s="23" t="s">
        <v>731</v>
      </c>
      <c r="AG453" s="23" t="s">
        <v>731</v>
      </c>
      <c r="AH453" s="23" t="s">
        <v>731</v>
      </c>
      <c r="AI453" s="23" t="s">
        <v>731</v>
      </c>
      <c r="AJ453" s="23" t="s">
        <v>731</v>
      </c>
      <c r="AK453" s="23" t="s">
        <v>731</v>
      </c>
      <c r="AL453" s="23"/>
      <c r="AM453" s="23"/>
      <c r="AN453" s="23"/>
      <c r="AO453" s="23"/>
      <c r="AP453" s="23"/>
      <c r="AQ453" s="23"/>
      <c r="AR453" s="23"/>
      <c r="AS453" s="23"/>
      <c r="AT453" s="23"/>
      <c r="AU453" s="23"/>
      <c r="AV453" s="42">
        <v>16.850000000000001</v>
      </c>
      <c r="AY453" s="42"/>
      <c r="AZ453" s="42"/>
      <c r="BB453" s="45">
        <v>1</v>
      </c>
      <c r="BC453" s="41">
        <f>IF(AND((AV453/I453)&lt;2,BB453=1),(I453*2)-AV453,0)</f>
        <v>0</v>
      </c>
      <c r="BD453" s="41">
        <f>IF(AND((AV453/I453)&lt;3,BB453=2),(I453*3)-AV453,0)</f>
        <v>0</v>
      </c>
      <c r="BG453" s="41">
        <f>IF((AV453+AW453+AX453)&lt;20,(20-(AV453+AW453+AX453)),0)</f>
        <v>3.1499999999999986</v>
      </c>
      <c r="BH453" s="18">
        <v>17</v>
      </c>
      <c r="BI453" s="18">
        <v>25</v>
      </c>
      <c r="BJ453" s="18">
        <v>25</v>
      </c>
      <c r="BK453" s="18">
        <v>18</v>
      </c>
      <c r="BL453" s="18">
        <v>20</v>
      </c>
      <c r="BM453" s="55">
        <f>SUM(AV453:AX453)+SUM(BC453:BD453)+SUM(BE453:BF453)+BG453</f>
        <v>20</v>
      </c>
      <c r="BN453" s="55"/>
      <c r="BO453" s="55"/>
      <c r="BP453" s="55"/>
      <c r="BQ453" s="55"/>
      <c r="BR453" s="55"/>
      <c r="BS453" s="55"/>
      <c r="BT453" s="55"/>
      <c r="BU453" s="55"/>
      <c r="BV453" s="55"/>
      <c r="BW453" s="55"/>
      <c r="BX453" s="55"/>
      <c r="BY453" s="55"/>
    </row>
    <row r="454" spans="1:77" ht="25.5">
      <c r="A454" s="2" t="s">
        <v>800</v>
      </c>
      <c r="B454" s="89">
        <v>444</v>
      </c>
      <c r="C454" s="93">
        <v>215</v>
      </c>
      <c r="D454" s="93"/>
      <c r="E454" s="94">
        <v>0.27430555555555552</v>
      </c>
      <c r="F454" s="94">
        <v>0.28125</v>
      </c>
      <c r="G454" s="93" t="s">
        <v>699</v>
      </c>
      <c r="H454" s="93" t="s">
        <v>97</v>
      </c>
      <c r="I454" s="96">
        <v>6</v>
      </c>
      <c r="J454" s="97" t="s">
        <v>700</v>
      </c>
      <c r="K454" s="98">
        <v>208</v>
      </c>
      <c r="L454" s="109" t="s">
        <v>742</v>
      </c>
      <c r="M454" s="83" t="s">
        <v>1063</v>
      </c>
      <c r="N454" s="83">
        <v>8</v>
      </c>
      <c r="O454" s="83"/>
      <c r="P454" s="83"/>
      <c r="R454" s="83"/>
      <c r="S454" s="26" t="s">
        <v>1538</v>
      </c>
      <c r="T454" s="26" t="s">
        <v>1539</v>
      </c>
      <c r="U454" s="26" t="s">
        <v>1540</v>
      </c>
      <c r="V454" s="26" t="s">
        <v>1541</v>
      </c>
      <c r="W454" s="62">
        <v>44816</v>
      </c>
      <c r="X454" s="62">
        <v>45086</v>
      </c>
      <c r="Y454" s="62"/>
      <c r="Z454" s="62"/>
      <c r="AA454" s="22" t="s">
        <v>1106</v>
      </c>
      <c r="AB454" s="23"/>
      <c r="AC454" s="23"/>
      <c r="AD454" s="23"/>
      <c r="AE454" s="23" t="s">
        <v>731</v>
      </c>
      <c r="AF454" s="23" t="s">
        <v>731</v>
      </c>
      <c r="AG454" s="23" t="s">
        <v>731</v>
      </c>
      <c r="AH454" s="23" t="s">
        <v>731</v>
      </c>
      <c r="AI454" s="23" t="s">
        <v>731</v>
      </c>
      <c r="AJ454" s="23" t="s">
        <v>731</v>
      </c>
      <c r="AK454" s="23" t="s">
        <v>731</v>
      </c>
      <c r="AL454" s="23"/>
      <c r="AM454" s="23"/>
      <c r="AN454" s="23"/>
      <c r="AO454" s="23"/>
      <c r="AP454" s="23"/>
      <c r="AQ454" s="23"/>
      <c r="AR454" s="23"/>
      <c r="AS454" s="23"/>
      <c r="AT454" s="23"/>
      <c r="AU454" s="23"/>
      <c r="AX454" s="41">
        <f>3*I454</f>
        <v>18</v>
      </c>
      <c r="AY454" s="42"/>
      <c r="AZ454" s="42"/>
      <c r="BB454" s="45">
        <v>1</v>
      </c>
      <c r="BC454" s="45"/>
      <c r="BD454" s="50"/>
      <c r="BE454" s="45"/>
      <c r="BF454" s="45"/>
      <c r="BG454" s="41">
        <f>IF((AV454+AW454+AX454)&lt;20,(20-(AV454+AW454+AX454)),0)</f>
        <v>2</v>
      </c>
      <c r="BH454" s="18">
        <v>17</v>
      </c>
      <c r="BI454" s="18">
        <v>25</v>
      </c>
      <c r="BJ454" s="18">
        <v>25</v>
      </c>
      <c r="BK454" s="18">
        <v>18</v>
      </c>
      <c r="BL454" s="18">
        <v>20</v>
      </c>
      <c r="BM454" s="55">
        <f>SUM(AV454:AX454)+SUM(BC454:BD454)+SUM(BE454:BF454)+BG454</f>
        <v>20</v>
      </c>
      <c r="BN454" s="55"/>
      <c r="BO454" s="55"/>
      <c r="BP454" s="55"/>
      <c r="BQ454" s="55"/>
      <c r="BR454" s="55"/>
      <c r="BS454" s="55"/>
      <c r="BT454" s="55"/>
      <c r="BU454" s="55"/>
      <c r="BV454" s="55"/>
      <c r="BW454" s="55"/>
      <c r="BX454" s="55"/>
      <c r="BY454" s="55"/>
    </row>
    <row r="455" spans="1:77" ht="22.5">
      <c r="A455" s="2" t="s">
        <v>799</v>
      </c>
      <c r="B455" s="89">
        <v>445</v>
      </c>
      <c r="C455" s="124">
        <v>215</v>
      </c>
      <c r="D455" s="124">
        <v>127</v>
      </c>
      <c r="E455" s="130">
        <v>0.28125</v>
      </c>
      <c r="F455" s="130">
        <v>0.3215277777777778</v>
      </c>
      <c r="G455" s="126" t="s">
        <v>25</v>
      </c>
      <c r="H455" s="106" t="s">
        <v>1190</v>
      </c>
      <c r="I455" s="124">
        <v>37</v>
      </c>
      <c r="J455" s="127">
        <v>50</v>
      </c>
      <c r="K455" s="135">
        <v>55</v>
      </c>
      <c r="L455" s="99" t="s">
        <v>742</v>
      </c>
      <c r="M455" s="87" t="s">
        <v>1878</v>
      </c>
      <c r="N455" s="87">
        <v>56</v>
      </c>
      <c r="O455" s="227" t="s">
        <v>2091</v>
      </c>
      <c r="P455" s="227">
        <v>61</v>
      </c>
      <c r="R455" s="87"/>
      <c r="S455" s="26">
        <v>2323</v>
      </c>
      <c r="T455" s="26" t="s">
        <v>1529</v>
      </c>
      <c r="U455" s="26">
        <v>2290</v>
      </c>
      <c r="V455" s="26" t="s">
        <v>1457</v>
      </c>
      <c r="W455" s="63">
        <v>44562</v>
      </c>
      <c r="X455" s="63">
        <v>44815</v>
      </c>
      <c r="Y455" s="63">
        <v>45101</v>
      </c>
      <c r="Z455" s="63">
        <v>45169</v>
      </c>
      <c r="AA455" s="39" t="s">
        <v>1109</v>
      </c>
      <c r="AB455" s="23"/>
      <c r="AC455" s="23" t="s">
        <v>731</v>
      </c>
      <c r="AD455" s="23" t="s">
        <v>731</v>
      </c>
      <c r="AE455" s="23"/>
      <c r="AF455" s="23" t="s">
        <v>731</v>
      </c>
      <c r="AG455" s="23" t="s">
        <v>731</v>
      </c>
      <c r="AH455" s="23" t="s">
        <v>731</v>
      </c>
      <c r="AI455" s="23" t="s">
        <v>731</v>
      </c>
      <c r="AJ455" s="23" t="s">
        <v>731</v>
      </c>
      <c r="AK455" s="23"/>
      <c r="AL455" s="23"/>
      <c r="AM455" s="23"/>
      <c r="AN455" s="23"/>
      <c r="AO455" s="23"/>
      <c r="AP455" s="23"/>
      <c r="AQ455" s="23"/>
      <c r="AR455" s="23"/>
      <c r="AS455" s="23"/>
      <c r="AT455" s="23"/>
      <c r="AU455" s="23"/>
      <c r="AV455" s="42"/>
      <c r="AZ455" s="19" t="s">
        <v>1015</v>
      </c>
      <c r="BB455" s="43">
        <v>2</v>
      </c>
      <c r="BD455" s="41"/>
      <c r="BH455" s="18">
        <v>7</v>
      </c>
      <c r="BI455" s="18">
        <v>0</v>
      </c>
      <c r="BJ455" s="18">
        <v>0</v>
      </c>
      <c r="BK455" s="18">
        <v>0</v>
      </c>
      <c r="BL455" s="18">
        <v>0</v>
      </c>
      <c r="BM455" s="55">
        <f>SUM(AV455:AX455)+SUM(BC455:BD455)+SUM(BE455:BF455)+BG455</f>
        <v>0</v>
      </c>
      <c r="BN455" s="55" t="s">
        <v>1109</v>
      </c>
      <c r="BO455" s="77">
        <v>7</v>
      </c>
      <c r="BP455" s="77"/>
      <c r="BQ455" s="77">
        <v>0</v>
      </c>
      <c r="BR455" s="77"/>
      <c r="BS455" s="77">
        <v>0</v>
      </c>
      <c r="BT455" s="77"/>
      <c r="BU455" s="77">
        <v>0</v>
      </c>
      <c r="BV455" s="77"/>
      <c r="BW455" s="77">
        <v>0</v>
      </c>
      <c r="BX455" s="77"/>
      <c r="BY455" s="55">
        <v>300</v>
      </c>
    </row>
    <row r="456" spans="1:77" ht="22.5">
      <c r="A456" s="2" t="s">
        <v>799</v>
      </c>
      <c r="B456" s="113" t="s">
        <v>1189</v>
      </c>
      <c r="C456" s="124">
        <v>215</v>
      </c>
      <c r="D456" s="124">
        <v>127</v>
      </c>
      <c r="E456" s="130">
        <v>0.28125</v>
      </c>
      <c r="F456" s="130">
        <v>0.3215277777777778</v>
      </c>
      <c r="G456" s="126" t="s">
        <v>25</v>
      </c>
      <c r="H456" s="106" t="s">
        <v>1191</v>
      </c>
      <c r="I456" s="124">
        <v>37</v>
      </c>
      <c r="J456" s="127">
        <v>50</v>
      </c>
      <c r="K456" s="135">
        <f>67-K455</f>
        <v>12</v>
      </c>
      <c r="L456" s="99" t="s">
        <v>1192</v>
      </c>
      <c r="M456" s="87" t="s">
        <v>885</v>
      </c>
      <c r="N456" s="87">
        <v>57</v>
      </c>
      <c r="O456" s="87" t="s">
        <v>1879</v>
      </c>
      <c r="P456" s="87">
        <v>57</v>
      </c>
      <c r="R456" s="87"/>
      <c r="S456" s="26">
        <v>2323</v>
      </c>
      <c r="T456" s="26" t="s">
        <v>1529</v>
      </c>
      <c r="U456" s="26">
        <v>2290</v>
      </c>
      <c r="V456" s="26" t="s">
        <v>1457</v>
      </c>
      <c r="W456" s="63">
        <v>44562</v>
      </c>
      <c r="X456" s="63">
        <v>44815</v>
      </c>
      <c r="Y456" s="63">
        <v>45101</v>
      </c>
      <c r="Z456" s="63">
        <v>45169</v>
      </c>
      <c r="AA456" s="39" t="s">
        <v>1119</v>
      </c>
      <c r="AB456" s="23"/>
      <c r="AC456" s="23" t="s">
        <v>731</v>
      </c>
      <c r="AD456" s="23" t="s">
        <v>731</v>
      </c>
      <c r="AE456" s="23"/>
      <c r="AF456" s="23"/>
      <c r="AG456" s="23"/>
      <c r="AH456" s="23"/>
      <c r="AI456" s="23"/>
      <c r="AJ456" s="23"/>
      <c r="AK456" s="23" t="s">
        <v>731</v>
      </c>
      <c r="AL456" s="23"/>
      <c r="AM456" s="23"/>
      <c r="AN456" s="23"/>
      <c r="AO456" s="23"/>
      <c r="AP456" s="23"/>
      <c r="AQ456" s="23"/>
      <c r="AR456" s="23"/>
      <c r="AS456" s="23"/>
      <c r="AT456" s="23"/>
      <c r="AU456" s="23"/>
      <c r="AV456" s="42"/>
      <c r="AZ456" s="51" t="s">
        <v>1013</v>
      </c>
      <c r="BB456" s="43">
        <v>2</v>
      </c>
      <c r="BD456" s="41"/>
      <c r="BH456" s="18">
        <v>2</v>
      </c>
      <c r="BI456" s="18">
        <v>0</v>
      </c>
      <c r="BJ456" s="18">
        <v>0</v>
      </c>
      <c r="BK456" s="18">
        <v>0</v>
      </c>
      <c r="BL456" s="18">
        <v>0</v>
      </c>
      <c r="BM456" s="55">
        <f>SUM(AV456:AX456)+SUM(BC456:BD456)+SUM(BE456:BF456)+BG456</f>
        <v>0</v>
      </c>
      <c r="BN456" s="55"/>
      <c r="BO456" s="55"/>
      <c r="BP456" s="55"/>
      <c r="BQ456" s="55"/>
      <c r="BR456" s="55"/>
      <c r="BS456" s="55"/>
      <c r="BT456" s="55"/>
      <c r="BU456" s="55"/>
      <c r="BV456" s="55"/>
      <c r="BW456" s="55"/>
      <c r="BX456" s="55"/>
      <c r="BY456" s="55"/>
    </row>
    <row r="457" spans="1:77" ht="45">
      <c r="B457" s="89">
        <v>446</v>
      </c>
      <c r="C457" s="106">
        <v>225</v>
      </c>
      <c r="D457" s="93">
        <v>447</v>
      </c>
      <c r="E457" s="94">
        <v>0.28402777777777777</v>
      </c>
      <c r="F457" s="94">
        <v>0.29444444444444445</v>
      </c>
      <c r="G457" s="93" t="s">
        <v>380</v>
      </c>
      <c r="H457" s="93" t="s">
        <v>97</v>
      </c>
      <c r="I457" s="96">
        <v>6</v>
      </c>
      <c r="J457" s="97" t="s">
        <v>269</v>
      </c>
      <c r="K457" s="98">
        <v>208</v>
      </c>
      <c r="L457" s="99" t="s">
        <v>753</v>
      </c>
      <c r="M457" s="87" t="s">
        <v>962</v>
      </c>
      <c r="N457" s="87">
        <v>18</v>
      </c>
      <c r="O457" s="87" t="s">
        <v>961</v>
      </c>
      <c r="P457" s="87">
        <v>9</v>
      </c>
      <c r="Q457" s="87"/>
      <c r="R457" s="87"/>
      <c r="S457" s="26">
        <v>2312</v>
      </c>
      <c r="T457" s="26" t="s">
        <v>1542</v>
      </c>
      <c r="U457" s="26">
        <v>2311</v>
      </c>
      <c r="V457" s="26" t="s">
        <v>1543</v>
      </c>
      <c r="W457" s="62">
        <v>44816</v>
      </c>
      <c r="X457" s="62">
        <v>45086</v>
      </c>
      <c r="Y457" s="62"/>
      <c r="Z457" s="62"/>
      <c r="AA457" s="22" t="s">
        <v>1106</v>
      </c>
      <c r="AB457" s="23"/>
      <c r="AC457" s="23"/>
      <c r="AD457" s="23"/>
      <c r="AE457" s="23" t="s">
        <v>731</v>
      </c>
      <c r="AF457" s="23" t="s">
        <v>731</v>
      </c>
      <c r="AG457" s="23" t="s">
        <v>731</v>
      </c>
      <c r="AH457" s="23" t="s">
        <v>731</v>
      </c>
      <c r="AI457" s="23" t="s">
        <v>731</v>
      </c>
      <c r="AJ457" s="23" t="s">
        <v>731</v>
      </c>
      <c r="AK457" s="23" t="s">
        <v>731</v>
      </c>
      <c r="AL457" s="23"/>
      <c r="AM457" s="23"/>
      <c r="AN457" s="23"/>
      <c r="AO457" s="23"/>
      <c r="AP457" s="23"/>
      <c r="AQ457" s="23"/>
      <c r="AR457" s="23"/>
      <c r="AS457" s="23"/>
      <c r="AT457" s="23"/>
      <c r="AU457" s="23"/>
      <c r="AV457" s="42">
        <v>31.3</v>
      </c>
      <c r="AY457" s="42"/>
      <c r="AZ457" s="42"/>
      <c r="BB457" s="45">
        <v>1</v>
      </c>
      <c r="BC457" s="41">
        <f>IF(AND((AV457/I457)&lt;2,BB457=1),(I457*2)-AV457,0)</f>
        <v>0</v>
      </c>
      <c r="BD457" s="41">
        <f>IF(AND((AV457/I457)&lt;3,BB457=2),(I457*3)-AV457,0)</f>
        <v>0</v>
      </c>
      <c r="BG457" s="41">
        <f>IF((AV457+AW457+AX457)&lt;20,(20-(AV457+AW457+AX457)),0)</f>
        <v>0</v>
      </c>
      <c r="BH457" s="18">
        <v>17</v>
      </c>
      <c r="BI457" s="18">
        <v>25</v>
      </c>
      <c r="BJ457" s="18">
        <v>25</v>
      </c>
      <c r="BK457" s="18">
        <v>18</v>
      </c>
      <c r="BL457" s="18">
        <v>20</v>
      </c>
      <c r="BM457" s="55">
        <f>SUM(AV457:AX457)+SUM(BC457:BD457)+SUM(BE457:BF457)+BG457</f>
        <v>31.3</v>
      </c>
      <c r="BN457" s="55"/>
      <c r="BO457" s="55"/>
      <c r="BP457" s="55"/>
      <c r="BQ457" s="55"/>
      <c r="BR457" s="55"/>
      <c r="BS457" s="55"/>
      <c r="BT457" s="55"/>
      <c r="BU457" s="55"/>
      <c r="BV457" s="55"/>
      <c r="BW457" s="55"/>
      <c r="BX457" s="55"/>
      <c r="BY457" s="55"/>
    </row>
    <row r="458" spans="1:77" ht="45">
      <c r="B458" s="89">
        <v>447</v>
      </c>
      <c r="C458" s="93">
        <v>215</v>
      </c>
      <c r="D458" s="93">
        <v>595</v>
      </c>
      <c r="E458" s="136">
        <v>0.29166666666666669</v>
      </c>
      <c r="F458" s="136">
        <v>0.30208333333333331</v>
      </c>
      <c r="G458" s="137" t="s">
        <v>379</v>
      </c>
      <c r="H458" s="93" t="s">
        <v>97</v>
      </c>
      <c r="I458" s="96">
        <v>8.5</v>
      </c>
      <c r="J458" s="97">
        <v>19</v>
      </c>
      <c r="K458" s="98">
        <v>208</v>
      </c>
      <c r="L458" s="99" t="s">
        <v>753</v>
      </c>
      <c r="M458" s="87" t="s">
        <v>963</v>
      </c>
      <c r="N458" s="87">
        <v>24</v>
      </c>
      <c r="O458" s="87" t="s">
        <v>960</v>
      </c>
      <c r="P458" s="87">
        <v>17</v>
      </c>
      <c r="Q458" s="87" t="s">
        <v>961</v>
      </c>
      <c r="R458" s="84">
        <v>9</v>
      </c>
      <c r="S458" s="26">
        <v>2327</v>
      </c>
      <c r="T458" s="26" t="s">
        <v>1537</v>
      </c>
      <c r="U458" s="26">
        <v>2322</v>
      </c>
      <c r="V458" s="26" t="s">
        <v>1544</v>
      </c>
      <c r="W458" s="62">
        <v>44816</v>
      </c>
      <c r="X458" s="62">
        <v>45086</v>
      </c>
      <c r="Y458" s="62"/>
      <c r="Z458" s="62"/>
      <c r="AA458" s="22" t="s">
        <v>1106</v>
      </c>
      <c r="AB458" s="23"/>
      <c r="AC458" s="23"/>
      <c r="AD458" s="23"/>
      <c r="AE458" s="23" t="s">
        <v>731</v>
      </c>
      <c r="AF458" s="23" t="s">
        <v>731</v>
      </c>
      <c r="AG458" s="23" t="s">
        <v>731</v>
      </c>
      <c r="AH458" s="23" t="s">
        <v>731</v>
      </c>
      <c r="AI458" s="23" t="s">
        <v>731</v>
      </c>
      <c r="AJ458" s="23" t="s">
        <v>731</v>
      </c>
      <c r="AK458" s="23" t="s">
        <v>731</v>
      </c>
      <c r="AL458" s="23"/>
      <c r="AM458" s="23"/>
      <c r="AN458" s="23"/>
      <c r="AO458" s="23"/>
      <c r="AP458" s="23"/>
      <c r="AQ458" s="23"/>
      <c r="AR458" s="23"/>
      <c r="AS458" s="23"/>
      <c r="AT458" s="23"/>
      <c r="AU458" s="23"/>
      <c r="AV458" s="42">
        <v>29.12</v>
      </c>
      <c r="AY458" s="42"/>
      <c r="AZ458" s="42"/>
      <c r="BB458" s="45">
        <v>1</v>
      </c>
      <c r="BC458" s="41">
        <f>IF(AND((AV458/I458)&lt;2,BB458=1),(I458*2)-AV458,0)</f>
        <v>0</v>
      </c>
      <c r="BD458" s="41">
        <f>IF(AND((AV458/I458)&lt;3,BB458=2),(I458*3)-AV458,0)</f>
        <v>0</v>
      </c>
      <c r="BG458" s="18"/>
      <c r="BH458" s="18">
        <v>17</v>
      </c>
      <c r="BI458" s="18">
        <v>25</v>
      </c>
      <c r="BJ458" s="18">
        <v>25</v>
      </c>
      <c r="BK458" s="18">
        <v>18</v>
      </c>
      <c r="BL458" s="18">
        <v>20</v>
      </c>
      <c r="BM458" s="55">
        <f>SUM(AV458:AX458)+SUM(BC458:BD458)+SUM(BE458:BF458)+BG458</f>
        <v>29.12</v>
      </c>
      <c r="BN458" s="55"/>
      <c r="BO458" s="55"/>
      <c r="BP458" s="55"/>
      <c r="BQ458" s="55"/>
      <c r="BR458" s="55"/>
      <c r="BS458" s="55"/>
      <c r="BT458" s="55"/>
      <c r="BU458" s="55"/>
      <c r="BV458" s="55"/>
      <c r="BW458" s="55"/>
      <c r="BX458" s="55"/>
      <c r="BY458" s="55"/>
    </row>
    <row r="459" spans="1:77" ht="51">
      <c r="B459" s="89">
        <v>448</v>
      </c>
      <c r="C459" s="93">
        <v>215</v>
      </c>
      <c r="D459" s="93"/>
      <c r="E459" s="94">
        <v>0.29166666666666669</v>
      </c>
      <c r="F459" s="94">
        <v>0.58333333333333337</v>
      </c>
      <c r="G459" s="93" t="s">
        <v>607</v>
      </c>
      <c r="H459" s="139" t="s">
        <v>155</v>
      </c>
      <c r="I459" s="96"/>
      <c r="J459" s="97">
        <v>9</v>
      </c>
      <c r="K459" s="98">
        <v>252</v>
      </c>
      <c r="L459" s="99" t="s">
        <v>753</v>
      </c>
      <c r="M459" s="83" t="s">
        <v>1077</v>
      </c>
      <c r="N459" s="83">
        <v>9</v>
      </c>
      <c r="O459" s="87" t="s">
        <v>1247</v>
      </c>
      <c r="P459" s="87">
        <v>9</v>
      </c>
      <c r="Q459" s="87" t="s">
        <v>1248</v>
      </c>
      <c r="R459" s="87">
        <v>18</v>
      </c>
      <c r="S459" s="38">
        <v>2327</v>
      </c>
      <c r="T459" s="38" t="s">
        <v>1537</v>
      </c>
      <c r="U459" s="38">
        <v>2290</v>
      </c>
      <c r="V459" s="38" t="s">
        <v>1457</v>
      </c>
      <c r="W459" s="62">
        <v>44805</v>
      </c>
      <c r="X459" s="62">
        <v>45169</v>
      </c>
      <c r="Y459" s="62"/>
      <c r="Z459" s="62"/>
      <c r="AA459" s="22" t="s">
        <v>1829</v>
      </c>
      <c r="AB459" s="23" t="s">
        <v>731</v>
      </c>
      <c r="AC459" s="23" t="s">
        <v>731</v>
      </c>
      <c r="AD459" s="23" t="s">
        <v>731</v>
      </c>
      <c r="AE459" s="23"/>
      <c r="AF459" s="23" t="s">
        <v>731</v>
      </c>
      <c r="AG459" s="23" t="s">
        <v>731</v>
      </c>
      <c r="AH459" s="23" t="s">
        <v>731</v>
      </c>
      <c r="AI459" s="23" t="s">
        <v>731</v>
      </c>
      <c r="AJ459" s="23" t="s">
        <v>731</v>
      </c>
      <c r="AK459" s="23"/>
      <c r="AL459" s="23"/>
      <c r="AM459" s="23"/>
      <c r="AN459" s="23"/>
      <c r="AO459" s="23"/>
      <c r="AP459" s="23"/>
      <c r="AQ459" s="23"/>
      <c r="AR459" s="23"/>
      <c r="AS459" s="23"/>
      <c r="AT459" s="23"/>
      <c r="AU459" s="23"/>
      <c r="AV459" s="44">
        <f>122.45+(0.55*(43200/252))</f>
        <v>216.73571428571429</v>
      </c>
      <c r="AY459" s="42"/>
      <c r="AZ459" s="42"/>
      <c r="BB459" s="45">
        <v>1</v>
      </c>
      <c r="BC459" s="44"/>
      <c r="BD459" s="44"/>
      <c r="BG459" s="18"/>
      <c r="BH459" s="18">
        <v>22</v>
      </c>
      <c r="BI459" s="18">
        <v>21</v>
      </c>
      <c r="BJ459" s="18">
        <v>21</v>
      </c>
      <c r="BK459" s="18">
        <v>20</v>
      </c>
      <c r="BL459" s="18">
        <v>21</v>
      </c>
      <c r="BM459" s="79">
        <v>122.45</v>
      </c>
      <c r="BN459" s="55"/>
      <c r="BP459" s="185">
        <v>3492</v>
      </c>
      <c r="BR459" s="185">
        <v>4195.8</v>
      </c>
      <c r="BT459" s="185">
        <v>3509</v>
      </c>
      <c r="BU459" s="185"/>
      <c r="BV459" s="200">
        <v>3397.3</v>
      </c>
      <c r="BW459" s="194"/>
      <c r="BX459" s="200">
        <f>4568.8+175.7</f>
        <v>4744.5</v>
      </c>
      <c r="BY459" s="55"/>
    </row>
    <row r="460" spans="1:77" ht="25.5">
      <c r="A460" s="2" t="s">
        <v>1168</v>
      </c>
      <c r="B460" s="89">
        <v>449</v>
      </c>
      <c r="C460" s="93">
        <v>215</v>
      </c>
      <c r="D460" s="95">
        <v>127</v>
      </c>
      <c r="E460" s="186">
        <v>0.29166666666666669</v>
      </c>
      <c r="F460" s="186">
        <v>0.32361111111111113</v>
      </c>
      <c r="G460" s="187" t="s">
        <v>693</v>
      </c>
      <c r="H460" s="93" t="s">
        <v>103</v>
      </c>
      <c r="I460" s="129">
        <v>26.5</v>
      </c>
      <c r="J460" s="97" t="s">
        <v>101</v>
      </c>
      <c r="K460" s="98">
        <v>174</v>
      </c>
      <c r="L460" s="109" t="s">
        <v>748</v>
      </c>
      <c r="M460" s="87" t="s">
        <v>832</v>
      </c>
      <c r="N460" s="87">
        <v>57</v>
      </c>
      <c r="O460" s="87" t="s">
        <v>1932</v>
      </c>
      <c r="P460" s="87">
        <v>60</v>
      </c>
      <c r="Q460" s="83" t="s">
        <v>1939</v>
      </c>
      <c r="R460" s="83">
        <v>57</v>
      </c>
      <c r="S460" s="26" t="s">
        <v>1545</v>
      </c>
      <c r="T460" s="26" t="s">
        <v>1546</v>
      </c>
      <c r="U460" s="26" t="s">
        <v>1547</v>
      </c>
      <c r="V460" s="26" t="s">
        <v>1548</v>
      </c>
      <c r="W460" s="62">
        <v>44816</v>
      </c>
      <c r="X460" s="62">
        <v>45086</v>
      </c>
      <c r="Y460" s="62"/>
      <c r="Z460" s="62"/>
      <c r="AA460" s="22" t="s">
        <v>1102</v>
      </c>
      <c r="AB460" s="23"/>
      <c r="AC460" s="23"/>
      <c r="AD460" s="23"/>
      <c r="AE460" s="23" t="s">
        <v>731</v>
      </c>
      <c r="AF460" s="23" t="s">
        <v>731</v>
      </c>
      <c r="AG460" s="23" t="s">
        <v>731</v>
      </c>
      <c r="AH460" s="23" t="s">
        <v>731</v>
      </c>
      <c r="AI460" s="23" t="s">
        <v>731</v>
      </c>
      <c r="AJ460" s="23" t="s">
        <v>731</v>
      </c>
      <c r="AK460" s="23"/>
      <c r="AL460" s="23"/>
      <c r="AM460" s="23"/>
      <c r="AN460" s="23"/>
      <c r="AO460" s="23"/>
      <c r="AP460" s="23"/>
      <c r="AQ460" s="23"/>
      <c r="AR460" s="23"/>
      <c r="AS460" s="23"/>
      <c r="AT460" s="23"/>
      <c r="AU460" s="23"/>
      <c r="AV460" s="42">
        <f>52.5+193.7</f>
        <v>246.2</v>
      </c>
      <c r="AY460" s="42"/>
      <c r="AZ460" s="42"/>
      <c r="BB460" s="43">
        <v>2</v>
      </c>
      <c r="BC460" s="41">
        <f>IF(AND((AV460/I460)&lt;2,BB460=1),(I460*2)-AV460,0)</f>
        <v>0</v>
      </c>
      <c r="BD460" s="41">
        <f>IF(AND((AV460/I460)&lt;3,BB460=2),(I460*3)-AV460,0)</f>
        <v>0</v>
      </c>
      <c r="BG460" s="18"/>
      <c r="BH460" s="18">
        <v>15</v>
      </c>
      <c r="BI460" s="18">
        <v>20</v>
      </c>
      <c r="BJ460" s="18">
        <v>21</v>
      </c>
      <c r="BK460" s="18">
        <v>15</v>
      </c>
      <c r="BL460" s="18">
        <v>17</v>
      </c>
      <c r="BM460" s="55">
        <f>SUM(AV460:AX460)+SUM(BC460:BD460)+SUM(BE460:BF460)+BG460</f>
        <v>246.2</v>
      </c>
      <c r="BN460" s="55"/>
      <c r="BO460" s="55"/>
      <c r="BP460" s="55"/>
      <c r="BQ460" s="55"/>
      <c r="BR460" s="55"/>
      <c r="BS460" s="55"/>
      <c r="BT460" s="55"/>
      <c r="BU460" s="55"/>
      <c r="BV460" s="55"/>
      <c r="BW460" s="55"/>
      <c r="BX460" s="55"/>
      <c r="BY460" s="55"/>
    </row>
    <row r="461" spans="1:77" ht="25.5">
      <c r="B461" s="89">
        <v>450</v>
      </c>
      <c r="C461" s="93">
        <v>215</v>
      </c>
      <c r="D461" s="93">
        <v>467</v>
      </c>
      <c r="E461" s="94">
        <v>0.2986111111111111</v>
      </c>
      <c r="F461" s="94">
        <v>0.30208333333333331</v>
      </c>
      <c r="G461" s="93" t="s">
        <v>285</v>
      </c>
      <c r="H461" s="93" t="s">
        <v>97</v>
      </c>
      <c r="I461" s="96">
        <v>3</v>
      </c>
      <c r="J461" s="97" t="s">
        <v>116</v>
      </c>
      <c r="K461" s="98">
        <v>208</v>
      </c>
      <c r="L461" s="99" t="s">
        <v>751</v>
      </c>
      <c r="M461" s="87" t="s">
        <v>887</v>
      </c>
      <c r="N461" s="87">
        <v>9</v>
      </c>
      <c r="O461" s="87" t="s">
        <v>888</v>
      </c>
      <c r="P461" s="87">
        <v>9</v>
      </c>
      <c r="R461" s="87"/>
      <c r="S461" s="26">
        <v>2307</v>
      </c>
      <c r="T461" s="26" t="s">
        <v>1549</v>
      </c>
      <c r="U461" s="26">
        <v>2305</v>
      </c>
      <c r="V461" s="26" t="s">
        <v>1530</v>
      </c>
      <c r="W461" s="62">
        <v>44816</v>
      </c>
      <c r="X461" s="62">
        <v>45086</v>
      </c>
      <c r="Y461" s="62"/>
      <c r="Z461" s="62"/>
      <c r="AA461" s="22" t="s">
        <v>1106</v>
      </c>
      <c r="AB461" s="23"/>
      <c r="AC461" s="23"/>
      <c r="AD461" s="23"/>
      <c r="AE461" s="23" t="s">
        <v>731</v>
      </c>
      <c r="AF461" s="23" t="s">
        <v>731</v>
      </c>
      <c r="AG461" s="23" t="s">
        <v>731</v>
      </c>
      <c r="AH461" s="23" t="s">
        <v>731</v>
      </c>
      <c r="AI461" s="23" t="s">
        <v>731</v>
      </c>
      <c r="AJ461" s="23" t="s">
        <v>731</v>
      </c>
      <c r="AK461" s="23" t="s">
        <v>731</v>
      </c>
      <c r="AL461" s="23"/>
      <c r="AM461" s="23"/>
      <c r="AN461" s="23"/>
      <c r="AO461" s="23"/>
      <c r="AP461" s="23"/>
      <c r="AQ461" s="23"/>
      <c r="AR461" s="23"/>
      <c r="AS461" s="23"/>
      <c r="AT461" s="23"/>
      <c r="AU461" s="23"/>
      <c r="AV461" s="42">
        <v>12.38</v>
      </c>
      <c r="AY461" s="42"/>
      <c r="AZ461" s="42"/>
      <c r="BB461" s="45">
        <v>1</v>
      </c>
      <c r="BC461" s="41">
        <f>IF(AND((AV461/I461)&lt;2,BB461=1),(I461*2)-AV461,0)</f>
        <v>0</v>
      </c>
      <c r="BD461" s="41">
        <f>IF(AND((AV461/I461)&lt;3,BB461=2),(I461*3)-AV461,0)</f>
        <v>0</v>
      </c>
      <c r="BG461" s="18"/>
      <c r="BH461" s="18">
        <v>17</v>
      </c>
      <c r="BI461" s="18">
        <v>25</v>
      </c>
      <c r="BJ461" s="18">
        <v>25</v>
      </c>
      <c r="BK461" s="18">
        <v>18</v>
      </c>
      <c r="BL461" s="18">
        <v>20</v>
      </c>
      <c r="BM461" s="55">
        <f>SUM(AV461:AX461)+SUM(BC461:BD461)+SUM(BE461:BF461)+BG461</f>
        <v>12.38</v>
      </c>
      <c r="BN461" s="55"/>
      <c r="BO461" s="55"/>
      <c r="BP461" s="55"/>
      <c r="BQ461" s="55"/>
      <c r="BR461" s="55"/>
      <c r="BS461" s="55"/>
      <c r="BT461" s="55"/>
      <c r="BU461" s="55"/>
      <c r="BV461" s="55"/>
      <c r="BW461" s="55"/>
      <c r="BX461" s="55"/>
      <c r="BY461" s="55"/>
    </row>
    <row r="462" spans="1:77" ht="45">
      <c r="A462" s="2" t="s">
        <v>800</v>
      </c>
      <c r="B462" s="89">
        <v>451</v>
      </c>
      <c r="C462" s="93">
        <v>215</v>
      </c>
      <c r="D462" s="106">
        <v>593</v>
      </c>
      <c r="E462" s="105">
        <v>0.33194444444444443</v>
      </c>
      <c r="F462" s="105">
        <v>0.37361111111111112</v>
      </c>
      <c r="G462" s="93" t="s">
        <v>25</v>
      </c>
      <c r="H462" s="93" t="s">
        <v>708</v>
      </c>
      <c r="I462" s="96">
        <v>37</v>
      </c>
      <c r="J462" s="97" t="s">
        <v>101</v>
      </c>
      <c r="K462" s="98">
        <v>38</v>
      </c>
      <c r="L462" s="99" t="s">
        <v>753</v>
      </c>
      <c r="M462" s="83" t="s">
        <v>795</v>
      </c>
      <c r="N462" s="83">
        <v>60</v>
      </c>
      <c r="O462" s="83" t="s">
        <v>1852</v>
      </c>
      <c r="P462" s="83">
        <v>57</v>
      </c>
      <c r="R462" s="83"/>
      <c r="S462" s="26">
        <v>2323</v>
      </c>
      <c r="T462" s="26" t="s">
        <v>1550</v>
      </c>
      <c r="U462" s="26">
        <v>2290</v>
      </c>
      <c r="V462" s="26" t="s">
        <v>1551</v>
      </c>
      <c r="W462" s="63">
        <v>44816</v>
      </c>
      <c r="X462" s="63">
        <v>45100</v>
      </c>
      <c r="Y462" s="63"/>
      <c r="Z462" s="63"/>
      <c r="AA462" s="23" t="s">
        <v>1127</v>
      </c>
      <c r="AB462" s="23" t="s">
        <v>731</v>
      </c>
      <c r="AC462" s="23"/>
      <c r="AD462" s="23" t="s">
        <v>731</v>
      </c>
      <c r="AE462" s="23"/>
      <c r="AF462" s="23"/>
      <c r="AG462" s="23"/>
      <c r="AH462" s="23"/>
      <c r="AI462" s="23"/>
      <c r="AJ462" s="23"/>
      <c r="AK462" s="23" t="s">
        <v>731</v>
      </c>
      <c r="AL462" s="23"/>
      <c r="AM462" s="23"/>
      <c r="AN462" s="23"/>
      <c r="AO462" s="23"/>
      <c r="AP462" s="23"/>
      <c r="AQ462" s="23"/>
      <c r="AR462" s="23"/>
      <c r="AS462" s="23"/>
      <c r="AT462" s="23"/>
      <c r="AU462" s="23"/>
      <c r="AV462" s="18"/>
      <c r="AW462" s="18"/>
      <c r="AX462" s="41">
        <f>3*I462</f>
        <v>111</v>
      </c>
      <c r="AY462" s="42"/>
      <c r="AZ462" s="42"/>
      <c r="BA462" s="18">
        <v>58</v>
      </c>
      <c r="BB462" s="43">
        <v>2</v>
      </c>
      <c r="BC462" s="45"/>
      <c r="BD462" s="50"/>
      <c r="BE462" s="45"/>
      <c r="BF462" s="45"/>
      <c r="BG462" s="18"/>
      <c r="BH462" s="18">
        <v>2</v>
      </c>
      <c r="BI462" s="18">
        <v>5</v>
      </c>
      <c r="BJ462" s="18">
        <v>4</v>
      </c>
      <c r="BK462" s="18">
        <v>5</v>
      </c>
      <c r="BL462" s="18">
        <v>4</v>
      </c>
      <c r="BM462" s="55">
        <f>SUM(AV462:AX462)+SUM(BC462:BD462)+SUM(BE462:BF462)+BG462</f>
        <v>111</v>
      </c>
      <c r="BN462" s="55" t="s">
        <v>1127</v>
      </c>
      <c r="BO462" s="77">
        <v>2</v>
      </c>
      <c r="BP462" s="77"/>
      <c r="BQ462" s="77">
        <v>5</v>
      </c>
      <c r="BR462" s="77"/>
      <c r="BS462" s="77">
        <v>4</v>
      </c>
      <c r="BT462" s="77"/>
      <c r="BU462" s="77">
        <v>5</v>
      </c>
      <c r="BV462" s="77"/>
      <c r="BW462" s="77">
        <v>4</v>
      </c>
      <c r="BX462" s="77"/>
      <c r="BY462" s="189">
        <v>180</v>
      </c>
    </row>
    <row r="463" spans="1:77" ht="25.5">
      <c r="A463" s="2" t="s">
        <v>799</v>
      </c>
      <c r="B463" s="89">
        <v>452</v>
      </c>
      <c r="C463" s="124">
        <v>215</v>
      </c>
      <c r="D463" s="124">
        <v>602</v>
      </c>
      <c r="E463" s="130">
        <v>0.33263888888888887</v>
      </c>
      <c r="F463" s="130">
        <v>0.3743055555555555</v>
      </c>
      <c r="G463" s="126" t="s">
        <v>26</v>
      </c>
      <c r="H463" s="93" t="s">
        <v>508</v>
      </c>
      <c r="I463" s="124">
        <v>37</v>
      </c>
      <c r="J463" s="127">
        <v>50</v>
      </c>
      <c r="K463" s="131">
        <v>12</v>
      </c>
      <c r="L463" s="99" t="s">
        <v>751</v>
      </c>
      <c r="M463" s="87" t="s">
        <v>885</v>
      </c>
      <c r="N463" s="87">
        <v>57</v>
      </c>
      <c r="O463" s="83" t="s">
        <v>1879</v>
      </c>
      <c r="P463" s="83">
        <v>57</v>
      </c>
      <c r="R463" s="87"/>
      <c r="S463" s="26">
        <v>2290</v>
      </c>
      <c r="T463" s="26" t="s">
        <v>1457</v>
      </c>
      <c r="U463" s="26">
        <v>2323</v>
      </c>
      <c r="V463" s="26" t="s">
        <v>1529</v>
      </c>
      <c r="W463" s="63">
        <v>44562</v>
      </c>
      <c r="X463" s="63">
        <v>44815</v>
      </c>
      <c r="Y463" s="63">
        <v>45101</v>
      </c>
      <c r="Z463" s="63">
        <v>45169</v>
      </c>
      <c r="AA463" s="22" t="s">
        <v>1119</v>
      </c>
      <c r="AB463" s="23"/>
      <c r="AC463" s="23" t="s">
        <v>731</v>
      </c>
      <c r="AD463" s="23" t="s">
        <v>731</v>
      </c>
      <c r="AE463" s="23"/>
      <c r="AF463" s="23"/>
      <c r="AG463" s="23"/>
      <c r="AH463" s="23"/>
      <c r="AI463" s="23"/>
      <c r="AJ463" s="23"/>
      <c r="AK463" s="23" t="s">
        <v>731</v>
      </c>
      <c r="AL463" s="23"/>
      <c r="AM463" s="23"/>
      <c r="AN463" s="23"/>
      <c r="AO463" s="23"/>
      <c r="AP463" s="23"/>
      <c r="AQ463" s="23"/>
      <c r="AR463" s="23"/>
      <c r="AS463" s="23"/>
      <c r="AT463" s="23"/>
      <c r="AU463" s="23"/>
      <c r="AZ463" s="51" t="s">
        <v>751</v>
      </c>
      <c r="BB463" s="43">
        <v>2</v>
      </c>
      <c r="BD463" s="41"/>
      <c r="BG463" s="18"/>
      <c r="BH463" s="18">
        <v>2</v>
      </c>
      <c r="BI463" s="18">
        <v>0</v>
      </c>
      <c r="BJ463" s="18">
        <v>0</v>
      </c>
      <c r="BK463" s="18">
        <v>0</v>
      </c>
      <c r="BL463" s="18">
        <v>0</v>
      </c>
      <c r="BM463" s="55">
        <f>SUM(AV463:AX463)+SUM(BC463:BD463)+SUM(BE463:BF463)+BG463</f>
        <v>0</v>
      </c>
      <c r="BN463" s="55"/>
      <c r="BO463" s="55"/>
      <c r="BP463" s="55"/>
      <c r="BQ463" s="55"/>
      <c r="BR463" s="55"/>
      <c r="BS463" s="55"/>
      <c r="BT463" s="55"/>
      <c r="BU463" s="55"/>
      <c r="BV463" s="55"/>
      <c r="BW463" s="55"/>
      <c r="BX463" s="55"/>
      <c r="BY463" s="55"/>
    </row>
    <row r="464" spans="1:77" ht="45">
      <c r="A464" s="2" t="s">
        <v>800</v>
      </c>
      <c r="B464" s="89">
        <v>453</v>
      </c>
      <c r="C464" s="124">
        <v>215</v>
      </c>
      <c r="D464" s="129">
        <v>603</v>
      </c>
      <c r="E464" s="130">
        <v>0.37361111111111112</v>
      </c>
      <c r="F464" s="130">
        <v>0.41388888888888892</v>
      </c>
      <c r="G464" s="126" t="s">
        <v>25</v>
      </c>
      <c r="H464" s="93" t="s">
        <v>478</v>
      </c>
      <c r="I464" s="124">
        <v>37</v>
      </c>
      <c r="J464" s="127">
        <v>50</v>
      </c>
      <c r="K464" s="131">
        <v>240</v>
      </c>
      <c r="L464" s="99" t="s">
        <v>753</v>
      </c>
      <c r="M464" s="83" t="s">
        <v>1887</v>
      </c>
      <c r="N464" s="83">
        <v>60</v>
      </c>
      <c r="O464" s="83" t="s">
        <v>981</v>
      </c>
      <c r="P464" s="83">
        <v>57</v>
      </c>
      <c r="Q464" s="83" t="s">
        <v>1852</v>
      </c>
      <c r="R464" s="83">
        <v>57</v>
      </c>
      <c r="S464" s="26">
        <v>2323</v>
      </c>
      <c r="T464" s="26" t="s">
        <v>1529</v>
      </c>
      <c r="U464" s="26">
        <v>2290</v>
      </c>
      <c r="V464" s="26" t="s">
        <v>1457</v>
      </c>
      <c r="W464" s="63">
        <v>44816</v>
      </c>
      <c r="X464" s="63">
        <v>45100</v>
      </c>
      <c r="Y464" s="63"/>
      <c r="Z464" s="63"/>
      <c r="AA464" s="26" t="s">
        <v>1112</v>
      </c>
      <c r="AB464" s="23" t="s">
        <v>731</v>
      </c>
      <c r="AC464" s="23"/>
      <c r="AD464" s="23" t="s">
        <v>731</v>
      </c>
      <c r="AE464" s="23"/>
      <c r="AF464" s="23" t="s">
        <v>731</v>
      </c>
      <c r="AG464" s="23" t="s">
        <v>731</v>
      </c>
      <c r="AH464" s="23" t="s">
        <v>731</v>
      </c>
      <c r="AI464" s="23" t="s">
        <v>731</v>
      </c>
      <c r="AJ464" s="23" t="s">
        <v>731</v>
      </c>
      <c r="AK464" s="23" t="s">
        <v>731</v>
      </c>
      <c r="AL464" s="23"/>
      <c r="AM464" s="23"/>
      <c r="AN464" s="23"/>
      <c r="AO464" s="23"/>
      <c r="AP464" s="23"/>
      <c r="AQ464" s="23"/>
      <c r="AR464" s="23"/>
      <c r="AS464" s="23"/>
      <c r="AT464" s="23"/>
      <c r="AU464" s="23"/>
      <c r="AX464" s="41">
        <f>3*I464</f>
        <v>111</v>
      </c>
      <c r="AY464" s="42"/>
      <c r="AZ464" s="42"/>
      <c r="BB464" s="43">
        <v>2</v>
      </c>
      <c r="BC464" s="45"/>
      <c r="BD464" s="50"/>
      <c r="BE464" s="45"/>
      <c r="BF464" s="45"/>
      <c r="BG464" s="18"/>
      <c r="BH464" s="18">
        <v>17</v>
      </c>
      <c r="BI464" s="18">
        <v>26</v>
      </c>
      <c r="BJ464" s="18">
        <v>25</v>
      </c>
      <c r="BK464" s="18">
        <v>25</v>
      </c>
      <c r="BL464" s="18">
        <v>25</v>
      </c>
      <c r="BM464" s="55">
        <f>SUM(AV464:AX464)+SUM(BC464:BD464)+SUM(BE464:BF464)+BG464</f>
        <v>111</v>
      </c>
      <c r="BN464" s="55"/>
      <c r="BO464" s="55"/>
      <c r="BP464" s="55"/>
      <c r="BQ464" s="55"/>
      <c r="BR464" s="55"/>
      <c r="BS464" s="55"/>
      <c r="BT464" s="55"/>
      <c r="BU464" s="55"/>
      <c r="BV464" s="55"/>
      <c r="BW464" s="55"/>
      <c r="BX464" s="55"/>
      <c r="BY464" s="55"/>
    </row>
    <row r="465" spans="1:77" ht="22.5">
      <c r="A465" s="2" t="s">
        <v>799</v>
      </c>
      <c r="B465" s="89">
        <v>454</v>
      </c>
      <c r="C465" s="124">
        <v>215</v>
      </c>
      <c r="D465" s="124">
        <v>136</v>
      </c>
      <c r="E465" s="130">
        <v>0.375</v>
      </c>
      <c r="F465" s="130">
        <v>0.41666666666666669</v>
      </c>
      <c r="G465" s="126" t="s">
        <v>26</v>
      </c>
      <c r="H465" s="106" t="s">
        <v>1190</v>
      </c>
      <c r="I465" s="124">
        <v>37</v>
      </c>
      <c r="J465" s="127">
        <v>50</v>
      </c>
      <c r="K465" s="135">
        <v>55</v>
      </c>
      <c r="L465" s="109" t="s">
        <v>742</v>
      </c>
      <c r="M465" s="87" t="s">
        <v>1878</v>
      </c>
      <c r="N465" s="87">
        <v>56</v>
      </c>
      <c r="O465" s="227" t="s">
        <v>2091</v>
      </c>
      <c r="P465" s="227">
        <v>61</v>
      </c>
      <c r="Q465" s="83"/>
      <c r="R465" s="83"/>
      <c r="S465" s="26">
        <v>2290</v>
      </c>
      <c r="T465" s="26" t="s">
        <v>1457</v>
      </c>
      <c r="U465" s="26">
        <v>2323</v>
      </c>
      <c r="V465" s="26" t="s">
        <v>1529</v>
      </c>
      <c r="W465" s="63">
        <v>44562</v>
      </c>
      <c r="X465" s="63">
        <v>44815</v>
      </c>
      <c r="Y465" s="63">
        <v>45101</v>
      </c>
      <c r="Z465" s="63">
        <v>45169</v>
      </c>
      <c r="AA465" s="39" t="s">
        <v>1109</v>
      </c>
      <c r="AB465" s="23"/>
      <c r="AC465" s="23" t="s">
        <v>731</v>
      </c>
      <c r="AD465" s="23" t="s">
        <v>731</v>
      </c>
      <c r="AE465" s="23"/>
      <c r="AF465" s="23" t="s">
        <v>731</v>
      </c>
      <c r="AG465" s="23" t="s">
        <v>731</v>
      </c>
      <c r="AH465" s="23" t="s">
        <v>731</v>
      </c>
      <c r="AI465" s="23" t="s">
        <v>731</v>
      </c>
      <c r="AJ465" s="23" t="s">
        <v>731</v>
      </c>
      <c r="AK465" s="23"/>
      <c r="AL465" s="23"/>
      <c r="AM465" s="23"/>
      <c r="AN465" s="23"/>
      <c r="AO465" s="23"/>
      <c r="AP465" s="23"/>
      <c r="AQ465" s="23"/>
      <c r="AR465" s="23"/>
      <c r="AS465" s="23"/>
      <c r="AT465" s="23"/>
      <c r="AU465" s="23"/>
      <c r="AV465" s="42"/>
      <c r="AZ465" s="19" t="s">
        <v>1015</v>
      </c>
      <c r="BB465" s="43">
        <v>2</v>
      </c>
      <c r="BD465" s="41"/>
      <c r="BG465" s="18"/>
      <c r="BH465" s="18">
        <v>7</v>
      </c>
      <c r="BI465" s="18">
        <v>0</v>
      </c>
      <c r="BJ465" s="18">
        <v>0</v>
      </c>
      <c r="BK465" s="18">
        <v>0</v>
      </c>
      <c r="BL465" s="18">
        <v>0</v>
      </c>
      <c r="BM465" s="55">
        <f>SUM(AV465:AX465)+SUM(BC465:BD465)+SUM(BE465:BF465)+BG465</f>
        <v>0</v>
      </c>
      <c r="BN465" s="55"/>
      <c r="BO465" s="55"/>
      <c r="BP465" s="55"/>
      <c r="BQ465" s="55"/>
      <c r="BR465" s="55"/>
      <c r="BS465" s="55"/>
      <c r="BT465" s="55"/>
      <c r="BU465" s="55"/>
      <c r="BV465" s="55"/>
      <c r="BW465" s="55"/>
      <c r="BX465" s="55"/>
      <c r="BY465" s="55"/>
    </row>
    <row r="466" spans="1:77" ht="22.5">
      <c r="A466" s="2" t="s">
        <v>799</v>
      </c>
      <c r="B466" s="113" t="s">
        <v>1193</v>
      </c>
      <c r="C466" s="124">
        <v>215</v>
      </c>
      <c r="D466" s="124">
        <v>136</v>
      </c>
      <c r="E466" s="130">
        <v>0.375</v>
      </c>
      <c r="F466" s="130">
        <v>0.41666666666666669</v>
      </c>
      <c r="G466" s="126" t="s">
        <v>26</v>
      </c>
      <c r="H466" s="106" t="s">
        <v>1191</v>
      </c>
      <c r="I466" s="124">
        <v>37</v>
      </c>
      <c r="J466" s="127">
        <v>50</v>
      </c>
      <c r="K466" s="135">
        <f>67-K465</f>
        <v>12</v>
      </c>
      <c r="L466" s="109" t="s">
        <v>741</v>
      </c>
      <c r="M466" s="83" t="s">
        <v>970</v>
      </c>
      <c r="N466" s="83">
        <v>54</v>
      </c>
      <c r="O466" s="87" t="s">
        <v>797</v>
      </c>
      <c r="P466" s="87">
        <v>45</v>
      </c>
      <c r="Q466" s="87" t="s">
        <v>798</v>
      </c>
      <c r="R466" s="85">
        <v>28</v>
      </c>
      <c r="S466" s="26">
        <v>2290</v>
      </c>
      <c r="T466" s="26" t="s">
        <v>1457</v>
      </c>
      <c r="U466" s="26">
        <v>2323</v>
      </c>
      <c r="V466" s="26" t="s">
        <v>1529</v>
      </c>
      <c r="W466" s="63">
        <v>44562</v>
      </c>
      <c r="X466" s="63">
        <v>44815</v>
      </c>
      <c r="Y466" s="63">
        <v>45101</v>
      </c>
      <c r="Z466" s="63">
        <v>45169</v>
      </c>
      <c r="AA466" s="39" t="s">
        <v>1119</v>
      </c>
      <c r="AB466" s="23"/>
      <c r="AC466" s="23" t="s">
        <v>731</v>
      </c>
      <c r="AD466" s="23" t="s">
        <v>731</v>
      </c>
      <c r="AE466" s="23"/>
      <c r="AF466" s="23"/>
      <c r="AG466" s="23"/>
      <c r="AH466" s="23"/>
      <c r="AI466" s="23"/>
      <c r="AJ466" s="23"/>
      <c r="AK466" s="23" t="s">
        <v>731</v>
      </c>
      <c r="AL466" s="23"/>
      <c r="AM466" s="23"/>
      <c r="AN466" s="23"/>
      <c r="AO466" s="23"/>
      <c r="AP466" s="23"/>
      <c r="AQ466" s="23"/>
      <c r="AR466" s="23"/>
      <c r="AS466" s="23"/>
      <c r="AT466" s="23"/>
      <c r="AU466" s="23"/>
      <c r="AV466" s="42"/>
      <c r="AZ466" s="51" t="s">
        <v>1016</v>
      </c>
      <c r="BB466" s="43">
        <v>2</v>
      </c>
      <c r="BD466" s="41"/>
      <c r="BG466" s="18"/>
      <c r="BH466" s="18">
        <v>2</v>
      </c>
      <c r="BI466" s="18">
        <v>0</v>
      </c>
      <c r="BJ466" s="18">
        <v>0</v>
      </c>
      <c r="BK466" s="18">
        <v>0</v>
      </c>
      <c r="BL466" s="18">
        <v>0</v>
      </c>
      <c r="BM466" s="55">
        <f>SUM(AV466:AX466)+SUM(BC466:BD466)+SUM(BE466:BF466)+BG466</f>
        <v>0</v>
      </c>
      <c r="BN466" s="55"/>
      <c r="BO466" s="55"/>
      <c r="BP466" s="55"/>
      <c r="BQ466" s="55"/>
      <c r="BR466" s="55"/>
      <c r="BS466" s="55"/>
      <c r="BT466" s="55"/>
      <c r="BU466" s="55"/>
      <c r="BV466" s="55"/>
      <c r="BW466" s="55"/>
      <c r="BX466" s="55"/>
      <c r="BY466" s="55"/>
    </row>
    <row r="467" spans="1:77" ht="51">
      <c r="B467" s="89">
        <v>455</v>
      </c>
      <c r="C467" s="93">
        <v>215</v>
      </c>
      <c r="D467" s="93" t="s">
        <v>92</v>
      </c>
      <c r="E467" s="94">
        <v>0.38541666666666669</v>
      </c>
      <c r="F467" s="94">
        <v>0.77083333333333337</v>
      </c>
      <c r="G467" s="93" t="s">
        <v>608</v>
      </c>
      <c r="H467" s="93" t="s">
        <v>155</v>
      </c>
      <c r="I467" s="96"/>
      <c r="J467" s="97" t="s">
        <v>269</v>
      </c>
      <c r="K467" s="98">
        <v>252</v>
      </c>
      <c r="L467" s="99" t="s">
        <v>753</v>
      </c>
      <c r="M467" s="83" t="s">
        <v>1850</v>
      </c>
      <c r="N467" s="83">
        <v>7</v>
      </c>
      <c r="O467" s="83" t="s">
        <v>960</v>
      </c>
      <c r="P467" s="83">
        <v>17</v>
      </c>
      <c r="Q467" s="83" t="s">
        <v>961</v>
      </c>
      <c r="R467" s="84">
        <v>9</v>
      </c>
      <c r="S467" s="38">
        <v>2305</v>
      </c>
      <c r="T467" s="38" t="s">
        <v>1530</v>
      </c>
      <c r="U467" s="38">
        <v>2290</v>
      </c>
      <c r="V467" s="38" t="s">
        <v>1457</v>
      </c>
      <c r="W467" s="62">
        <v>44805</v>
      </c>
      <c r="X467" s="62">
        <v>45169</v>
      </c>
      <c r="Y467" s="62"/>
      <c r="Z467" s="62"/>
      <c r="AA467" s="22" t="s">
        <v>1829</v>
      </c>
      <c r="AB467" s="23" t="s">
        <v>731</v>
      </c>
      <c r="AC467" s="23" t="s">
        <v>731</v>
      </c>
      <c r="AD467" s="23" t="s">
        <v>731</v>
      </c>
      <c r="AE467" s="23"/>
      <c r="AF467" s="23" t="s">
        <v>731</v>
      </c>
      <c r="AG467" s="23" t="s">
        <v>731</v>
      </c>
      <c r="AH467" s="23" t="s">
        <v>731</v>
      </c>
      <c r="AI467" s="23" t="s">
        <v>731</v>
      </c>
      <c r="AJ467" s="23" t="s">
        <v>731</v>
      </c>
      <c r="AK467" s="23"/>
      <c r="AL467" s="23"/>
      <c r="AM467" s="23"/>
      <c r="AN467" s="23"/>
      <c r="AO467" s="23"/>
      <c r="AP467" s="23"/>
      <c r="AQ467" s="23"/>
      <c r="AR467" s="23"/>
      <c r="AS467" s="23"/>
      <c r="AT467" s="23"/>
      <c r="AU467" s="23"/>
      <c r="AV467" s="44">
        <f>122.45+(0.55*(59300/252))</f>
        <v>251.87460317460318</v>
      </c>
      <c r="AY467" s="42"/>
      <c r="AZ467" s="42"/>
      <c r="BB467" s="45">
        <v>1</v>
      </c>
      <c r="BC467" s="44"/>
      <c r="BD467" s="44"/>
      <c r="BG467" s="18"/>
      <c r="BH467" s="18">
        <v>22</v>
      </c>
      <c r="BI467" s="18">
        <v>21</v>
      </c>
      <c r="BJ467" s="18">
        <v>21</v>
      </c>
      <c r="BK467" s="18">
        <v>20</v>
      </c>
      <c r="BL467" s="18">
        <v>21</v>
      </c>
      <c r="BM467" s="79">
        <v>122.45</v>
      </c>
      <c r="BN467" s="55"/>
      <c r="BP467" s="185">
        <v>4368</v>
      </c>
      <c r="BR467" s="185">
        <v>3109.55</v>
      </c>
      <c r="BT467" s="185">
        <v>3033</v>
      </c>
      <c r="BU467" s="185"/>
      <c r="BV467" s="200">
        <v>3042.9</v>
      </c>
      <c r="BW467" s="194"/>
      <c r="BX467" s="200">
        <f>3185.1-180.8</f>
        <v>3004.2999999999997</v>
      </c>
      <c r="BY467" s="55"/>
    </row>
    <row r="468" spans="1:77" ht="25.5">
      <c r="A468" s="83"/>
      <c r="B468" s="89">
        <v>456</v>
      </c>
      <c r="C468" s="124">
        <v>215</v>
      </c>
      <c r="D468" s="129">
        <v>138</v>
      </c>
      <c r="E468" s="125">
        <v>0.41666666666666669</v>
      </c>
      <c r="F468" s="125">
        <v>0.45833333333333331</v>
      </c>
      <c r="G468" s="126" t="s">
        <v>26</v>
      </c>
      <c r="H468" s="93" t="s">
        <v>478</v>
      </c>
      <c r="I468" s="124">
        <v>44</v>
      </c>
      <c r="J468" s="127">
        <v>50</v>
      </c>
      <c r="K468" s="131">
        <v>240</v>
      </c>
      <c r="L468" s="99" t="s">
        <v>751</v>
      </c>
      <c r="M468" s="83" t="s">
        <v>885</v>
      </c>
      <c r="N468" s="83">
        <v>57</v>
      </c>
      <c r="O468" s="83" t="s">
        <v>1879</v>
      </c>
      <c r="P468" s="83">
        <v>57</v>
      </c>
      <c r="Q468" s="83" t="s">
        <v>1238</v>
      </c>
      <c r="R468" s="83">
        <v>38</v>
      </c>
      <c r="S468" s="26">
        <v>2290</v>
      </c>
      <c r="T468" s="26" t="s">
        <v>1457</v>
      </c>
      <c r="U468" s="26">
        <v>2323</v>
      </c>
      <c r="V468" s="26" t="s">
        <v>1529</v>
      </c>
      <c r="W468" s="63">
        <v>44816</v>
      </c>
      <c r="X468" s="63">
        <v>45100</v>
      </c>
      <c r="Y468" s="63"/>
      <c r="Z468" s="63"/>
      <c r="AA468" s="26" t="s">
        <v>1112</v>
      </c>
      <c r="AB468" s="23" t="s">
        <v>731</v>
      </c>
      <c r="AC468" s="23"/>
      <c r="AD468" s="23" t="s">
        <v>731</v>
      </c>
      <c r="AE468" s="23"/>
      <c r="AF468" s="23" t="s">
        <v>731</v>
      </c>
      <c r="AG468" s="23" t="s">
        <v>731</v>
      </c>
      <c r="AH468" s="23" t="s">
        <v>731</v>
      </c>
      <c r="AI468" s="23" t="s">
        <v>731</v>
      </c>
      <c r="AJ468" s="23" t="s">
        <v>731</v>
      </c>
      <c r="AK468" s="23" t="s">
        <v>731</v>
      </c>
      <c r="AL468" s="23"/>
      <c r="AM468" s="23"/>
      <c r="AN468" s="23"/>
      <c r="AO468" s="23"/>
      <c r="AP468" s="23"/>
      <c r="AQ468" s="23"/>
      <c r="AR468" s="23"/>
      <c r="AS468" s="23"/>
      <c r="AT468" s="23"/>
      <c r="AU468" s="23"/>
      <c r="AV468" s="42">
        <v>88.8</v>
      </c>
      <c r="AY468" s="42"/>
      <c r="AZ468" s="42"/>
      <c r="BB468" s="43">
        <v>2</v>
      </c>
      <c r="BC468" s="44"/>
      <c r="BD468" s="44"/>
      <c r="BG468" s="18"/>
      <c r="BH468" s="18">
        <v>17</v>
      </c>
      <c r="BI468" s="18">
        <v>26</v>
      </c>
      <c r="BJ468" s="18">
        <v>25</v>
      </c>
      <c r="BK468" s="18">
        <v>25</v>
      </c>
      <c r="BL468" s="18">
        <v>25</v>
      </c>
      <c r="BM468" s="55">
        <f>SUM(AV468:AX468)+SUM(BC468:BD468)+SUM(BE468:BF468)+BG468</f>
        <v>88.8</v>
      </c>
      <c r="BN468" s="55"/>
      <c r="BO468" s="55"/>
      <c r="BP468" s="55"/>
      <c r="BQ468" s="55"/>
      <c r="BR468" s="55"/>
      <c r="BS468" s="55"/>
      <c r="BT468" s="55"/>
      <c r="BU468" s="55"/>
      <c r="BV468" s="55"/>
      <c r="BW468" s="55"/>
      <c r="BX468" s="55"/>
      <c r="BY468" s="55"/>
    </row>
    <row r="469" spans="1:77" ht="45">
      <c r="A469" s="2" t="s">
        <v>799</v>
      </c>
      <c r="B469" s="89">
        <v>457</v>
      </c>
      <c r="C469" s="124">
        <v>215</v>
      </c>
      <c r="D469" s="124">
        <v>595</v>
      </c>
      <c r="E469" s="130">
        <v>0.47916666666666669</v>
      </c>
      <c r="F469" s="130">
        <v>0.54097222222222219</v>
      </c>
      <c r="G469" s="126" t="s">
        <v>25</v>
      </c>
      <c r="H469" s="93" t="s">
        <v>423</v>
      </c>
      <c r="I469" s="124">
        <v>37</v>
      </c>
      <c r="J469" s="127">
        <v>50</v>
      </c>
      <c r="K469" s="131">
        <v>67</v>
      </c>
      <c r="L469" s="99" t="s">
        <v>753</v>
      </c>
      <c r="M469" s="83" t="s">
        <v>981</v>
      </c>
      <c r="N469" s="83">
        <v>57</v>
      </c>
      <c r="O469" s="83" t="s">
        <v>795</v>
      </c>
      <c r="P469" s="83">
        <v>60</v>
      </c>
      <c r="Q469" s="83" t="s">
        <v>1852</v>
      </c>
      <c r="R469" s="83">
        <v>57</v>
      </c>
      <c r="S469" s="26">
        <v>2323</v>
      </c>
      <c r="T469" s="26" t="s">
        <v>1529</v>
      </c>
      <c r="U469" s="26">
        <v>2290</v>
      </c>
      <c r="V469" s="26" t="s">
        <v>1457</v>
      </c>
      <c r="W469" s="63">
        <v>44562</v>
      </c>
      <c r="X469" s="63">
        <v>44815</v>
      </c>
      <c r="Y469" s="63">
        <v>45101</v>
      </c>
      <c r="Z469" s="63">
        <v>45169</v>
      </c>
      <c r="AA469" s="23" t="s">
        <v>1107</v>
      </c>
      <c r="AB469" s="23"/>
      <c r="AC469" s="23" t="s">
        <v>731</v>
      </c>
      <c r="AD469" s="23" t="s">
        <v>731</v>
      </c>
      <c r="AE469" s="23"/>
      <c r="AF469" s="23" t="s">
        <v>731</v>
      </c>
      <c r="AG469" s="23" t="s">
        <v>731</v>
      </c>
      <c r="AH469" s="23" t="s">
        <v>731</v>
      </c>
      <c r="AI469" s="23" t="s">
        <v>731</v>
      </c>
      <c r="AJ469" s="23" t="s">
        <v>731</v>
      </c>
      <c r="AK469" s="23" t="s">
        <v>731</v>
      </c>
      <c r="AL469" s="23"/>
      <c r="AM469" s="23"/>
      <c r="AN469" s="23"/>
      <c r="AO469" s="23"/>
      <c r="AP469" s="23"/>
      <c r="AQ469" s="23"/>
      <c r="AR469" s="23"/>
      <c r="AS469" s="23"/>
      <c r="AT469" s="23"/>
      <c r="AU469" s="23"/>
      <c r="AV469" s="42"/>
      <c r="AZ469" s="51" t="s">
        <v>753</v>
      </c>
      <c r="BB469" s="43">
        <v>2</v>
      </c>
      <c r="BD469" s="41"/>
      <c r="BG469" s="18"/>
      <c r="BH469" s="18">
        <v>9</v>
      </c>
      <c r="BI469" s="18">
        <v>0</v>
      </c>
      <c r="BJ469" s="18">
        <v>0</v>
      </c>
      <c r="BK469" s="18">
        <v>0</v>
      </c>
      <c r="BL469" s="18">
        <v>0</v>
      </c>
      <c r="BM469" s="55">
        <f>SUM(AV469:AX469)+SUM(BC469:BD469)+SUM(BE469:BF469)+BG469</f>
        <v>0</v>
      </c>
      <c r="BN469" s="55" t="s">
        <v>1107</v>
      </c>
      <c r="BO469" s="77">
        <v>9</v>
      </c>
      <c r="BP469" s="77"/>
      <c r="BQ469" s="77">
        <v>0</v>
      </c>
      <c r="BR469" s="77"/>
      <c r="BS469" s="77">
        <v>0</v>
      </c>
      <c r="BT469" s="77"/>
      <c r="BU469" s="77">
        <v>0</v>
      </c>
      <c r="BV469" s="77"/>
      <c r="BW469" s="77">
        <v>0</v>
      </c>
      <c r="BX469" s="77"/>
      <c r="BY469" s="55">
        <v>350</v>
      </c>
    </row>
    <row r="470" spans="1:77" ht="25.5">
      <c r="A470" s="2" t="s">
        <v>799</v>
      </c>
      <c r="B470" s="89">
        <v>458</v>
      </c>
      <c r="C470" s="124">
        <v>215</v>
      </c>
      <c r="D470" s="124">
        <v>606</v>
      </c>
      <c r="E470" s="130">
        <v>0.4993055555555555</v>
      </c>
      <c r="F470" s="130">
        <v>0.54097222222222219</v>
      </c>
      <c r="G470" s="126" t="s">
        <v>26</v>
      </c>
      <c r="H470" s="93" t="s">
        <v>423</v>
      </c>
      <c r="I470" s="124">
        <v>37</v>
      </c>
      <c r="J470" s="127">
        <v>50</v>
      </c>
      <c r="K470" s="131">
        <v>67</v>
      </c>
      <c r="L470" s="99" t="s">
        <v>751</v>
      </c>
      <c r="M470" s="83" t="s">
        <v>885</v>
      </c>
      <c r="N470" s="83">
        <v>57</v>
      </c>
      <c r="O470" s="83" t="s">
        <v>1879</v>
      </c>
      <c r="P470" s="83">
        <v>57</v>
      </c>
      <c r="Q470" s="83"/>
      <c r="R470" s="85"/>
      <c r="S470" s="26">
        <v>2290</v>
      </c>
      <c r="T470" s="26" t="s">
        <v>1457</v>
      </c>
      <c r="U470" s="26">
        <v>2323</v>
      </c>
      <c r="V470" s="26" t="s">
        <v>1529</v>
      </c>
      <c r="W470" s="63">
        <v>44562</v>
      </c>
      <c r="X470" s="63">
        <v>44815</v>
      </c>
      <c r="Y470" s="63">
        <v>45101</v>
      </c>
      <c r="Z470" s="63">
        <v>45169</v>
      </c>
      <c r="AA470" s="23" t="s">
        <v>1107</v>
      </c>
      <c r="AB470" s="23"/>
      <c r="AC470" s="23" t="s">
        <v>731</v>
      </c>
      <c r="AD470" s="23" t="s">
        <v>731</v>
      </c>
      <c r="AE470" s="23"/>
      <c r="AF470" s="23" t="s">
        <v>731</v>
      </c>
      <c r="AG470" s="23" t="s">
        <v>731</v>
      </c>
      <c r="AH470" s="23" t="s">
        <v>731</v>
      </c>
      <c r="AI470" s="23" t="s">
        <v>731</v>
      </c>
      <c r="AJ470" s="23" t="s">
        <v>731</v>
      </c>
      <c r="AK470" s="23" t="s">
        <v>731</v>
      </c>
      <c r="AL470" s="23"/>
      <c r="AM470" s="23"/>
      <c r="AN470" s="23"/>
      <c r="AO470" s="23"/>
      <c r="AP470" s="23"/>
      <c r="AQ470" s="23"/>
      <c r="AR470" s="23"/>
      <c r="AS470" s="23"/>
      <c r="AT470" s="23"/>
      <c r="AU470" s="23"/>
      <c r="AZ470" s="51" t="s">
        <v>751</v>
      </c>
      <c r="BB470" s="43">
        <v>2</v>
      </c>
      <c r="BD470" s="41"/>
      <c r="BG470" s="18"/>
      <c r="BH470" s="18">
        <v>9</v>
      </c>
      <c r="BI470" s="18">
        <v>0</v>
      </c>
      <c r="BJ470" s="18">
        <v>0</v>
      </c>
      <c r="BK470" s="18">
        <v>0</v>
      </c>
      <c r="BL470" s="18">
        <v>0</v>
      </c>
      <c r="BM470" s="55">
        <f>SUM(AV470:AX470)+SUM(BC470:BD470)+SUM(BE470:BF470)+BG470</f>
        <v>0</v>
      </c>
      <c r="BN470" s="55"/>
      <c r="BO470" s="55"/>
      <c r="BP470" s="55"/>
      <c r="BQ470" s="55"/>
      <c r="BR470" s="55"/>
      <c r="BS470" s="55"/>
      <c r="BT470" s="55"/>
      <c r="BU470" s="55"/>
      <c r="BV470" s="55"/>
      <c r="BW470" s="55"/>
      <c r="BX470" s="55"/>
      <c r="BY470" s="55"/>
    </row>
    <row r="471" spans="1:77" ht="45">
      <c r="A471" s="2" t="s">
        <v>800</v>
      </c>
      <c r="B471" s="89">
        <v>459</v>
      </c>
      <c r="C471" s="124">
        <v>215</v>
      </c>
      <c r="D471" s="129">
        <v>606</v>
      </c>
      <c r="E471" s="130">
        <v>0.4993055555555555</v>
      </c>
      <c r="F471" s="130">
        <v>0.54097222222222219</v>
      </c>
      <c r="G471" s="126" t="s">
        <v>26</v>
      </c>
      <c r="H471" s="93" t="s">
        <v>478</v>
      </c>
      <c r="I471" s="124">
        <v>37</v>
      </c>
      <c r="J471" s="127">
        <v>50</v>
      </c>
      <c r="K471" s="131">
        <v>240</v>
      </c>
      <c r="L471" s="99" t="s">
        <v>753</v>
      </c>
      <c r="M471" s="83" t="s">
        <v>795</v>
      </c>
      <c r="N471" s="83">
        <v>60</v>
      </c>
      <c r="O471" s="83" t="s">
        <v>1852</v>
      </c>
      <c r="P471" s="83">
        <v>57</v>
      </c>
      <c r="Q471" s="83" t="s">
        <v>1249</v>
      </c>
      <c r="R471" s="83">
        <v>57</v>
      </c>
      <c r="S471" s="26">
        <v>2290</v>
      </c>
      <c r="T471" s="26" t="s">
        <v>1457</v>
      </c>
      <c r="U471" s="26">
        <v>2323</v>
      </c>
      <c r="V471" s="26" t="s">
        <v>1529</v>
      </c>
      <c r="W471" s="63">
        <v>44816</v>
      </c>
      <c r="X471" s="63">
        <v>45100</v>
      </c>
      <c r="Y471" s="63"/>
      <c r="Z471" s="63"/>
      <c r="AA471" s="26" t="s">
        <v>1112</v>
      </c>
      <c r="AB471" s="23" t="s">
        <v>731</v>
      </c>
      <c r="AC471" s="23"/>
      <c r="AD471" s="23" t="s">
        <v>731</v>
      </c>
      <c r="AE471" s="23"/>
      <c r="AF471" s="23" t="s">
        <v>731</v>
      </c>
      <c r="AG471" s="23" t="s">
        <v>731</v>
      </c>
      <c r="AH471" s="23" t="s">
        <v>731</v>
      </c>
      <c r="AI471" s="23" t="s">
        <v>731</v>
      </c>
      <c r="AJ471" s="23" t="s">
        <v>731</v>
      </c>
      <c r="AK471" s="23" t="s">
        <v>731</v>
      </c>
      <c r="AL471" s="23"/>
      <c r="AM471" s="23"/>
      <c r="AN471" s="23"/>
      <c r="AO471" s="23"/>
      <c r="AP471" s="23"/>
      <c r="AQ471" s="23"/>
      <c r="AR471" s="23"/>
      <c r="AS471" s="23"/>
      <c r="AT471" s="23"/>
      <c r="AU471" s="23"/>
      <c r="AV471" s="42"/>
      <c r="AX471" s="41">
        <f>3*I471</f>
        <v>111</v>
      </c>
      <c r="AY471" s="42"/>
      <c r="AZ471" s="42"/>
      <c r="BB471" s="43">
        <v>2</v>
      </c>
      <c r="BC471" s="45"/>
      <c r="BD471" s="50"/>
      <c r="BE471" s="45"/>
      <c r="BF471" s="45"/>
      <c r="BG471" s="18"/>
      <c r="BH471" s="18">
        <v>17</v>
      </c>
      <c r="BI471" s="18">
        <v>26</v>
      </c>
      <c r="BJ471" s="18">
        <v>25</v>
      </c>
      <c r="BK471" s="18">
        <v>25</v>
      </c>
      <c r="BL471" s="18">
        <v>25</v>
      </c>
      <c r="BM471" s="55">
        <f>SUM(AV471:AX471)+SUM(BC471:BD471)+SUM(BE471:BF471)+BG471</f>
        <v>111</v>
      </c>
      <c r="BN471" s="55"/>
      <c r="BO471" s="55"/>
      <c r="BP471" s="55"/>
      <c r="BQ471" s="55"/>
      <c r="BR471" s="55"/>
      <c r="BS471" s="55"/>
      <c r="BT471" s="55"/>
      <c r="BU471" s="55"/>
      <c r="BV471" s="55"/>
      <c r="BW471" s="55"/>
      <c r="BX471" s="55"/>
      <c r="BY471" s="55"/>
    </row>
    <row r="472" spans="1:77" ht="25.5">
      <c r="A472" s="2" t="s">
        <v>799</v>
      </c>
      <c r="B472" s="89">
        <v>460</v>
      </c>
      <c r="C472" s="124">
        <v>215</v>
      </c>
      <c r="D472" s="124">
        <v>129</v>
      </c>
      <c r="E472" s="130">
        <v>0.51388888888888895</v>
      </c>
      <c r="F472" s="130">
        <v>0.5541666666666667</v>
      </c>
      <c r="G472" s="126" t="s">
        <v>25</v>
      </c>
      <c r="H472" s="93" t="s">
        <v>424</v>
      </c>
      <c r="I472" s="124">
        <v>37</v>
      </c>
      <c r="J472" s="127">
        <v>50</v>
      </c>
      <c r="K472" s="131">
        <v>55</v>
      </c>
      <c r="L472" s="118" t="s">
        <v>742</v>
      </c>
      <c r="M472" s="2" t="s">
        <v>1237</v>
      </c>
      <c r="N472" s="85">
        <v>58</v>
      </c>
      <c r="O472" s="227" t="s">
        <v>2091</v>
      </c>
      <c r="P472" s="227">
        <v>61</v>
      </c>
      <c r="Q472" s="83" t="s">
        <v>1878</v>
      </c>
      <c r="R472" s="83">
        <v>56</v>
      </c>
      <c r="S472" s="26">
        <v>2323</v>
      </c>
      <c r="T472" s="26" t="s">
        <v>1529</v>
      </c>
      <c r="U472" s="26">
        <v>2290</v>
      </c>
      <c r="V472" s="26" t="s">
        <v>1457</v>
      </c>
      <c r="W472" s="63">
        <v>44562</v>
      </c>
      <c r="X472" s="63">
        <v>44815</v>
      </c>
      <c r="Y472" s="63">
        <v>45101</v>
      </c>
      <c r="Z472" s="63">
        <v>45169</v>
      </c>
      <c r="AA472" s="22" t="s">
        <v>1109</v>
      </c>
      <c r="AB472" s="23"/>
      <c r="AC472" s="23" t="s">
        <v>731</v>
      </c>
      <c r="AD472" s="23" t="s">
        <v>731</v>
      </c>
      <c r="AE472" s="23"/>
      <c r="AF472" s="23" t="s">
        <v>731</v>
      </c>
      <c r="AG472" s="23" t="s">
        <v>731</v>
      </c>
      <c r="AH472" s="23" t="s">
        <v>731</v>
      </c>
      <c r="AI472" s="23" t="s">
        <v>731</v>
      </c>
      <c r="AJ472" s="23" t="s">
        <v>731</v>
      </c>
      <c r="AK472" s="23"/>
      <c r="AL472" s="23"/>
      <c r="AM472" s="23"/>
      <c r="AN472" s="23"/>
      <c r="AO472" s="23"/>
      <c r="AP472" s="23"/>
      <c r="AQ472" s="23"/>
      <c r="AR472" s="23"/>
      <c r="AS472" s="23"/>
      <c r="AT472" s="23"/>
      <c r="AU472" s="23"/>
      <c r="AV472" s="42"/>
      <c r="AZ472" s="19" t="s">
        <v>1015</v>
      </c>
      <c r="BB472" s="43">
        <v>2</v>
      </c>
      <c r="BD472" s="41"/>
      <c r="BG472" s="18"/>
      <c r="BH472" s="18">
        <v>7</v>
      </c>
      <c r="BI472" s="18">
        <v>0</v>
      </c>
      <c r="BJ472" s="18">
        <v>0</v>
      </c>
      <c r="BK472" s="18">
        <v>0</v>
      </c>
      <c r="BL472" s="18">
        <v>0</v>
      </c>
      <c r="BM472" s="55">
        <f>SUM(AV472:AX472)+SUM(BC472:BD472)+SUM(BE472:BF472)+BG472</f>
        <v>0</v>
      </c>
      <c r="BN472" s="55"/>
      <c r="BO472" s="55"/>
      <c r="BP472" s="55"/>
      <c r="BQ472" s="55"/>
      <c r="BR472" s="55"/>
      <c r="BS472" s="55"/>
      <c r="BT472" s="55"/>
      <c r="BU472" s="55"/>
      <c r="BV472" s="55"/>
      <c r="BW472" s="55"/>
      <c r="BX472" s="55"/>
      <c r="BY472" s="55"/>
    </row>
    <row r="473" spans="1:77" ht="45">
      <c r="A473" s="2" t="s">
        <v>799</v>
      </c>
      <c r="B473" s="89">
        <v>461</v>
      </c>
      <c r="C473" s="124">
        <v>215</v>
      </c>
      <c r="D473" s="124">
        <v>140</v>
      </c>
      <c r="E473" s="130">
        <v>0.52222222222222225</v>
      </c>
      <c r="F473" s="130">
        <v>0.56388888888888888</v>
      </c>
      <c r="G473" s="126" t="s">
        <v>26</v>
      </c>
      <c r="H473" s="93" t="s">
        <v>423</v>
      </c>
      <c r="I473" s="124">
        <v>37</v>
      </c>
      <c r="J473" s="127">
        <v>50</v>
      </c>
      <c r="K473" s="98">
        <v>67</v>
      </c>
      <c r="L473" s="99" t="s">
        <v>753</v>
      </c>
      <c r="M473" s="83" t="s">
        <v>981</v>
      </c>
      <c r="N473" s="83">
        <v>57</v>
      </c>
      <c r="O473" s="83" t="s">
        <v>795</v>
      </c>
      <c r="P473" s="83">
        <v>60</v>
      </c>
      <c r="Q473" s="83" t="s">
        <v>1852</v>
      </c>
      <c r="R473" s="83">
        <v>57</v>
      </c>
      <c r="S473" s="26">
        <v>2290</v>
      </c>
      <c r="T473" s="26" t="s">
        <v>1457</v>
      </c>
      <c r="U473" s="26">
        <v>2323</v>
      </c>
      <c r="V473" s="26" t="s">
        <v>1529</v>
      </c>
      <c r="W473" s="63">
        <v>44562</v>
      </c>
      <c r="X473" s="63">
        <v>44815</v>
      </c>
      <c r="Y473" s="63">
        <v>45101</v>
      </c>
      <c r="Z473" s="63">
        <v>45169</v>
      </c>
      <c r="AA473" s="23" t="s">
        <v>1107</v>
      </c>
      <c r="AB473" s="23"/>
      <c r="AC473" s="23" t="s">
        <v>731</v>
      </c>
      <c r="AD473" s="23" t="s">
        <v>731</v>
      </c>
      <c r="AE473" s="23"/>
      <c r="AF473" s="23" t="s">
        <v>731</v>
      </c>
      <c r="AG473" s="23" t="s">
        <v>731</v>
      </c>
      <c r="AH473" s="23" t="s">
        <v>731</v>
      </c>
      <c r="AI473" s="23" t="s">
        <v>731</v>
      </c>
      <c r="AJ473" s="23" t="s">
        <v>731</v>
      </c>
      <c r="AK473" s="23" t="s">
        <v>731</v>
      </c>
      <c r="AL473" s="23"/>
      <c r="AM473" s="23"/>
      <c r="AN473" s="23"/>
      <c r="AO473" s="23"/>
      <c r="AP473" s="23"/>
      <c r="AQ473" s="23"/>
      <c r="AR473" s="23"/>
      <c r="AS473" s="23"/>
      <c r="AT473" s="23"/>
      <c r="AU473" s="23"/>
      <c r="AV473" s="42"/>
      <c r="AZ473" s="51" t="s">
        <v>753</v>
      </c>
      <c r="BB473" s="43">
        <v>2</v>
      </c>
      <c r="BD473" s="41"/>
      <c r="BG473" s="18"/>
      <c r="BH473" s="18">
        <v>9</v>
      </c>
      <c r="BI473" s="18">
        <v>0</v>
      </c>
      <c r="BJ473" s="18">
        <v>0</v>
      </c>
      <c r="BK473" s="18">
        <v>0</v>
      </c>
      <c r="BL473" s="18">
        <v>0</v>
      </c>
      <c r="BM473" s="55">
        <f>SUM(AV473:AX473)+SUM(BC473:BD473)+SUM(BE473:BF473)+BG473</f>
        <v>0</v>
      </c>
      <c r="BN473" s="55"/>
      <c r="BO473" s="55"/>
      <c r="BP473" s="55"/>
      <c r="BQ473" s="55"/>
      <c r="BR473" s="55"/>
      <c r="BS473" s="55"/>
      <c r="BT473" s="55"/>
      <c r="BU473" s="55"/>
      <c r="BV473" s="55"/>
      <c r="BW473" s="55"/>
      <c r="BX473" s="55"/>
      <c r="BY473" s="55"/>
    </row>
    <row r="474" spans="1:77" ht="25.5">
      <c r="B474" s="89">
        <v>462</v>
      </c>
      <c r="C474" s="93">
        <v>215</v>
      </c>
      <c r="D474" s="93">
        <v>140</v>
      </c>
      <c r="E474" s="105">
        <v>0.52222222222222225</v>
      </c>
      <c r="F474" s="105">
        <v>0.56388888888888888</v>
      </c>
      <c r="G474" s="93" t="s">
        <v>276</v>
      </c>
      <c r="H474" s="93" t="s">
        <v>443</v>
      </c>
      <c r="I474" s="96">
        <v>37</v>
      </c>
      <c r="J474" s="97">
        <v>55</v>
      </c>
      <c r="K474" s="131">
        <v>47</v>
      </c>
      <c r="L474" s="99" t="s">
        <v>741</v>
      </c>
      <c r="M474" s="87" t="s">
        <v>796</v>
      </c>
      <c r="N474" s="87">
        <v>37</v>
      </c>
      <c r="O474" s="87" t="s">
        <v>798</v>
      </c>
      <c r="P474" s="87">
        <v>29</v>
      </c>
      <c r="Q474" s="87" t="s">
        <v>797</v>
      </c>
      <c r="R474" s="83">
        <v>45</v>
      </c>
      <c r="S474" s="26">
        <v>2290</v>
      </c>
      <c r="T474" s="26" t="s">
        <v>1457</v>
      </c>
      <c r="U474" s="26">
        <v>2323</v>
      </c>
      <c r="V474" s="26" t="s">
        <v>1529</v>
      </c>
      <c r="W474" s="63">
        <v>44816</v>
      </c>
      <c r="X474" s="63">
        <v>45100</v>
      </c>
      <c r="Y474" s="63"/>
      <c r="Z474" s="63"/>
      <c r="AA474" s="27" t="s">
        <v>1103</v>
      </c>
      <c r="AB474" s="23" t="s">
        <v>731</v>
      </c>
      <c r="AC474" s="23"/>
      <c r="AD474" s="23"/>
      <c r="AE474" s="23"/>
      <c r="AF474" s="23"/>
      <c r="AG474" s="23"/>
      <c r="AH474" s="23"/>
      <c r="AI474" s="23"/>
      <c r="AJ474" s="23"/>
      <c r="AK474" s="23"/>
      <c r="AL474" s="23" t="s">
        <v>731</v>
      </c>
      <c r="AM474" s="23"/>
      <c r="AN474" s="23"/>
      <c r="AO474" s="23"/>
      <c r="AP474" s="23"/>
      <c r="AQ474" s="23"/>
      <c r="AR474" s="23"/>
      <c r="AS474" s="23"/>
      <c r="AT474" s="23"/>
      <c r="AU474" s="23"/>
      <c r="AV474" s="42">
        <v>89</v>
      </c>
      <c r="AY474" s="42"/>
      <c r="AZ474" s="42"/>
      <c r="BB474" s="43">
        <v>2</v>
      </c>
      <c r="BC474" s="41">
        <f>IF(AND((AV474/I474)&lt;2,BB474=1),(I474*2)-AV474,0)</f>
        <v>0</v>
      </c>
      <c r="BD474" s="41">
        <f>IF(AND((AV474/I474)&lt;3,BB474=2),(I474*3)-AV474,0)</f>
        <v>22</v>
      </c>
      <c r="BG474" s="18"/>
      <c r="BH474" s="18">
        <v>2</v>
      </c>
      <c r="BI474" s="18">
        <v>5</v>
      </c>
      <c r="BJ474" s="18">
        <v>5</v>
      </c>
      <c r="BK474" s="18">
        <v>6</v>
      </c>
      <c r="BL474" s="18">
        <v>6</v>
      </c>
      <c r="BM474" s="55">
        <f>SUM(AV474:AX474)+SUM(BC474:BD474)+SUM(BE474:BF474)+BG474</f>
        <v>111</v>
      </c>
      <c r="BN474" s="55"/>
      <c r="BO474" s="55"/>
      <c r="BP474" s="55"/>
      <c r="BQ474" s="55"/>
      <c r="BR474" s="55"/>
      <c r="BS474" s="55"/>
      <c r="BT474" s="55"/>
      <c r="BU474" s="55"/>
      <c r="BV474" s="55"/>
      <c r="BW474" s="55"/>
      <c r="BX474" s="55"/>
      <c r="BY474" s="55"/>
    </row>
    <row r="475" spans="1:77" ht="45">
      <c r="A475" s="83"/>
      <c r="B475" s="89">
        <v>463</v>
      </c>
      <c r="C475" s="93">
        <v>215</v>
      </c>
      <c r="D475" s="93">
        <v>140</v>
      </c>
      <c r="E475" s="94">
        <v>0.52430555555555558</v>
      </c>
      <c r="F475" s="94">
        <v>0.57361111111111118</v>
      </c>
      <c r="G475" s="93" t="s">
        <v>26</v>
      </c>
      <c r="H475" s="93" t="s">
        <v>103</v>
      </c>
      <c r="I475" s="96">
        <v>37</v>
      </c>
      <c r="J475" s="97">
        <v>55</v>
      </c>
      <c r="K475" s="98">
        <v>174</v>
      </c>
      <c r="L475" s="99" t="s">
        <v>753</v>
      </c>
      <c r="M475" s="83" t="s">
        <v>981</v>
      </c>
      <c r="N475" s="83">
        <v>57</v>
      </c>
      <c r="O475" s="83" t="s">
        <v>1852</v>
      </c>
      <c r="P475" s="83">
        <v>57</v>
      </c>
      <c r="R475" s="83"/>
      <c r="S475" s="26" t="s">
        <v>1547</v>
      </c>
      <c r="T475" s="26" t="s">
        <v>1548</v>
      </c>
      <c r="U475" s="26">
        <v>2323</v>
      </c>
      <c r="V475" s="26" t="s">
        <v>1529</v>
      </c>
      <c r="W475" s="62">
        <v>44816</v>
      </c>
      <c r="X475" s="62">
        <v>45086</v>
      </c>
      <c r="Y475" s="62"/>
      <c r="Z475" s="62"/>
      <c r="AA475" s="22" t="s">
        <v>1102</v>
      </c>
      <c r="AB475" s="23"/>
      <c r="AC475" s="23"/>
      <c r="AD475" s="23"/>
      <c r="AE475" s="23" t="s">
        <v>731</v>
      </c>
      <c r="AF475" s="23" t="s">
        <v>731</v>
      </c>
      <c r="AG475" s="23" t="s">
        <v>731</v>
      </c>
      <c r="AH475" s="23" t="s">
        <v>731</v>
      </c>
      <c r="AI475" s="23" t="s">
        <v>731</v>
      </c>
      <c r="AJ475" s="23" t="s">
        <v>731</v>
      </c>
      <c r="AK475" s="23"/>
      <c r="AL475" s="23"/>
      <c r="AM475" s="23"/>
      <c r="AN475" s="23"/>
      <c r="AO475" s="23"/>
      <c r="AP475" s="23"/>
      <c r="AQ475" s="23"/>
      <c r="AR475" s="23"/>
      <c r="AS475" s="23"/>
      <c r="AT475" s="23"/>
      <c r="AU475" s="23"/>
      <c r="AV475" s="41">
        <v>111</v>
      </c>
      <c r="AY475" s="42"/>
      <c r="AZ475" s="42"/>
      <c r="BB475" s="43">
        <v>2</v>
      </c>
      <c r="BC475" s="41">
        <f>IF(AND((AV475/I475)&lt;2,BB475=1),(I475*2)-AV475,0)</f>
        <v>0</v>
      </c>
      <c r="BD475" s="41">
        <f>IF(AND((AV475/I475)&lt;3,BB475=2),(I475*3)-AV475,0)</f>
        <v>0</v>
      </c>
      <c r="BG475" s="18"/>
      <c r="BH475" s="18">
        <v>15</v>
      </c>
      <c r="BI475" s="18">
        <v>20</v>
      </c>
      <c r="BJ475" s="18">
        <v>21</v>
      </c>
      <c r="BK475" s="18">
        <v>15</v>
      </c>
      <c r="BL475" s="18">
        <v>17</v>
      </c>
      <c r="BM475" s="55">
        <f>SUM(AV475:AX475)+SUM(BC475:BD475)+SUM(BE475:BF475)+BG475</f>
        <v>111</v>
      </c>
      <c r="BN475" s="55"/>
      <c r="BO475" s="55"/>
      <c r="BP475" s="55"/>
      <c r="BQ475" s="55"/>
      <c r="BR475" s="55"/>
      <c r="BS475" s="55"/>
      <c r="BT475" s="55"/>
      <c r="BU475" s="55"/>
      <c r="BV475" s="55"/>
      <c r="BW475" s="55"/>
      <c r="BX475" s="55"/>
      <c r="BY475" s="55"/>
    </row>
    <row r="476" spans="1:77" ht="45">
      <c r="B476" s="89">
        <v>464</v>
      </c>
      <c r="C476" s="124">
        <v>215</v>
      </c>
      <c r="D476" s="93">
        <v>349</v>
      </c>
      <c r="E476" s="94">
        <v>0.53819444444444442</v>
      </c>
      <c r="F476" s="94">
        <v>0.54791666666666672</v>
      </c>
      <c r="G476" s="140" t="s">
        <v>561</v>
      </c>
      <c r="H476" s="93" t="s">
        <v>253</v>
      </c>
      <c r="I476" s="96">
        <v>8.6999999999999993</v>
      </c>
      <c r="J476" s="127">
        <v>9</v>
      </c>
      <c r="K476" s="98">
        <v>34</v>
      </c>
      <c r="L476" s="99" t="s">
        <v>753</v>
      </c>
      <c r="M476" s="83" t="s">
        <v>1077</v>
      </c>
      <c r="N476" s="83">
        <v>9</v>
      </c>
      <c r="O476" s="83" t="s">
        <v>960</v>
      </c>
      <c r="P476" s="83">
        <v>17</v>
      </c>
      <c r="Q476" s="83" t="s">
        <v>1247</v>
      </c>
      <c r="R476" s="84">
        <v>9</v>
      </c>
      <c r="S476" s="26" t="s">
        <v>1552</v>
      </c>
      <c r="T476" s="26" t="s">
        <v>1553</v>
      </c>
      <c r="U476" s="26">
        <v>2327</v>
      </c>
      <c r="V476" s="26" t="s">
        <v>1537</v>
      </c>
      <c r="W476" s="62">
        <v>44816</v>
      </c>
      <c r="X476" s="62">
        <v>45086</v>
      </c>
      <c r="Y476" s="62"/>
      <c r="Z476" s="62"/>
      <c r="AA476" s="23" t="s">
        <v>1111</v>
      </c>
      <c r="AB476" s="23"/>
      <c r="AC476" s="23"/>
      <c r="AD476" s="23"/>
      <c r="AE476" s="23" t="s">
        <v>731</v>
      </c>
      <c r="AF476" s="23"/>
      <c r="AG476" s="23"/>
      <c r="AH476" s="23"/>
      <c r="AI476" s="23"/>
      <c r="AJ476" s="23"/>
      <c r="AK476" s="23" t="s">
        <v>731</v>
      </c>
      <c r="AL476" s="23"/>
      <c r="AM476" s="23"/>
      <c r="AN476" s="23"/>
      <c r="AO476" s="23"/>
      <c r="AP476" s="23"/>
      <c r="AQ476" s="23"/>
      <c r="AR476" s="23"/>
      <c r="AS476" s="23"/>
      <c r="AT476" s="23"/>
      <c r="AU476" s="23"/>
      <c r="AV476" s="41">
        <f>I476*3</f>
        <v>26.099999999999998</v>
      </c>
      <c r="AY476" s="41"/>
      <c r="AZ476" s="41"/>
      <c r="BB476" s="45">
        <v>1</v>
      </c>
      <c r="BC476" s="41">
        <f>IF(AND((AV476/I476)&lt;2,BB476=1),(I476*2)-AV476,0)</f>
        <v>0</v>
      </c>
      <c r="BD476" s="41">
        <f>IF(AND((AV476/I476)&lt;3,BB476=2),(I476*3)-AV476,0)</f>
        <v>0</v>
      </c>
      <c r="BG476" s="18"/>
      <c r="BH476" s="18">
        <v>2</v>
      </c>
      <c r="BI476" s="18">
        <v>5</v>
      </c>
      <c r="BJ476" s="18">
        <v>4</v>
      </c>
      <c r="BK476" s="18">
        <v>3</v>
      </c>
      <c r="BL476" s="18">
        <v>3</v>
      </c>
      <c r="BM476" s="55">
        <f>SUM(AV476:AX476)+SUM(BC476:BD476)+SUM(BE476:BF476)+BG476</f>
        <v>26.099999999999998</v>
      </c>
      <c r="BN476" s="55"/>
      <c r="BO476" s="55"/>
      <c r="BP476" s="55"/>
      <c r="BQ476" s="55"/>
      <c r="BR476" s="55"/>
      <c r="BS476" s="55"/>
      <c r="BT476" s="55"/>
      <c r="BU476" s="55"/>
      <c r="BV476" s="55"/>
      <c r="BW476" s="55"/>
      <c r="BX476" s="55"/>
      <c r="BY476" s="55"/>
    </row>
    <row r="477" spans="1:77" ht="25.5">
      <c r="B477" s="89">
        <v>465</v>
      </c>
      <c r="C477" s="101">
        <v>215</v>
      </c>
      <c r="D477" s="101">
        <v>363</v>
      </c>
      <c r="E477" s="102">
        <v>0.54166666666666663</v>
      </c>
      <c r="F477" s="102">
        <v>0.55486111111111114</v>
      </c>
      <c r="G477" s="103" t="s">
        <v>701</v>
      </c>
      <c r="H477" s="93" t="s">
        <v>97</v>
      </c>
      <c r="I477" s="101">
        <v>13</v>
      </c>
      <c r="J477" s="104">
        <v>40</v>
      </c>
      <c r="K477" s="98">
        <v>208</v>
      </c>
      <c r="L477" s="99" t="s">
        <v>742</v>
      </c>
      <c r="M477" s="83" t="s">
        <v>1878</v>
      </c>
      <c r="N477" s="83">
        <v>56</v>
      </c>
      <c r="O477" s="227" t="s">
        <v>2091</v>
      </c>
      <c r="P477" s="227">
        <v>61</v>
      </c>
      <c r="Q477" s="87"/>
      <c r="R477" s="83"/>
      <c r="S477" s="26">
        <v>2322</v>
      </c>
      <c r="T477" s="26" t="s">
        <v>1554</v>
      </c>
      <c r="U477" s="26">
        <v>2323</v>
      </c>
      <c r="V477" s="26" t="s">
        <v>1529</v>
      </c>
      <c r="W477" s="62">
        <v>44816</v>
      </c>
      <c r="X477" s="62">
        <v>45086</v>
      </c>
      <c r="Y477" s="62"/>
      <c r="Z477" s="62"/>
      <c r="AA477" s="22" t="s">
        <v>1106</v>
      </c>
      <c r="AB477" s="23"/>
      <c r="AC477" s="23"/>
      <c r="AD477" s="23"/>
      <c r="AE477" s="23" t="s">
        <v>731</v>
      </c>
      <c r="AF477" s="23" t="s">
        <v>731</v>
      </c>
      <c r="AG477" s="23" t="s">
        <v>731</v>
      </c>
      <c r="AH477" s="23" t="s">
        <v>731</v>
      </c>
      <c r="AI477" s="23" t="s">
        <v>731</v>
      </c>
      <c r="AJ477" s="23" t="s">
        <v>731</v>
      </c>
      <c r="AK477" s="23" t="s">
        <v>731</v>
      </c>
      <c r="AL477" s="23"/>
      <c r="AM477" s="23"/>
      <c r="AN477" s="23"/>
      <c r="AO477" s="23"/>
      <c r="AP477" s="23"/>
      <c r="AQ477" s="23"/>
      <c r="AR477" s="23"/>
      <c r="AS477" s="23"/>
      <c r="AT477" s="23"/>
      <c r="AU477" s="23"/>
      <c r="AY477" s="19" t="s">
        <v>1012</v>
      </c>
      <c r="AZ477" s="19"/>
      <c r="BB477" s="43">
        <v>2</v>
      </c>
      <c r="BD477" s="41"/>
      <c r="BG477" s="18"/>
      <c r="BH477" s="18">
        <v>17</v>
      </c>
      <c r="BI477" s="18">
        <v>25</v>
      </c>
      <c r="BJ477" s="18">
        <v>25</v>
      </c>
      <c r="BK477" s="18">
        <v>18</v>
      </c>
      <c r="BL477" s="18">
        <v>20</v>
      </c>
      <c r="BM477" s="55">
        <f>SUM(AV477:AX477)+SUM(BC477:BD477)+SUM(BE477:BF477)+BG477</f>
        <v>0</v>
      </c>
      <c r="BW477" s="18"/>
    </row>
    <row r="478" spans="1:77" ht="25.5">
      <c r="A478" s="2" t="s">
        <v>799</v>
      </c>
      <c r="B478" s="89">
        <v>466</v>
      </c>
      <c r="C478" s="124">
        <v>215</v>
      </c>
      <c r="D478" s="124">
        <v>611</v>
      </c>
      <c r="E478" s="130">
        <v>0.54513888888888895</v>
      </c>
      <c r="F478" s="130">
        <v>0.5854166666666667</v>
      </c>
      <c r="G478" s="126" t="s">
        <v>25</v>
      </c>
      <c r="H478" s="93" t="s">
        <v>423</v>
      </c>
      <c r="I478" s="124">
        <v>37</v>
      </c>
      <c r="J478" s="127">
        <v>50</v>
      </c>
      <c r="K478" s="98">
        <v>67</v>
      </c>
      <c r="L478" s="99" t="s">
        <v>751</v>
      </c>
      <c r="M478" s="83" t="s">
        <v>885</v>
      </c>
      <c r="N478" s="83">
        <v>57</v>
      </c>
      <c r="O478" s="83" t="s">
        <v>1879</v>
      </c>
      <c r="P478" s="83">
        <v>57</v>
      </c>
      <c r="Q478" s="83"/>
      <c r="R478" s="85"/>
      <c r="S478" s="26">
        <v>2323</v>
      </c>
      <c r="T478" s="26" t="s">
        <v>1529</v>
      </c>
      <c r="U478" s="26">
        <v>2290</v>
      </c>
      <c r="V478" s="26" t="s">
        <v>1457</v>
      </c>
      <c r="W478" s="63">
        <v>44562</v>
      </c>
      <c r="X478" s="63">
        <v>44815</v>
      </c>
      <c r="Y478" s="63">
        <v>45101</v>
      </c>
      <c r="Z478" s="63">
        <v>45169</v>
      </c>
      <c r="AA478" s="23" t="s">
        <v>1107</v>
      </c>
      <c r="AB478" s="23"/>
      <c r="AC478" s="23" t="s">
        <v>731</v>
      </c>
      <c r="AD478" s="23" t="s">
        <v>731</v>
      </c>
      <c r="AE478" s="23"/>
      <c r="AF478" s="23" t="s">
        <v>731</v>
      </c>
      <c r="AG478" s="23" t="s">
        <v>731</v>
      </c>
      <c r="AH478" s="23" t="s">
        <v>731</v>
      </c>
      <c r="AI478" s="23" t="s">
        <v>731</v>
      </c>
      <c r="AJ478" s="23" t="s">
        <v>731</v>
      </c>
      <c r="AK478" s="23" t="s">
        <v>731</v>
      </c>
      <c r="AL478" s="23"/>
      <c r="AM478" s="23"/>
      <c r="AN478" s="23"/>
      <c r="AO478" s="23"/>
      <c r="AP478" s="23"/>
      <c r="AQ478" s="23"/>
      <c r="AR478" s="23"/>
      <c r="AS478" s="23"/>
      <c r="AT478" s="23"/>
      <c r="AU478" s="23"/>
      <c r="AZ478" s="51" t="s">
        <v>751</v>
      </c>
      <c r="BB478" s="43">
        <v>2</v>
      </c>
      <c r="BD478" s="41"/>
      <c r="BG478" s="18"/>
      <c r="BH478" s="18">
        <v>9</v>
      </c>
      <c r="BI478" s="18">
        <v>0</v>
      </c>
      <c r="BJ478" s="18">
        <v>0</v>
      </c>
      <c r="BK478" s="18">
        <v>0</v>
      </c>
      <c r="BL478" s="18">
        <v>0</v>
      </c>
      <c r="BM478" s="55">
        <f>SUM(AV478:AX478)+SUM(BC478:BD478)+SUM(BE478:BF478)+BG478</f>
        <v>0</v>
      </c>
      <c r="BN478" s="55"/>
      <c r="BO478" s="55"/>
      <c r="BP478" s="55"/>
      <c r="BQ478" s="55"/>
      <c r="BR478" s="55"/>
      <c r="BS478" s="55"/>
      <c r="BT478" s="55"/>
      <c r="BU478" s="55"/>
      <c r="BV478" s="55"/>
      <c r="BW478" s="55"/>
      <c r="BX478" s="55"/>
      <c r="BY478" s="55"/>
    </row>
    <row r="479" spans="1:77" ht="45">
      <c r="A479" s="2" t="s">
        <v>800</v>
      </c>
      <c r="B479" s="89">
        <v>467</v>
      </c>
      <c r="C479" s="124">
        <v>215</v>
      </c>
      <c r="D479" s="129">
        <v>611</v>
      </c>
      <c r="E479" s="130">
        <v>0.54513888888888895</v>
      </c>
      <c r="F479" s="130">
        <v>0.5854166666666667</v>
      </c>
      <c r="G479" s="126" t="s">
        <v>25</v>
      </c>
      <c r="H479" s="93" t="s">
        <v>478</v>
      </c>
      <c r="I479" s="124">
        <v>37</v>
      </c>
      <c r="J479" s="127">
        <v>50</v>
      </c>
      <c r="K479" s="131">
        <v>240</v>
      </c>
      <c r="L479" s="99" t="s">
        <v>753</v>
      </c>
      <c r="M479" s="83" t="s">
        <v>795</v>
      </c>
      <c r="N479" s="83">
        <v>60</v>
      </c>
      <c r="O479" s="83" t="s">
        <v>1852</v>
      </c>
      <c r="P479" s="83">
        <v>57</v>
      </c>
      <c r="Q479" s="83" t="s">
        <v>1249</v>
      </c>
      <c r="R479" s="83">
        <v>57</v>
      </c>
      <c r="S479" s="26">
        <v>2323</v>
      </c>
      <c r="T479" s="26" t="s">
        <v>1529</v>
      </c>
      <c r="U479" s="26">
        <v>2290</v>
      </c>
      <c r="V479" s="26" t="s">
        <v>1457</v>
      </c>
      <c r="W479" s="63">
        <v>44816</v>
      </c>
      <c r="X479" s="63">
        <v>45100</v>
      </c>
      <c r="Y479" s="63"/>
      <c r="Z479" s="63"/>
      <c r="AA479" s="26" t="s">
        <v>1112</v>
      </c>
      <c r="AB479" s="23" t="s">
        <v>731</v>
      </c>
      <c r="AC479" s="23"/>
      <c r="AD479" s="23" t="s">
        <v>731</v>
      </c>
      <c r="AE479" s="23"/>
      <c r="AF479" s="23" t="s">
        <v>731</v>
      </c>
      <c r="AG479" s="23" t="s">
        <v>731</v>
      </c>
      <c r="AH479" s="23" t="s">
        <v>731</v>
      </c>
      <c r="AI479" s="23" t="s">
        <v>731</v>
      </c>
      <c r="AJ479" s="23" t="s">
        <v>731</v>
      </c>
      <c r="AK479" s="23" t="s">
        <v>731</v>
      </c>
      <c r="AL479" s="23"/>
      <c r="AM479" s="23"/>
      <c r="AN479" s="23"/>
      <c r="AO479" s="23"/>
      <c r="AP479" s="23"/>
      <c r="AQ479" s="23"/>
      <c r="AR479" s="23"/>
      <c r="AS479" s="23"/>
      <c r="AT479" s="23"/>
      <c r="AU479" s="23"/>
      <c r="AV479" s="42"/>
      <c r="AX479" s="41">
        <f>3*I479</f>
        <v>111</v>
      </c>
      <c r="AY479" s="42"/>
      <c r="AZ479" s="42"/>
      <c r="BB479" s="43">
        <v>2</v>
      </c>
      <c r="BC479" s="45"/>
      <c r="BD479" s="50"/>
      <c r="BE479" s="45"/>
      <c r="BF479" s="45"/>
      <c r="BG479" s="18"/>
      <c r="BH479" s="18">
        <v>17</v>
      </c>
      <c r="BI479" s="18">
        <v>26</v>
      </c>
      <c r="BJ479" s="18">
        <v>25</v>
      </c>
      <c r="BK479" s="18">
        <v>25</v>
      </c>
      <c r="BL479" s="18">
        <v>25</v>
      </c>
      <c r="BM479" s="55">
        <f>SUM(AV479:AX479)+SUM(BC479:BD479)+SUM(BE479:BF479)+BG479</f>
        <v>111</v>
      </c>
      <c r="BN479" s="55"/>
      <c r="BO479" s="55"/>
      <c r="BP479" s="55"/>
      <c r="BQ479" s="55"/>
      <c r="BR479" s="55"/>
      <c r="BS479" s="55"/>
      <c r="BT479" s="55"/>
      <c r="BU479" s="55"/>
      <c r="BV479" s="55"/>
      <c r="BW479" s="55"/>
      <c r="BX479" s="55"/>
      <c r="BY479" s="55"/>
    </row>
    <row r="480" spans="1:77" ht="45">
      <c r="B480" s="89">
        <v>468</v>
      </c>
      <c r="C480" s="106">
        <v>225</v>
      </c>
      <c r="D480" s="93">
        <v>448</v>
      </c>
      <c r="E480" s="94">
        <v>0.55138888888888882</v>
      </c>
      <c r="F480" s="94">
        <v>0.56111111111111112</v>
      </c>
      <c r="G480" s="93" t="s">
        <v>376</v>
      </c>
      <c r="H480" s="93" t="s">
        <v>378</v>
      </c>
      <c r="I480" s="96">
        <v>6</v>
      </c>
      <c r="J480" s="97" t="s">
        <v>269</v>
      </c>
      <c r="K480" s="131">
        <v>70</v>
      </c>
      <c r="L480" s="99" t="s">
        <v>753</v>
      </c>
      <c r="M480" s="83" t="s">
        <v>950</v>
      </c>
      <c r="N480" s="83">
        <v>17</v>
      </c>
      <c r="O480" s="83" t="s">
        <v>960</v>
      </c>
      <c r="P480" s="83">
        <v>17</v>
      </c>
      <c r="Q480" s="87" t="s">
        <v>963</v>
      </c>
      <c r="R480" s="84">
        <v>24</v>
      </c>
      <c r="S480" s="26">
        <v>2311</v>
      </c>
      <c r="T480" s="26" t="s">
        <v>1543</v>
      </c>
      <c r="U480" s="26">
        <v>2312</v>
      </c>
      <c r="V480" s="26" t="s">
        <v>1542</v>
      </c>
      <c r="W480" s="62">
        <v>44816</v>
      </c>
      <c r="X480" s="62">
        <v>45086</v>
      </c>
      <c r="Y480" s="62"/>
      <c r="Z480" s="62"/>
      <c r="AA480" s="26" t="s">
        <v>1135</v>
      </c>
      <c r="AB480" s="23"/>
      <c r="AC480" s="23"/>
      <c r="AD480" s="23"/>
      <c r="AE480" s="23" t="s">
        <v>731</v>
      </c>
      <c r="AF480" s="23"/>
      <c r="AG480" s="23"/>
      <c r="AH480" s="23"/>
      <c r="AI480" s="23"/>
      <c r="AJ480" s="23" t="s">
        <v>731</v>
      </c>
      <c r="AK480" s="23" t="s">
        <v>731</v>
      </c>
      <c r="AL480" s="23"/>
      <c r="AM480" s="23"/>
      <c r="AN480" s="23"/>
      <c r="AO480" s="23"/>
      <c r="AP480" s="23"/>
      <c r="AQ480" s="23"/>
      <c r="AR480" s="23"/>
      <c r="AS480" s="23"/>
      <c r="AT480" s="23"/>
      <c r="AU480" s="23"/>
      <c r="AV480" s="42">
        <v>31.3</v>
      </c>
      <c r="AY480" s="42"/>
      <c r="AZ480" s="42"/>
      <c r="BB480" s="45">
        <v>1</v>
      </c>
      <c r="BC480" s="41">
        <f>IF(AND((AV480/I480)&lt;2,BB480=1),(I480*2)-AV480,0)</f>
        <v>0</v>
      </c>
      <c r="BD480" s="41">
        <f>IF(AND((AV480/I480)&lt;3,BB480=2),(I480*3)-AV480,0)</f>
        <v>0</v>
      </c>
      <c r="BG480" s="18"/>
      <c r="BH480" s="18">
        <v>5</v>
      </c>
      <c r="BI480" s="18">
        <v>9</v>
      </c>
      <c r="BJ480" s="18">
        <v>8</v>
      </c>
      <c r="BK480" s="18">
        <v>6</v>
      </c>
      <c r="BL480" s="18">
        <v>6</v>
      </c>
      <c r="BM480" s="55">
        <f>SUM(AV480:AX480)+SUM(BC480:BD480)+SUM(BE480:BF480)+BG480</f>
        <v>31.3</v>
      </c>
      <c r="BN480" s="55"/>
      <c r="BO480" s="55"/>
      <c r="BP480" s="55"/>
      <c r="BQ480" s="55"/>
      <c r="BR480" s="55"/>
      <c r="BS480" s="55"/>
      <c r="BT480" s="55"/>
      <c r="BU480" s="55"/>
      <c r="BV480" s="55"/>
      <c r="BW480" s="55"/>
      <c r="BX480" s="55"/>
      <c r="BY480" s="55"/>
    </row>
    <row r="481" spans="1:78" ht="45">
      <c r="B481" s="89">
        <v>469</v>
      </c>
      <c r="C481" s="93">
        <v>215</v>
      </c>
      <c r="D481" s="93">
        <v>602</v>
      </c>
      <c r="E481" s="94">
        <v>0.56597222222222221</v>
      </c>
      <c r="F481" s="94">
        <v>0.57152777777777775</v>
      </c>
      <c r="G481" s="93" t="s">
        <v>527</v>
      </c>
      <c r="H481" s="93" t="s">
        <v>532</v>
      </c>
      <c r="I481" s="96">
        <v>5.3</v>
      </c>
      <c r="J481" s="97" t="s">
        <v>167</v>
      </c>
      <c r="K481" s="98">
        <f>34+34+36</f>
        <v>104</v>
      </c>
      <c r="L481" s="99" t="s">
        <v>753</v>
      </c>
      <c r="M481" s="83" t="s">
        <v>961</v>
      </c>
      <c r="N481" s="83">
        <v>9</v>
      </c>
      <c r="O481" s="83" t="s">
        <v>960</v>
      </c>
      <c r="P481" s="83">
        <v>17</v>
      </c>
      <c r="Q481" s="87" t="s">
        <v>1247</v>
      </c>
      <c r="R481" s="84">
        <v>9</v>
      </c>
      <c r="S481" s="26">
        <v>2323</v>
      </c>
      <c r="T481" s="26" t="s">
        <v>1529</v>
      </c>
      <c r="U481" s="26">
        <v>2327</v>
      </c>
      <c r="V481" s="26" t="s">
        <v>1537</v>
      </c>
      <c r="W481" s="62">
        <v>44816</v>
      </c>
      <c r="X481" s="62">
        <v>45086</v>
      </c>
      <c r="Y481" s="62"/>
      <c r="Z481" s="62"/>
      <c r="AA481" s="26" t="s">
        <v>1136</v>
      </c>
      <c r="AB481" s="23"/>
      <c r="AC481" s="23"/>
      <c r="AD481" s="23"/>
      <c r="AE481" s="23" t="s">
        <v>731</v>
      </c>
      <c r="AF481" s="23"/>
      <c r="AG481" s="23" t="s">
        <v>731</v>
      </c>
      <c r="AH481" s="23"/>
      <c r="AI481" s="23" t="s">
        <v>731</v>
      </c>
      <c r="AJ481" s="23" t="s">
        <v>731</v>
      </c>
      <c r="AK481" s="23"/>
      <c r="AL481" s="23"/>
      <c r="AM481" s="23"/>
      <c r="AN481" s="23"/>
      <c r="AO481" s="23"/>
      <c r="AP481" s="23"/>
      <c r="AQ481" s="23"/>
      <c r="AR481" s="23"/>
      <c r="AS481" s="23"/>
      <c r="AT481" s="23"/>
      <c r="AU481" s="23"/>
      <c r="AV481" s="42">
        <v>15.9</v>
      </c>
      <c r="AY481" s="42"/>
      <c r="AZ481" s="42"/>
      <c r="BB481" s="45">
        <v>1</v>
      </c>
      <c r="BC481" s="41">
        <f>IF(AND((AV481/I481)&lt;2,BB481=1),(I481*2)-AV481,0)</f>
        <v>0</v>
      </c>
      <c r="BD481" s="41">
        <f>IF(AND((AV481/I481)&lt;3,BB481=2),(I481*3)-AV481,0)</f>
        <v>0</v>
      </c>
      <c r="BG481" s="18"/>
      <c r="BH481" s="18">
        <v>9</v>
      </c>
      <c r="BI481" s="18">
        <v>12</v>
      </c>
      <c r="BJ481" s="18">
        <v>12</v>
      </c>
      <c r="BK481" s="18">
        <v>9</v>
      </c>
      <c r="BL481" s="18">
        <v>10</v>
      </c>
      <c r="BM481" s="55">
        <f>SUM(AV481:AX481)+SUM(BC481:BD481)+SUM(BE481:BF481)+BG481</f>
        <v>15.9</v>
      </c>
      <c r="BN481" s="55"/>
      <c r="BO481" s="55"/>
      <c r="BP481" s="55"/>
      <c r="BQ481" s="55"/>
      <c r="BR481" s="55"/>
      <c r="BS481" s="55"/>
      <c r="BT481" s="55"/>
      <c r="BU481" s="55"/>
      <c r="BV481" s="55"/>
      <c r="BW481" s="55"/>
      <c r="BX481" s="55"/>
      <c r="BY481" s="55"/>
    </row>
    <row r="482" spans="1:78" ht="45">
      <c r="B482" s="89">
        <v>470</v>
      </c>
      <c r="C482" s="93">
        <v>215</v>
      </c>
      <c r="D482" s="93">
        <v>588</v>
      </c>
      <c r="E482" s="94">
        <v>0.57638888888888895</v>
      </c>
      <c r="F482" s="94">
        <v>0.58194444444444449</v>
      </c>
      <c r="G482" s="93" t="s">
        <v>527</v>
      </c>
      <c r="H482" s="93" t="s">
        <v>528</v>
      </c>
      <c r="I482" s="96">
        <v>5.3</v>
      </c>
      <c r="J482" s="97" t="s">
        <v>167</v>
      </c>
      <c r="K482" s="98">
        <v>34</v>
      </c>
      <c r="L482" s="99" t="s">
        <v>753</v>
      </c>
      <c r="M482" s="83" t="s">
        <v>961</v>
      </c>
      <c r="N482" s="83">
        <v>9</v>
      </c>
      <c r="O482" s="83" t="s">
        <v>960</v>
      </c>
      <c r="P482" s="83">
        <v>17</v>
      </c>
      <c r="Q482" s="87" t="s">
        <v>1247</v>
      </c>
      <c r="R482" s="84">
        <v>9</v>
      </c>
      <c r="S482" s="26">
        <v>2323</v>
      </c>
      <c r="T482" s="26" t="s">
        <v>1529</v>
      </c>
      <c r="U482" s="26">
        <v>2327</v>
      </c>
      <c r="V482" s="26" t="s">
        <v>1537</v>
      </c>
      <c r="W482" s="62">
        <v>44816</v>
      </c>
      <c r="X482" s="62">
        <v>45086</v>
      </c>
      <c r="Y482" s="62"/>
      <c r="Z482" s="62"/>
      <c r="AA482" s="26" t="s">
        <v>1111</v>
      </c>
      <c r="AB482" s="23"/>
      <c r="AC482" s="23"/>
      <c r="AD482" s="23"/>
      <c r="AE482" s="23" t="s">
        <v>731</v>
      </c>
      <c r="AF482" s="23"/>
      <c r="AG482" s="23"/>
      <c r="AH482" s="23"/>
      <c r="AI482" s="23"/>
      <c r="AJ482" s="23"/>
      <c r="AK482" s="23" t="s">
        <v>731</v>
      </c>
      <c r="AL482" s="23"/>
      <c r="AM482" s="23"/>
      <c r="AN482" s="23"/>
      <c r="AO482" s="23"/>
      <c r="AP482" s="23"/>
      <c r="AQ482" s="23"/>
      <c r="AR482" s="23"/>
      <c r="AS482" s="23"/>
      <c r="AT482" s="23"/>
      <c r="AU482" s="23"/>
      <c r="AV482" s="42">
        <v>15.9</v>
      </c>
      <c r="AY482" s="42"/>
      <c r="AZ482" s="42"/>
      <c r="BB482" s="45">
        <v>1</v>
      </c>
      <c r="BC482" s="41">
        <f>IF(AND((AV482/I482)&lt;2,BB482=1),(I482*2)-AV482,0)</f>
        <v>0</v>
      </c>
      <c r="BD482" s="41">
        <f>IF(AND((AV482/I482)&lt;3,BB482=2),(I482*3)-AV482,0)</f>
        <v>0</v>
      </c>
      <c r="BG482" s="18"/>
      <c r="BH482" s="18">
        <v>2</v>
      </c>
      <c r="BI482" s="18">
        <v>5</v>
      </c>
      <c r="BJ482" s="18">
        <v>4</v>
      </c>
      <c r="BK482" s="18">
        <v>3</v>
      </c>
      <c r="BL482" s="18">
        <v>3</v>
      </c>
      <c r="BM482" s="55">
        <f>SUM(AV482:AX482)+SUM(BC482:BD482)+SUM(BE482:BF482)+BG482</f>
        <v>15.9</v>
      </c>
      <c r="BN482" s="55"/>
      <c r="BO482" s="55"/>
      <c r="BP482" s="55"/>
      <c r="BQ482" s="55"/>
      <c r="BR482" s="55"/>
      <c r="BS482" s="55"/>
      <c r="BT482" s="55"/>
      <c r="BU482" s="55"/>
      <c r="BV482" s="55"/>
      <c r="BW482" s="55"/>
      <c r="BX482" s="55"/>
      <c r="BY482" s="55"/>
    </row>
    <row r="483" spans="1:78" ht="22.5">
      <c r="A483" s="110" t="s">
        <v>1166</v>
      </c>
      <c r="B483" s="89">
        <v>471</v>
      </c>
      <c r="C483" s="101">
        <v>215</v>
      </c>
      <c r="D483" s="101">
        <v>131</v>
      </c>
      <c r="E483" s="108">
        <v>0.58194444444444449</v>
      </c>
      <c r="F483" s="108">
        <v>0.6166666666666667</v>
      </c>
      <c r="G483" s="103" t="s">
        <v>25</v>
      </c>
      <c r="H483" s="106" t="s">
        <v>206</v>
      </c>
      <c r="I483" s="101">
        <v>37</v>
      </c>
      <c r="J483" s="101">
        <v>40</v>
      </c>
      <c r="K483" s="98">
        <v>45</v>
      </c>
      <c r="L483" s="99" t="s">
        <v>741</v>
      </c>
      <c r="M483" s="83" t="s">
        <v>796</v>
      </c>
      <c r="N483" s="83">
        <v>37</v>
      </c>
      <c r="O483" s="83" t="s">
        <v>798</v>
      </c>
      <c r="P483" s="83">
        <v>29</v>
      </c>
      <c r="Q483" s="87" t="s">
        <v>797</v>
      </c>
      <c r="R483" s="83">
        <v>45</v>
      </c>
      <c r="S483" s="26">
        <v>2323</v>
      </c>
      <c r="T483" s="26" t="s">
        <v>1529</v>
      </c>
      <c r="U483" s="26">
        <v>2290</v>
      </c>
      <c r="V483" s="26" t="s">
        <v>1457</v>
      </c>
      <c r="W483" s="63">
        <v>44816</v>
      </c>
      <c r="X483" s="63">
        <v>45100</v>
      </c>
      <c r="Y483" s="63"/>
      <c r="Z483" s="63"/>
      <c r="AA483" s="26" t="s">
        <v>1103</v>
      </c>
      <c r="AB483" s="23" t="s">
        <v>731</v>
      </c>
      <c r="AC483" s="23"/>
      <c r="AD483" s="23"/>
      <c r="AE483" s="23"/>
      <c r="AF483" s="23"/>
      <c r="AG483" s="23"/>
      <c r="AH483" s="23"/>
      <c r="AI483" s="23"/>
      <c r="AJ483" s="23"/>
      <c r="AK483" s="23"/>
      <c r="AL483" s="23" t="s">
        <v>731</v>
      </c>
      <c r="AM483" s="23"/>
      <c r="AN483" s="23"/>
      <c r="AO483" s="23"/>
      <c r="AP483" s="23"/>
      <c r="AQ483" s="23"/>
      <c r="AR483" s="23"/>
      <c r="AS483" s="23"/>
      <c r="AT483" s="23"/>
      <c r="AU483" s="23"/>
      <c r="AV483" s="41">
        <v>89</v>
      </c>
      <c r="AY483" s="42"/>
      <c r="AZ483" s="42"/>
      <c r="BB483" s="43">
        <v>2</v>
      </c>
      <c r="BC483" s="41">
        <f>IF(AND((AV483/I483)&lt;2,BB483=1),(I483*2)-AV483,0)</f>
        <v>0</v>
      </c>
      <c r="BD483" s="41">
        <f>IF(AND((AV483/I483)&lt;3,BB483=2),(I483*3)-AV483,0)</f>
        <v>22</v>
      </c>
      <c r="BG483" s="18"/>
      <c r="BH483" s="18">
        <v>2</v>
      </c>
      <c r="BI483" s="18">
        <v>5</v>
      </c>
      <c r="BJ483" s="18">
        <v>5</v>
      </c>
      <c r="BK483" s="18">
        <v>6</v>
      </c>
      <c r="BL483" s="18">
        <v>6</v>
      </c>
      <c r="BM483" s="55">
        <f>SUM(AV483:AX483)+SUM(BC483:BD483)+SUM(BE483:BF483)+BG483</f>
        <v>111</v>
      </c>
      <c r="BN483" s="55"/>
      <c r="BO483" s="55"/>
      <c r="BP483" s="55"/>
      <c r="BQ483" s="55"/>
      <c r="BR483" s="55"/>
      <c r="BS483" s="55"/>
      <c r="BT483" s="55"/>
      <c r="BU483" s="55"/>
      <c r="BV483" s="55"/>
      <c r="BW483" s="55"/>
      <c r="BX483" s="55"/>
      <c r="BY483" s="55"/>
    </row>
    <row r="484" spans="1:78" ht="45">
      <c r="B484" s="89">
        <v>472</v>
      </c>
      <c r="C484" s="124">
        <v>215</v>
      </c>
      <c r="D484" s="93">
        <v>349</v>
      </c>
      <c r="E484" s="94">
        <v>0.57986111111111105</v>
      </c>
      <c r="F484" s="94">
        <v>0.58958333333333335</v>
      </c>
      <c r="G484" s="140" t="s">
        <v>561</v>
      </c>
      <c r="H484" s="93" t="s">
        <v>559</v>
      </c>
      <c r="I484" s="96">
        <v>8.6999999999999993</v>
      </c>
      <c r="J484" s="127">
        <v>9</v>
      </c>
      <c r="K484" s="98">
        <v>70</v>
      </c>
      <c r="L484" s="99" t="s">
        <v>753</v>
      </c>
      <c r="M484" s="83" t="s">
        <v>1077</v>
      </c>
      <c r="N484" s="83">
        <v>9</v>
      </c>
      <c r="O484" s="83" t="s">
        <v>960</v>
      </c>
      <c r="P484" s="83">
        <v>17</v>
      </c>
      <c r="Q484" s="83" t="s">
        <v>1247</v>
      </c>
      <c r="R484" s="84">
        <v>9</v>
      </c>
      <c r="S484" s="26" t="s">
        <v>1552</v>
      </c>
      <c r="T484" s="26" t="s">
        <v>1553</v>
      </c>
      <c r="U484" s="26">
        <v>2327</v>
      </c>
      <c r="V484" s="26" t="s">
        <v>1537</v>
      </c>
      <c r="W484" s="62">
        <v>44816</v>
      </c>
      <c r="X484" s="62">
        <v>45086</v>
      </c>
      <c r="Y484" s="62"/>
      <c r="Z484" s="62"/>
      <c r="AA484" s="27" t="s">
        <v>1137</v>
      </c>
      <c r="AB484" s="23"/>
      <c r="AC484" s="23"/>
      <c r="AD484" s="23"/>
      <c r="AE484" s="23" t="s">
        <v>731</v>
      </c>
      <c r="AF484" s="23"/>
      <c r="AG484" s="23"/>
      <c r="AH484" s="23"/>
      <c r="AI484" s="23" t="s">
        <v>731</v>
      </c>
      <c r="AJ484" s="23" t="s">
        <v>731</v>
      </c>
      <c r="AK484" s="23"/>
      <c r="AL484" s="23"/>
      <c r="AM484" s="23"/>
      <c r="AN484" s="23"/>
      <c r="AO484" s="23"/>
      <c r="AP484" s="23"/>
      <c r="AQ484" s="23"/>
      <c r="AR484" s="23"/>
      <c r="AS484" s="23"/>
      <c r="AT484" s="23"/>
      <c r="AU484" s="23"/>
      <c r="AV484" s="41">
        <f>I484*3</f>
        <v>26.099999999999998</v>
      </c>
      <c r="AY484" s="41"/>
      <c r="AZ484" s="41"/>
      <c r="BB484" s="45">
        <v>1</v>
      </c>
      <c r="BC484" s="41">
        <f>IF(AND((AV484/I484)&lt;2,BB484=1),(I484*2)-AV484,0)</f>
        <v>0</v>
      </c>
      <c r="BD484" s="41">
        <f>IF(AND((AV484/I484)&lt;3,BB484=2),(I484*3)-AV484,0)</f>
        <v>0</v>
      </c>
      <c r="BG484" s="18"/>
      <c r="BH484" s="18">
        <v>6</v>
      </c>
      <c r="BI484" s="18">
        <v>8</v>
      </c>
      <c r="BJ484" s="18">
        <v>8</v>
      </c>
      <c r="BK484" s="18">
        <v>6</v>
      </c>
      <c r="BL484" s="18">
        <v>6</v>
      </c>
      <c r="BM484" s="55">
        <f>SUM(AV484:AX484)+SUM(BC484:BD484)+SUM(BE484:BF484)+BG484</f>
        <v>26.099999999999998</v>
      </c>
      <c r="BN484" s="55"/>
      <c r="BO484" s="55"/>
      <c r="BP484" s="55"/>
      <c r="BQ484" s="55"/>
      <c r="BR484" s="55"/>
      <c r="BS484" s="55"/>
      <c r="BT484" s="55"/>
      <c r="BU484" s="55"/>
      <c r="BV484" s="55"/>
      <c r="BW484" s="55"/>
      <c r="BX484" s="55"/>
      <c r="BY484" s="55"/>
    </row>
    <row r="485" spans="1:78" ht="45">
      <c r="B485" s="89">
        <v>473</v>
      </c>
      <c r="C485" s="93">
        <v>215</v>
      </c>
      <c r="D485" s="93">
        <v>38</v>
      </c>
      <c r="E485" s="94">
        <v>0.58472222222222225</v>
      </c>
      <c r="F485" s="94">
        <v>0.58888888888888891</v>
      </c>
      <c r="G485" s="93" t="s">
        <v>460</v>
      </c>
      <c r="H485" s="93" t="s">
        <v>374</v>
      </c>
      <c r="I485" s="96">
        <v>6</v>
      </c>
      <c r="J485" s="97" t="s">
        <v>125</v>
      </c>
      <c r="K485" s="98">
        <f>174-36</f>
        <v>138</v>
      </c>
      <c r="L485" s="99" t="s">
        <v>753</v>
      </c>
      <c r="M485" s="87" t="s">
        <v>962</v>
      </c>
      <c r="N485" s="87">
        <v>18</v>
      </c>
      <c r="O485" s="87" t="s">
        <v>960</v>
      </c>
      <c r="P485" s="87">
        <v>17</v>
      </c>
      <c r="Q485" s="87" t="s">
        <v>963</v>
      </c>
      <c r="R485" s="84">
        <v>24</v>
      </c>
      <c r="S485" s="26" t="s">
        <v>1536</v>
      </c>
      <c r="T485" s="26" t="s">
        <v>1533</v>
      </c>
      <c r="U485" s="26">
        <v>2323</v>
      </c>
      <c r="V485" s="26" t="s">
        <v>1529</v>
      </c>
      <c r="W485" s="62">
        <v>44816</v>
      </c>
      <c r="X485" s="62">
        <v>45086</v>
      </c>
      <c r="Y485" s="62"/>
      <c r="Z485" s="62"/>
      <c r="AA485" s="26" t="s">
        <v>1133</v>
      </c>
      <c r="AB485" s="23"/>
      <c r="AC485" s="23"/>
      <c r="AD485" s="23"/>
      <c r="AE485" s="23" t="s">
        <v>731</v>
      </c>
      <c r="AF485" s="23" t="s">
        <v>731</v>
      </c>
      <c r="AG485" s="23" t="s">
        <v>731</v>
      </c>
      <c r="AH485" s="23"/>
      <c r="AI485" s="23" t="s">
        <v>731</v>
      </c>
      <c r="AJ485" s="23" t="s">
        <v>731</v>
      </c>
      <c r="AK485" s="23"/>
      <c r="AL485" s="23"/>
      <c r="AM485" s="23"/>
      <c r="AN485" s="23"/>
      <c r="AO485" s="23"/>
      <c r="AP485" s="23"/>
      <c r="AQ485" s="23"/>
      <c r="AR485" s="23"/>
      <c r="AS485" s="23"/>
      <c r="AT485" s="23"/>
      <c r="AU485" s="23"/>
      <c r="AV485" s="42">
        <v>18</v>
      </c>
      <c r="AY485" s="42"/>
      <c r="AZ485" s="42"/>
      <c r="BB485" s="45">
        <v>1</v>
      </c>
      <c r="BC485" s="41">
        <f>IF(AND((AV485/I485)&lt;2,BB485=1),(I485*2)-AV485,0)</f>
        <v>0</v>
      </c>
      <c r="BD485" s="41">
        <f>IF(AND((AV485/I485)&lt;3,BB485=2),(I485*3)-AV485,0)</f>
        <v>0</v>
      </c>
      <c r="BG485" s="18"/>
      <c r="BH485" s="18">
        <v>12</v>
      </c>
      <c r="BI485" s="18">
        <v>16</v>
      </c>
      <c r="BJ485" s="18">
        <v>16</v>
      </c>
      <c r="BK485" s="18">
        <v>12</v>
      </c>
      <c r="BL485" s="18">
        <v>14</v>
      </c>
      <c r="BM485" s="55">
        <f>SUM(AV485:AX485)+SUM(BC485:BD485)+SUM(BE485:BF485)+BG485</f>
        <v>18</v>
      </c>
      <c r="BN485" s="55"/>
      <c r="BO485" s="55"/>
      <c r="BP485" s="55"/>
      <c r="BQ485" s="55"/>
      <c r="BR485" s="55"/>
      <c r="BS485" s="55"/>
      <c r="BT485" s="55"/>
      <c r="BU485" s="55"/>
      <c r="BV485" s="55"/>
      <c r="BW485" s="55"/>
      <c r="BX485" s="55"/>
      <c r="BY485" s="55"/>
    </row>
    <row r="486" spans="1:78" ht="25.5">
      <c r="A486" s="83"/>
      <c r="B486" s="89">
        <v>474</v>
      </c>
      <c r="C486" s="93">
        <v>215</v>
      </c>
      <c r="D486" s="97">
        <v>478</v>
      </c>
      <c r="E486" s="94">
        <v>0.58611111111111114</v>
      </c>
      <c r="F486" s="94">
        <v>0.58888888888888891</v>
      </c>
      <c r="G486" s="93" t="s">
        <v>283</v>
      </c>
      <c r="H486" s="93" t="s">
        <v>103</v>
      </c>
      <c r="I486" s="96">
        <v>2.5</v>
      </c>
      <c r="J486" s="97" t="s">
        <v>116</v>
      </c>
      <c r="K486" s="98">
        <v>174</v>
      </c>
      <c r="L486" s="99" t="s">
        <v>751</v>
      </c>
      <c r="M486" s="83" t="s">
        <v>887</v>
      </c>
      <c r="N486" s="83">
        <v>9</v>
      </c>
      <c r="O486" s="83" t="s">
        <v>888</v>
      </c>
      <c r="P486" s="83">
        <v>9</v>
      </c>
      <c r="Q486" s="83" t="s">
        <v>886</v>
      </c>
      <c r="R486" s="84">
        <v>21</v>
      </c>
      <c r="S486" s="26">
        <v>2305</v>
      </c>
      <c r="T486" s="26" t="s">
        <v>1530</v>
      </c>
      <c r="U486" s="26">
        <v>2307</v>
      </c>
      <c r="V486" s="26" t="s">
        <v>1549</v>
      </c>
      <c r="W486" s="62">
        <v>44816</v>
      </c>
      <c r="X486" s="62">
        <v>45086</v>
      </c>
      <c r="Y486" s="62"/>
      <c r="Z486" s="62"/>
      <c r="AA486" s="22" t="s">
        <v>1102</v>
      </c>
      <c r="AB486" s="23"/>
      <c r="AC486" s="23"/>
      <c r="AD486" s="23"/>
      <c r="AE486" s="23" t="s">
        <v>731</v>
      </c>
      <c r="AF486" s="23" t="s">
        <v>731</v>
      </c>
      <c r="AG486" s="23" t="s">
        <v>731</v>
      </c>
      <c r="AH486" s="23" t="s">
        <v>731</v>
      </c>
      <c r="AI486" s="23" t="s">
        <v>731</v>
      </c>
      <c r="AJ486" s="23" t="s">
        <v>731</v>
      </c>
      <c r="AK486" s="23"/>
      <c r="AL486" s="23"/>
      <c r="AM486" s="23"/>
      <c r="AN486" s="23"/>
      <c r="AO486" s="23"/>
      <c r="AP486" s="23"/>
      <c r="AQ486" s="23"/>
      <c r="AR486" s="23"/>
      <c r="AS486" s="23"/>
      <c r="AT486" s="23"/>
      <c r="AU486" s="23"/>
      <c r="AV486" s="42">
        <v>4.5</v>
      </c>
      <c r="AY486" s="42"/>
      <c r="AZ486" s="42"/>
      <c r="BB486" s="45">
        <v>1</v>
      </c>
      <c r="BC486" s="41">
        <f>IF(AND((AV486/I486)&lt;2,BB486=1),(I486*2)-AV486,0)</f>
        <v>0.5</v>
      </c>
      <c r="BD486" s="41">
        <f>IF(AND((AV486/I486)&lt;3,BB486=2),(I486*3)-AV486,0)</f>
        <v>0</v>
      </c>
      <c r="BG486" s="18"/>
      <c r="BH486" s="18">
        <v>15</v>
      </c>
      <c r="BI486" s="18">
        <v>20</v>
      </c>
      <c r="BJ486" s="18">
        <v>21</v>
      </c>
      <c r="BK486" s="18">
        <v>15</v>
      </c>
      <c r="BL486" s="18">
        <v>17</v>
      </c>
      <c r="BM486" s="55">
        <f>SUM(AV486:AX486)+SUM(BC486:BD486)+SUM(BE486:BF486)+BG486</f>
        <v>5</v>
      </c>
      <c r="BN486" s="55"/>
      <c r="BO486" s="55"/>
      <c r="BP486" s="55"/>
      <c r="BQ486" s="55"/>
      <c r="BR486" s="55"/>
      <c r="BS486" s="55"/>
      <c r="BT486" s="55"/>
      <c r="BU486" s="55"/>
      <c r="BV486" s="55"/>
      <c r="BW486" s="55"/>
      <c r="BX486" s="55"/>
      <c r="BY486" s="55"/>
    </row>
    <row r="487" spans="1:78" ht="45">
      <c r="B487" s="89">
        <v>475</v>
      </c>
      <c r="C487" s="93">
        <v>225</v>
      </c>
      <c r="D487" s="93">
        <v>441</v>
      </c>
      <c r="E487" s="94">
        <v>0.59027777777777779</v>
      </c>
      <c r="F487" s="94">
        <v>0.60069444444444442</v>
      </c>
      <c r="G487" s="93" t="s">
        <v>376</v>
      </c>
      <c r="H487" s="93" t="s">
        <v>103</v>
      </c>
      <c r="I487" s="96">
        <v>6</v>
      </c>
      <c r="J487" s="97" t="s">
        <v>269</v>
      </c>
      <c r="K487" s="98">
        <v>174</v>
      </c>
      <c r="L487" s="99" t="s">
        <v>753</v>
      </c>
      <c r="M487" s="83" t="s">
        <v>950</v>
      </c>
      <c r="N487" s="83">
        <v>17</v>
      </c>
      <c r="O487" s="83" t="s">
        <v>1247</v>
      </c>
      <c r="P487" s="83">
        <v>9</v>
      </c>
      <c r="Q487" s="83" t="s">
        <v>963</v>
      </c>
      <c r="R487" s="85">
        <v>24</v>
      </c>
      <c r="S487" s="22">
        <v>2311</v>
      </c>
      <c r="T487" s="22" t="s">
        <v>1543</v>
      </c>
      <c r="U487" s="22">
        <v>2312</v>
      </c>
      <c r="V487" s="22" t="s">
        <v>1542</v>
      </c>
      <c r="W487" s="62">
        <v>44816</v>
      </c>
      <c r="X487" s="62">
        <v>45086</v>
      </c>
      <c r="Y487" s="62"/>
      <c r="Z487" s="62"/>
      <c r="AA487" s="22" t="s">
        <v>1102</v>
      </c>
      <c r="AB487" s="23"/>
      <c r="AC487" s="23"/>
      <c r="AD487" s="23"/>
      <c r="AE487" s="23" t="s">
        <v>731</v>
      </c>
      <c r="AF487" s="23" t="s">
        <v>731</v>
      </c>
      <c r="AG487" s="23" t="s">
        <v>731</v>
      </c>
      <c r="AH487" s="23" t="s">
        <v>731</v>
      </c>
      <c r="AI487" s="23" t="s">
        <v>731</v>
      </c>
      <c r="AJ487" s="23" t="s">
        <v>731</v>
      </c>
      <c r="AK487" s="23"/>
      <c r="AL487" s="23"/>
      <c r="AM487" s="23"/>
      <c r="AN487" s="23"/>
      <c r="AO487" s="23"/>
      <c r="AP487" s="23"/>
      <c r="AQ487" s="23"/>
      <c r="AR487" s="23"/>
      <c r="AS487" s="23"/>
      <c r="AT487" s="23"/>
      <c r="AU487" s="23"/>
      <c r="AV487" s="41">
        <v>31.3</v>
      </c>
      <c r="AY487" s="41"/>
      <c r="AZ487" s="41"/>
      <c r="BB487" s="18">
        <v>1</v>
      </c>
      <c r="BC487" s="41">
        <f>IF(AND((AV487/I487)&lt;2,BB487=1),(I487*2)-AV487,0)</f>
        <v>0</v>
      </c>
      <c r="BD487" s="41">
        <f>IF(AND((AV487/I487)&lt;3,BB487=2),(I487*3)-AV487,0)</f>
        <v>0</v>
      </c>
      <c r="BG487" s="18"/>
      <c r="BH487" s="18">
        <v>15</v>
      </c>
      <c r="BI487" s="18">
        <v>20</v>
      </c>
      <c r="BJ487" s="18">
        <v>21</v>
      </c>
      <c r="BK487" s="18">
        <v>15</v>
      </c>
      <c r="BL487" s="18">
        <v>17</v>
      </c>
      <c r="BM487" s="55">
        <f>SUM(AV487:AX487)+SUM(BC487:BD487)+SUM(BE487:BF487)+BG487</f>
        <v>31.3</v>
      </c>
      <c r="BN487" s="55"/>
      <c r="BO487" s="55"/>
      <c r="BP487" s="55"/>
      <c r="BQ487" s="55"/>
      <c r="BR487" s="55"/>
      <c r="BS487" s="55"/>
      <c r="BT487" s="55"/>
      <c r="BU487" s="55"/>
      <c r="BV487" s="55"/>
      <c r="BW487" s="55"/>
      <c r="BX487" s="55"/>
      <c r="BY487" s="55"/>
    </row>
    <row r="488" spans="1:78" ht="38.25">
      <c r="A488" s="156" t="s">
        <v>2086</v>
      </c>
      <c r="B488" s="157">
        <v>476</v>
      </c>
      <c r="C488" s="171">
        <v>215</v>
      </c>
      <c r="D488" s="171">
        <v>142</v>
      </c>
      <c r="E488" s="172">
        <v>0.59930555555555554</v>
      </c>
      <c r="F488" s="172">
        <v>0.64097222222222217</v>
      </c>
      <c r="G488" s="173" t="s">
        <v>26</v>
      </c>
      <c r="H488" s="158" t="s">
        <v>692</v>
      </c>
      <c r="I488" s="171">
        <v>38</v>
      </c>
      <c r="J488" s="174">
        <v>40</v>
      </c>
      <c r="K488" s="169">
        <v>3</v>
      </c>
      <c r="L488" s="164" t="s">
        <v>742</v>
      </c>
      <c r="M488" s="179"/>
      <c r="N488" s="179"/>
      <c r="O488" s="179"/>
      <c r="P488" s="179"/>
      <c r="Q488" s="179"/>
      <c r="R488" s="179"/>
      <c r="S488" s="170"/>
      <c r="T488" s="170"/>
      <c r="U488" s="170"/>
      <c r="V488" s="170"/>
      <c r="W488" s="224">
        <v>44816</v>
      </c>
      <c r="X488" s="224">
        <v>45228</v>
      </c>
      <c r="Y488" s="165"/>
      <c r="Z488" s="165"/>
      <c r="AA488" s="203" t="s">
        <v>2087</v>
      </c>
      <c r="AB488" s="170" t="s">
        <v>731</v>
      </c>
      <c r="AC488" s="170"/>
      <c r="AD488" s="170" t="s">
        <v>731</v>
      </c>
      <c r="AE488" s="170"/>
      <c r="AF488" s="170"/>
      <c r="AG488" s="170"/>
      <c r="AH488" s="170"/>
      <c r="AI488" s="170"/>
      <c r="AJ488" s="170"/>
      <c r="AK488" s="170"/>
      <c r="AL488" s="170"/>
      <c r="AM488" s="170"/>
      <c r="AN488" s="170"/>
      <c r="AO488" s="170"/>
      <c r="AP488" s="170"/>
      <c r="AQ488" s="170"/>
      <c r="AR488" s="170"/>
      <c r="AS488" s="170"/>
      <c r="AT488" s="170"/>
      <c r="AU488" s="170" t="s">
        <v>731</v>
      </c>
      <c r="AV488" s="165"/>
      <c r="AW488" s="165"/>
      <c r="AX488" s="165"/>
      <c r="AY488" s="165"/>
      <c r="AZ488" s="165"/>
      <c r="BA488" s="165"/>
      <c r="BB488" s="165"/>
      <c r="BC488" s="165"/>
      <c r="BD488" s="165"/>
      <c r="BE488" s="165"/>
      <c r="BF488" s="165"/>
      <c r="BG488" s="165"/>
      <c r="BH488" s="166"/>
      <c r="BI488" s="166"/>
      <c r="BJ488" s="166"/>
      <c r="BK488" s="166"/>
      <c r="BL488" s="166"/>
      <c r="BM488" s="167"/>
      <c r="BN488" s="167"/>
      <c r="BO488" s="167"/>
      <c r="BP488" s="167"/>
      <c r="BQ488" s="167"/>
      <c r="BR488" s="167"/>
      <c r="BS488" s="167"/>
      <c r="BT488" s="167"/>
      <c r="BU488" s="167"/>
      <c r="BV488" s="167"/>
      <c r="BW488" s="167"/>
      <c r="BX488" s="167"/>
      <c r="BY488" s="167"/>
      <c r="BZ488" s="166"/>
    </row>
    <row r="489" spans="1:78" ht="45">
      <c r="B489" s="89">
        <v>477</v>
      </c>
      <c r="C489" s="93">
        <v>215</v>
      </c>
      <c r="D489" s="93">
        <v>604</v>
      </c>
      <c r="E489" s="94">
        <v>0.60416666666666663</v>
      </c>
      <c r="F489" s="94">
        <v>0.60972222222222217</v>
      </c>
      <c r="G489" s="93" t="s">
        <v>527</v>
      </c>
      <c r="H489" s="93" t="s">
        <v>711</v>
      </c>
      <c r="I489" s="96">
        <v>5.3</v>
      </c>
      <c r="J489" s="97" t="s">
        <v>167</v>
      </c>
      <c r="K489" s="98">
        <f>33+36</f>
        <v>69</v>
      </c>
      <c r="L489" s="99" t="s">
        <v>753</v>
      </c>
      <c r="M489" s="87" t="s">
        <v>960</v>
      </c>
      <c r="N489" s="87">
        <v>17</v>
      </c>
      <c r="O489" s="87" t="s">
        <v>961</v>
      </c>
      <c r="P489" s="87">
        <v>9</v>
      </c>
      <c r="Q489" s="87" t="s">
        <v>1247</v>
      </c>
      <c r="R489" s="84">
        <v>9</v>
      </c>
      <c r="S489" s="26">
        <v>2323</v>
      </c>
      <c r="T489" s="26" t="s">
        <v>1529</v>
      </c>
      <c r="U489" s="26">
        <v>2327</v>
      </c>
      <c r="V489" s="26" t="s">
        <v>1537</v>
      </c>
      <c r="W489" s="62">
        <v>44816</v>
      </c>
      <c r="X489" s="62">
        <v>45086</v>
      </c>
      <c r="Y489" s="62"/>
      <c r="Z489" s="62"/>
      <c r="AA489" s="26" t="s">
        <v>1138</v>
      </c>
      <c r="AB489" s="23"/>
      <c r="AC489" s="23"/>
      <c r="AD489" s="23"/>
      <c r="AE489" s="23" t="s">
        <v>731</v>
      </c>
      <c r="AF489" s="23" t="s">
        <v>731</v>
      </c>
      <c r="AG489" s="23"/>
      <c r="AH489" s="23" t="s">
        <v>731</v>
      </c>
      <c r="AI489" s="23"/>
      <c r="AJ489" s="23"/>
      <c r="AK489" s="23"/>
      <c r="AL489" s="23"/>
      <c r="AM489" s="23"/>
      <c r="AN489" s="23"/>
      <c r="AO489" s="23"/>
      <c r="AP489" s="23"/>
      <c r="AQ489" s="23"/>
      <c r="AR489" s="23"/>
      <c r="AS489" s="23"/>
      <c r="AT489" s="23"/>
      <c r="AU489" s="23"/>
      <c r="AV489" s="42">
        <v>15.9</v>
      </c>
      <c r="AY489" s="42"/>
      <c r="AZ489" s="42"/>
      <c r="BB489" s="45">
        <v>1</v>
      </c>
      <c r="BC489" s="41">
        <f>IF(AND((AV489/I489)&lt;2,BB489=1),(I489*2)-AV489,0)</f>
        <v>0</v>
      </c>
      <c r="BD489" s="41">
        <f>IF(AND((AV489/I489)&lt;3,BB489=2),(I489*3)-AV489,0)</f>
        <v>0</v>
      </c>
      <c r="BG489" s="18"/>
      <c r="BH489" s="18">
        <v>6</v>
      </c>
      <c r="BI489" s="18">
        <v>8</v>
      </c>
      <c r="BJ489" s="18">
        <v>9</v>
      </c>
      <c r="BK489" s="18">
        <v>6</v>
      </c>
      <c r="BL489" s="18">
        <v>7</v>
      </c>
      <c r="BM489" s="55">
        <f>SUM(AV489:AX489)+SUM(BC489:BD489)+SUM(BE489:BF489)+BG489</f>
        <v>15.9</v>
      </c>
      <c r="BN489" s="55"/>
      <c r="BO489" s="55"/>
      <c r="BP489" s="55"/>
      <c r="BQ489" s="55"/>
      <c r="BR489" s="55"/>
      <c r="BS489" s="55"/>
      <c r="BT489" s="55"/>
      <c r="BU489" s="55"/>
      <c r="BV489" s="55"/>
      <c r="BW489" s="55"/>
      <c r="BX489" s="55"/>
      <c r="BY489" s="55"/>
    </row>
    <row r="490" spans="1:78" ht="45">
      <c r="B490" s="89">
        <v>478</v>
      </c>
      <c r="C490" s="106">
        <v>215</v>
      </c>
      <c r="D490" s="93">
        <v>610</v>
      </c>
      <c r="E490" s="94">
        <v>0.60555555555555551</v>
      </c>
      <c r="F490" s="94">
        <v>0.61597222222222225</v>
      </c>
      <c r="G490" s="93" t="s">
        <v>377</v>
      </c>
      <c r="H490" s="93" t="s">
        <v>103</v>
      </c>
      <c r="I490" s="96">
        <v>9</v>
      </c>
      <c r="J490" s="97">
        <v>16</v>
      </c>
      <c r="K490" s="98">
        <v>174</v>
      </c>
      <c r="L490" s="99" t="s">
        <v>753</v>
      </c>
      <c r="M490" s="83" t="s">
        <v>950</v>
      </c>
      <c r="N490" s="83">
        <v>17</v>
      </c>
      <c r="O490" s="83" t="s">
        <v>960</v>
      </c>
      <c r="P490" s="83">
        <v>17</v>
      </c>
      <c r="Q490" s="87" t="s">
        <v>1247</v>
      </c>
      <c r="R490" s="84">
        <v>9</v>
      </c>
      <c r="S490" s="26" t="s">
        <v>1536</v>
      </c>
      <c r="T490" s="26" t="s">
        <v>1533</v>
      </c>
      <c r="U490" s="26">
        <v>2323</v>
      </c>
      <c r="V490" s="26" t="s">
        <v>1529</v>
      </c>
      <c r="W490" s="62">
        <v>44816</v>
      </c>
      <c r="X490" s="62">
        <v>45086</v>
      </c>
      <c r="Y490" s="62"/>
      <c r="Z490" s="62"/>
      <c r="AA490" s="22" t="s">
        <v>1102</v>
      </c>
      <c r="AB490" s="23"/>
      <c r="AC490" s="23"/>
      <c r="AD490" s="23"/>
      <c r="AE490" s="23" t="s">
        <v>731</v>
      </c>
      <c r="AF490" s="23" t="s">
        <v>731</v>
      </c>
      <c r="AG490" s="23" t="s">
        <v>731</v>
      </c>
      <c r="AH490" s="23" t="s">
        <v>731</v>
      </c>
      <c r="AI490" s="23" t="s">
        <v>731</v>
      </c>
      <c r="AJ490" s="23" t="s">
        <v>731</v>
      </c>
      <c r="AK490" s="23"/>
      <c r="AL490" s="23"/>
      <c r="AM490" s="23"/>
      <c r="AN490" s="23"/>
      <c r="AO490" s="23"/>
      <c r="AP490" s="23"/>
      <c r="AQ490" s="23"/>
      <c r="AR490" s="23"/>
      <c r="AS490" s="23"/>
      <c r="AT490" s="23"/>
      <c r="AU490" s="23"/>
      <c r="AV490" s="42">
        <v>16.2</v>
      </c>
      <c r="AY490" s="42"/>
      <c r="AZ490" s="42"/>
      <c r="BB490" s="45">
        <v>1</v>
      </c>
      <c r="BC490" s="41">
        <f>IF(AND((AV490/I490)&lt;2,BB490=1),(I490*2)-AV490,0)</f>
        <v>1.8000000000000007</v>
      </c>
      <c r="BD490" s="41">
        <f>IF(AND((AV490/I490)&lt;3,BB490=2),(I490*3)-AV490,0)</f>
        <v>0</v>
      </c>
      <c r="BG490" s="18"/>
      <c r="BH490" s="18">
        <v>15</v>
      </c>
      <c r="BI490" s="18">
        <v>20</v>
      </c>
      <c r="BJ490" s="18">
        <v>21</v>
      </c>
      <c r="BK490" s="18">
        <v>15</v>
      </c>
      <c r="BL490" s="18">
        <v>17</v>
      </c>
      <c r="BM490" s="55">
        <f>SUM(AV490:AX490)+SUM(BC490:BD490)+SUM(BE490:BF490)+BG490</f>
        <v>18</v>
      </c>
      <c r="BN490" s="55"/>
      <c r="BO490" s="55"/>
      <c r="BP490" s="55"/>
      <c r="BQ490" s="55"/>
      <c r="BR490" s="55"/>
      <c r="BS490" s="55"/>
      <c r="BT490" s="55"/>
      <c r="BU490" s="55"/>
      <c r="BV490" s="55"/>
      <c r="BW490" s="55"/>
      <c r="BX490" s="55"/>
      <c r="BY490" s="55"/>
    </row>
    <row r="491" spans="1:78" ht="25.5">
      <c r="B491" s="89">
        <v>479</v>
      </c>
      <c r="C491" s="93">
        <v>215</v>
      </c>
      <c r="D491" s="97">
        <v>40</v>
      </c>
      <c r="E491" s="94">
        <v>0.6118055555555556</v>
      </c>
      <c r="F491" s="94">
        <v>0.62013888888888891</v>
      </c>
      <c r="G491" s="93" t="s">
        <v>284</v>
      </c>
      <c r="H491" s="93" t="s">
        <v>194</v>
      </c>
      <c r="I491" s="96">
        <v>7.5</v>
      </c>
      <c r="J491" s="97" t="s">
        <v>93</v>
      </c>
      <c r="K491" s="98">
        <f>34+34+36+33</f>
        <v>137</v>
      </c>
      <c r="L491" s="99" t="s">
        <v>751</v>
      </c>
      <c r="M491" s="83" t="s">
        <v>886</v>
      </c>
      <c r="N491" s="83">
        <v>21</v>
      </c>
      <c r="O491" s="83" t="s">
        <v>887</v>
      </c>
      <c r="P491" s="83">
        <v>9</v>
      </c>
      <c r="Q491" s="87" t="s">
        <v>888</v>
      </c>
      <c r="R491" s="84">
        <v>9</v>
      </c>
      <c r="S491" s="26">
        <v>2311</v>
      </c>
      <c r="T491" s="26" t="s">
        <v>1543</v>
      </c>
      <c r="U491" s="26">
        <v>2304</v>
      </c>
      <c r="V491" s="26" t="s">
        <v>1525</v>
      </c>
      <c r="W491" s="62">
        <v>44816</v>
      </c>
      <c r="X491" s="62">
        <v>45086</v>
      </c>
      <c r="Y491" s="62"/>
      <c r="Z491" s="62"/>
      <c r="AA491" s="24" t="s">
        <v>1105</v>
      </c>
      <c r="AB491" s="23"/>
      <c r="AC491" s="23"/>
      <c r="AD491" s="23"/>
      <c r="AE491" s="23" t="s">
        <v>731</v>
      </c>
      <c r="AF491" s="23" t="s">
        <v>731</v>
      </c>
      <c r="AG491" s="23" t="s">
        <v>731</v>
      </c>
      <c r="AH491" s="23" t="s">
        <v>731</v>
      </c>
      <c r="AI491" s="23" t="s">
        <v>731</v>
      </c>
      <c r="AJ491" s="23"/>
      <c r="AK491" s="23"/>
      <c r="AL491" s="23"/>
      <c r="AM491" s="23"/>
      <c r="AN491" s="23"/>
      <c r="AO491" s="23"/>
      <c r="AP491" s="23"/>
      <c r="AQ491" s="23"/>
      <c r="AR491" s="23"/>
      <c r="AS491" s="23"/>
      <c r="AT491" s="23"/>
      <c r="AU491" s="23"/>
      <c r="AV491" s="42">
        <v>13.5</v>
      </c>
      <c r="AY491" s="42"/>
      <c r="AZ491" s="42"/>
      <c r="BB491" s="45">
        <v>1</v>
      </c>
      <c r="BC491" s="41">
        <f>IF(AND((AV491/I491)&lt;2,BB491=1),(I491*2)-AV491,0)</f>
        <v>1.5</v>
      </c>
      <c r="BD491" s="41">
        <f>IF(AND((AV491/I491)&lt;3,BB491=2),(I491*3)-AV491,0)</f>
        <v>0</v>
      </c>
      <c r="BG491" s="18"/>
      <c r="BH491" s="18">
        <v>12</v>
      </c>
      <c r="BI491" s="18">
        <v>16</v>
      </c>
      <c r="BJ491" s="18">
        <v>17</v>
      </c>
      <c r="BK491" s="18">
        <v>12</v>
      </c>
      <c r="BL491" s="18">
        <v>14</v>
      </c>
      <c r="BM491" s="55">
        <f>SUM(AV491:AX491)+SUM(BC491:BD491)+SUM(BE491:BF491)+BG491</f>
        <v>15</v>
      </c>
      <c r="BN491" s="55"/>
      <c r="BO491" s="55"/>
      <c r="BP491" s="55"/>
      <c r="BQ491" s="55"/>
      <c r="BR491" s="55"/>
      <c r="BS491" s="55"/>
      <c r="BT491" s="55"/>
      <c r="BU491" s="55"/>
      <c r="BV491" s="55"/>
      <c r="BW491" s="55"/>
      <c r="BX491" s="55"/>
      <c r="BY491" s="55"/>
    </row>
    <row r="492" spans="1:78" ht="45">
      <c r="B492" s="89">
        <v>480</v>
      </c>
      <c r="C492" s="124">
        <v>215</v>
      </c>
      <c r="D492" s="93">
        <v>349</v>
      </c>
      <c r="E492" s="94">
        <v>0.62152777777777779</v>
      </c>
      <c r="F492" s="94">
        <v>0.63124999999999998</v>
      </c>
      <c r="G492" s="140" t="s">
        <v>561</v>
      </c>
      <c r="H492" s="93" t="s">
        <v>560</v>
      </c>
      <c r="I492" s="96">
        <v>8.6999999999999993</v>
      </c>
      <c r="J492" s="127">
        <v>9</v>
      </c>
      <c r="K492" s="98">
        <v>103</v>
      </c>
      <c r="L492" s="99" t="s">
        <v>753</v>
      </c>
      <c r="M492" s="83" t="s">
        <v>1077</v>
      </c>
      <c r="N492" s="83">
        <v>9</v>
      </c>
      <c r="O492" s="83" t="s">
        <v>960</v>
      </c>
      <c r="P492" s="83">
        <v>17</v>
      </c>
      <c r="Q492" s="83" t="s">
        <v>1247</v>
      </c>
      <c r="R492" s="84">
        <v>9</v>
      </c>
      <c r="S492" s="26" t="s">
        <v>1552</v>
      </c>
      <c r="T492" s="26" t="s">
        <v>1553</v>
      </c>
      <c r="U492" s="26">
        <v>2327</v>
      </c>
      <c r="V492" s="26" t="s">
        <v>1537</v>
      </c>
      <c r="W492" s="62">
        <v>44816</v>
      </c>
      <c r="X492" s="62">
        <v>45086</v>
      </c>
      <c r="Y492" s="62"/>
      <c r="Z492" s="62"/>
      <c r="AA492" s="27" t="s">
        <v>1139</v>
      </c>
      <c r="AB492" s="23"/>
      <c r="AC492" s="23"/>
      <c r="AD492" s="23"/>
      <c r="AE492" s="23" t="s">
        <v>731</v>
      </c>
      <c r="AF492" s="23" t="s">
        <v>731</v>
      </c>
      <c r="AG492" s="23" t="s">
        <v>731</v>
      </c>
      <c r="AH492" s="23" t="s">
        <v>731</v>
      </c>
      <c r="AI492" s="23"/>
      <c r="AJ492" s="23"/>
      <c r="AK492" s="23"/>
      <c r="AL492" s="23"/>
      <c r="AM492" s="23"/>
      <c r="AN492" s="23"/>
      <c r="AO492" s="23"/>
      <c r="AP492" s="23"/>
      <c r="AQ492" s="23"/>
      <c r="AR492" s="23"/>
      <c r="AS492" s="23"/>
      <c r="AT492" s="23"/>
      <c r="AU492" s="23"/>
      <c r="AV492" s="41">
        <f>I492*3</f>
        <v>26.099999999999998</v>
      </c>
      <c r="AY492" s="41"/>
      <c r="AZ492" s="41"/>
      <c r="BB492" s="45">
        <v>1</v>
      </c>
      <c r="BC492" s="41">
        <f>IF(AND((AV492/I492)&lt;2,BB492=1),(I492*2)-AV492,0)</f>
        <v>0</v>
      </c>
      <c r="BD492" s="41">
        <f>IF(AND((AV492/I492)&lt;3,BB492=2),(I492*3)-AV492,0)</f>
        <v>0</v>
      </c>
      <c r="BG492" s="18"/>
      <c r="BH492" s="18">
        <v>9</v>
      </c>
      <c r="BI492" s="18">
        <v>12</v>
      </c>
      <c r="BJ492" s="18">
        <v>13</v>
      </c>
      <c r="BK492" s="18">
        <v>9</v>
      </c>
      <c r="BL492" s="18">
        <v>11</v>
      </c>
      <c r="BM492" s="55">
        <f>SUM(AV492:AX492)+SUM(BC492:BD492)+SUM(BE492:BF492)+BG492</f>
        <v>26.099999999999998</v>
      </c>
      <c r="BN492" s="55"/>
      <c r="BO492" s="55"/>
      <c r="BP492" s="55"/>
      <c r="BQ492" s="55"/>
      <c r="BR492" s="55"/>
      <c r="BS492" s="55"/>
      <c r="BT492" s="55"/>
      <c r="BU492" s="55"/>
      <c r="BV492" s="55"/>
      <c r="BW492" s="55"/>
      <c r="BX492" s="55"/>
      <c r="BY492" s="55"/>
    </row>
    <row r="493" spans="1:78" ht="25.5">
      <c r="A493" s="2" t="s">
        <v>799</v>
      </c>
      <c r="B493" s="89">
        <v>481</v>
      </c>
      <c r="C493" s="124">
        <v>215</v>
      </c>
      <c r="D493" s="124">
        <v>142</v>
      </c>
      <c r="E493" s="130">
        <v>0.625</v>
      </c>
      <c r="F493" s="130">
        <v>0.66666666666666663</v>
      </c>
      <c r="G493" s="126" t="s">
        <v>26</v>
      </c>
      <c r="H493" s="93" t="s">
        <v>423</v>
      </c>
      <c r="I493" s="124">
        <v>37</v>
      </c>
      <c r="J493" s="127">
        <v>50</v>
      </c>
      <c r="K493" s="131">
        <v>67</v>
      </c>
      <c r="L493" s="99" t="s">
        <v>751</v>
      </c>
      <c r="M493" s="83" t="s">
        <v>885</v>
      </c>
      <c r="N493" s="83">
        <v>57</v>
      </c>
      <c r="O493" s="83" t="s">
        <v>1879</v>
      </c>
      <c r="P493" s="83">
        <v>57</v>
      </c>
      <c r="Q493" s="83"/>
      <c r="R493" s="85"/>
      <c r="S493" s="26">
        <v>2290</v>
      </c>
      <c r="T493" s="26" t="s">
        <v>1457</v>
      </c>
      <c r="U493" s="26">
        <v>2323</v>
      </c>
      <c r="V493" s="26" t="s">
        <v>1529</v>
      </c>
      <c r="W493" s="63">
        <v>44562</v>
      </c>
      <c r="X493" s="63">
        <v>44815</v>
      </c>
      <c r="Y493" s="63">
        <v>45101</v>
      </c>
      <c r="Z493" s="63">
        <v>45169</v>
      </c>
      <c r="AA493" s="23" t="s">
        <v>1107</v>
      </c>
      <c r="AB493" s="23"/>
      <c r="AC493" s="23" t="s">
        <v>731</v>
      </c>
      <c r="AD493" s="23" t="s">
        <v>731</v>
      </c>
      <c r="AE493" s="23"/>
      <c r="AF493" s="23" t="s">
        <v>731</v>
      </c>
      <c r="AG493" s="23" t="s">
        <v>731</v>
      </c>
      <c r="AH493" s="23" t="s">
        <v>731</v>
      </c>
      <c r="AI493" s="23" t="s">
        <v>731</v>
      </c>
      <c r="AJ493" s="23" t="s">
        <v>731</v>
      </c>
      <c r="AK493" s="23" t="s">
        <v>731</v>
      </c>
      <c r="AL493" s="23"/>
      <c r="AM493" s="23"/>
      <c r="AN493" s="23"/>
      <c r="AO493" s="23"/>
      <c r="AP493" s="23"/>
      <c r="AQ493" s="23"/>
      <c r="AR493" s="23"/>
      <c r="AS493" s="23"/>
      <c r="AT493" s="23"/>
      <c r="AU493" s="23"/>
      <c r="AZ493" s="51" t="s">
        <v>751</v>
      </c>
      <c r="BB493" s="43">
        <v>2</v>
      </c>
      <c r="BD493" s="41"/>
      <c r="BG493" s="18"/>
      <c r="BH493" s="18">
        <v>9</v>
      </c>
      <c r="BI493" s="18">
        <v>0</v>
      </c>
      <c r="BJ493" s="18">
        <v>0</v>
      </c>
      <c r="BK493" s="18">
        <v>0</v>
      </c>
      <c r="BL493" s="18">
        <v>0</v>
      </c>
      <c r="BM493" s="55">
        <f>SUM(AV493:AX493)+SUM(BC493:BD493)+SUM(BE493:BF493)+BG493</f>
        <v>0</v>
      </c>
      <c r="BN493" s="55"/>
      <c r="BO493" s="55"/>
      <c r="BP493" s="55"/>
      <c r="BQ493" s="55"/>
      <c r="BR493" s="55"/>
      <c r="BS493" s="55"/>
      <c r="BT493" s="55"/>
      <c r="BU493" s="55"/>
      <c r="BV493" s="55"/>
      <c r="BW493" s="55"/>
      <c r="BX493" s="55"/>
      <c r="BY493" s="55"/>
    </row>
    <row r="494" spans="1:78" ht="25.5">
      <c r="A494" s="2" t="s">
        <v>799</v>
      </c>
      <c r="B494" s="89">
        <v>482</v>
      </c>
      <c r="C494" s="124">
        <v>215</v>
      </c>
      <c r="D494" s="124">
        <v>133</v>
      </c>
      <c r="E494" s="130">
        <v>0.66527777777777775</v>
      </c>
      <c r="F494" s="130">
        <v>0.7055555555555556</v>
      </c>
      <c r="G494" s="126" t="s">
        <v>25</v>
      </c>
      <c r="H494" s="93" t="s">
        <v>423</v>
      </c>
      <c r="I494" s="124">
        <v>37</v>
      </c>
      <c r="J494" s="127">
        <v>50</v>
      </c>
      <c r="K494" s="131">
        <v>67</v>
      </c>
      <c r="L494" s="99" t="s">
        <v>741</v>
      </c>
      <c r="M494" s="83" t="s">
        <v>970</v>
      </c>
      <c r="N494" s="83">
        <v>54</v>
      </c>
      <c r="O494" s="83" t="s">
        <v>797</v>
      </c>
      <c r="P494" s="83">
        <v>45</v>
      </c>
      <c r="Q494" s="87" t="s">
        <v>798</v>
      </c>
      <c r="R494" s="85">
        <v>28</v>
      </c>
      <c r="S494" s="26">
        <v>2323</v>
      </c>
      <c r="T494" s="26" t="s">
        <v>1529</v>
      </c>
      <c r="U494" s="26">
        <v>2290</v>
      </c>
      <c r="V494" s="26" t="s">
        <v>1457</v>
      </c>
      <c r="W494" s="63">
        <v>44562</v>
      </c>
      <c r="X494" s="63">
        <v>44815</v>
      </c>
      <c r="Y494" s="63">
        <v>45101</v>
      </c>
      <c r="Z494" s="63">
        <v>45169</v>
      </c>
      <c r="AA494" s="23" t="s">
        <v>1107</v>
      </c>
      <c r="AB494" s="23"/>
      <c r="AC494" s="23" t="s">
        <v>731</v>
      </c>
      <c r="AD494" s="23" t="s">
        <v>731</v>
      </c>
      <c r="AE494" s="23"/>
      <c r="AF494" s="23" t="s">
        <v>731</v>
      </c>
      <c r="AG494" s="23" t="s">
        <v>731</v>
      </c>
      <c r="AH494" s="23" t="s">
        <v>731</v>
      </c>
      <c r="AI494" s="23" t="s">
        <v>731</v>
      </c>
      <c r="AJ494" s="23" t="s">
        <v>731</v>
      </c>
      <c r="AK494" s="23" t="s">
        <v>731</v>
      </c>
      <c r="AL494" s="23"/>
      <c r="AM494" s="23"/>
      <c r="AN494" s="23"/>
      <c r="AO494" s="23"/>
      <c r="AP494" s="23"/>
      <c r="AQ494" s="23"/>
      <c r="AR494" s="23"/>
      <c r="AS494" s="23"/>
      <c r="AT494" s="23"/>
      <c r="AU494" s="23"/>
      <c r="AV494" s="42"/>
      <c r="AZ494" s="51" t="s">
        <v>741</v>
      </c>
      <c r="BB494" s="43">
        <v>2</v>
      </c>
      <c r="BD494" s="41"/>
      <c r="BG494" s="18"/>
      <c r="BH494" s="18">
        <v>9</v>
      </c>
      <c r="BI494" s="18">
        <v>0</v>
      </c>
      <c r="BJ494" s="18">
        <v>0</v>
      </c>
      <c r="BK494" s="18">
        <v>0</v>
      </c>
      <c r="BL494" s="18">
        <v>0</v>
      </c>
      <c r="BM494" s="55">
        <f>SUM(AV494:AX494)+SUM(BC494:BD494)+SUM(BE494:BF494)+BG494</f>
        <v>0</v>
      </c>
      <c r="BN494" s="55"/>
      <c r="BO494" s="55"/>
      <c r="BP494" s="55"/>
      <c r="BQ494" s="55"/>
      <c r="BR494" s="55"/>
      <c r="BS494" s="55"/>
      <c r="BT494" s="55"/>
      <c r="BU494" s="55"/>
      <c r="BV494" s="55"/>
      <c r="BW494" s="55"/>
      <c r="BX494" s="55"/>
      <c r="BY494" s="55"/>
    </row>
    <row r="495" spans="1:78" ht="25.5">
      <c r="A495" s="2" t="s">
        <v>800</v>
      </c>
      <c r="B495" s="89">
        <v>483</v>
      </c>
      <c r="C495" s="124">
        <v>215</v>
      </c>
      <c r="D495" s="129">
        <v>133</v>
      </c>
      <c r="E495" s="130">
        <v>0.66527777777777775</v>
      </c>
      <c r="F495" s="130">
        <v>0.7055555555555556</v>
      </c>
      <c r="G495" s="126" t="s">
        <v>25</v>
      </c>
      <c r="H495" s="93" t="s">
        <v>478</v>
      </c>
      <c r="I495" s="124">
        <v>37</v>
      </c>
      <c r="J495" s="127">
        <v>50</v>
      </c>
      <c r="K495" s="131">
        <v>240</v>
      </c>
      <c r="L495" s="99" t="s">
        <v>751</v>
      </c>
      <c r="M495" s="83" t="s">
        <v>885</v>
      </c>
      <c r="N495" s="83">
        <v>57</v>
      </c>
      <c r="O495" s="83" t="s">
        <v>1879</v>
      </c>
      <c r="P495" s="83">
        <v>57</v>
      </c>
      <c r="Q495" s="83" t="s">
        <v>1238</v>
      </c>
      <c r="R495" s="83">
        <v>38</v>
      </c>
      <c r="S495" s="26">
        <v>2323</v>
      </c>
      <c r="T495" s="26" t="s">
        <v>1529</v>
      </c>
      <c r="U495" s="26">
        <v>2290</v>
      </c>
      <c r="V495" s="26" t="s">
        <v>1457</v>
      </c>
      <c r="W495" s="63">
        <v>44816</v>
      </c>
      <c r="X495" s="63">
        <v>45100</v>
      </c>
      <c r="Y495" s="63"/>
      <c r="Z495" s="63"/>
      <c r="AA495" s="26" t="s">
        <v>1112</v>
      </c>
      <c r="AB495" s="23" t="s">
        <v>731</v>
      </c>
      <c r="AC495" s="23"/>
      <c r="AD495" s="23" t="s">
        <v>731</v>
      </c>
      <c r="AE495" s="23"/>
      <c r="AF495" s="23" t="s">
        <v>731</v>
      </c>
      <c r="AG495" s="23" t="s">
        <v>731</v>
      </c>
      <c r="AH495" s="23" t="s">
        <v>731</v>
      </c>
      <c r="AI495" s="23" t="s">
        <v>731</v>
      </c>
      <c r="AJ495" s="23" t="s">
        <v>731</v>
      </c>
      <c r="AK495" s="23" t="s">
        <v>731</v>
      </c>
      <c r="AL495" s="23"/>
      <c r="AM495" s="23"/>
      <c r="AN495" s="23"/>
      <c r="AO495" s="23"/>
      <c r="AP495" s="23"/>
      <c r="AQ495" s="23"/>
      <c r="AR495" s="23"/>
      <c r="AS495" s="23"/>
      <c r="AT495" s="23"/>
      <c r="AU495" s="23"/>
      <c r="AV495" s="42"/>
      <c r="AX495" s="41">
        <f>3*I495</f>
        <v>111</v>
      </c>
      <c r="AY495" s="42"/>
      <c r="AZ495" s="42"/>
      <c r="BB495" s="43">
        <v>2</v>
      </c>
      <c r="BC495" s="45"/>
      <c r="BD495" s="50"/>
      <c r="BE495" s="45"/>
      <c r="BF495" s="45"/>
      <c r="BG495" s="18"/>
      <c r="BH495" s="18">
        <v>17</v>
      </c>
      <c r="BI495" s="18">
        <v>26</v>
      </c>
      <c r="BJ495" s="18">
        <v>25</v>
      </c>
      <c r="BK495" s="18">
        <v>25</v>
      </c>
      <c r="BL495" s="18">
        <v>25</v>
      </c>
      <c r="BM495" s="55">
        <f>SUM(AV495:AX495)+SUM(BC495:BD495)+SUM(BE495:BF495)+BG495</f>
        <v>111</v>
      </c>
      <c r="BN495" s="55"/>
      <c r="BO495" s="55"/>
      <c r="BP495" s="55"/>
      <c r="BQ495" s="55"/>
      <c r="BR495" s="55"/>
      <c r="BS495" s="55"/>
      <c r="BT495" s="55"/>
      <c r="BU495" s="55"/>
      <c r="BV495" s="55"/>
      <c r="BW495" s="55"/>
      <c r="BX495" s="55"/>
      <c r="BY495" s="55"/>
    </row>
    <row r="496" spans="1:78" ht="45">
      <c r="B496" s="89">
        <v>484</v>
      </c>
      <c r="C496" s="106">
        <v>225</v>
      </c>
      <c r="D496" s="93">
        <v>452</v>
      </c>
      <c r="E496" s="94">
        <v>0.70833333333333337</v>
      </c>
      <c r="F496" s="94">
        <v>0.71875</v>
      </c>
      <c r="G496" s="93" t="s">
        <v>376</v>
      </c>
      <c r="H496" s="93" t="s">
        <v>194</v>
      </c>
      <c r="I496" s="96">
        <v>6</v>
      </c>
      <c r="J496" s="97" t="s">
        <v>269</v>
      </c>
      <c r="K496" s="98">
        <f>34+34+36+33</f>
        <v>137</v>
      </c>
      <c r="L496" s="99" t="s">
        <v>753</v>
      </c>
      <c r="M496" s="87" t="s">
        <v>963</v>
      </c>
      <c r="N496" s="87">
        <v>24</v>
      </c>
      <c r="O496" s="87" t="s">
        <v>960</v>
      </c>
      <c r="P496" s="87">
        <v>17</v>
      </c>
      <c r="Q496" s="87" t="s">
        <v>950</v>
      </c>
      <c r="R496" s="84">
        <v>17</v>
      </c>
      <c r="S496" s="26">
        <v>2311</v>
      </c>
      <c r="T496" s="26" t="s">
        <v>1543</v>
      </c>
      <c r="U496" s="26">
        <v>2312</v>
      </c>
      <c r="V496" s="26" t="s">
        <v>1542</v>
      </c>
      <c r="W496" s="62">
        <v>44816</v>
      </c>
      <c r="X496" s="62">
        <v>45086</v>
      </c>
      <c r="Y496" s="62"/>
      <c r="Z496" s="62"/>
      <c r="AA496" s="24" t="s">
        <v>1105</v>
      </c>
      <c r="AB496" s="23"/>
      <c r="AC496" s="23"/>
      <c r="AD496" s="23"/>
      <c r="AE496" s="23" t="s">
        <v>731</v>
      </c>
      <c r="AF496" s="23" t="s">
        <v>731</v>
      </c>
      <c r="AG496" s="23" t="s">
        <v>731</v>
      </c>
      <c r="AH496" s="23" t="s">
        <v>731</v>
      </c>
      <c r="AI496" s="23" t="s">
        <v>731</v>
      </c>
      <c r="AJ496" s="23"/>
      <c r="AK496" s="23"/>
      <c r="AL496" s="23"/>
      <c r="AM496" s="23"/>
      <c r="AN496" s="23"/>
      <c r="AO496" s="23"/>
      <c r="AP496" s="23"/>
      <c r="AQ496" s="23"/>
      <c r="AR496" s="23"/>
      <c r="AS496" s="23"/>
      <c r="AT496" s="23"/>
      <c r="AU496" s="23"/>
      <c r="AV496" s="42">
        <v>31.3</v>
      </c>
      <c r="AY496" s="42"/>
      <c r="AZ496" s="42"/>
      <c r="BB496" s="45">
        <v>1</v>
      </c>
      <c r="BC496" s="41">
        <f>IF(AND((AV496/I496)&lt;2,BB496=1),(I496*2)-AV496,0)</f>
        <v>0</v>
      </c>
      <c r="BD496" s="41">
        <f>IF(AND((AV496/I496)&lt;3,BB496=2),(I496*3)-AV496,0)</f>
        <v>0</v>
      </c>
      <c r="BG496" s="18"/>
      <c r="BH496" s="18">
        <v>12</v>
      </c>
      <c r="BI496" s="18">
        <v>16</v>
      </c>
      <c r="BJ496" s="18">
        <v>17</v>
      </c>
      <c r="BK496" s="18">
        <v>12</v>
      </c>
      <c r="BL496" s="18">
        <v>14</v>
      </c>
      <c r="BM496" s="55">
        <f>SUM(AV496:AX496)+SUM(BC496:BD496)+SUM(BE496:BF496)+BG496</f>
        <v>31.3</v>
      </c>
      <c r="BN496" s="55"/>
      <c r="BO496" s="55"/>
      <c r="BP496" s="55"/>
      <c r="BQ496" s="55"/>
      <c r="BR496" s="55"/>
      <c r="BS496" s="55"/>
      <c r="BT496" s="55"/>
      <c r="BU496" s="55"/>
      <c r="BV496" s="55"/>
      <c r="BW496" s="55"/>
      <c r="BX496" s="55"/>
      <c r="BY496" s="55"/>
    </row>
    <row r="497" spans="1:78" ht="25.5">
      <c r="A497" s="2" t="s">
        <v>799</v>
      </c>
      <c r="B497" s="89">
        <v>485</v>
      </c>
      <c r="C497" s="124">
        <v>215</v>
      </c>
      <c r="D497" s="124">
        <v>146</v>
      </c>
      <c r="E497" s="130">
        <v>0.75763888888888886</v>
      </c>
      <c r="F497" s="130">
        <v>0.7993055555555556</v>
      </c>
      <c r="G497" s="126" t="s">
        <v>26</v>
      </c>
      <c r="H497" s="93" t="s">
        <v>423</v>
      </c>
      <c r="I497" s="124">
        <v>37</v>
      </c>
      <c r="J497" s="127">
        <v>50</v>
      </c>
      <c r="K497" s="131">
        <v>67</v>
      </c>
      <c r="L497" s="99" t="s">
        <v>741</v>
      </c>
      <c r="M497" s="83" t="s">
        <v>970</v>
      </c>
      <c r="N497" s="83">
        <v>54</v>
      </c>
      <c r="O497" s="83" t="s">
        <v>797</v>
      </c>
      <c r="P497" s="83">
        <v>45</v>
      </c>
      <c r="Q497" s="83" t="s">
        <v>798</v>
      </c>
      <c r="R497" s="85">
        <v>28</v>
      </c>
      <c r="S497" s="22">
        <v>2290</v>
      </c>
      <c r="T497" s="22" t="s">
        <v>1457</v>
      </c>
      <c r="U497" s="22">
        <v>2323</v>
      </c>
      <c r="V497" s="22" t="s">
        <v>1529</v>
      </c>
      <c r="W497" s="63">
        <v>44562</v>
      </c>
      <c r="X497" s="63">
        <v>44815</v>
      </c>
      <c r="Y497" s="63">
        <v>45101</v>
      </c>
      <c r="Z497" s="63">
        <v>45169</v>
      </c>
      <c r="AA497" s="23" t="s">
        <v>1107</v>
      </c>
      <c r="AB497" s="23"/>
      <c r="AC497" s="23" t="s">
        <v>731</v>
      </c>
      <c r="AD497" s="23" t="s">
        <v>731</v>
      </c>
      <c r="AE497" s="23"/>
      <c r="AF497" s="23" t="s">
        <v>731</v>
      </c>
      <c r="AG497" s="23" t="s">
        <v>731</v>
      </c>
      <c r="AH497" s="23" t="s">
        <v>731</v>
      </c>
      <c r="AI497" s="23" t="s">
        <v>731</v>
      </c>
      <c r="AJ497" s="23" t="s">
        <v>731</v>
      </c>
      <c r="AK497" s="23" t="s">
        <v>731</v>
      </c>
      <c r="AL497" s="23"/>
      <c r="AM497" s="23"/>
      <c r="AN497" s="23"/>
      <c r="AO497" s="23"/>
      <c r="AP497" s="23"/>
      <c r="AQ497" s="23"/>
      <c r="AR497" s="23"/>
      <c r="AS497" s="23"/>
      <c r="AT497" s="23"/>
      <c r="AU497" s="23"/>
      <c r="AZ497" s="19" t="s">
        <v>741</v>
      </c>
      <c r="BB497" s="18">
        <v>2</v>
      </c>
      <c r="BD497" s="41"/>
      <c r="BG497" s="18"/>
      <c r="BH497" s="18">
        <v>9</v>
      </c>
      <c r="BI497" s="18">
        <v>0</v>
      </c>
      <c r="BJ497" s="18">
        <v>0</v>
      </c>
      <c r="BK497" s="18">
        <v>0</v>
      </c>
      <c r="BL497" s="18">
        <v>0</v>
      </c>
      <c r="BM497" s="55">
        <f>SUM(AV497:AX497)+SUM(BC497:BD497)+SUM(BE497:BF497)+BG497</f>
        <v>0</v>
      </c>
      <c r="BN497" s="55"/>
      <c r="BO497" s="55"/>
      <c r="BP497" s="55"/>
      <c r="BQ497" s="55"/>
      <c r="BR497" s="55"/>
      <c r="BS497" s="55"/>
      <c r="BT497" s="55"/>
      <c r="BU497" s="55"/>
      <c r="BV497" s="55"/>
      <c r="BW497" s="55"/>
      <c r="BX497" s="55"/>
      <c r="BY497" s="55"/>
    </row>
    <row r="498" spans="1:78" ht="25.5">
      <c r="A498" s="179" t="s">
        <v>2080</v>
      </c>
      <c r="B498" s="157">
        <v>486</v>
      </c>
      <c r="C498" s="175">
        <v>215</v>
      </c>
      <c r="D498" s="175">
        <v>146</v>
      </c>
      <c r="E498" s="176">
        <v>0.75763888888888886</v>
      </c>
      <c r="F498" s="176">
        <v>0.7993055555555556</v>
      </c>
      <c r="G498" s="177" t="s">
        <v>26</v>
      </c>
      <c r="H498" s="158" t="s">
        <v>708</v>
      </c>
      <c r="I498" s="175">
        <v>37</v>
      </c>
      <c r="J498" s="178">
        <v>50</v>
      </c>
      <c r="K498" s="163"/>
      <c r="L498" s="164" t="s">
        <v>2082</v>
      </c>
      <c r="M498" s="179"/>
      <c r="N498" s="179"/>
      <c r="O498" s="179"/>
      <c r="P498" s="179"/>
      <c r="Q498" s="179"/>
      <c r="R498" s="179"/>
      <c r="S498" s="170"/>
      <c r="T498" s="170"/>
      <c r="U498" s="170"/>
      <c r="V498" s="170"/>
      <c r="W498" s="165"/>
      <c r="X498" s="165"/>
      <c r="Y498" s="165"/>
      <c r="Z498" s="165"/>
      <c r="AA498" s="165"/>
      <c r="AB498" s="170"/>
      <c r="AC498" s="170"/>
      <c r="AD498" s="170"/>
      <c r="AE498" s="170"/>
      <c r="AF498" s="170"/>
      <c r="AG498" s="170"/>
      <c r="AH498" s="170"/>
      <c r="AI498" s="170"/>
      <c r="AJ498" s="170"/>
      <c r="AK498" s="170"/>
      <c r="AL498" s="170"/>
      <c r="AM498" s="170"/>
      <c r="AN498" s="170"/>
      <c r="AO498" s="170"/>
      <c r="AP498" s="170"/>
      <c r="AQ498" s="170"/>
      <c r="AR498" s="170"/>
      <c r="AS498" s="170"/>
      <c r="AT498" s="170"/>
      <c r="AU498" s="170"/>
      <c r="AV498" s="165"/>
      <c r="AW498" s="165"/>
      <c r="AX498" s="165"/>
      <c r="AY498" s="165"/>
      <c r="AZ498" s="165"/>
      <c r="BA498" s="165"/>
      <c r="BB498" s="165"/>
      <c r="BC498" s="165"/>
      <c r="BD498" s="165"/>
      <c r="BE498" s="165"/>
      <c r="BF498" s="165"/>
      <c r="BG498" s="165"/>
      <c r="BH498" s="166"/>
      <c r="BI498" s="166"/>
      <c r="BJ498" s="166"/>
      <c r="BK498" s="166"/>
      <c r="BL498" s="166"/>
      <c r="BM498" s="167"/>
      <c r="BN498" s="167"/>
      <c r="BO498" s="167"/>
      <c r="BP498" s="167"/>
      <c r="BQ498" s="167"/>
      <c r="BR498" s="167"/>
      <c r="BS498" s="167"/>
      <c r="BT498" s="167"/>
      <c r="BU498" s="167"/>
      <c r="BV498" s="167"/>
      <c r="BW498" s="167"/>
      <c r="BX498" s="167"/>
      <c r="BY498" s="167"/>
      <c r="BZ498" s="166"/>
    </row>
    <row r="499" spans="1:78" ht="45">
      <c r="A499" s="2" t="s">
        <v>799</v>
      </c>
      <c r="B499" s="89">
        <v>487</v>
      </c>
      <c r="C499" s="124">
        <v>215</v>
      </c>
      <c r="D499" s="124">
        <v>633</v>
      </c>
      <c r="E499" s="130">
        <v>0.79027777777777775</v>
      </c>
      <c r="F499" s="130">
        <v>0.8305555555555556</v>
      </c>
      <c r="G499" s="126" t="s">
        <v>25</v>
      </c>
      <c r="H499" s="93" t="s">
        <v>423</v>
      </c>
      <c r="I499" s="124">
        <v>37</v>
      </c>
      <c r="J499" s="127">
        <v>50</v>
      </c>
      <c r="K499" s="131">
        <v>67</v>
      </c>
      <c r="L499" s="99" t="s">
        <v>753</v>
      </c>
      <c r="M499" s="83" t="s">
        <v>981</v>
      </c>
      <c r="N499" s="83">
        <v>57</v>
      </c>
      <c r="O499" s="83" t="s">
        <v>795</v>
      </c>
      <c r="P499" s="83">
        <v>60</v>
      </c>
      <c r="Q499" s="83" t="s">
        <v>1852</v>
      </c>
      <c r="R499" s="83">
        <v>57</v>
      </c>
      <c r="S499" s="26">
        <v>2323</v>
      </c>
      <c r="T499" s="26" t="s">
        <v>1529</v>
      </c>
      <c r="U499" s="26">
        <v>2290</v>
      </c>
      <c r="V499" s="26" t="s">
        <v>1457</v>
      </c>
      <c r="W499" s="63">
        <v>44562</v>
      </c>
      <c r="X499" s="63">
        <v>44815</v>
      </c>
      <c r="Y499" s="63">
        <v>45101</v>
      </c>
      <c r="Z499" s="63">
        <v>45169</v>
      </c>
      <c r="AA499" s="23" t="s">
        <v>1107</v>
      </c>
      <c r="AB499" s="23"/>
      <c r="AC499" s="23" t="s">
        <v>731</v>
      </c>
      <c r="AD499" s="23" t="s">
        <v>731</v>
      </c>
      <c r="AE499" s="23"/>
      <c r="AF499" s="23" t="s">
        <v>731</v>
      </c>
      <c r="AG499" s="23" t="s">
        <v>731</v>
      </c>
      <c r="AH499" s="23" t="s">
        <v>731</v>
      </c>
      <c r="AI499" s="23" t="s">
        <v>731</v>
      </c>
      <c r="AJ499" s="23" t="s">
        <v>731</v>
      </c>
      <c r="AK499" s="23" t="s">
        <v>731</v>
      </c>
      <c r="AL499" s="23"/>
      <c r="AM499" s="23"/>
      <c r="AN499" s="23"/>
      <c r="AO499" s="23"/>
      <c r="AP499" s="23"/>
      <c r="AQ499" s="23"/>
      <c r="AR499" s="23"/>
      <c r="AS499" s="23"/>
      <c r="AT499" s="23"/>
      <c r="AU499" s="23"/>
      <c r="AV499" s="42"/>
      <c r="AZ499" s="51" t="s">
        <v>753</v>
      </c>
      <c r="BB499" s="43">
        <v>2</v>
      </c>
      <c r="BD499" s="41"/>
      <c r="BG499" s="18"/>
      <c r="BH499" s="18">
        <v>9</v>
      </c>
      <c r="BI499" s="18">
        <v>0</v>
      </c>
      <c r="BJ499" s="18">
        <v>0</v>
      </c>
      <c r="BK499" s="18">
        <v>0</v>
      </c>
      <c r="BL499" s="18">
        <v>0</v>
      </c>
      <c r="BM499" s="55">
        <f>SUM(AV499:AX499)+SUM(BC499:BD499)+SUM(BE499:BF499)+BG499</f>
        <v>0</v>
      </c>
      <c r="BN499" s="55"/>
      <c r="BO499" s="55"/>
      <c r="BP499" s="55"/>
      <c r="BQ499" s="55"/>
      <c r="BR499" s="55"/>
      <c r="BS499" s="55"/>
      <c r="BT499" s="55"/>
      <c r="BU499" s="55"/>
      <c r="BV499" s="55"/>
      <c r="BW499" s="55"/>
      <c r="BX499" s="55"/>
      <c r="BY499" s="55"/>
    </row>
    <row r="500" spans="1:78" ht="25.5">
      <c r="A500" s="110" t="s">
        <v>1166</v>
      </c>
      <c r="B500" s="89">
        <v>488</v>
      </c>
      <c r="C500" s="124">
        <v>215</v>
      </c>
      <c r="D500" s="129">
        <v>424</v>
      </c>
      <c r="E500" s="125">
        <v>0.7909722222222223</v>
      </c>
      <c r="F500" s="130">
        <v>0.83263888888888893</v>
      </c>
      <c r="G500" s="126" t="s">
        <v>26</v>
      </c>
      <c r="H500" s="106" t="s">
        <v>478</v>
      </c>
      <c r="I500" s="124">
        <v>37</v>
      </c>
      <c r="J500" s="127">
        <v>50</v>
      </c>
      <c r="K500" s="131">
        <v>240</v>
      </c>
      <c r="L500" s="99" t="s">
        <v>741</v>
      </c>
      <c r="M500" s="83" t="s">
        <v>798</v>
      </c>
      <c r="N500" s="83">
        <v>29</v>
      </c>
      <c r="O500" s="83" t="s">
        <v>796</v>
      </c>
      <c r="P500" s="83">
        <v>37</v>
      </c>
      <c r="Q500" s="83" t="s">
        <v>969</v>
      </c>
      <c r="R500" s="85">
        <v>29</v>
      </c>
      <c r="S500" s="26">
        <v>2290</v>
      </c>
      <c r="T500" s="26" t="s">
        <v>1457</v>
      </c>
      <c r="U500" s="26">
        <v>2323</v>
      </c>
      <c r="V500" s="26" t="s">
        <v>1529</v>
      </c>
      <c r="W500" s="63">
        <v>44816</v>
      </c>
      <c r="X500" s="63">
        <v>45100</v>
      </c>
      <c r="Y500" s="63"/>
      <c r="Z500" s="63"/>
      <c r="AA500" s="26" t="s">
        <v>1112</v>
      </c>
      <c r="AB500" s="23" t="s">
        <v>731</v>
      </c>
      <c r="AC500" s="23"/>
      <c r="AD500" s="23" t="s">
        <v>731</v>
      </c>
      <c r="AE500" s="23"/>
      <c r="AF500" s="23" t="s">
        <v>731</v>
      </c>
      <c r="AG500" s="23" t="s">
        <v>731</v>
      </c>
      <c r="AH500" s="23" t="s">
        <v>731</v>
      </c>
      <c r="AI500" s="23" t="s">
        <v>731</v>
      </c>
      <c r="AJ500" s="23" t="s">
        <v>731</v>
      </c>
      <c r="AK500" s="23" t="s">
        <v>731</v>
      </c>
      <c r="AL500" s="23"/>
      <c r="AM500" s="23"/>
      <c r="AN500" s="23"/>
      <c r="AO500" s="23"/>
      <c r="AP500" s="23"/>
      <c r="AQ500" s="23"/>
      <c r="AR500" s="23"/>
      <c r="AS500" s="23"/>
      <c r="AT500" s="23"/>
      <c r="AU500" s="23"/>
      <c r="AV500" s="41">
        <v>91.64</v>
      </c>
      <c r="AY500" s="42"/>
      <c r="AZ500" s="42"/>
      <c r="BB500" s="43">
        <v>2</v>
      </c>
      <c r="BC500" s="41">
        <f>IF(AND((AV500/I500)&lt;2,BB500=1),(I500*2)-AV500,0)</f>
        <v>0</v>
      </c>
      <c r="BD500" s="41">
        <f>IF(AND((AV500/I500)&lt;3,BB500=2),(I500*3)-AV500,0)</f>
        <v>19.36</v>
      </c>
      <c r="BG500" s="18"/>
      <c r="BH500" s="18">
        <v>17</v>
      </c>
      <c r="BI500" s="18">
        <v>26</v>
      </c>
      <c r="BJ500" s="18">
        <v>25</v>
      </c>
      <c r="BK500" s="18">
        <v>25</v>
      </c>
      <c r="BL500" s="18">
        <v>25</v>
      </c>
      <c r="BM500" s="55">
        <f>SUM(AV500:AX500)+SUM(BC500:BD500)+SUM(BE500:BF500)+BG500</f>
        <v>111</v>
      </c>
      <c r="BN500" s="55"/>
      <c r="BO500" s="55"/>
      <c r="BP500" s="55"/>
      <c r="BQ500" s="55"/>
      <c r="BR500" s="55"/>
      <c r="BS500" s="55"/>
      <c r="BT500" s="55"/>
      <c r="BU500" s="55"/>
      <c r="BV500" s="55"/>
      <c r="BW500" s="55"/>
      <c r="BX500" s="55"/>
      <c r="BY500" s="55"/>
    </row>
    <row r="501" spans="1:78" ht="45">
      <c r="A501" s="2" t="s">
        <v>799</v>
      </c>
      <c r="B501" s="89">
        <v>489</v>
      </c>
      <c r="C501" s="124">
        <v>215</v>
      </c>
      <c r="D501" s="124">
        <v>426</v>
      </c>
      <c r="E501" s="130">
        <v>0.83263888888888893</v>
      </c>
      <c r="F501" s="130">
        <v>0.87430555555555556</v>
      </c>
      <c r="G501" s="126" t="s">
        <v>26</v>
      </c>
      <c r="H501" s="93" t="s">
        <v>423</v>
      </c>
      <c r="I501" s="124">
        <v>37</v>
      </c>
      <c r="J501" s="127">
        <v>50</v>
      </c>
      <c r="K501" s="131">
        <v>67</v>
      </c>
      <c r="L501" s="99" t="s">
        <v>753</v>
      </c>
      <c r="M501" s="83" t="s">
        <v>981</v>
      </c>
      <c r="N501" s="83">
        <v>57</v>
      </c>
      <c r="O501" s="83" t="s">
        <v>795</v>
      </c>
      <c r="P501" s="83">
        <v>60</v>
      </c>
      <c r="Q501" s="83" t="s">
        <v>1852</v>
      </c>
      <c r="R501" s="83">
        <v>57</v>
      </c>
      <c r="S501" s="26">
        <v>2290</v>
      </c>
      <c r="T501" s="26" t="s">
        <v>1457</v>
      </c>
      <c r="U501" s="26">
        <v>2323</v>
      </c>
      <c r="V501" s="26" t="s">
        <v>1529</v>
      </c>
      <c r="W501" s="63">
        <v>44562</v>
      </c>
      <c r="X501" s="63">
        <v>44815</v>
      </c>
      <c r="Y501" s="63">
        <v>45101</v>
      </c>
      <c r="Z501" s="63">
        <v>45169</v>
      </c>
      <c r="AA501" s="23" t="s">
        <v>1107</v>
      </c>
      <c r="AB501" s="23"/>
      <c r="AC501" s="23" t="s">
        <v>731</v>
      </c>
      <c r="AD501" s="23" t="s">
        <v>731</v>
      </c>
      <c r="AE501" s="23"/>
      <c r="AF501" s="23" t="s">
        <v>731</v>
      </c>
      <c r="AG501" s="23" t="s">
        <v>731</v>
      </c>
      <c r="AH501" s="23" t="s">
        <v>731</v>
      </c>
      <c r="AI501" s="23" t="s">
        <v>731</v>
      </c>
      <c r="AJ501" s="23" t="s">
        <v>731</v>
      </c>
      <c r="AK501" s="23" t="s">
        <v>731</v>
      </c>
      <c r="AL501" s="23"/>
      <c r="AM501" s="23"/>
      <c r="AN501" s="23"/>
      <c r="AO501" s="23"/>
      <c r="AP501" s="23"/>
      <c r="AQ501" s="23"/>
      <c r="AR501" s="23"/>
      <c r="AS501" s="23"/>
      <c r="AT501" s="23"/>
      <c r="AU501" s="23"/>
      <c r="AV501" s="42"/>
      <c r="AZ501" s="51" t="s">
        <v>753</v>
      </c>
      <c r="BB501" s="43">
        <v>2</v>
      </c>
      <c r="BD501" s="41"/>
      <c r="BG501" s="18"/>
      <c r="BH501" s="18">
        <v>9</v>
      </c>
      <c r="BI501" s="18">
        <v>0</v>
      </c>
      <c r="BJ501" s="18">
        <v>0</v>
      </c>
      <c r="BK501" s="18">
        <v>0</v>
      </c>
      <c r="BL501" s="18">
        <v>0</v>
      </c>
      <c r="BM501" s="55">
        <f>SUM(AV501:AX501)+SUM(BC501:BD501)+SUM(BE501:BF501)+BG501</f>
        <v>0</v>
      </c>
      <c r="BN501" s="55"/>
      <c r="BO501" s="55"/>
      <c r="BP501" s="55"/>
      <c r="BQ501" s="55"/>
      <c r="BR501" s="55"/>
      <c r="BS501" s="55"/>
      <c r="BT501" s="55"/>
      <c r="BU501" s="55"/>
      <c r="BV501" s="55"/>
      <c r="BW501" s="55"/>
      <c r="BX501" s="55"/>
      <c r="BY501" s="55"/>
    </row>
    <row r="502" spans="1:78" ht="25.5">
      <c r="A502" s="2" t="s">
        <v>1169</v>
      </c>
      <c r="B502" s="89">
        <v>490</v>
      </c>
      <c r="C502" s="93">
        <v>215</v>
      </c>
      <c r="D502" s="93">
        <v>593</v>
      </c>
      <c r="E502" s="105">
        <v>0.85416666666666663</v>
      </c>
      <c r="F502" s="105">
        <v>0.91249999999999998</v>
      </c>
      <c r="G502" s="106" t="s">
        <v>1065</v>
      </c>
      <c r="H502" s="93" t="s">
        <v>180</v>
      </c>
      <c r="I502" s="120">
        <v>54</v>
      </c>
      <c r="J502" s="97">
        <v>22</v>
      </c>
      <c r="K502" s="98">
        <v>41</v>
      </c>
      <c r="L502" s="99" t="s">
        <v>742</v>
      </c>
      <c r="M502" s="87" t="s">
        <v>949</v>
      </c>
      <c r="N502" s="87">
        <v>20</v>
      </c>
      <c r="O502" s="87" t="s">
        <v>1885</v>
      </c>
      <c r="P502" s="87">
        <v>27</v>
      </c>
      <c r="R502" s="87"/>
      <c r="S502" s="26">
        <v>2330</v>
      </c>
      <c r="T502" s="26" t="s">
        <v>1555</v>
      </c>
      <c r="U502" s="61">
        <v>2290</v>
      </c>
      <c r="V502" s="61" t="s">
        <v>1551</v>
      </c>
      <c r="W502" s="63">
        <v>44816</v>
      </c>
      <c r="X502" s="63">
        <v>45100</v>
      </c>
      <c r="Y502" s="63"/>
      <c r="Z502" s="63"/>
      <c r="AA502" s="23" t="s">
        <v>1140</v>
      </c>
      <c r="AB502" s="23" t="s">
        <v>731</v>
      </c>
      <c r="AC502" s="23"/>
      <c r="AD502" s="23" t="s">
        <v>731</v>
      </c>
      <c r="AE502" s="23"/>
      <c r="AF502" s="23"/>
      <c r="AG502" s="23"/>
      <c r="AH502" s="23"/>
      <c r="AI502" s="23"/>
      <c r="AJ502" s="23" t="s">
        <v>731</v>
      </c>
      <c r="AK502" s="23"/>
      <c r="AL502" s="23"/>
      <c r="AM502" s="23"/>
      <c r="AN502" s="23"/>
      <c r="AO502" s="23"/>
      <c r="AP502" s="23"/>
      <c r="AQ502" s="23"/>
      <c r="AR502" s="23"/>
      <c r="AS502" s="23"/>
      <c r="AT502" s="23"/>
      <c r="AU502" s="23"/>
      <c r="AV502" s="42">
        <v>124.5</v>
      </c>
      <c r="AY502" s="42"/>
      <c r="AZ502" s="42"/>
      <c r="BB502" s="45">
        <v>1</v>
      </c>
      <c r="BC502" s="41">
        <f>IF(AND((AV502/I502)&lt;2,BB502=1),(I502*2)-AV502,0)</f>
        <v>0</v>
      </c>
      <c r="BD502" s="41">
        <f>IF(AND((AV502/I502)&lt;3,BB502=2),(I502*3)-AV502,0)</f>
        <v>0</v>
      </c>
      <c r="BG502" s="18"/>
      <c r="BH502" s="18">
        <v>3</v>
      </c>
      <c r="BI502" s="18">
        <v>4</v>
      </c>
      <c r="BJ502" s="18">
        <v>4</v>
      </c>
      <c r="BK502" s="18">
        <v>5</v>
      </c>
      <c r="BL502" s="18">
        <v>3</v>
      </c>
      <c r="BM502" s="55">
        <f>SUM(AV502:AX502)+SUM(BC502:BD502)+SUM(BE502:BF502)+BG502</f>
        <v>124.5</v>
      </c>
      <c r="BN502" s="55"/>
      <c r="BO502" s="55"/>
      <c r="BP502" s="55"/>
      <c r="BQ502" s="55"/>
      <c r="BR502" s="55"/>
      <c r="BS502" s="55"/>
      <c r="BT502" s="55"/>
      <c r="BU502" s="55"/>
      <c r="BV502" s="55"/>
      <c r="BW502" s="55"/>
      <c r="BX502" s="55"/>
      <c r="BY502" s="55"/>
    </row>
    <row r="503" spans="1:78" ht="25.5">
      <c r="B503" s="89">
        <v>491</v>
      </c>
      <c r="C503" s="93">
        <v>216</v>
      </c>
      <c r="D503" s="93">
        <v>48</v>
      </c>
      <c r="E503" s="105">
        <v>0.54791666666666672</v>
      </c>
      <c r="F503" s="105">
        <v>0.55763888888888891</v>
      </c>
      <c r="G503" s="93" t="s">
        <v>273</v>
      </c>
      <c r="H503" s="93" t="s">
        <v>103</v>
      </c>
      <c r="I503" s="96">
        <v>5.5</v>
      </c>
      <c r="J503" s="97" t="s">
        <v>93</v>
      </c>
      <c r="K503" s="98">
        <v>174</v>
      </c>
      <c r="L503" s="99" t="s">
        <v>741</v>
      </c>
      <c r="M503" s="87" t="s">
        <v>798</v>
      </c>
      <c r="N503" s="87">
        <v>29</v>
      </c>
      <c r="O503" s="87" t="s">
        <v>969</v>
      </c>
      <c r="P503" s="87">
        <v>29</v>
      </c>
      <c r="Q503" s="87" t="s">
        <v>972</v>
      </c>
      <c r="R503" s="85">
        <v>25</v>
      </c>
      <c r="S503" s="26">
        <v>2251</v>
      </c>
      <c r="T503" s="26" t="s">
        <v>1556</v>
      </c>
      <c r="U503" s="26">
        <v>2280</v>
      </c>
      <c r="V503" s="26" t="s">
        <v>1557</v>
      </c>
      <c r="W503" s="62">
        <v>44816</v>
      </c>
      <c r="X503" s="62">
        <v>45086</v>
      </c>
      <c r="Y503" s="62"/>
      <c r="Z503" s="62"/>
      <c r="AA503" s="22" t="s">
        <v>1102</v>
      </c>
      <c r="AB503" s="23"/>
      <c r="AC503" s="23"/>
      <c r="AD503" s="23"/>
      <c r="AE503" s="23" t="s">
        <v>731</v>
      </c>
      <c r="AF503" s="23" t="s">
        <v>731</v>
      </c>
      <c r="AG503" s="23" t="s">
        <v>731</v>
      </c>
      <c r="AH503" s="23" t="s">
        <v>731</v>
      </c>
      <c r="AI503" s="23" t="s">
        <v>731</v>
      </c>
      <c r="AJ503" s="23" t="s">
        <v>731</v>
      </c>
      <c r="AK503" s="23"/>
      <c r="AL503" s="23"/>
      <c r="AM503" s="23"/>
      <c r="AN503" s="23"/>
      <c r="AO503" s="23"/>
      <c r="AP503" s="23"/>
      <c r="AQ503" s="23"/>
      <c r="AR503" s="23"/>
      <c r="AS503" s="23"/>
      <c r="AT503" s="23"/>
      <c r="AU503" s="23"/>
      <c r="AV503" s="41">
        <v>9.9</v>
      </c>
      <c r="AY503" s="42"/>
      <c r="AZ503" s="42"/>
      <c r="BB503" s="45">
        <v>1</v>
      </c>
      <c r="BC503" s="41">
        <f>IF(AND((AV503/I503)&lt;2,BB503=1),(I503*2)-AV503,0)</f>
        <v>1.0999999999999996</v>
      </c>
      <c r="BD503" s="41">
        <f>IF(AND((AV503/I503)&lt;3,BB503=2),(I503*3)-AV503,0)</f>
        <v>0</v>
      </c>
      <c r="BG503" s="18"/>
      <c r="BH503" s="18">
        <v>15</v>
      </c>
      <c r="BI503" s="18">
        <v>20</v>
      </c>
      <c r="BJ503" s="18">
        <v>21</v>
      </c>
      <c r="BK503" s="18">
        <v>15</v>
      </c>
      <c r="BL503" s="18">
        <v>17</v>
      </c>
      <c r="BM503" s="55">
        <f>SUM(AV503:AX503)+SUM(BC503:BD503)+SUM(BE503:BF503)+BG503</f>
        <v>11</v>
      </c>
      <c r="BN503" s="55"/>
      <c r="BO503" s="55"/>
      <c r="BP503" s="55"/>
      <c r="BQ503" s="55"/>
      <c r="BR503" s="55"/>
      <c r="BS503" s="55"/>
      <c r="BT503" s="55"/>
      <c r="BU503" s="55"/>
      <c r="BV503" s="55"/>
      <c r="BW503" s="55"/>
      <c r="BX503" s="55"/>
      <c r="BY503" s="55"/>
    </row>
    <row r="504" spans="1:78" ht="25.5">
      <c r="B504" s="89">
        <v>492</v>
      </c>
      <c r="C504" s="93">
        <v>216</v>
      </c>
      <c r="D504" s="93">
        <v>45</v>
      </c>
      <c r="E504" s="105">
        <v>0.55902777777777779</v>
      </c>
      <c r="F504" s="105">
        <v>0.59027777777777779</v>
      </c>
      <c r="G504" s="93" t="s">
        <v>272</v>
      </c>
      <c r="H504" s="93" t="s">
        <v>103</v>
      </c>
      <c r="I504" s="96">
        <v>20</v>
      </c>
      <c r="J504" s="97" t="s">
        <v>93</v>
      </c>
      <c r="K504" s="98">
        <v>174</v>
      </c>
      <c r="L504" s="99" t="s">
        <v>741</v>
      </c>
      <c r="M504" s="87" t="s">
        <v>798</v>
      </c>
      <c r="N504" s="87">
        <v>29</v>
      </c>
      <c r="O504" s="87" t="s">
        <v>969</v>
      </c>
      <c r="P504" s="87">
        <v>29</v>
      </c>
      <c r="Q504" s="87" t="s">
        <v>972</v>
      </c>
      <c r="R504" s="85">
        <v>25</v>
      </c>
      <c r="S504" s="26">
        <v>2280</v>
      </c>
      <c r="T504" s="26" t="s">
        <v>1557</v>
      </c>
      <c r="U504" s="26">
        <v>2290</v>
      </c>
      <c r="V504" s="26" t="s">
        <v>1457</v>
      </c>
      <c r="W504" s="62">
        <v>44816</v>
      </c>
      <c r="X504" s="62">
        <v>45086</v>
      </c>
      <c r="Y504" s="62"/>
      <c r="Z504" s="62"/>
      <c r="AA504" s="22" t="s">
        <v>1102</v>
      </c>
      <c r="AB504" s="23"/>
      <c r="AC504" s="23"/>
      <c r="AD504" s="23"/>
      <c r="AE504" s="23" t="s">
        <v>731</v>
      </c>
      <c r="AF504" s="23" t="s">
        <v>731</v>
      </c>
      <c r="AG504" s="23" t="s">
        <v>731</v>
      </c>
      <c r="AH504" s="23" t="s">
        <v>731</v>
      </c>
      <c r="AI504" s="23" t="s">
        <v>731</v>
      </c>
      <c r="AJ504" s="23" t="s">
        <v>731</v>
      </c>
      <c r="AK504" s="23"/>
      <c r="AL504" s="23"/>
      <c r="AM504" s="23"/>
      <c r="AN504" s="23"/>
      <c r="AO504" s="23"/>
      <c r="AP504" s="23"/>
      <c r="AQ504" s="23"/>
      <c r="AR504" s="23"/>
      <c r="AS504" s="23"/>
      <c r="AT504" s="23"/>
      <c r="AU504" s="23"/>
      <c r="AV504" s="41">
        <v>36</v>
      </c>
      <c r="AY504" s="42"/>
      <c r="AZ504" s="42"/>
      <c r="BB504" s="45">
        <v>1</v>
      </c>
      <c r="BC504" s="41">
        <f>IF(AND((AV504/I504)&lt;2,BB504=1),(I504*2)-AV504,0)</f>
        <v>4</v>
      </c>
      <c r="BD504" s="41">
        <f>IF(AND((AV504/I504)&lt;3,BB504=2),(I504*3)-AV504,0)</f>
        <v>0</v>
      </c>
      <c r="BG504" s="18"/>
      <c r="BH504" s="18">
        <v>15</v>
      </c>
      <c r="BI504" s="18">
        <v>20</v>
      </c>
      <c r="BJ504" s="18">
        <v>21</v>
      </c>
      <c r="BK504" s="18">
        <v>15</v>
      </c>
      <c r="BL504" s="18">
        <v>17</v>
      </c>
      <c r="BM504" s="55">
        <f>SUM(AV504:AX504)+SUM(BC504:BD504)+SUM(BE504:BF504)+BG504</f>
        <v>40</v>
      </c>
      <c r="BN504" s="55"/>
      <c r="BO504" s="55"/>
      <c r="BP504" s="55"/>
      <c r="BQ504" s="55"/>
      <c r="BR504" s="55"/>
      <c r="BS504" s="55"/>
      <c r="BT504" s="55"/>
      <c r="BU504" s="55"/>
      <c r="BV504" s="55"/>
      <c r="BW504" s="55"/>
      <c r="BX504" s="55"/>
      <c r="BY504" s="55"/>
    </row>
    <row r="505" spans="1:78" ht="25.5">
      <c r="B505" s="89">
        <v>493</v>
      </c>
      <c r="C505" s="93">
        <v>216</v>
      </c>
      <c r="D505" s="97">
        <v>398</v>
      </c>
      <c r="E505" s="94">
        <v>0.67152777777777783</v>
      </c>
      <c r="F505" s="94">
        <v>0.70486111111111116</v>
      </c>
      <c r="G505" s="93" t="s">
        <v>270</v>
      </c>
      <c r="H505" s="93" t="s">
        <v>194</v>
      </c>
      <c r="I505" s="96">
        <v>19</v>
      </c>
      <c r="J505" s="97" t="s">
        <v>269</v>
      </c>
      <c r="K505" s="98">
        <f>34+34+36+33</f>
        <v>137</v>
      </c>
      <c r="L505" s="99" t="s">
        <v>748</v>
      </c>
      <c r="M505" s="83" t="s">
        <v>788</v>
      </c>
      <c r="N505" s="83">
        <v>21</v>
      </c>
      <c r="O505" s="83" t="s">
        <v>789</v>
      </c>
      <c r="P505" s="83">
        <v>22</v>
      </c>
      <c r="Q505" s="83" t="s">
        <v>790</v>
      </c>
      <c r="R505" s="83">
        <v>23</v>
      </c>
      <c r="S505" s="22" t="s">
        <v>1547</v>
      </c>
      <c r="T505" s="22" t="s">
        <v>1548</v>
      </c>
      <c r="U505" s="22">
        <v>2280</v>
      </c>
      <c r="V505" s="22" t="s">
        <v>1557</v>
      </c>
      <c r="W505" s="62">
        <v>44816</v>
      </c>
      <c r="X505" s="62">
        <v>45086</v>
      </c>
      <c r="Y505" s="62"/>
      <c r="Z505" s="62"/>
      <c r="AA505" s="27" t="s">
        <v>1105</v>
      </c>
      <c r="AB505" s="23"/>
      <c r="AC505" s="23"/>
      <c r="AD505" s="23"/>
      <c r="AE505" s="23" t="s">
        <v>731</v>
      </c>
      <c r="AF505" s="23" t="s">
        <v>731</v>
      </c>
      <c r="AG505" s="23" t="s">
        <v>731</v>
      </c>
      <c r="AH505" s="23" t="s">
        <v>731</v>
      </c>
      <c r="AI505" s="23" t="s">
        <v>731</v>
      </c>
      <c r="AJ505" s="23"/>
      <c r="AK505" s="23"/>
      <c r="AL505" s="23"/>
      <c r="AM505" s="23"/>
      <c r="AN505" s="23"/>
      <c r="AO505" s="23"/>
      <c r="AP505" s="23"/>
      <c r="AQ505" s="23"/>
      <c r="AR505" s="23"/>
      <c r="AS505" s="23"/>
      <c r="AT505" s="23"/>
      <c r="AU505" s="23"/>
      <c r="AV505" s="41">
        <v>47.5</v>
      </c>
      <c r="AY505" s="41"/>
      <c r="AZ505" s="41"/>
      <c r="BB505" s="18">
        <v>1</v>
      </c>
      <c r="BC505" s="41">
        <f>IF(AND((AV505/I505)&lt;2,BB505=1),(I505*2)-AV505,0)</f>
        <v>0</v>
      </c>
      <c r="BD505" s="41">
        <f>IF(AND((AV505/I505)&lt;3,BB505=2),(I505*3)-AV505,0)</f>
        <v>0</v>
      </c>
      <c r="BG505" s="18"/>
      <c r="BH505" s="18">
        <v>12</v>
      </c>
      <c r="BI505" s="18">
        <v>16</v>
      </c>
      <c r="BJ505" s="18">
        <v>17</v>
      </c>
      <c r="BK505" s="18">
        <v>12</v>
      </c>
      <c r="BL505" s="18">
        <v>14</v>
      </c>
      <c r="BM505" s="55">
        <f>SUM(AV505:AX505)+SUM(BC505:BD505)+SUM(BE505:BF505)+BG505</f>
        <v>47.5</v>
      </c>
      <c r="BN505" s="55"/>
      <c r="BO505" s="55"/>
      <c r="BP505" s="55"/>
      <c r="BQ505" s="55"/>
      <c r="BR505" s="55"/>
      <c r="BS505" s="55"/>
      <c r="BT505" s="55"/>
      <c r="BU505" s="55"/>
      <c r="BV505" s="55"/>
      <c r="BW505" s="55"/>
      <c r="BX505" s="55"/>
      <c r="BY505" s="55"/>
    </row>
    <row r="506" spans="1:78" ht="25.5">
      <c r="A506" s="156" t="s">
        <v>2085</v>
      </c>
      <c r="B506" s="157">
        <v>494</v>
      </c>
      <c r="C506" s="175">
        <v>217</v>
      </c>
      <c r="D506" s="175"/>
      <c r="E506" s="176">
        <v>0.58680555555555558</v>
      </c>
      <c r="F506" s="176">
        <v>0.59375</v>
      </c>
      <c r="G506" s="177" t="s">
        <v>585</v>
      </c>
      <c r="H506" s="158" t="s">
        <v>203</v>
      </c>
      <c r="I506" s="175">
        <v>4</v>
      </c>
      <c r="J506" s="178">
        <v>50</v>
      </c>
      <c r="K506" s="163"/>
      <c r="L506" s="164" t="s">
        <v>2082</v>
      </c>
      <c r="M506" s="179"/>
      <c r="N506" s="179"/>
      <c r="O506" s="179"/>
      <c r="P506" s="179"/>
      <c r="Q506" s="179"/>
      <c r="R506" s="179"/>
      <c r="S506" s="170"/>
      <c r="T506" s="170"/>
      <c r="U506" s="170"/>
      <c r="V506" s="170"/>
      <c r="W506" s="165"/>
      <c r="X506" s="165"/>
      <c r="Y506" s="165"/>
      <c r="Z506" s="165"/>
      <c r="AA506" s="165"/>
      <c r="AB506" s="170"/>
      <c r="AC506" s="170"/>
      <c r="AD506" s="170"/>
      <c r="AE506" s="170"/>
      <c r="AF506" s="170"/>
      <c r="AG506" s="170"/>
      <c r="AH506" s="170"/>
      <c r="AI506" s="170"/>
      <c r="AJ506" s="170"/>
      <c r="AK506" s="170"/>
      <c r="AL506" s="170"/>
      <c r="AM506" s="170"/>
      <c r="AN506" s="170"/>
      <c r="AO506" s="170"/>
      <c r="AP506" s="170"/>
      <c r="AQ506" s="170"/>
      <c r="AR506" s="170"/>
      <c r="AS506" s="170"/>
      <c r="AT506" s="170"/>
      <c r="AU506" s="170"/>
      <c r="AV506" s="165"/>
      <c r="AW506" s="165"/>
      <c r="AX506" s="165"/>
      <c r="AY506" s="165"/>
      <c r="AZ506" s="165"/>
      <c r="BA506" s="165"/>
      <c r="BB506" s="165"/>
      <c r="BC506" s="165"/>
      <c r="BD506" s="165"/>
      <c r="BE506" s="165"/>
      <c r="BF506" s="165"/>
      <c r="BG506" s="165"/>
      <c r="BH506" s="166"/>
      <c r="BI506" s="166"/>
      <c r="BJ506" s="166"/>
      <c r="BK506" s="166"/>
      <c r="BL506" s="166"/>
      <c r="BM506" s="167"/>
      <c r="BN506" s="167"/>
      <c r="BO506" s="167"/>
      <c r="BP506" s="167"/>
      <c r="BQ506" s="167"/>
      <c r="BR506" s="167"/>
      <c r="BS506" s="167"/>
      <c r="BT506" s="167"/>
      <c r="BU506" s="167"/>
      <c r="BV506" s="167"/>
      <c r="BW506" s="167"/>
      <c r="BX506" s="167"/>
      <c r="BY506" s="167"/>
      <c r="BZ506" s="166"/>
    </row>
    <row r="507" spans="1:78" s="47" customFormat="1" ht="25.5">
      <c r="A507" s="2"/>
      <c r="B507" s="89">
        <v>495</v>
      </c>
      <c r="C507" s="93">
        <v>218</v>
      </c>
      <c r="D507" s="97">
        <v>407</v>
      </c>
      <c r="E507" s="94">
        <v>0.57291666666666663</v>
      </c>
      <c r="F507" s="94">
        <v>0.5756944444444444</v>
      </c>
      <c r="G507" s="93" t="s">
        <v>238</v>
      </c>
      <c r="H507" s="93" t="s">
        <v>97</v>
      </c>
      <c r="I507" s="96">
        <v>4</v>
      </c>
      <c r="J507" s="97" t="s">
        <v>146</v>
      </c>
      <c r="K507" s="98">
        <v>208</v>
      </c>
      <c r="L507" s="133" t="s">
        <v>743</v>
      </c>
      <c r="M507" s="87" t="s">
        <v>913</v>
      </c>
      <c r="N507" s="87">
        <v>17</v>
      </c>
      <c r="O507" s="119" t="s">
        <v>914</v>
      </c>
      <c r="P507" s="119">
        <v>21</v>
      </c>
      <c r="Q507" s="2"/>
      <c r="R507" s="87"/>
      <c r="S507" s="26" t="s">
        <v>1558</v>
      </c>
      <c r="T507" s="26" t="s">
        <v>1559</v>
      </c>
      <c r="U507" s="26">
        <v>2054</v>
      </c>
      <c r="V507" s="26" t="s">
        <v>1332</v>
      </c>
      <c r="W507" s="62">
        <v>44816</v>
      </c>
      <c r="X507" s="62">
        <v>45086</v>
      </c>
      <c r="Y507" s="62"/>
      <c r="Z507" s="62"/>
      <c r="AA507" s="22" t="s">
        <v>1106</v>
      </c>
      <c r="AB507" s="23"/>
      <c r="AC507" s="23"/>
      <c r="AD507" s="23"/>
      <c r="AE507" s="23" t="s">
        <v>731</v>
      </c>
      <c r="AF507" s="23" t="s">
        <v>731</v>
      </c>
      <c r="AG507" s="23" t="s">
        <v>731</v>
      </c>
      <c r="AH507" s="23" t="s">
        <v>731</v>
      </c>
      <c r="AI507" s="23" t="s">
        <v>731</v>
      </c>
      <c r="AJ507" s="23" t="s">
        <v>731</v>
      </c>
      <c r="AK507" s="23" t="s">
        <v>731</v>
      </c>
      <c r="AL507" s="23"/>
      <c r="AM507" s="23"/>
      <c r="AN507" s="23"/>
      <c r="AO507" s="23"/>
      <c r="AP507" s="23"/>
      <c r="AQ507" s="23"/>
      <c r="AR507" s="23"/>
      <c r="AS507" s="23"/>
      <c r="AT507" s="23"/>
      <c r="AU507" s="23"/>
      <c r="AV507" s="42">
        <v>12.77</v>
      </c>
      <c r="AW507" s="41"/>
      <c r="AX507" s="18"/>
      <c r="AY507" s="42"/>
      <c r="AZ507" s="42"/>
      <c r="BA507" s="18"/>
      <c r="BB507" s="45">
        <v>1</v>
      </c>
      <c r="BC507" s="41">
        <f>IF(AND((AV507/I507)&lt;2,BB507=1),(I507*2)-AV507,0)</f>
        <v>0</v>
      </c>
      <c r="BD507" s="41">
        <f>IF(AND((AV507/I507)&lt;3,BB507=2),(I507*3)-AV507,0)</f>
        <v>0</v>
      </c>
      <c r="BE507" s="18"/>
      <c r="BF507" s="18"/>
      <c r="BG507" s="18"/>
      <c r="BH507" s="18">
        <v>17</v>
      </c>
      <c r="BI507" s="18">
        <v>25</v>
      </c>
      <c r="BJ507" s="18">
        <v>25</v>
      </c>
      <c r="BK507" s="18">
        <v>18</v>
      </c>
      <c r="BL507" s="18">
        <v>20</v>
      </c>
      <c r="BM507" s="55">
        <f>SUM(AV507:AX507)+SUM(BC507:BD507)+SUM(BE507:BF507)+BG507</f>
        <v>12.77</v>
      </c>
      <c r="BN507" s="55"/>
      <c r="BO507" s="55"/>
      <c r="BP507" s="55"/>
      <c r="BQ507" s="55"/>
      <c r="BR507" s="55"/>
      <c r="BS507" s="55"/>
      <c r="BT507" s="55"/>
      <c r="BU507" s="55"/>
      <c r="BV507" s="55"/>
      <c r="BW507" s="55"/>
      <c r="BX507" s="55"/>
      <c r="BY507" s="55"/>
      <c r="BZ507" s="18"/>
    </row>
    <row r="508" spans="1:78" s="47" customFormat="1" ht="25.5">
      <c r="A508" s="2"/>
      <c r="B508" s="89">
        <v>496</v>
      </c>
      <c r="C508" s="93">
        <v>218</v>
      </c>
      <c r="D508" s="97">
        <v>408</v>
      </c>
      <c r="E508" s="94">
        <v>0.57638888888888895</v>
      </c>
      <c r="F508" s="94">
        <v>0.57986111111111105</v>
      </c>
      <c r="G508" s="93" t="s">
        <v>237</v>
      </c>
      <c r="H508" s="93" t="s">
        <v>97</v>
      </c>
      <c r="I508" s="96">
        <v>4</v>
      </c>
      <c r="J508" s="97" t="s">
        <v>146</v>
      </c>
      <c r="K508" s="98">
        <v>208</v>
      </c>
      <c r="L508" s="133" t="s">
        <v>743</v>
      </c>
      <c r="M508" s="87" t="s">
        <v>913</v>
      </c>
      <c r="N508" s="87">
        <v>17</v>
      </c>
      <c r="O508" s="119" t="s">
        <v>914</v>
      </c>
      <c r="P508" s="119">
        <v>21</v>
      </c>
      <c r="Q508" s="2"/>
      <c r="R508" s="87"/>
      <c r="S508" s="26">
        <v>2054</v>
      </c>
      <c r="T508" s="26" t="s">
        <v>1332</v>
      </c>
      <c r="U508" s="26" t="s">
        <v>1558</v>
      </c>
      <c r="V508" s="26" t="s">
        <v>1559</v>
      </c>
      <c r="W508" s="62">
        <v>44816</v>
      </c>
      <c r="X508" s="62">
        <v>45086</v>
      </c>
      <c r="Y508" s="62"/>
      <c r="Z508" s="62"/>
      <c r="AA508" s="22" t="s">
        <v>1106</v>
      </c>
      <c r="AB508" s="23"/>
      <c r="AC508" s="23"/>
      <c r="AD508" s="23"/>
      <c r="AE508" s="23" t="s">
        <v>731</v>
      </c>
      <c r="AF508" s="23" t="s">
        <v>731</v>
      </c>
      <c r="AG508" s="23" t="s">
        <v>731</v>
      </c>
      <c r="AH508" s="23" t="s">
        <v>731</v>
      </c>
      <c r="AI508" s="23" t="s">
        <v>731</v>
      </c>
      <c r="AJ508" s="23" t="s">
        <v>731</v>
      </c>
      <c r="AK508" s="23" t="s">
        <v>731</v>
      </c>
      <c r="AL508" s="23"/>
      <c r="AM508" s="23"/>
      <c r="AN508" s="23"/>
      <c r="AO508" s="23"/>
      <c r="AP508" s="23"/>
      <c r="AQ508" s="23"/>
      <c r="AR508" s="23"/>
      <c r="AS508" s="23"/>
      <c r="AT508" s="23"/>
      <c r="AU508" s="23"/>
      <c r="AV508" s="42">
        <v>12.77</v>
      </c>
      <c r="AW508" s="41"/>
      <c r="AX508" s="18"/>
      <c r="AY508" s="42"/>
      <c r="AZ508" s="42"/>
      <c r="BA508" s="18"/>
      <c r="BB508" s="45">
        <v>1</v>
      </c>
      <c r="BC508" s="41">
        <f>IF(AND((AV508/I508)&lt;2,BB508=1),(I508*2)-AV508,0)</f>
        <v>0</v>
      </c>
      <c r="BD508" s="41">
        <f>IF(AND((AV508/I508)&lt;3,BB508=2),(I508*3)-AV508,0)</f>
        <v>0</v>
      </c>
      <c r="BH508" s="18">
        <v>17</v>
      </c>
      <c r="BI508" s="18">
        <v>25</v>
      </c>
      <c r="BJ508" s="18">
        <v>25</v>
      </c>
      <c r="BK508" s="18">
        <v>18</v>
      </c>
      <c r="BL508" s="18">
        <v>20</v>
      </c>
      <c r="BM508" s="55">
        <f>SUM(AV508:AX508)+SUM(BC508:BD508)+SUM(BE508:BF508)+BG508</f>
        <v>12.77</v>
      </c>
      <c r="BN508" s="55"/>
      <c r="BO508" s="55"/>
      <c r="BP508" s="55"/>
      <c r="BQ508" s="55"/>
      <c r="BR508" s="55"/>
      <c r="BS508" s="55"/>
      <c r="BT508" s="55"/>
      <c r="BU508" s="55"/>
      <c r="BV508" s="55"/>
      <c r="BW508" s="55"/>
      <c r="BX508" s="55"/>
      <c r="BY508" s="55"/>
    </row>
    <row r="509" spans="1:78" s="47" customFormat="1" ht="25.5">
      <c r="A509" s="2"/>
      <c r="B509" s="89">
        <v>497</v>
      </c>
      <c r="C509" s="93">
        <v>218</v>
      </c>
      <c r="D509" s="97">
        <v>410</v>
      </c>
      <c r="E509" s="94">
        <v>0.60069444444444442</v>
      </c>
      <c r="F509" s="105">
        <v>0.60833333333333328</v>
      </c>
      <c r="G509" s="93" t="s">
        <v>694</v>
      </c>
      <c r="H509" s="93" t="s">
        <v>97</v>
      </c>
      <c r="I509" s="96">
        <v>7.5</v>
      </c>
      <c r="J509" s="97" t="s">
        <v>146</v>
      </c>
      <c r="K509" s="98">
        <v>208</v>
      </c>
      <c r="L509" s="133" t="s">
        <v>743</v>
      </c>
      <c r="M509" s="87" t="s">
        <v>913</v>
      </c>
      <c r="N509" s="87">
        <v>17</v>
      </c>
      <c r="O509" s="119" t="s">
        <v>914</v>
      </c>
      <c r="P509" s="119">
        <v>21</v>
      </c>
      <c r="Q509" s="2"/>
      <c r="R509" s="87"/>
      <c r="S509" s="26">
        <v>2054</v>
      </c>
      <c r="T509" s="26" t="s">
        <v>1332</v>
      </c>
      <c r="U509" s="26">
        <v>2057</v>
      </c>
      <c r="V509" s="26" t="s">
        <v>1328</v>
      </c>
      <c r="W509" s="62">
        <v>44816</v>
      </c>
      <c r="X509" s="62">
        <v>45086</v>
      </c>
      <c r="Y509" s="62"/>
      <c r="Z509" s="62"/>
      <c r="AA509" s="22" t="s">
        <v>1106</v>
      </c>
      <c r="AB509" s="23"/>
      <c r="AC509" s="23"/>
      <c r="AD509" s="23"/>
      <c r="AE509" s="23" t="s">
        <v>731</v>
      </c>
      <c r="AF509" s="23" t="s">
        <v>731</v>
      </c>
      <c r="AG509" s="23" t="s">
        <v>731</v>
      </c>
      <c r="AH509" s="23" t="s">
        <v>731</v>
      </c>
      <c r="AI509" s="23" t="s">
        <v>731</v>
      </c>
      <c r="AJ509" s="23" t="s">
        <v>731</v>
      </c>
      <c r="AK509" s="23" t="s">
        <v>731</v>
      </c>
      <c r="AL509" s="23"/>
      <c r="AM509" s="23"/>
      <c r="AN509" s="23"/>
      <c r="AO509" s="23"/>
      <c r="AP509" s="23"/>
      <c r="AQ509" s="23"/>
      <c r="AR509" s="23"/>
      <c r="AS509" s="23"/>
      <c r="AT509" s="23"/>
      <c r="AU509" s="23"/>
      <c r="AV509" s="42">
        <f>12.77+6.3</f>
        <v>19.07</v>
      </c>
      <c r="AW509" s="41"/>
      <c r="AX509" s="18"/>
      <c r="AY509" s="42"/>
      <c r="AZ509" s="42"/>
      <c r="BA509" s="18"/>
      <c r="BB509" s="45">
        <v>1</v>
      </c>
      <c r="BC509" s="41">
        <f>IF(AND((AV509/I509)&lt;2,BB509=1),(I509*2)-AV509,0)</f>
        <v>0</v>
      </c>
      <c r="BD509" s="41">
        <f>IF(AND((AV509/I509)&lt;3,BB509=2),(I509*3)-AV509,0)</f>
        <v>0</v>
      </c>
      <c r="BH509" s="18">
        <v>17</v>
      </c>
      <c r="BI509" s="18">
        <v>25</v>
      </c>
      <c r="BJ509" s="18">
        <v>25</v>
      </c>
      <c r="BK509" s="18">
        <v>18</v>
      </c>
      <c r="BL509" s="18">
        <v>20</v>
      </c>
      <c r="BM509" s="55">
        <f>SUM(AV509:AX509)+SUM(BC509:BD509)+SUM(BE509:BF509)+BG509</f>
        <v>19.07</v>
      </c>
      <c r="BN509" s="55"/>
      <c r="BO509" s="55"/>
      <c r="BP509" s="55"/>
      <c r="BQ509" s="55"/>
      <c r="BR509" s="55"/>
      <c r="BS509" s="55"/>
      <c r="BT509" s="55"/>
      <c r="BU509" s="55"/>
      <c r="BV509" s="55"/>
      <c r="BW509" s="55"/>
      <c r="BX509" s="55"/>
      <c r="BY509" s="55"/>
    </row>
    <row r="510" spans="1:78" s="47" customFormat="1" ht="25.5">
      <c r="A510" s="2"/>
      <c r="B510" s="89">
        <v>498</v>
      </c>
      <c r="C510" s="132">
        <v>224</v>
      </c>
      <c r="D510" s="97">
        <v>149</v>
      </c>
      <c r="E510" s="94">
        <v>0.27430555555555552</v>
      </c>
      <c r="F510" s="94">
        <v>0.28402777777777777</v>
      </c>
      <c r="G510" s="93" t="s">
        <v>468</v>
      </c>
      <c r="H510" s="93" t="s">
        <v>97</v>
      </c>
      <c r="I510" s="96">
        <v>10</v>
      </c>
      <c r="J510" s="97" t="s">
        <v>146</v>
      </c>
      <c r="K510" s="98">
        <v>208</v>
      </c>
      <c r="L510" s="133" t="s">
        <v>743</v>
      </c>
      <c r="M510" s="87" t="s">
        <v>915</v>
      </c>
      <c r="N510" s="87">
        <v>9</v>
      </c>
      <c r="O510" s="119" t="s">
        <v>1888</v>
      </c>
      <c r="P510" s="119">
        <v>7</v>
      </c>
      <c r="Q510" s="2"/>
      <c r="R510" s="87"/>
      <c r="S510" s="26">
        <v>2670</v>
      </c>
      <c r="T510" s="26" t="s">
        <v>1458</v>
      </c>
      <c r="U510" s="26">
        <v>2049</v>
      </c>
      <c r="V510" s="26" t="s">
        <v>1459</v>
      </c>
      <c r="W510" s="62">
        <v>44816</v>
      </c>
      <c r="X510" s="62">
        <v>45086</v>
      </c>
      <c r="Y510" s="62"/>
      <c r="Z510" s="62"/>
      <c r="AA510" s="22" t="s">
        <v>1106</v>
      </c>
      <c r="AB510" s="23"/>
      <c r="AC510" s="23"/>
      <c r="AD510" s="23"/>
      <c r="AE510" s="23" t="s">
        <v>731</v>
      </c>
      <c r="AF510" s="23" t="s">
        <v>731</v>
      </c>
      <c r="AG510" s="23" t="s">
        <v>731</v>
      </c>
      <c r="AH510" s="23" t="s">
        <v>731</v>
      </c>
      <c r="AI510" s="23" t="s">
        <v>731</v>
      </c>
      <c r="AJ510" s="23" t="s">
        <v>731</v>
      </c>
      <c r="AK510" s="23" t="s">
        <v>731</v>
      </c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42">
        <v>30</v>
      </c>
      <c r="AW510" s="41"/>
      <c r="AX510" s="18"/>
      <c r="AY510" s="42"/>
      <c r="AZ510" s="42"/>
      <c r="BA510" s="18"/>
      <c r="BB510" s="45">
        <v>1</v>
      </c>
      <c r="BC510" s="41">
        <f>IF(AND((AV510/I510)&lt;2,BB510=1),(I510*2)-AV510,0)</f>
        <v>0</v>
      </c>
      <c r="BD510" s="41">
        <f>IF(AND((AV510/I510)&lt;3,BB510=2),(I510*3)-AV510,0)</f>
        <v>0</v>
      </c>
      <c r="BG510" s="41">
        <f>IF((AV510+AW510+AX510)&lt;20,(20-(AV510+AW510+AX510)),0)</f>
        <v>0</v>
      </c>
      <c r="BH510" s="18">
        <v>17</v>
      </c>
      <c r="BI510" s="18">
        <v>25</v>
      </c>
      <c r="BJ510" s="18">
        <v>25</v>
      </c>
      <c r="BK510" s="18">
        <v>18</v>
      </c>
      <c r="BL510" s="18">
        <v>20</v>
      </c>
      <c r="BM510" s="55">
        <f>SUM(AV510:AX510)+SUM(BC510:BD510)+SUM(BE510:BF510)+BG510</f>
        <v>30</v>
      </c>
      <c r="BN510" s="55"/>
      <c r="BO510" s="55"/>
      <c r="BP510" s="55"/>
      <c r="BQ510" s="55"/>
      <c r="BR510" s="55"/>
      <c r="BS510" s="55"/>
      <c r="BT510" s="55"/>
      <c r="BU510" s="55"/>
      <c r="BV510" s="55"/>
      <c r="BW510" s="55"/>
      <c r="BX510" s="55"/>
      <c r="BY510" s="55"/>
    </row>
    <row r="511" spans="1:78" s="47" customFormat="1" ht="25.5">
      <c r="A511" s="83"/>
      <c r="B511" s="89">
        <v>499</v>
      </c>
      <c r="C511" s="93">
        <v>231</v>
      </c>
      <c r="D511" s="93">
        <v>62</v>
      </c>
      <c r="E511" s="105">
        <v>0.27916666666666667</v>
      </c>
      <c r="F511" s="105">
        <v>0.32291666666666669</v>
      </c>
      <c r="G511" s="93" t="s">
        <v>275</v>
      </c>
      <c r="H511" s="93" t="s">
        <v>274</v>
      </c>
      <c r="I511" s="96">
        <v>33</v>
      </c>
      <c r="J511" s="97" t="s">
        <v>101</v>
      </c>
      <c r="K511" s="98">
        <v>287</v>
      </c>
      <c r="L511" s="99" t="s">
        <v>741</v>
      </c>
      <c r="M511" s="83" t="s">
        <v>970</v>
      </c>
      <c r="N511" s="83">
        <v>54</v>
      </c>
      <c r="O511" s="83" t="s">
        <v>797</v>
      </c>
      <c r="P511" s="83">
        <v>45</v>
      </c>
      <c r="Q511" s="83" t="s">
        <v>796</v>
      </c>
      <c r="R511" s="83">
        <v>37</v>
      </c>
      <c r="S511" s="26">
        <v>2290</v>
      </c>
      <c r="T511" s="26" t="s">
        <v>1457</v>
      </c>
      <c r="U511" s="26">
        <v>958</v>
      </c>
      <c r="V511" s="26" t="s">
        <v>1560</v>
      </c>
      <c r="W511" s="63">
        <v>44816</v>
      </c>
      <c r="X511" s="63">
        <v>45100</v>
      </c>
      <c r="Y511" s="63"/>
      <c r="Z511" s="63"/>
      <c r="AA511" s="22" t="s">
        <v>274</v>
      </c>
      <c r="AB511" s="23" t="s">
        <v>731</v>
      </c>
      <c r="AC511" s="23"/>
      <c r="AD511" s="23" t="s">
        <v>731</v>
      </c>
      <c r="AE511" s="23"/>
      <c r="AF511" s="23" t="s">
        <v>731</v>
      </c>
      <c r="AG511" s="23" t="s">
        <v>731</v>
      </c>
      <c r="AH511" s="23" t="s">
        <v>731</v>
      </c>
      <c r="AI511" s="23" t="s">
        <v>731</v>
      </c>
      <c r="AJ511" s="23" t="s">
        <v>731</v>
      </c>
      <c r="AK511" s="23" t="s">
        <v>731</v>
      </c>
      <c r="AL511" s="23" t="s">
        <v>731</v>
      </c>
      <c r="AM511" s="23"/>
      <c r="AN511" s="23"/>
      <c r="AO511" s="23"/>
      <c r="AP511" s="23"/>
      <c r="AQ511" s="23"/>
      <c r="AR511" s="23"/>
      <c r="AS511" s="23"/>
      <c r="AT511" s="23"/>
      <c r="AU511" s="23"/>
      <c r="AV511" s="42">
        <v>118.06</v>
      </c>
      <c r="AW511" s="41"/>
      <c r="AX511" s="18"/>
      <c r="AY511" s="42"/>
      <c r="AZ511" s="42"/>
      <c r="BA511" s="18"/>
      <c r="BB511" s="43">
        <v>2</v>
      </c>
      <c r="BC511" s="41">
        <f>IF(AND((AV511/I511)&lt;2,BB511=1),(I511*2)-AV511,0)</f>
        <v>0</v>
      </c>
      <c r="BD511" s="41">
        <f>IF(AND((AV511/I511)&lt;3,BB511=2),(I511*3)-AV511,0)</f>
        <v>0</v>
      </c>
      <c r="BG511" s="41">
        <f>IF((AV511+AW511+AX511)&lt;20,(20-(AV511+AW511+AX511)),0)</f>
        <v>0</v>
      </c>
      <c r="BH511" s="47">
        <v>19</v>
      </c>
      <c r="BI511" s="47">
        <v>31</v>
      </c>
      <c r="BJ511" s="47">
        <v>30</v>
      </c>
      <c r="BK511" s="47">
        <v>31</v>
      </c>
      <c r="BL511" s="47">
        <v>31</v>
      </c>
      <c r="BM511" s="55">
        <f>SUM(AV511:AX511)+SUM(BC511:BD511)+SUM(BE511:BF511)+BG511</f>
        <v>118.06</v>
      </c>
      <c r="BN511" s="55"/>
      <c r="BO511" s="55"/>
      <c r="BP511" s="55"/>
      <c r="BQ511" s="55"/>
      <c r="BR511" s="55"/>
      <c r="BS511" s="55"/>
      <c r="BT511" s="55"/>
      <c r="BU511" s="55"/>
      <c r="BV511" s="55"/>
      <c r="BW511" s="55"/>
      <c r="BX511" s="55"/>
      <c r="BY511" s="55"/>
    </row>
    <row r="512" spans="1:78" s="47" customFormat="1" ht="45">
      <c r="A512" s="2"/>
      <c r="B512" s="89">
        <v>500</v>
      </c>
      <c r="C512" s="93">
        <v>231</v>
      </c>
      <c r="D512" s="93">
        <v>63</v>
      </c>
      <c r="E512" s="94">
        <v>0.2986111111111111</v>
      </c>
      <c r="F512" s="94">
        <v>0.30208333333333331</v>
      </c>
      <c r="G512" s="93" t="s">
        <v>382</v>
      </c>
      <c r="H512" s="93" t="s">
        <v>103</v>
      </c>
      <c r="I512" s="96">
        <v>2</v>
      </c>
      <c r="J512" s="97" t="s">
        <v>116</v>
      </c>
      <c r="K512" s="98">
        <v>174</v>
      </c>
      <c r="L512" s="99" t="s">
        <v>753</v>
      </c>
      <c r="M512" s="87" t="s">
        <v>950</v>
      </c>
      <c r="N512" s="87">
        <v>17</v>
      </c>
      <c r="O512" s="87" t="s">
        <v>960</v>
      </c>
      <c r="P512" s="87">
        <v>17</v>
      </c>
      <c r="Q512" s="87"/>
      <c r="R512" s="87"/>
      <c r="S512" s="22">
        <v>2439</v>
      </c>
      <c r="T512" s="22" t="s">
        <v>1561</v>
      </c>
      <c r="U512" s="22">
        <v>2440</v>
      </c>
      <c r="V512" s="22" t="s">
        <v>1562</v>
      </c>
      <c r="W512" s="62">
        <v>44816</v>
      </c>
      <c r="X512" s="62">
        <v>45086</v>
      </c>
      <c r="Y512" s="62"/>
      <c r="Z512" s="62"/>
      <c r="AA512" s="22" t="s">
        <v>1102</v>
      </c>
      <c r="AB512" s="23"/>
      <c r="AC512" s="23"/>
      <c r="AD512" s="23"/>
      <c r="AE512" s="23" t="s">
        <v>731</v>
      </c>
      <c r="AF512" s="23" t="s">
        <v>731</v>
      </c>
      <c r="AG512" s="23" t="s">
        <v>731</v>
      </c>
      <c r="AH512" s="23" t="s">
        <v>731</v>
      </c>
      <c r="AI512" s="23" t="s">
        <v>731</v>
      </c>
      <c r="AJ512" s="23" t="s">
        <v>731</v>
      </c>
      <c r="AK512" s="23"/>
      <c r="AL512" s="23"/>
      <c r="AM512" s="23"/>
      <c r="AN512" s="23"/>
      <c r="AO512" s="23"/>
      <c r="AP512" s="23"/>
      <c r="AQ512" s="23"/>
      <c r="AR512" s="23"/>
      <c r="AS512" s="23"/>
      <c r="AT512" s="23"/>
      <c r="AU512" s="23"/>
      <c r="AV512" s="41">
        <v>10</v>
      </c>
      <c r="AW512" s="41"/>
      <c r="AX512" s="18"/>
      <c r="AY512" s="41"/>
      <c r="AZ512" s="41"/>
      <c r="BA512" s="18"/>
      <c r="BB512" s="45">
        <v>1</v>
      </c>
      <c r="BC512" s="41">
        <f>IF(AND((AV512/I512)&lt;2,BB512=1),(I512*2)-AV512,0)</f>
        <v>0</v>
      </c>
      <c r="BD512" s="41">
        <f>IF(AND((AV512/I512)&lt;3,BB512=2),(I512*3)-AV512,0)</f>
        <v>0</v>
      </c>
      <c r="BH512" s="18">
        <v>15</v>
      </c>
      <c r="BI512" s="18">
        <v>20</v>
      </c>
      <c r="BJ512" s="18">
        <v>21</v>
      </c>
      <c r="BK512" s="18">
        <v>15</v>
      </c>
      <c r="BL512" s="18">
        <v>17</v>
      </c>
      <c r="BM512" s="55">
        <f>SUM(AV512:AX512)+SUM(BC512:BD512)+SUM(BE512:BF512)+BG512</f>
        <v>10</v>
      </c>
      <c r="BN512" s="55"/>
      <c r="BO512" s="55"/>
      <c r="BP512" s="55"/>
      <c r="BQ512" s="55"/>
      <c r="BR512" s="55"/>
      <c r="BS512" s="55"/>
      <c r="BT512" s="55"/>
      <c r="BU512" s="55"/>
      <c r="BV512" s="55"/>
      <c r="BW512" s="55"/>
      <c r="BX512" s="55"/>
      <c r="BY512" s="55"/>
    </row>
    <row r="513" spans="1:78" s="47" customFormat="1" ht="25.5">
      <c r="A513" s="2" t="s">
        <v>800</v>
      </c>
      <c r="B513" s="89">
        <v>501</v>
      </c>
      <c r="C513" s="124">
        <v>231</v>
      </c>
      <c r="D513" s="129">
        <v>253</v>
      </c>
      <c r="E513" s="125">
        <v>0.32777777777777778</v>
      </c>
      <c r="F513" s="130">
        <v>0.37361111111111112</v>
      </c>
      <c r="G513" s="126" t="s">
        <v>580</v>
      </c>
      <c r="H513" s="93" t="s">
        <v>478</v>
      </c>
      <c r="I513" s="124">
        <v>33</v>
      </c>
      <c r="J513" s="127">
        <v>50</v>
      </c>
      <c r="K513" s="98">
        <v>240</v>
      </c>
      <c r="L513" s="99" t="s">
        <v>741</v>
      </c>
      <c r="M513" s="83" t="s">
        <v>970</v>
      </c>
      <c r="N513" s="83">
        <v>54</v>
      </c>
      <c r="O513" s="83" t="s">
        <v>797</v>
      </c>
      <c r="P513" s="83">
        <v>45</v>
      </c>
      <c r="Q513" s="83" t="s">
        <v>796</v>
      </c>
      <c r="R513" s="83">
        <v>37</v>
      </c>
      <c r="S513" s="26">
        <v>958</v>
      </c>
      <c r="T513" s="26" t="s">
        <v>1560</v>
      </c>
      <c r="U513" s="26">
        <v>2290</v>
      </c>
      <c r="V513" s="26" t="s">
        <v>1457</v>
      </c>
      <c r="W513" s="63">
        <v>44816</v>
      </c>
      <c r="X513" s="63">
        <v>45100</v>
      </c>
      <c r="Y513" s="63"/>
      <c r="Z513" s="63"/>
      <c r="AA513" s="26" t="s">
        <v>1112</v>
      </c>
      <c r="AB513" s="23" t="s">
        <v>731</v>
      </c>
      <c r="AC513" s="23"/>
      <c r="AD513" s="23" t="s">
        <v>731</v>
      </c>
      <c r="AE513" s="23"/>
      <c r="AF513" s="23" t="s">
        <v>731</v>
      </c>
      <c r="AG513" s="23" t="s">
        <v>731</v>
      </c>
      <c r="AH513" s="23" t="s">
        <v>731</v>
      </c>
      <c r="AI513" s="23" t="s">
        <v>731</v>
      </c>
      <c r="AJ513" s="23" t="s">
        <v>731</v>
      </c>
      <c r="AK513" s="23" t="s">
        <v>731</v>
      </c>
      <c r="AL513" s="23"/>
      <c r="AM513" s="23"/>
      <c r="AN513" s="23"/>
      <c r="AO513" s="23"/>
      <c r="AP513" s="23"/>
      <c r="AQ513" s="23"/>
      <c r="AR513" s="23"/>
      <c r="AS513" s="23"/>
      <c r="AT513" s="23"/>
      <c r="AU513" s="23"/>
      <c r="AV513" s="42"/>
      <c r="AW513" s="41"/>
      <c r="AX513" s="41">
        <f>3*I513</f>
        <v>99</v>
      </c>
      <c r="AY513" s="42"/>
      <c r="AZ513" s="42"/>
      <c r="BA513" s="18"/>
      <c r="BB513" s="43">
        <v>2</v>
      </c>
      <c r="BC513" s="45"/>
      <c r="BD513" s="50"/>
      <c r="BE513" s="45"/>
      <c r="BF513" s="45"/>
      <c r="BH513" s="18">
        <v>17</v>
      </c>
      <c r="BI513" s="18">
        <v>26</v>
      </c>
      <c r="BJ513" s="18">
        <v>25</v>
      </c>
      <c r="BK513" s="18">
        <v>25</v>
      </c>
      <c r="BL513" s="18">
        <v>25</v>
      </c>
      <c r="BM513" s="55">
        <f>SUM(AV513:AX513)+SUM(BC513:BD513)+SUM(BE513:BF513)+BG513</f>
        <v>99</v>
      </c>
      <c r="BN513" s="55"/>
      <c r="BO513" s="55"/>
      <c r="BP513" s="55"/>
      <c r="BQ513" s="55"/>
      <c r="BR513" s="55"/>
      <c r="BS513" s="55"/>
      <c r="BT513" s="55"/>
      <c r="BU513" s="55"/>
      <c r="BV513" s="55"/>
      <c r="BW513" s="55"/>
      <c r="BX513" s="55"/>
      <c r="BY513" s="55"/>
    </row>
    <row r="514" spans="1:78" s="47" customFormat="1" ht="25.5">
      <c r="A514" s="2" t="s">
        <v>799</v>
      </c>
      <c r="B514" s="89">
        <v>502</v>
      </c>
      <c r="C514" s="124">
        <v>231</v>
      </c>
      <c r="D514" s="124">
        <v>932</v>
      </c>
      <c r="E514" s="130">
        <v>0.4694444444444445</v>
      </c>
      <c r="F514" s="130">
        <v>0.5131944444444444</v>
      </c>
      <c r="G514" s="126" t="s">
        <v>579</v>
      </c>
      <c r="H514" s="93" t="s">
        <v>549</v>
      </c>
      <c r="I514" s="124">
        <v>33</v>
      </c>
      <c r="J514" s="127">
        <v>50</v>
      </c>
      <c r="K514" s="131">
        <v>13</v>
      </c>
      <c r="L514" s="118" t="s">
        <v>742</v>
      </c>
      <c r="M514" s="87" t="s">
        <v>1878</v>
      </c>
      <c r="N514" s="87">
        <v>56</v>
      </c>
      <c r="Q514" s="87"/>
      <c r="R514" s="83"/>
      <c r="S514" s="26">
        <v>2290</v>
      </c>
      <c r="T514" s="26" t="s">
        <v>1457</v>
      </c>
      <c r="U514" s="26">
        <v>958</v>
      </c>
      <c r="V514" s="26" t="s">
        <v>1560</v>
      </c>
      <c r="W514" s="63">
        <v>44562</v>
      </c>
      <c r="X514" s="63">
        <v>44815</v>
      </c>
      <c r="Y514" s="63">
        <v>45101</v>
      </c>
      <c r="Z514" s="63">
        <v>45169</v>
      </c>
      <c r="AA514" s="17" t="s">
        <v>1104</v>
      </c>
      <c r="AB514" s="23"/>
      <c r="AC514" s="23" t="s">
        <v>731</v>
      </c>
      <c r="AD514" s="23"/>
      <c r="AE514" s="23"/>
      <c r="AF514" s="23"/>
      <c r="AG514" s="23"/>
      <c r="AH514" s="23"/>
      <c r="AI514" s="23"/>
      <c r="AJ514" s="23"/>
      <c r="AK514" s="23"/>
      <c r="AL514" s="23" t="s">
        <v>731</v>
      </c>
      <c r="AM514" s="23"/>
      <c r="AN514" s="23"/>
      <c r="AO514" s="23"/>
      <c r="AP514" s="23"/>
      <c r="AQ514" s="23"/>
      <c r="AR514" s="23"/>
      <c r="AS514" s="23"/>
      <c r="AT514" s="23"/>
      <c r="AU514" s="23"/>
      <c r="AV514" s="42"/>
      <c r="AW514" s="41"/>
      <c r="AX514" s="18"/>
      <c r="AY514" s="48"/>
      <c r="AZ514" s="19" t="s">
        <v>1014</v>
      </c>
      <c r="BA514" s="18"/>
      <c r="BB514" s="43">
        <v>2</v>
      </c>
      <c r="BD514" s="41"/>
      <c r="BH514" s="18">
        <v>2</v>
      </c>
      <c r="BI514" s="18">
        <v>0</v>
      </c>
      <c r="BJ514" s="18">
        <v>0</v>
      </c>
      <c r="BK514" s="18">
        <v>0</v>
      </c>
      <c r="BL514" s="18">
        <v>0</v>
      </c>
      <c r="BM514" s="55">
        <f>SUM(AV514:AX514)+SUM(BC514:BD514)+SUM(BE514:BF514)+BG514</f>
        <v>0</v>
      </c>
      <c r="BN514" s="55"/>
      <c r="BO514" s="55"/>
      <c r="BP514" s="55"/>
      <c r="BQ514" s="55"/>
      <c r="BR514" s="55"/>
      <c r="BS514" s="55"/>
      <c r="BT514" s="55"/>
      <c r="BU514" s="55"/>
      <c r="BV514" s="55"/>
      <c r="BW514" s="55"/>
      <c r="BX514" s="55"/>
      <c r="BY514" s="55"/>
    </row>
    <row r="515" spans="1:78" s="47" customFormat="1" ht="25.5">
      <c r="A515" s="2" t="s">
        <v>799</v>
      </c>
      <c r="B515" s="89">
        <v>503</v>
      </c>
      <c r="C515" s="124">
        <v>231</v>
      </c>
      <c r="D515" s="124">
        <v>971</v>
      </c>
      <c r="E515" s="130">
        <v>0.57847222222222217</v>
      </c>
      <c r="F515" s="130">
        <v>0.62361111111111112</v>
      </c>
      <c r="G515" s="126" t="s">
        <v>580</v>
      </c>
      <c r="H515" s="93" t="s">
        <v>549</v>
      </c>
      <c r="I515" s="124">
        <v>33</v>
      </c>
      <c r="J515" s="127">
        <v>50</v>
      </c>
      <c r="K515" s="131">
        <v>13</v>
      </c>
      <c r="L515" s="118" t="s">
        <v>742</v>
      </c>
      <c r="M515" s="87" t="s">
        <v>1878</v>
      </c>
      <c r="N515" s="87">
        <v>56</v>
      </c>
      <c r="Q515" s="87"/>
      <c r="R515" s="83"/>
      <c r="S515" s="26">
        <v>958</v>
      </c>
      <c r="T515" s="26" t="s">
        <v>1560</v>
      </c>
      <c r="U515" s="26">
        <v>2290</v>
      </c>
      <c r="V515" s="26" t="s">
        <v>1457</v>
      </c>
      <c r="W515" s="63">
        <v>44562</v>
      </c>
      <c r="X515" s="63">
        <v>44815</v>
      </c>
      <c r="Y515" s="63">
        <v>45101</v>
      </c>
      <c r="Z515" s="63">
        <v>45169</v>
      </c>
      <c r="AA515" s="17" t="s">
        <v>1104</v>
      </c>
      <c r="AB515" s="23"/>
      <c r="AC515" s="23" t="s">
        <v>731</v>
      </c>
      <c r="AD515" s="23"/>
      <c r="AE515" s="23"/>
      <c r="AF515" s="23"/>
      <c r="AG515" s="23"/>
      <c r="AH515" s="23"/>
      <c r="AI515" s="23"/>
      <c r="AJ515" s="23"/>
      <c r="AK515" s="23"/>
      <c r="AL515" s="23" t="s">
        <v>731</v>
      </c>
      <c r="AM515" s="23"/>
      <c r="AN515" s="23"/>
      <c r="AO515" s="23"/>
      <c r="AP515" s="23"/>
      <c r="AQ515" s="23"/>
      <c r="AR515" s="23"/>
      <c r="AS515" s="23"/>
      <c r="AT515" s="23"/>
      <c r="AU515" s="23"/>
      <c r="AV515" s="42"/>
      <c r="AW515" s="41"/>
      <c r="AX515" s="18"/>
      <c r="AY515" s="48"/>
      <c r="AZ515" s="19" t="s">
        <v>1014</v>
      </c>
      <c r="BA515" s="18"/>
      <c r="BB515" s="43">
        <v>2</v>
      </c>
      <c r="BD515" s="41"/>
      <c r="BH515" s="18">
        <v>2</v>
      </c>
      <c r="BI515" s="18">
        <v>0</v>
      </c>
      <c r="BJ515" s="18">
        <v>0</v>
      </c>
      <c r="BK515" s="18">
        <v>0</v>
      </c>
      <c r="BL515" s="18">
        <v>0</v>
      </c>
      <c r="BM515" s="55">
        <f>SUM(AV515:AX515)+SUM(BC515:BD515)+SUM(BE515:BF515)+BG515</f>
        <v>0</v>
      </c>
      <c r="BN515" s="55"/>
      <c r="BO515" s="55"/>
      <c r="BP515" s="55"/>
      <c r="BQ515" s="55"/>
      <c r="BR515" s="55"/>
      <c r="BS515" s="55"/>
      <c r="BT515" s="55"/>
      <c r="BU515" s="55"/>
      <c r="BV515" s="55"/>
      <c r="BW515" s="55"/>
      <c r="BX515" s="55"/>
      <c r="BY515" s="55"/>
    </row>
    <row r="516" spans="1:78" s="47" customFormat="1" ht="25.5">
      <c r="A516" s="2" t="s">
        <v>800</v>
      </c>
      <c r="B516" s="89">
        <v>504</v>
      </c>
      <c r="C516" s="124">
        <v>231</v>
      </c>
      <c r="D516" s="129">
        <v>978</v>
      </c>
      <c r="E516" s="130">
        <v>0.67013888888888884</v>
      </c>
      <c r="F516" s="130">
        <v>0.71388888888888891</v>
      </c>
      <c r="G516" s="126" t="s">
        <v>579</v>
      </c>
      <c r="H516" s="93" t="s">
        <v>203</v>
      </c>
      <c r="I516" s="124">
        <v>33</v>
      </c>
      <c r="J516" s="127">
        <v>50</v>
      </c>
      <c r="K516" s="98">
        <v>202</v>
      </c>
      <c r="L516" s="99" t="s">
        <v>741</v>
      </c>
      <c r="M516" s="83" t="s">
        <v>970</v>
      </c>
      <c r="N516" s="83">
        <v>54</v>
      </c>
      <c r="O516" s="83" t="s">
        <v>796</v>
      </c>
      <c r="P516" s="83">
        <v>37</v>
      </c>
      <c r="Q516" s="83" t="s">
        <v>1250</v>
      </c>
      <c r="R516" s="83">
        <v>45</v>
      </c>
      <c r="S516" s="26">
        <v>2290</v>
      </c>
      <c r="T516" s="26" t="s">
        <v>1457</v>
      </c>
      <c r="U516" s="26">
        <v>958</v>
      </c>
      <c r="V516" s="26" t="s">
        <v>1560</v>
      </c>
      <c r="W516" s="63">
        <v>44816</v>
      </c>
      <c r="X516" s="63">
        <v>45100</v>
      </c>
      <c r="Y516" s="63"/>
      <c r="Z516" s="63"/>
      <c r="AA516" s="22" t="s">
        <v>1108</v>
      </c>
      <c r="AB516" s="23" t="s">
        <v>731</v>
      </c>
      <c r="AC516" s="23"/>
      <c r="AD516" s="23" t="s">
        <v>731</v>
      </c>
      <c r="AE516" s="23"/>
      <c r="AF516" s="23" t="s">
        <v>731</v>
      </c>
      <c r="AG516" s="23" t="s">
        <v>731</v>
      </c>
      <c r="AH516" s="23" t="s">
        <v>731</v>
      </c>
      <c r="AI516" s="23" t="s">
        <v>731</v>
      </c>
      <c r="AJ516" s="23" t="s">
        <v>731</v>
      </c>
      <c r="AK516" s="23"/>
      <c r="AL516" s="23"/>
      <c r="AM516" s="23"/>
      <c r="AN516" s="23"/>
      <c r="AO516" s="23"/>
      <c r="AP516" s="23"/>
      <c r="AQ516" s="23"/>
      <c r="AR516" s="23"/>
      <c r="AS516" s="23"/>
      <c r="AT516" s="23"/>
      <c r="AU516" s="23"/>
      <c r="AV516" s="42"/>
      <c r="AW516" s="41"/>
      <c r="AX516" s="41">
        <f>3*I516</f>
        <v>99</v>
      </c>
      <c r="AY516" s="42"/>
      <c r="AZ516" s="42"/>
      <c r="BA516" s="18"/>
      <c r="BB516" s="43">
        <v>2</v>
      </c>
      <c r="BC516" s="45"/>
      <c r="BD516" s="50"/>
      <c r="BE516" s="45"/>
      <c r="BF516" s="45"/>
      <c r="BH516" s="18">
        <v>15</v>
      </c>
      <c r="BI516" s="18">
        <v>21</v>
      </c>
      <c r="BJ516" s="18">
        <v>21</v>
      </c>
      <c r="BK516" s="18">
        <v>20</v>
      </c>
      <c r="BL516" s="18">
        <v>21</v>
      </c>
      <c r="BM516" s="55">
        <f>SUM(AV516:AX516)+SUM(BC516:BD516)+SUM(BE516:BF516)+BG516</f>
        <v>99</v>
      </c>
      <c r="BN516" s="55"/>
      <c r="BO516" s="55"/>
      <c r="BP516" s="55"/>
      <c r="BQ516" s="55"/>
      <c r="BR516" s="55"/>
      <c r="BS516" s="55"/>
      <c r="BT516" s="55"/>
      <c r="BU516" s="55"/>
      <c r="BV516" s="55"/>
      <c r="BW516" s="55"/>
      <c r="BX516" s="55"/>
      <c r="BY516" s="55"/>
    </row>
    <row r="517" spans="1:78" s="47" customFormat="1" ht="25.5">
      <c r="A517" s="83" t="s">
        <v>800</v>
      </c>
      <c r="B517" s="89">
        <v>505</v>
      </c>
      <c r="C517" s="124">
        <v>231</v>
      </c>
      <c r="D517" s="124">
        <v>938</v>
      </c>
      <c r="E517" s="130">
        <v>0.7909722222222223</v>
      </c>
      <c r="F517" s="130">
        <v>0.8354166666666667</v>
      </c>
      <c r="G517" s="126" t="s">
        <v>579</v>
      </c>
      <c r="H517" s="93" t="s">
        <v>478</v>
      </c>
      <c r="I517" s="124">
        <v>33</v>
      </c>
      <c r="J517" s="127">
        <v>50</v>
      </c>
      <c r="K517" s="98">
        <v>240</v>
      </c>
      <c r="L517" s="99" t="s">
        <v>741</v>
      </c>
      <c r="M517" s="83" t="s">
        <v>970</v>
      </c>
      <c r="N517" s="83">
        <v>54</v>
      </c>
      <c r="O517" s="83" t="s">
        <v>796</v>
      </c>
      <c r="P517" s="83">
        <v>37</v>
      </c>
      <c r="Q517" s="83" t="s">
        <v>797</v>
      </c>
      <c r="R517" s="83">
        <v>45</v>
      </c>
      <c r="S517" s="26">
        <v>2290</v>
      </c>
      <c r="T517" s="26" t="s">
        <v>1563</v>
      </c>
      <c r="U517" s="26">
        <v>958</v>
      </c>
      <c r="V517" s="26" t="s">
        <v>1564</v>
      </c>
      <c r="W517" s="63">
        <v>44816</v>
      </c>
      <c r="X517" s="63">
        <v>45100</v>
      </c>
      <c r="Y517" s="63"/>
      <c r="Z517" s="63"/>
      <c r="AA517" s="22" t="s">
        <v>1112</v>
      </c>
      <c r="AB517" s="22" t="s">
        <v>731</v>
      </c>
      <c r="AC517" s="22"/>
      <c r="AD517" s="22" t="s">
        <v>731</v>
      </c>
      <c r="AE517" s="22"/>
      <c r="AF517" s="22" t="s">
        <v>731</v>
      </c>
      <c r="AG517" s="22" t="s">
        <v>731</v>
      </c>
      <c r="AH517" s="22" t="s">
        <v>731</v>
      </c>
      <c r="AI517" s="22" t="s">
        <v>731</v>
      </c>
      <c r="AJ517" s="22" t="s">
        <v>731</v>
      </c>
      <c r="AK517" s="22" t="s">
        <v>731</v>
      </c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42"/>
      <c r="AW517" s="41"/>
      <c r="AX517" s="41">
        <f>3*I517</f>
        <v>99</v>
      </c>
      <c r="AY517" s="42"/>
      <c r="AZ517" s="42"/>
      <c r="BA517" s="18"/>
      <c r="BB517" s="43">
        <v>2</v>
      </c>
      <c r="BC517" s="45"/>
      <c r="BD517" s="50"/>
      <c r="BE517" s="45"/>
      <c r="BF517" s="45"/>
      <c r="BH517" s="18">
        <v>17</v>
      </c>
      <c r="BI517" s="18">
        <v>26</v>
      </c>
      <c r="BJ517" s="18">
        <v>25</v>
      </c>
      <c r="BK517" s="18">
        <v>25</v>
      </c>
      <c r="BL517" s="18">
        <v>25</v>
      </c>
      <c r="BM517" s="55">
        <f>SUM(AV517:AX517)+SUM(BC517:BD517)+SUM(BE517:BF517)+BG517</f>
        <v>99</v>
      </c>
      <c r="BN517" s="55"/>
      <c r="BO517" s="55"/>
      <c r="BP517" s="55"/>
      <c r="BQ517" s="55"/>
      <c r="BR517" s="55"/>
      <c r="BS517" s="55"/>
      <c r="BT517" s="55"/>
      <c r="BU517" s="55"/>
      <c r="BV517" s="55"/>
      <c r="BW517" s="55"/>
      <c r="BX517" s="55"/>
      <c r="BY517" s="55"/>
    </row>
    <row r="518" spans="1:78" s="47" customFormat="1" ht="25.5">
      <c r="A518" s="2" t="s">
        <v>800</v>
      </c>
      <c r="B518" s="89">
        <v>506</v>
      </c>
      <c r="C518" s="124">
        <v>231</v>
      </c>
      <c r="D518" s="129">
        <v>261</v>
      </c>
      <c r="E518" s="125">
        <v>0.74444444444444446</v>
      </c>
      <c r="F518" s="130">
        <v>0.78888888888888886</v>
      </c>
      <c r="G518" s="126" t="s">
        <v>580</v>
      </c>
      <c r="H518" s="93" t="s">
        <v>203</v>
      </c>
      <c r="I518" s="124">
        <v>33</v>
      </c>
      <c r="J518" s="127">
        <v>50</v>
      </c>
      <c r="K518" s="98">
        <v>202</v>
      </c>
      <c r="L518" s="99" t="s">
        <v>741</v>
      </c>
      <c r="M518" s="83" t="s">
        <v>970</v>
      </c>
      <c r="N518" s="83">
        <v>54</v>
      </c>
      <c r="O518" s="83" t="s">
        <v>796</v>
      </c>
      <c r="P518" s="83">
        <v>37</v>
      </c>
      <c r="Q518" s="83" t="s">
        <v>1250</v>
      </c>
      <c r="R518" s="83">
        <v>45</v>
      </c>
      <c r="S518" s="26">
        <v>958</v>
      </c>
      <c r="T518" s="26" t="s">
        <v>1560</v>
      </c>
      <c r="U518" s="26">
        <v>2290</v>
      </c>
      <c r="V518" s="26" t="s">
        <v>1457</v>
      </c>
      <c r="W518" s="63">
        <v>44816</v>
      </c>
      <c r="X518" s="63">
        <v>45100</v>
      </c>
      <c r="Y518" s="63"/>
      <c r="Z518" s="63"/>
      <c r="AA518" s="22" t="s">
        <v>1108</v>
      </c>
      <c r="AB518" s="23" t="s">
        <v>731</v>
      </c>
      <c r="AC518" s="23"/>
      <c r="AD518" s="23" t="s">
        <v>731</v>
      </c>
      <c r="AE518" s="23"/>
      <c r="AF518" s="23" t="s">
        <v>731</v>
      </c>
      <c r="AG518" s="23" t="s">
        <v>731</v>
      </c>
      <c r="AH518" s="23" t="s">
        <v>731</v>
      </c>
      <c r="AI518" s="23" t="s">
        <v>731</v>
      </c>
      <c r="AJ518" s="23" t="s">
        <v>731</v>
      </c>
      <c r="AK518" s="23"/>
      <c r="AL518" s="23"/>
      <c r="AM518" s="23"/>
      <c r="AN518" s="23"/>
      <c r="AO518" s="23"/>
      <c r="AP518" s="23"/>
      <c r="AQ518" s="23"/>
      <c r="AR518" s="23"/>
      <c r="AS518" s="23"/>
      <c r="AT518" s="23"/>
      <c r="AU518" s="23"/>
      <c r="AV518" s="42"/>
      <c r="AW518" s="41"/>
      <c r="AX518" s="41">
        <f>3*I518</f>
        <v>99</v>
      </c>
      <c r="AY518" s="42"/>
      <c r="AZ518" s="42"/>
      <c r="BA518" s="18"/>
      <c r="BB518" s="43">
        <v>2</v>
      </c>
      <c r="BC518" s="45"/>
      <c r="BD518" s="50"/>
      <c r="BE518" s="45"/>
      <c r="BF518" s="45"/>
      <c r="BH518" s="18">
        <v>15</v>
      </c>
      <c r="BI518" s="18">
        <v>21</v>
      </c>
      <c r="BJ518" s="18">
        <v>21</v>
      </c>
      <c r="BK518" s="18">
        <v>20</v>
      </c>
      <c r="BL518" s="18">
        <v>21</v>
      </c>
      <c r="BM518" s="55">
        <f>SUM(AV518:AX518)+SUM(BC518:BD518)+SUM(BE518:BF518)+BG518</f>
        <v>99</v>
      </c>
      <c r="BN518" s="55"/>
      <c r="BO518" s="55"/>
      <c r="BP518" s="55"/>
      <c r="BQ518" s="55"/>
      <c r="BR518" s="55"/>
      <c r="BS518" s="55"/>
      <c r="BT518" s="55"/>
      <c r="BU518" s="55"/>
      <c r="BV518" s="55"/>
      <c r="BW518" s="55"/>
      <c r="BX518" s="55"/>
      <c r="BY518" s="55"/>
    </row>
    <row r="519" spans="1:78" s="47" customFormat="1" ht="22.5">
      <c r="A519" s="110" t="s">
        <v>1166</v>
      </c>
      <c r="B519" s="89">
        <v>507</v>
      </c>
      <c r="C519" s="124">
        <v>231</v>
      </c>
      <c r="D519" s="129">
        <v>293</v>
      </c>
      <c r="E519" s="125">
        <v>0.82777777777777783</v>
      </c>
      <c r="F519" s="130">
        <v>0.87222222222222223</v>
      </c>
      <c r="G519" s="126" t="s">
        <v>580</v>
      </c>
      <c r="H519" s="138" t="s">
        <v>1066</v>
      </c>
      <c r="I519" s="124">
        <v>33</v>
      </c>
      <c r="J519" s="127">
        <v>50</v>
      </c>
      <c r="K519" s="111">
        <v>45</v>
      </c>
      <c r="L519" s="99" t="s">
        <v>741</v>
      </c>
      <c r="M519" s="87" t="s">
        <v>796</v>
      </c>
      <c r="N519" s="87">
        <v>37</v>
      </c>
      <c r="O519" s="87" t="s">
        <v>970</v>
      </c>
      <c r="P519" s="87">
        <v>54</v>
      </c>
      <c r="Q519" s="87" t="s">
        <v>797</v>
      </c>
      <c r="R519" s="83">
        <v>45</v>
      </c>
      <c r="S519" s="26">
        <v>958</v>
      </c>
      <c r="T519" s="26" t="s">
        <v>1560</v>
      </c>
      <c r="U519" s="26">
        <v>2290</v>
      </c>
      <c r="V519" s="26" t="s">
        <v>1457</v>
      </c>
      <c r="W519" s="63">
        <v>44816</v>
      </c>
      <c r="X519" s="63">
        <v>45100</v>
      </c>
      <c r="Y519" s="63"/>
      <c r="Z519" s="63"/>
      <c r="AA519" s="26" t="s">
        <v>1103</v>
      </c>
      <c r="AB519" s="23" t="s">
        <v>731</v>
      </c>
      <c r="AC519" s="23"/>
      <c r="AD519" s="23"/>
      <c r="AE519" s="23"/>
      <c r="AF519" s="23"/>
      <c r="AG519" s="23"/>
      <c r="AH519" s="23"/>
      <c r="AI519" s="23"/>
      <c r="AJ519" s="23"/>
      <c r="AK519" s="23"/>
      <c r="AL519" s="23" t="s">
        <v>731</v>
      </c>
      <c r="AM519" s="23"/>
      <c r="AN519" s="23"/>
      <c r="AO519" s="23"/>
      <c r="AP519" s="23"/>
      <c r="AQ519" s="23"/>
      <c r="AR519" s="23"/>
      <c r="AS519" s="23"/>
      <c r="AT519" s="23"/>
      <c r="AU519" s="23"/>
      <c r="AV519" s="42">
        <v>158.53</v>
      </c>
      <c r="AW519" s="41"/>
      <c r="AX519" s="18"/>
      <c r="AY519" s="42"/>
      <c r="AZ519" s="42"/>
      <c r="BA519" s="18"/>
      <c r="BB519" s="43">
        <v>2</v>
      </c>
      <c r="BC519" s="41">
        <f>IF(AND((AV519/I519)&lt;2,BB519=1),(I519*2)-AV519,0)</f>
        <v>0</v>
      </c>
      <c r="BD519" s="41">
        <f>IF(AND((AV519/I519)&lt;3,BB519=2),(I519*3)-AV519,0)</f>
        <v>0</v>
      </c>
      <c r="BH519" s="18">
        <v>2</v>
      </c>
      <c r="BI519" s="18">
        <v>5</v>
      </c>
      <c r="BJ519" s="18">
        <v>5</v>
      </c>
      <c r="BK519" s="18">
        <v>6</v>
      </c>
      <c r="BL519" s="18">
        <v>6</v>
      </c>
      <c r="BM519" s="55">
        <f>SUM(AV519:AX519)+SUM(BC519:BD519)+SUM(BE519:BF519)+BG519</f>
        <v>158.53</v>
      </c>
      <c r="BN519" s="55"/>
      <c r="BO519" s="55"/>
      <c r="BP519" s="55"/>
      <c r="BQ519" s="55"/>
      <c r="BR519" s="55"/>
      <c r="BS519" s="55"/>
      <c r="BT519" s="55"/>
      <c r="BU519" s="55"/>
      <c r="BV519" s="55"/>
      <c r="BW519" s="55"/>
      <c r="BX519" s="55"/>
      <c r="BY519" s="55"/>
    </row>
    <row r="520" spans="1:78" s="47" customFormat="1" ht="25.5">
      <c r="A520" s="2"/>
      <c r="B520" s="89">
        <v>508</v>
      </c>
      <c r="C520" s="106">
        <v>236</v>
      </c>
      <c r="D520" s="95">
        <v>471</v>
      </c>
      <c r="E520" s="94">
        <v>0.38541666666666669</v>
      </c>
      <c r="F520" s="94">
        <v>0.39374999999999999</v>
      </c>
      <c r="G520" s="93" t="s">
        <v>212</v>
      </c>
      <c r="H520" s="93" t="s">
        <v>155</v>
      </c>
      <c r="I520" s="96">
        <v>8.1999999999999993</v>
      </c>
      <c r="J520" s="97" t="s">
        <v>93</v>
      </c>
      <c r="K520" s="98">
        <v>252</v>
      </c>
      <c r="L520" s="109" t="s">
        <v>723</v>
      </c>
      <c r="M520" s="87" t="s">
        <v>933</v>
      </c>
      <c r="N520" s="87">
        <v>21</v>
      </c>
      <c r="O520" s="87" t="s">
        <v>934</v>
      </c>
      <c r="P520" s="87">
        <v>24</v>
      </c>
      <c r="Q520" s="87" t="s">
        <v>935</v>
      </c>
      <c r="R520" s="84">
        <v>23</v>
      </c>
      <c r="S520" s="26">
        <v>2021</v>
      </c>
      <c r="T520" s="26" t="s">
        <v>1486</v>
      </c>
      <c r="U520" s="26" t="s">
        <v>1565</v>
      </c>
      <c r="V520" s="26" t="s">
        <v>1566</v>
      </c>
      <c r="W520" s="62">
        <v>44805</v>
      </c>
      <c r="X520" s="62">
        <v>45169</v>
      </c>
      <c r="Y520" s="62"/>
      <c r="Z520" s="62"/>
      <c r="AA520" s="22" t="s">
        <v>1101</v>
      </c>
      <c r="AB520" s="23" t="s">
        <v>731</v>
      </c>
      <c r="AC520" s="23" t="s">
        <v>731</v>
      </c>
      <c r="AD520" s="23" t="s">
        <v>731</v>
      </c>
      <c r="AE520" s="23"/>
      <c r="AF520" s="23" t="s">
        <v>731</v>
      </c>
      <c r="AG520" s="23" t="s">
        <v>731</v>
      </c>
      <c r="AH520" s="23" t="s">
        <v>731</v>
      </c>
      <c r="AI520" s="23" t="s">
        <v>731</v>
      </c>
      <c r="AJ520" s="23" t="s">
        <v>731</v>
      </c>
      <c r="AK520" s="23"/>
      <c r="AL520" s="23"/>
      <c r="AM520" s="23"/>
      <c r="AN520" s="23"/>
      <c r="AO520" s="23"/>
      <c r="AP520" s="23"/>
      <c r="AQ520" s="23"/>
      <c r="AR520" s="23"/>
      <c r="AS520" s="23"/>
      <c r="AT520" s="23"/>
      <c r="AU520" s="23"/>
      <c r="AV520" s="42">
        <v>11.87</v>
      </c>
      <c r="AW520" s="41"/>
      <c r="AX520" s="18"/>
      <c r="AY520" s="42"/>
      <c r="AZ520" s="42"/>
      <c r="BA520" s="18"/>
      <c r="BB520" s="45">
        <v>1</v>
      </c>
      <c r="BC520" s="41">
        <f>IF(AND((AV520/I520)&lt;2,BB520=1),(I520*2)-AV520,0)</f>
        <v>4.5299999999999994</v>
      </c>
      <c r="BD520" s="41">
        <f>IF(AND((AV520/I520)&lt;3,BB520=2),(I520*3)-AV520,0)</f>
        <v>0</v>
      </c>
      <c r="BH520" s="18">
        <v>22</v>
      </c>
      <c r="BI520" s="18">
        <v>21</v>
      </c>
      <c r="BJ520" s="18">
        <v>21</v>
      </c>
      <c r="BK520" s="18">
        <v>20</v>
      </c>
      <c r="BL520" s="18">
        <v>21</v>
      </c>
      <c r="BM520" s="55">
        <f>SUM(AV520:AX520)+SUM(BC520:BD520)+SUM(BE520:BF520)+BG520</f>
        <v>16.399999999999999</v>
      </c>
      <c r="BN520" s="55"/>
      <c r="BO520" s="55"/>
      <c r="BP520" s="55"/>
      <c r="BQ520" s="55"/>
      <c r="BR520" s="55"/>
      <c r="BS520" s="55"/>
      <c r="BT520" s="55"/>
      <c r="BU520" s="55"/>
      <c r="BV520" s="55"/>
      <c r="BW520" s="55"/>
      <c r="BX520" s="55"/>
      <c r="BY520" s="55"/>
    </row>
    <row r="521" spans="1:78" s="47" customFormat="1" ht="25.5">
      <c r="A521" s="2"/>
      <c r="B521" s="89">
        <v>509</v>
      </c>
      <c r="C521" s="106">
        <v>236</v>
      </c>
      <c r="D521" s="95">
        <v>470</v>
      </c>
      <c r="E521" s="105">
        <v>0.40972222222222227</v>
      </c>
      <c r="F521" s="105">
        <v>0.42986111111111108</v>
      </c>
      <c r="G521" s="93" t="s">
        <v>211</v>
      </c>
      <c r="H521" s="93" t="s">
        <v>155</v>
      </c>
      <c r="I521" s="96">
        <v>16</v>
      </c>
      <c r="J521" s="97" t="s">
        <v>93</v>
      </c>
      <c r="K521" s="98">
        <v>252</v>
      </c>
      <c r="L521" s="109" t="s">
        <v>723</v>
      </c>
      <c r="M521" s="87" t="s">
        <v>933</v>
      </c>
      <c r="N521" s="87">
        <v>21</v>
      </c>
      <c r="O521" s="87" t="s">
        <v>934</v>
      </c>
      <c r="P521" s="87">
        <v>24</v>
      </c>
      <c r="Q521" s="2"/>
      <c r="R521" s="87"/>
      <c r="S521" s="26" t="s">
        <v>1565</v>
      </c>
      <c r="T521" s="26" t="s">
        <v>1567</v>
      </c>
      <c r="U521" s="26" t="s">
        <v>1336</v>
      </c>
      <c r="V521" s="26" t="s">
        <v>1337</v>
      </c>
      <c r="W521" s="62">
        <v>44805</v>
      </c>
      <c r="X521" s="62">
        <v>45169</v>
      </c>
      <c r="Y521" s="62"/>
      <c r="Z521" s="62"/>
      <c r="AA521" s="22" t="s">
        <v>1101</v>
      </c>
      <c r="AB521" s="23" t="s">
        <v>731</v>
      </c>
      <c r="AC521" s="23" t="s">
        <v>731</v>
      </c>
      <c r="AD521" s="23" t="s">
        <v>731</v>
      </c>
      <c r="AE521" s="23"/>
      <c r="AF521" s="23" t="s">
        <v>731</v>
      </c>
      <c r="AG521" s="23" t="s">
        <v>731</v>
      </c>
      <c r="AH521" s="23" t="s">
        <v>731</v>
      </c>
      <c r="AI521" s="23" t="s">
        <v>731</v>
      </c>
      <c r="AJ521" s="23" t="s">
        <v>731</v>
      </c>
      <c r="AK521" s="23"/>
      <c r="AL521" s="23"/>
      <c r="AM521" s="23"/>
      <c r="AN521" s="23"/>
      <c r="AO521" s="23"/>
      <c r="AP521" s="23"/>
      <c r="AQ521" s="23"/>
      <c r="AR521" s="23"/>
      <c r="AS521" s="23"/>
      <c r="AT521" s="23"/>
      <c r="AU521" s="23"/>
      <c r="AV521" s="42">
        <v>24.27</v>
      </c>
      <c r="AW521" s="41"/>
      <c r="AX521" s="18"/>
      <c r="AY521" s="42"/>
      <c r="AZ521" s="42"/>
      <c r="BA521" s="18"/>
      <c r="BB521" s="45">
        <v>1</v>
      </c>
      <c r="BC521" s="41">
        <f>IF(AND((AV521/I521)&lt;2,BB521=1),(I521*2)-AV521,0)</f>
        <v>7.73</v>
      </c>
      <c r="BD521" s="41">
        <f>IF(AND((AV521/I521)&lt;3,BB521=2),(I521*3)-AV521,0)</f>
        <v>0</v>
      </c>
      <c r="BH521" s="18">
        <v>22</v>
      </c>
      <c r="BI521" s="18">
        <v>21</v>
      </c>
      <c r="BJ521" s="18">
        <v>21</v>
      </c>
      <c r="BK521" s="18">
        <v>20</v>
      </c>
      <c r="BL521" s="18">
        <v>21</v>
      </c>
      <c r="BM521" s="55">
        <f>SUM(AV521:AX521)+SUM(BC521:BD521)+SUM(BE521:BF521)+BG521</f>
        <v>32</v>
      </c>
      <c r="BN521" s="55"/>
      <c r="BO521" s="55"/>
      <c r="BP521" s="55"/>
      <c r="BQ521" s="55"/>
      <c r="BR521" s="55"/>
      <c r="BS521" s="55"/>
      <c r="BT521" s="55"/>
      <c r="BU521" s="55"/>
      <c r="BV521" s="55"/>
      <c r="BW521" s="55"/>
      <c r="BX521" s="55"/>
      <c r="BY521" s="55"/>
    </row>
    <row r="522" spans="1:78" s="47" customFormat="1" ht="25.5">
      <c r="A522" s="2"/>
      <c r="B522" s="89">
        <v>510</v>
      </c>
      <c r="C522" s="106">
        <v>236</v>
      </c>
      <c r="D522" s="95">
        <v>473</v>
      </c>
      <c r="E522" s="105">
        <v>0.43402777777777773</v>
      </c>
      <c r="F522" s="105">
        <v>0.45208333333333334</v>
      </c>
      <c r="G522" s="93" t="s">
        <v>209</v>
      </c>
      <c r="H522" s="93" t="s">
        <v>155</v>
      </c>
      <c r="I522" s="96">
        <v>16</v>
      </c>
      <c r="J522" s="97" t="s">
        <v>93</v>
      </c>
      <c r="K522" s="98">
        <v>252</v>
      </c>
      <c r="L522" s="109" t="s">
        <v>723</v>
      </c>
      <c r="M522" s="87" t="s">
        <v>933</v>
      </c>
      <c r="N522" s="87">
        <v>21</v>
      </c>
      <c r="O522" s="87" t="s">
        <v>932</v>
      </c>
      <c r="P522" s="87">
        <v>37</v>
      </c>
      <c r="Q522" s="87"/>
      <c r="R522" s="87"/>
      <c r="S522" s="26" t="s">
        <v>1336</v>
      </c>
      <c r="T522" s="26" t="s">
        <v>1337</v>
      </c>
      <c r="U522" s="26" t="s">
        <v>1565</v>
      </c>
      <c r="V522" s="26" t="s">
        <v>1566</v>
      </c>
      <c r="W522" s="62">
        <v>44805</v>
      </c>
      <c r="X522" s="62">
        <v>45169</v>
      </c>
      <c r="Y522" s="62"/>
      <c r="Z522" s="62"/>
      <c r="AA522" s="22" t="s">
        <v>1101</v>
      </c>
      <c r="AB522" s="23" t="s">
        <v>731</v>
      </c>
      <c r="AC522" s="23" t="s">
        <v>731</v>
      </c>
      <c r="AD522" s="23" t="s">
        <v>731</v>
      </c>
      <c r="AE522" s="23"/>
      <c r="AF522" s="23" t="s">
        <v>731</v>
      </c>
      <c r="AG522" s="23" t="s">
        <v>731</v>
      </c>
      <c r="AH522" s="23" t="s">
        <v>731</v>
      </c>
      <c r="AI522" s="23" t="s">
        <v>731</v>
      </c>
      <c r="AJ522" s="23" t="s">
        <v>731</v>
      </c>
      <c r="AK522" s="23"/>
      <c r="AL522" s="23"/>
      <c r="AM522" s="23"/>
      <c r="AN522" s="23"/>
      <c r="AO522" s="23"/>
      <c r="AP522" s="23"/>
      <c r="AQ522" s="23"/>
      <c r="AR522" s="23"/>
      <c r="AS522" s="23"/>
      <c r="AT522" s="23"/>
      <c r="AU522" s="23"/>
      <c r="AV522" s="42">
        <v>20.85</v>
      </c>
      <c r="AW522" s="41"/>
      <c r="AX522" s="18"/>
      <c r="AY522" s="42"/>
      <c r="AZ522" s="42"/>
      <c r="BA522" s="18"/>
      <c r="BB522" s="45">
        <v>1</v>
      </c>
      <c r="BC522" s="41">
        <f>IF(AND((AV522/I522)&lt;2,BB522=1),(I522*2)-AV522,0)</f>
        <v>11.149999999999999</v>
      </c>
      <c r="BD522" s="41">
        <f>IF(AND((AV522/I522)&lt;3,BB522=2),(I522*3)-AV522,0)</f>
        <v>0</v>
      </c>
      <c r="BH522" s="18">
        <v>22</v>
      </c>
      <c r="BI522" s="18">
        <v>21</v>
      </c>
      <c r="BJ522" s="18">
        <v>21</v>
      </c>
      <c r="BK522" s="18">
        <v>20</v>
      </c>
      <c r="BL522" s="18">
        <v>21</v>
      </c>
      <c r="BM522" s="55">
        <f>SUM(AV522:AX522)+SUM(BC522:BD522)+SUM(BE522:BF522)+BG522</f>
        <v>32</v>
      </c>
      <c r="BN522" s="55"/>
      <c r="BO522" s="55"/>
      <c r="BP522" s="55"/>
      <c r="BQ522" s="55"/>
      <c r="BR522" s="55"/>
      <c r="BS522" s="55"/>
      <c r="BT522" s="55"/>
      <c r="BU522" s="55"/>
      <c r="BV522" s="55"/>
      <c r="BW522" s="55"/>
      <c r="BX522" s="55"/>
      <c r="BY522" s="55"/>
    </row>
    <row r="523" spans="1:78" ht="25.5">
      <c r="B523" s="89">
        <v>511</v>
      </c>
      <c r="C523" s="106">
        <v>236</v>
      </c>
      <c r="D523" s="95">
        <v>472</v>
      </c>
      <c r="E523" s="105">
        <v>0.46597222222222223</v>
      </c>
      <c r="F523" s="105">
        <v>0.4861111111111111</v>
      </c>
      <c r="G523" s="93" t="s">
        <v>211</v>
      </c>
      <c r="H523" s="93" t="s">
        <v>155</v>
      </c>
      <c r="I523" s="96">
        <v>16</v>
      </c>
      <c r="J523" s="97" t="s">
        <v>93</v>
      </c>
      <c r="K523" s="98">
        <v>252</v>
      </c>
      <c r="L523" s="109" t="s">
        <v>723</v>
      </c>
      <c r="M523" s="87" t="s">
        <v>933</v>
      </c>
      <c r="N523" s="87">
        <v>21</v>
      </c>
      <c r="O523" s="87" t="s">
        <v>932</v>
      </c>
      <c r="P523" s="87">
        <v>37</v>
      </c>
      <c r="Q523" s="87" t="s">
        <v>1251</v>
      </c>
      <c r="R523" s="85">
        <v>23</v>
      </c>
      <c r="S523" s="26" t="s">
        <v>1565</v>
      </c>
      <c r="T523" s="26" t="s">
        <v>1567</v>
      </c>
      <c r="U523" s="26" t="s">
        <v>1336</v>
      </c>
      <c r="V523" s="26" t="s">
        <v>1337</v>
      </c>
      <c r="W523" s="62">
        <v>44805</v>
      </c>
      <c r="X523" s="62">
        <v>45169</v>
      </c>
      <c r="Y523" s="62"/>
      <c r="Z523" s="62"/>
      <c r="AA523" s="22" t="s">
        <v>1101</v>
      </c>
      <c r="AB523" s="23" t="s">
        <v>731</v>
      </c>
      <c r="AC523" s="23" t="s">
        <v>731</v>
      </c>
      <c r="AD523" s="23" t="s">
        <v>731</v>
      </c>
      <c r="AE523" s="23"/>
      <c r="AF523" s="23" t="s">
        <v>731</v>
      </c>
      <c r="AG523" s="23" t="s">
        <v>731</v>
      </c>
      <c r="AH523" s="23" t="s">
        <v>731</v>
      </c>
      <c r="AI523" s="23" t="s">
        <v>731</v>
      </c>
      <c r="AJ523" s="23" t="s">
        <v>731</v>
      </c>
      <c r="AK523" s="23"/>
      <c r="AL523" s="23"/>
      <c r="AM523" s="23"/>
      <c r="AN523" s="23"/>
      <c r="AO523" s="23"/>
      <c r="AP523" s="23"/>
      <c r="AQ523" s="23"/>
      <c r="AR523" s="23"/>
      <c r="AS523" s="23"/>
      <c r="AT523" s="23"/>
      <c r="AU523" s="23"/>
      <c r="AV523" s="42">
        <v>24.27</v>
      </c>
      <c r="AY523" s="42"/>
      <c r="AZ523" s="42"/>
      <c r="BB523" s="45">
        <v>1</v>
      </c>
      <c r="BC523" s="41">
        <f>IF(AND((AV523/I523)&lt;2,BB523=1),(I523*2)-AV523,0)</f>
        <v>7.73</v>
      </c>
      <c r="BD523" s="41">
        <f>IF(AND((AV523/I523)&lt;3,BB523=2),(I523*3)-AV523,0)</f>
        <v>0</v>
      </c>
      <c r="BE523" s="47"/>
      <c r="BF523" s="47"/>
      <c r="BG523" s="47"/>
      <c r="BH523" s="18">
        <v>22</v>
      </c>
      <c r="BI523" s="18">
        <v>21</v>
      </c>
      <c r="BJ523" s="18">
        <v>21</v>
      </c>
      <c r="BK523" s="18">
        <v>20</v>
      </c>
      <c r="BL523" s="18">
        <v>21</v>
      </c>
      <c r="BM523" s="55">
        <f>SUM(AV523:AX523)+SUM(BC523:BD523)+SUM(BE523:BF523)+BG523</f>
        <v>32</v>
      </c>
      <c r="BN523" s="55"/>
      <c r="BO523" s="55"/>
      <c r="BP523" s="55"/>
      <c r="BQ523" s="55"/>
      <c r="BR523" s="55"/>
      <c r="BS523" s="55"/>
      <c r="BT523" s="55"/>
      <c r="BU523" s="55"/>
      <c r="BV523" s="55"/>
      <c r="BW523" s="55"/>
      <c r="BX523" s="55"/>
      <c r="BY523" s="55"/>
      <c r="BZ523" s="47"/>
    </row>
    <row r="524" spans="1:78" ht="25.5">
      <c r="B524" s="89">
        <v>512</v>
      </c>
      <c r="C524" s="106">
        <v>236</v>
      </c>
      <c r="D524" s="95">
        <v>475</v>
      </c>
      <c r="E524" s="105">
        <v>0.49027777777777781</v>
      </c>
      <c r="F524" s="105">
        <v>0.5083333333333333</v>
      </c>
      <c r="G524" s="93" t="s">
        <v>209</v>
      </c>
      <c r="H524" s="93" t="s">
        <v>155</v>
      </c>
      <c r="I524" s="96">
        <v>16</v>
      </c>
      <c r="J524" s="97" t="s">
        <v>93</v>
      </c>
      <c r="K524" s="98">
        <v>252</v>
      </c>
      <c r="L524" s="109" t="s">
        <v>723</v>
      </c>
      <c r="M524" s="87" t="s">
        <v>933</v>
      </c>
      <c r="N524" s="87">
        <v>21</v>
      </c>
      <c r="O524" s="87" t="s">
        <v>935</v>
      </c>
      <c r="P524" s="87">
        <v>23</v>
      </c>
      <c r="Q524" s="87" t="s">
        <v>934</v>
      </c>
      <c r="R524" s="85">
        <v>24</v>
      </c>
      <c r="S524" s="26" t="s">
        <v>1336</v>
      </c>
      <c r="T524" s="26" t="s">
        <v>1337</v>
      </c>
      <c r="U524" s="26" t="s">
        <v>1565</v>
      </c>
      <c r="V524" s="26" t="s">
        <v>1566</v>
      </c>
      <c r="W524" s="62">
        <v>44805</v>
      </c>
      <c r="X524" s="62">
        <v>45169</v>
      </c>
      <c r="Y524" s="62"/>
      <c r="Z524" s="62"/>
      <c r="AA524" s="22" t="s">
        <v>1101</v>
      </c>
      <c r="AB524" s="23" t="s">
        <v>731</v>
      </c>
      <c r="AC524" s="23" t="s">
        <v>731</v>
      </c>
      <c r="AD524" s="23" t="s">
        <v>731</v>
      </c>
      <c r="AE524" s="23"/>
      <c r="AF524" s="23" t="s">
        <v>731</v>
      </c>
      <c r="AG524" s="23" t="s">
        <v>731</v>
      </c>
      <c r="AH524" s="23" t="s">
        <v>731</v>
      </c>
      <c r="AI524" s="23" t="s">
        <v>731</v>
      </c>
      <c r="AJ524" s="23" t="s">
        <v>731</v>
      </c>
      <c r="AK524" s="23"/>
      <c r="AL524" s="23"/>
      <c r="AM524" s="23"/>
      <c r="AN524" s="23"/>
      <c r="AO524" s="23"/>
      <c r="AP524" s="23"/>
      <c r="AQ524" s="23"/>
      <c r="AR524" s="23"/>
      <c r="AS524" s="23"/>
      <c r="AT524" s="23"/>
      <c r="AU524" s="23"/>
      <c r="AV524" s="42">
        <v>24.27</v>
      </c>
      <c r="AY524" s="42"/>
      <c r="AZ524" s="42"/>
      <c r="BB524" s="45">
        <v>1</v>
      </c>
      <c r="BC524" s="41">
        <f>IF(AND((AV524/I524)&lt;2,BB524=1),(I524*2)-AV524,0)</f>
        <v>7.73</v>
      </c>
      <c r="BD524" s="41">
        <f>IF(AND((AV524/I524)&lt;3,BB524=2),(I524*3)-AV524,0)</f>
        <v>0</v>
      </c>
      <c r="BG524" s="18"/>
      <c r="BH524" s="18">
        <v>22</v>
      </c>
      <c r="BI524" s="18">
        <v>21</v>
      </c>
      <c r="BJ524" s="18">
        <v>21</v>
      </c>
      <c r="BK524" s="18">
        <v>20</v>
      </c>
      <c r="BL524" s="18">
        <v>21</v>
      </c>
      <c r="BM524" s="55">
        <f>SUM(AV524:AX524)+SUM(BC524:BD524)+SUM(BE524:BF524)+BG524</f>
        <v>32</v>
      </c>
      <c r="BN524" s="55"/>
      <c r="BO524" s="55"/>
      <c r="BP524" s="55"/>
      <c r="BQ524" s="55"/>
      <c r="BR524" s="55"/>
      <c r="BS524" s="55"/>
      <c r="BT524" s="55"/>
      <c r="BU524" s="55"/>
      <c r="BV524" s="55"/>
      <c r="BW524" s="55"/>
      <c r="BX524" s="55"/>
      <c r="BY524" s="55"/>
    </row>
    <row r="525" spans="1:78" ht="25.5">
      <c r="B525" s="89">
        <v>513</v>
      </c>
      <c r="C525" s="106">
        <v>236</v>
      </c>
      <c r="D525" s="95">
        <v>477</v>
      </c>
      <c r="E525" s="105">
        <v>0.61527777777777781</v>
      </c>
      <c r="F525" s="105">
        <v>0.6333333333333333</v>
      </c>
      <c r="G525" s="93" t="s">
        <v>209</v>
      </c>
      <c r="H525" s="93" t="s">
        <v>155</v>
      </c>
      <c r="I525" s="96">
        <v>16</v>
      </c>
      <c r="J525" s="97" t="s">
        <v>93</v>
      </c>
      <c r="K525" s="98">
        <v>252</v>
      </c>
      <c r="L525" s="109" t="s">
        <v>723</v>
      </c>
      <c r="M525" s="87" t="s">
        <v>934</v>
      </c>
      <c r="N525" s="87">
        <v>24</v>
      </c>
      <c r="O525" s="87" t="s">
        <v>933</v>
      </c>
      <c r="P525" s="87">
        <v>21</v>
      </c>
      <c r="Q525" s="87" t="s">
        <v>935</v>
      </c>
      <c r="R525" s="84">
        <v>23</v>
      </c>
      <c r="S525" s="26" t="s">
        <v>1336</v>
      </c>
      <c r="T525" s="26" t="s">
        <v>1337</v>
      </c>
      <c r="U525" s="26" t="s">
        <v>1565</v>
      </c>
      <c r="V525" s="26" t="s">
        <v>1566</v>
      </c>
      <c r="W525" s="62">
        <v>44805</v>
      </c>
      <c r="X525" s="62">
        <v>45169</v>
      </c>
      <c r="Y525" s="62"/>
      <c r="Z525" s="62"/>
      <c r="AA525" s="22" t="s">
        <v>1101</v>
      </c>
      <c r="AB525" s="23" t="s">
        <v>731</v>
      </c>
      <c r="AC525" s="23" t="s">
        <v>731</v>
      </c>
      <c r="AD525" s="23" t="s">
        <v>731</v>
      </c>
      <c r="AE525" s="23"/>
      <c r="AF525" s="23" t="s">
        <v>731</v>
      </c>
      <c r="AG525" s="23" t="s">
        <v>731</v>
      </c>
      <c r="AH525" s="23" t="s">
        <v>731</v>
      </c>
      <c r="AI525" s="23" t="s">
        <v>731</v>
      </c>
      <c r="AJ525" s="23" t="s">
        <v>731</v>
      </c>
      <c r="AK525" s="23"/>
      <c r="AL525" s="23"/>
      <c r="AM525" s="23"/>
      <c r="AN525" s="23"/>
      <c r="AO525" s="23"/>
      <c r="AP525" s="23"/>
      <c r="AQ525" s="23"/>
      <c r="AR525" s="23"/>
      <c r="AS525" s="23"/>
      <c r="AT525" s="23"/>
      <c r="AU525" s="23"/>
      <c r="AV525" s="42">
        <v>24.27</v>
      </c>
      <c r="AY525" s="42"/>
      <c r="AZ525" s="42"/>
      <c r="BB525" s="45">
        <v>1</v>
      </c>
      <c r="BC525" s="41">
        <f>IF(AND((AV525/I525)&lt;2,BB525=1),(I525*2)-AV525,0)</f>
        <v>7.73</v>
      </c>
      <c r="BD525" s="41">
        <f>IF(AND((AV525/I525)&lt;3,BB525=2),(I525*3)-AV525,0)</f>
        <v>0</v>
      </c>
      <c r="BG525" s="18"/>
      <c r="BH525" s="18">
        <v>22</v>
      </c>
      <c r="BI525" s="18">
        <v>21</v>
      </c>
      <c r="BJ525" s="18">
        <v>21</v>
      </c>
      <c r="BK525" s="18">
        <v>20</v>
      </c>
      <c r="BL525" s="18">
        <v>21</v>
      </c>
      <c r="BM525" s="55">
        <f>SUM(AV525:AX525)+SUM(BC525:BD525)+SUM(BE525:BF525)+BG525</f>
        <v>32</v>
      </c>
      <c r="BN525" s="55"/>
      <c r="BO525" s="55"/>
      <c r="BP525" s="55"/>
      <c r="BQ525" s="55"/>
      <c r="BR525" s="55"/>
      <c r="BS525" s="55"/>
      <c r="BT525" s="55"/>
      <c r="BU525" s="55"/>
      <c r="BV525" s="55"/>
      <c r="BW525" s="55"/>
      <c r="BX525" s="55"/>
      <c r="BY525" s="55"/>
    </row>
    <row r="526" spans="1:78" ht="25.5">
      <c r="B526" s="89">
        <v>514</v>
      </c>
      <c r="C526" s="106">
        <v>236</v>
      </c>
      <c r="D526" s="95">
        <v>474</v>
      </c>
      <c r="E526" s="105">
        <v>0.64930555555555558</v>
      </c>
      <c r="F526" s="105">
        <v>0.6694444444444444</v>
      </c>
      <c r="G526" s="93" t="s">
        <v>211</v>
      </c>
      <c r="H526" s="93" t="s">
        <v>155</v>
      </c>
      <c r="I526" s="96">
        <v>16</v>
      </c>
      <c r="J526" s="97" t="s">
        <v>99</v>
      </c>
      <c r="K526" s="98">
        <v>252</v>
      </c>
      <c r="L526" s="109" t="s">
        <v>723</v>
      </c>
      <c r="M526" s="87" t="s">
        <v>933</v>
      </c>
      <c r="N526" s="87">
        <v>21</v>
      </c>
      <c r="O526" s="87" t="s">
        <v>934</v>
      </c>
      <c r="P526" s="87">
        <v>24</v>
      </c>
      <c r="Q526" s="87" t="s">
        <v>931</v>
      </c>
      <c r="R526" s="85">
        <v>23</v>
      </c>
      <c r="S526" s="26" t="s">
        <v>1565</v>
      </c>
      <c r="T526" s="26" t="s">
        <v>1567</v>
      </c>
      <c r="U526" s="26" t="s">
        <v>1336</v>
      </c>
      <c r="V526" s="26" t="s">
        <v>1337</v>
      </c>
      <c r="W526" s="62">
        <v>44805</v>
      </c>
      <c r="X526" s="62">
        <v>45169</v>
      </c>
      <c r="Y526" s="62"/>
      <c r="Z526" s="62"/>
      <c r="AA526" s="22" t="s">
        <v>1101</v>
      </c>
      <c r="AB526" s="23" t="s">
        <v>731</v>
      </c>
      <c r="AC526" s="23" t="s">
        <v>731</v>
      </c>
      <c r="AD526" s="23" t="s">
        <v>731</v>
      </c>
      <c r="AE526" s="23"/>
      <c r="AF526" s="23" t="s">
        <v>731</v>
      </c>
      <c r="AG526" s="23" t="s">
        <v>731</v>
      </c>
      <c r="AH526" s="23" t="s">
        <v>731</v>
      </c>
      <c r="AI526" s="23" t="s">
        <v>731</v>
      </c>
      <c r="AJ526" s="23" t="s">
        <v>731</v>
      </c>
      <c r="AK526" s="23"/>
      <c r="AL526" s="23"/>
      <c r="AM526" s="23"/>
      <c r="AN526" s="23"/>
      <c r="AO526" s="23"/>
      <c r="AP526" s="23"/>
      <c r="AQ526" s="23"/>
      <c r="AR526" s="23"/>
      <c r="AS526" s="23"/>
      <c r="AT526" s="23"/>
      <c r="AU526" s="23"/>
      <c r="AV526" s="42">
        <v>24.27</v>
      </c>
      <c r="AY526" s="42"/>
      <c r="AZ526" s="42"/>
      <c r="BB526" s="45">
        <v>1</v>
      </c>
      <c r="BC526" s="41">
        <f>IF(AND((AV526/I526)&lt;2,BB526=1),(I526*2)-AV526,0)</f>
        <v>7.73</v>
      </c>
      <c r="BD526" s="41">
        <f>IF(AND((AV526/I526)&lt;3,BB526=2),(I526*3)-AV526,0)</f>
        <v>0</v>
      </c>
      <c r="BG526" s="18"/>
      <c r="BH526" s="18">
        <v>22</v>
      </c>
      <c r="BI526" s="18">
        <v>21</v>
      </c>
      <c r="BJ526" s="18">
        <v>21</v>
      </c>
      <c r="BK526" s="18">
        <v>20</v>
      </c>
      <c r="BL526" s="18">
        <v>21</v>
      </c>
      <c r="BM526" s="55">
        <f>SUM(AV526:AX526)+SUM(BC526:BD526)+SUM(BE526:BF526)+BG526</f>
        <v>32</v>
      </c>
      <c r="BN526" s="55"/>
      <c r="BO526" s="55"/>
      <c r="BP526" s="55"/>
      <c r="BQ526" s="55"/>
      <c r="BR526" s="55"/>
      <c r="BS526" s="55"/>
      <c r="BT526" s="55"/>
      <c r="BU526" s="55"/>
      <c r="BV526" s="55"/>
      <c r="BW526" s="55"/>
      <c r="BX526" s="55"/>
      <c r="BY526" s="55"/>
    </row>
    <row r="527" spans="1:78" ht="25.5">
      <c r="B527" s="89">
        <v>515</v>
      </c>
      <c r="C527" s="106">
        <v>236</v>
      </c>
      <c r="D527" s="95">
        <v>479</v>
      </c>
      <c r="E527" s="94">
        <v>0.71875</v>
      </c>
      <c r="F527" s="94">
        <v>0.7368055555555556</v>
      </c>
      <c r="G527" s="93" t="s">
        <v>209</v>
      </c>
      <c r="H527" s="93" t="s">
        <v>155</v>
      </c>
      <c r="I527" s="96">
        <v>16</v>
      </c>
      <c r="J527" s="97" t="s">
        <v>93</v>
      </c>
      <c r="K527" s="98">
        <v>252</v>
      </c>
      <c r="L527" s="109" t="s">
        <v>723</v>
      </c>
      <c r="M527" s="87" t="s">
        <v>934</v>
      </c>
      <c r="N527" s="87">
        <v>24</v>
      </c>
      <c r="O527" s="87" t="s">
        <v>933</v>
      </c>
      <c r="P527" s="87">
        <v>21</v>
      </c>
      <c r="Q527" s="87" t="s">
        <v>935</v>
      </c>
      <c r="R527" s="84">
        <v>23</v>
      </c>
      <c r="S527" s="26" t="s">
        <v>1336</v>
      </c>
      <c r="T527" s="26" t="s">
        <v>1337</v>
      </c>
      <c r="U527" s="26" t="s">
        <v>1565</v>
      </c>
      <c r="V527" s="26" t="s">
        <v>1566</v>
      </c>
      <c r="W527" s="62">
        <v>44805</v>
      </c>
      <c r="X527" s="62">
        <v>45169</v>
      </c>
      <c r="Y527" s="62"/>
      <c r="Z527" s="62"/>
      <c r="AA527" s="22" t="s">
        <v>1101</v>
      </c>
      <c r="AB527" s="23" t="s">
        <v>731</v>
      </c>
      <c r="AC527" s="23" t="s">
        <v>731</v>
      </c>
      <c r="AD527" s="23" t="s">
        <v>731</v>
      </c>
      <c r="AE527" s="23"/>
      <c r="AF527" s="23" t="s">
        <v>731</v>
      </c>
      <c r="AG527" s="23" t="s">
        <v>731</v>
      </c>
      <c r="AH527" s="23" t="s">
        <v>731</v>
      </c>
      <c r="AI527" s="23" t="s">
        <v>731</v>
      </c>
      <c r="AJ527" s="23" t="s">
        <v>731</v>
      </c>
      <c r="AK527" s="23"/>
      <c r="AL527" s="23"/>
      <c r="AM527" s="23"/>
      <c r="AN527" s="23"/>
      <c r="AO527" s="23"/>
      <c r="AP527" s="23"/>
      <c r="AQ527" s="23"/>
      <c r="AR527" s="23"/>
      <c r="AS527" s="23"/>
      <c r="AT527" s="23"/>
      <c r="AU527" s="23"/>
      <c r="AV527" s="42">
        <v>20.85</v>
      </c>
      <c r="AY527" s="42"/>
      <c r="AZ527" s="42"/>
      <c r="BB527" s="45">
        <v>1</v>
      </c>
      <c r="BC527" s="41">
        <f>IF(AND((AV527/I527)&lt;2,BB527=1),(I527*2)-AV527,0)</f>
        <v>11.149999999999999</v>
      </c>
      <c r="BD527" s="41">
        <f>IF(AND((AV527/I527)&lt;3,BB527=2),(I527*3)-AV527,0)</f>
        <v>0</v>
      </c>
      <c r="BG527" s="18"/>
      <c r="BH527" s="18">
        <v>22</v>
      </c>
      <c r="BI527" s="18">
        <v>21</v>
      </c>
      <c r="BJ527" s="18">
        <v>21</v>
      </c>
      <c r="BK527" s="18">
        <v>20</v>
      </c>
      <c r="BL527" s="18">
        <v>21</v>
      </c>
      <c r="BM527" s="55">
        <f>SUM(AV527:AX527)+SUM(BC527:BD527)+SUM(BE527:BF527)+BG527</f>
        <v>32</v>
      </c>
      <c r="BN527" s="55"/>
      <c r="BO527" s="55"/>
      <c r="BP527" s="55"/>
      <c r="BQ527" s="55"/>
      <c r="BR527" s="55"/>
      <c r="BS527" s="55"/>
      <c r="BT527" s="55"/>
      <c r="BU527" s="55"/>
      <c r="BV527" s="55"/>
      <c r="BW527" s="55"/>
      <c r="BX527" s="55"/>
      <c r="BY527" s="55"/>
    </row>
    <row r="528" spans="1:78" ht="25.5">
      <c r="B528" s="89">
        <v>516</v>
      </c>
      <c r="C528" s="106">
        <v>236</v>
      </c>
      <c r="D528" s="95">
        <v>476</v>
      </c>
      <c r="E528" s="105">
        <v>0.75138888888888899</v>
      </c>
      <c r="F528" s="105">
        <v>0.7715277777777777</v>
      </c>
      <c r="G528" s="93" t="s">
        <v>208</v>
      </c>
      <c r="H528" s="93" t="s">
        <v>155</v>
      </c>
      <c r="I528" s="96">
        <v>16</v>
      </c>
      <c r="J528" s="97" t="s">
        <v>93</v>
      </c>
      <c r="K528" s="98">
        <v>252</v>
      </c>
      <c r="L528" s="109" t="s">
        <v>723</v>
      </c>
      <c r="M528" s="87" t="s">
        <v>934</v>
      </c>
      <c r="N528" s="87">
        <v>24</v>
      </c>
      <c r="O528" s="87" t="s">
        <v>933</v>
      </c>
      <c r="P528" s="87">
        <v>21</v>
      </c>
      <c r="Q528" s="87" t="s">
        <v>935</v>
      </c>
      <c r="R528" s="84">
        <v>23</v>
      </c>
      <c r="S528" s="26" t="s">
        <v>1565</v>
      </c>
      <c r="T528" s="26" t="s">
        <v>1567</v>
      </c>
      <c r="U528" s="26" t="s">
        <v>1336</v>
      </c>
      <c r="V528" s="26" t="s">
        <v>1337</v>
      </c>
      <c r="W528" s="62">
        <v>44805</v>
      </c>
      <c r="X528" s="62">
        <v>45169</v>
      </c>
      <c r="Y528" s="62"/>
      <c r="Z528" s="62"/>
      <c r="AA528" s="22" t="s">
        <v>1101</v>
      </c>
      <c r="AB528" s="23" t="s">
        <v>731</v>
      </c>
      <c r="AC528" s="23" t="s">
        <v>731</v>
      </c>
      <c r="AD528" s="23" t="s">
        <v>731</v>
      </c>
      <c r="AE528" s="23"/>
      <c r="AF528" s="23" t="s">
        <v>731</v>
      </c>
      <c r="AG528" s="23" t="s">
        <v>731</v>
      </c>
      <c r="AH528" s="23" t="s">
        <v>731</v>
      </c>
      <c r="AI528" s="23" t="s">
        <v>731</v>
      </c>
      <c r="AJ528" s="23" t="s">
        <v>731</v>
      </c>
      <c r="AK528" s="23"/>
      <c r="AL528" s="23"/>
      <c r="AM528" s="23"/>
      <c r="AN528" s="23"/>
      <c r="AO528" s="23"/>
      <c r="AP528" s="23"/>
      <c r="AQ528" s="23"/>
      <c r="AR528" s="23"/>
      <c r="AS528" s="23"/>
      <c r="AT528" s="23"/>
      <c r="AU528" s="23"/>
      <c r="AV528" s="42">
        <v>24.27</v>
      </c>
      <c r="AY528" s="42"/>
      <c r="AZ528" s="42"/>
      <c r="BB528" s="45">
        <v>1</v>
      </c>
      <c r="BC528" s="41">
        <f>IF(AND((AV528/I528)&lt;2,BB528=1),(I528*2)-AV528,0)</f>
        <v>7.73</v>
      </c>
      <c r="BD528" s="41">
        <f>IF(AND((AV528/I528)&lt;3,BB528=2),(I528*3)-AV528,0)</f>
        <v>0</v>
      </c>
      <c r="BG528" s="18"/>
      <c r="BH528" s="18">
        <v>22</v>
      </c>
      <c r="BI528" s="18">
        <v>21</v>
      </c>
      <c r="BJ528" s="18">
        <v>21</v>
      </c>
      <c r="BK528" s="18">
        <v>20</v>
      </c>
      <c r="BL528" s="18">
        <v>21</v>
      </c>
      <c r="BM528" s="55">
        <f>SUM(AV528:AX528)+SUM(BC528:BD528)+SUM(BE528:BF528)+BG528</f>
        <v>32</v>
      </c>
      <c r="BN528" s="55"/>
      <c r="BO528" s="55"/>
      <c r="BP528" s="55"/>
      <c r="BQ528" s="55"/>
      <c r="BR528" s="55"/>
      <c r="BS528" s="55"/>
      <c r="BT528" s="55"/>
      <c r="BU528" s="55"/>
      <c r="BV528" s="55"/>
      <c r="BW528" s="55"/>
      <c r="BX528" s="55"/>
      <c r="BY528" s="55"/>
    </row>
    <row r="529" spans="1:78" ht="33.75">
      <c r="B529" s="89">
        <v>517</v>
      </c>
      <c r="C529" s="101">
        <v>301</v>
      </c>
      <c r="D529" s="101">
        <v>169</v>
      </c>
      <c r="E529" s="102">
        <v>0.21319444444444444</v>
      </c>
      <c r="F529" s="102">
        <v>0.24513888888888888</v>
      </c>
      <c r="G529" s="103" t="s">
        <v>11</v>
      </c>
      <c r="H529" s="93" t="s">
        <v>103</v>
      </c>
      <c r="I529" s="101">
        <v>28</v>
      </c>
      <c r="J529" s="104">
        <v>30</v>
      </c>
      <c r="K529" s="98">
        <v>174</v>
      </c>
      <c r="L529" s="99" t="s">
        <v>754</v>
      </c>
      <c r="M529" s="87" t="s">
        <v>843</v>
      </c>
      <c r="N529" s="87">
        <v>31</v>
      </c>
      <c r="O529" s="87" t="s">
        <v>1256</v>
      </c>
      <c r="P529" s="87">
        <v>29</v>
      </c>
      <c r="Q529" s="87"/>
      <c r="R529" s="87"/>
      <c r="S529" s="26" t="s">
        <v>1568</v>
      </c>
      <c r="T529" s="26" t="s">
        <v>1569</v>
      </c>
      <c r="U529" s="26">
        <v>1</v>
      </c>
      <c r="V529" s="26" t="s">
        <v>1312</v>
      </c>
      <c r="W529" s="62">
        <v>44816</v>
      </c>
      <c r="X529" s="62">
        <v>45086</v>
      </c>
      <c r="Y529" s="62"/>
      <c r="Z529" s="62"/>
      <c r="AA529" s="22" t="s">
        <v>1102</v>
      </c>
      <c r="AB529" s="23"/>
      <c r="AC529" s="23"/>
      <c r="AD529" s="23"/>
      <c r="AE529" s="23" t="s">
        <v>731</v>
      </c>
      <c r="AF529" s="23" t="s">
        <v>731</v>
      </c>
      <c r="AG529" s="23" t="s">
        <v>731</v>
      </c>
      <c r="AH529" s="23" t="s">
        <v>731</v>
      </c>
      <c r="AI529" s="23" t="s">
        <v>731</v>
      </c>
      <c r="AJ529" s="23" t="s">
        <v>731</v>
      </c>
      <c r="AK529" s="23"/>
      <c r="AL529" s="23"/>
      <c r="AM529" s="23"/>
      <c r="AN529" s="23"/>
      <c r="AO529" s="23"/>
      <c r="AP529" s="23"/>
      <c r="AQ529" s="23"/>
      <c r="AR529" s="23"/>
      <c r="AS529" s="23"/>
      <c r="AT529" s="23"/>
      <c r="AU529" s="23"/>
      <c r="AW529" s="41">
        <f>165/2</f>
        <v>82.5</v>
      </c>
      <c r="BB529" s="45">
        <v>1</v>
      </c>
      <c r="BD529" s="41"/>
      <c r="BE529" s="41">
        <f>IF(AND((AW529/I529)&lt;2,BB529=1),(I529*2)-AW529,0)</f>
        <v>0</v>
      </c>
      <c r="BF529" s="41">
        <f>IF(AND((AW529/I529)&lt;3,BB529=2),(I529*3)-AW529,0)</f>
        <v>0</v>
      </c>
      <c r="BG529" s="41">
        <f>IF((AV529+AW529+AX529)&lt;20,(20-(AV529+AW529+AX529)),0)</f>
        <v>0</v>
      </c>
      <c r="BH529" s="18">
        <v>15</v>
      </c>
      <c r="BI529" s="18">
        <v>20</v>
      </c>
      <c r="BJ529" s="18">
        <v>21</v>
      </c>
      <c r="BK529" s="18">
        <v>15</v>
      </c>
      <c r="BL529" s="18">
        <v>17</v>
      </c>
      <c r="BM529" s="55">
        <f>SUM(AV529:AX529)+SUM(BC529:BD529)+SUM(BE529:BF529)+BG529</f>
        <v>82.5</v>
      </c>
      <c r="BN529" s="55"/>
      <c r="BO529" s="55"/>
      <c r="BP529" s="55"/>
      <c r="BQ529" s="55"/>
      <c r="BR529" s="55"/>
      <c r="BS529" s="55"/>
      <c r="BT529" s="55"/>
      <c r="BU529" s="55"/>
      <c r="BV529" s="55"/>
      <c r="BW529" s="55"/>
      <c r="BX529" s="55"/>
      <c r="BY529" s="55"/>
    </row>
    <row r="530" spans="1:78" ht="33.75">
      <c r="B530" s="89">
        <v>518</v>
      </c>
      <c r="C530" s="101">
        <v>301</v>
      </c>
      <c r="D530" s="101">
        <v>354</v>
      </c>
      <c r="E530" s="102">
        <v>0.24791666666666667</v>
      </c>
      <c r="F530" s="102">
        <v>0.27986111111111112</v>
      </c>
      <c r="G530" s="103" t="s">
        <v>10</v>
      </c>
      <c r="H530" s="93" t="s">
        <v>103</v>
      </c>
      <c r="I530" s="101">
        <v>28</v>
      </c>
      <c r="J530" s="104">
        <v>30</v>
      </c>
      <c r="K530" s="98">
        <v>174</v>
      </c>
      <c r="L530" s="99" t="s">
        <v>754</v>
      </c>
      <c r="M530" s="87" t="s">
        <v>843</v>
      </c>
      <c r="N530" s="87">
        <v>31</v>
      </c>
      <c r="O530" s="87" t="s">
        <v>1256</v>
      </c>
      <c r="P530" s="87">
        <v>29</v>
      </c>
      <c r="Q530" s="87"/>
      <c r="R530" s="87"/>
      <c r="S530" s="26">
        <v>1</v>
      </c>
      <c r="T530" s="26" t="s">
        <v>1309</v>
      </c>
      <c r="U530" s="26" t="s">
        <v>1570</v>
      </c>
      <c r="V530" s="26" t="s">
        <v>1569</v>
      </c>
      <c r="W530" s="62">
        <v>44816</v>
      </c>
      <c r="X530" s="62">
        <v>45086</v>
      </c>
      <c r="Y530" s="62"/>
      <c r="Z530" s="62"/>
      <c r="AA530" s="22" t="s">
        <v>1102</v>
      </c>
      <c r="AB530" s="23"/>
      <c r="AC530" s="23"/>
      <c r="AD530" s="23"/>
      <c r="AE530" s="23" t="s">
        <v>731</v>
      </c>
      <c r="AF530" s="23" t="s">
        <v>731</v>
      </c>
      <c r="AG530" s="23" t="s">
        <v>731</v>
      </c>
      <c r="AH530" s="23" t="s">
        <v>731</v>
      </c>
      <c r="AI530" s="23" t="s">
        <v>731</v>
      </c>
      <c r="AJ530" s="23" t="s">
        <v>731</v>
      </c>
      <c r="AK530" s="23"/>
      <c r="AL530" s="23"/>
      <c r="AM530" s="23"/>
      <c r="AN530" s="23"/>
      <c r="AO530" s="23"/>
      <c r="AP530" s="23"/>
      <c r="AQ530" s="23"/>
      <c r="AR530" s="23"/>
      <c r="AS530" s="23"/>
      <c r="AT530" s="23"/>
      <c r="AU530" s="23"/>
      <c r="AW530" s="41">
        <f>165/2</f>
        <v>82.5</v>
      </c>
      <c r="BB530" s="45">
        <v>1</v>
      </c>
      <c r="BD530" s="41"/>
      <c r="BE530" s="41">
        <f>IF(AND((AW530/I530)&lt;2,BB530=1),(I530*2)-AW530,0)</f>
        <v>0</v>
      </c>
      <c r="BF530" s="41">
        <f>IF(AND((AW530/I530)&lt;3,BB530=2),(I530*3)-AW530,0)</f>
        <v>0</v>
      </c>
      <c r="BG530" s="41">
        <f>IF((AV530+AW530+AX530)&lt;20,(20-(AV530+AW530+AX530)),0)</f>
        <v>0</v>
      </c>
      <c r="BH530" s="18">
        <v>15</v>
      </c>
      <c r="BI530" s="18">
        <v>20</v>
      </c>
      <c r="BJ530" s="18">
        <v>21</v>
      </c>
      <c r="BK530" s="18">
        <v>15</v>
      </c>
      <c r="BL530" s="18">
        <v>17</v>
      </c>
      <c r="BM530" s="55">
        <f>SUM(AV530:AX530)+SUM(BC530:BD530)+SUM(BE530:BF530)+BG530</f>
        <v>82.5</v>
      </c>
      <c r="BN530" s="55"/>
      <c r="BO530" s="55"/>
      <c r="BP530" s="55"/>
      <c r="BQ530" s="55"/>
      <c r="BR530" s="55"/>
      <c r="BS530" s="55"/>
      <c r="BT530" s="55"/>
      <c r="BU530" s="55"/>
      <c r="BV530" s="55"/>
      <c r="BW530" s="55"/>
      <c r="BX530" s="55"/>
      <c r="BY530" s="55"/>
    </row>
    <row r="531" spans="1:78" ht="33.75">
      <c r="A531" s="110" t="s">
        <v>1841</v>
      </c>
      <c r="B531" s="89">
        <v>519</v>
      </c>
      <c r="C531" s="124">
        <v>301</v>
      </c>
      <c r="D531" s="129">
        <v>815</v>
      </c>
      <c r="E531" s="125">
        <v>0.81180555555555556</v>
      </c>
      <c r="F531" s="125">
        <v>0.84652777777777777</v>
      </c>
      <c r="G531" s="126" t="s">
        <v>11</v>
      </c>
      <c r="H531" s="106" t="s">
        <v>1067</v>
      </c>
      <c r="I531" s="124">
        <v>27</v>
      </c>
      <c r="J531" s="127">
        <v>50</v>
      </c>
      <c r="K531" s="135">
        <v>202</v>
      </c>
      <c r="L531" s="99" t="s">
        <v>1069</v>
      </c>
      <c r="M531" s="152" t="s">
        <v>2037</v>
      </c>
      <c r="N531" s="152" t="s">
        <v>2038</v>
      </c>
      <c r="R531" s="85"/>
      <c r="S531" s="26" t="s">
        <v>1568</v>
      </c>
      <c r="T531" s="26" t="s">
        <v>1569</v>
      </c>
      <c r="U531" s="26">
        <v>1</v>
      </c>
      <c r="V531" s="26" t="s">
        <v>1312</v>
      </c>
      <c r="W531" s="63">
        <v>44816</v>
      </c>
      <c r="X531" s="63">
        <v>45100</v>
      </c>
      <c r="Y531" s="63"/>
      <c r="Z531" s="63"/>
      <c r="AA531" s="23" t="s">
        <v>1108</v>
      </c>
      <c r="AB531" s="23" t="s">
        <v>731</v>
      </c>
      <c r="AC531" s="23"/>
      <c r="AD531" s="23" t="s">
        <v>731</v>
      </c>
      <c r="AE531" s="23"/>
      <c r="AF531" s="23" t="s">
        <v>731</v>
      </c>
      <c r="AG531" s="23" t="s">
        <v>731</v>
      </c>
      <c r="AH531" s="23" t="s">
        <v>731</v>
      </c>
      <c r="AI531" s="23" t="s">
        <v>731</v>
      </c>
      <c r="AJ531" s="23" t="s">
        <v>731</v>
      </c>
      <c r="AK531" s="23"/>
      <c r="AL531" s="23"/>
      <c r="AM531" s="23"/>
      <c r="AN531" s="23"/>
      <c r="AO531" s="23"/>
      <c r="AP531" s="23"/>
      <c r="AQ531" s="23"/>
      <c r="AR531" s="23"/>
      <c r="AS531" s="23"/>
      <c r="AT531" s="23"/>
      <c r="AU531" s="23"/>
      <c r="AV531" s="42"/>
      <c r="AX531" s="41">
        <f>3*I531</f>
        <v>81</v>
      </c>
      <c r="AY531" s="42"/>
      <c r="AZ531" s="42"/>
      <c r="BB531" s="43">
        <v>2</v>
      </c>
      <c r="BC531" s="45"/>
      <c r="BD531" s="50"/>
      <c r="BE531" s="45"/>
      <c r="BF531" s="45"/>
      <c r="BG531" s="18"/>
      <c r="BH531" s="18">
        <v>15</v>
      </c>
      <c r="BI531" s="18">
        <v>21</v>
      </c>
      <c r="BJ531" s="18">
        <v>21</v>
      </c>
      <c r="BK531" s="18">
        <v>20</v>
      </c>
      <c r="BL531" s="18">
        <v>21</v>
      </c>
      <c r="BM531" s="55">
        <f>SUM(AV531:AX531)+SUM(BC531:BD531)+SUM(BE531:BF531)+BG531</f>
        <v>81</v>
      </c>
      <c r="BN531" s="222" t="s">
        <v>1134</v>
      </c>
      <c r="BO531" s="55"/>
      <c r="BP531" s="55"/>
      <c r="BQ531" s="55"/>
      <c r="BR531" s="55"/>
      <c r="BS531" s="55"/>
      <c r="BT531" s="55"/>
      <c r="BU531" s="55"/>
      <c r="BV531" s="55"/>
      <c r="BW531" s="77">
        <v>4</v>
      </c>
      <c r="BX531" s="55"/>
      <c r="BY531" s="223">
        <v>50</v>
      </c>
      <c r="BZ531" s="80">
        <v>69</v>
      </c>
    </row>
    <row r="532" spans="1:78" ht="25.5">
      <c r="A532" s="156" t="s">
        <v>2065</v>
      </c>
      <c r="B532" s="157">
        <v>520</v>
      </c>
      <c r="C532" s="158">
        <v>302</v>
      </c>
      <c r="D532" s="158">
        <v>473</v>
      </c>
      <c r="E532" s="160">
        <v>0.26597222222222222</v>
      </c>
      <c r="F532" s="160">
        <v>0.2722222222222222</v>
      </c>
      <c r="G532" s="158" t="s">
        <v>289</v>
      </c>
      <c r="H532" s="158" t="s">
        <v>97</v>
      </c>
      <c r="I532" s="161">
        <v>3</v>
      </c>
      <c r="J532" s="162" t="s">
        <v>93</v>
      </c>
      <c r="K532" s="169">
        <v>208</v>
      </c>
      <c r="L532" s="164" t="s">
        <v>716</v>
      </c>
      <c r="M532" s="179" t="s">
        <v>893</v>
      </c>
      <c r="N532" s="179">
        <v>20</v>
      </c>
      <c r="O532" s="179" t="s">
        <v>1889</v>
      </c>
      <c r="P532" s="179">
        <v>17</v>
      </c>
      <c r="Q532" s="179" t="s">
        <v>1252</v>
      </c>
      <c r="R532" s="183">
        <v>24</v>
      </c>
      <c r="S532" s="170">
        <v>3677</v>
      </c>
      <c r="T532" s="170" t="s">
        <v>1571</v>
      </c>
      <c r="U532" s="170" t="s">
        <v>1572</v>
      </c>
      <c r="V532" s="170" t="s">
        <v>1573</v>
      </c>
      <c r="W532" s="180">
        <v>44816</v>
      </c>
      <c r="X532" s="206">
        <v>44944</v>
      </c>
      <c r="Y532" s="180"/>
      <c r="Z532" s="180"/>
      <c r="AA532" s="170" t="s">
        <v>1106</v>
      </c>
      <c r="AB532" s="181"/>
      <c r="AC532" s="181"/>
      <c r="AD532" s="181"/>
      <c r="AE532" s="181" t="s">
        <v>731</v>
      </c>
      <c r="AF532" s="181" t="s">
        <v>731</v>
      </c>
      <c r="AG532" s="181" t="s">
        <v>731</v>
      </c>
      <c r="AH532" s="181" t="s">
        <v>731</v>
      </c>
      <c r="AI532" s="181" t="s">
        <v>731</v>
      </c>
      <c r="AJ532" s="181" t="s">
        <v>731</v>
      </c>
      <c r="AK532" s="181" t="s">
        <v>731</v>
      </c>
      <c r="AL532" s="181"/>
      <c r="AM532" s="181"/>
      <c r="AN532" s="181"/>
      <c r="AO532" s="181"/>
      <c r="AP532" s="181"/>
      <c r="AQ532" s="181"/>
      <c r="AR532" s="181"/>
      <c r="AS532" s="181"/>
      <c r="AT532" s="181"/>
      <c r="AU532" s="181"/>
      <c r="AV532" s="168">
        <v>10</v>
      </c>
      <c r="AW532" s="168"/>
      <c r="AX532" s="166"/>
      <c r="AY532" s="168"/>
      <c r="AZ532" s="168"/>
      <c r="BA532" s="166"/>
      <c r="BB532" s="166">
        <v>1</v>
      </c>
      <c r="BC532" s="168">
        <f>IF(AND((AV532/I532)&lt;2,BB532=1),(I532*2)-AV532,0)</f>
        <v>0</v>
      </c>
      <c r="BD532" s="168">
        <f>IF(AND((AV532/I532)&lt;3,BB532=2),(I532*3)-AV532,0)</f>
        <v>0</v>
      </c>
      <c r="BE532" s="166"/>
      <c r="BF532" s="166"/>
      <c r="BG532" s="168">
        <f>IF((AV532+AW532+AX532)&lt;20,(20-(AV532+AW532+AX532)),0)</f>
        <v>10</v>
      </c>
      <c r="BH532" s="18">
        <v>17</v>
      </c>
      <c r="BI532" s="18">
        <v>25</v>
      </c>
      <c r="BJ532" s="18">
        <v>25</v>
      </c>
      <c r="BK532" s="18">
        <v>18</v>
      </c>
      <c r="BL532" s="77">
        <v>11</v>
      </c>
      <c r="BM532" s="55">
        <f>SUM(AV532:AX532)+SUM(BC532:BD532)+SUM(BE532:BF532)+BG532</f>
        <v>20</v>
      </c>
      <c r="BN532" s="55"/>
      <c r="BO532" s="55"/>
      <c r="BP532" s="55"/>
      <c r="BQ532" s="55"/>
      <c r="BR532" s="55"/>
      <c r="BS532" s="55"/>
      <c r="BT532" s="55"/>
      <c r="BU532" s="55"/>
      <c r="BV532" s="55"/>
      <c r="BW532" s="55"/>
      <c r="BX532" s="55"/>
      <c r="BY532" s="55"/>
    </row>
    <row r="533" spans="1:78" ht="25.5">
      <c r="A533" s="156" t="s">
        <v>2065</v>
      </c>
      <c r="B533" s="157">
        <v>521</v>
      </c>
      <c r="C533" s="158">
        <v>302</v>
      </c>
      <c r="D533" s="158">
        <v>463</v>
      </c>
      <c r="E533" s="160">
        <v>0.28263888888888888</v>
      </c>
      <c r="F533" s="160">
        <v>0.28750000000000003</v>
      </c>
      <c r="G533" s="158" t="s">
        <v>289</v>
      </c>
      <c r="H533" s="158" t="s">
        <v>97</v>
      </c>
      <c r="I533" s="161">
        <v>3</v>
      </c>
      <c r="J533" s="162" t="s">
        <v>93</v>
      </c>
      <c r="K533" s="169">
        <v>208</v>
      </c>
      <c r="L533" s="164" t="s">
        <v>716</v>
      </c>
      <c r="M533" s="179" t="s">
        <v>893</v>
      </c>
      <c r="N533" s="179">
        <v>20</v>
      </c>
      <c r="O533" s="179" t="s">
        <v>1889</v>
      </c>
      <c r="P533" s="179">
        <v>17</v>
      </c>
      <c r="Q533" s="179" t="s">
        <v>1252</v>
      </c>
      <c r="R533" s="183">
        <v>24</v>
      </c>
      <c r="S533" s="170">
        <v>3677</v>
      </c>
      <c r="T533" s="170" t="s">
        <v>1571</v>
      </c>
      <c r="U533" s="170" t="s">
        <v>1572</v>
      </c>
      <c r="V533" s="170" t="s">
        <v>1573</v>
      </c>
      <c r="W533" s="180">
        <v>44816</v>
      </c>
      <c r="X533" s="206">
        <v>44944</v>
      </c>
      <c r="Y533" s="180"/>
      <c r="Z533" s="180"/>
      <c r="AA533" s="170" t="s">
        <v>1106</v>
      </c>
      <c r="AB533" s="181"/>
      <c r="AC533" s="181"/>
      <c r="AD533" s="181"/>
      <c r="AE533" s="181" t="s">
        <v>731</v>
      </c>
      <c r="AF533" s="181" t="s">
        <v>731</v>
      </c>
      <c r="AG533" s="181" t="s">
        <v>731</v>
      </c>
      <c r="AH533" s="181" t="s">
        <v>731</v>
      </c>
      <c r="AI533" s="181" t="s">
        <v>731</v>
      </c>
      <c r="AJ533" s="181" t="s">
        <v>731</v>
      </c>
      <c r="AK533" s="181" t="s">
        <v>731</v>
      </c>
      <c r="AL533" s="181"/>
      <c r="AM533" s="181"/>
      <c r="AN533" s="181"/>
      <c r="AO533" s="181"/>
      <c r="AP533" s="181"/>
      <c r="AQ533" s="181"/>
      <c r="AR533" s="181"/>
      <c r="AS533" s="181"/>
      <c r="AT533" s="181"/>
      <c r="AU533" s="181"/>
      <c r="AV533" s="168">
        <v>19.41</v>
      </c>
      <c r="AW533" s="168"/>
      <c r="AX533" s="166"/>
      <c r="AY533" s="168"/>
      <c r="AZ533" s="168"/>
      <c r="BA533" s="166"/>
      <c r="BB533" s="166">
        <v>1</v>
      </c>
      <c r="BC533" s="168">
        <f>IF(AND((AV533/I533)&lt;2,BB533=1),(I533*2)-AV533,0)</f>
        <v>0</v>
      </c>
      <c r="BD533" s="168">
        <f>IF(AND((AV533/I533)&lt;3,BB533=2),(I533*3)-AV533,0)</f>
        <v>0</v>
      </c>
      <c r="BE533" s="166"/>
      <c r="BF533" s="166"/>
      <c r="BG533" s="168">
        <f>IF((AV533+AW533+AX533)&lt;20,(20-(AV533+AW533+AX533)),0)</f>
        <v>0.58999999999999986</v>
      </c>
      <c r="BH533" s="18">
        <v>17</v>
      </c>
      <c r="BI533" s="18">
        <v>25</v>
      </c>
      <c r="BJ533" s="18">
        <v>25</v>
      </c>
      <c r="BK533" s="18">
        <v>18</v>
      </c>
      <c r="BL533" s="77">
        <v>11</v>
      </c>
      <c r="BM533" s="55">
        <f>SUM(AV533:AX533)+SUM(BC533:BD533)+SUM(BE533:BF533)+BG533</f>
        <v>20</v>
      </c>
      <c r="BN533" s="55"/>
      <c r="BO533" s="55"/>
      <c r="BP533" s="55"/>
      <c r="BQ533" s="55"/>
      <c r="BR533" s="55"/>
      <c r="BS533" s="55"/>
      <c r="BT533" s="55"/>
      <c r="BU533" s="55"/>
      <c r="BV533" s="55"/>
      <c r="BW533" s="55"/>
      <c r="BX533" s="55"/>
      <c r="BY533" s="55"/>
    </row>
    <row r="534" spans="1:78" ht="25.5">
      <c r="A534" s="156" t="s">
        <v>2065</v>
      </c>
      <c r="B534" s="157">
        <v>522</v>
      </c>
      <c r="C534" s="158">
        <v>302</v>
      </c>
      <c r="D534" s="158">
        <v>463</v>
      </c>
      <c r="E534" s="160">
        <v>0.28263888888888888</v>
      </c>
      <c r="F534" s="160">
        <v>0.28750000000000003</v>
      </c>
      <c r="G534" s="158" t="s">
        <v>289</v>
      </c>
      <c r="H534" s="158" t="s">
        <v>588</v>
      </c>
      <c r="I534" s="161">
        <v>3</v>
      </c>
      <c r="J534" s="162" t="s">
        <v>93</v>
      </c>
      <c r="K534" s="169">
        <v>29</v>
      </c>
      <c r="L534" s="164" t="s">
        <v>716</v>
      </c>
      <c r="M534" s="179" t="s">
        <v>893</v>
      </c>
      <c r="N534" s="179">
        <v>20</v>
      </c>
      <c r="O534" s="179" t="s">
        <v>1889</v>
      </c>
      <c r="P534" s="179">
        <v>17</v>
      </c>
      <c r="Q534" s="179" t="s">
        <v>1252</v>
      </c>
      <c r="R534" s="183">
        <v>24</v>
      </c>
      <c r="S534" s="170">
        <v>3677</v>
      </c>
      <c r="T534" s="170" t="s">
        <v>1571</v>
      </c>
      <c r="U534" s="170" t="s">
        <v>1572</v>
      </c>
      <c r="V534" s="170" t="s">
        <v>1573</v>
      </c>
      <c r="W534" s="180">
        <v>44816</v>
      </c>
      <c r="X534" s="206">
        <v>44944</v>
      </c>
      <c r="Y534" s="182"/>
      <c r="Z534" s="182"/>
      <c r="AA534" s="170" t="s">
        <v>1110</v>
      </c>
      <c r="AB534" s="181" t="s">
        <v>731</v>
      </c>
      <c r="AC534" s="181"/>
      <c r="AD534" s="181" t="s">
        <v>731</v>
      </c>
      <c r="AE534" s="181"/>
      <c r="AF534" s="181"/>
      <c r="AG534" s="181"/>
      <c r="AH534" s="181"/>
      <c r="AI534" s="181"/>
      <c r="AJ534" s="181"/>
      <c r="AK534" s="181"/>
      <c r="AL534" s="181"/>
      <c r="AM534" s="181"/>
      <c r="AN534" s="181"/>
      <c r="AO534" s="181"/>
      <c r="AP534" s="181" t="s">
        <v>731</v>
      </c>
      <c r="AQ534" s="181" t="s">
        <v>731</v>
      </c>
      <c r="AR534" s="181" t="s">
        <v>731</v>
      </c>
      <c r="AS534" s="181" t="s">
        <v>731</v>
      </c>
      <c r="AT534" s="181" t="s">
        <v>731</v>
      </c>
      <c r="AU534" s="181" t="s">
        <v>731</v>
      </c>
      <c r="AV534" s="168">
        <v>19.41</v>
      </c>
      <c r="AW534" s="168"/>
      <c r="AX534" s="166"/>
      <c r="AY534" s="168"/>
      <c r="AZ534" s="168"/>
      <c r="BA534" s="166"/>
      <c r="BB534" s="166">
        <v>1</v>
      </c>
      <c r="BC534" s="168">
        <f>IF(AND((AV534/I534)&lt;2,BB534=1),(I534*2)-AV534,0)</f>
        <v>0</v>
      </c>
      <c r="BD534" s="168">
        <f>IF(AND((AV534/I534)&lt;3,BB534=2),(I534*3)-AV534,0)</f>
        <v>0</v>
      </c>
      <c r="BE534" s="166"/>
      <c r="BF534" s="166"/>
      <c r="BG534" s="168">
        <f>IF((AV534+AW534+AX534)&lt;20,(20-(AV534+AW534+AX534)),0)</f>
        <v>0.58999999999999986</v>
      </c>
      <c r="BH534" s="18">
        <v>0</v>
      </c>
      <c r="BI534" s="18">
        <v>1</v>
      </c>
      <c r="BJ534" s="18">
        <v>0</v>
      </c>
      <c r="BK534" s="18">
        <v>7</v>
      </c>
      <c r="BL534" s="77">
        <v>0</v>
      </c>
      <c r="BM534" s="55">
        <f>SUM(AV534:AX534)+SUM(BC534:BD534)+SUM(BE534:BF534)+BG534</f>
        <v>20</v>
      </c>
      <c r="BN534" s="55"/>
      <c r="BO534" s="55"/>
      <c r="BP534" s="55"/>
      <c r="BQ534" s="55"/>
      <c r="BR534" s="55"/>
      <c r="BS534" s="55"/>
      <c r="BT534" s="55"/>
      <c r="BU534" s="55"/>
      <c r="BV534" s="55"/>
      <c r="BW534" s="55"/>
      <c r="BX534" s="55"/>
      <c r="BY534" s="55"/>
    </row>
    <row r="535" spans="1:78" ht="25.5">
      <c r="B535" s="89">
        <v>523</v>
      </c>
      <c r="C535" s="93">
        <v>302</v>
      </c>
      <c r="D535" s="93">
        <v>463</v>
      </c>
      <c r="E535" s="94">
        <v>0.28472222222222221</v>
      </c>
      <c r="F535" s="94">
        <v>0.28958333333333336</v>
      </c>
      <c r="G535" s="93" t="s">
        <v>289</v>
      </c>
      <c r="H535" s="93" t="s">
        <v>424</v>
      </c>
      <c r="I535" s="96">
        <v>3</v>
      </c>
      <c r="J535" s="97" t="s">
        <v>93</v>
      </c>
      <c r="K535" s="98">
        <v>55</v>
      </c>
      <c r="L535" s="99" t="s">
        <v>716</v>
      </c>
      <c r="M535" s="83" t="s">
        <v>893</v>
      </c>
      <c r="N535" s="83">
        <v>20</v>
      </c>
      <c r="O535" s="83" t="s">
        <v>1889</v>
      </c>
      <c r="P535" s="83">
        <v>17</v>
      </c>
      <c r="Q535" s="83" t="s">
        <v>1252</v>
      </c>
      <c r="R535" s="84">
        <v>24</v>
      </c>
      <c r="S535" s="26">
        <v>3677</v>
      </c>
      <c r="T535" s="26" t="s">
        <v>1571</v>
      </c>
      <c r="U535" s="26" t="s">
        <v>1572</v>
      </c>
      <c r="V535" s="26" t="s">
        <v>1573</v>
      </c>
      <c r="W535" s="63">
        <v>44562</v>
      </c>
      <c r="X535" s="63">
        <v>44815</v>
      </c>
      <c r="Y535" s="63">
        <v>45101</v>
      </c>
      <c r="Z535" s="63">
        <v>45169</v>
      </c>
      <c r="AA535" s="22" t="s">
        <v>1109</v>
      </c>
      <c r="AB535" s="23"/>
      <c r="AC535" s="23" t="s">
        <v>731</v>
      </c>
      <c r="AD535" s="23" t="s">
        <v>731</v>
      </c>
      <c r="AE535" s="23"/>
      <c r="AF535" s="23" t="s">
        <v>731</v>
      </c>
      <c r="AG535" s="23" t="s">
        <v>731</v>
      </c>
      <c r="AH535" s="23" t="s">
        <v>731</v>
      </c>
      <c r="AI535" s="23" t="s">
        <v>731</v>
      </c>
      <c r="AJ535" s="23" t="s">
        <v>731</v>
      </c>
      <c r="AK535" s="23"/>
      <c r="AL535" s="23"/>
      <c r="AM535" s="23"/>
      <c r="AN535" s="23"/>
      <c r="AO535" s="23"/>
      <c r="AP535" s="23"/>
      <c r="AQ535" s="23"/>
      <c r="AR535" s="23"/>
      <c r="AS535" s="23"/>
      <c r="AT535" s="23"/>
      <c r="AU535" s="23"/>
      <c r="AV535" s="42">
        <v>10</v>
      </c>
      <c r="AY535" s="42"/>
      <c r="AZ535" s="42"/>
      <c r="BB535" s="45">
        <v>1</v>
      </c>
      <c r="BC535" s="41">
        <f>IF(AND((AV535/I535)&lt;2,BB535=1),(I535*2)-AV535,0)</f>
        <v>0</v>
      </c>
      <c r="BD535" s="41">
        <f>IF(AND((AV535/I535)&lt;3,BB535=2),(I535*3)-AV535,0)</f>
        <v>0</v>
      </c>
      <c r="BG535" s="41">
        <f>IF((AV535+AW535+AX535)&lt;20,(20-(AV535+AW535+AX535)),0)</f>
        <v>10</v>
      </c>
      <c r="BH535" s="18">
        <v>7</v>
      </c>
      <c r="BI535" s="18">
        <v>0</v>
      </c>
      <c r="BJ535" s="18">
        <v>0</v>
      </c>
      <c r="BK535" s="18">
        <v>0</v>
      </c>
      <c r="BL535" s="18">
        <v>0</v>
      </c>
      <c r="BM535" s="55">
        <f>SUM(AV535:AX535)+SUM(BC535:BD535)+SUM(BE535:BF535)+BG535</f>
        <v>20</v>
      </c>
      <c r="BN535" s="55"/>
      <c r="BO535" s="55"/>
      <c r="BP535" s="55"/>
      <c r="BQ535" s="55"/>
      <c r="BR535" s="55"/>
      <c r="BS535" s="55"/>
      <c r="BT535" s="55"/>
      <c r="BU535" s="55"/>
      <c r="BV535" s="55"/>
      <c r="BW535" s="55"/>
      <c r="BX535" s="55"/>
      <c r="BY535" s="55"/>
    </row>
    <row r="536" spans="1:78" ht="25.5">
      <c r="A536" s="156" t="s">
        <v>2065</v>
      </c>
      <c r="B536" s="157">
        <v>524</v>
      </c>
      <c r="C536" s="158">
        <v>302</v>
      </c>
      <c r="D536" s="158">
        <v>465</v>
      </c>
      <c r="E536" s="160">
        <v>0.30902777777777779</v>
      </c>
      <c r="F536" s="160">
        <v>0.31388888888888888</v>
      </c>
      <c r="G536" s="158" t="s">
        <v>289</v>
      </c>
      <c r="H536" s="158" t="s">
        <v>97</v>
      </c>
      <c r="I536" s="161">
        <v>3</v>
      </c>
      <c r="J536" s="162" t="s">
        <v>93</v>
      </c>
      <c r="K536" s="169">
        <v>208</v>
      </c>
      <c r="L536" s="164" t="s">
        <v>716</v>
      </c>
      <c r="M536" s="179" t="s">
        <v>893</v>
      </c>
      <c r="N536" s="179">
        <v>20</v>
      </c>
      <c r="O536" s="179" t="s">
        <v>1889</v>
      </c>
      <c r="P536" s="179">
        <v>17</v>
      </c>
      <c r="Q536" s="179" t="s">
        <v>1252</v>
      </c>
      <c r="R536" s="183">
        <v>24</v>
      </c>
      <c r="S536" s="170">
        <v>3677</v>
      </c>
      <c r="T536" s="170" t="s">
        <v>1571</v>
      </c>
      <c r="U536" s="170" t="s">
        <v>1572</v>
      </c>
      <c r="V536" s="170" t="s">
        <v>1573</v>
      </c>
      <c r="W536" s="180">
        <v>44816</v>
      </c>
      <c r="X536" s="206">
        <v>44944</v>
      </c>
      <c r="Y536" s="180"/>
      <c r="Z536" s="180"/>
      <c r="AA536" s="170" t="s">
        <v>1106</v>
      </c>
      <c r="AB536" s="181"/>
      <c r="AC536" s="181"/>
      <c r="AD536" s="181"/>
      <c r="AE536" s="181" t="s">
        <v>731</v>
      </c>
      <c r="AF536" s="181" t="s">
        <v>731</v>
      </c>
      <c r="AG536" s="181" t="s">
        <v>731</v>
      </c>
      <c r="AH536" s="181" t="s">
        <v>731</v>
      </c>
      <c r="AI536" s="181" t="s">
        <v>731</v>
      </c>
      <c r="AJ536" s="181" t="s">
        <v>731</v>
      </c>
      <c r="AK536" s="181" t="s">
        <v>731</v>
      </c>
      <c r="AL536" s="181"/>
      <c r="AM536" s="181"/>
      <c r="AN536" s="181"/>
      <c r="AO536" s="181"/>
      <c r="AP536" s="181"/>
      <c r="AQ536" s="181"/>
      <c r="AR536" s="181"/>
      <c r="AS536" s="181"/>
      <c r="AT536" s="181"/>
      <c r="AU536" s="181"/>
      <c r="AV536" s="168">
        <v>19.41</v>
      </c>
      <c r="AW536" s="168"/>
      <c r="AX536" s="166"/>
      <c r="AY536" s="168"/>
      <c r="AZ536" s="168"/>
      <c r="BA536" s="166"/>
      <c r="BB536" s="166">
        <v>1</v>
      </c>
      <c r="BC536" s="168">
        <f>IF(AND((AV536/I536)&lt;2,BB536=1),(I536*2)-AV536,0)</f>
        <v>0</v>
      </c>
      <c r="BD536" s="168">
        <f>IF(AND((AV536/I536)&lt;3,BB536=2),(I536*3)-AV536,0)</f>
        <v>0</v>
      </c>
      <c r="BE536" s="166"/>
      <c r="BF536" s="166"/>
      <c r="BG536" s="166"/>
      <c r="BH536" s="18">
        <v>17</v>
      </c>
      <c r="BI536" s="18">
        <v>25</v>
      </c>
      <c r="BJ536" s="18">
        <v>25</v>
      </c>
      <c r="BK536" s="18">
        <v>18</v>
      </c>
      <c r="BL536" s="77">
        <v>11</v>
      </c>
      <c r="BM536" s="55">
        <f>SUM(AV536:AX536)+SUM(BC536:BD536)+SUM(BE536:BF536)+BG536</f>
        <v>19.41</v>
      </c>
      <c r="BN536" s="55"/>
      <c r="BO536" s="55"/>
      <c r="BP536" s="55"/>
      <c r="BQ536" s="55"/>
      <c r="BR536" s="55"/>
      <c r="BS536" s="55"/>
      <c r="BT536" s="55"/>
      <c r="BU536" s="55"/>
      <c r="BV536" s="55"/>
      <c r="BW536" s="55"/>
      <c r="BX536" s="55"/>
      <c r="BY536" s="55"/>
    </row>
    <row r="537" spans="1:78" ht="25.5">
      <c r="B537" s="89">
        <v>525</v>
      </c>
      <c r="C537" s="93">
        <v>302</v>
      </c>
      <c r="D537" s="93">
        <v>465</v>
      </c>
      <c r="E537" s="94">
        <v>0.3125</v>
      </c>
      <c r="F537" s="94">
        <v>0.31736111111111115</v>
      </c>
      <c r="G537" s="93" t="s">
        <v>289</v>
      </c>
      <c r="H537" s="93" t="s">
        <v>290</v>
      </c>
      <c r="I537" s="96">
        <v>3</v>
      </c>
      <c r="J537" s="97" t="s">
        <v>93</v>
      </c>
      <c r="K537" s="98">
        <v>11</v>
      </c>
      <c r="L537" s="99" t="s">
        <v>716</v>
      </c>
      <c r="M537" s="83" t="s">
        <v>893</v>
      </c>
      <c r="N537" s="83">
        <v>20</v>
      </c>
      <c r="O537" s="83" t="s">
        <v>1889</v>
      </c>
      <c r="P537" s="83">
        <v>17</v>
      </c>
      <c r="Q537" s="83" t="s">
        <v>1252</v>
      </c>
      <c r="R537" s="84">
        <v>24</v>
      </c>
      <c r="S537" s="26">
        <v>3677</v>
      </c>
      <c r="T537" s="26" t="s">
        <v>1571</v>
      </c>
      <c r="U537" s="26" t="s">
        <v>1572</v>
      </c>
      <c r="V537" s="26" t="s">
        <v>1573</v>
      </c>
      <c r="W537" s="63">
        <v>44562</v>
      </c>
      <c r="X537" s="63">
        <v>44815</v>
      </c>
      <c r="Y537" s="63">
        <v>45101</v>
      </c>
      <c r="Z537" s="63">
        <v>45169</v>
      </c>
      <c r="AA537" s="27" t="s">
        <v>1141</v>
      </c>
      <c r="AB537" s="23"/>
      <c r="AC537" s="23" t="s">
        <v>731</v>
      </c>
      <c r="AD537" s="23" t="s">
        <v>731</v>
      </c>
      <c r="AE537" s="23"/>
      <c r="AF537" s="23"/>
      <c r="AG537" s="23"/>
      <c r="AH537" s="23"/>
      <c r="AI537" s="23" t="s">
        <v>731</v>
      </c>
      <c r="AJ537" s="23"/>
      <c r="AK537" s="23"/>
      <c r="AL537" s="23"/>
      <c r="AM537" s="23"/>
      <c r="AN537" s="23"/>
      <c r="AO537" s="23"/>
      <c r="AP537" s="23"/>
      <c r="AQ537" s="23"/>
      <c r="AR537" s="23"/>
      <c r="AS537" s="23"/>
      <c r="AT537" s="23"/>
      <c r="AU537" s="23"/>
      <c r="AV537" s="42">
        <v>18</v>
      </c>
      <c r="AY537" s="42"/>
      <c r="AZ537" s="42"/>
      <c r="BB537" s="45">
        <v>1</v>
      </c>
      <c r="BC537" s="41">
        <f>IF(AND((AV537/I537)&lt;2,BB537=1),(I537*2)-AV537,0)</f>
        <v>0</v>
      </c>
      <c r="BD537" s="41">
        <f>IF(AND((AV537/I537)&lt;3,BB537=2),(I537*3)-AV537,0)</f>
        <v>0</v>
      </c>
      <c r="BG537" s="18"/>
      <c r="BH537" s="18">
        <v>2</v>
      </c>
      <c r="BI537" s="18">
        <v>0</v>
      </c>
      <c r="BJ537" s="18">
        <v>0</v>
      </c>
      <c r="BK537" s="18">
        <v>0</v>
      </c>
      <c r="BL537" s="18">
        <v>0</v>
      </c>
      <c r="BM537" s="55">
        <f>SUM(AV537:AX537)+SUM(BC537:BD537)+SUM(BE537:BF537)+BG537</f>
        <v>18</v>
      </c>
      <c r="BN537" s="55"/>
      <c r="BO537" s="55"/>
      <c r="BP537" s="55"/>
      <c r="BQ537" s="55"/>
      <c r="BR537" s="55"/>
      <c r="BS537" s="55"/>
      <c r="BT537" s="55"/>
      <c r="BU537" s="55"/>
      <c r="BV537" s="55"/>
      <c r="BW537" s="55"/>
      <c r="BX537" s="55"/>
      <c r="BY537" s="55"/>
    </row>
    <row r="538" spans="1:78" ht="25.5">
      <c r="B538" s="89">
        <v>526</v>
      </c>
      <c r="C538" s="93">
        <v>302</v>
      </c>
      <c r="D538" s="93">
        <v>149</v>
      </c>
      <c r="E538" s="94">
        <v>0.3520833333333333</v>
      </c>
      <c r="F538" s="94">
        <v>0.38541666666666669</v>
      </c>
      <c r="G538" s="93" t="s">
        <v>448</v>
      </c>
      <c r="H538" s="93" t="s">
        <v>449</v>
      </c>
      <c r="I538" s="96">
        <v>25</v>
      </c>
      <c r="J538" s="97" t="s">
        <v>93</v>
      </c>
      <c r="K538" s="98">
        <v>47</v>
      </c>
      <c r="L538" s="99" t="s">
        <v>2013</v>
      </c>
      <c r="M538" s="193" t="s">
        <v>2012</v>
      </c>
      <c r="N538" s="193">
        <v>23</v>
      </c>
      <c r="O538" s="83" t="s">
        <v>2010</v>
      </c>
      <c r="P538" s="83">
        <v>24</v>
      </c>
      <c r="Q538" s="83" t="s">
        <v>2011</v>
      </c>
      <c r="R538" s="83">
        <v>23</v>
      </c>
      <c r="S538" s="26">
        <v>3695</v>
      </c>
      <c r="T538" s="26" t="s">
        <v>1574</v>
      </c>
      <c r="U538" s="26">
        <v>1</v>
      </c>
      <c r="V538" s="26" t="s">
        <v>1312</v>
      </c>
      <c r="W538" s="63">
        <v>44816</v>
      </c>
      <c r="X538" s="63">
        <v>45100</v>
      </c>
      <c r="Y538" s="63"/>
      <c r="Z538" s="63"/>
      <c r="AA538" s="23" t="s">
        <v>1103</v>
      </c>
      <c r="AB538" s="23" t="s">
        <v>731</v>
      </c>
      <c r="AC538" s="23"/>
      <c r="AD538" s="23"/>
      <c r="AE538" s="23"/>
      <c r="AF538" s="23"/>
      <c r="AG538" s="23"/>
      <c r="AH538" s="23"/>
      <c r="AI538" s="23"/>
      <c r="AJ538" s="23"/>
      <c r="AK538" s="23"/>
      <c r="AL538" s="23" t="s">
        <v>731</v>
      </c>
      <c r="AM538" s="23"/>
      <c r="AN538" s="23"/>
      <c r="AO538" s="23"/>
      <c r="AP538" s="23"/>
      <c r="AQ538" s="23"/>
      <c r="AR538" s="23"/>
      <c r="AS538" s="23"/>
      <c r="AT538" s="23"/>
      <c r="AU538" s="23"/>
      <c r="AV538" s="42">
        <v>75</v>
      </c>
      <c r="AY538" s="42"/>
      <c r="AZ538" s="42"/>
      <c r="BB538" s="45">
        <v>1</v>
      </c>
      <c r="BC538" s="41">
        <f>IF(AND((AV538/I538)&lt;2,BB538=1),(I538*2)-AV538,0)</f>
        <v>0</v>
      </c>
      <c r="BD538" s="41">
        <f>IF(AND((AV538/I538)&lt;3,BB538=2),(I538*3)-AV538,0)</f>
        <v>0</v>
      </c>
      <c r="BG538" s="18"/>
      <c r="BH538" s="18">
        <v>2</v>
      </c>
      <c r="BI538" s="18">
        <v>5</v>
      </c>
      <c r="BJ538" s="18">
        <v>5</v>
      </c>
      <c r="BK538" s="18">
        <v>6</v>
      </c>
      <c r="BL538" s="18">
        <v>6</v>
      </c>
      <c r="BM538" s="55">
        <f>SUM(AV538:AX538)+SUM(BC538:BD538)+SUM(BE538:BF538)+BG538</f>
        <v>75</v>
      </c>
      <c r="BN538" s="55"/>
      <c r="BO538" s="55"/>
      <c r="BP538" s="55"/>
      <c r="BQ538" s="55"/>
      <c r="BR538" s="55"/>
      <c r="BS538" s="55"/>
      <c r="BT538" s="55"/>
      <c r="BU538" s="55"/>
      <c r="BV538" s="55"/>
      <c r="BW538" s="55"/>
      <c r="BX538" s="55"/>
      <c r="BY538" s="55"/>
    </row>
    <row r="539" spans="1:78" ht="25.5">
      <c r="B539" s="89">
        <v>527</v>
      </c>
      <c r="C539" s="93">
        <v>302</v>
      </c>
      <c r="D539" s="93">
        <v>149</v>
      </c>
      <c r="E539" s="94">
        <v>0.3520833333333333</v>
      </c>
      <c r="F539" s="94">
        <v>0.38541666666666669</v>
      </c>
      <c r="G539" s="93" t="s">
        <v>628</v>
      </c>
      <c r="H539" s="93" t="s">
        <v>549</v>
      </c>
      <c r="I539" s="96">
        <v>25</v>
      </c>
      <c r="J539" s="97" t="s">
        <v>156</v>
      </c>
      <c r="K539" s="98">
        <v>13</v>
      </c>
      <c r="L539" s="99" t="s">
        <v>2013</v>
      </c>
      <c r="M539" s="193" t="s">
        <v>2012</v>
      </c>
      <c r="N539" s="193">
        <v>23</v>
      </c>
      <c r="O539" s="83" t="s">
        <v>2010</v>
      </c>
      <c r="P539" s="83">
        <v>24</v>
      </c>
      <c r="Q539" s="83" t="s">
        <v>2011</v>
      </c>
      <c r="R539" s="83">
        <v>23</v>
      </c>
      <c r="S539" s="26">
        <v>3695</v>
      </c>
      <c r="T539" s="26" t="s">
        <v>1574</v>
      </c>
      <c r="U539" s="26">
        <v>1</v>
      </c>
      <c r="V539" s="26" t="s">
        <v>1312</v>
      </c>
      <c r="W539" s="63">
        <v>44562</v>
      </c>
      <c r="X539" s="63">
        <v>44815</v>
      </c>
      <c r="Y539" s="63">
        <v>45101</v>
      </c>
      <c r="Z539" s="63">
        <v>45169</v>
      </c>
      <c r="AA539" s="17" t="s">
        <v>1104</v>
      </c>
      <c r="AB539" s="23"/>
      <c r="AC539" s="23" t="s">
        <v>731</v>
      </c>
      <c r="AD539" s="23"/>
      <c r="AE539" s="23"/>
      <c r="AF539" s="23"/>
      <c r="AG539" s="23"/>
      <c r="AH539" s="23"/>
      <c r="AI539" s="23"/>
      <c r="AJ539" s="23"/>
      <c r="AK539" s="23"/>
      <c r="AL539" s="23" t="s">
        <v>731</v>
      </c>
      <c r="AM539" s="23"/>
      <c r="AN539" s="23"/>
      <c r="AO539" s="23"/>
      <c r="AP539" s="23"/>
      <c r="AQ539" s="23"/>
      <c r="AR539" s="23"/>
      <c r="AS539" s="23"/>
      <c r="AT539" s="23"/>
      <c r="AU539" s="23"/>
      <c r="AV539" s="42">
        <v>75</v>
      </c>
      <c r="AY539" s="42"/>
      <c r="AZ539" s="42"/>
      <c r="BB539" s="45">
        <v>1</v>
      </c>
      <c r="BC539" s="41">
        <f>IF(AND((AV539/I539)&lt;2,BB539=1),(I539*2)-AV539,0)</f>
        <v>0</v>
      </c>
      <c r="BD539" s="41">
        <f>IF(AND((AV539/I539)&lt;3,BB539=2),(I539*3)-AV539,0)</f>
        <v>0</v>
      </c>
      <c r="BG539" s="18"/>
      <c r="BH539" s="18">
        <v>2</v>
      </c>
      <c r="BI539" s="18">
        <v>0</v>
      </c>
      <c r="BJ539" s="18">
        <v>0</v>
      </c>
      <c r="BK539" s="18">
        <v>0</v>
      </c>
      <c r="BL539" s="18">
        <v>0</v>
      </c>
      <c r="BM539" s="55">
        <f>SUM(AV539:AX539)+SUM(BC539:BD539)+SUM(BE539:BF539)+BG539</f>
        <v>75</v>
      </c>
      <c r="BN539" s="55"/>
      <c r="BO539" s="55"/>
      <c r="BP539" s="55"/>
      <c r="BQ539" s="55"/>
      <c r="BR539" s="55"/>
      <c r="BS539" s="55"/>
      <c r="BT539" s="55"/>
      <c r="BU539" s="55"/>
      <c r="BV539" s="55"/>
      <c r="BW539" s="55"/>
      <c r="BX539" s="55"/>
      <c r="BY539" s="55"/>
    </row>
    <row r="540" spans="1:78" ht="45">
      <c r="B540" s="89">
        <v>528</v>
      </c>
      <c r="C540" s="93">
        <v>302</v>
      </c>
      <c r="D540" s="93">
        <v>154</v>
      </c>
      <c r="E540" s="94">
        <v>0.49374999999999997</v>
      </c>
      <c r="F540" s="105">
        <v>0.50972222222222219</v>
      </c>
      <c r="G540" s="93" t="s">
        <v>162</v>
      </c>
      <c r="H540" s="93" t="s">
        <v>478</v>
      </c>
      <c r="I540" s="96">
        <v>12</v>
      </c>
      <c r="J540" s="97" t="s">
        <v>156</v>
      </c>
      <c r="K540" s="98">
        <v>240</v>
      </c>
      <c r="L540" s="99" t="s">
        <v>2013</v>
      </c>
      <c r="M540" s="193" t="s">
        <v>2012</v>
      </c>
      <c r="N540" s="193">
        <v>23</v>
      </c>
      <c r="O540" s="83" t="s">
        <v>2010</v>
      </c>
      <c r="P540" s="83">
        <v>24</v>
      </c>
      <c r="Q540" s="83" t="s">
        <v>2014</v>
      </c>
      <c r="R540" s="83" t="s">
        <v>2015</v>
      </c>
      <c r="S540" s="26">
        <v>3640</v>
      </c>
      <c r="T540" s="26" t="s">
        <v>1575</v>
      </c>
      <c r="U540" s="26">
        <v>3695</v>
      </c>
      <c r="V540" s="26" t="s">
        <v>1574</v>
      </c>
      <c r="W540" s="63">
        <v>44816</v>
      </c>
      <c r="X540" s="63">
        <v>45100</v>
      </c>
      <c r="Y540" s="63"/>
      <c r="Z540" s="63"/>
      <c r="AA540" s="26" t="s">
        <v>1112</v>
      </c>
      <c r="AB540" s="23" t="s">
        <v>731</v>
      </c>
      <c r="AC540" s="23"/>
      <c r="AD540" s="23" t="s">
        <v>731</v>
      </c>
      <c r="AE540" s="23"/>
      <c r="AF540" s="23" t="s">
        <v>731</v>
      </c>
      <c r="AG540" s="23" t="s">
        <v>731</v>
      </c>
      <c r="AH540" s="23" t="s">
        <v>731</v>
      </c>
      <c r="AI540" s="23" t="s">
        <v>731</v>
      </c>
      <c r="AJ540" s="23" t="s">
        <v>731</v>
      </c>
      <c r="AK540" s="23" t="s">
        <v>731</v>
      </c>
      <c r="AL540" s="23"/>
      <c r="AM540" s="23"/>
      <c r="AN540" s="23"/>
      <c r="AO540" s="23"/>
      <c r="AP540" s="23"/>
      <c r="AQ540" s="23"/>
      <c r="AR540" s="23"/>
      <c r="AS540" s="23"/>
      <c r="AT540" s="23"/>
      <c r="AU540" s="23"/>
      <c r="AV540" s="42">
        <v>46.16</v>
      </c>
      <c r="AY540" s="42"/>
      <c r="AZ540" s="42"/>
      <c r="BB540" s="45">
        <v>1</v>
      </c>
      <c r="BC540" s="41">
        <f>IF(AND((AV540/I540)&lt;2,BB540=1),(I540*2)-AV540,0)</f>
        <v>0</v>
      </c>
      <c r="BD540" s="41">
        <f>IF(AND((AV540/I540)&lt;3,BB540=2),(I540*3)-AV540,0)</f>
        <v>0</v>
      </c>
      <c r="BG540" s="18"/>
      <c r="BH540" s="18">
        <v>17</v>
      </c>
      <c r="BI540" s="18">
        <v>26</v>
      </c>
      <c r="BJ540" s="18">
        <v>25</v>
      </c>
      <c r="BK540" s="18">
        <v>25</v>
      </c>
      <c r="BL540" s="18">
        <v>25</v>
      </c>
      <c r="BM540" s="55">
        <f>SUM(AV540:AX540)+SUM(BC540:BD540)+SUM(BE540:BF540)+BG540</f>
        <v>46.16</v>
      </c>
      <c r="BN540" s="55"/>
      <c r="BO540" s="55"/>
      <c r="BP540" s="55"/>
      <c r="BQ540" s="55"/>
      <c r="BR540" s="55"/>
      <c r="BS540" s="55"/>
      <c r="BT540" s="55"/>
      <c r="BU540" s="55"/>
      <c r="BV540" s="55"/>
      <c r="BW540" s="55"/>
      <c r="BX540" s="55"/>
      <c r="BY540" s="55"/>
    </row>
    <row r="541" spans="1:78" ht="45">
      <c r="B541" s="89">
        <v>529</v>
      </c>
      <c r="C541" s="93">
        <v>302</v>
      </c>
      <c r="D541" s="93">
        <v>537</v>
      </c>
      <c r="E541" s="94">
        <v>0.51041666666666663</v>
      </c>
      <c r="F541" s="94">
        <v>0.54374999999999996</v>
      </c>
      <c r="G541" s="93" t="s">
        <v>158</v>
      </c>
      <c r="H541" s="93" t="s">
        <v>478</v>
      </c>
      <c r="I541" s="96">
        <v>25</v>
      </c>
      <c r="J541" s="97" t="s">
        <v>156</v>
      </c>
      <c r="K541" s="98">
        <v>240</v>
      </c>
      <c r="L541" s="99" t="s">
        <v>2013</v>
      </c>
      <c r="M541" s="193" t="s">
        <v>2012</v>
      </c>
      <c r="N541" s="193">
        <v>23</v>
      </c>
      <c r="O541" s="83" t="s">
        <v>2010</v>
      </c>
      <c r="P541" s="83">
        <v>24</v>
      </c>
      <c r="Q541" s="83" t="s">
        <v>2014</v>
      </c>
      <c r="R541" s="83" t="s">
        <v>2015</v>
      </c>
      <c r="S541" s="26">
        <v>3695</v>
      </c>
      <c r="T541" s="26" t="s">
        <v>1574</v>
      </c>
      <c r="U541" s="26">
        <v>1</v>
      </c>
      <c r="V541" s="26" t="s">
        <v>1312</v>
      </c>
      <c r="W541" s="63">
        <v>44816</v>
      </c>
      <c r="X541" s="63">
        <v>45100</v>
      </c>
      <c r="Y541" s="63"/>
      <c r="Z541" s="63"/>
      <c r="AA541" s="26" t="s">
        <v>1112</v>
      </c>
      <c r="AB541" s="23" t="s">
        <v>731</v>
      </c>
      <c r="AC541" s="23"/>
      <c r="AD541" s="23" t="s">
        <v>731</v>
      </c>
      <c r="AE541" s="23"/>
      <c r="AF541" s="23" t="s">
        <v>731</v>
      </c>
      <c r="AG541" s="23" t="s">
        <v>731</v>
      </c>
      <c r="AH541" s="23" t="s">
        <v>731</v>
      </c>
      <c r="AI541" s="23" t="s">
        <v>731</v>
      </c>
      <c r="AJ541" s="23" t="s">
        <v>731</v>
      </c>
      <c r="AK541" s="23" t="s">
        <v>731</v>
      </c>
      <c r="AL541" s="23"/>
      <c r="AM541" s="23"/>
      <c r="AN541" s="23"/>
      <c r="AO541" s="23"/>
      <c r="AP541" s="23"/>
      <c r="AQ541" s="23"/>
      <c r="AR541" s="23"/>
      <c r="AS541" s="23"/>
      <c r="AT541" s="23"/>
      <c r="AU541" s="23"/>
      <c r="AV541" s="42">
        <v>46.16</v>
      </c>
      <c r="AY541" s="42"/>
      <c r="AZ541" s="42"/>
      <c r="BB541" s="45">
        <v>1</v>
      </c>
      <c r="BC541" s="41">
        <f>IF(AND((AV541/I541)&lt;2,BB541=1),(I541*2)-AV541,0)</f>
        <v>3.8400000000000034</v>
      </c>
      <c r="BD541" s="41">
        <f>IF(AND((AV541/I541)&lt;3,BB541=2),(I541*3)-AV541,0)</f>
        <v>0</v>
      </c>
      <c r="BG541" s="18"/>
      <c r="BH541" s="18">
        <v>17</v>
      </c>
      <c r="BI541" s="18">
        <v>26</v>
      </c>
      <c r="BJ541" s="18">
        <v>25</v>
      </c>
      <c r="BK541" s="18">
        <v>25</v>
      </c>
      <c r="BL541" s="18">
        <v>25</v>
      </c>
      <c r="BM541" s="55">
        <f>SUM(AV541:AX541)+SUM(BC541:BD541)+SUM(BE541:BF541)+BG541</f>
        <v>50</v>
      </c>
      <c r="BN541" s="55"/>
      <c r="BO541" s="55"/>
      <c r="BP541" s="55"/>
      <c r="BQ541" s="55"/>
      <c r="BR541" s="55"/>
      <c r="BS541" s="55"/>
      <c r="BT541" s="55"/>
      <c r="BU541" s="55"/>
      <c r="BV541" s="55"/>
      <c r="BW541" s="55"/>
      <c r="BX541" s="55"/>
      <c r="BY541" s="55"/>
    </row>
    <row r="542" spans="1:78" ht="25.5">
      <c r="B542" s="89">
        <v>530</v>
      </c>
      <c r="C542" s="93">
        <v>302</v>
      </c>
      <c r="D542" s="93">
        <v>156</v>
      </c>
      <c r="E542" s="94">
        <v>0.51388888888888895</v>
      </c>
      <c r="F542" s="94">
        <v>0.55694444444444446</v>
      </c>
      <c r="G542" s="93" t="s">
        <v>160</v>
      </c>
      <c r="H542" s="93" t="s">
        <v>549</v>
      </c>
      <c r="I542" s="96">
        <v>25</v>
      </c>
      <c r="J542" s="97" t="s">
        <v>156</v>
      </c>
      <c r="K542" s="98">
        <v>13</v>
      </c>
      <c r="L542" s="99" t="s">
        <v>2013</v>
      </c>
      <c r="M542" s="193" t="s">
        <v>2012</v>
      </c>
      <c r="N542" s="193">
        <v>23</v>
      </c>
      <c r="O542" s="83" t="s">
        <v>2010</v>
      </c>
      <c r="P542" s="83">
        <v>24</v>
      </c>
      <c r="Q542" s="83" t="s">
        <v>2011</v>
      </c>
      <c r="R542" s="83">
        <v>23</v>
      </c>
      <c r="S542" s="26">
        <v>1</v>
      </c>
      <c r="T542" s="26" t="s">
        <v>1309</v>
      </c>
      <c r="U542" s="26">
        <v>3695</v>
      </c>
      <c r="V542" s="26" t="s">
        <v>1574</v>
      </c>
      <c r="W542" s="63">
        <v>44562</v>
      </c>
      <c r="X542" s="63">
        <v>44815</v>
      </c>
      <c r="Y542" s="63">
        <v>45101</v>
      </c>
      <c r="Z542" s="63">
        <v>45169</v>
      </c>
      <c r="AA542" s="17" t="s">
        <v>1104</v>
      </c>
      <c r="AB542" s="25"/>
      <c r="AC542" s="23" t="s">
        <v>731</v>
      </c>
      <c r="AD542" s="23"/>
      <c r="AE542" s="23"/>
      <c r="AF542" s="23"/>
      <c r="AG542" s="23"/>
      <c r="AH542" s="23"/>
      <c r="AI542" s="23"/>
      <c r="AJ542" s="23"/>
      <c r="AK542" s="23"/>
      <c r="AL542" s="23" t="s">
        <v>731</v>
      </c>
      <c r="AM542" s="25"/>
      <c r="AN542" s="25"/>
      <c r="AO542" s="25"/>
      <c r="AP542" s="23"/>
      <c r="AQ542" s="23"/>
      <c r="AR542" s="23"/>
      <c r="AS542" s="23"/>
      <c r="AT542" s="23"/>
      <c r="AU542" s="23"/>
      <c r="AV542" s="42">
        <v>71.239999999999995</v>
      </c>
      <c r="AW542" s="47"/>
      <c r="AX542" s="47"/>
      <c r="AY542" s="42"/>
      <c r="AZ542" s="42"/>
      <c r="BA542" s="47"/>
      <c r="BB542" s="45">
        <v>1</v>
      </c>
      <c r="BC542" s="41">
        <f>IF(AND((AV542/I542)&lt;2,BB542=1),(I542*2)-AV542,0)</f>
        <v>0</v>
      </c>
      <c r="BD542" s="41">
        <f>IF(AND((AV542/I542)&lt;3,BB542=2),(I542*3)-AV542,0)</f>
        <v>0</v>
      </c>
      <c r="BG542" s="18"/>
      <c r="BH542" s="18">
        <v>2</v>
      </c>
      <c r="BI542" s="18">
        <v>0</v>
      </c>
      <c r="BJ542" s="18">
        <v>0</v>
      </c>
      <c r="BK542" s="18">
        <v>0</v>
      </c>
      <c r="BL542" s="18">
        <v>0</v>
      </c>
      <c r="BM542" s="55">
        <f>SUM(AV542:AX542)+SUM(BC542:BD542)+SUM(BE542:BF542)+BG542</f>
        <v>71.239999999999995</v>
      </c>
      <c r="BN542" s="55"/>
      <c r="BO542" s="55"/>
      <c r="BP542" s="55"/>
      <c r="BQ542" s="55"/>
      <c r="BR542" s="55"/>
      <c r="BS542" s="55"/>
      <c r="BT542" s="55"/>
      <c r="BU542" s="55"/>
      <c r="BV542" s="55"/>
      <c r="BW542" s="55"/>
      <c r="BX542" s="55"/>
      <c r="BY542" s="55"/>
    </row>
    <row r="543" spans="1:78" ht="25.5">
      <c r="B543" s="89">
        <v>531</v>
      </c>
      <c r="C543" s="93">
        <v>302</v>
      </c>
      <c r="D543" s="93">
        <v>156</v>
      </c>
      <c r="E543" s="94">
        <v>0.51388888888888895</v>
      </c>
      <c r="F543" s="105">
        <v>0.54722222222222217</v>
      </c>
      <c r="G543" s="93" t="s">
        <v>160</v>
      </c>
      <c r="H543" s="93" t="s">
        <v>443</v>
      </c>
      <c r="I543" s="96">
        <v>25</v>
      </c>
      <c r="J543" s="97" t="s">
        <v>156</v>
      </c>
      <c r="K543" s="98">
        <v>47</v>
      </c>
      <c r="L543" s="99" t="s">
        <v>2013</v>
      </c>
      <c r="M543" s="193" t="s">
        <v>2012</v>
      </c>
      <c r="N543" s="193">
        <v>23</v>
      </c>
      <c r="O543" s="83" t="s">
        <v>2010</v>
      </c>
      <c r="P543" s="83">
        <v>24</v>
      </c>
      <c r="Q543" s="83" t="s">
        <v>2011</v>
      </c>
      <c r="R543" s="83">
        <v>23</v>
      </c>
      <c r="S543" s="26">
        <v>1</v>
      </c>
      <c r="T543" s="26" t="s">
        <v>1309</v>
      </c>
      <c r="U543" s="26">
        <v>3695</v>
      </c>
      <c r="V543" s="26" t="s">
        <v>1574</v>
      </c>
      <c r="W543" s="63">
        <v>44816</v>
      </c>
      <c r="X543" s="63">
        <v>45100</v>
      </c>
      <c r="Y543" s="63"/>
      <c r="Z543" s="63"/>
      <c r="AA543" s="27" t="s">
        <v>1103</v>
      </c>
      <c r="AB543" s="23" t="s">
        <v>731</v>
      </c>
      <c r="AC543" s="23"/>
      <c r="AD543" s="23"/>
      <c r="AE543" s="23"/>
      <c r="AF543" s="23"/>
      <c r="AG543" s="23"/>
      <c r="AH543" s="23"/>
      <c r="AI543" s="23"/>
      <c r="AJ543" s="23"/>
      <c r="AK543" s="23"/>
      <c r="AL543" s="23" t="s">
        <v>731</v>
      </c>
      <c r="AM543" s="25"/>
      <c r="AN543" s="25"/>
      <c r="AO543" s="25"/>
      <c r="AP543" s="23"/>
      <c r="AQ543" s="23"/>
      <c r="AR543" s="23"/>
      <c r="AS543" s="23"/>
      <c r="AT543" s="23"/>
      <c r="AU543" s="23"/>
      <c r="AV543" s="42">
        <v>71.239999999999995</v>
      </c>
      <c r="AW543" s="47"/>
      <c r="AX543" s="47"/>
      <c r="AY543" s="42"/>
      <c r="AZ543" s="42"/>
      <c r="BA543" s="47"/>
      <c r="BB543" s="45">
        <v>1</v>
      </c>
      <c r="BC543" s="41">
        <f>IF(AND((AV543/I543)&lt;2,BB543=1),(I543*2)-AV543,0)</f>
        <v>0</v>
      </c>
      <c r="BD543" s="41">
        <f>IF(AND((AV543/I543)&lt;3,BB543=2),(I543*3)-AV543,0)</f>
        <v>0</v>
      </c>
      <c r="BG543" s="18"/>
      <c r="BH543" s="18">
        <v>2</v>
      </c>
      <c r="BI543" s="18">
        <v>5</v>
      </c>
      <c r="BJ543" s="18">
        <v>5</v>
      </c>
      <c r="BK543" s="18">
        <v>6</v>
      </c>
      <c r="BL543" s="18">
        <v>6</v>
      </c>
      <c r="BM543" s="55">
        <f>SUM(AV543:AX543)+SUM(BC543:BD543)+SUM(BE543:BF543)+BG543</f>
        <v>71.239999999999995</v>
      </c>
      <c r="BN543" s="55"/>
      <c r="BO543" s="55"/>
      <c r="BP543" s="55"/>
      <c r="BQ543" s="55"/>
      <c r="BR543" s="55"/>
      <c r="BS543" s="55"/>
      <c r="BT543" s="55"/>
      <c r="BU543" s="55"/>
      <c r="BV543" s="55"/>
      <c r="BW543" s="55"/>
      <c r="BX543" s="55"/>
      <c r="BY543" s="55"/>
    </row>
    <row r="544" spans="1:78" ht="25.5">
      <c r="B544" s="89">
        <v>532</v>
      </c>
      <c r="C544" s="93">
        <v>302</v>
      </c>
      <c r="D544" s="93">
        <v>462</v>
      </c>
      <c r="E544" s="94">
        <v>0.53680555555555554</v>
      </c>
      <c r="F544" s="94">
        <v>0.54166666666666663</v>
      </c>
      <c r="G544" s="93" t="s">
        <v>288</v>
      </c>
      <c r="H544" s="93" t="s">
        <v>290</v>
      </c>
      <c r="I544" s="96">
        <v>3</v>
      </c>
      <c r="J544" s="97" t="s">
        <v>93</v>
      </c>
      <c r="K544" s="98">
        <v>11</v>
      </c>
      <c r="L544" s="99" t="s">
        <v>716</v>
      </c>
      <c r="M544" s="83" t="s">
        <v>893</v>
      </c>
      <c r="N544" s="83">
        <v>20</v>
      </c>
      <c r="O544" s="83" t="s">
        <v>1889</v>
      </c>
      <c r="P544" s="83">
        <v>17</v>
      </c>
      <c r="Q544" s="83" t="s">
        <v>1252</v>
      </c>
      <c r="R544" s="84">
        <v>24</v>
      </c>
      <c r="S544" s="26" t="s">
        <v>1572</v>
      </c>
      <c r="T544" s="26" t="s">
        <v>1573</v>
      </c>
      <c r="U544" s="26">
        <v>3677</v>
      </c>
      <c r="V544" s="26" t="s">
        <v>1571</v>
      </c>
      <c r="W544" s="63">
        <v>44562</v>
      </c>
      <c r="X544" s="63">
        <v>44815</v>
      </c>
      <c r="Y544" s="63">
        <v>45101</v>
      </c>
      <c r="Z544" s="63">
        <v>45169</v>
      </c>
      <c r="AA544" s="27" t="s">
        <v>1141</v>
      </c>
      <c r="AB544" s="25"/>
      <c r="AC544" s="23" t="s">
        <v>731</v>
      </c>
      <c r="AD544" s="23" t="s">
        <v>731</v>
      </c>
      <c r="AE544" s="23"/>
      <c r="AF544" s="23"/>
      <c r="AG544" s="23"/>
      <c r="AH544" s="23"/>
      <c r="AI544" s="23" t="s">
        <v>731</v>
      </c>
      <c r="AJ544" s="25"/>
      <c r="AK544" s="25"/>
      <c r="AL544" s="25"/>
      <c r="AM544" s="25"/>
      <c r="AN544" s="25"/>
      <c r="AO544" s="25"/>
      <c r="AP544" s="23"/>
      <c r="AQ544" s="23"/>
      <c r="AR544" s="23"/>
      <c r="AS544" s="23"/>
      <c r="AT544" s="25"/>
      <c r="AU544" s="25"/>
      <c r="AV544" s="42">
        <v>18</v>
      </c>
      <c r="AW544" s="47"/>
      <c r="AX544" s="47"/>
      <c r="AY544" s="42"/>
      <c r="AZ544" s="42"/>
      <c r="BA544" s="47"/>
      <c r="BB544" s="45">
        <v>1</v>
      </c>
      <c r="BC544" s="41">
        <f>IF(AND((AV544/I544)&lt;2,BB544=1),(I544*2)-AV544,0)</f>
        <v>0</v>
      </c>
      <c r="BD544" s="41">
        <f>IF(AND((AV544/I544)&lt;3,BB544=2),(I544*3)-AV544,0)</f>
        <v>0</v>
      </c>
      <c r="BG544" s="18"/>
      <c r="BH544" s="18">
        <v>2</v>
      </c>
      <c r="BI544" s="18">
        <v>0</v>
      </c>
      <c r="BJ544" s="18">
        <v>0</v>
      </c>
      <c r="BK544" s="18">
        <v>0</v>
      </c>
      <c r="BL544" s="18">
        <v>0</v>
      </c>
      <c r="BM544" s="55">
        <f>SUM(AV544:AX544)+SUM(BC544:BD544)+SUM(BE544:BF544)+BG544</f>
        <v>18</v>
      </c>
      <c r="BN544" s="55"/>
      <c r="BO544" s="55"/>
      <c r="BP544" s="55"/>
      <c r="BQ544" s="55"/>
      <c r="BR544" s="55"/>
      <c r="BS544" s="55"/>
      <c r="BT544" s="55"/>
      <c r="BU544" s="55"/>
      <c r="BV544" s="55"/>
      <c r="BW544" s="55"/>
      <c r="BX544" s="55"/>
      <c r="BY544" s="55"/>
    </row>
    <row r="545" spans="1:77" ht="25.5">
      <c r="A545" s="156" t="s">
        <v>2065</v>
      </c>
      <c r="B545" s="157">
        <v>533</v>
      </c>
      <c r="C545" s="158">
        <v>302</v>
      </c>
      <c r="D545" s="158">
        <v>462</v>
      </c>
      <c r="E545" s="160">
        <v>0.54374999999999996</v>
      </c>
      <c r="F545" s="160">
        <v>0.54861111111111105</v>
      </c>
      <c r="G545" s="158" t="s">
        <v>288</v>
      </c>
      <c r="H545" s="158" t="s">
        <v>97</v>
      </c>
      <c r="I545" s="161">
        <v>3</v>
      </c>
      <c r="J545" s="162" t="s">
        <v>93</v>
      </c>
      <c r="K545" s="169">
        <v>208</v>
      </c>
      <c r="L545" s="164" t="s">
        <v>716</v>
      </c>
      <c r="M545" s="179" t="s">
        <v>893</v>
      </c>
      <c r="N545" s="179">
        <v>20</v>
      </c>
      <c r="O545" s="179" t="s">
        <v>1889</v>
      </c>
      <c r="P545" s="179">
        <v>17</v>
      </c>
      <c r="Q545" s="179" t="s">
        <v>1252</v>
      </c>
      <c r="R545" s="183">
        <v>24</v>
      </c>
      <c r="S545" s="170" t="s">
        <v>1572</v>
      </c>
      <c r="T545" s="170" t="s">
        <v>1573</v>
      </c>
      <c r="U545" s="170">
        <v>3677</v>
      </c>
      <c r="V545" s="170" t="s">
        <v>1571</v>
      </c>
      <c r="W545" s="180">
        <v>44816</v>
      </c>
      <c r="X545" s="206">
        <v>44944</v>
      </c>
      <c r="Y545" s="180"/>
      <c r="Z545" s="180"/>
      <c r="AA545" s="170" t="s">
        <v>1106</v>
      </c>
      <c r="AB545" s="181"/>
      <c r="AC545" s="181"/>
      <c r="AD545" s="181"/>
      <c r="AE545" s="181" t="s">
        <v>731</v>
      </c>
      <c r="AF545" s="181" t="s">
        <v>731</v>
      </c>
      <c r="AG545" s="181" t="s">
        <v>731</v>
      </c>
      <c r="AH545" s="181" t="s">
        <v>731</v>
      </c>
      <c r="AI545" s="181" t="s">
        <v>731</v>
      </c>
      <c r="AJ545" s="181" t="s">
        <v>731</v>
      </c>
      <c r="AK545" s="181" t="s">
        <v>731</v>
      </c>
      <c r="AL545" s="181"/>
      <c r="AM545" s="181"/>
      <c r="AN545" s="181"/>
      <c r="AO545" s="181"/>
      <c r="AP545" s="181"/>
      <c r="AQ545" s="181"/>
      <c r="AR545" s="181"/>
      <c r="AS545" s="181"/>
      <c r="AT545" s="181"/>
      <c r="AU545" s="181"/>
      <c r="AV545" s="168">
        <v>19.41</v>
      </c>
      <c r="AW545" s="166"/>
      <c r="AX545" s="166"/>
      <c r="AY545" s="168"/>
      <c r="AZ545" s="168"/>
      <c r="BA545" s="166"/>
      <c r="BB545" s="166">
        <v>1</v>
      </c>
      <c r="BC545" s="168">
        <f>IF(AND((AV545/I545)&lt;2,BB545=1),(I545*2)-AV545,0)</f>
        <v>0</v>
      </c>
      <c r="BD545" s="168">
        <f>IF(AND((AV545/I545)&lt;3,BB545=2),(I545*3)-AV545,0)</f>
        <v>0</v>
      </c>
      <c r="BE545" s="166"/>
      <c r="BF545" s="166"/>
      <c r="BG545" s="166"/>
      <c r="BH545" s="18">
        <v>17</v>
      </c>
      <c r="BI545" s="18">
        <v>25</v>
      </c>
      <c r="BJ545" s="18">
        <v>25</v>
      </c>
      <c r="BK545" s="18">
        <v>18</v>
      </c>
      <c r="BL545" s="77">
        <v>11</v>
      </c>
      <c r="BM545" s="55">
        <f>SUM(AV545:AX545)+SUM(BC545:BD545)+SUM(BE545:BF545)+BG545</f>
        <v>19.41</v>
      </c>
      <c r="BN545" s="55"/>
      <c r="BO545" s="55"/>
      <c r="BP545" s="55"/>
      <c r="BQ545" s="55"/>
      <c r="BR545" s="55"/>
      <c r="BS545" s="55"/>
      <c r="BT545" s="55"/>
      <c r="BU545" s="55"/>
      <c r="BV545" s="55"/>
      <c r="BW545" s="55"/>
      <c r="BX545" s="55"/>
      <c r="BY545" s="55"/>
    </row>
    <row r="546" spans="1:77" ht="25.5">
      <c r="B546" s="89">
        <v>534</v>
      </c>
      <c r="C546" s="93">
        <v>302</v>
      </c>
      <c r="D546" s="93">
        <v>421</v>
      </c>
      <c r="E546" s="94">
        <v>0.56597222222222221</v>
      </c>
      <c r="F546" s="94">
        <v>0.60555555555555551</v>
      </c>
      <c r="G546" s="93" t="s">
        <v>158</v>
      </c>
      <c r="H546" s="93" t="s">
        <v>549</v>
      </c>
      <c r="I546" s="96">
        <v>25</v>
      </c>
      <c r="J546" s="97" t="s">
        <v>156</v>
      </c>
      <c r="K546" s="98">
        <v>13</v>
      </c>
      <c r="L546" s="99" t="s">
        <v>2013</v>
      </c>
      <c r="M546" s="193" t="s">
        <v>2012</v>
      </c>
      <c r="N546" s="193">
        <v>23</v>
      </c>
      <c r="O546" s="83" t="s">
        <v>2010</v>
      </c>
      <c r="P546" s="83">
        <v>24</v>
      </c>
      <c r="Q546" s="83" t="s">
        <v>2011</v>
      </c>
      <c r="R546" s="83">
        <v>23</v>
      </c>
      <c r="S546" s="26">
        <v>3695</v>
      </c>
      <c r="T546" s="26" t="s">
        <v>1574</v>
      </c>
      <c r="U546" s="26">
        <v>1</v>
      </c>
      <c r="V546" s="26" t="s">
        <v>1312</v>
      </c>
      <c r="W546" s="63">
        <v>44562</v>
      </c>
      <c r="X546" s="63">
        <v>44815</v>
      </c>
      <c r="Y546" s="63">
        <v>45101</v>
      </c>
      <c r="Z546" s="63">
        <v>45169</v>
      </c>
      <c r="AA546" s="17" t="s">
        <v>1104</v>
      </c>
      <c r="AB546" s="25"/>
      <c r="AC546" s="23" t="s">
        <v>731</v>
      </c>
      <c r="AD546" s="23"/>
      <c r="AE546" s="23"/>
      <c r="AF546" s="23"/>
      <c r="AG546" s="23"/>
      <c r="AH546" s="23"/>
      <c r="AI546" s="23"/>
      <c r="AJ546" s="23"/>
      <c r="AK546" s="23"/>
      <c r="AL546" s="23" t="s">
        <v>731</v>
      </c>
      <c r="AM546" s="25"/>
      <c r="AN546" s="25"/>
      <c r="AO546" s="25"/>
      <c r="AP546" s="23"/>
      <c r="AQ546" s="23"/>
      <c r="AR546" s="23"/>
      <c r="AS546" s="23"/>
      <c r="AT546" s="23"/>
      <c r="AU546" s="23"/>
      <c r="AV546" s="42">
        <v>71.239999999999995</v>
      </c>
      <c r="AW546" s="47"/>
      <c r="AX546" s="47"/>
      <c r="AY546" s="42"/>
      <c r="AZ546" s="42"/>
      <c r="BA546" s="47"/>
      <c r="BB546" s="45">
        <v>1</v>
      </c>
      <c r="BC546" s="41">
        <f>IF(AND((AV546/I546)&lt;2,BB546=1),(I546*2)-AV546,0)</f>
        <v>0</v>
      </c>
      <c r="BD546" s="41">
        <f>IF(AND((AV546/I546)&lt;3,BB546=2),(I546*3)-AV546,0)</f>
        <v>0</v>
      </c>
      <c r="BG546" s="18"/>
      <c r="BH546" s="18">
        <v>2</v>
      </c>
      <c r="BI546" s="18">
        <v>0</v>
      </c>
      <c r="BJ546" s="18">
        <v>0</v>
      </c>
      <c r="BK546" s="18">
        <v>0</v>
      </c>
      <c r="BL546" s="18">
        <v>0</v>
      </c>
      <c r="BM546" s="55">
        <f>SUM(AV546:AX546)+SUM(BC546:BD546)+SUM(BE546:BF546)+BG546</f>
        <v>71.239999999999995</v>
      </c>
      <c r="BN546" s="55"/>
      <c r="BO546" s="55"/>
      <c r="BP546" s="55"/>
      <c r="BQ546" s="55"/>
      <c r="BR546" s="55"/>
      <c r="BS546" s="55"/>
      <c r="BT546" s="55"/>
      <c r="BU546" s="55"/>
      <c r="BV546" s="55"/>
      <c r="BW546" s="55"/>
      <c r="BX546" s="55"/>
      <c r="BY546" s="55"/>
    </row>
    <row r="547" spans="1:77" ht="25.5">
      <c r="B547" s="89">
        <v>535</v>
      </c>
      <c r="C547" s="93">
        <v>302</v>
      </c>
      <c r="D547" s="93">
        <v>421</v>
      </c>
      <c r="E547" s="94">
        <v>0.56597222222222221</v>
      </c>
      <c r="F547" s="94">
        <v>0.60555555555555551</v>
      </c>
      <c r="G547" s="93" t="s">
        <v>158</v>
      </c>
      <c r="H547" s="93" t="s">
        <v>443</v>
      </c>
      <c r="I547" s="96">
        <v>25</v>
      </c>
      <c r="J547" s="97" t="s">
        <v>156</v>
      </c>
      <c r="K547" s="98">
        <v>47</v>
      </c>
      <c r="L547" s="99" t="s">
        <v>2013</v>
      </c>
      <c r="M547" s="193" t="s">
        <v>2012</v>
      </c>
      <c r="N547" s="193">
        <v>23</v>
      </c>
      <c r="O547" s="83" t="s">
        <v>2010</v>
      </c>
      <c r="P547" s="83">
        <v>24</v>
      </c>
      <c r="Q547" s="83" t="s">
        <v>2011</v>
      </c>
      <c r="R547" s="83">
        <v>23</v>
      </c>
      <c r="S547" s="26">
        <v>3695</v>
      </c>
      <c r="T547" s="26" t="s">
        <v>1574</v>
      </c>
      <c r="U547" s="26">
        <v>1</v>
      </c>
      <c r="V547" s="26" t="s">
        <v>1312</v>
      </c>
      <c r="W547" s="63">
        <v>44816</v>
      </c>
      <c r="X547" s="63">
        <v>45100</v>
      </c>
      <c r="Y547" s="63"/>
      <c r="Z547" s="63"/>
      <c r="AA547" s="27" t="s">
        <v>1103</v>
      </c>
      <c r="AB547" s="23" t="s">
        <v>731</v>
      </c>
      <c r="AC547" s="23"/>
      <c r="AD547" s="23"/>
      <c r="AE547" s="23"/>
      <c r="AF547" s="23"/>
      <c r="AG547" s="23"/>
      <c r="AH547" s="23"/>
      <c r="AI547" s="23"/>
      <c r="AJ547" s="23"/>
      <c r="AK547" s="23"/>
      <c r="AL547" s="23" t="s">
        <v>731</v>
      </c>
      <c r="AM547" s="25"/>
      <c r="AN547" s="25"/>
      <c r="AO547" s="25"/>
      <c r="AP547" s="23"/>
      <c r="AQ547" s="23"/>
      <c r="AR547" s="23"/>
      <c r="AS547" s="23"/>
      <c r="AT547" s="23"/>
      <c r="AU547" s="23"/>
      <c r="AV547" s="42">
        <v>71.239999999999995</v>
      </c>
      <c r="AW547" s="47"/>
      <c r="AX547" s="47"/>
      <c r="AY547" s="42"/>
      <c r="AZ547" s="42"/>
      <c r="BA547" s="47"/>
      <c r="BB547" s="45">
        <v>1</v>
      </c>
      <c r="BC547" s="41">
        <f>IF(AND((AV547/I547)&lt;2,BB547=1),(I547*2)-AV547,0)</f>
        <v>0</v>
      </c>
      <c r="BD547" s="41">
        <f>IF(AND((AV547/I547)&lt;3,BB547=2),(I547*3)-AV547,0)</f>
        <v>0</v>
      </c>
      <c r="BG547" s="18"/>
      <c r="BH547" s="18">
        <v>2</v>
      </c>
      <c r="BI547" s="18">
        <v>5</v>
      </c>
      <c r="BJ547" s="18">
        <v>5</v>
      </c>
      <c r="BK547" s="18">
        <v>6</v>
      </c>
      <c r="BL547" s="18">
        <v>6</v>
      </c>
      <c r="BM547" s="55">
        <f>SUM(AV547:AX547)+SUM(BC547:BD547)+SUM(BE547:BF547)+BG547</f>
        <v>71.239999999999995</v>
      </c>
      <c r="BN547" s="55"/>
      <c r="BO547" s="55"/>
      <c r="BP547" s="55"/>
      <c r="BQ547" s="55"/>
      <c r="BR547" s="55"/>
      <c r="BS547" s="55"/>
      <c r="BT547" s="55"/>
      <c r="BU547" s="55"/>
      <c r="BV547" s="55"/>
      <c r="BW547" s="55"/>
      <c r="BX547" s="55"/>
      <c r="BY547" s="55"/>
    </row>
    <row r="548" spans="1:77" ht="25.5">
      <c r="A548" s="156" t="s">
        <v>2065</v>
      </c>
      <c r="B548" s="157">
        <v>536</v>
      </c>
      <c r="C548" s="158">
        <v>302</v>
      </c>
      <c r="D548" s="158">
        <v>464</v>
      </c>
      <c r="E548" s="160">
        <v>0.58958333333333335</v>
      </c>
      <c r="F548" s="160">
        <v>0.59444444444444444</v>
      </c>
      <c r="G548" s="158" t="s">
        <v>288</v>
      </c>
      <c r="H548" s="158" t="s">
        <v>97</v>
      </c>
      <c r="I548" s="161">
        <v>3</v>
      </c>
      <c r="J548" s="162" t="s">
        <v>93</v>
      </c>
      <c r="K548" s="169">
        <v>208</v>
      </c>
      <c r="L548" s="164" t="s">
        <v>716</v>
      </c>
      <c r="M548" s="179" t="s">
        <v>893</v>
      </c>
      <c r="N548" s="179">
        <v>20</v>
      </c>
      <c r="O548" s="179" t="s">
        <v>1889</v>
      </c>
      <c r="P548" s="179">
        <v>17</v>
      </c>
      <c r="Q548" s="179" t="s">
        <v>1252</v>
      </c>
      <c r="R548" s="183">
        <v>24</v>
      </c>
      <c r="S548" s="170" t="s">
        <v>1572</v>
      </c>
      <c r="T548" s="170" t="s">
        <v>1573</v>
      </c>
      <c r="U548" s="170">
        <v>3677</v>
      </c>
      <c r="V548" s="170" t="s">
        <v>1571</v>
      </c>
      <c r="W548" s="180">
        <v>44816</v>
      </c>
      <c r="X548" s="206">
        <v>44944</v>
      </c>
      <c r="Y548" s="180"/>
      <c r="Z548" s="180"/>
      <c r="AA548" s="170" t="s">
        <v>1106</v>
      </c>
      <c r="AB548" s="181"/>
      <c r="AC548" s="181"/>
      <c r="AD548" s="181"/>
      <c r="AE548" s="181" t="s">
        <v>731</v>
      </c>
      <c r="AF548" s="181" t="s">
        <v>731</v>
      </c>
      <c r="AG548" s="181" t="s">
        <v>731</v>
      </c>
      <c r="AH548" s="181" t="s">
        <v>731</v>
      </c>
      <c r="AI548" s="181" t="s">
        <v>731</v>
      </c>
      <c r="AJ548" s="181" t="s">
        <v>731</v>
      </c>
      <c r="AK548" s="181" t="s">
        <v>731</v>
      </c>
      <c r="AL548" s="181"/>
      <c r="AM548" s="181"/>
      <c r="AN548" s="181"/>
      <c r="AO548" s="181"/>
      <c r="AP548" s="181"/>
      <c r="AQ548" s="181"/>
      <c r="AR548" s="181"/>
      <c r="AS548" s="181"/>
      <c r="AT548" s="181"/>
      <c r="AU548" s="181"/>
      <c r="AV548" s="168">
        <v>19.41</v>
      </c>
      <c r="AW548" s="166"/>
      <c r="AX548" s="166"/>
      <c r="AY548" s="168"/>
      <c r="AZ548" s="168"/>
      <c r="BA548" s="166"/>
      <c r="BB548" s="166">
        <v>1</v>
      </c>
      <c r="BC548" s="168">
        <f>IF(AND((AV548/I548)&lt;2,BB548=1),(I548*2)-AV548,0)</f>
        <v>0</v>
      </c>
      <c r="BD548" s="168">
        <f>IF(AND((AV548/I548)&lt;3,BB548=2),(I548*3)-AV548,0)</f>
        <v>0</v>
      </c>
      <c r="BE548" s="166"/>
      <c r="BF548" s="166"/>
      <c r="BG548" s="166"/>
      <c r="BH548" s="18">
        <v>17</v>
      </c>
      <c r="BI548" s="18">
        <v>25</v>
      </c>
      <c r="BJ548" s="18">
        <v>25</v>
      </c>
      <c r="BK548" s="18">
        <v>18</v>
      </c>
      <c r="BL548" s="77">
        <v>11</v>
      </c>
      <c r="BM548" s="55">
        <f>SUM(AV548:AX548)+SUM(BC548:BD548)+SUM(BE548:BF548)+BG548</f>
        <v>19.41</v>
      </c>
      <c r="BN548" s="55"/>
      <c r="BO548" s="55"/>
      <c r="BP548" s="55"/>
      <c r="BQ548" s="55"/>
      <c r="BR548" s="55"/>
      <c r="BS548" s="55"/>
      <c r="BT548" s="55"/>
      <c r="BU548" s="55"/>
      <c r="BV548" s="55"/>
      <c r="BW548" s="55"/>
      <c r="BX548" s="55"/>
      <c r="BY548" s="55"/>
    </row>
    <row r="549" spans="1:77" ht="25.5">
      <c r="B549" s="89">
        <v>537</v>
      </c>
      <c r="C549" s="93">
        <v>302</v>
      </c>
      <c r="D549" s="93">
        <v>440</v>
      </c>
      <c r="E549" s="94">
        <v>0.72222222222222221</v>
      </c>
      <c r="F549" s="105">
        <v>0.7597222222222223</v>
      </c>
      <c r="G549" s="93" t="s">
        <v>159</v>
      </c>
      <c r="H549" s="93" t="s">
        <v>549</v>
      </c>
      <c r="I549" s="96">
        <v>25</v>
      </c>
      <c r="J549" s="97" t="s">
        <v>156</v>
      </c>
      <c r="K549" s="98">
        <v>13</v>
      </c>
      <c r="L549" s="99" t="s">
        <v>2013</v>
      </c>
      <c r="M549" s="193" t="s">
        <v>2012</v>
      </c>
      <c r="N549" s="193">
        <v>23</v>
      </c>
      <c r="O549" s="83" t="s">
        <v>2010</v>
      </c>
      <c r="P549" s="83">
        <v>24</v>
      </c>
      <c r="Q549" s="83" t="s">
        <v>2011</v>
      </c>
      <c r="R549" s="83">
        <v>23</v>
      </c>
      <c r="S549" s="26">
        <v>1</v>
      </c>
      <c r="T549" s="26" t="s">
        <v>1309</v>
      </c>
      <c r="U549" s="26">
        <v>3695</v>
      </c>
      <c r="V549" s="26" t="s">
        <v>1574</v>
      </c>
      <c r="W549" s="63">
        <v>44562</v>
      </c>
      <c r="X549" s="63">
        <v>44815</v>
      </c>
      <c r="Y549" s="63">
        <v>45101</v>
      </c>
      <c r="Z549" s="63">
        <v>45169</v>
      </c>
      <c r="AA549" s="17" t="s">
        <v>1104</v>
      </c>
      <c r="AB549" s="25"/>
      <c r="AC549" s="23" t="s">
        <v>731</v>
      </c>
      <c r="AD549" s="23"/>
      <c r="AE549" s="23"/>
      <c r="AF549" s="23"/>
      <c r="AG549" s="23"/>
      <c r="AH549" s="23"/>
      <c r="AI549" s="23"/>
      <c r="AJ549" s="23"/>
      <c r="AK549" s="23"/>
      <c r="AL549" s="23" t="s">
        <v>731</v>
      </c>
      <c r="AM549" s="25"/>
      <c r="AN549" s="25"/>
      <c r="AO549" s="25"/>
      <c r="AP549" s="23"/>
      <c r="AQ549" s="23"/>
      <c r="AR549" s="23"/>
      <c r="AS549" s="23"/>
      <c r="AT549" s="23"/>
      <c r="AU549" s="23"/>
      <c r="AV549" s="42">
        <v>71.239999999999995</v>
      </c>
      <c r="AW549" s="47"/>
      <c r="AX549" s="47"/>
      <c r="AY549" s="42"/>
      <c r="AZ549" s="42"/>
      <c r="BA549" s="47"/>
      <c r="BB549" s="45">
        <v>1</v>
      </c>
      <c r="BC549" s="41">
        <f>IF(AND((AV549/I549)&lt;2,BB549=1),(I549*2)-AV549,0)</f>
        <v>0</v>
      </c>
      <c r="BD549" s="41">
        <f>IF(AND((AV549/I549)&lt;3,BB549=2),(I549*3)-AV549,0)</f>
        <v>0</v>
      </c>
      <c r="BG549" s="18"/>
      <c r="BH549" s="18">
        <v>2</v>
      </c>
      <c r="BI549" s="18">
        <v>0</v>
      </c>
      <c r="BJ549" s="18">
        <v>0</v>
      </c>
      <c r="BK549" s="18">
        <v>0</v>
      </c>
      <c r="BL549" s="18">
        <v>0</v>
      </c>
      <c r="BM549" s="55">
        <f>SUM(AV549:AX549)+SUM(BC549:BD549)+SUM(BE549:BF549)+BG549</f>
        <v>71.239999999999995</v>
      </c>
      <c r="BN549" s="55"/>
      <c r="BO549" s="55"/>
      <c r="BP549" s="55"/>
      <c r="BQ549" s="55"/>
      <c r="BR549" s="55"/>
      <c r="BS549" s="55"/>
      <c r="BT549" s="55"/>
      <c r="BU549" s="55"/>
      <c r="BV549" s="55"/>
      <c r="BW549" s="55"/>
      <c r="BX549" s="55"/>
      <c r="BY549" s="55"/>
    </row>
    <row r="550" spans="1:77" ht="25.5">
      <c r="B550" s="89">
        <v>538</v>
      </c>
      <c r="C550" s="93">
        <v>302</v>
      </c>
      <c r="D550" s="93">
        <v>440</v>
      </c>
      <c r="E550" s="94">
        <v>0.72222222222222221</v>
      </c>
      <c r="F550" s="105">
        <v>0.7597222222222223</v>
      </c>
      <c r="G550" s="93" t="s">
        <v>159</v>
      </c>
      <c r="H550" s="93" t="s">
        <v>443</v>
      </c>
      <c r="I550" s="96">
        <v>25</v>
      </c>
      <c r="J550" s="97" t="s">
        <v>156</v>
      </c>
      <c r="K550" s="98">
        <v>47</v>
      </c>
      <c r="L550" s="99" t="s">
        <v>2013</v>
      </c>
      <c r="M550" s="193" t="s">
        <v>2012</v>
      </c>
      <c r="N550" s="193">
        <v>23</v>
      </c>
      <c r="O550" s="83" t="s">
        <v>2010</v>
      </c>
      <c r="P550" s="83">
        <v>24</v>
      </c>
      <c r="Q550" s="83" t="s">
        <v>2011</v>
      </c>
      <c r="R550" s="83">
        <v>23</v>
      </c>
      <c r="S550" s="26">
        <v>1</v>
      </c>
      <c r="T550" s="26" t="s">
        <v>1309</v>
      </c>
      <c r="U550" s="26">
        <v>3695</v>
      </c>
      <c r="V550" s="26" t="s">
        <v>1574</v>
      </c>
      <c r="W550" s="63">
        <v>44816</v>
      </c>
      <c r="X550" s="63">
        <v>45100</v>
      </c>
      <c r="Y550" s="63"/>
      <c r="Z550" s="63"/>
      <c r="AA550" s="27" t="s">
        <v>1103</v>
      </c>
      <c r="AB550" s="23" t="s">
        <v>731</v>
      </c>
      <c r="AC550" s="23"/>
      <c r="AD550" s="23"/>
      <c r="AE550" s="23"/>
      <c r="AF550" s="23"/>
      <c r="AG550" s="23"/>
      <c r="AH550" s="23"/>
      <c r="AI550" s="23"/>
      <c r="AJ550" s="23"/>
      <c r="AK550" s="23"/>
      <c r="AL550" s="23" t="s">
        <v>731</v>
      </c>
      <c r="AM550" s="25"/>
      <c r="AN550" s="25"/>
      <c r="AO550" s="25"/>
      <c r="AP550" s="23"/>
      <c r="AQ550" s="23"/>
      <c r="AR550" s="23"/>
      <c r="AS550" s="23"/>
      <c r="AT550" s="23"/>
      <c r="AU550" s="23"/>
      <c r="AV550" s="42">
        <v>71.239999999999995</v>
      </c>
      <c r="AW550" s="47"/>
      <c r="AX550" s="47"/>
      <c r="AY550" s="42"/>
      <c r="AZ550" s="42"/>
      <c r="BA550" s="47"/>
      <c r="BB550" s="45">
        <v>1</v>
      </c>
      <c r="BC550" s="41">
        <f>IF(AND((AV550/I550)&lt;2,BB550=1),(I550*2)-AV550,0)</f>
        <v>0</v>
      </c>
      <c r="BD550" s="41">
        <f>IF(AND((AV550/I550)&lt;3,BB550=2),(I550*3)-AV550,0)</f>
        <v>0</v>
      </c>
      <c r="BG550" s="18"/>
      <c r="BH550" s="18">
        <v>2</v>
      </c>
      <c r="BI550" s="18">
        <v>5</v>
      </c>
      <c r="BJ550" s="18">
        <v>5</v>
      </c>
      <c r="BK550" s="18">
        <v>6</v>
      </c>
      <c r="BL550" s="18">
        <v>6</v>
      </c>
      <c r="BM550" s="55">
        <f>SUM(AV550:AX550)+SUM(BC550:BD550)+SUM(BE550:BF550)+BG550</f>
        <v>71.239999999999995</v>
      </c>
      <c r="BN550" s="55"/>
      <c r="BO550" s="55"/>
      <c r="BP550" s="55"/>
      <c r="BQ550" s="55"/>
      <c r="BR550" s="55"/>
      <c r="BS550" s="55"/>
      <c r="BT550" s="55"/>
      <c r="BU550" s="55"/>
      <c r="BV550" s="55"/>
      <c r="BW550" s="55"/>
      <c r="BX550" s="55"/>
      <c r="BY550" s="55"/>
    </row>
    <row r="551" spans="1:77" ht="25.5">
      <c r="A551" s="156" t="s">
        <v>2065</v>
      </c>
      <c r="B551" s="157">
        <v>539</v>
      </c>
      <c r="C551" s="158">
        <v>302</v>
      </c>
      <c r="D551" s="158">
        <v>474</v>
      </c>
      <c r="E551" s="160">
        <v>0.72916666666666663</v>
      </c>
      <c r="F551" s="160">
        <v>0.73402777777777783</v>
      </c>
      <c r="G551" s="158" t="s">
        <v>288</v>
      </c>
      <c r="H551" s="158" t="s">
        <v>103</v>
      </c>
      <c r="I551" s="161">
        <v>3</v>
      </c>
      <c r="J551" s="162" t="s">
        <v>93</v>
      </c>
      <c r="K551" s="169">
        <v>174</v>
      </c>
      <c r="L551" s="164" t="s">
        <v>716</v>
      </c>
      <c r="M551" s="179" t="s">
        <v>893</v>
      </c>
      <c r="N551" s="179">
        <v>20</v>
      </c>
      <c r="O551" s="179" t="s">
        <v>1889</v>
      </c>
      <c r="P551" s="179">
        <v>17</v>
      </c>
      <c r="Q551" s="179" t="s">
        <v>1252</v>
      </c>
      <c r="R551" s="183">
        <v>24</v>
      </c>
      <c r="S551" s="170" t="s">
        <v>1572</v>
      </c>
      <c r="T551" s="170" t="s">
        <v>1573</v>
      </c>
      <c r="U551" s="170">
        <v>3677</v>
      </c>
      <c r="V551" s="170" t="s">
        <v>1571</v>
      </c>
      <c r="W551" s="180">
        <v>44816</v>
      </c>
      <c r="X551" s="206">
        <v>44944</v>
      </c>
      <c r="Y551" s="180"/>
      <c r="Z551" s="180"/>
      <c r="AA551" s="170" t="s">
        <v>1102</v>
      </c>
      <c r="AB551" s="181"/>
      <c r="AC551" s="181"/>
      <c r="AD551" s="181"/>
      <c r="AE551" s="181" t="s">
        <v>731</v>
      </c>
      <c r="AF551" s="181" t="s">
        <v>731</v>
      </c>
      <c r="AG551" s="181" t="s">
        <v>731</v>
      </c>
      <c r="AH551" s="181" t="s">
        <v>731</v>
      </c>
      <c r="AI551" s="181" t="s">
        <v>731</v>
      </c>
      <c r="AJ551" s="181" t="s">
        <v>731</v>
      </c>
      <c r="AK551" s="181"/>
      <c r="AL551" s="181"/>
      <c r="AM551" s="181"/>
      <c r="AN551" s="181"/>
      <c r="AO551" s="181"/>
      <c r="AP551" s="181"/>
      <c r="AQ551" s="181"/>
      <c r="AR551" s="181"/>
      <c r="AS551" s="181"/>
      <c r="AT551" s="181"/>
      <c r="AU551" s="181"/>
      <c r="AV551" s="168">
        <v>10</v>
      </c>
      <c r="AW551" s="166"/>
      <c r="AX551" s="166"/>
      <c r="AY551" s="168"/>
      <c r="AZ551" s="168"/>
      <c r="BA551" s="166"/>
      <c r="BB551" s="166">
        <v>1</v>
      </c>
      <c r="BC551" s="168">
        <f>IF(AND((AV551/I551)&lt;2,BB551=1),(I551*2)-AV551,0)</f>
        <v>0</v>
      </c>
      <c r="BD551" s="168">
        <f>IF(AND((AV551/I551)&lt;3,BB551=2),(I551*3)-AV551,0)</f>
        <v>0</v>
      </c>
      <c r="BE551" s="166"/>
      <c r="BF551" s="166"/>
      <c r="BG551" s="166"/>
      <c r="BH551" s="18">
        <v>15</v>
      </c>
      <c r="BI551" s="18">
        <v>20</v>
      </c>
      <c r="BJ551" s="18">
        <v>21</v>
      </c>
      <c r="BK551" s="18">
        <v>15</v>
      </c>
      <c r="BL551" s="77">
        <v>9</v>
      </c>
      <c r="BM551" s="55">
        <f>SUM(AV551:AX551)+SUM(BC551:BD551)+SUM(BE551:BF551)+BG551</f>
        <v>10</v>
      </c>
      <c r="BN551" s="55"/>
      <c r="BO551" s="55"/>
      <c r="BP551" s="55"/>
      <c r="BQ551" s="55"/>
      <c r="BR551" s="55"/>
      <c r="BS551" s="55"/>
      <c r="BT551" s="55"/>
      <c r="BU551" s="55"/>
      <c r="BV551" s="55"/>
      <c r="BW551" s="55"/>
      <c r="BX551" s="55"/>
      <c r="BY551" s="55"/>
    </row>
    <row r="552" spans="1:77" ht="25.5">
      <c r="A552" s="156" t="s">
        <v>2065</v>
      </c>
      <c r="B552" s="157">
        <v>540</v>
      </c>
      <c r="C552" s="158">
        <v>302</v>
      </c>
      <c r="D552" s="158">
        <v>466</v>
      </c>
      <c r="E552" s="160">
        <v>0.74930555555555556</v>
      </c>
      <c r="F552" s="160">
        <v>0.75416666666666676</v>
      </c>
      <c r="G552" s="158" t="s">
        <v>288</v>
      </c>
      <c r="H552" s="158" t="s">
        <v>103</v>
      </c>
      <c r="I552" s="161">
        <v>3</v>
      </c>
      <c r="J552" s="162" t="s">
        <v>93</v>
      </c>
      <c r="K552" s="169">
        <v>174</v>
      </c>
      <c r="L552" s="164" t="s">
        <v>716</v>
      </c>
      <c r="M552" s="179" t="s">
        <v>893</v>
      </c>
      <c r="N552" s="179">
        <v>20</v>
      </c>
      <c r="O552" s="179" t="s">
        <v>1889</v>
      </c>
      <c r="P552" s="179">
        <v>17</v>
      </c>
      <c r="Q552" s="179" t="s">
        <v>1252</v>
      </c>
      <c r="R552" s="183">
        <v>24</v>
      </c>
      <c r="S552" s="170" t="s">
        <v>1572</v>
      </c>
      <c r="T552" s="170" t="s">
        <v>1573</v>
      </c>
      <c r="U552" s="170">
        <v>3677</v>
      </c>
      <c r="V552" s="170" t="s">
        <v>1571</v>
      </c>
      <c r="W552" s="180">
        <v>44816</v>
      </c>
      <c r="X552" s="206">
        <v>44944</v>
      </c>
      <c r="Y552" s="180"/>
      <c r="Z552" s="180"/>
      <c r="AA552" s="170" t="s">
        <v>1102</v>
      </c>
      <c r="AB552" s="181"/>
      <c r="AC552" s="181"/>
      <c r="AD552" s="181"/>
      <c r="AE552" s="181" t="s">
        <v>731</v>
      </c>
      <c r="AF552" s="181" t="s">
        <v>731</v>
      </c>
      <c r="AG552" s="181" t="s">
        <v>731</v>
      </c>
      <c r="AH552" s="181" t="s">
        <v>731</v>
      </c>
      <c r="AI552" s="181" t="s">
        <v>731</v>
      </c>
      <c r="AJ552" s="181" t="s">
        <v>731</v>
      </c>
      <c r="AK552" s="181"/>
      <c r="AL552" s="181"/>
      <c r="AM552" s="181"/>
      <c r="AN552" s="181"/>
      <c r="AO552" s="181"/>
      <c r="AP552" s="181"/>
      <c r="AQ552" s="181"/>
      <c r="AR552" s="181"/>
      <c r="AS552" s="181"/>
      <c r="AT552" s="181"/>
      <c r="AU552" s="181"/>
      <c r="AV552" s="168">
        <v>18.760000000000002</v>
      </c>
      <c r="AW552" s="166"/>
      <c r="AX552" s="166"/>
      <c r="AY552" s="168"/>
      <c r="AZ552" s="168"/>
      <c r="BA552" s="166"/>
      <c r="BB552" s="166">
        <v>1</v>
      </c>
      <c r="BC552" s="168">
        <f>IF(AND((AV552/I552)&lt;2,BB552=1),(I552*2)-AV552,0)</f>
        <v>0</v>
      </c>
      <c r="BD552" s="168">
        <f>IF(AND((AV552/I552)&lt;3,BB552=2),(I552*3)-AV552,0)</f>
        <v>0</v>
      </c>
      <c r="BE552" s="166"/>
      <c r="BF552" s="166"/>
      <c r="BG552" s="166"/>
      <c r="BH552" s="18">
        <v>15</v>
      </c>
      <c r="BI552" s="18">
        <v>20</v>
      </c>
      <c r="BJ552" s="18">
        <v>21</v>
      </c>
      <c r="BK552" s="18">
        <v>15</v>
      </c>
      <c r="BL552" s="77">
        <v>9</v>
      </c>
      <c r="BM552" s="55">
        <f>SUM(AV552:AX552)+SUM(BC552:BD552)+SUM(BE552:BF552)+BG552</f>
        <v>18.760000000000002</v>
      </c>
      <c r="BN552" s="55"/>
      <c r="BO552" s="55"/>
      <c r="BP552" s="55"/>
      <c r="BQ552" s="55"/>
      <c r="BR552" s="55"/>
      <c r="BS552" s="55"/>
      <c r="BT552" s="55"/>
      <c r="BU552" s="55"/>
      <c r="BV552" s="55"/>
      <c r="BW552" s="55"/>
      <c r="BX552" s="55"/>
      <c r="BY552" s="55"/>
    </row>
    <row r="553" spans="1:77" ht="25.5">
      <c r="A553" s="156" t="s">
        <v>2065</v>
      </c>
      <c r="B553" s="157">
        <v>541</v>
      </c>
      <c r="C553" s="158">
        <v>302</v>
      </c>
      <c r="D553" s="158">
        <v>466</v>
      </c>
      <c r="E553" s="160">
        <v>0.74930555555555556</v>
      </c>
      <c r="F553" s="160">
        <v>0.75416666666666676</v>
      </c>
      <c r="G553" s="158" t="s">
        <v>288</v>
      </c>
      <c r="H553" s="158" t="s">
        <v>589</v>
      </c>
      <c r="I553" s="161">
        <v>3</v>
      </c>
      <c r="J553" s="162" t="s">
        <v>93</v>
      </c>
      <c r="K553" s="169">
        <v>26</v>
      </c>
      <c r="L553" s="164" t="s">
        <v>716</v>
      </c>
      <c r="M553" s="179" t="s">
        <v>893</v>
      </c>
      <c r="N553" s="179">
        <v>20</v>
      </c>
      <c r="O553" s="179" t="s">
        <v>1889</v>
      </c>
      <c r="P553" s="179">
        <v>17</v>
      </c>
      <c r="Q553" s="179" t="s">
        <v>1252</v>
      </c>
      <c r="R553" s="183">
        <v>24</v>
      </c>
      <c r="S553" s="170" t="s">
        <v>1572</v>
      </c>
      <c r="T553" s="170" t="s">
        <v>1573</v>
      </c>
      <c r="U553" s="170">
        <v>3677</v>
      </c>
      <c r="V553" s="170" t="s">
        <v>1571</v>
      </c>
      <c r="W553" s="180">
        <v>44816</v>
      </c>
      <c r="X553" s="206">
        <v>44944</v>
      </c>
      <c r="Y553" s="182"/>
      <c r="Z553" s="182"/>
      <c r="AA553" s="170" t="s">
        <v>1134</v>
      </c>
      <c r="AB553" s="181" t="s">
        <v>731</v>
      </c>
      <c r="AC553" s="181"/>
      <c r="AD553" s="181" t="s">
        <v>731</v>
      </c>
      <c r="AE553" s="181"/>
      <c r="AF553" s="181"/>
      <c r="AG553" s="181"/>
      <c r="AH553" s="181"/>
      <c r="AI553" s="181"/>
      <c r="AJ553" s="181"/>
      <c r="AK553" s="181"/>
      <c r="AL553" s="181"/>
      <c r="AM553" s="181"/>
      <c r="AN553" s="181"/>
      <c r="AO553" s="181"/>
      <c r="AP553" s="181" t="s">
        <v>731</v>
      </c>
      <c r="AQ553" s="181" t="s">
        <v>731</v>
      </c>
      <c r="AR553" s="181" t="s">
        <v>731</v>
      </c>
      <c r="AS553" s="181" t="s">
        <v>731</v>
      </c>
      <c r="AT553" s="181" t="s">
        <v>731</v>
      </c>
      <c r="AU553" s="181"/>
      <c r="AV553" s="168">
        <v>18.760000000000002</v>
      </c>
      <c r="AW553" s="166"/>
      <c r="AX553" s="166"/>
      <c r="AY553" s="168"/>
      <c r="AZ553" s="168"/>
      <c r="BA553" s="166"/>
      <c r="BB553" s="166">
        <v>1</v>
      </c>
      <c r="BC553" s="168">
        <f>IF(AND((AV553/I553)&lt;2,BB553=1),(I553*2)-AV553,0)</f>
        <v>0</v>
      </c>
      <c r="BD553" s="168">
        <f>IF(AND((AV553/I553)&lt;3,BB553=2),(I553*3)-AV553,0)</f>
        <v>0</v>
      </c>
      <c r="BE553" s="166"/>
      <c r="BF553" s="166"/>
      <c r="BG553" s="166"/>
      <c r="BH553" s="18">
        <v>0</v>
      </c>
      <c r="BI553" s="18">
        <v>1</v>
      </c>
      <c r="BJ553" s="18">
        <v>0</v>
      </c>
      <c r="BK553" s="18">
        <v>5</v>
      </c>
      <c r="BL553" s="77">
        <v>2</v>
      </c>
      <c r="BM553" s="55">
        <f>SUM(AV553:AX553)+SUM(BC553:BD553)+SUM(BE553:BF553)+BG553</f>
        <v>18.760000000000002</v>
      </c>
      <c r="BN553" s="55"/>
      <c r="BO553" s="55"/>
      <c r="BP553" s="55"/>
      <c r="BQ553" s="55"/>
      <c r="BR553" s="55"/>
      <c r="BS553" s="55"/>
      <c r="BT553" s="55"/>
      <c r="BU553" s="55"/>
      <c r="BV553" s="55"/>
      <c r="BW553" s="55"/>
      <c r="BX553" s="55"/>
      <c r="BY553" s="55"/>
    </row>
    <row r="554" spans="1:77" ht="25.5">
      <c r="B554" s="89">
        <v>542</v>
      </c>
      <c r="C554" s="93">
        <v>302</v>
      </c>
      <c r="D554" s="93">
        <v>466</v>
      </c>
      <c r="E554" s="94">
        <v>0.74930555555555556</v>
      </c>
      <c r="F554" s="94">
        <v>0.75416666666666676</v>
      </c>
      <c r="G554" s="93" t="s">
        <v>288</v>
      </c>
      <c r="H554" s="93" t="s">
        <v>590</v>
      </c>
      <c r="I554" s="96">
        <v>3</v>
      </c>
      <c r="J554" s="97" t="s">
        <v>93</v>
      </c>
      <c r="K554" s="98">
        <v>44</v>
      </c>
      <c r="L554" s="99" t="s">
        <v>716</v>
      </c>
      <c r="M554" s="83" t="s">
        <v>893</v>
      </c>
      <c r="N554" s="83">
        <v>20</v>
      </c>
      <c r="O554" s="83" t="s">
        <v>1889</v>
      </c>
      <c r="P554" s="83">
        <v>17</v>
      </c>
      <c r="Q554" s="83" t="s">
        <v>1252</v>
      </c>
      <c r="R554" s="84">
        <v>24</v>
      </c>
      <c r="S554" s="26" t="s">
        <v>1572</v>
      </c>
      <c r="T554" s="26" t="s">
        <v>1573</v>
      </c>
      <c r="U554" s="26">
        <v>3677</v>
      </c>
      <c r="V554" s="26" t="s">
        <v>1571</v>
      </c>
      <c r="W554" s="63">
        <v>44562</v>
      </c>
      <c r="X554" s="63">
        <v>44815</v>
      </c>
      <c r="Y554" s="63">
        <v>45101</v>
      </c>
      <c r="Z554" s="63">
        <v>45169</v>
      </c>
      <c r="AA554" s="27" t="s">
        <v>1142</v>
      </c>
      <c r="AB554" s="25"/>
      <c r="AC554" s="25" t="s">
        <v>731</v>
      </c>
      <c r="AD554" s="25" t="s">
        <v>731</v>
      </c>
      <c r="AE554" s="25"/>
      <c r="AF554" s="25" t="s">
        <v>731</v>
      </c>
      <c r="AG554" s="25" t="s">
        <v>731</v>
      </c>
      <c r="AH554" s="25" t="s">
        <v>731</v>
      </c>
      <c r="AI554" s="25" t="s">
        <v>731</v>
      </c>
      <c r="AJ554" s="25"/>
      <c r="AK554" s="25"/>
      <c r="AL554" s="25"/>
      <c r="AM554" s="25"/>
      <c r="AN554" s="25"/>
      <c r="AO554" s="25"/>
      <c r="AP554" s="25"/>
      <c r="AQ554" s="25"/>
      <c r="AR554" s="25"/>
      <c r="AS554" s="25"/>
      <c r="AT554" s="25"/>
      <c r="AU554" s="25"/>
      <c r="AV554" s="42">
        <v>10</v>
      </c>
      <c r="AW554" s="47"/>
      <c r="AX554" s="47"/>
      <c r="AY554" s="42"/>
      <c r="AZ554" s="42"/>
      <c r="BA554" s="47"/>
      <c r="BB554" s="45">
        <v>1</v>
      </c>
      <c r="BC554" s="41">
        <f>IF(AND((AV554/I554)&lt;2,BB554=1),(I554*2)-AV554,0)</f>
        <v>0</v>
      </c>
      <c r="BD554" s="41">
        <f>IF(AND((AV554/I554)&lt;3,BB554=2),(I554*3)-AV554,0)</f>
        <v>0</v>
      </c>
      <c r="BG554" s="18"/>
      <c r="BH554" s="18">
        <v>5</v>
      </c>
      <c r="BI554" s="18">
        <v>0</v>
      </c>
      <c r="BJ554" s="18">
        <v>0</v>
      </c>
      <c r="BK554" s="18">
        <v>0</v>
      </c>
      <c r="BL554" s="18">
        <v>0</v>
      </c>
      <c r="BM554" s="55">
        <f>SUM(AV554:AX554)+SUM(BC554:BD554)+SUM(BE554:BF554)+BG554</f>
        <v>10</v>
      </c>
      <c r="BN554" s="55"/>
      <c r="BO554" s="55"/>
      <c r="BP554" s="55"/>
      <c r="BQ554" s="55"/>
      <c r="BR554" s="55"/>
      <c r="BS554" s="55"/>
      <c r="BT554" s="55"/>
      <c r="BU554" s="55"/>
      <c r="BV554" s="55"/>
      <c r="BW554" s="55"/>
      <c r="BX554" s="55"/>
      <c r="BY554" s="55"/>
    </row>
    <row r="555" spans="1:77" ht="25.5">
      <c r="B555" s="89">
        <v>543</v>
      </c>
      <c r="C555" s="93">
        <v>302</v>
      </c>
      <c r="D555" s="93">
        <v>167</v>
      </c>
      <c r="E555" s="94">
        <v>0.76736111111111116</v>
      </c>
      <c r="F555" s="94">
        <v>0.80069444444444438</v>
      </c>
      <c r="G555" s="93" t="s">
        <v>158</v>
      </c>
      <c r="H555" s="93" t="s">
        <v>549</v>
      </c>
      <c r="I555" s="96">
        <v>25</v>
      </c>
      <c r="J555" s="97" t="s">
        <v>156</v>
      </c>
      <c r="K555" s="98">
        <v>13</v>
      </c>
      <c r="L555" s="99" t="s">
        <v>2013</v>
      </c>
      <c r="M555" s="193" t="s">
        <v>2012</v>
      </c>
      <c r="N555" s="193">
        <v>23</v>
      </c>
      <c r="O555" s="83" t="s">
        <v>2010</v>
      </c>
      <c r="P555" s="83">
        <v>24</v>
      </c>
      <c r="Q555" s="83" t="s">
        <v>2011</v>
      </c>
      <c r="R555" s="83">
        <v>23</v>
      </c>
      <c r="S555" s="26">
        <v>3695</v>
      </c>
      <c r="T555" s="26" t="s">
        <v>1574</v>
      </c>
      <c r="U555" s="26">
        <v>1</v>
      </c>
      <c r="V555" s="26" t="s">
        <v>1312</v>
      </c>
      <c r="W555" s="63">
        <v>44562</v>
      </c>
      <c r="X555" s="63">
        <v>44815</v>
      </c>
      <c r="Y555" s="63">
        <v>45101</v>
      </c>
      <c r="Z555" s="63">
        <v>45169</v>
      </c>
      <c r="AA555" s="17" t="s">
        <v>1104</v>
      </c>
      <c r="AB555" s="25"/>
      <c r="AC555" s="23" t="s">
        <v>731</v>
      </c>
      <c r="AD555" s="23"/>
      <c r="AE555" s="23"/>
      <c r="AF555" s="23"/>
      <c r="AG555" s="23"/>
      <c r="AH555" s="23"/>
      <c r="AI555" s="23"/>
      <c r="AJ555" s="23"/>
      <c r="AK555" s="23"/>
      <c r="AL555" s="23" t="s">
        <v>731</v>
      </c>
      <c r="AM555" s="25"/>
      <c r="AN555" s="25"/>
      <c r="AO555" s="25"/>
      <c r="AP555" s="23"/>
      <c r="AQ555" s="23"/>
      <c r="AR555" s="23"/>
      <c r="AS555" s="23"/>
      <c r="AT555" s="23"/>
      <c r="AU555" s="23"/>
      <c r="AV555" s="42">
        <v>71.239999999999995</v>
      </c>
      <c r="AW555" s="47"/>
      <c r="AX555" s="47"/>
      <c r="AY555" s="42"/>
      <c r="AZ555" s="42"/>
      <c r="BA555" s="47"/>
      <c r="BB555" s="45">
        <v>1</v>
      </c>
      <c r="BC555" s="41">
        <f>IF(AND((AV555/I555)&lt;2,BB555=1),(I555*2)-AV555,0)</f>
        <v>0</v>
      </c>
      <c r="BD555" s="41">
        <f>IF(AND((AV555/I555)&lt;3,BB555=2),(I555*3)-AV555,0)</f>
        <v>0</v>
      </c>
      <c r="BG555" s="18"/>
      <c r="BH555" s="18">
        <v>2</v>
      </c>
      <c r="BI555" s="18">
        <v>0</v>
      </c>
      <c r="BJ555" s="18">
        <v>0</v>
      </c>
      <c r="BK555" s="18">
        <v>0</v>
      </c>
      <c r="BL555" s="18">
        <v>0</v>
      </c>
      <c r="BM555" s="55">
        <f>SUM(AV555:AX555)+SUM(BC555:BD555)+SUM(BE555:BF555)+BG555</f>
        <v>71.239999999999995</v>
      </c>
      <c r="BN555" s="55"/>
      <c r="BO555" s="55"/>
      <c r="BP555" s="55"/>
      <c r="BQ555" s="55"/>
      <c r="BR555" s="55"/>
      <c r="BS555" s="55"/>
      <c r="BT555" s="55"/>
      <c r="BU555" s="55"/>
      <c r="BV555" s="55"/>
      <c r="BW555" s="55"/>
      <c r="BX555" s="55"/>
      <c r="BY555" s="55"/>
    </row>
    <row r="556" spans="1:77" s="47" customFormat="1" ht="25.5">
      <c r="A556" s="2"/>
      <c r="B556" s="89">
        <v>544</v>
      </c>
      <c r="C556" s="93">
        <v>302</v>
      </c>
      <c r="D556" s="93">
        <v>167</v>
      </c>
      <c r="E556" s="94">
        <v>0.76736111111111116</v>
      </c>
      <c r="F556" s="94">
        <v>0.80069444444444438</v>
      </c>
      <c r="G556" s="93" t="s">
        <v>158</v>
      </c>
      <c r="H556" s="93" t="s">
        <v>443</v>
      </c>
      <c r="I556" s="96">
        <v>25</v>
      </c>
      <c r="J556" s="97" t="s">
        <v>156</v>
      </c>
      <c r="K556" s="98">
        <v>47</v>
      </c>
      <c r="L556" s="99" t="s">
        <v>2013</v>
      </c>
      <c r="M556" s="193" t="s">
        <v>2012</v>
      </c>
      <c r="N556" s="193">
        <v>23</v>
      </c>
      <c r="O556" s="83" t="s">
        <v>2010</v>
      </c>
      <c r="P556" s="83">
        <v>24</v>
      </c>
      <c r="Q556" s="83" t="s">
        <v>2011</v>
      </c>
      <c r="R556" s="83">
        <v>23</v>
      </c>
      <c r="S556" s="26">
        <v>3695</v>
      </c>
      <c r="T556" s="26" t="s">
        <v>1574</v>
      </c>
      <c r="U556" s="26">
        <v>1</v>
      </c>
      <c r="V556" s="26" t="s">
        <v>1312</v>
      </c>
      <c r="W556" s="63">
        <v>44816</v>
      </c>
      <c r="X556" s="63">
        <v>45100</v>
      </c>
      <c r="Y556" s="63"/>
      <c r="Z556" s="63"/>
      <c r="AA556" s="27" t="s">
        <v>1103</v>
      </c>
      <c r="AB556" s="23" t="s">
        <v>731</v>
      </c>
      <c r="AC556" s="23"/>
      <c r="AD556" s="23"/>
      <c r="AE556" s="23"/>
      <c r="AF556" s="23"/>
      <c r="AG556" s="23"/>
      <c r="AH556" s="23"/>
      <c r="AI556" s="23"/>
      <c r="AJ556" s="23"/>
      <c r="AK556" s="23"/>
      <c r="AL556" s="23" t="s">
        <v>731</v>
      </c>
      <c r="AM556" s="25"/>
      <c r="AN556" s="25"/>
      <c r="AO556" s="25"/>
      <c r="AP556" s="23"/>
      <c r="AQ556" s="23"/>
      <c r="AR556" s="23"/>
      <c r="AS556" s="23"/>
      <c r="AT556" s="23"/>
      <c r="AU556" s="23"/>
      <c r="AV556" s="42">
        <v>71.239999999999995</v>
      </c>
      <c r="AY556" s="42"/>
      <c r="AZ556" s="42"/>
      <c r="BB556" s="45">
        <v>1</v>
      </c>
      <c r="BC556" s="41">
        <f>IF(AND((AV556/I556)&lt;2,BB556=1),(I556*2)-AV556,0)</f>
        <v>0</v>
      </c>
      <c r="BD556" s="41">
        <f>IF(AND((AV556/I556)&lt;3,BB556=2),(I556*3)-AV556,0)</f>
        <v>0</v>
      </c>
      <c r="BH556" s="18">
        <v>2</v>
      </c>
      <c r="BI556" s="18">
        <v>5</v>
      </c>
      <c r="BJ556" s="18">
        <v>5</v>
      </c>
      <c r="BK556" s="18">
        <v>6</v>
      </c>
      <c r="BL556" s="18">
        <v>6</v>
      </c>
      <c r="BM556" s="55">
        <f>SUM(AV556:AX556)+SUM(BC556:BD556)+SUM(BE556:BF556)+BG556</f>
        <v>71.239999999999995</v>
      </c>
      <c r="BN556" s="55"/>
      <c r="BO556" s="55"/>
      <c r="BP556" s="55"/>
      <c r="BQ556" s="55"/>
      <c r="BR556" s="55"/>
      <c r="BS556" s="55"/>
      <c r="BT556" s="55"/>
      <c r="BU556" s="55"/>
      <c r="BV556" s="55"/>
      <c r="BW556" s="55"/>
      <c r="BX556" s="55"/>
      <c r="BY556" s="55"/>
    </row>
    <row r="557" spans="1:77" s="47" customFormat="1" ht="25.5">
      <c r="A557" s="2"/>
      <c r="B557" s="89">
        <v>545</v>
      </c>
      <c r="C557" s="93">
        <v>302</v>
      </c>
      <c r="D557" s="93">
        <v>238</v>
      </c>
      <c r="E557" s="94">
        <v>0.85416666666666663</v>
      </c>
      <c r="F557" s="94">
        <v>0.87847222222222221</v>
      </c>
      <c r="G557" s="93" t="s">
        <v>154</v>
      </c>
      <c r="H557" s="93" t="s">
        <v>424</v>
      </c>
      <c r="I557" s="96">
        <v>22</v>
      </c>
      <c r="J557" s="97" t="s">
        <v>93</v>
      </c>
      <c r="K557" s="98">
        <v>55</v>
      </c>
      <c r="L557" s="99" t="s">
        <v>2013</v>
      </c>
      <c r="M557" s="193" t="s">
        <v>2012</v>
      </c>
      <c r="N557" s="193">
        <v>23</v>
      </c>
      <c r="O557" s="83" t="s">
        <v>2010</v>
      </c>
      <c r="P557" s="83">
        <v>24</v>
      </c>
      <c r="Q557" s="83" t="s">
        <v>2011</v>
      </c>
      <c r="R557" s="83">
        <v>23</v>
      </c>
      <c r="S557" s="26">
        <v>1</v>
      </c>
      <c r="T557" s="26" t="s">
        <v>1309</v>
      </c>
      <c r="U557" s="26">
        <v>3690</v>
      </c>
      <c r="V557" s="26" t="s">
        <v>1576</v>
      </c>
      <c r="W557" s="63">
        <v>44562</v>
      </c>
      <c r="X557" s="63">
        <v>44815</v>
      </c>
      <c r="Y557" s="63">
        <v>45101</v>
      </c>
      <c r="Z557" s="63">
        <v>45169</v>
      </c>
      <c r="AA557" s="22" t="s">
        <v>1109</v>
      </c>
      <c r="AB557" s="25"/>
      <c r="AC557" s="23" t="s">
        <v>731</v>
      </c>
      <c r="AD557" s="23" t="s">
        <v>731</v>
      </c>
      <c r="AE557" s="23"/>
      <c r="AF557" s="23" t="s">
        <v>731</v>
      </c>
      <c r="AG557" s="23" t="s">
        <v>731</v>
      </c>
      <c r="AH557" s="23" t="s">
        <v>731</v>
      </c>
      <c r="AI557" s="23" t="s">
        <v>731</v>
      </c>
      <c r="AJ557" s="23" t="s">
        <v>731</v>
      </c>
      <c r="AK557" s="25"/>
      <c r="AL557" s="25"/>
      <c r="AM557" s="25"/>
      <c r="AN557" s="25"/>
      <c r="AO557" s="23"/>
      <c r="AP557" s="23"/>
      <c r="AQ557" s="23"/>
      <c r="AR557" s="23"/>
      <c r="AS557" s="23"/>
      <c r="AT557" s="23"/>
      <c r="AU557" s="23"/>
      <c r="AV557" s="42">
        <v>126.1</v>
      </c>
      <c r="AY557" s="42"/>
      <c r="AZ557" s="42"/>
      <c r="BB557" s="45">
        <v>1</v>
      </c>
      <c r="BC557" s="41">
        <f>IF(AND((AV557/I557)&lt;2,BB557=1),(I557*2)-AV557,0)</f>
        <v>0</v>
      </c>
      <c r="BD557" s="41">
        <f>IF(AND((AV557/I557)&lt;3,BB557=2),(I557*3)-AV557,0)</f>
        <v>0</v>
      </c>
      <c r="BH557" s="18">
        <v>7</v>
      </c>
      <c r="BI557" s="18">
        <v>0</v>
      </c>
      <c r="BJ557" s="18">
        <v>0</v>
      </c>
      <c r="BK557" s="18">
        <v>0</v>
      </c>
      <c r="BL557" s="18">
        <v>0</v>
      </c>
      <c r="BM557" s="55">
        <f>SUM(AV557:AX557)+SUM(BC557:BD557)+SUM(BE557:BF557)+BG557</f>
        <v>126.1</v>
      </c>
      <c r="BN557" s="55"/>
      <c r="BO557" s="55"/>
      <c r="BP557" s="55"/>
      <c r="BQ557" s="55"/>
      <c r="BR557" s="55"/>
      <c r="BS557" s="55"/>
      <c r="BT557" s="55"/>
      <c r="BU557" s="55"/>
      <c r="BV557" s="55"/>
      <c r="BW557" s="55"/>
      <c r="BX557" s="55"/>
      <c r="BY557" s="55"/>
    </row>
    <row r="558" spans="1:77" s="47" customFormat="1" ht="25.5">
      <c r="A558" s="2"/>
      <c r="B558" s="89">
        <v>546</v>
      </c>
      <c r="C558" s="93">
        <v>302</v>
      </c>
      <c r="D558" s="93">
        <v>238</v>
      </c>
      <c r="E558" s="94">
        <v>0.85416666666666663</v>
      </c>
      <c r="F558" s="94">
        <v>0.87847222222222221</v>
      </c>
      <c r="G558" s="93" t="s">
        <v>154</v>
      </c>
      <c r="H558" s="93" t="s">
        <v>203</v>
      </c>
      <c r="I558" s="96">
        <v>22</v>
      </c>
      <c r="J558" s="97" t="s">
        <v>93</v>
      </c>
      <c r="K558" s="98">
        <v>202</v>
      </c>
      <c r="L558" s="99" t="s">
        <v>2013</v>
      </c>
      <c r="M558" s="193" t="s">
        <v>2012</v>
      </c>
      <c r="N558" s="193">
        <v>23</v>
      </c>
      <c r="O558" s="83" t="s">
        <v>2016</v>
      </c>
      <c r="P558" s="83">
        <v>20</v>
      </c>
      <c r="Q558" s="83" t="s">
        <v>2011</v>
      </c>
      <c r="R558" s="83"/>
      <c r="S558" s="26">
        <v>1</v>
      </c>
      <c r="T558" s="26" t="s">
        <v>1309</v>
      </c>
      <c r="U558" s="26">
        <v>3690</v>
      </c>
      <c r="V558" s="26" t="s">
        <v>1576</v>
      </c>
      <c r="W558" s="63">
        <v>44816</v>
      </c>
      <c r="X558" s="63">
        <v>45100</v>
      </c>
      <c r="Y558" s="63"/>
      <c r="Z558" s="63"/>
      <c r="AA558" s="22" t="s">
        <v>1108</v>
      </c>
      <c r="AB558" s="23" t="s">
        <v>731</v>
      </c>
      <c r="AC558" s="23"/>
      <c r="AD558" s="23" t="s">
        <v>731</v>
      </c>
      <c r="AE558" s="23"/>
      <c r="AF558" s="23" t="s">
        <v>731</v>
      </c>
      <c r="AG558" s="23" t="s">
        <v>731</v>
      </c>
      <c r="AH558" s="23" t="s">
        <v>731</v>
      </c>
      <c r="AI558" s="23" t="s">
        <v>731</v>
      </c>
      <c r="AJ558" s="23" t="s">
        <v>731</v>
      </c>
      <c r="AK558" s="23"/>
      <c r="AL558" s="23"/>
      <c r="AM558" s="23"/>
      <c r="AN558" s="23"/>
      <c r="AO558" s="23"/>
      <c r="AP558" s="23"/>
      <c r="AQ558" s="23"/>
      <c r="AR558" s="23"/>
      <c r="AS558" s="23"/>
      <c r="AT558" s="23"/>
      <c r="AU558" s="23"/>
      <c r="AV558" s="42">
        <v>126.1</v>
      </c>
      <c r="AW558" s="18"/>
      <c r="AX558" s="18"/>
      <c r="AY558" s="42"/>
      <c r="AZ558" s="42"/>
      <c r="BA558" s="18"/>
      <c r="BB558" s="45">
        <v>1</v>
      </c>
      <c r="BC558" s="41">
        <f>IF(AND((AV558/I558)&lt;2,BB558=1),(I558*2)-AV558,0)</f>
        <v>0</v>
      </c>
      <c r="BD558" s="41">
        <f>IF(AND((AV558/I558)&lt;3,BB558=2),(I558*3)-AV558,0)</f>
        <v>0</v>
      </c>
      <c r="BH558" s="18">
        <v>15</v>
      </c>
      <c r="BI558" s="18">
        <v>21</v>
      </c>
      <c r="BJ558" s="18">
        <v>21</v>
      </c>
      <c r="BK558" s="18">
        <v>20</v>
      </c>
      <c r="BL558" s="18">
        <v>21</v>
      </c>
      <c r="BM558" s="55">
        <f>SUM(AV558:AX558)+SUM(BC558:BD558)+SUM(BE558:BF558)+BG558</f>
        <v>126.1</v>
      </c>
      <c r="BN558" s="55"/>
      <c r="BO558" s="55"/>
      <c r="BP558" s="55"/>
      <c r="BQ558" s="55"/>
      <c r="BR558" s="55"/>
      <c r="BS558" s="55"/>
      <c r="BT558" s="55"/>
      <c r="BU558" s="55"/>
      <c r="BV558" s="55"/>
      <c r="BW558" s="55"/>
      <c r="BX558" s="55"/>
      <c r="BY558" s="55"/>
    </row>
    <row r="559" spans="1:77" s="47" customFormat="1" ht="25.5">
      <c r="A559" s="2"/>
      <c r="B559" s="89">
        <v>547</v>
      </c>
      <c r="C559" s="93">
        <v>302</v>
      </c>
      <c r="D559" s="93">
        <v>238</v>
      </c>
      <c r="E559" s="94">
        <v>0.91666666666666663</v>
      </c>
      <c r="F559" s="94">
        <v>0.94097222222222221</v>
      </c>
      <c r="G559" s="93" t="s">
        <v>154</v>
      </c>
      <c r="H559" s="93" t="s">
        <v>508</v>
      </c>
      <c r="I559" s="96">
        <v>22</v>
      </c>
      <c r="J559" s="97" t="s">
        <v>93</v>
      </c>
      <c r="K559" s="98">
        <v>12</v>
      </c>
      <c r="L559" s="99" t="s">
        <v>2013</v>
      </c>
      <c r="M559" s="193" t="s">
        <v>2012</v>
      </c>
      <c r="N559" s="193">
        <v>23</v>
      </c>
      <c r="O559" s="83" t="s">
        <v>2010</v>
      </c>
      <c r="P559" s="83">
        <v>24</v>
      </c>
      <c r="Q559" s="83" t="s">
        <v>2011</v>
      </c>
      <c r="R559" s="83">
        <v>23</v>
      </c>
      <c r="S559" s="26">
        <v>1</v>
      </c>
      <c r="T559" s="26" t="s">
        <v>1309</v>
      </c>
      <c r="U559" s="26">
        <v>3690</v>
      </c>
      <c r="V559" s="26" t="s">
        <v>1576</v>
      </c>
      <c r="W559" s="63">
        <v>44562</v>
      </c>
      <c r="X559" s="63">
        <v>44815</v>
      </c>
      <c r="Y559" s="63">
        <v>45101</v>
      </c>
      <c r="Z559" s="63">
        <v>45169</v>
      </c>
      <c r="AA559" s="22" t="s">
        <v>1119</v>
      </c>
      <c r="AB559" s="23"/>
      <c r="AC559" s="23" t="s">
        <v>731</v>
      </c>
      <c r="AD559" s="23" t="s">
        <v>731</v>
      </c>
      <c r="AE559" s="23"/>
      <c r="AF559" s="23"/>
      <c r="AG559" s="23"/>
      <c r="AH559" s="23"/>
      <c r="AI559" s="23"/>
      <c r="AJ559" s="23"/>
      <c r="AK559" s="23" t="s">
        <v>731</v>
      </c>
      <c r="AL559" s="23"/>
      <c r="AM559" s="23"/>
      <c r="AN559" s="23"/>
      <c r="AO559" s="23"/>
      <c r="AP559" s="23"/>
      <c r="AQ559" s="23"/>
      <c r="AR559" s="23"/>
      <c r="AS559" s="23"/>
      <c r="AT559" s="23"/>
      <c r="AU559" s="23"/>
      <c r="AV559" s="42">
        <v>126.1</v>
      </c>
      <c r="AW559" s="18"/>
      <c r="AX559" s="18"/>
      <c r="AY559" s="42"/>
      <c r="AZ559" s="42"/>
      <c r="BA559" s="18"/>
      <c r="BB559" s="45">
        <v>1</v>
      </c>
      <c r="BC559" s="41">
        <f>IF(AND((AV559/I559)&lt;2,BB559=1),(I559*2)-AV559,0)</f>
        <v>0</v>
      </c>
      <c r="BD559" s="41">
        <f>IF(AND((AV559/I559)&lt;3,BB559=2),(I559*3)-AV559,0)</f>
        <v>0</v>
      </c>
      <c r="BH559" s="18">
        <v>2</v>
      </c>
      <c r="BI559" s="18">
        <v>0</v>
      </c>
      <c r="BJ559" s="18">
        <v>0</v>
      </c>
      <c r="BK559" s="18">
        <v>0</v>
      </c>
      <c r="BL559" s="18">
        <v>0</v>
      </c>
      <c r="BM559" s="55">
        <f>SUM(AV559:AX559)+SUM(BC559:BD559)+SUM(BE559:BF559)+BG559</f>
        <v>126.1</v>
      </c>
      <c r="BN559" s="55"/>
      <c r="BO559" s="55"/>
      <c r="BP559" s="55"/>
      <c r="BQ559" s="55"/>
      <c r="BR559" s="55"/>
      <c r="BS559" s="55"/>
      <c r="BT559" s="55"/>
      <c r="BU559" s="55"/>
      <c r="BV559" s="55"/>
      <c r="BW559" s="55"/>
      <c r="BX559" s="55"/>
      <c r="BY559" s="55"/>
    </row>
    <row r="560" spans="1:77" s="47" customFormat="1" ht="25.5">
      <c r="A560" s="2"/>
      <c r="B560" s="89">
        <v>548</v>
      </c>
      <c r="C560" s="93">
        <v>302</v>
      </c>
      <c r="D560" s="93">
        <v>238</v>
      </c>
      <c r="E560" s="94">
        <v>0.91666666666666663</v>
      </c>
      <c r="F560" s="94">
        <v>0.94097222222222221</v>
      </c>
      <c r="G560" s="93" t="s">
        <v>154</v>
      </c>
      <c r="H560" s="93" t="s">
        <v>161</v>
      </c>
      <c r="I560" s="96">
        <v>22</v>
      </c>
      <c r="J560" s="97" t="s">
        <v>93</v>
      </c>
      <c r="K560" s="98">
        <v>38</v>
      </c>
      <c r="L560" s="99" t="s">
        <v>2013</v>
      </c>
      <c r="M560" s="193" t="s">
        <v>2012</v>
      </c>
      <c r="N560" s="193">
        <v>23</v>
      </c>
      <c r="O560" s="83" t="s">
        <v>2016</v>
      </c>
      <c r="P560" s="83">
        <v>20</v>
      </c>
      <c r="Q560" s="83" t="s">
        <v>2011</v>
      </c>
      <c r="R560" s="83"/>
      <c r="S560" s="26">
        <v>1</v>
      </c>
      <c r="T560" s="26" t="s">
        <v>1309</v>
      </c>
      <c r="U560" s="26">
        <v>3690</v>
      </c>
      <c r="V560" s="26" t="s">
        <v>1576</v>
      </c>
      <c r="W560" s="63">
        <v>44816</v>
      </c>
      <c r="X560" s="63">
        <v>45100</v>
      </c>
      <c r="Y560" s="63"/>
      <c r="Z560" s="63"/>
      <c r="AA560" s="22" t="s">
        <v>1127</v>
      </c>
      <c r="AB560" s="23" t="s">
        <v>731</v>
      </c>
      <c r="AC560" s="23"/>
      <c r="AD560" s="23" t="s">
        <v>731</v>
      </c>
      <c r="AE560" s="23"/>
      <c r="AF560" s="23"/>
      <c r="AG560" s="23"/>
      <c r="AH560" s="23"/>
      <c r="AI560" s="23"/>
      <c r="AJ560" s="23"/>
      <c r="AK560" s="23" t="s">
        <v>731</v>
      </c>
      <c r="AL560" s="23"/>
      <c r="AM560" s="23"/>
      <c r="AN560" s="23"/>
      <c r="AO560" s="23"/>
      <c r="AP560" s="23"/>
      <c r="AQ560" s="23"/>
      <c r="AR560" s="23"/>
      <c r="AS560" s="23"/>
      <c r="AT560" s="23"/>
      <c r="AU560" s="23"/>
      <c r="AV560" s="42">
        <v>126.1</v>
      </c>
      <c r="AW560" s="18"/>
      <c r="AX560" s="18"/>
      <c r="AY560" s="42"/>
      <c r="AZ560" s="42"/>
      <c r="BA560" s="18"/>
      <c r="BB560" s="45">
        <v>1</v>
      </c>
      <c r="BC560" s="41">
        <f>IF(AND((AV560/I560)&lt;2,BB560=1),(I560*2)-AV560,0)</f>
        <v>0</v>
      </c>
      <c r="BD560" s="41">
        <f>IF(AND((AV560/I560)&lt;3,BB560=2),(I560*3)-AV560,0)</f>
        <v>0</v>
      </c>
      <c r="BH560" s="18">
        <v>2</v>
      </c>
      <c r="BI560" s="18">
        <v>5</v>
      </c>
      <c r="BJ560" s="18">
        <v>4</v>
      </c>
      <c r="BK560" s="18">
        <v>5</v>
      </c>
      <c r="BL560" s="18">
        <v>4</v>
      </c>
      <c r="BM560" s="55">
        <f>SUM(AV560:AX560)+SUM(BC560:BD560)+SUM(BE560:BF560)+BG560</f>
        <v>126.1</v>
      </c>
      <c r="BN560" s="55"/>
      <c r="BO560" s="55"/>
      <c r="BP560" s="55"/>
      <c r="BQ560" s="55"/>
      <c r="BR560" s="55"/>
      <c r="BS560" s="55"/>
      <c r="BT560" s="55"/>
      <c r="BU560" s="55"/>
      <c r="BV560" s="55"/>
      <c r="BW560" s="55"/>
      <c r="BX560" s="55"/>
      <c r="BY560" s="55"/>
    </row>
    <row r="561" spans="1:78" s="47" customFormat="1" ht="33.75">
      <c r="A561" s="2" t="s">
        <v>1167</v>
      </c>
      <c r="B561" s="89">
        <v>549</v>
      </c>
      <c r="C561" s="93">
        <v>303</v>
      </c>
      <c r="D561" s="93">
        <v>545</v>
      </c>
      <c r="E561" s="94">
        <v>0.27083333333333331</v>
      </c>
      <c r="F561" s="105">
        <v>0.2951388888888889</v>
      </c>
      <c r="G561" s="106" t="s">
        <v>1038</v>
      </c>
      <c r="H561" s="93" t="s">
        <v>97</v>
      </c>
      <c r="I561" s="120">
        <v>28</v>
      </c>
      <c r="J561" s="97">
        <v>14</v>
      </c>
      <c r="K561" s="98">
        <v>208</v>
      </c>
      <c r="L561" s="99" t="s">
        <v>755</v>
      </c>
      <c r="M561" s="83" t="s">
        <v>830</v>
      </c>
      <c r="N561" s="83">
        <v>15</v>
      </c>
      <c r="O561" s="83" t="s">
        <v>1890</v>
      </c>
      <c r="P561" s="83">
        <v>9</v>
      </c>
      <c r="Q561" s="83" t="s">
        <v>1253</v>
      </c>
      <c r="R561" s="84">
        <v>9</v>
      </c>
      <c r="S561" s="26">
        <v>3895</v>
      </c>
      <c r="T561" s="26" t="s">
        <v>1577</v>
      </c>
      <c r="U561" s="26" t="s">
        <v>1578</v>
      </c>
      <c r="V561" s="26" t="s">
        <v>1579</v>
      </c>
      <c r="W561" s="62">
        <v>44816</v>
      </c>
      <c r="X561" s="62">
        <v>45086</v>
      </c>
      <c r="Y561" s="62"/>
      <c r="Z561" s="62"/>
      <c r="AA561" s="22" t="s">
        <v>1106</v>
      </c>
      <c r="AB561" s="23"/>
      <c r="AC561" s="23"/>
      <c r="AD561" s="23"/>
      <c r="AE561" s="23" t="s">
        <v>731</v>
      </c>
      <c r="AF561" s="23" t="s">
        <v>731</v>
      </c>
      <c r="AG561" s="23" t="s">
        <v>731</v>
      </c>
      <c r="AH561" s="23" t="s">
        <v>731</v>
      </c>
      <c r="AI561" s="23" t="s">
        <v>731</v>
      </c>
      <c r="AJ561" s="23" t="s">
        <v>731</v>
      </c>
      <c r="AK561" s="23" t="s">
        <v>731</v>
      </c>
      <c r="AL561" s="23"/>
      <c r="AM561" s="23"/>
      <c r="AN561" s="23"/>
      <c r="AO561" s="23"/>
      <c r="AP561" s="23"/>
      <c r="AQ561" s="23"/>
      <c r="AR561" s="23"/>
      <c r="AS561" s="23"/>
      <c r="AT561" s="23"/>
      <c r="AU561" s="23"/>
      <c r="AV561" s="41">
        <f>77.7+22.5</f>
        <v>100.2</v>
      </c>
      <c r="AW561" s="18"/>
      <c r="AX561" s="18"/>
      <c r="AY561" s="42"/>
      <c r="AZ561" s="42"/>
      <c r="BA561" s="18"/>
      <c r="BB561" s="45">
        <v>1</v>
      </c>
      <c r="BC561" s="41">
        <f>IF(AND((AV561/I561)&lt;2,BB561=1),(I561*2)-AV561,0)</f>
        <v>0</v>
      </c>
      <c r="BD561" s="41">
        <f>IF(AND((AV561/I561)&lt;3,BB561=2),(I561*3)-AV561,0)</f>
        <v>0</v>
      </c>
      <c r="BG561" s="41">
        <f>IF((AV561+AW561+AX561)&lt;20,(20-(AV561+AW561+AX561)),0)</f>
        <v>0</v>
      </c>
      <c r="BH561" s="18">
        <v>17</v>
      </c>
      <c r="BI561" s="18">
        <v>25</v>
      </c>
      <c r="BJ561" s="18">
        <v>25</v>
      </c>
      <c r="BK561" s="18">
        <v>18</v>
      </c>
      <c r="BL561" s="18">
        <v>20</v>
      </c>
      <c r="BM561" s="55">
        <f>SUM(AV561:AX561)+SUM(BC561:BD561)+SUM(BE561:BF561)+BG561</f>
        <v>100.2</v>
      </c>
      <c r="BN561" s="55"/>
      <c r="BO561" s="55"/>
      <c r="BP561" s="55"/>
      <c r="BQ561" s="55"/>
      <c r="BR561" s="55"/>
      <c r="BS561" s="55"/>
      <c r="BT561" s="55"/>
      <c r="BU561" s="55"/>
      <c r="BV561" s="55"/>
      <c r="BW561" s="55"/>
      <c r="BX561" s="55"/>
      <c r="BY561" s="55"/>
    </row>
    <row r="562" spans="1:78" s="47" customFormat="1" ht="33.75">
      <c r="A562" s="2"/>
      <c r="B562" s="89">
        <v>550</v>
      </c>
      <c r="C562" s="93">
        <v>303</v>
      </c>
      <c r="D562" s="93">
        <v>545</v>
      </c>
      <c r="E562" s="94">
        <v>0.27083333333333331</v>
      </c>
      <c r="F562" s="94">
        <v>0.2951388888888889</v>
      </c>
      <c r="G562" s="93" t="s">
        <v>567</v>
      </c>
      <c r="H562" s="93" t="s">
        <v>566</v>
      </c>
      <c r="I562" s="96">
        <v>28</v>
      </c>
      <c r="J562" s="97" t="s">
        <v>551</v>
      </c>
      <c r="K562" s="98">
        <v>55</v>
      </c>
      <c r="L562" s="99" t="s">
        <v>755</v>
      </c>
      <c r="M562" s="83" t="s">
        <v>830</v>
      </c>
      <c r="N562" s="83">
        <v>15</v>
      </c>
      <c r="O562" s="83" t="s">
        <v>1890</v>
      </c>
      <c r="P562" s="83">
        <v>9</v>
      </c>
      <c r="Q562" s="83" t="s">
        <v>1253</v>
      </c>
      <c r="R562" s="84">
        <v>9</v>
      </c>
      <c r="S562" s="26">
        <v>3895</v>
      </c>
      <c r="T562" s="26" t="s">
        <v>1577</v>
      </c>
      <c r="U562" s="26" t="s">
        <v>1419</v>
      </c>
      <c r="V562" s="26" t="s">
        <v>1420</v>
      </c>
      <c r="W562" s="63">
        <v>44562</v>
      </c>
      <c r="X562" s="63">
        <v>44815</v>
      </c>
      <c r="Y562" s="63">
        <v>45101</v>
      </c>
      <c r="Z562" s="63">
        <v>45169</v>
      </c>
      <c r="AA562" s="27" t="s">
        <v>1109</v>
      </c>
      <c r="AB562" s="23"/>
      <c r="AC562" s="23" t="s">
        <v>731</v>
      </c>
      <c r="AD562" s="23" t="s">
        <v>731</v>
      </c>
      <c r="AE562" s="23"/>
      <c r="AF562" s="23" t="s">
        <v>731</v>
      </c>
      <c r="AG562" s="23" t="s">
        <v>731</v>
      </c>
      <c r="AH562" s="23" t="s">
        <v>731</v>
      </c>
      <c r="AI562" s="23" t="s">
        <v>731</v>
      </c>
      <c r="AJ562" s="23" t="s">
        <v>731</v>
      </c>
      <c r="AK562" s="23"/>
      <c r="AL562" s="23"/>
      <c r="AM562" s="23"/>
      <c r="AN562" s="23"/>
      <c r="AO562" s="23"/>
      <c r="AP562" s="23"/>
      <c r="AQ562" s="23"/>
      <c r="AR562" s="23"/>
      <c r="AS562" s="23"/>
      <c r="AT562" s="23"/>
      <c r="AU562" s="23"/>
      <c r="AV562" s="42">
        <v>84</v>
      </c>
      <c r="AW562" s="18"/>
      <c r="AX562" s="18"/>
      <c r="AY562" s="42"/>
      <c r="AZ562" s="42"/>
      <c r="BA562" s="18"/>
      <c r="BB562" s="45">
        <v>1</v>
      </c>
      <c r="BC562" s="41">
        <f>IF(AND((AV562/I562)&lt;2,BB562=1),(I562*2)-AV562,0)</f>
        <v>0</v>
      </c>
      <c r="BD562" s="41">
        <f>IF(AND((AV562/I562)&lt;3,BB562=2),(I562*3)-AV562,0)</f>
        <v>0</v>
      </c>
      <c r="BG562" s="41">
        <f>IF((AV562+AW562+AX562)&lt;20,(20-(AV562+AW562+AX562)),0)</f>
        <v>0</v>
      </c>
      <c r="BH562" s="18">
        <v>7</v>
      </c>
      <c r="BI562" s="18">
        <v>0</v>
      </c>
      <c r="BJ562" s="18">
        <v>0</v>
      </c>
      <c r="BK562" s="18">
        <v>0</v>
      </c>
      <c r="BL562" s="18">
        <v>0</v>
      </c>
      <c r="BM562" s="55">
        <f>SUM(AV562:AX562)+SUM(BC562:BD562)+SUM(BE562:BF562)+BG562</f>
        <v>84</v>
      </c>
      <c r="BN562" s="55"/>
      <c r="BO562" s="55"/>
      <c r="BP562" s="55"/>
      <c r="BQ562" s="55"/>
      <c r="BR562" s="55"/>
      <c r="BS562" s="55"/>
      <c r="BT562" s="55"/>
      <c r="BU562" s="55"/>
      <c r="BV562" s="55"/>
      <c r="BW562" s="55"/>
      <c r="BX562" s="55"/>
      <c r="BY562" s="55"/>
    </row>
    <row r="563" spans="1:78" s="47" customFormat="1" ht="38.25">
      <c r="A563" s="2"/>
      <c r="B563" s="89">
        <v>551</v>
      </c>
      <c r="C563" s="93">
        <v>303</v>
      </c>
      <c r="D563" s="93">
        <v>501</v>
      </c>
      <c r="E563" s="94">
        <v>0.28055555555555556</v>
      </c>
      <c r="F563" s="94">
        <v>0.32013888888888892</v>
      </c>
      <c r="G563" s="93" t="s">
        <v>175</v>
      </c>
      <c r="H563" s="106" t="s">
        <v>1195</v>
      </c>
      <c r="I563" s="96">
        <v>28</v>
      </c>
      <c r="J563" s="97" t="s">
        <v>165</v>
      </c>
      <c r="K563" s="111">
        <v>87</v>
      </c>
      <c r="L563" s="99" t="s">
        <v>1196</v>
      </c>
      <c r="M563" s="83" t="s">
        <v>951</v>
      </c>
      <c r="N563" s="83">
        <v>58</v>
      </c>
      <c r="O563" s="2" t="s">
        <v>1254</v>
      </c>
      <c r="P563" s="85">
        <v>55</v>
      </c>
      <c r="S563" s="26">
        <v>3820</v>
      </c>
      <c r="T563" s="26" t="s">
        <v>1580</v>
      </c>
      <c r="U563" s="26">
        <v>1</v>
      </c>
      <c r="V563" s="26" t="s">
        <v>1312</v>
      </c>
      <c r="W563" s="62">
        <v>44816</v>
      </c>
      <c r="X563" s="62">
        <v>45086</v>
      </c>
      <c r="Y563" s="62"/>
      <c r="Z563" s="62"/>
      <c r="AA563" s="22" t="s">
        <v>1820</v>
      </c>
      <c r="AB563" s="23"/>
      <c r="AC563" s="23"/>
      <c r="AD563" s="23"/>
      <c r="AE563" s="23" t="s">
        <v>731</v>
      </c>
      <c r="AF563" s="23" t="s">
        <v>731</v>
      </c>
      <c r="AG563" s="23" t="s">
        <v>731</v>
      </c>
      <c r="AH563" s="23" t="s">
        <v>731</v>
      </c>
      <c r="AI563" s="23" t="s">
        <v>731</v>
      </c>
      <c r="AJ563" s="23" t="s">
        <v>731</v>
      </c>
      <c r="AK563" s="23"/>
      <c r="AL563" s="23"/>
      <c r="AM563" s="23"/>
      <c r="AN563" s="23"/>
      <c r="AO563" s="23"/>
      <c r="AP563" s="23"/>
      <c r="AQ563" s="23"/>
      <c r="AR563" s="23"/>
      <c r="AS563" s="23"/>
      <c r="AT563" s="23"/>
      <c r="AU563" s="23"/>
      <c r="AV563" s="42">
        <v>215.22</v>
      </c>
      <c r="AW563" s="18"/>
      <c r="AX563" s="18"/>
      <c r="AY563" s="42"/>
      <c r="AZ563" s="42"/>
      <c r="BA563" s="18"/>
      <c r="BB563" s="43">
        <v>2</v>
      </c>
      <c r="BC563" s="41">
        <f>IF(AND((AV563/I563)&lt;2,BB563=1),(I563*2)-AV563,0)</f>
        <v>0</v>
      </c>
      <c r="BD563" s="41">
        <f>IF(AND((AV563/I563)&lt;3,BB563=2),(I563*3)-AV563,0)</f>
        <v>0</v>
      </c>
      <c r="BG563" s="41">
        <f>IF((AV563+AW563+AX563)&lt;20,(20-(AV563+AW563+AX563)),0)</f>
        <v>0</v>
      </c>
      <c r="BH563" s="18">
        <v>0</v>
      </c>
      <c r="BI563" s="18">
        <v>20</v>
      </c>
      <c r="BJ563" s="47">
        <v>0</v>
      </c>
      <c r="BK563" s="47">
        <v>15</v>
      </c>
      <c r="BL563" s="47">
        <v>0</v>
      </c>
      <c r="BM563" s="55">
        <f>SUM(AV563:AX563)+SUM(BC563:BD563)+SUM(BE563:BF563)+BG563</f>
        <v>215.22</v>
      </c>
      <c r="BN563" s="55"/>
      <c r="BO563" s="55"/>
      <c r="BP563" s="55"/>
      <c r="BQ563" s="55"/>
      <c r="BR563" s="55"/>
      <c r="BS563" s="55"/>
      <c r="BT563" s="55"/>
      <c r="BU563" s="55"/>
      <c r="BV563" s="55"/>
      <c r="BW563" s="55"/>
      <c r="BX563" s="55"/>
      <c r="BY563" s="55"/>
    </row>
    <row r="564" spans="1:78" s="47" customFormat="1" ht="38.25">
      <c r="A564" s="2"/>
      <c r="B564" s="113" t="s">
        <v>1194</v>
      </c>
      <c r="C564" s="93">
        <v>303</v>
      </c>
      <c r="D564" s="93">
        <v>501</v>
      </c>
      <c r="E564" s="94">
        <v>0.28055555555555556</v>
      </c>
      <c r="F564" s="94">
        <v>0.32013888888888892</v>
      </c>
      <c r="G564" s="93" t="s">
        <v>175</v>
      </c>
      <c r="H564" s="106" t="s">
        <v>1195</v>
      </c>
      <c r="I564" s="96">
        <v>28</v>
      </c>
      <c r="J564" s="97" t="s">
        <v>165</v>
      </c>
      <c r="K564" s="111">
        <v>87</v>
      </c>
      <c r="L564" s="109" t="s">
        <v>763</v>
      </c>
      <c r="M564" s="83" t="s">
        <v>1197</v>
      </c>
      <c r="N564" s="83">
        <v>57</v>
      </c>
      <c r="O564" s="83" t="s">
        <v>1891</v>
      </c>
      <c r="P564" s="116">
        <v>58</v>
      </c>
      <c r="Q564" s="83"/>
      <c r="R564" s="83"/>
      <c r="S564" s="26">
        <v>3820</v>
      </c>
      <c r="T564" s="26" t="s">
        <v>1580</v>
      </c>
      <c r="U564" s="26">
        <v>1</v>
      </c>
      <c r="V564" s="26" t="s">
        <v>1312</v>
      </c>
      <c r="W564" s="62">
        <v>44816</v>
      </c>
      <c r="X564" s="62">
        <v>45086</v>
      </c>
      <c r="Y564" s="62"/>
      <c r="Z564" s="62"/>
      <c r="AA564" s="22" t="s">
        <v>1821</v>
      </c>
      <c r="AB564" s="23"/>
      <c r="AC564" s="23"/>
      <c r="AD564" s="23"/>
      <c r="AE564" s="23" t="s">
        <v>731</v>
      </c>
      <c r="AF564" s="23" t="s">
        <v>731</v>
      </c>
      <c r="AG564" s="23" t="s">
        <v>731</v>
      </c>
      <c r="AH564" s="23" t="s">
        <v>731</v>
      </c>
      <c r="AI564" s="23" t="s">
        <v>731</v>
      </c>
      <c r="AJ564" s="23" t="s">
        <v>731</v>
      </c>
      <c r="AK564" s="23"/>
      <c r="AL564" s="23"/>
      <c r="AM564" s="23"/>
      <c r="AN564" s="23"/>
      <c r="AO564" s="23"/>
      <c r="AP564" s="23"/>
      <c r="AQ564" s="23"/>
      <c r="AR564" s="23"/>
      <c r="AS564" s="23"/>
      <c r="AT564" s="23"/>
      <c r="AU564" s="23"/>
      <c r="AV564" s="42">
        <v>215.22</v>
      </c>
      <c r="AW564" s="18"/>
      <c r="AX564" s="18"/>
      <c r="AY564" s="42"/>
      <c r="AZ564" s="42"/>
      <c r="BA564" s="18"/>
      <c r="BB564" s="43">
        <v>2</v>
      </c>
      <c r="BC564" s="41">
        <f>IF(AND((AV564/I564)&lt;2,BB564=1),(I564*2)-AV564,0)</f>
        <v>0</v>
      </c>
      <c r="BD564" s="41">
        <f>IF(AND((AV564/I564)&lt;3,BB564=2),(I564*3)-AV564,0)</f>
        <v>0</v>
      </c>
      <c r="BG564" s="41">
        <f>IF((AV564+AW564+AX564)&lt;20,(20-(AV564+AW564+AX564)),0)</f>
        <v>0</v>
      </c>
      <c r="BH564" s="18">
        <v>15</v>
      </c>
      <c r="BI564" s="18">
        <v>0</v>
      </c>
      <c r="BJ564" s="47">
        <v>21</v>
      </c>
      <c r="BK564" s="47">
        <v>0</v>
      </c>
      <c r="BL564" s="47">
        <v>17</v>
      </c>
      <c r="BM564" s="55">
        <f>SUM(AV564:AX564)+SUM(BC564:BD564)+SUM(BE564:BF564)+BG564</f>
        <v>215.22</v>
      </c>
      <c r="BN564" s="55"/>
      <c r="BO564" s="55"/>
      <c r="BP564" s="55"/>
      <c r="BQ564" s="55"/>
      <c r="BR564" s="55"/>
      <c r="BS564" s="55"/>
      <c r="BT564" s="55"/>
      <c r="BU564" s="55"/>
      <c r="BV564" s="55"/>
      <c r="BW564" s="55"/>
      <c r="BX564" s="55"/>
      <c r="BY564" s="55"/>
    </row>
    <row r="565" spans="1:78" ht="33.75">
      <c r="A565" s="156" t="s">
        <v>2081</v>
      </c>
      <c r="B565" s="157">
        <v>552</v>
      </c>
      <c r="C565" s="158">
        <v>303</v>
      </c>
      <c r="D565" s="158">
        <v>545</v>
      </c>
      <c r="E565" s="160">
        <v>0.28680555555555554</v>
      </c>
      <c r="F565" s="160">
        <v>0.2951388888888889</v>
      </c>
      <c r="G565" s="158" t="s">
        <v>409</v>
      </c>
      <c r="H565" s="158" t="s">
        <v>97</v>
      </c>
      <c r="I565" s="161">
        <v>9</v>
      </c>
      <c r="J565" s="162">
        <v>14</v>
      </c>
      <c r="K565" s="163"/>
      <c r="L565" s="195" t="s">
        <v>2082</v>
      </c>
      <c r="M565" s="179"/>
      <c r="N565" s="179"/>
      <c r="O565" s="179"/>
      <c r="P565" s="179"/>
      <c r="Q565" s="179"/>
      <c r="R565" s="179"/>
      <c r="S565" s="170"/>
      <c r="T565" s="170"/>
      <c r="U565" s="170"/>
      <c r="V565" s="170"/>
      <c r="W565" s="165"/>
      <c r="X565" s="165"/>
      <c r="Y565" s="165"/>
      <c r="Z565" s="165"/>
      <c r="AA565" s="165"/>
      <c r="AB565" s="170"/>
      <c r="AC565" s="170"/>
      <c r="AD565" s="170"/>
      <c r="AE565" s="170"/>
      <c r="AF565" s="170"/>
      <c r="AG565" s="170"/>
      <c r="AH565" s="170"/>
      <c r="AI565" s="170"/>
      <c r="AJ565" s="170"/>
      <c r="AK565" s="170"/>
      <c r="AL565" s="170"/>
      <c r="AM565" s="170"/>
      <c r="AN565" s="170"/>
      <c r="AO565" s="170"/>
      <c r="AP565" s="170"/>
      <c r="AQ565" s="170"/>
      <c r="AR565" s="170"/>
      <c r="AS565" s="170"/>
      <c r="AT565" s="170"/>
      <c r="AU565" s="170"/>
      <c r="AV565" s="165"/>
      <c r="AW565" s="165"/>
      <c r="AX565" s="165"/>
      <c r="AY565" s="165"/>
      <c r="AZ565" s="165"/>
      <c r="BA565" s="165"/>
      <c r="BB565" s="165"/>
      <c r="BC565" s="165"/>
      <c r="BD565" s="165"/>
      <c r="BE565" s="165"/>
      <c r="BF565" s="165"/>
      <c r="BG565" s="165"/>
      <c r="BH565" s="166"/>
      <c r="BI565" s="166"/>
      <c r="BJ565" s="166"/>
      <c r="BK565" s="166"/>
      <c r="BL565" s="166"/>
      <c r="BM565" s="167"/>
      <c r="BN565" s="167"/>
      <c r="BO565" s="167"/>
      <c r="BP565" s="167"/>
      <c r="BQ565" s="167"/>
      <c r="BR565" s="167"/>
      <c r="BS565" s="167"/>
      <c r="BT565" s="167"/>
      <c r="BU565" s="167"/>
      <c r="BV565" s="167"/>
      <c r="BW565" s="167"/>
      <c r="BX565" s="167"/>
      <c r="BY565" s="167"/>
      <c r="BZ565" s="166"/>
    </row>
    <row r="566" spans="1:78" s="47" customFormat="1" ht="25.5">
      <c r="A566" s="2"/>
      <c r="B566" s="89">
        <v>553</v>
      </c>
      <c r="C566" s="93">
        <v>303</v>
      </c>
      <c r="D566" s="93">
        <v>427</v>
      </c>
      <c r="E566" s="94">
        <v>0.28819444444444448</v>
      </c>
      <c r="F566" s="105">
        <v>0.30277777777777776</v>
      </c>
      <c r="G566" s="93" t="s">
        <v>344</v>
      </c>
      <c r="H566" s="93" t="s">
        <v>97</v>
      </c>
      <c r="I566" s="96">
        <v>10.5</v>
      </c>
      <c r="J566" s="97" t="s">
        <v>269</v>
      </c>
      <c r="K566" s="98">
        <v>208</v>
      </c>
      <c r="L566" s="99" t="s">
        <v>744</v>
      </c>
      <c r="M566" s="87" t="s">
        <v>844</v>
      </c>
      <c r="N566" s="87">
        <v>23</v>
      </c>
      <c r="O566" s="87" t="s">
        <v>1892</v>
      </c>
      <c r="P566" s="87">
        <v>23</v>
      </c>
      <c r="Q566" s="87" t="s">
        <v>845</v>
      </c>
      <c r="R566" s="84">
        <v>23</v>
      </c>
      <c r="S566" s="26">
        <v>3790</v>
      </c>
      <c r="T566" s="26" t="s">
        <v>1581</v>
      </c>
      <c r="U566" s="26" t="s">
        <v>1582</v>
      </c>
      <c r="V566" s="26" t="s">
        <v>1583</v>
      </c>
      <c r="W566" s="62">
        <v>44816</v>
      </c>
      <c r="X566" s="62">
        <v>45086</v>
      </c>
      <c r="Y566" s="62"/>
      <c r="Z566" s="62"/>
      <c r="AA566" s="22" t="s">
        <v>1106</v>
      </c>
      <c r="AB566" s="23"/>
      <c r="AC566" s="23"/>
      <c r="AD566" s="23"/>
      <c r="AE566" s="23" t="s">
        <v>731</v>
      </c>
      <c r="AF566" s="23" t="s">
        <v>731</v>
      </c>
      <c r="AG566" s="23" t="s">
        <v>731</v>
      </c>
      <c r="AH566" s="23" t="s">
        <v>731</v>
      </c>
      <c r="AI566" s="23" t="s">
        <v>731</v>
      </c>
      <c r="AJ566" s="23" t="s">
        <v>731</v>
      </c>
      <c r="AK566" s="23" t="s">
        <v>731</v>
      </c>
      <c r="AL566" s="23"/>
      <c r="AM566" s="23"/>
      <c r="AN566" s="23"/>
      <c r="AO566" s="23"/>
      <c r="AP566" s="23"/>
      <c r="AQ566" s="23"/>
      <c r="AR566" s="23"/>
      <c r="AS566" s="23"/>
      <c r="AT566" s="23"/>
      <c r="AU566" s="23"/>
      <c r="AV566" s="42">
        <v>66.73</v>
      </c>
      <c r="AW566" s="18"/>
      <c r="AX566" s="18"/>
      <c r="AY566" s="42"/>
      <c r="AZ566" s="42"/>
      <c r="BA566" s="18"/>
      <c r="BB566" s="45">
        <v>1</v>
      </c>
      <c r="BC566" s="41">
        <f>IF(AND((AV566/I566)&lt;2,BB566=1),(I566*2)-AV566,0)</f>
        <v>0</v>
      </c>
      <c r="BD566" s="41">
        <f>IF(AND((AV566/I566)&lt;3,BB566=2),(I566*3)-AV566,0)</f>
        <v>0</v>
      </c>
      <c r="BG566" s="41">
        <f>IF((AV566+AW566+AX566)&lt;20,(20-(AV566+AW566+AX566)),0)</f>
        <v>0</v>
      </c>
      <c r="BH566" s="18">
        <v>17</v>
      </c>
      <c r="BI566" s="18">
        <v>25</v>
      </c>
      <c r="BJ566" s="18">
        <v>25</v>
      </c>
      <c r="BK566" s="18">
        <v>18</v>
      </c>
      <c r="BL566" s="18">
        <v>20</v>
      </c>
      <c r="BM566" s="55">
        <f>SUM(AV566:AX566)+SUM(BC566:BD566)+SUM(BE566:BF566)+BG566</f>
        <v>66.73</v>
      </c>
      <c r="BN566" s="55"/>
      <c r="BO566" s="55"/>
      <c r="BP566" s="55"/>
      <c r="BQ566" s="55"/>
      <c r="BR566" s="55"/>
      <c r="BS566" s="55"/>
      <c r="BT566" s="55"/>
      <c r="BU566" s="55"/>
      <c r="BV566" s="55"/>
      <c r="BW566" s="55"/>
      <c r="BX566" s="55"/>
      <c r="BY566" s="55"/>
    </row>
    <row r="567" spans="1:78" s="47" customFormat="1" ht="33.75">
      <c r="A567" s="2"/>
      <c r="B567" s="89">
        <v>554</v>
      </c>
      <c r="C567" s="93">
        <v>303</v>
      </c>
      <c r="D567" s="93">
        <v>501</v>
      </c>
      <c r="E567" s="94">
        <v>0.29166666666666669</v>
      </c>
      <c r="F567" s="94">
        <v>0.32013888888888892</v>
      </c>
      <c r="G567" s="93" t="s">
        <v>350</v>
      </c>
      <c r="H567" s="93" t="s">
        <v>103</v>
      </c>
      <c r="I567" s="96">
        <v>19</v>
      </c>
      <c r="J567" s="97" t="s">
        <v>165</v>
      </c>
      <c r="K567" s="98">
        <v>174</v>
      </c>
      <c r="L567" s="99" t="s">
        <v>744</v>
      </c>
      <c r="M567" s="87" t="s">
        <v>846</v>
      </c>
      <c r="N567" s="87">
        <v>57</v>
      </c>
      <c r="O567" s="87" t="s">
        <v>1893</v>
      </c>
      <c r="P567" s="87">
        <v>56</v>
      </c>
      <c r="Q567" s="83" t="s">
        <v>1946</v>
      </c>
      <c r="R567" s="84" t="s">
        <v>1851</v>
      </c>
      <c r="S567" s="26">
        <v>3770</v>
      </c>
      <c r="T567" s="26" t="s">
        <v>1584</v>
      </c>
      <c r="U567" s="26">
        <v>1</v>
      </c>
      <c r="V567" s="26" t="s">
        <v>1312</v>
      </c>
      <c r="W567" s="62">
        <v>44816</v>
      </c>
      <c r="X567" s="62">
        <v>45086</v>
      </c>
      <c r="Y567" s="62"/>
      <c r="Z567" s="62"/>
      <c r="AA567" s="22" t="s">
        <v>1102</v>
      </c>
      <c r="AB567" s="23"/>
      <c r="AC567" s="23"/>
      <c r="AD567" s="23"/>
      <c r="AE567" s="23" t="s">
        <v>731</v>
      </c>
      <c r="AF567" s="23" t="s">
        <v>731</v>
      </c>
      <c r="AG567" s="23" t="s">
        <v>731</v>
      </c>
      <c r="AH567" s="23" t="s">
        <v>731</v>
      </c>
      <c r="AI567" s="23" t="s">
        <v>731</v>
      </c>
      <c r="AJ567" s="23" t="s">
        <v>731</v>
      </c>
      <c r="AK567" s="23"/>
      <c r="AL567" s="23"/>
      <c r="AM567" s="23"/>
      <c r="AN567" s="23"/>
      <c r="AO567" s="23"/>
      <c r="AP567" s="23"/>
      <c r="AQ567" s="23"/>
      <c r="AR567" s="23"/>
      <c r="AS567" s="23"/>
      <c r="AT567" s="23"/>
      <c r="AU567" s="23"/>
      <c r="AV567" s="42">
        <v>224.74</v>
      </c>
      <c r="AW567" s="18"/>
      <c r="AX567" s="18"/>
      <c r="AY567" s="42"/>
      <c r="AZ567" s="42"/>
      <c r="BA567" s="18"/>
      <c r="BB567" s="43">
        <v>2</v>
      </c>
      <c r="BC567" s="41">
        <f>IF(AND((AV567/I567)&lt;2,BB567=1),(I567*2)-AV567,0)</f>
        <v>0</v>
      </c>
      <c r="BD567" s="41">
        <f>IF(AND((AV567/I567)&lt;3,BB567=2),(I567*3)-AV567,0)</f>
        <v>0</v>
      </c>
      <c r="BH567" s="18">
        <v>15</v>
      </c>
      <c r="BI567" s="18">
        <v>20</v>
      </c>
      <c r="BJ567" s="18">
        <v>21</v>
      </c>
      <c r="BK567" s="18">
        <v>15</v>
      </c>
      <c r="BL567" s="18">
        <v>17</v>
      </c>
      <c r="BM567" s="55">
        <f>SUM(AV567:AX567)+SUM(BC567:BD567)+SUM(BE567:BF567)+BG567</f>
        <v>224.74</v>
      </c>
      <c r="BN567" s="55"/>
      <c r="BO567" s="55"/>
      <c r="BP567" s="55"/>
      <c r="BQ567" s="55"/>
      <c r="BR567" s="55"/>
      <c r="BS567" s="55"/>
      <c r="BT567" s="55"/>
      <c r="BU567" s="55"/>
      <c r="BV567" s="55"/>
      <c r="BW567" s="55"/>
      <c r="BX567" s="55"/>
      <c r="BY567" s="55"/>
    </row>
    <row r="568" spans="1:78" s="47" customFormat="1" ht="25.5">
      <c r="A568" s="2"/>
      <c r="B568" s="89">
        <v>555</v>
      </c>
      <c r="C568" s="93">
        <v>303</v>
      </c>
      <c r="D568" s="93">
        <v>253</v>
      </c>
      <c r="E568" s="94">
        <v>0.31041666666666667</v>
      </c>
      <c r="F568" s="94">
        <v>0.31388888888888888</v>
      </c>
      <c r="G568" s="93" t="s">
        <v>345</v>
      </c>
      <c r="H568" s="93" t="s">
        <v>103</v>
      </c>
      <c r="I568" s="96">
        <v>3</v>
      </c>
      <c r="J568" s="97" t="s">
        <v>269</v>
      </c>
      <c r="K568" s="98">
        <v>174</v>
      </c>
      <c r="L568" s="99" t="s">
        <v>744</v>
      </c>
      <c r="M568" s="87" t="s">
        <v>844</v>
      </c>
      <c r="N568" s="87">
        <v>23</v>
      </c>
      <c r="O568" s="87" t="s">
        <v>1892</v>
      </c>
      <c r="P568" s="87">
        <v>23</v>
      </c>
      <c r="Q568" s="87" t="s">
        <v>845</v>
      </c>
      <c r="R568" s="84">
        <v>23</v>
      </c>
      <c r="S568" s="26">
        <v>3760</v>
      </c>
      <c r="T568" s="26" t="s">
        <v>1585</v>
      </c>
      <c r="U568" s="26">
        <v>3740</v>
      </c>
      <c r="V568" s="26" t="s">
        <v>1586</v>
      </c>
      <c r="W568" s="62">
        <v>44816</v>
      </c>
      <c r="X568" s="62">
        <v>45086</v>
      </c>
      <c r="Y568" s="62"/>
      <c r="Z568" s="62"/>
      <c r="AA568" s="22" t="s">
        <v>1102</v>
      </c>
      <c r="AB568" s="23"/>
      <c r="AC568" s="23"/>
      <c r="AD568" s="23"/>
      <c r="AE568" s="23" t="s">
        <v>731</v>
      </c>
      <c r="AF568" s="23" t="s">
        <v>731</v>
      </c>
      <c r="AG568" s="23" t="s">
        <v>731</v>
      </c>
      <c r="AH568" s="23" t="s">
        <v>731</v>
      </c>
      <c r="AI568" s="23" t="s">
        <v>731</v>
      </c>
      <c r="AJ568" s="23" t="s">
        <v>731</v>
      </c>
      <c r="AK568" s="23"/>
      <c r="AL568" s="23"/>
      <c r="AM568" s="23"/>
      <c r="AN568" s="23"/>
      <c r="AO568" s="23"/>
      <c r="AP568" s="23"/>
      <c r="AQ568" s="23"/>
      <c r="AR568" s="23"/>
      <c r="AS568" s="23"/>
      <c r="AT568" s="23"/>
      <c r="AU568" s="23"/>
      <c r="AV568" s="42">
        <v>10</v>
      </c>
      <c r="AW568" s="18"/>
      <c r="AX568" s="18"/>
      <c r="AY568" s="42"/>
      <c r="AZ568" s="42"/>
      <c r="BA568" s="18"/>
      <c r="BB568" s="45">
        <v>1</v>
      </c>
      <c r="BC568" s="41">
        <f>IF(AND((AV568/I568)&lt;2,BB568=1),(I568*2)-AV568,0)</f>
        <v>0</v>
      </c>
      <c r="BD568" s="41">
        <f>IF(AND((AV568/I568)&lt;3,BB568=2),(I568*3)-AV568,0)</f>
        <v>0</v>
      </c>
      <c r="BH568" s="18">
        <v>15</v>
      </c>
      <c r="BI568" s="18">
        <v>20</v>
      </c>
      <c r="BJ568" s="18">
        <v>21</v>
      </c>
      <c r="BK568" s="18">
        <v>15</v>
      </c>
      <c r="BL568" s="18">
        <v>17</v>
      </c>
      <c r="BM568" s="55">
        <f>SUM(AV568:AX568)+SUM(BC568:BD568)+SUM(BE568:BF568)+BG568</f>
        <v>10</v>
      </c>
      <c r="BN568" s="55"/>
      <c r="BO568" s="55"/>
      <c r="BP568" s="55"/>
      <c r="BQ568" s="55"/>
      <c r="BR568" s="55"/>
      <c r="BS568" s="55"/>
      <c r="BT568" s="55"/>
      <c r="BU568" s="55"/>
      <c r="BV568" s="55"/>
      <c r="BW568" s="55"/>
      <c r="BX568" s="55"/>
      <c r="BY568" s="55"/>
    </row>
    <row r="569" spans="1:78" s="47" customFormat="1" ht="25.5">
      <c r="A569" s="2"/>
      <c r="B569" s="89">
        <v>556</v>
      </c>
      <c r="C569" s="93">
        <v>303</v>
      </c>
      <c r="D569" s="93">
        <v>253</v>
      </c>
      <c r="E569" s="105">
        <v>0.31597222222222221</v>
      </c>
      <c r="F569" s="94">
        <v>0.31944444444444448</v>
      </c>
      <c r="G569" s="93" t="s">
        <v>349</v>
      </c>
      <c r="H569" s="93" t="s">
        <v>103</v>
      </c>
      <c r="I569" s="96">
        <v>3</v>
      </c>
      <c r="J569" s="97" t="s">
        <v>269</v>
      </c>
      <c r="K569" s="98">
        <v>174</v>
      </c>
      <c r="L569" s="99" t="s">
        <v>744</v>
      </c>
      <c r="M569" s="87" t="s">
        <v>844</v>
      </c>
      <c r="N569" s="87">
        <v>23</v>
      </c>
      <c r="O569" s="87" t="s">
        <v>1892</v>
      </c>
      <c r="P569" s="87">
        <v>23</v>
      </c>
      <c r="Q569" s="87" t="s">
        <v>845</v>
      </c>
      <c r="R569" s="84">
        <v>23</v>
      </c>
      <c r="S569" s="26">
        <v>3750</v>
      </c>
      <c r="T569" s="26" t="s">
        <v>1587</v>
      </c>
      <c r="U569" s="26">
        <v>3740</v>
      </c>
      <c r="V569" s="26" t="s">
        <v>1586</v>
      </c>
      <c r="W569" s="62">
        <v>44816</v>
      </c>
      <c r="X569" s="62">
        <v>45086</v>
      </c>
      <c r="Y569" s="62"/>
      <c r="Z569" s="62"/>
      <c r="AA569" s="22" t="s">
        <v>1102</v>
      </c>
      <c r="AB569" s="23"/>
      <c r="AC569" s="23"/>
      <c r="AD569" s="23"/>
      <c r="AE569" s="23" t="s">
        <v>731</v>
      </c>
      <c r="AF569" s="23" t="s">
        <v>731</v>
      </c>
      <c r="AG569" s="23" t="s">
        <v>731</v>
      </c>
      <c r="AH569" s="23" t="s">
        <v>731</v>
      </c>
      <c r="AI569" s="23" t="s">
        <v>731</v>
      </c>
      <c r="AJ569" s="23" t="s">
        <v>731</v>
      </c>
      <c r="AK569" s="23"/>
      <c r="AL569" s="23"/>
      <c r="AM569" s="23"/>
      <c r="AN569" s="23"/>
      <c r="AO569" s="23"/>
      <c r="AP569" s="23"/>
      <c r="AQ569" s="23"/>
      <c r="AR569" s="23"/>
      <c r="AS569" s="23"/>
      <c r="AT569" s="23"/>
      <c r="AU569" s="23"/>
      <c r="AV569" s="44">
        <v>23.73</v>
      </c>
      <c r="AW569" s="18"/>
      <c r="AX569" s="18"/>
      <c r="AY569" s="42"/>
      <c r="AZ569" s="42"/>
      <c r="BA569" s="18"/>
      <c r="BB569" s="45">
        <v>1</v>
      </c>
      <c r="BC569" s="44"/>
      <c r="BD569" s="44"/>
      <c r="BH569" s="18">
        <v>15</v>
      </c>
      <c r="BI569" s="18">
        <v>20</v>
      </c>
      <c r="BJ569" s="18">
        <v>21</v>
      </c>
      <c r="BK569" s="18">
        <v>15</v>
      </c>
      <c r="BL569" s="18">
        <v>17</v>
      </c>
      <c r="BM569" s="55">
        <f>SUM(AV569:AX569)+SUM(BC569:BD569)+SUM(BE569:BF569)+BG569</f>
        <v>23.73</v>
      </c>
      <c r="BN569" s="55"/>
      <c r="BO569" s="55"/>
      <c r="BP569" s="55"/>
      <c r="BQ569" s="55"/>
      <c r="BR569" s="55"/>
      <c r="BS569" s="55"/>
      <c r="BT569" s="55"/>
      <c r="BU569" s="55"/>
      <c r="BV569" s="55"/>
      <c r="BW569" s="55"/>
      <c r="BX569" s="55"/>
      <c r="BY569" s="55"/>
    </row>
    <row r="570" spans="1:78" s="47" customFormat="1" ht="25.5">
      <c r="A570" s="2"/>
      <c r="B570" s="89">
        <v>557</v>
      </c>
      <c r="C570" s="106">
        <v>330</v>
      </c>
      <c r="D570" s="93">
        <v>437</v>
      </c>
      <c r="E570" s="94">
        <v>0.32291666666666669</v>
      </c>
      <c r="F570" s="105">
        <v>0.34097222222222223</v>
      </c>
      <c r="G570" s="93" t="s">
        <v>343</v>
      </c>
      <c r="H570" s="93" t="s">
        <v>103</v>
      </c>
      <c r="I570" s="96">
        <v>11</v>
      </c>
      <c r="J570" s="97" t="s">
        <v>269</v>
      </c>
      <c r="K570" s="98">
        <v>174</v>
      </c>
      <c r="L570" s="99" t="s">
        <v>744</v>
      </c>
      <c r="M570" s="87" t="s">
        <v>844</v>
      </c>
      <c r="N570" s="87">
        <v>23</v>
      </c>
      <c r="O570" s="87" t="s">
        <v>1892</v>
      </c>
      <c r="P570" s="87">
        <v>23</v>
      </c>
      <c r="Q570" s="87" t="s">
        <v>845</v>
      </c>
      <c r="R570" s="84">
        <v>23</v>
      </c>
      <c r="S570" s="26">
        <v>3740</v>
      </c>
      <c r="T570" s="26" t="s">
        <v>1586</v>
      </c>
      <c r="U570" s="26" t="s">
        <v>1588</v>
      </c>
      <c r="V570" s="26" t="s">
        <v>1589</v>
      </c>
      <c r="W570" s="62">
        <v>44816</v>
      </c>
      <c r="X570" s="62">
        <v>45086</v>
      </c>
      <c r="Y570" s="62"/>
      <c r="Z570" s="62"/>
      <c r="AA570" s="22" t="s">
        <v>1102</v>
      </c>
      <c r="AB570" s="23"/>
      <c r="AC570" s="23"/>
      <c r="AD570" s="23"/>
      <c r="AE570" s="23" t="s">
        <v>731</v>
      </c>
      <c r="AF570" s="23" t="s">
        <v>731</v>
      </c>
      <c r="AG570" s="23" t="s">
        <v>731</v>
      </c>
      <c r="AH570" s="23" t="s">
        <v>731</v>
      </c>
      <c r="AI570" s="23" t="s">
        <v>731</v>
      </c>
      <c r="AJ570" s="23" t="s">
        <v>731</v>
      </c>
      <c r="AK570" s="23"/>
      <c r="AL570" s="23"/>
      <c r="AM570" s="23"/>
      <c r="AN570" s="23"/>
      <c r="AO570" s="23"/>
      <c r="AP570" s="23"/>
      <c r="AQ570" s="23"/>
      <c r="AR570" s="23"/>
      <c r="AS570" s="23"/>
      <c r="AT570" s="23"/>
      <c r="AU570" s="23"/>
      <c r="AV570" s="44">
        <v>19.8</v>
      </c>
      <c r="AW570" s="18"/>
      <c r="AX570" s="18"/>
      <c r="AY570" s="42"/>
      <c r="AZ570" s="42"/>
      <c r="BA570" s="18"/>
      <c r="BB570" s="45">
        <v>1</v>
      </c>
      <c r="BC570" s="44"/>
      <c r="BD570" s="44"/>
      <c r="BH570" s="18">
        <v>15</v>
      </c>
      <c r="BI570" s="18">
        <v>20</v>
      </c>
      <c r="BJ570" s="18">
        <v>21</v>
      </c>
      <c r="BK570" s="18">
        <v>15</v>
      </c>
      <c r="BL570" s="18">
        <v>17</v>
      </c>
      <c r="BM570" s="55">
        <f>SUM(AV570:AX570)+SUM(BC570:BD570)+SUM(BE570:BF570)+BG570</f>
        <v>19.8</v>
      </c>
      <c r="BN570" s="55"/>
      <c r="BO570" s="55"/>
      <c r="BP570" s="55"/>
      <c r="BQ570" s="55"/>
      <c r="BR570" s="55"/>
      <c r="BS570" s="55"/>
      <c r="BT570" s="55"/>
      <c r="BU570" s="55"/>
      <c r="BV570" s="55"/>
      <c r="BW570" s="55"/>
      <c r="BX570" s="55"/>
      <c r="BY570" s="55"/>
    </row>
    <row r="571" spans="1:78" s="47" customFormat="1" ht="33.75">
      <c r="A571" s="2"/>
      <c r="B571" s="89">
        <v>558</v>
      </c>
      <c r="C571" s="93">
        <v>303</v>
      </c>
      <c r="D571" s="93">
        <v>550</v>
      </c>
      <c r="E571" s="94">
        <v>0.3263888888888889</v>
      </c>
      <c r="F571" s="94">
        <v>0.34236111111111112</v>
      </c>
      <c r="G571" s="93" t="s">
        <v>515</v>
      </c>
      <c r="H571" s="93" t="s">
        <v>566</v>
      </c>
      <c r="I571" s="96">
        <v>19</v>
      </c>
      <c r="J571" s="97" t="s">
        <v>551</v>
      </c>
      <c r="K571" s="98">
        <v>55</v>
      </c>
      <c r="L571" s="99" t="s">
        <v>755</v>
      </c>
      <c r="M571" s="87" t="s">
        <v>830</v>
      </c>
      <c r="N571" s="87">
        <v>15</v>
      </c>
      <c r="O571" s="83" t="s">
        <v>1890</v>
      </c>
      <c r="P571" s="83">
        <v>9</v>
      </c>
      <c r="Q571" s="87" t="s">
        <v>1253</v>
      </c>
      <c r="R571" s="84">
        <v>9</v>
      </c>
      <c r="S571" s="26" t="s">
        <v>1590</v>
      </c>
      <c r="T571" s="26" t="s">
        <v>1591</v>
      </c>
      <c r="U571" s="26">
        <v>3895</v>
      </c>
      <c r="V571" s="26" t="s">
        <v>1577</v>
      </c>
      <c r="W571" s="63">
        <v>44562</v>
      </c>
      <c r="X571" s="63">
        <v>44815</v>
      </c>
      <c r="Y571" s="63">
        <v>45101</v>
      </c>
      <c r="Z571" s="63">
        <v>45169</v>
      </c>
      <c r="AA571" s="27" t="s">
        <v>1109</v>
      </c>
      <c r="AB571" s="23"/>
      <c r="AC571" s="23" t="s">
        <v>731</v>
      </c>
      <c r="AD571" s="23" t="s">
        <v>731</v>
      </c>
      <c r="AE571" s="23"/>
      <c r="AF571" s="23" t="s">
        <v>731</v>
      </c>
      <c r="AG571" s="23" t="s">
        <v>731</v>
      </c>
      <c r="AH571" s="23" t="s">
        <v>731</v>
      </c>
      <c r="AI571" s="23" t="s">
        <v>731</v>
      </c>
      <c r="AJ571" s="23" t="s">
        <v>731</v>
      </c>
      <c r="AK571" s="23"/>
      <c r="AL571" s="23"/>
      <c r="AM571" s="23"/>
      <c r="AN571" s="23"/>
      <c r="AO571" s="23"/>
      <c r="AP571" s="23"/>
      <c r="AQ571" s="23"/>
      <c r="AR571" s="23"/>
      <c r="AS571" s="23"/>
      <c r="AT571" s="23"/>
      <c r="AU571" s="23"/>
      <c r="AV571" s="42">
        <v>57</v>
      </c>
      <c r="AW571" s="18"/>
      <c r="AX571" s="18"/>
      <c r="AY571" s="42"/>
      <c r="AZ571" s="42"/>
      <c r="BA571" s="18"/>
      <c r="BB571" s="45">
        <v>1</v>
      </c>
      <c r="BC571" s="41">
        <f>IF(AND((AV571/I571)&lt;2,BB571=1),(I571*2)-AV571,0)</f>
        <v>0</v>
      </c>
      <c r="BD571" s="41">
        <f>IF(AND((AV571/I571)&lt;3,BB571=2),(I571*3)-AV571,0)</f>
        <v>0</v>
      </c>
      <c r="BH571" s="18">
        <v>7</v>
      </c>
      <c r="BI571" s="18">
        <v>0</v>
      </c>
      <c r="BJ571" s="18">
        <v>0</v>
      </c>
      <c r="BK571" s="18">
        <v>0</v>
      </c>
      <c r="BL571" s="18">
        <v>0</v>
      </c>
      <c r="BM571" s="55">
        <f>SUM(AV571:AX571)+SUM(BC571:BD571)+SUM(BE571:BF571)+BG571</f>
        <v>57</v>
      </c>
      <c r="BN571" s="55"/>
      <c r="BO571" s="55"/>
      <c r="BP571" s="55"/>
      <c r="BQ571" s="55"/>
      <c r="BR571" s="55"/>
      <c r="BS571" s="55"/>
      <c r="BT571" s="55"/>
      <c r="BU571" s="55"/>
      <c r="BV571" s="55"/>
      <c r="BW571" s="55"/>
      <c r="BX571" s="55"/>
      <c r="BY571" s="55"/>
    </row>
    <row r="572" spans="1:78" s="47" customFormat="1" ht="25.5">
      <c r="A572" s="2"/>
      <c r="B572" s="89">
        <v>559</v>
      </c>
      <c r="C572" s="93">
        <v>303</v>
      </c>
      <c r="D572" s="93">
        <v>473</v>
      </c>
      <c r="E572" s="94">
        <v>0.33194444444444443</v>
      </c>
      <c r="F572" s="94">
        <v>0.3666666666666667</v>
      </c>
      <c r="G572" s="93" t="s">
        <v>573</v>
      </c>
      <c r="H572" s="93" t="s">
        <v>424</v>
      </c>
      <c r="I572" s="96">
        <v>21.5</v>
      </c>
      <c r="J572" s="127">
        <v>50</v>
      </c>
      <c r="K572" s="98">
        <v>55</v>
      </c>
      <c r="L572" s="99" t="s">
        <v>756</v>
      </c>
      <c r="M572" s="83" t="s">
        <v>951</v>
      </c>
      <c r="N572" s="83">
        <v>58</v>
      </c>
      <c r="O572" s="2" t="s">
        <v>1254</v>
      </c>
      <c r="P572" s="85">
        <v>55</v>
      </c>
      <c r="S572" s="26">
        <v>3870</v>
      </c>
      <c r="T572" s="26" t="s">
        <v>1592</v>
      </c>
      <c r="U572" s="26">
        <v>3740</v>
      </c>
      <c r="V572" s="26" t="s">
        <v>1586</v>
      </c>
      <c r="W572" s="63">
        <v>44562</v>
      </c>
      <c r="X572" s="63">
        <v>44815</v>
      </c>
      <c r="Y572" s="63">
        <v>45101</v>
      </c>
      <c r="Z572" s="63">
        <v>45169</v>
      </c>
      <c r="AA572" s="22" t="s">
        <v>1109</v>
      </c>
      <c r="AB572" s="23"/>
      <c r="AC572" s="23" t="s">
        <v>731</v>
      </c>
      <c r="AD572" s="23" t="s">
        <v>731</v>
      </c>
      <c r="AE572" s="23"/>
      <c r="AF572" s="23" t="s">
        <v>731</v>
      </c>
      <c r="AG572" s="23" t="s">
        <v>731</v>
      </c>
      <c r="AH572" s="23" t="s">
        <v>731</v>
      </c>
      <c r="AI572" s="23" t="s">
        <v>731</v>
      </c>
      <c r="AJ572" s="23" t="s">
        <v>731</v>
      </c>
      <c r="AK572" s="23"/>
      <c r="AL572" s="23"/>
      <c r="AM572" s="23"/>
      <c r="AN572" s="23"/>
      <c r="AO572" s="23"/>
      <c r="AP572" s="23"/>
      <c r="AQ572" s="23"/>
      <c r="AR572" s="23"/>
      <c r="AS572" s="23"/>
      <c r="AT572" s="23"/>
      <c r="AU572" s="23"/>
      <c r="AV572" s="42">
        <v>104.24</v>
      </c>
      <c r="AW572" s="18"/>
      <c r="AX572" s="18"/>
      <c r="AY572" s="42"/>
      <c r="AZ572" s="42"/>
      <c r="BA572" s="18"/>
      <c r="BB572" s="43">
        <v>2</v>
      </c>
      <c r="BC572" s="41">
        <f>IF(AND((AV572/I572)&lt;2,BB572=1),(I572*2)-AV572,0)</f>
        <v>0</v>
      </c>
      <c r="BD572" s="41">
        <f>IF(AND((AV572/I572)&lt;3,BB572=2),(I572*3)-AV572,0)</f>
        <v>0</v>
      </c>
      <c r="BH572" s="18">
        <v>7</v>
      </c>
      <c r="BI572" s="18">
        <v>0</v>
      </c>
      <c r="BJ572" s="18">
        <v>0</v>
      </c>
      <c r="BK572" s="18">
        <v>0</v>
      </c>
      <c r="BL572" s="18">
        <v>0</v>
      </c>
      <c r="BM572" s="55">
        <f>SUM(AV572:AX572)+SUM(BC572:BD572)+SUM(BE572:BF572)+BG572</f>
        <v>104.24</v>
      </c>
      <c r="BN572" s="55"/>
      <c r="BO572" s="55"/>
      <c r="BP572" s="55"/>
      <c r="BQ572" s="55"/>
      <c r="BR572" s="55"/>
      <c r="BS572" s="55"/>
      <c r="BT572" s="55"/>
      <c r="BU572" s="55"/>
      <c r="BV572" s="55"/>
      <c r="BW572" s="55"/>
      <c r="BX572" s="55"/>
      <c r="BY572" s="55"/>
    </row>
    <row r="573" spans="1:78" ht="33.75">
      <c r="B573" s="89">
        <v>560</v>
      </c>
      <c r="C573" s="93">
        <v>303</v>
      </c>
      <c r="D573" s="93">
        <v>549</v>
      </c>
      <c r="E573" s="94">
        <v>0.34375</v>
      </c>
      <c r="F573" s="105">
        <v>0.35972222222222222</v>
      </c>
      <c r="G573" s="93" t="s">
        <v>395</v>
      </c>
      <c r="H573" s="93" t="s">
        <v>568</v>
      </c>
      <c r="I573" s="96">
        <v>19</v>
      </c>
      <c r="J573" s="97">
        <v>14</v>
      </c>
      <c r="K573" s="98">
        <v>39</v>
      </c>
      <c r="L573" s="99" t="s">
        <v>755</v>
      </c>
      <c r="M573" s="87" t="s">
        <v>830</v>
      </c>
      <c r="N573" s="87">
        <v>15</v>
      </c>
      <c r="O573" s="83" t="s">
        <v>1890</v>
      </c>
      <c r="P573" s="83">
        <v>9</v>
      </c>
      <c r="Q573" s="87" t="s">
        <v>1253</v>
      </c>
      <c r="R573" s="84">
        <v>9</v>
      </c>
      <c r="S573" s="26">
        <v>3895</v>
      </c>
      <c r="T573" s="26" t="s">
        <v>1577</v>
      </c>
      <c r="U573" s="26" t="s">
        <v>1578</v>
      </c>
      <c r="V573" s="26" t="s">
        <v>1579</v>
      </c>
      <c r="W573" s="63">
        <v>44816</v>
      </c>
      <c r="X573" s="63">
        <v>45100</v>
      </c>
      <c r="Y573" s="63"/>
      <c r="Z573" s="63"/>
      <c r="AA573" s="24" t="s">
        <v>1143</v>
      </c>
      <c r="AB573" s="23" t="s">
        <v>731</v>
      </c>
      <c r="AC573" s="23"/>
      <c r="AD573" s="23" t="s">
        <v>731</v>
      </c>
      <c r="AE573" s="23"/>
      <c r="AF573" s="23"/>
      <c r="AG573" s="23"/>
      <c r="AH573" s="23"/>
      <c r="AI573" s="23" t="s">
        <v>731</v>
      </c>
      <c r="AJ573" s="23"/>
      <c r="AK573" s="23"/>
      <c r="AL573" s="23"/>
      <c r="AM573" s="23"/>
      <c r="AN573" s="23"/>
      <c r="AO573" s="23"/>
      <c r="AP573" s="23"/>
      <c r="AQ573" s="23"/>
      <c r="AR573" s="23"/>
      <c r="AS573" s="23"/>
      <c r="AT573" s="23"/>
      <c r="AU573" s="23"/>
      <c r="AV573" s="42">
        <v>57</v>
      </c>
      <c r="AW573" s="18"/>
      <c r="AY573" s="42"/>
      <c r="AZ573" s="42"/>
      <c r="BB573" s="45">
        <v>1</v>
      </c>
      <c r="BC573" s="41">
        <f>IF(AND((AV573/I573)&lt;2,BB573=1),(I573*2)-AV573,0)</f>
        <v>0</v>
      </c>
      <c r="BD573" s="41">
        <f>IF(AND((AV573/I573)&lt;3,BB573=2),(I573*3)-AV573,0)</f>
        <v>0</v>
      </c>
      <c r="BG573" s="18"/>
      <c r="BH573" s="18">
        <v>3</v>
      </c>
      <c r="BI573" s="18">
        <v>4</v>
      </c>
      <c r="BJ573" s="18">
        <v>4</v>
      </c>
      <c r="BK573" s="18">
        <v>4</v>
      </c>
      <c r="BL573" s="18">
        <v>4</v>
      </c>
      <c r="BM573" s="55">
        <f>SUM(AV573:AX573)+SUM(BC573:BD573)+SUM(BE573:BF573)+BG573</f>
        <v>57</v>
      </c>
      <c r="BN573" s="55"/>
      <c r="BO573" s="55"/>
      <c r="BP573" s="55"/>
      <c r="BQ573" s="55"/>
      <c r="BR573" s="55"/>
      <c r="BS573" s="55"/>
      <c r="BT573" s="55"/>
      <c r="BU573" s="55"/>
      <c r="BV573" s="55"/>
      <c r="BW573" s="55"/>
      <c r="BX573" s="55"/>
      <c r="BY573" s="55"/>
    </row>
    <row r="574" spans="1:78" ht="25.5">
      <c r="B574" s="89">
        <v>561</v>
      </c>
      <c r="C574" s="93">
        <v>303</v>
      </c>
      <c r="D574" s="93">
        <v>703</v>
      </c>
      <c r="E574" s="94">
        <v>0.35069444444444442</v>
      </c>
      <c r="F574" s="94">
        <v>0.3888888888888889</v>
      </c>
      <c r="G574" s="93" t="s">
        <v>442</v>
      </c>
      <c r="H574" s="93" t="s">
        <v>549</v>
      </c>
      <c r="I574" s="96">
        <v>23</v>
      </c>
      <c r="J574" s="97" t="s">
        <v>188</v>
      </c>
      <c r="K574" s="98">
        <v>13</v>
      </c>
      <c r="L574" s="99" t="s">
        <v>744</v>
      </c>
      <c r="M574" s="87" t="s">
        <v>847</v>
      </c>
      <c r="N574" s="87">
        <v>31</v>
      </c>
      <c r="O574" s="87" t="s">
        <v>1240</v>
      </c>
      <c r="P574" s="87">
        <v>57</v>
      </c>
      <c r="Q574" s="87" t="s">
        <v>848</v>
      </c>
      <c r="R574" s="84">
        <v>42</v>
      </c>
      <c r="S574" s="26">
        <v>3790</v>
      </c>
      <c r="T574" s="26" t="s">
        <v>1581</v>
      </c>
      <c r="U574" s="26">
        <v>1</v>
      </c>
      <c r="V574" s="26" t="s">
        <v>1312</v>
      </c>
      <c r="W574" s="63">
        <v>44562</v>
      </c>
      <c r="X574" s="63">
        <v>44815</v>
      </c>
      <c r="Y574" s="63">
        <v>45101</v>
      </c>
      <c r="Z574" s="63">
        <v>45169</v>
      </c>
      <c r="AA574" s="17" t="s">
        <v>1104</v>
      </c>
      <c r="AB574" s="23"/>
      <c r="AC574" s="23" t="s">
        <v>731</v>
      </c>
      <c r="AD574" s="23"/>
      <c r="AE574" s="23"/>
      <c r="AF574" s="23"/>
      <c r="AG574" s="23"/>
      <c r="AH574" s="23"/>
      <c r="AI574" s="23"/>
      <c r="AJ574" s="23"/>
      <c r="AK574" s="23"/>
      <c r="AL574" s="23" t="s">
        <v>731</v>
      </c>
      <c r="AM574" s="23"/>
      <c r="AN574" s="23"/>
      <c r="AO574" s="23"/>
      <c r="AP574" s="23"/>
      <c r="AQ574" s="23"/>
      <c r="AR574" s="23"/>
      <c r="AS574" s="23"/>
      <c r="AT574" s="23"/>
      <c r="AU574" s="23"/>
      <c r="AV574" s="42">
        <v>69</v>
      </c>
      <c r="AW574" s="18"/>
      <c r="AY574" s="42"/>
      <c r="AZ574" s="42"/>
      <c r="BB574" s="45">
        <v>1</v>
      </c>
      <c r="BC574" s="41">
        <f>IF(AND((AV574/I574)&lt;2,BB574=1),(I574*2)-AV574,0)</f>
        <v>0</v>
      </c>
      <c r="BD574" s="41">
        <f>IF(AND((AV574/I574)&lt;3,BB574=2),(I574*3)-AV574,0)</f>
        <v>0</v>
      </c>
      <c r="BG574" s="18"/>
      <c r="BH574" s="18">
        <v>2</v>
      </c>
      <c r="BI574" s="18">
        <v>0</v>
      </c>
      <c r="BJ574" s="18">
        <v>0</v>
      </c>
      <c r="BK574" s="18">
        <v>0</v>
      </c>
      <c r="BL574" s="18">
        <v>0</v>
      </c>
      <c r="BM574" s="55">
        <f>SUM(AV574:AX574)+SUM(BC574:BD574)+SUM(BE574:BF574)+BG574</f>
        <v>69</v>
      </c>
      <c r="BN574" s="55"/>
      <c r="BO574" s="55"/>
      <c r="BP574" s="55"/>
      <c r="BQ574" s="55"/>
      <c r="BR574" s="55"/>
      <c r="BS574" s="55"/>
      <c r="BT574" s="55"/>
      <c r="BU574" s="55"/>
      <c r="BV574" s="55"/>
      <c r="BW574" s="55"/>
      <c r="BX574" s="55"/>
      <c r="BY574" s="55"/>
    </row>
    <row r="575" spans="1:78" ht="25.5">
      <c r="B575" s="89">
        <v>562</v>
      </c>
      <c r="C575" s="93">
        <v>303</v>
      </c>
      <c r="D575" s="93">
        <v>703</v>
      </c>
      <c r="E575" s="94">
        <v>0.35069444444444442</v>
      </c>
      <c r="F575" s="94">
        <v>0.3888888888888889</v>
      </c>
      <c r="G575" s="93" t="s">
        <v>442</v>
      </c>
      <c r="H575" s="93" t="s">
        <v>443</v>
      </c>
      <c r="I575" s="96">
        <v>23</v>
      </c>
      <c r="J575" s="97" t="s">
        <v>188</v>
      </c>
      <c r="K575" s="98">
        <v>47</v>
      </c>
      <c r="L575" s="99" t="s">
        <v>744</v>
      </c>
      <c r="M575" s="87" t="s">
        <v>847</v>
      </c>
      <c r="N575" s="87">
        <v>31</v>
      </c>
      <c r="O575" s="87" t="s">
        <v>1240</v>
      </c>
      <c r="P575" s="87">
        <v>57</v>
      </c>
      <c r="Q575" s="87" t="s">
        <v>848</v>
      </c>
      <c r="R575" s="84">
        <v>42</v>
      </c>
      <c r="S575" s="26">
        <v>3790</v>
      </c>
      <c r="T575" s="26" t="s">
        <v>1581</v>
      </c>
      <c r="U575" s="26">
        <v>1</v>
      </c>
      <c r="V575" s="26" t="s">
        <v>1312</v>
      </c>
      <c r="W575" s="63">
        <v>44816</v>
      </c>
      <c r="X575" s="63">
        <v>45100</v>
      </c>
      <c r="Y575" s="63"/>
      <c r="Z575" s="63"/>
      <c r="AA575" s="27" t="s">
        <v>1103</v>
      </c>
      <c r="AB575" s="23" t="s">
        <v>731</v>
      </c>
      <c r="AC575" s="23"/>
      <c r="AD575" s="23"/>
      <c r="AE575" s="23"/>
      <c r="AF575" s="23"/>
      <c r="AG575" s="23"/>
      <c r="AH575" s="23"/>
      <c r="AI575" s="23"/>
      <c r="AJ575" s="23"/>
      <c r="AK575" s="23"/>
      <c r="AL575" s="23" t="s">
        <v>731</v>
      </c>
      <c r="AM575" s="23"/>
      <c r="AN575" s="23"/>
      <c r="AO575" s="23"/>
      <c r="AP575" s="23"/>
      <c r="AQ575" s="23"/>
      <c r="AR575" s="23"/>
      <c r="AS575" s="23"/>
      <c r="AT575" s="23"/>
      <c r="AU575" s="23"/>
      <c r="AV575" s="42">
        <v>69</v>
      </c>
      <c r="AW575" s="18"/>
      <c r="AY575" s="42"/>
      <c r="AZ575" s="42"/>
      <c r="BB575" s="45">
        <v>1</v>
      </c>
      <c r="BC575" s="41">
        <f>IF(AND((AV575/I575)&lt;2,BB575=1),(I575*2)-AV575,0)</f>
        <v>0</v>
      </c>
      <c r="BD575" s="41">
        <f>IF(AND((AV575/I575)&lt;3,BB575=2),(I575*3)-AV575,0)</f>
        <v>0</v>
      </c>
      <c r="BG575" s="18"/>
      <c r="BH575" s="18">
        <v>2</v>
      </c>
      <c r="BI575" s="18">
        <v>5</v>
      </c>
      <c r="BJ575" s="18">
        <v>5</v>
      </c>
      <c r="BK575" s="18">
        <v>6</v>
      </c>
      <c r="BL575" s="18">
        <v>6</v>
      </c>
      <c r="BM575" s="55">
        <f>SUM(AV575:AX575)+SUM(BC575:BD575)+SUM(BE575:BF575)+BG575</f>
        <v>69</v>
      </c>
      <c r="BN575" s="55"/>
      <c r="BO575" s="55"/>
      <c r="BP575" s="55"/>
      <c r="BQ575" s="55"/>
      <c r="BR575" s="55"/>
      <c r="BS575" s="55"/>
      <c r="BT575" s="55"/>
      <c r="BU575" s="55"/>
      <c r="BV575" s="55"/>
      <c r="BW575" s="55"/>
      <c r="BX575" s="55"/>
      <c r="BY575" s="55"/>
    </row>
    <row r="576" spans="1:78" ht="38.25">
      <c r="B576" s="89">
        <v>563</v>
      </c>
      <c r="C576" s="93">
        <v>303</v>
      </c>
      <c r="D576" s="93">
        <v>541</v>
      </c>
      <c r="E576" s="94">
        <v>0.3576388888888889</v>
      </c>
      <c r="F576" s="94">
        <v>0.38541666666666669</v>
      </c>
      <c r="G576" s="93" t="s">
        <v>348</v>
      </c>
      <c r="H576" s="93" t="s">
        <v>347</v>
      </c>
      <c r="I576" s="96">
        <v>20</v>
      </c>
      <c r="J576" s="97" t="s">
        <v>269</v>
      </c>
      <c r="K576" s="98">
        <v>29</v>
      </c>
      <c r="L576" s="99" t="s">
        <v>744</v>
      </c>
      <c r="M576" s="87" t="s">
        <v>849</v>
      </c>
      <c r="N576" s="87">
        <v>21</v>
      </c>
      <c r="O576" s="87" t="s">
        <v>844</v>
      </c>
      <c r="P576" s="87">
        <v>23</v>
      </c>
      <c r="Q576" s="87" t="s">
        <v>845</v>
      </c>
      <c r="R576" s="84">
        <v>23</v>
      </c>
      <c r="S576" s="26">
        <v>3790</v>
      </c>
      <c r="T576" s="26" t="s">
        <v>1581</v>
      </c>
      <c r="U576" s="26" t="s">
        <v>1419</v>
      </c>
      <c r="V576" s="26" t="s">
        <v>1420</v>
      </c>
      <c r="W576" s="63">
        <v>44816</v>
      </c>
      <c r="X576" s="63">
        <v>45100</v>
      </c>
      <c r="Y576" s="63"/>
      <c r="Z576" s="63"/>
      <c r="AA576" s="22" t="s">
        <v>1110</v>
      </c>
      <c r="AB576" s="23" t="s">
        <v>731</v>
      </c>
      <c r="AC576" s="23"/>
      <c r="AD576" s="23" t="s">
        <v>731</v>
      </c>
      <c r="AE576" s="23"/>
      <c r="AF576" s="23"/>
      <c r="AG576" s="23"/>
      <c r="AH576" s="23"/>
      <c r="AI576" s="23"/>
      <c r="AJ576" s="23"/>
      <c r="AK576" s="23"/>
      <c r="AL576" s="23"/>
      <c r="AM576" s="23"/>
      <c r="AN576" s="23"/>
      <c r="AO576" s="23"/>
      <c r="AP576" s="23" t="s">
        <v>731</v>
      </c>
      <c r="AQ576" s="23" t="s">
        <v>731</v>
      </c>
      <c r="AR576" s="23" t="s">
        <v>731</v>
      </c>
      <c r="AS576" s="23" t="s">
        <v>731</v>
      </c>
      <c r="AT576" s="23" t="s">
        <v>731</v>
      </c>
      <c r="AU576" s="23" t="s">
        <v>731</v>
      </c>
      <c r="AV576" s="42">
        <v>77.63</v>
      </c>
      <c r="AW576" s="18"/>
      <c r="AY576" s="42"/>
      <c r="AZ576" s="42"/>
      <c r="BB576" s="45">
        <v>1</v>
      </c>
      <c r="BC576" s="41">
        <f>IF(AND((AV576/I576)&lt;2,BB576=1),(I576*2)-AV576,0)</f>
        <v>0</v>
      </c>
      <c r="BD576" s="41">
        <f>IF(AND((AV576/I576)&lt;3,BB576=2),(I576*3)-AV576,0)</f>
        <v>0</v>
      </c>
      <c r="BG576" s="18"/>
      <c r="BH576" s="18">
        <v>0</v>
      </c>
      <c r="BI576" s="18">
        <v>1</v>
      </c>
      <c r="BJ576" s="18">
        <v>0</v>
      </c>
      <c r="BK576" s="18">
        <v>7</v>
      </c>
      <c r="BL576" s="18">
        <v>5</v>
      </c>
      <c r="BM576" s="55">
        <f>SUM(AV576:AX576)+SUM(BC576:BD576)+SUM(BE576:BF576)+BG576</f>
        <v>77.63</v>
      </c>
      <c r="BN576" s="55"/>
      <c r="BO576" s="55"/>
      <c r="BP576" s="55"/>
      <c r="BQ576" s="55"/>
      <c r="BR576" s="55"/>
      <c r="BS576" s="55"/>
      <c r="BT576" s="55"/>
      <c r="BU576" s="55"/>
      <c r="BV576" s="55"/>
      <c r="BW576" s="55"/>
      <c r="BX576" s="55"/>
      <c r="BY576" s="55"/>
    </row>
    <row r="577" spans="2:77" ht="33.75">
      <c r="B577" s="89">
        <v>564</v>
      </c>
      <c r="C577" s="93">
        <v>303</v>
      </c>
      <c r="D577" s="93">
        <v>551</v>
      </c>
      <c r="E577" s="94">
        <v>0.36458333333333331</v>
      </c>
      <c r="F577" s="94">
        <v>0.38263888888888892</v>
      </c>
      <c r="G577" s="93" t="s">
        <v>514</v>
      </c>
      <c r="H577" s="93" t="s">
        <v>500</v>
      </c>
      <c r="I577" s="96">
        <v>19</v>
      </c>
      <c r="J577" s="97" t="s">
        <v>167</v>
      </c>
      <c r="K577" s="98">
        <v>67</v>
      </c>
      <c r="L577" s="99" t="s">
        <v>755</v>
      </c>
      <c r="M577" s="87" t="s">
        <v>830</v>
      </c>
      <c r="N577" s="87">
        <v>15</v>
      </c>
      <c r="O577" s="83" t="s">
        <v>1890</v>
      </c>
      <c r="P577" s="83">
        <v>9</v>
      </c>
      <c r="Q577" s="87" t="s">
        <v>1253</v>
      </c>
      <c r="R577" s="84">
        <v>9</v>
      </c>
      <c r="S577" s="26">
        <v>3895</v>
      </c>
      <c r="T577" s="26" t="s">
        <v>1577</v>
      </c>
      <c r="U577" s="26" t="s">
        <v>1590</v>
      </c>
      <c r="V577" s="26" t="s">
        <v>1591</v>
      </c>
      <c r="W577" s="63">
        <v>44562</v>
      </c>
      <c r="X577" s="63">
        <v>44815</v>
      </c>
      <c r="Y577" s="63">
        <v>45101</v>
      </c>
      <c r="Z577" s="63">
        <v>45169</v>
      </c>
      <c r="AA577" s="23" t="s">
        <v>1107</v>
      </c>
      <c r="AB577" s="23"/>
      <c r="AC577" s="23" t="s">
        <v>731</v>
      </c>
      <c r="AD577" s="23" t="s">
        <v>731</v>
      </c>
      <c r="AE577" s="23"/>
      <c r="AF577" s="23" t="s">
        <v>731</v>
      </c>
      <c r="AG577" s="23" t="s">
        <v>731</v>
      </c>
      <c r="AH577" s="23" t="s">
        <v>731</v>
      </c>
      <c r="AI577" s="23" t="s">
        <v>731</v>
      </c>
      <c r="AJ577" s="23" t="s">
        <v>731</v>
      </c>
      <c r="AK577" s="23" t="s">
        <v>731</v>
      </c>
      <c r="AL577" s="23"/>
      <c r="AM577" s="23"/>
      <c r="AN577" s="23"/>
      <c r="AO577" s="23"/>
      <c r="AP577" s="23"/>
      <c r="AQ577" s="23"/>
      <c r="AR577" s="23"/>
      <c r="AS577" s="23"/>
      <c r="AT577" s="23"/>
      <c r="AU577" s="23"/>
      <c r="AV577" s="42">
        <v>57</v>
      </c>
      <c r="AW577" s="18"/>
      <c r="AY577" s="42"/>
      <c r="AZ577" s="42"/>
      <c r="BB577" s="45">
        <v>1</v>
      </c>
      <c r="BC577" s="41">
        <f>IF(AND((AV577/I577)&lt;2,BB577=1),(I577*2)-AV577,0)</f>
        <v>0</v>
      </c>
      <c r="BD577" s="41">
        <f>IF(AND((AV577/I577)&lt;3,BB577=2),(I577*3)-AV577,0)</f>
        <v>0</v>
      </c>
      <c r="BG577" s="18"/>
      <c r="BH577" s="18">
        <v>9</v>
      </c>
      <c r="BI577" s="18">
        <v>0</v>
      </c>
      <c r="BJ577" s="18">
        <v>0</v>
      </c>
      <c r="BK577" s="18">
        <v>0</v>
      </c>
      <c r="BL577" s="18">
        <v>0</v>
      </c>
      <c r="BM577" s="55">
        <f>SUM(AV577:AX577)+SUM(BC577:BD577)+SUM(BE577:BF577)+BG577</f>
        <v>57</v>
      </c>
      <c r="BN577" s="55"/>
      <c r="BO577" s="55"/>
      <c r="BP577" s="55"/>
      <c r="BQ577" s="55"/>
      <c r="BR577" s="55"/>
      <c r="BS577" s="55"/>
      <c r="BT577" s="55"/>
      <c r="BU577" s="55"/>
      <c r="BV577" s="55"/>
      <c r="BW577" s="55"/>
      <c r="BX577" s="55"/>
      <c r="BY577" s="55"/>
    </row>
    <row r="578" spans="2:77" ht="25.5">
      <c r="B578" s="89">
        <v>565</v>
      </c>
      <c r="C578" s="101">
        <v>303</v>
      </c>
      <c r="D578" s="101">
        <v>530</v>
      </c>
      <c r="E578" s="102">
        <v>0.37152777777777773</v>
      </c>
      <c r="F578" s="102">
        <v>0.42569444444444443</v>
      </c>
      <c r="G578" s="103" t="s">
        <v>5</v>
      </c>
      <c r="H578" s="93" t="s">
        <v>549</v>
      </c>
      <c r="I578" s="101">
        <v>39</v>
      </c>
      <c r="J578" s="104">
        <v>30</v>
      </c>
      <c r="K578" s="98">
        <v>13</v>
      </c>
      <c r="L578" s="99" t="s">
        <v>756</v>
      </c>
      <c r="M578" s="83" t="s">
        <v>952</v>
      </c>
      <c r="N578" s="83">
        <v>33</v>
      </c>
      <c r="O578" s="2" t="s">
        <v>1254</v>
      </c>
      <c r="P578" s="85">
        <v>55</v>
      </c>
      <c r="S578" s="26">
        <v>1</v>
      </c>
      <c r="T578" s="26" t="s">
        <v>1593</v>
      </c>
      <c r="U578" s="26">
        <v>3870</v>
      </c>
      <c r="V578" s="26" t="s">
        <v>1594</v>
      </c>
      <c r="W578" s="63">
        <v>44562</v>
      </c>
      <c r="X578" s="63">
        <v>44815</v>
      </c>
      <c r="Y578" s="63">
        <v>45101</v>
      </c>
      <c r="Z578" s="63">
        <v>45169</v>
      </c>
      <c r="AA578" s="17" t="s">
        <v>1104</v>
      </c>
      <c r="AB578" s="23"/>
      <c r="AC578" s="23" t="s">
        <v>731</v>
      </c>
      <c r="AD578" s="23"/>
      <c r="AE578" s="23"/>
      <c r="AF578" s="23"/>
      <c r="AG578" s="23"/>
      <c r="AH578" s="23"/>
      <c r="AI578" s="23"/>
      <c r="AJ578" s="23"/>
      <c r="AK578" s="23"/>
      <c r="AL578" s="23" t="s">
        <v>731</v>
      </c>
      <c r="AM578" s="23"/>
      <c r="AN578" s="23"/>
      <c r="AO578" s="23"/>
      <c r="AP578" s="23"/>
      <c r="AQ578" s="23"/>
      <c r="AR578" s="23"/>
      <c r="AS578" s="23"/>
      <c r="AT578" s="23"/>
      <c r="AU578" s="23"/>
      <c r="AV578" s="18"/>
      <c r="AW578" s="18"/>
      <c r="AY578" s="19" t="s">
        <v>756</v>
      </c>
      <c r="AZ578" s="19"/>
      <c r="BB578" s="45">
        <v>1</v>
      </c>
      <c r="BD578" s="41"/>
      <c r="BG578" s="18"/>
      <c r="BH578" s="18">
        <v>2</v>
      </c>
      <c r="BI578" s="18">
        <v>0</v>
      </c>
      <c r="BJ578" s="18">
        <v>0</v>
      </c>
      <c r="BK578" s="18">
        <v>0</v>
      </c>
      <c r="BL578" s="18">
        <v>0</v>
      </c>
      <c r="BM578" s="55">
        <f>SUM(AV578:AX578)+SUM(BC578:BD578)+SUM(BE578:BF578)+BG578</f>
        <v>0</v>
      </c>
      <c r="BN578" s="55" t="s">
        <v>1104</v>
      </c>
      <c r="BO578" s="77">
        <v>2</v>
      </c>
      <c r="BP578" s="77"/>
      <c r="BQ578" s="77">
        <v>0</v>
      </c>
      <c r="BR578" s="77"/>
      <c r="BS578" s="77">
        <v>0</v>
      </c>
      <c r="BT578" s="77"/>
      <c r="BU578" s="77">
        <v>0</v>
      </c>
      <c r="BV578" s="77"/>
      <c r="BW578" s="77">
        <v>0</v>
      </c>
      <c r="BX578" s="77"/>
      <c r="BY578" s="55">
        <v>350</v>
      </c>
    </row>
    <row r="579" spans="2:77" ht="33.75">
      <c r="B579" s="89">
        <v>566</v>
      </c>
      <c r="C579" s="93">
        <v>303</v>
      </c>
      <c r="D579" s="93">
        <v>552</v>
      </c>
      <c r="E579" s="94">
        <v>0.39930555555555558</v>
      </c>
      <c r="F579" s="94">
        <v>0.41736111111111113</v>
      </c>
      <c r="G579" s="93" t="s">
        <v>515</v>
      </c>
      <c r="H579" s="93" t="s">
        <v>500</v>
      </c>
      <c r="I579" s="96">
        <v>19</v>
      </c>
      <c r="J579" s="97" t="s">
        <v>167</v>
      </c>
      <c r="K579" s="98">
        <v>67</v>
      </c>
      <c r="L579" s="99" t="s">
        <v>755</v>
      </c>
      <c r="M579" s="87" t="s">
        <v>830</v>
      </c>
      <c r="N579" s="87">
        <v>15</v>
      </c>
      <c r="O579" s="83" t="s">
        <v>1890</v>
      </c>
      <c r="P579" s="83">
        <v>9</v>
      </c>
      <c r="Q579" s="87" t="s">
        <v>1253</v>
      </c>
      <c r="R579" s="84">
        <v>9</v>
      </c>
      <c r="S579" s="26" t="s">
        <v>1590</v>
      </c>
      <c r="T579" s="26" t="s">
        <v>1591</v>
      </c>
      <c r="U579" s="26">
        <v>3895</v>
      </c>
      <c r="V579" s="26" t="s">
        <v>1577</v>
      </c>
      <c r="W579" s="63">
        <v>44562</v>
      </c>
      <c r="X579" s="63">
        <v>44815</v>
      </c>
      <c r="Y579" s="63">
        <v>45101</v>
      </c>
      <c r="Z579" s="63">
        <v>45169</v>
      </c>
      <c r="AA579" s="23" t="s">
        <v>1107</v>
      </c>
      <c r="AB579" s="23"/>
      <c r="AC579" s="23" t="s">
        <v>731</v>
      </c>
      <c r="AD579" s="23" t="s">
        <v>731</v>
      </c>
      <c r="AE579" s="23"/>
      <c r="AF579" s="23" t="s">
        <v>731</v>
      </c>
      <c r="AG579" s="23" t="s">
        <v>731</v>
      </c>
      <c r="AH579" s="23" t="s">
        <v>731</v>
      </c>
      <c r="AI579" s="23" t="s">
        <v>731</v>
      </c>
      <c r="AJ579" s="23" t="s">
        <v>731</v>
      </c>
      <c r="AK579" s="23" t="s">
        <v>731</v>
      </c>
      <c r="AL579" s="23"/>
      <c r="AM579" s="23"/>
      <c r="AN579" s="23"/>
      <c r="AO579" s="23"/>
      <c r="AP579" s="23"/>
      <c r="AQ579" s="23"/>
      <c r="AR579" s="23"/>
      <c r="AS579" s="23"/>
      <c r="AT579" s="23"/>
      <c r="AU579" s="23"/>
      <c r="AV579" s="42">
        <v>57</v>
      </c>
      <c r="AW579" s="18"/>
      <c r="AY579" s="42"/>
      <c r="AZ579" s="42"/>
      <c r="BB579" s="45">
        <v>1</v>
      </c>
      <c r="BC579" s="41">
        <f>IF(AND((AV579/I579)&lt;2,BB579=1),(I579*2)-AV579,0)</f>
        <v>0</v>
      </c>
      <c r="BD579" s="41">
        <f>IF(AND((AV579/I579)&lt;3,BB579=2),(I579*3)-AV579,0)</f>
        <v>0</v>
      </c>
      <c r="BG579" s="18"/>
      <c r="BH579" s="18">
        <v>9</v>
      </c>
      <c r="BI579" s="18">
        <v>0</v>
      </c>
      <c r="BJ579" s="18">
        <v>0</v>
      </c>
      <c r="BK579" s="18">
        <v>0</v>
      </c>
      <c r="BL579" s="18">
        <v>0</v>
      </c>
      <c r="BM579" s="55">
        <f>SUM(AV579:AX579)+SUM(BC579:BD579)+SUM(BE579:BF579)+BG579</f>
        <v>57</v>
      </c>
      <c r="BN579" s="55"/>
      <c r="BO579" s="55"/>
      <c r="BP579" s="55"/>
      <c r="BQ579" s="55"/>
      <c r="BR579" s="55"/>
      <c r="BS579" s="55"/>
      <c r="BT579" s="55"/>
      <c r="BU579" s="55"/>
      <c r="BV579" s="55"/>
      <c r="BW579" s="55"/>
      <c r="BX579" s="55"/>
      <c r="BY579" s="55"/>
    </row>
    <row r="580" spans="2:77" ht="25.5">
      <c r="B580" s="89">
        <v>567</v>
      </c>
      <c r="C580" s="93">
        <v>303</v>
      </c>
      <c r="D580" s="93">
        <v>474</v>
      </c>
      <c r="E580" s="94">
        <v>0.47013888888888888</v>
      </c>
      <c r="F580" s="94">
        <v>0.49722222222222223</v>
      </c>
      <c r="G580" s="93" t="s">
        <v>574</v>
      </c>
      <c r="H580" s="93" t="s">
        <v>424</v>
      </c>
      <c r="I580" s="96">
        <v>16</v>
      </c>
      <c r="J580" s="127">
        <v>50</v>
      </c>
      <c r="K580" s="98">
        <v>55</v>
      </c>
      <c r="L580" s="99" t="s">
        <v>756</v>
      </c>
      <c r="M580" s="83" t="s">
        <v>951</v>
      </c>
      <c r="N580" s="83">
        <v>58</v>
      </c>
      <c r="O580" s="2" t="s">
        <v>1254</v>
      </c>
      <c r="P580" s="85">
        <v>55</v>
      </c>
      <c r="S580" s="26">
        <v>3770</v>
      </c>
      <c r="T580" s="26" t="s">
        <v>1584</v>
      </c>
      <c r="U580" s="26">
        <v>3870</v>
      </c>
      <c r="V580" s="26" t="s">
        <v>1592</v>
      </c>
      <c r="W580" s="63">
        <v>44562</v>
      </c>
      <c r="X580" s="63">
        <v>44815</v>
      </c>
      <c r="Y580" s="63">
        <v>45101</v>
      </c>
      <c r="Z580" s="63">
        <v>45169</v>
      </c>
      <c r="AA580" s="22" t="s">
        <v>1109</v>
      </c>
      <c r="AB580" s="23"/>
      <c r="AC580" s="23" t="s">
        <v>731</v>
      </c>
      <c r="AD580" s="23" t="s">
        <v>731</v>
      </c>
      <c r="AE580" s="23"/>
      <c r="AF580" s="23" t="s">
        <v>731</v>
      </c>
      <c r="AG580" s="23" t="s">
        <v>731</v>
      </c>
      <c r="AH580" s="23" t="s">
        <v>731</v>
      </c>
      <c r="AI580" s="23" t="s">
        <v>731</v>
      </c>
      <c r="AJ580" s="23" t="s">
        <v>731</v>
      </c>
      <c r="AK580" s="23"/>
      <c r="AL580" s="23"/>
      <c r="AM580" s="23"/>
      <c r="AN580" s="23"/>
      <c r="AO580" s="23"/>
      <c r="AP580" s="23"/>
      <c r="AQ580" s="23"/>
      <c r="AR580" s="23"/>
      <c r="AS580" s="23"/>
      <c r="AT580" s="23"/>
      <c r="AU580" s="23"/>
      <c r="AV580" s="42">
        <v>77.58</v>
      </c>
      <c r="AW580" s="18"/>
      <c r="AY580" s="42"/>
      <c r="AZ580" s="42"/>
      <c r="BB580" s="43">
        <v>2</v>
      </c>
      <c r="BC580" s="41">
        <f>IF(AND((AV580/I580)&lt;2,BB580=1),(I580*2)-AV580,0)</f>
        <v>0</v>
      </c>
      <c r="BD580" s="41">
        <f>IF(AND((AV580/I580)&lt;3,BB580=2),(I580*3)-AV580,0)</f>
        <v>0</v>
      </c>
      <c r="BG580" s="18"/>
      <c r="BH580" s="18">
        <v>7</v>
      </c>
      <c r="BI580" s="18">
        <v>0</v>
      </c>
      <c r="BJ580" s="18">
        <v>0</v>
      </c>
      <c r="BK580" s="18">
        <v>0</v>
      </c>
      <c r="BL580" s="18">
        <v>0</v>
      </c>
      <c r="BM580" s="55">
        <f>SUM(AV580:AX580)+SUM(BC580:BD580)+SUM(BE580:BF580)+BG580</f>
        <v>77.58</v>
      </c>
      <c r="BN580" s="55"/>
      <c r="BO580" s="55"/>
      <c r="BP580" s="55"/>
      <c r="BQ580" s="55"/>
      <c r="BR580" s="55"/>
      <c r="BS580" s="55"/>
      <c r="BT580" s="55"/>
      <c r="BU580" s="55"/>
      <c r="BV580" s="55"/>
      <c r="BW580" s="55"/>
      <c r="BX580" s="55"/>
      <c r="BY580" s="55"/>
    </row>
    <row r="581" spans="2:77" ht="25.5">
      <c r="B581" s="89">
        <v>568</v>
      </c>
      <c r="C581" s="93">
        <v>303</v>
      </c>
      <c r="D581" s="93">
        <v>246</v>
      </c>
      <c r="E581" s="94">
        <v>0.52083333333333337</v>
      </c>
      <c r="F581" s="94">
        <v>0.55555555555555558</v>
      </c>
      <c r="G581" s="93" t="s">
        <v>444</v>
      </c>
      <c r="H581" s="93" t="s">
        <v>443</v>
      </c>
      <c r="I581" s="96">
        <v>23</v>
      </c>
      <c r="J581" s="97" t="s">
        <v>188</v>
      </c>
      <c r="K581" s="98">
        <v>47</v>
      </c>
      <c r="L581" s="99" t="s">
        <v>744</v>
      </c>
      <c r="M581" s="87" t="s">
        <v>847</v>
      </c>
      <c r="N581" s="87">
        <v>31</v>
      </c>
      <c r="O581" s="87" t="s">
        <v>1240</v>
      </c>
      <c r="P581" s="87">
        <v>57</v>
      </c>
      <c r="Q581" s="87" t="s">
        <v>848</v>
      </c>
      <c r="R581" s="84">
        <v>42</v>
      </c>
      <c r="S581" s="26">
        <v>1</v>
      </c>
      <c r="T581" s="26" t="s">
        <v>1309</v>
      </c>
      <c r="U581" s="26">
        <v>3790</v>
      </c>
      <c r="V581" s="26" t="s">
        <v>1581</v>
      </c>
      <c r="W581" s="63">
        <v>44816</v>
      </c>
      <c r="X581" s="63">
        <v>45100</v>
      </c>
      <c r="Y581" s="63"/>
      <c r="Z581" s="63"/>
      <c r="AA581" s="27" t="s">
        <v>1103</v>
      </c>
      <c r="AB581" s="23" t="s">
        <v>731</v>
      </c>
      <c r="AC581" s="23"/>
      <c r="AD581" s="23"/>
      <c r="AE581" s="23"/>
      <c r="AF581" s="23"/>
      <c r="AG581" s="23"/>
      <c r="AH581" s="23"/>
      <c r="AI581" s="23"/>
      <c r="AJ581" s="23"/>
      <c r="AK581" s="23"/>
      <c r="AL581" s="23" t="s">
        <v>731</v>
      </c>
      <c r="AM581" s="23"/>
      <c r="AN581" s="23"/>
      <c r="AO581" s="23"/>
      <c r="AP581" s="23"/>
      <c r="AQ581" s="23"/>
      <c r="AR581" s="23"/>
      <c r="AS581" s="23"/>
      <c r="AT581" s="23"/>
      <c r="AU581" s="23"/>
      <c r="AV581" s="42">
        <v>69</v>
      </c>
      <c r="AW581" s="18"/>
      <c r="AY581" s="42"/>
      <c r="AZ581" s="42"/>
      <c r="BB581" s="45">
        <v>1</v>
      </c>
      <c r="BC581" s="41">
        <f>IF(AND((AV581/I581)&lt;2,BB581=1),(I581*2)-AV581,0)</f>
        <v>0</v>
      </c>
      <c r="BD581" s="41">
        <f>IF(AND((AV581/I581)&lt;3,BB581=2),(I581*3)-AV581,0)</f>
        <v>0</v>
      </c>
      <c r="BG581" s="18"/>
      <c r="BH581" s="18">
        <v>2</v>
      </c>
      <c r="BI581" s="18">
        <v>5</v>
      </c>
      <c r="BJ581" s="18">
        <v>5</v>
      </c>
      <c r="BK581" s="18">
        <v>6</v>
      </c>
      <c r="BL581" s="18">
        <v>6</v>
      </c>
      <c r="BM581" s="55">
        <f>SUM(AV581:AX581)+SUM(BC581:BD581)+SUM(BE581:BF581)+BG581</f>
        <v>69</v>
      </c>
      <c r="BN581" s="55"/>
      <c r="BO581" s="55"/>
      <c r="BP581" s="55"/>
      <c r="BQ581" s="55"/>
      <c r="BR581" s="55"/>
      <c r="BS581" s="55"/>
      <c r="BT581" s="55"/>
      <c r="BU581" s="55"/>
      <c r="BV581" s="55"/>
      <c r="BW581" s="55"/>
      <c r="BX581" s="55"/>
      <c r="BY581" s="55"/>
    </row>
    <row r="582" spans="2:77" ht="25.5">
      <c r="B582" s="89">
        <v>569</v>
      </c>
      <c r="C582" s="93">
        <v>303</v>
      </c>
      <c r="D582" s="93">
        <v>248</v>
      </c>
      <c r="E582" s="94">
        <v>0.52083333333333337</v>
      </c>
      <c r="F582" s="94">
        <v>0.56736111111111109</v>
      </c>
      <c r="G582" s="93" t="s">
        <v>453</v>
      </c>
      <c r="H582" s="93" t="s">
        <v>549</v>
      </c>
      <c r="I582" s="96">
        <v>32.5</v>
      </c>
      <c r="J582" s="97" t="s">
        <v>188</v>
      </c>
      <c r="K582" s="98">
        <v>13</v>
      </c>
      <c r="L582" s="99" t="s">
        <v>744</v>
      </c>
      <c r="M582" s="87" t="s">
        <v>847</v>
      </c>
      <c r="N582" s="87">
        <v>31</v>
      </c>
      <c r="O582" s="87" t="s">
        <v>1240</v>
      </c>
      <c r="P582" s="87">
        <v>57</v>
      </c>
      <c r="R582" s="87"/>
      <c r="S582" s="26">
        <v>1</v>
      </c>
      <c r="T582" s="26" t="s">
        <v>1309</v>
      </c>
      <c r="U582" s="26">
        <v>3820</v>
      </c>
      <c r="V582" s="26" t="s">
        <v>1580</v>
      </c>
      <c r="W582" s="63">
        <v>44562</v>
      </c>
      <c r="X582" s="63">
        <v>44815</v>
      </c>
      <c r="Y582" s="63">
        <v>45101</v>
      </c>
      <c r="Z582" s="63">
        <v>45169</v>
      </c>
      <c r="AA582" s="17" t="s">
        <v>1104</v>
      </c>
      <c r="AB582" s="23"/>
      <c r="AC582" s="23" t="s">
        <v>731</v>
      </c>
      <c r="AD582" s="23"/>
      <c r="AE582" s="23"/>
      <c r="AF582" s="23"/>
      <c r="AG582" s="23"/>
      <c r="AH582" s="23"/>
      <c r="AI582" s="23"/>
      <c r="AJ582" s="23"/>
      <c r="AK582" s="23"/>
      <c r="AL582" s="23" t="s">
        <v>731</v>
      </c>
      <c r="AM582" s="23"/>
      <c r="AN582" s="23"/>
      <c r="AO582" s="23"/>
      <c r="AP582" s="23"/>
      <c r="AQ582" s="23"/>
      <c r="AR582" s="23"/>
      <c r="AS582" s="23"/>
      <c r="AT582" s="23"/>
      <c r="AU582" s="23"/>
      <c r="AV582" s="42">
        <v>97.5</v>
      </c>
      <c r="AW582" s="18"/>
      <c r="AY582" s="42"/>
      <c r="AZ582" s="42"/>
      <c r="BB582" s="45">
        <v>1</v>
      </c>
      <c r="BC582" s="41">
        <f>IF(AND((AV582/I582)&lt;2,BB582=1),(I582*2)-AV582,0)</f>
        <v>0</v>
      </c>
      <c r="BD582" s="41">
        <f>IF(AND((AV582/I582)&lt;3,BB582=2),(I582*3)-AV582,0)</f>
        <v>0</v>
      </c>
      <c r="BG582" s="18"/>
      <c r="BH582" s="18">
        <v>2</v>
      </c>
      <c r="BI582" s="18">
        <v>0</v>
      </c>
      <c r="BJ582" s="18">
        <v>0</v>
      </c>
      <c r="BK582" s="18">
        <v>0</v>
      </c>
      <c r="BL582" s="18">
        <v>0</v>
      </c>
      <c r="BM582" s="55">
        <f>SUM(AV582:AX582)+SUM(BC582:BD582)+SUM(BE582:BF582)+BG582</f>
        <v>97.5</v>
      </c>
      <c r="BN582" s="55"/>
      <c r="BO582" s="55"/>
      <c r="BP582" s="55"/>
      <c r="BQ582" s="55"/>
      <c r="BR582" s="55"/>
      <c r="BS582" s="55"/>
      <c r="BT582" s="55"/>
      <c r="BU582" s="55"/>
      <c r="BV582" s="55"/>
      <c r="BW582" s="55"/>
      <c r="BX582" s="55"/>
      <c r="BY582" s="55"/>
    </row>
    <row r="583" spans="2:77" ht="25.5">
      <c r="B583" s="89">
        <v>570</v>
      </c>
      <c r="C583" s="93">
        <v>303</v>
      </c>
      <c r="D583" s="93">
        <v>296</v>
      </c>
      <c r="E583" s="94">
        <v>0.52916666666666667</v>
      </c>
      <c r="F583" s="94">
        <v>0.54652777777777783</v>
      </c>
      <c r="G583" s="93" t="s">
        <v>639</v>
      </c>
      <c r="H583" s="93" t="s">
        <v>253</v>
      </c>
      <c r="I583" s="96">
        <v>14.5</v>
      </c>
      <c r="J583" s="97" t="s">
        <v>269</v>
      </c>
      <c r="K583" s="98">
        <v>34</v>
      </c>
      <c r="L583" s="99" t="s">
        <v>744</v>
      </c>
      <c r="M583" s="87" t="s">
        <v>844</v>
      </c>
      <c r="N583" s="87">
        <v>23</v>
      </c>
      <c r="O583" s="87" t="s">
        <v>1892</v>
      </c>
      <c r="P583" s="87">
        <v>23</v>
      </c>
      <c r="Q583" s="87" t="s">
        <v>845</v>
      </c>
      <c r="R583" s="84">
        <v>23</v>
      </c>
      <c r="S583" s="26" t="s">
        <v>1419</v>
      </c>
      <c r="T583" s="26" t="s">
        <v>1420</v>
      </c>
      <c r="U583" s="26">
        <v>3740</v>
      </c>
      <c r="V583" s="26" t="s">
        <v>1586</v>
      </c>
      <c r="W583" s="62">
        <v>44816</v>
      </c>
      <c r="X583" s="62">
        <v>45086</v>
      </c>
      <c r="Y583" s="62"/>
      <c r="Z583" s="62"/>
      <c r="AA583" s="23" t="s">
        <v>1111</v>
      </c>
      <c r="AB583" s="23"/>
      <c r="AC583" s="23"/>
      <c r="AD583" s="23"/>
      <c r="AE583" s="23" t="s">
        <v>731</v>
      </c>
      <c r="AF583" s="23"/>
      <c r="AG583" s="23"/>
      <c r="AH583" s="23"/>
      <c r="AI583" s="23"/>
      <c r="AJ583" s="23"/>
      <c r="AK583" s="23" t="s">
        <v>731</v>
      </c>
      <c r="AL583" s="23"/>
      <c r="AM583" s="23"/>
      <c r="AN583" s="23"/>
      <c r="AO583" s="23"/>
      <c r="AP583" s="23"/>
      <c r="AQ583" s="23"/>
      <c r="AR583" s="23"/>
      <c r="AS583" s="23"/>
      <c r="AT583" s="23"/>
      <c r="AU583" s="23"/>
      <c r="AV583" s="42">
        <v>73.930000000000007</v>
      </c>
      <c r="AW583" s="18"/>
      <c r="AY583" s="42"/>
      <c r="AZ583" s="42"/>
      <c r="BB583" s="45">
        <v>1</v>
      </c>
      <c r="BC583" s="41">
        <f>IF(AND((AV583/I583)&lt;2,BB583=1),(I583*2)-AV583,0)</f>
        <v>0</v>
      </c>
      <c r="BD583" s="41">
        <f>IF(AND((AV583/I583)&lt;3,BB583=2),(I583*3)-AV583,0)</f>
        <v>0</v>
      </c>
      <c r="BG583" s="18"/>
      <c r="BH583" s="18">
        <v>2</v>
      </c>
      <c r="BI583" s="18">
        <v>5</v>
      </c>
      <c r="BJ583" s="18">
        <v>4</v>
      </c>
      <c r="BK583" s="18">
        <v>3</v>
      </c>
      <c r="BL583" s="18">
        <v>3</v>
      </c>
      <c r="BM583" s="55">
        <f>SUM(AV583:AX583)+SUM(BC583:BD583)+SUM(BE583:BF583)+BG583</f>
        <v>73.930000000000007</v>
      </c>
      <c r="BN583" s="55"/>
      <c r="BO583" s="55"/>
      <c r="BP583" s="55"/>
      <c r="BQ583" s="55"/>
      <c r="BR583" s="55"/>
      <c r="BS583" s="55"/>
      <c r="BT583" s="55"/>
      <c r="BU583" s="55"/>
      <c r="BV583" s="55"/>
      <c r="BW583" s="55"/>
      <c r="BX583" s="55"/>
      <c r="BY583" s="55"/>
    </row>
    <row r="584" spans="2:77" ht="25.5">
      <c r="B584" s="89">
        <v>571</v>
      </c>
      <c r="C584" s="93">
        <v>303</v>
      </c>
      <c r="D584" s="93">
        <v>550</v>
      </c>
      <c r="E584" s="94">
        <v>0.53611111111111109</v>
      </c>
      <c r="F584" s="94">
        <v>0.55347222222222225</v>
      </c>
      <c r="G584" s="93" t="s">
        <v>515</v>
      </c>
      <c r="H584" s="93" t="s">
        <v>568</v>
      </c>
      <c r="I584" s="96">
        <v>19</v>
      </c>
      <c r="J584" s="97">
        <v>14</v>
      </c>
      <c r="K584" s="98">
        <v>39</v>
      </c>
      <c r="L584" s="99" t="s">
        <v>757</v>
      </c>
      <c r="M584" s="87" t="s">
        <v>966</v>
      </c>
      <c r="N584" s="87">
        <v>9</v>
      </c>
      <c r="O584" s="87" t="s">
        <v>1894</v>
      </c>
      <c r="P584" s="87">
        <v>9</v>
      </c>
      <c r="R584" s="87"/>
      <c r="S584" s="26" t="s">
        <v>1590</v>
      </c>
      <c r="T584" s="26" t="s">
        <v>1591</v>
      </c>
      <c r="U584" s="26">
        <v>3895</v>
      </c>
      <c r="V584" s="26" t="s">
        <v>1577</v>
      </c>
      <c r="W584" s="63">
        <v>44816</v>
      </c>
      <c r="X584" s="63">
        <v>45100</v>
      </c>
      <c r="Y584" s="63"/>
      <c r="Z584" s="63"/>
      <c r="AA584" s="24" t="s">
        <v>1143</v>
      </c>
      <c r="AB584" s="23" t="s">
        <v>731</v>
      </c>
      <c r="AC584" s="23"/>
      <c r="AD584" s="23" t="s">
        <v>731</v>
      </c>
      <c r="AE584" s="23"/>
      <c r="AF584" s="23"/>
      <c r="AG584" s="23"/>
      <c r="AH584" s="23"/>
      <c r="AI584" s="23" t="s">
        <v>731</v>
      </c>
      <c r="AJ584" s="23"/>
      <c r="AK584" s="23"/>
      <c r="AL584" s="23"/>
      <c r="AM584" s="23"/>
      <c r="AN584" s="23"/>
      <c r="AO584" s="23"/>
      <c r="AP584" s="23"/>
      <c r="AQ584" s="23"/>
      <c r="AR584" s="23"/>
      <c r="AS584" s="23"/>
      <c r="AT584" s="23"/>
      <c r="AU584" s="23"/>
      <c r="AV584" s="42">
        <v>57</v>
      </c>
      <c r="AW584" s="18"/>
      <c r="AY584" s="42"/>
      <c r="AZ584" s="42"/>
      <c r="BB584" s="45">
        <v>1</v>
      </c>
      <c r="BC584" s="41">
        <f>IF(AND((AV584/I584)&lt;2,BB584=1),(I584*2)-AV584,0)</f>
        <v>0</v>
      </c>
      <c r="BD584" s="41">
        <f>IF(AND((AV584/I584)&lt;3,BB584=2),(I584*3)-AV584,0)</f>
        <v>0</v>
      </c>
      <c r="BG584" s="18"/>
      <c r="BH584" s="18">
        <v>3</v>
      </c>
      <c r="BI584" s="18">
        <v>4</v>
      </c>
      <c r="BJ584" s="18">
        <v>4</v>
      </c>
      <c r="BK584" s="18">
        <v>4</v>
      </c>
      <c r="BL584" s="18">
        <v>4</v>
      </c>
      <c r="BM584" s="55">
        <f>SUM(AV584:AX584)+SUM(BC584:BD584)+SUM(BE584:BF584)+BG584</f>
        <v>57</v>
      </c>
      <c r="BN584" s="55"/>
      <c r="BO584" s="55"/>
      <c r="BP584" s="55"/>
      <c r="BQ584" s="55"/>
      <c r="BR584" s="55"/>
      <c r="BS584" s="55"/>
      <c r="BT584" s="55"/>
      <c r="BU584" s="55"/>
      <c r="BV584" s="55"/>
      <c r="BW584" s="55"/>
      <c r="BX584" s="55"/>
      <c r="BY584" s="55"/>
    </row>
    <row r="585" spans="2:77" ht="25.5">
      <c r="B585" s="89">
        <v>572</v>
      </c>
      <c r="C585" s="106">
        <v>329</v>
      </c>
      <c r="D585" s="93">
        <v>296</v>
      </c>
      <c r="E585" s="105">
        <v>0.55763888888888891</v>
      </c>
      <c r="F585" s="105">
        <v>0.57500000000000007</v>
      </c>
      <c r="G585" s="93" t="s">
        <v>639</v>
      </c>
      <c r="H585" s="93" t="s">
        <v>560</v>
      </c>
      <c r="I585" s="96">
        <v>14.5</v>
      </c>
      <c r="J585" s="97" t="s">
        <v>269</v>
      </c>
      <c r="K585" s="98">
        <v>103</v>
      </c>
      <c r="L585" s="99" t="s">
        <v>744</v>
      </c>
      <c r="M585" s="87" t="s">
        <v>844</v>
      </c>
      <c r="N585" s="87">
        <v>23</v>
      </c>
      <c r="O585" s="87" t="s">
        <v>1892</v>
      </c>
      <c r="P585" s="87">
        <v>23</v>
      </c>
      <c r="Q585" s="87" t="s">
        <v>845</v>
      </c>
      <c r="R585" s="84">
        <v>23</v>
      </c>
      <c r="S585" s="26" t="s">
        <v>1419</v>
      </c>
      <c r="T585" s="26" t="s">
        <v>1420</v>
      </c>
      <c r="U585" s="26">
        <v>3740</v>
      </c>
      <c r="V585" s="26" t="s">
        <v>1586</v>
      </c>
      <c r="W585" s="62">
        <v>44816</v>
      </c>
      <c r="X585" s="62">
        <v>45086</v>
      </c>
      <c r="Y585" s="62"/>
      <c r="Z585" s="62"/>
      <c r="AA585" s="27" t="s">
        <v>1139</v>
      </c>
      <c r="AB585" s="23"/>
      <c r="AC585" s="23"/>
      <c r="AD585" s="23"/>
      <c r="AE585" s="23" t="s">
        <v>731</v>
      </c>
      <c r="AF585" s="23" t="s">
        <v>731</v>
      </c>
      <c r="AG585" s="23" t="s">
        <v>731</v>
      </c>
      <c r="AH585" s="23" t="s">
        <v>731</v>
      </c>
      <c r="AI585" s="23"/>
      <c r="AJ585" s="23"/>
      <c r="AK585" s="23"/>
      <c r="AL585" s="23"/>
      <c r="AM585" s="23"/>
      <c r="AN585" s="23"/>
      <c r="AO585" s="23"/>
      <c r="AP585" s="23"/>
      <c r="AQ585" s="23"/>
      <c r="AR585" s="23"/>
      <c r="AS585" s="23"/>
      <c r="AT585" s="23"/>
      <c r="AU585" s="23"/>
      <c r="AV585" s="42">
        <v>73.930000000000007</v>
      </c>
      <c r="AW585" s="18"/>
      <c r="AY585" s="42"/>
      <c r="AZ585" s="42"/>
      <c r="BB585" s="45">
        <v>1</v>
      </c>
      <c r="BC585" s="41">
        <f>IF(AND((AV585/I585)&lt;2,BB585=1),(I585*2)-AV585,0)</f>
        <v>0</v>
      </c>
      <c r="BD585" s="41">
        <f>IF(AND((AV585/I585)&lt;3,BB585=2),(I585*3)-AV585,0)</f>
        <v>0</v>
      </c>
      <c r="BG585" s="18"/>
      <c r="BH585" s="18">
        <v>9</v>
      </c>
      <c r="BI585" s="18">
        <v>12</v>
      </c>
      <c r="BJ585" s="18">
        <v>13</v>
      </c>
      <c r="BK585" s="18">
        <v>9</v>
      </c>
      <c r="BL585" s="18">
        <v>11</v>
      </c>
      <c r="BM585" s="55">
        <f>SUM(AV585:AX585)+SUM(BC585:BD585)+SUM(BE585:BF585)+BG585</f>
        <v>73.930000000000007</v>
      </c>
      <c r="BN585" s="55"/>
      <c r="BO585" s="55"/>
      <c r="BP585" s="55"/>
      <c r="BQ585" s="55"/>
      <c r="BR585" s="55"/>
      <c r="BS585" s="55"/>
      <c r="BT585" s="55"/>
      <c r="BU585" s="55"/>
      <c r="BV585" s="55"/>
      <c r="BW585" s="55"/>
      <c r="BX585" s="55"/>
      <c r="BY585" s="55"/>
    </row>
    <row r="586" spans="2:77" ht="25.5">
      <c r="B586" s="89">
        <v>573</v>
      </c>
      <c r="C586" s="106">
        <v>330</v>
      </c>
      <c r="D586" s="106">
        <v>296</v>
      </c>
      <c r="E586" s="105">
        <v>0.55763888888888891</v>
      </c>
      <c r="F586" s="105">
        <v>0.60347222222222219</v>
      </c>
      <c r="G586" s="93" t="s">
        <v>342</v>
      </c>
      <c r="H586" s="93" t="s">
        <v>559</v>
      </c>
      <c r="I586" s="96">
        <v>30</v>
      </c>
      <c r="J586" s="97" t="s">
        <v>269</v>
      </c>
      <c r="K586" s="98">
        <v>70</v>
      </c>
      <c r="L586" s="99" t="s">
        <v>744</v>
      </c>
      <c r="M586" s="87" t="s">
        <v>844</v>
      </c>
      <c r="N586" s="87">
        <v>23</v>
      </c>
      <c r="O586" s="87" t="s">
        <v>1892</v>
      </c>
      <c r="P586" s="87">
        <v>23</v>
      </c>
      <c r="Q586" s="87" t="s">
        <v>845</v>
      </c>
      <c r="R586" s="84">
        <v>23</v>
      </c>
      <c r="S586" s="26" t="s">
        <v>1419</v>
      </c>
      <c r="T586" s="26" t="s">
        <v>1420</v>
      </c>
      <c r="U586" s="26">
        <v>3790</v>
      </c>
      <c r="V586" s="26" t="s">
        <v>1581</v>
      </c>
      <c r="W586" s="62">
        <v>44816</v>
      </c>
      <c r="X586" s="62">
        <v>45086</v>
      </c>
      <c r="Y586" s="62"/>
      <c r="Z586" s="62"/>
      <c r="AA586" s="27" t="s">
        <v>1137</v>
      </c>
      <c r="AB586" s="23"/>
      <c r="AC586" s="23"/>
      <c r="AD586" s="23"/>
      <c r="AE586" s="23" t="s">
        <v>731</v>
      </c>
      <c r="AF586" s="23"/>
      <c r="AG586" s="23"/>
      <c r="AH586" s="23"/>
      <c r="AI586" s="23" t="s">
        <v>731</v>
      </c>
      <c r="AJ586" s="23" t="s">
        <v>731</v>
      </c>
      <c r="AK586" s="23"/>
      <c r="AL586" s="23"/>
      <c r="AM586" s="23"/>
      <c r="AN586" s="23"/>
      <c r="AO586" s="23"/>
      <c r="AP586" s="23"/>
      <c r="AQ586" s="23"/>
      <c r="AR586" s="23"/>
      <c r="AS586" s="23"/>
      <c r="AT586" s="23"/>
      <c r="AU586" s="23"/>
      <c r="AV586" s="42">
        <f>((101.83*34)+(139.49*36))/70</f>
        <v>121.19800000000001</v>
      </c>
      <c r="AW586" s="18"/>
      <c r="AY586" s="42"/>
      <c r="AZ586" s="42"/>
      <c r="BB586" s="45">
        <v>1</v>
      </c>
      <c r="BC586" s="41">
        <f>IF(AND((AV586/I586)&lt;2,BB586=1),(I586*2)-AV586,0)</f>
        <v>0</v>
      </c>
      <c r="BD586" s="41">
        <f>IF(AND((AV586/I586)&lt;3,BB586=2),(I586*3)-AV586,0)</f>
        <v>0</v>
      </c>
      <c r="BG586" s="18"/>
      <c r="BH586" s="18">
        <v>6</v>
      </c>
      <c r="BI586" s="18">
        <v>8</v>
      </c>
      <c r="BJ586" s="18">
        <v>8</v>
      </c>
      <c r="BK586" s="18">
        <v>6</v>
      </c>
      <c r="BL586" s="18">
        <v>6</v>
      </c>
      <c r="BM586" s="55">
        <f>SUM(AV586:AX586)+SUM(BC586:BD586)+SUM(BE586:BF586)+BG586</f>
        <v>121.19800000000001</v>
      </c>
      <c r="BN586" s="55"/>
      <c r="BO586" s="55"/>
      <c r="BP586" s="55"/>
      <c r="BQ586" s="55"/>
      <c r="BR586" s="55"/>
      <c r="BS586" s="55"/>
      <c r="BT586" s="55"/>
      <c r="BU586" s="55"/>
      <c r="BV586" s="55"/>
      <c r="BW586" s="55"/>
      <c r="BX586" s="55"/>
      <c r="BY586" s="55"/>
    </row>
    <row r="587" spans="2:77" ht="25.5">
      <c r="B587" s="89">
        <v>574</v>
      </c>
      <c r="C587" s="93">
        <v>303</v>
      </c>
      <c r="D587" s="93">
        <v>705</v>
      </c>
      <c r="E587" s="94">
        <v>0.5625</v>
      </c>
      <c r="F587" s="94">
        <v>0.60069444444444442</v>
      </c>
      <c r="G587" s="93" t="s">
        <v>442</v>
      </c>
      <c r="H587" s="93" t="s">
        <v>443</v>
      </c>
      <c r="I587" s="96">
        <v>23</v>
      </c>
      <c r="J587" s="97" t="s">
        <v>188</v>
      </c>
      <c r="K587" s="98">
        <v>47</v>
      </c>
      <c r="L587" s="99" t="s">
        <v>744</v>
      </c>
      <c r="M587" s="87" t="s">
        <v>847</v>
      </c>
      <c r="N587" s="87">
        <v>31</v>
      </c>
      <c r="O587" s="87" t="s">
        <v>1240</v>
      </c>
      <c r="P587" s="87">
        <v>57</v>
      </c>
      <c r="Q587" s="87" t="s">
        <v>848</v>
      </c>
      <c r="R587" s="84">
        <v>42</v>
      </c>
      <c r="S587" s="26">
        <v>3790</v>
      </c>
      <c r="T587" s="26" t="s">
        <v>1581</v>
      </c>
      <c r="U587" s="26">
        <v>1</v>
      </c>
      <c r="V587" s="26" t="s">
        <v>1312</v>
      </c>
      <c r="W587" s="63">
        <v>44816</v>
      </c>
      <c r="X587" s="63">
        <v>45100</v>
      </c>
      <c r="Y587" s="63"/>
      <c r="Z587" s="63"/>
      <c r="AA587" s="27" t="s">
        <v>1103</v>
      </c>
      <c r="AB587" s="23" t="s">
        <v>731</v>
      </c>
      <c r="AC587" s="23"/>
      <c r="AD587" s="23"/>
      <c r="AE587" s="23"/>
      <c r="AF587" s="23"/>
      <c r="AG587" s="23"/>
      <c r="AH587" s="23"/>
      <c r="AI587" s="23"/>
      <c r="AJ587" s="23"/>
      <c r="AK587" s="23"/>
      <c r="AL587" s="23" t="s">
        <v>731</v>
      </c>
      <c r="AM587" s="23"/>
      <c r="AN587" s="23"/>
      <c r="AO587" s="23"/>
      <c r="AP587" s="23"/>
      <c r="AQ587" s="23"/>
      <c r="AR587" s="23"/>
      <c r="AS587" s="23"/>
      <c r="AT587" s="23"/>
      <c r="AU587" s="23"/>
      <c r="AV587" s="42">
        <v>69</v>
      </c>
      <c r="AW587" s="18"/>
      <c r="AY587" s="42"/>
      <c r="AZ587" s="42"/>
      <c r="BB587" s="45">
        <v>1</v>
      </c>
      <c r="BC587" s="41">
        <f>IF(AND((AV587/I587)&lt;2,BB587=1),(I587*2)-AV587,0)</f>
        <v>0</v>
      </c>
      <c r="BD587" s="41">
        <f>IF(AND((AV587/I587)&lt;3,BB587=2),(I587*3)-AV587,0)</f>
        <v>0</v>
      </c>
      <c r="BG587" s="18"/>
      <c r="BH587" s="18">
        <v>2</v>
      </c>
      <c r="BI587" s="18">
        <v>5</v>
      </c>
      <c r="BJ587" s="18">
        <v>5</v>
      </c>
      <c r="BK587" s="18">
        <v>6</v>
      </c>
      <c r="BL587" s="18">
        <v>6</v>
      </c>
      <c r="BM587" s="55">
        <f>SUM(AV587:AX587)+SUM(BC587:BD587)+SUM(BE587:BF587)+BG587</f>
        <v>69</v>
      </c>
      <c r="BN587" s="55"/>
      <c r="BO587" s="55"/>
      <c r="BP587" s="55"/>
      <c r="BQ587" s="55"/>
      <c r="BR587" s="55"/>
      <c r="BS587" s="55"/>
      <c r="BT587" s="55"/>
      <c r="BU587" s="55"/>
      <c r="BV587" s="55"/>
      <c r="BW587" s="55"/>
      <c r="BX587" s="55"/>
      <c r="BY587" s="55"/>
    </row>
    <row r="588" spans="2:77" ht="33.75">
      <c r="B588" s="89">
        <v>575</v>
      </c>
      <c r="C588" s="93">
        <v>303</v>
      </c>
      <c r="D588" s="93">
        <v>544</v>
      </c>
      <c r="E588" s="94">
        <v>0.57430555555555551</v>
      </c>
      <c r="F588" s="94">
        <v>0.60138888888888886</v>
      </c>
      <c r="G588" s="93" t="s">
        <v>640</v>
      </c>
      <c r="H588" s="93" t="s">
        <v>97</v>
      </c>
      <c r="I588" s="96">
        <v>28</v>
      </c>
      <c r="J588" s="97">
        <v>14</v>
      </c>
      <c r="K588" s="98">
        <v>208</v>
      </c>
      <c r="L588" s="99" t="s">
        <v>755</v>
      </c>
      <c r="M588" s="87" t="s">
        <v>830</v>
      </c>
      <c r="N588" s="87">
        <v>15</v>
      </c>
      <c r="O588" s="83" t="s">
        <v>1890</v>
      </c>
      <c r="P588" s="83">
        <v>9</v>
      </c>
      <c r="Q588" s="87" t="s">
        <v>1253</v>
      </c>
      <c r="R588" s="84">
        <v>9</v>
      </c>
      <c r="S588" s="26" t="s">
        <v>1419</v>
      </c>
      <c r="T588" s="26" t="s">
        <v>1420</v>
      </c>
      <c r="U588" s="26">
        <v>3895</v>
      </c>
      <c r="V588" s="26" t="s">
        <v>1577</v>
      </c>
      <c r="W588" s="62">
        <v>44816</v>
      </c>
      <c r="X588" s="62">
        <v>45086</v>
      </c>
      <c r="Y588" s="62"/>
      <c r="Z588" s="62"/>
      <c r="AA588" s="22" t="s">
        <v>1106</v>
      </c>
      <c r="AB588" s="23"/>
      <c r="AC588" s="23"/>
      <c r="AD588" s="23"/>
      <c r="AE588" s="23" t="s">
        <v>731</v>
      </c>
      <c r="AF588" s="23" t="s">
        <v>731</v>
      </c>
      <c r="AG588" s="23" t="s">
        <v>731</v>
      </c>
      <c r="AH588" s="23" t="s">
        <v>731</v>
      </c>
      <c r="AI588" s="23" t="s">
        <v>731</v>
      </c>
      <c r="AJ588" s="23" t="s">
        <v>731</v>
      </c>
      <c r="AK588" s="23" t="s">
        <v>731</v>
      </c>
      <c r="AL588" s="23"/>
      <c r="AM588" s="23"/>
      <c r="AN588" s="23"/>
      <c r="AO588" s="23"/>
      <c r="AP588" s="23"/>
      <c r="AQ588" s="23"/>
      <c r="AR588" s="23"/>
      <c r="AS588" s="23"/>
      <c r="AT588" s="23"/>
      <c r="AU588" s="23"/>
      <c r="AV588" s="42">
        <v>93.9</v>
      </c>
      <c r="AW588" s="18"/>
      <c r="AY588" s="42"/>
      <c r="AZ588" s="42"/>
      <c r="BB588" s="45">
        <v>1</v>
      </c>
      <c r="BC588" s="41">
        <f>IF(AND((AV588/I588)&lt;2,BB588=1),(I588*2)-AV588,0)</f>
        <v>0</v>
      </c>
      <c r="BD588" s="41">
        <f>IF(AND((AV588/I588)&lt;3,BB588=2),(I588*3)-AV588,0)</f>
        <v>0</v>
      </c>
      <c r="BG588" s="18"/>
      <c r="BH588" s="18">
        <v>17</v>
      </c>
      <c r="BI588" s="18">
        <v>25</v>
      </c>
      <c r="BJ588" s="18">
        <v>25</v>
      </c>
      <c r="BK588" s="18">
        <v>18</v>
      </c>
      <c r="BL588" s="18">
        <v>20</v>
      </c>
      <c r="BM588" s="55">
        <f>SUM(AV588:AX588)+SUM(BC588:BD588)+SUM(BE588:BF588)+BG588</f>
        <v>93.9</v>
      </c>
      <c r="BN588" s="55"/>
      <c r="BO588" s="55"/>
      <c r="BP588" s="55"/>
      <c r="BQ588" s="55"/>
      <c r="BR588" s="55"/>
      <c r="BS588" s="55"/>
      <c r="BT588" s="55"/>
      <c r="BU588" s="55"/>
      <c r="BV588" s="55"/>
      <c r="BW588" s="55"/>
      <c r="BX588" s="55"/>
      <c r="BY588" s="55"/>
    </row>
    <row r="589" spans="2:77" ht="25.5">
      <c r="B589" s="89">
        <v>576</v>
      </c>
      <c r="C589" s="93">
        <v>303</v>
      </c>
      <c r="D589" s="93">
        <v>551</v>
      </c>
      <c r="E589" s="94">
        <v>0.59375</v>
      </c>
      <c r="F589" s="105">
        <v>0.60972222222222217</v>
      </c>
      <c r="G589" s="93" t="s">
        <v>395</v>
      </c>
      <c r="H589" s="93" t="s">
        <v>568</v>
      </c>
      <c r="I589" s="96">
        <v>19</v>
      </c>
      <c r="J589" s="97">
        <v>14</v>
      </c>
      <c r="K589" s="98">
        <v>39</v>
      </c>
      <c r="L589" s="99" t="s">
        <v>757</v>
      </c>
      <c r="M589" s="87" t="s">
        <v>966</v>
      </c>
      <c r="N589" s="87">
        <v>9</v>
      </c>
      <c r="O589" s="87" t="s">
        <v>1894</v>
      </c>
      <c r="P589" s="87">
        <v>9</v>
      </c>
      <c r="R589" s="87"/>
      <c r="S589" s="26">
        <v>3895</v>
      </c>
      <c r="T589" s="26" t="s">
        <v>1577</v>
      </c>
      <c r="U589" s="26" t="s">
        <v>1578</v>
      </c>
      <c r="V589" s="26" t="s">
        <v>1579</v>
      </c>
      <c r="W589" s="63">
        <v>44816</v>
      </c>
      <c r="X589" s="63">
        <v>45100</v>
      </c>
      <c r="Y589" s="63"/>
      <c r="Z589" s="63"/>
      <c r="AA589" s="24" t="s">
        <v>1143</v>
      </c>
      <c r="AB589" s="23" t="s">
        <v>731</v>
      </c>
      <c r="AC589" s="23"/>
      <c r="AD589" s="23" t="s">
        <v>731</v>
      </c>
      <c r="AE589" s="23"/>
      <c r="AF589" s="23"/>
      <c r="AG589" s="23"/>
      <c r="AH589" s="23"/>
      <c r="AI589" s="23" t="s">
        <v>731</v>
      </c>
      <c r="AJ589" s="23"/>
      <c r="AK589" s="23"/>
      <c r="AL589" s="23"/>
      <c r="AM589" s="23"/>
      <c r="AN589" s="23"/>
      <c r="AO589" s="23"/>
      <c r="AP589" s="23"/>
      <c r="AQ589" s="23"/>
      <c r="AR589" s="23"/>
      <c r="AS589" s="23"/>
      <c r="AT589" s="23"/>
      <c r="AU589" s="23"/>
      <c r="AV589" s="42">
        <v>57</v>
      </c>
      <c r="AW589" s="18"/>
      <c r="AY589" s="42"/>
      <c r="AZ589" s="42"/>
      <c r="BB589" s="45">
        <v>1</v>
      </c>
      <c r="BC589" s="41">
        <f>IF(AND((AV589/I589)&lt;2,BB589=1),(I589*2)-AV589,0)</f>
        <v>0</v>
      </c>
      <c r="BD589" s="41">
        <f>IF(AND((AV589/I589)&lt;3,BB589=2),(I589*3)-AV589,0)</f>
        <v>0</v>
      </c>
      <c r="BG589" s="18"/>
      <c r="BH589" s="18">
        <v>3</v>
      </c>
      <c r="BI589" s="18">
        <v>4</v>
      </c>
      <c r="BJ589" s="18">
        <v>4</v>
      </c>
      <c r="BK589" s="18">
        <v>4</v>
      </c>
      <c r="BL589" s="18">
        <v>4</v>
      </c>
      <c r="BM589" s="55">
        <f>SUM(AV589:AX589)+SUM(BC589:BD589)+SUM(BE589:BF589)+BG589</f>
        <v>57</v>
      </c>
      <c r="BN589" s="55"/>
      <c r="BO589" s="55"/>
      <c r="BP589" s="55"/>
      <c r="BQ589" s="55"/>
      <c r="BR589" s="55"/>
      <c r="BS589" s="55"/>
      <c r="BT589" s="55"/>
      <c r="BU589" s="55"/>
      <c r="BV589" s="55"/>
      <c r="BW589" s="55"/>
      <c r="BX589" s="55"/>
      <c r="BY589" s="55"/>
    </row>
    <row r="590" spans="2:77" ht="25.5">
      <c r="B590" s="89">
        <v>577</v>
      </c>
      <c r="C590" s="93">
        <v>303</v>
      </c>
      <c r="D590" s="93">
        <v>705</v>
      </c>
      <c r="E590" s="94">
        <v>0.60069444444444442</v>
      </c>
      <c r="F590" s="94">
        <v>0.65277777777777779</v>
      </c>
      <c r="G590" s="93" t="s">
        <v>454</v>
      </c>
      <c r="H590" s="93" t="s">
        <v>549</v>
      </c>
      <c r="I590" s="96">
        <v>32.5</v>
      </c>
      <c r="J590" s="97" t="s">
        <v>188</v>
      </c>
      <c r="K590" s="98">
        <v>13</v>
      </c>
      <c r="L590" s="99" t="s">
        <v>744</v>
      </c>
      <c r="M590" s="87" t="s">
        <v>847</v>
      </c>
      <c r="N590" s="87">
        <v>31</v>
      </c>
      <c r="O590" s="87" t="s">
        <v>1240</v>
      </c>
      <c r="P590" s="87">
        <v>57</v>
      </c>
      <c r="R590" s="87"/>
      <c r="S590" s="26">
        <v>3820</v>
      </c>
      <c r="T590" s="26" t="s">
        <v>1580</v>
      </c>
      <c r="U590" s="26">
        <v>1</v>
      </c>
      <c r="V590" s="26" t="s">
        <v>1312</v>
      </c>
      <c r="W590" s="63">
        <v>44562</v>
      </c>
      <c r="X590" s="63">
        <v>44815</v>
      </c>
      <c r="Y590" s="63">
        <v>45101</v>
      </c>
      <c r="Z590" s="63">
        <v>45169</v>
      </c>
      <c r="AA590" s="17" t="s">
        <v>1104</v>
      </c>
      <c r="AB590" s="23"/>
      <c r="AC590" s="23" t="s">
        <v>731</v>
      </c>
      <c r="AD590" s="23"/>
      <c r="AE590" s="23"/>
      <c r="AF590" s="23"/>
      <c r="AG590" s="23"/>
      <c r="AH590" s="23"/>
      <c r="AI590" s="23"/>
      <c r="AJ590" s="23"/>
      <c r="AK590" s="23"/>
      <c r="AL590" s="23" t="s">
        <v>731</v>
      </c>
      <c r="AM590" s="23"/>
      <c r="AN590" s="23"/>
      <c r="AO590" s="23"/>
      <c r="AP590" s="23"/>
      <c r="AQ590" s="23"/>
      <c r="AR590" s="23"/>
      <c r="AS590" s="23"/>
      <c r="AT590" s="23"/>
      <c r="AU590" s="23"/>
      <c r="AV590" s="42">
        <v>97.5</v>
      </c>
      <c r="AW590" s="18"/>
      <c r="AY590" s="42"/>
      <c r="AZ590" s="42"/>
      <c r="BB590" s="45">
        <v>1</v>
      </c>
      <c r="BC590" s="41">
        <f>IF(AND((AV590/I590)&lt;2,BB590=1),(I590*2)-AV590,0)</f>
        <v>0</v>
      </c>
      <c r="BD590" s="41">
        <f>IF(AND((AV590/I590)&lt;3,BB590=2),(I590*3)-AV590,0)</f>
        <v>0</v>
      </c>
      <c r="BG590" s="18"/>
      <c r="BH590" s="18">
        <v>2</v>
      </c>
      <c r="BI590" s="18">
        <v>0</v>
      </c>
      <c r="BJ590" s="18">
        <v>0</v>
      </c>
      <c r="BK590" s="18">
        <v>0</v>
      </c>
      <c r="BL590" s="18">
        <v>0</v>
      </c>
      <c r="BM590" s="55">
        <f>SUM(AV590:AX590)+SUM(BC590:BD590)+SUM(BE590:BF590)+BG590</f>
        <v>97.5</v>
      </c>
      <c r="BN590" s="55"/>
      <c r="BO590" s="55"/>
      <c r="BP590" s="55"/>
      <c r="BQ590" s="55"/>
      <c r="BR590" s="55"/>
      <c r="BS590" s="55"/>
      <c r="BT590" s="55"/>
      <c r="BU590" s="55"/>
      <c r="BV590" s="55"/>
      <c r="BW590" s="55"/>
      <c r="BX590" s="55"/>
      <c r="BY590" s="55"/>
    </row>
    <row r="591" spans="2:77" ht="33.75">
      <c r="B591" s="89">
        <v>578</v>
      </c>
      <c r="C591" s="93">
        <v>303</v>
      </c>
      <c r="D591" s="93">
        <v>531</v>
      </c>
      <c r="E591" s="94">
        <v>0.61805555555555558</v>
      </c>
      <c r="F591" s="105">
        <v>0.65277777777777779</v>
      </c>
      <c r="G591" s="93" t="s">
        <v>346</v>
      </c>
      <c r="H591" s="93" t="s">
        <v>478</v>
      </c>
      <c r="I591" s="96">
        <v>26</v>
      </c>
      <c r="J591" s="97" t="s">
        <v>269</v>
      </c>
      <c r="K591" s="98">
        <v>240</v>
      </c>
      <c r="L591" s="99" t="s">
        <v>744</v>
      </c>
      <c r="M591" s="87" t="s">
        <v>844</v>
      </c>
      <c r="N591" s="87">
        <v>23</v>
      </c>
      <c r="O591" s="83" t="s">
        <v>1895</v>
      </c>
      <c r="P591" s="87">
        <v>56</v>
      </c>
      <c r="Q591" s="87" t="s">
        <v>1240</v>
      </c>
      <c r="R591" s="84">
        <v>57</v>
      </c>
      <c r="S591" s="26">
        <v>3790</v>
      </c>
      <c r="T591" s="26" t="s">
        <v>1581</v>
      </c>
      <c r="U591" s="26">
        <v>1</v>
      </c>
      <c r="V591" s="26" t="s">
        <v>1312</v>
      </c>
      <c r="W591" s="63">
        <v>44816</v>
      </c>
      <c r="X591" s="63">
        <v>45100</v>
      </c>
      <c r="Y591" s="63"/>
      <c r="Z591" s="63"/>
      <c r="AA591" s="26" t="s">
        <v>1112</v>
      </c>
      <c r="AB591" s="23" t="s">
        <v>731</v>
      </c>
      <c r="AC591" s="23"/>
      <c r="AD591" s="23" t="s">
        <v>731</v>
      </c>
      <c r="AE591" s="23"/>
      <c r="AF591" s="23" t="s">
        <v>731</v>
      </c>
      <c r="AG591" s="23" t="s">
        <v>731</v>
      </c>
      <c r="AH591" s="23" t="s">
        <v>731</v>
      </c>
      <c r="AI591" s="23" t="s">
        <v>731</v>
      </c>
      <c r="AJ591" s="23" t="s">
        <v>731</v>
      </c>
      <c r="AK591" s="23" t="s">
        <v>731</v>
      </c>
      <c r="AL591" s="25"/>
      <c r="AM591" s="25"/>
      <c r="AN591" s="25"/>
      <c r="AO591" s="25"/>
      <c r="AP591" s="23"/>
      <c r="AQ591" s="23"/>
      <c r="AR591" s="23"/>
      <c r="AS591" s="23"/>
      <c r="AT591" s="23"/>
      <c r="AU591" s="23"/>
      <c r="AV591" s="41">
        <f>((101.92*202)+(52*38))/K591</f>
        <v>94.016000000000005</v>
      </c>
      <c r="AW591" s="47"/>
      <c r="AX591" s="47"/>
      <c r="AY591" s="42"/>
      <c r="AZ591" s="42"/>
      <c r="BA591" s="47"/>
      <c r="BB591" s="45">
        <v>1</v>
      </c>
      <c r="BC591" s="41">
        <f>IF(AND((AV591/I591)&lt;2,BB591=1),(I591*2)-AV591,0)</f>
        <v>0</v>
      </c>
      <c r="BD591" s="41">
        <f>IF(AND((AV591/I591)&lt;3,BB591=2),(I591*3)-AV591,0)</f>
        <v>0</v>
      </c>
      <c r="BG591" s="18"/>
      <c r="BH591" s="18">
        <v>17</v>
      </c>
      <c r="BI591" s="18">
        <v>26</v>
      </c>
      <c r="BJ591" s="18">
        <v>25</v>
      </c>
      <c r="BK591" s="18">
        <v>26</v>
      </c>
      <c r="BL591" s="18">
        <v>26</v>
      </c>
      <c r="BM591" s="55">
        <f>SUM(AV591:AX591)+SUM(BC591:BD591)+SUM(BE591:BF591)+BG591</f>
        <v>94.016000000000005</v>
      </c>
      <c r="BN591" s="55"/>
      <c r="BO591" s="55"/>
      <c r="BP591" s="55"/>
      <c r="BQ591" s="55"/>
      <c r="BR591" s="55"/>
      <c r="BS591" s="55"/>
      <c r="BT591" s="55"/>
      <c r="BU591" s="55"/>
      <c r="BV591" s="55"/>
      <c r="BW591" s="55"/>
      <c r="BX591" s="55"/>
      <c r="BY591" s="55"/>
    </row>
    <row r="592" spans="2:77" ht="25.5">
      <c r="B592" s="89">
        <v>579</v>
      </c>
      <c r="C592" s="93">
        <v>303</v>
      </c>
      <c r="D592" s="93">
        <v>250</v>
      </c>
      <c r="E592" s="94">
        <v>0.69444444444444453</v>
      </c>
      <c r="F592" s="105">
        <v>0.72569444444444453</v>
      </c>
      <c r="G592" s="93" t="s">
        <v>641</v>
      </c>
      <c r="H592" s="93" t="s">
        <v>103</v>
      </c>
      <c r="I592" s="96">
        <v>21</v>
      </c>
      <c r="J592" s="97" t="s">
        <v>101</v>
      </c>
      <c r="K592" s="98">
        <v>174</v>
      </c>
      <c r="L592" s="99" t="s">
        <v>744</v>
      </c>
      <c r="M592" s="87" t="s">
        <v>846</v>
      </c>
      <c r="N592" s="87">
        <v>57</v>
      </c>
      <c r="O592" s="87" t="s">
        <v>1893</v>
      </c>
      <c r="P592" s="87">
        <v>56</v>
      </c>
      <c r="Q592" s="87" t="s">
        <v>1255</v>
      </c>
      <c r="R592" s="84">
        <v>62</v>
      </c>
      <c r="S592" s="26">
        <v>1</v>
      </c>
      <c r="T592" s="26" t="s">
        <v>1309</v>
      </c>
      <c r="U592" s="26">
        <v>3790</v>
      </c>
      <c r="V592" s="26" t="s">
        <v>1581</v>
      </c>
      <c r="W592" s="62">
        <v>44816</v>
      </c>
      <c r="X592" s="62">
        <v>45086</v>
      </c>
      <c r="Y592" s="62"/>
      <c r="Z592" s="62"/>
      <c r="AA592" s="22" t="s">
        <v>1102</v>
      </c>
      <c r="AB592" s="25"/>
      <c r="AC592" s="25"/>
      <c r="AD592" s="25"/>
      <c r="AE592" s="23" t="s">
        <v>731</v>
      </c>
      <c r="AF592" s="23" t="s">
        <v>731</v>
      </c>
      <c r="AG592" s="23" t="s">
        <v>731</v>
      </c>
      <c r="AH592" s="23" t="s">
        <v>731</v>
      </c>
      <c r="AI592" s="23" t="s">
        <v>731</v>
      </c>
      <c r="AJ592" s="23" t="s">
        <v>731</v>
      </c>
      <c r="AK592" s="25"/>
      <c r="AL592" s="25"/>
      <c r="AM592" s="25"/>
      <c r="AN592" s="25"/>
      <c r="AO592" s="25"/>
      <c r="AP592" s="23"/>
      <c r="AQ592" s="23"/>
      <c r="AR592" s="23"/>
      <c r="AS592" s="23"/>
      <c r="AT592" s="23"/>
      <c r="AU592" s="25"/>
      <c r="AV592" s="41">
        <f>100+12</f>
        <v>112</v>
      </c>
      <c r="AW592" s="47"/>
      <c r="AX592" s="47"/>
      <c r="AY592" s="42"/>
      <c r="AZ592" s="42"/>
      <c r="BA592" s="47"/>
      <c r="BB592" s="43">
        <v>2</v>
      </c>
      <c r="BC592" s="41">
        <f>IF(AND((AV592/I592)&lt;2,BB592=1),(I592*2)-AV592,0)</f>
        <v>0</v>
      </c>
      <c r="BD592" s="41">
        <f>IF(AND((AV592/I592)&lt;3,BB592=2),(I592*3)-AV592,0)</f>
        <v>0</v>
      </c>
      <c r="BG592" s="18"/>
      <c r="BH592" s="18">
        <v>15</v>
      </c>
      <c r="BI592" s="18">
        <v>20</v>
      </c>
      <c r="BJ592" s="18">
        <v>21</v>
      </c>
      <c r="BK592" s="18">
        <v>15</v>
      </c>
      <c r="BL592" s="18">
        <v>17</v>
      </c>
      <c r="BM592" s="55">
        <f>SUM(AV592:AX592)+SUM(BC592:BD592)+SUM(BE592:BF592)+BG592</f>
        <v>112</v>
      </c>
      <c r="BN592" s="55"/>
      <c r="BO592" s="55"/>
      <c r="BP592" s="55"/>
      <c r="BQ592" s="55"/>
      <c r="BR592" s="55"/>
      <c r="BS592" s="55"/>
      <c r="BT592" s="55"/>
      <c r="BU592" s="55"/>
      <c r="BV592" s="55"/>
      <c r="BW592" s="55"/>
      <c r="BX592" s="55"/>
      <c r="BY592" s="55"/>
    </row>
    <row r="593" spans="2:77" ht="25.5">
      <c r="B593" s="89">
        <v>580</v>
      </c>
      <c r="C593" s="93">
        <v>303</v>
      </c>
      <c r="D593" s="93">
        <v>543</v>
      </c>
      <c r="E593" s="94">
        <v>0.69791666666666663</v>
      </c>
      <c r="F593" s="94">
        <v>0.70972222222222225</v>
      </c>
      <c r="G593" s="93" t="s">
        <v>341</v>
      </c>
      <c r="H593" s="93" t="s">
        <v>103</v>
      </c>
      <c r="I593" s="96">
        <v>12</v>
      </c>
      <c r="J593" s="97" t="s">
        <v>269</v>
      </c>
      <c r="K593" s="98">
        <v>174</v>
      </c>
      <c r="L593" s="99" t="s">
        <v>744</v>
      </c>
      <c r="M593" s="87" t="s">
        <v>845</v>
      </c>
      <c r="N593" s="87">
        <v>23</v>
      </c>
      <c r="O593" s="87" t="s">
        <v>1892</v>
      </c>
      <c r="P593" s="87">
        <v>23</v>
      </c>
      <c r="Q593" s="87" t="s">
        <v>844</v>
      </c>
      <c r="R593" s="84">
        <v>23</v>
      </c>
      <c r="S593" s="26" t="s">
        <v>1595</v>
      </c>
      <c r="T593" s="26" t="s">
        <v>1596</v>
      </c>
      <c r="U593" s="26">
        <v>3740</v>
      </c>
      <c r="V593" s="26" t="s">
        <v>1586</v>
      </c>
      <c r="W593" s="62">
        <v>44816</v>
      </c>
      <c r="X593" s="62">
        <v>45086</v>
      </c>
      <c r="Y593" s="62"/>
      <c r="Z593" s="62"/>
      <c r="AA593" s="22" t="s">
        <v>1102</v>
      </c>
      <c r="AB593" s="25"/>
      <c r="AC593" s="25"/>
      <c r="AD593" s="25"/>
      <c r="AE593" s="23" t="s">
        <v>731</v>
      </c>
      <c r="AF593" s="23" t="s">
        <v>731</v>
      </c>
      <c r="AG593" s="23" t="s">
        <v>731</v>
      </c>
      <c r="AH593" s="23" t="s">
        <v>731</v>
      </c>
      <c r="AI593" s="23" t="s">
        <v>731</v>
      </c>
      <c r="AJ593" s="23" t="s">
        <v>731</v>
      </c>
      <c r="AK593" s="25"/>
      <c r="AL593" s="25"/>
      <c r="AM593" s="25"/>
      <c r="AN593" s="25"/>
      <c r="AO593" s="25"/>
      <c r="AP593" s="23"/>
      <c r="AQ593" s="23"/>
      <c r="AR593" s="23"/>
      <c r="AS593" s="23"/>
      <c r="AT593" s="23"/>
      <c r="AU593" s="25"/>
      <c r="AV593" s="41">
        <f>((72.76*138)+(24*36))/K593</f>
        <v>62.671724137931044</v>
      </c>
      <c r="AW593" s="47"/>
      <c r="AX593" s="47"/>
      <c r="AY593" s="42"/>
      <c r="AZ593" s="42"/>
      <c r="BA593" s="47"/>
      <c r="BB593" s="45">
        <v>1</v>
      </c>
      <c r="BC593" s="41">
        <f>IF(AND((AV593/I593)&lt;2,BB593=1),(I593*2)-AV593,0)</f>
        <v>0</v>
      </c>
      <c r="BD593" s="41">
        <f>IF(AND((AV593/I593)&lt;3,BB593=2),(I593*3)-AV593,0)</f>
        <v>0</v>
      </c>
      <c r="BG593" s="18"/>
      <c r="BH593" s="18">
        <v>15</v>
      </c>
      <c r="BI593" s="18">
        <v>20</v>
      </c>
      <c r="BJ593" s="18">
        <v>21</v>
      </c>
      <c r="BK593" s="18">
        <v>15</v>
      </c>
      <c r="BL593" s="18">
        <v>17</v>
      </c>
      <c r="BM593" s="55">
        <f>SUM(AV593:AX593)+SUM(BC593:BD593)+SUM(BE593:BF593)+BG593</f>
        <v>62.671724137931044</v>
      </c>
      <c r="BN593" s="55"/>
      <c r="BO593" s="55"/>
      <c r="BP593" s="55"/>
      <c r="BQ593" s="55"/>
      <c r="BR593" s="55"/>
      <c r="BS593" s="55"/>
      <c r="BT593" s="55"/>
      <c r="BU593" s="55"/>
      <c r="BV593" s="55"/>
      <c r="BW593" s="55"/>
      <c r="BX593" s="55"/>
      <c r="BY593" s="55"/>
    </row>
    <row r="594" spans="2:77" ht="25.5">
      <c r="B594" s="89">
        <v>581</v>
      </c>
      <c r="C594" s="101">
        <v>303</v>
      </c>
      <c r="D594" s="101">
        <v>537</v>
      </c>
      <c r="E594" s="102">
        <v>0.71527777777777779</v>
      </c>
      <c r="F594" s="102">
        <v>0.7680555555555556</v>
      </c>
      <c r="G594" s="103" t="s">
        <v>4</v>
      </c>
      <c r="H594" s="93" t="s">
        <v>549</v>
      </c>
      <c r="I594" s="101">
        <v>39</v>
      </c>
      <c r="J594" s="104">
        <v>30</v>
      </c>
      <c r="K594" s="98">
        <v>13</v>
      </c>
      <c r="L594" s="99" t="s">
        <v>756</v>
      </c>
      <c r="M594" s="83" t="s">
        <v>952</v>
      </c>
      <c r="N594" s="83">
        <v>33</v>
      </c>
      <c r="O594" s="2" t="s">
        <v>1254</v>
      </c>
      <c r="P594" s="85">
        <v>55</v>
      </c>
      <c r="S594" s="26">
        <v>3870</v>
      </c>
      <c r="T594" s="26" t="s">
        <v>1594</v>
      </c>
      <c r="U594" s="26">
        <v>1</v>
      </c>
      <c r="V594" s="26" t="s">
        <v>1593</v>
      </c>
      <c r="W594" s="63">
        <v>44562</v>
      </c>
      <c r="X594" s="63">
        <v>44815</v>
      </c>
      <c r="Y594" s="63">
        <v>45101</v>
      </c>
      <c r="Z594" s="63">
        <v>45169</v>
      </c>
      <c r="AA594" s="17" t="s">
        <v>1104</v>
      </c>
      <c r="AB594" s="23"/>
      <c r="AC594" s="23" t="s">
        <v>731</v>
      </c>
      <c r="AD594" s="23"/>
      <c r="AE594" s="23"/>
      <c r="AF594" s="23"/>
      <c r="AG594" s="23"/>
      <c r="AH594" s="23"/>
      <c r="AI594" s="23"/>
      <c r="AJ594" s="23"/>
      <c r="AK594" s="23"/>
      <c r="AL594" s="23" t="s">
        <v>731</v>
      </c>
      <c r="AM594" s="23"/>
      <c r="AN594" s="23"/>
      <c r="AO594" s="23"/>
      <c r="AP594" s="23"/>
      <c r="AQ594" s="23"/>
      <c r="AR594" s="23"/>
      <c r="AS594" s="23"/>
      <c r="AT594" s="23"/>
      <c r="AU594" s="23"/>
      <c r="AV594" s="18"/>
      <c r="AW594" s="18"/>
      <c r="AX594" s="47"/>
      <c r="AY594" s="19" t="s">
        <v>756</v>
      </c>
      <c r="AZ594" s="19"/>
      <c r="BB594" s="45">
        <v>1</v>
      </c>
      <c r="BD594" s="41"/>
      <c r="BG594" s="18"/>
      <c r="BH594" s="18">
        <v>2</v>
      </c>
      <c r="BI594" s="18">
        <v>0</v>
      </c>
      <c r="BJ594" s="18">
        <v>0</v>
      </c>
      <c r="BK594" s="18">
        <v>0</v>
      </c>
      <c r="BL594" s="18">
        <v>0</v>
      </c>
      <c r="BM594" s="55">
        <f>SUM(AV594:AX594)+SUM(BC594:BD594)+SUM(BE594:BF594)+BG594</f>
        <v>0</v>
      </c>
      <c r="BN594" s="55"/>
      <c r="BO594" s="55"/>
      <c r="BP594" s="55"/>
      <c r="BQ594" s="55"/>
      <c r="BR594" s="55"/>
      <c r="BS594" s="55"/>
      <c r="BT594" s="55"/>
      <c r="BU594" s="55"/>
      <c r="BV594" s="55"/>
      <c r="BW594" s="55"/>
      <c r="BX594" s="55"/>
      <c r="BY594" s="55"/>
    </row>
    <row r="595" spans="2:77" ht="25.5">
      <c r="B595" s="89">
        <v>582</v>
      </c>
      <c r="C595" s="93">
        <v>303</v>
      </c>
      <c r="D595" s="93">
        <v>553</v>
      </c>
      <c r="E595" s="94">
        <v>0.71875</v>
      </c>
      <c r="F595" s="94">
        <v>0.7368055555555556</v>
      </c>
      <c r="G595" s="93" t="s">
        <v>514</v>
      </c>
      <c r="H595" s="93" t="s">
        <v>500</v>
      </c>
      <c r="I595" s="96">
        <v>19</v>
      </c>
      <c r="J595" s="97" t="s">
        <v>167</v>
      </c>
      <c r="K595" s="98">
        <v>67</v>
      </c>
      <c r="L595" s="99" t="s">
        <v>756</v>
      </c>
      <c r="M595" s="83" t="s">
        <v>980</v>
      </c>
      <c r="N595" s="83">
        <v>9</v>
      </c>
      <c r="O595" s="83" t="s">
        <v>1896</v>
      </c>
      <c r="P595" s="83">
        <v>9</v>
      </c>
      <c r="Q595" s="83"/>
      <c r="R595" s="83"/>
      <c r="S595" s="26">
        <v>3895</v>
      </c>
      <c r="T595" s="26" t="s">
        <v>1577</v>
      </c>
      <c r="U595" s="26" t="s">
        <v>1590</v>
      </c>
      <c r="V595" s="26" t="s">
        <v>1591</v>
      </c>
      <c r="W595" s="63">
        <v>44562</v>
      </c>
      <c r="X595" s="63">
        <v>44815</v>
      </c>
      <c r="Y595" s="63">
        <v>45101</v>
      </c>
      <c r="Z595" s="63">
        <v>45169</v>
      </c>
      <c r="AA595" s="23" t="s">
        <v>1107</v>
      </c>
      <c r="AB595" s="25"/>
      <c r="AC595" s="23" t="s">
        <v>731</v>
      </c>
      <c r="AD595" s="23" t="s">
        <v>731</v>
      </c>
      <c r="AE595" s="23"/>
      <c r="AF595" s="23" t="s">
        <v>731</v>
      </c>
      <c r="AG595" s="23" t="s">
        <v>731</v>
      </c>
      <c r="AH595" s="23" t="s">
        <v>731</v>
      </c>
      <c r="AI595" s="23" t="s">
        <v>731</v>
      </c>
      <c r="AJ595" s="23" t="s">
        <v>731</v>
      </c>
      <c r="AK595" s="23" t="s">
        <v>731</v>
      </c>
      <c r="AL595" s="25"/>
      <c r="AM595" s="25"/>
      <c r="AN595" s="25"/>
      <c r="AO595" s="23"/>
      <c r="AP595" s="23"/>
      <c r="AQ595" s="23"/>
      <c r="AR595" s="23"/>
      <c r="AS595" s="23"/>
      <c r="AT595" s="23"/>
      <c r="AU595" s="23"/>
      <c r="AV595" s="42">
        <v>57</v>
      </c>
      <c r="AW595" s="47"/>
      <c r="AX595" s="47"/>
      <c r="AY595" s="42"/>
      <c r="AZ595" s="42"/>
      <c r="BA595" s="47"/>
      <c r="BB595" s="45">
        <v>1</v>
      </c>
      <c r="BC595" s="41">
        <f>IF(AND((AV595/I595)&lt;2,BB595=1),(I595*2)-AV595,0)</f>
        <v>0</v>
      </c>
      <c r="BD595" s="41">
        <f>IF(AND((AV595/I595)&lt;3,BB595=2),(I595*3)-AV595,0)</f>
        <v>0</v>
      </c>
      <c r="BG595" s="18"/>
      <c r="BH595" s="18">
        <v>9</v>
      </c>
      <c r="BI595" s="18">
        <v>0</v>
      </c>
      <c r="BJ595" s="18">
        <v>0</v>
      </c>
      <c r="BK595" s="18">
        <v>0</v>
      </c>
      <c r="BL595" s="18">
        <v>0</v>
      </c>
      <c r="BM595" s="55">
        <f>SUM(AV595:AX595)+SUM(BC595:BD595)+SUM(BE595:BF595)+BG595</f>
        <v>57</v>
      </c>
      <c r="BN595" s="55"/>
      <c r="BO595" s="55"/>
      <c r="BP595" s="55"/>
      <c r="BQ595" s="55"/>
      <c r="BR595" s="55"/>
      <c r="BS595" s="55"/>
      <c r="BT595" s="55"/>
      <c r="BU595" s="55"/>
      <c r="BV595" s="55"/>
      <c r="BW595" s="55"/>
      <c r="BX595" s="55"/>
      <c r="BY595" s="55"/>
    </row>
    <row r="596" spans="2:77" ht="25.5">
      <c r="B596" s="89">
        <v>583</v>
      </c>
      <c r="C596" s="93">
        <v>303</v>
      </c>
      <c r="D596" s="93">
        <v>252</v>
      </c>
      <c r="E596" s="94">
        <v>0.72916666666666663</v>
      </c>
      <c r="F596" s="94">
        <v>0.76388888888888884</v>
      </c>
      <c r="G596" s="93" t="s">
        <v>444</v>
      </c>
      <c r="H596" s="93" t="s">
        <v>443</v>
      </c>
      <c r="I596" s="96">
        <v>23</v>
      </c>
      <c r="J596" s="97" t="s">
        <v>188</v>
      </c>
      <c r="K596" s="98">
        <v>47</v>
      </c>
      <c r="L596" s="99" t="s">
        <v>744</v>
      </c>
      <c r="M596" s="87" t="s">
        <v>847</v>
      </c>
      <c r="N596" s="87">
        <v>31</v>
      </c>
      <c r="O596" s="87" t="s">
        <v>1240</v>
      </c>
      <c r="P596" s="87">
        <v>57</v>
      </c>
      <c r="Q596" s="114"/>
      <c r="R596" s="87"/>
      <c r="S596" s="26">
        <v>1</v>
      </c>
      <c r="T596" s="26" t="s">
        <v>1309</v>
      </c>
      <c r="U596" s="26">
        <v>3790</v>
      </c>
      <c r="V596" s="26" t="s">
        <v>1581</v>
      </c>
      <c r="W596" s="63">
        <v>44816</v>
      </c>
      <c r="X596" s="63">
        <v>45100</v>
      </c>
      <c r="Y596" s="63"/>
      <c r="Z596" s="63"/>
      <c r="AA596" s="27" t="s">
        <v>1103</v>
      </c>
      <c r="AB596" s="23" t="s">
        <v>731</v>
      </c>
      <c r="AC596" s="23"/>
      <c r="AD596" s="23"/>
      <c r="AE596" s="23"/>
      <c r="AF596" s="23"/>
      <c r="AG596" s="23"/>
      <c r="AH596" s="23"/>
      <c r="AI596" s="23"/>
      <c r="AJ596" s="23"/>
      <c r="AK596" s="23"/>
      <c r="AL596" s="23" t="s">
        <v>731</v>
      </c>
      <c r="AM596" s="25"/>
      <c r="AN596" s="25"/>
      <c r="AO596" s="25"/>
      <c r="AP596" s="23"/>
      <c r="AQ596" s="23"/>
      <c r="AR596" s="23"/>
      <c r="AS596" s="23"/>
      <c r="AT596" s="23"/>
      <c r="AU596" s="23"/>
      <c r="AV596" s="42">
        <v>69</v>
      </c>
      <c r="AW596" s="47"/>
      <c r="AX596" s="47"/>
      <c r="AY596" s="42"/>
      <c r="AZ596" s="42"/>
      <c r="BA596" s="47"/>
      <c r="BB596" s="45">
        <v>1</v>
      </c>
      <c r="BC596" s="41">
        <f>IF(AND((AV596/I596)&lt;2,BB596=1),(I596*2)-AV596,0)</f>
        <v>0</v>
      </c>
      <c r="BD596" s="41">
        <f>IF(AND((AV596/I596)&lt;3,BB596=2),(I596*3)-AV596,0)</f>
        <v>0</v>
      </c>
      <c r="BG596" s="18"/>
      <c r="BH596" s="18">
        <v>2</v>
      </c>
      <c r="BI596" s="18">
        <v>5</v>
      </c>
      <c r="BJ596" s="18">
        <v>5</v>
      </c>
      <c r="BK596" s="18">
        <v>6</v>
      </c>
      <c r="BL596" s="18">
        <v>6</v>
      </c>
      <c r="BM596" s="55">
        <f>SUM(AV596:AX596)+SUM(BC596:BD596)+SUM(BE596:BF596)+BG596</f>
        <v>69</v>
      </c>
      <c r="BN596" s="55"/>
      <c r="BO596" s="55"/>
      <c r="BP596" s="55"/>
      <c r="BQ596" s="55"/>
      <c r="BR596" s="55"/>
      <c r="BS596" s="55"/>
      <c r="BT596" s="55"/>
      <c r="BU596" s="55"/>
      <c r="BV596" s="55"/>
      <c r="BW596" s="55"/>
      <c r="BX596" s="55"/>
      <c r="BY596" s="55"/>
    </row>
    <row r="597" spans="2:77" ht="33.75">
      <c r="B597" s="89">
        <v>584</v>
      </c>
      <c r="C597" s="93">
        <v>303</v>
      </c>
      <c r="D597" s="93">
        <v>546</v>
      </c>
      <c r="E597" s="94">
        <v>0.74444444444444446</v>
      </c>
      <c r="F597" s="94">
        <v>0.76180555555555562</v>
      </c>
      <c r="G597" s="93" t="s">
        <v>469</v>
      </c>
      <c r="H597" s="93" t="s">
        <v>103</v>
      </c>
      <c r="I597" s="96">
        <v>19</v>
      </c>
      <c r="J597" s="97">
        <v>14</v>
      </c>
      <c r="K597" s="98">
        <v>174</v>
      </c>
      <c r="L597" s="99" t="s">
        <v>755</v>
      </c>
      <c r="M597" s="87" t="s">
        <v>830</v>
      </c>
      <c r="N597" s="87">
        <v>15</v>
      </c>
      <c r="O597" s="83" t="s">
        <v>1890</v>
      </c>
      <c r="P597" s="83">
        <v>9</v>
      </c>
      <c r="Q597" s="87" t="s">
        <v>1253</v>
      </c>
      <c r="R597" s="84">
        <v>9</v>
      </c>
      <c r="S597" s="26" t="s">
        <v>1590</v>
      </c>
      <c r="T597" s="26" t="s">
        <v>1591</v>
      </c>
      <c r="U597" s="26">
        <v>3895</v>
      </c>
      <c r="V597" s="26" t="s">
        <v>1577</v>
      </c>
      <c r="W597" s="62">
        <v>44816</v>
      </c>
      <c r="X597" s="62">
        <v>45086</v>
      </c>
      <c r="Y597" s="62"/>
      <c r="Z597" s="62"/>
      <c r="AA597" s="22" t="s">
        <v>1102</v>
      </c>
      <c r="AB597" s="25"/>
      <c r="AC597" s="25"/>
      <c r="AD597" s="25"/>
      <c r="AE597" s="23" t="s">
        <v>731</v>
      </c>
      <c r="AF597" s="23" t="s">
        <v>731</v>
      </c>
      <c r="AG597" s="23" t="s">
        <v>731</v>
      </c>
      <c r="AH597" s="23" t="s">
        <v>731</v>
      </c>
      <c r="AI597" s="23" t="s">
        <v>731</v>
      </c>
      <c r="AJ597" s="23" t="s">
        <v>731</v>
      </c>
      <c r="AK597" s="25"/>
      <c r="AL597" s="25"/>
      <c r="AM597" s="25"/>
      <c r="AN597" s="25"/>
      <c r="AO597" s="25"/>
      <c r="AP597" s="23"/>
      <c r="AQ597" s="23"/>
      <c r="AR597" s="23"/>
      <c r="AS597" s="23"/>
      <c r="AT597" s="23"/>
      <c r="AU597" s="25"/>
      <c r="AV597" s="42">
        <v>57</v>
      </c>
      <c r="AW597" s="47"/>
      <c r="AX597" s="47"/>
      <c r="AY597" s="42"/>
      <c r="AZ597" s="42"/>
      <c r="BA597" s="47"/>
      <c r="BB597" s="45">
        <v>1</v>
      </c>
      <c r="BC597" s="41">
        <f>IF(AND((AV597/I597)&lt;2,BB597=1),(I597*2)-AV597,0)</f>
        <v>0</v>
      </c>
      <c r="BD597" s="41">
        <f>IF(AND((AV597/I597)&lt;3,BB597=2),(I597*3)-AV597,0)</f>
        <v>0</v>
      </c>
      <c r="BG597" s="18"/>
      <c r="BH597" s="18">
        <v>15</v>
      </c>
      <c r="BI597" s="18">
        <v>20</v>
      </c>
      <c r="BJ597" s="18">
        <v>21</v>
      </c>
      <c r="BK597" s="18">
        <v>15</v>
      </c>
      <c r="BL597" s="18">
        <v>17</v>
      </c>
      <c r="BM597" s="55">
        <f>SUM(AV597:AX597)+SUM(BC597:BD597)+SUM(BE597:BF597)+BG597</f>
        <v>57</v>
      </c>
      <c r="BN597" s="55"/>
      <c r="BO597" s="55"/>
      <c r="BP597" s="55"/>
      <c r="BQ597" s="55"/>
      <c r="BR597" s="55"/>
      <c r="BS597" s="55"/>
      <c r="BT597" s="55"/>
      <c r="BU597" s="55"/>
      <c r="BV597" s="55"/>
      <c r="BW597" s="55"/>
      <c r="BX597" s="55"/>
      <c r="BY597" s="55"/>
    </row>
    <row r="598" spans="2:77" ht="25.5">
      <c r="B598" s="89">
        <v>585</v>
      </c>
      <c r="C598" s="93">
        <v>303</v>
      </c>
      <c r="D598" s="93">
        <v>554</v>
      </c>
      <c r="E598" s="94">
        <v>0.74444444444444446</v>
      </c>
      <c r="F598" s="94">
        <v>0.76250000000000007</v>
      </c>
      <c r="G598" s="93" t="s">
        <v>515</v>
      </c>
      <c r="H598" s="93" t="s">
        <v>500</v>
      </c>
      <c r="I598" s="96">
        <v>19</v>
      </c>
      <c r="J598" s="97" t="s">
        <v>167</v>
      </c>
      <c r="K598" s="98">
        <v>67</v>
      </c>
      <c r="L598" s="99" t="s">
        <v>756</v>
      </c>
      <c r="M598" s="83" t="s">
        <v>980</v>
      </c>
      <c r="N598" s="83">
        <v>9</v>
      </c>
      <c r="O598" s="83" t="s">
        <v>1896</v>
      </c>
      <c r="P598" s="83">
        <v>9</v>
      </c>
      <c r="Q598" s="83"/>
      <c r="R598" s="83"/>
      <c r="S598" s="26" t="s">
        <v>1590</v>
      </c>
      <c r="T598" s="26" t="s">
        <v>1591</v>
      </c>
      <c r="U598" s="26">
        <v>3895</v>
      </c>
      <c r="V598" s="26" t="s">
        <v>1577</v>
      </c>
      <c r="W598" s="63">
        <v>44562</v>
      </c>
      <c r="X598" s="63">
        <v>44815</v>
      </c>
      <c r="Y598" s="63">
        <v>45101</v>
      </c>
      <c r="Z598" s="63">
        <v>45169</v>
      </c>
      <c r="AA598" s="23" t="s">
        <v>1107</v>
      </c>
      <c r="AB598" s="25"/>
      <c r="AC598" s="23" t="s">
        <v>731</v>
      </c>
      <c r="AD598" s="23" t="s">
        <v>731</v>
      </c>
      <c r="AE598" s="23"/>
      <c r="AF598" s="23" t="s">
        <v>731</v>
      </c>
      <c r="AG598" s="23" t="s">
        <v>731</v>
      </c>
      <c r="AH598" s="23" t="s">
        <v>731</v>
      </c>
      <c r="AI598" s="23" t="s">
        <v>731</v>
      </c>
      <c r="AJ598" s="23" t="s">
        <v>731</v>
      </c>
      <c r="AK598" s="23" t="s">
        <v>731</v>
      </c>
      <c r="AL598" s="25"/>
      <c r="AM598" s="25"/>
      <c r="AN598" s="25"/>
      <c r="AO598" s="23"/>
      <c r="AP598" s="23"/>
      <c r="AQ598" s="23"/>
      <c r="AR598" s="23"/>
      <c r="AS598" s="23"/>
      <c r="AT598" s="23"/>
      <c r="AU598" s="23"/>
      <c r="AV598" s="42">
        <v>57</v>
      </c>
      <c r="AW598" s="47"/>
      <c r="AX598" s="47"/>
      <c r="AY598" s="42"/>
      <c r="AZ598" s="42"/>
      <c r="BA598" s="47"/>
      <c r="BB598" s="45">
        <v>1</v>
      </c>
      <c r="BC598" s="41">
        <f>IF(AND((AV598/I598)&lt;2,BB598=1),(I598*2)-AV598,0)</f>
        <v>0</v>
      </c>
      <c r="BD598" s="41">
        <f>IF(AND((AV598/I598)&lt;3,BB598=2),(I598*3)-AV598,0)</f>
        <v>0</v>
      </c>
      <c r="BG598" s="18"/>
      <c r="BH598" s="18">
        <v>9</v>
      </c>
      <c r="BI598" s="18">
        <v>0</v>
      </c>
      <c r="BJ598" s="18">
        <v>0</v>
      </c>
      <c r="BK598" s="18">
        <v>0</v>
      </c>
      <c r="BL598" s="18">
        <v>0</v>
      </c>
      <c r="BM598" s="55">
        <f>SUM(AV598:AX598)+SUM(BC598:BD598)+SUM(BE598:BF598)+BG598</f>
        <v>57</v>
      </c>
      <c r="BN598" s="55"/>
      <c r="BO598" s="55"/>
      <c r="BP598" s="55"/>
      <c r="BQ598" s="55"/>
      <c r="BR598" s="55"/>
      <c r="BS598" s="55"/>
      <c r="BT598" s="55"/>
      <c r="BU598" s="55"/>
      <c r="BV598" s="55"/>
      <c r="BW598" s="55"/>
      <c r="BX598" s="55"/>
      <c r="BY598" s="55"/>
    </row>
    <row r="599" spans="2:77" ht="45">
      <c r="B599" s="89">
        <v>586</v>
      </c>
      <c r="C599" s="101">
        <v>303</v>
      </c>
      <c r="D599" s="101">
        <v>256</v>
      </c>
      <c r="E599" s="102">
        <v>0.80208333333333337</v>
      </c>
      <c r="F599" s="102">
        <v>0.83680555555555547</v>
      </c>
      <c r="G599" s="103" t="s">
        <v>3</v>
      </c>
      <c r="H599" s="93" t="s">
        <v>203</v>
      </c>
      <c r="I599" s="101">
        <v>23</v>
      </c>
      <c r="J599" s="104">
        <v>30</v>
      </c>
      <c r="K599" s="98">
        <v>202</v>
      </c>
      <c r="L599" s="99" t="s">
        <v>758</v>
      </c>
      <c r="M599" s="228" t="s">
        <v>1261</v>
      </c>
      <c r="N599" s="228">
        <v>57</v>
      </c>
      <c r="O599" s="2" t="s">
        <v>1897</v>
      </c>
      <c r="P599" s="2">
        <v>58</v>
      </c>
      <c r="Q599" s="228" t="s">
        <v>2093</v>
      </c>
      <c r="R599" s="229" t="s">
        <v>2094</v>
      </c>
      <c r="S599" s="26">
        <v>1</v>
      </c>
      <c r="T599" s="26" t="s">
        <v>1309</v>
      </c>
      <c r="U599" s="26">
        <v>3790</v>
      </c>
      <c r="V599" s="26" t="s">
        <v>1581</v>
      </c>
      <c r="W599" s="63">
        <v>44816</v>
      </c>
      <c r="X599" s="63">
        <v>45100</v>
      </c>
      <c r="Y599" s="63"/>
      <c r="Z599" s="63"/>
      <c r="AA599" s="22" t="s">
        <v>1108</v>
      </c>
      <c r="AB599" s="23" t="s">
        <v>731</v>
      </c>
      <c r="AC599" s="23"/>
      <c r="AD599" s="23" t="s">
        <v>731</v>
      </c>
      <c r="AE599" s="23"/>
      <c r="AF599" s="23" t="s">
        <v>731</v>
      </c>
      <c r="AG599" s="23" t="s">
        <v>731</v>
      </c>
      <c r="AH599" s="23" t="s">
        <v>731</v>
      </c>
      <c r="AI599" s="23" t="s">
        <v>731</v>
      </c>
      <c r="AJ599" s="23" t="s">
        <v>731</v>
      </c>
      <c r="AK599" s="25"/>
      <c r="AL599" s="25"/>
      <c r="AM599" s="25"/>
      <c r="AN599" s="25"/>
      <c r="AO599" s="23"/>
      <c r="AP599" s="23"/>
      <c r="AQ599" s="23"/>
      <c r="AR599" s="23"/>
      <c r="AS599" s="23"/>
      <c r="AT599" s="23"/>
      <c r="AU599" s="23"/>
      <c r="AW599" s="41">
        <f>3.2*23</f>
        <v>73.600000000000009</v>
      </c>
      <c r="AX599" s="47"/>
      <c r="AY599" s="47"/>
      <c r="AZ599" s="47"/>
      <c r="BA599" s="47"/>
      <c r="BB599" s="45">
        <v>1</v>
      </c>
      <c r="BD599" s="41"/>
      <c r="BE599" s="41">
        <f>IF(AND((AW599/I599)&lt;2,BB599=1),(I599*2)-AW599,0)</f>
        <v>0</v>
      </c>
      <c r="BF599" s="41">
        <f>IF(AND((AW599/I599)&lt;3,BB599=2),(I599*3)-AW599,0)</f>
        <v>0</v>
      </c>
      <c r="BG599" s="18"/>
      <c r="BH599" s="18">
        <v>15</v>
      </c>
      <c r="BI599" s="18">
        <v>21</v>
      </c>
      <c r="BJ599" s="18">
        <v>21</v>
      </c>
      <c r="BK599" s="18">
        <v>20</v>
      </c>
      <c r="BL599" s="18">
        <v>21</v>
      </c>
      <c r="BM599" s="55">
        <f>SUM(AV599:AX599)+SUM(BC599:BD599)+SUM(BE599:BF599)+BG599</f>
        <v>73.600000000000009</v>
      </c>
      <c r="BN599" s="55"/>
      <c r="BO599" s="55"/>
      <c r="BP599" s="55"/>
      <c r="BQ599" s="55"/>
      <c r="BR599" s="55"/>
      <c r="BS599" s="55"/>
      <c r="BT599" s="55"/>
      <c r="BU599" s="55"/>
      <c r="BV599" s="55"/>
      <c r="BW599" s="55"/>
      <c r="BX599" s="55"/>
      <c r="BY599" s="55"/>
    </row>
    <row r="600" spans="2:77" ht="25.5">
      <c r="B600" s="89">
        <v>587</v>
      </c>
      <c r="C600" s="93">
        <v>305</v>
      </c>
      <c r="D600" s="93">
        <v>306</v>
      </c>
      <c r="E600" s="125">
        <v>0.26041666666666669</v>
      </c>
      <c r="F600" s="125">
        <v>0.26805555555555555</v>
      </c>
      <c r="G600" s="138" t="s">
        <v>1078</v>
      </c>
      <c r="H600" s="93" t="s">
        <v>97</v>
      </c>
      <c r="I600" s="96">
        <v>9</v>
      </c>
      <c r="J600" s="97" t="s">
        <v>309</v>
      </c>
      <c r="K600" s="98">
        <v>208</v>
      </c>
      <c r="L600" s="109" t="s">
        <v>759</v>
      </c>
      <c r="M600" s="87" t="s">
        <v>828</v>
      </c>
      <c r="N600" s="87">
        <v>7</v>
      </c>
      <c r="O600" s="87" t="s">
        <v>1898</v>
      </c>
      <c r="P600" s="87">
        <v>5</v>
      </c>
      <c r="Q600" s="87"/>
      <c r="R600" s="87"/>
      <c r="S600" s="26">
        <v>3409</v>
      </c>
      <c r="T600" s="26" t="s">
        <v>1597</v>
      </c>
      <c r="U600" s="26">
        <v>3407</v>
      </c>
      <c r="V600" s="26" t="s">
        <v>1598</v>
      </c>
      <c r="W600" s="62">
        <v>44816</v>
      </c>
      <c r="X600" s="62">
        <v>45086</v>
      </c>
      <c r="Y600" s="62"/>
      <c r="Z600" s="62"/>
      <c r="AA600" s="22" t="s">
        <v>1106</v>
      </c>
      <c r="AB600" s="25"/>
      <c r="AC600" s="25"/>
      <c r="AD600" s="25"/>
      <c r="AE600" s="23" t="s">
        <v>731</v>
      </c>
      <c r="AF600" s="23" t="s">
        <v>731</v>
      </c>
      <c r="AG600" s="23" t="s">
        <v>731</v>
      </c>
      <c r="AH600" s="23" t="s">
        <v>731</v>
      </c>
      <c r="AI600" s="23" t="s">
        <v>731</v>
      </c>
      <c r="AJ600" s="23" t="s">
        <v>731</v>
      </c>
      <c r="AK600" s="23" t="s">
        <v>731</v>
      </c>
      <c r="AL600" s="25"/>
      <c r="AM600" s="25"/>
      <c r="AN600" s="25"/>
      <c r="AO600" s="25"/>
      <c r="AP600" s="23"/>
      <c r="AQ600" s="23"/>
      <c r="AR600" s="23"/>
      <c r="AS600" s="23"/>
      <c r="AT600" s="23"/>
      <c r="AU600" s="23"/>
      <c r="AV600" s="42">
        <v>26.33</v>
      </c>
      <c r="AW600" s="47"/>
      <c r="AX600" s="47"/>
      <c r="AY600" s="42"/>
      <c r="AZ600" s="42"/>
      <c r="BA600" s="47"/>
      <c r="BB600" s="45">
        <v>1</v>
      </c>
      <c r="BC600" s="41">
        <f>IF(AND((AV600/I600)&lt;2,BB600=1),(I600*2)-AV600,0)</f>
        <v>0</v>
      </c>
      <c r="BD600" s="41">
        <f>IF(AND((AV600/I600)&lt;3,BB600=2),(I600*3)-AV600,0)</f>
        <v>0</v>
      </c>
      <c r="BG600" s="41">
        <f>IF((AV600+AW600+AX600)&lt;20,(20-(AV600+AW600+AX600)),0)</f>
        <v>0</v>
      </c>
      <c r="BH600" s="18">
        <v>17</v>
      </c>
      <c r="BI600" s="18">
        <v>25</v>
      </c>
      <c r="BJ600" s="18">
        <v>25</v>
      </c>
      <c r="BK600" s="18">
        <v>18</v>
      </c>
      <c r="BL600" s="18">
        <v>20</v>
      </c>
      <c r="BM600" s="55">
        <f>SUM(AV600:AX600)+SUM(BC600:BD600)+SUM(BE600:BF600)+BG600</f>
        <v>26.33</v>
      </c>
      <c r="BN600" s="55"/>
      <c r="BO600" s="55"/>
      <c r="BP600" s="55"/>
      <c r="BQ600" s="55"/>
      <c r="BR600" s="55"/>
      <c r="BS600" s="55"/>
      <c r="BT600" s="55"/>
      <c r="BU600" s="55"/>
      <c r="BV600" s="55"/>
      <c r="BW600" s="55"/>
      <c r="BX600" s="55"/>
      <c r="BY600" s="55"/>
    </row>
    <row r="601" spans="2:77" ht="33.75">
      <c r="B601" s="89">
        <v>588</v>
      </c>
      <c r="C601" s="93">
        <v>305</v>
      </c>
      <c r="D601" s="93">
        <v>508</v>
      </c>
      <c r="E601" s="94">
        <v>0.57986111111111105</v>
      </c>
      <c r="F601" s="94">
        <v>0.59513888888888888</v>
      </c>
      <c r="G601" s="93" t="s">
        <v>384</v>
      </c>
      <c r="H601" s="93" t="s">
        <v>253</v>
      </c>
      <c r="I601" s="96">
        <v>11</v>
      </c>
      <c r="J601" s="97" t="s">
        <v>93</v>
      </c>
      <c r="K601" s="98">
        <v>34</v>
      </c>
      <c r="L601" s="109" t="s">
        <v>760</v>
      </c>
      <c r="M601" s="87" t="s">
        <v>836</v>
      </c>
      <c r="N601" s="87">
        <v>21</v>
      </c>
      <c r="O601" s="87" t="s">
        <v>1899</v>
      </c>
      <c r="P601" s="87">
        <v>29</v>
      </c>
      <c r="Q601" s="87"/>
      <c r="R601" s="87"/>
      <c r="S601" s="26" t="s">
        <v>1599</v>
      </c>
      <c r="T601" s="26" t="s">
        <v>1600</v>
      </c>
      <c r="U601" s="26">
        <v>3407</v>
      </c>
      <c r="V601" s="26" t="s">
        <v>1598</v>
      </c>
      <c r="W601" s="62">
        <v>44816</v>
      </c>
      <c r="X601" s="62">
        <v>45086</v>
      </c>
      <c r="Y601" s="62"/>
      <c r="Z601" s="62"/>
      <c r="AA601" s="23" t="s">
        <v>1111</v>
      </c>
      <c r="AB601" s="25"/>
      <c r="AC601" s="25"/>
      <c r="AD601" s="25"/>
      <c r="AE601" s="23" t="s">
        <v>731</v>
      </c>
      <c r="AF601" s="23"/>
      <c r="AG601" s="23"/>
      <c r="AH601" s="23"/>
      <c r="AI601" s="23"/>
      <c r="AJ601" s="23"/>
      <c r="AK601" s="23" t="s">
        <v>731</v>
      </c>
      <c r="AL601" s="25"/>
      <c r="AM601" s="25"/>
      <c r="AN601" s="25"/>
      <c r="AO601" s="25"/>
      <c r="AP601" s="25"/>
      <c r="AQ601" s="25"/>
      <c r="AR601" s="25"/>
      <c r="AS601" s="25"/>
      <c r="AT601" s="25"/>
      <c r="AU601" s="25"/>
      <c r="AV601" s="44">
        <v>34.58</v>
      </c>
      <c r="AW601" s="47"/>
      <c r="AX601" s="47"/>
      <c r="AY601" s="42"/>
      <c r="AZ601" s="42"/>
      <c r="BA601" s="47"/>
      <c r="BB601" s="45">
        <v>1</v>
      </c>
      <c r="BC601" s="44"/>
      <c r="BD601" s="44"/>
      <c r="BG601" s="18"/>
      <c r="BH601" s="18">
        <v>2</v>
      </c>
      <c r="BI601" s="18">
        <v>5</v>
      </c>
      <c r="BJ601" s="18">
        <v>4</v>
      </c>
      <c r="BK601" s="18">
        <v>3</v>
      </c>
      <c r="BL601" s="18">
        <v>3</v>
      </c>
      <c r="BM601" s="55">
        <f>SUM(AV601:AX601)+SUM(BC601:BD601)+SUM(BE601:BF601)+BG601</f>
        <v>34.58</v>
      </c>
      <c r="BN601" s="55"/>
      <c r="BO601" s="55"/>
      <c r="BP601" s="55"/>
      <c r="BQ601" s="55"/>
      <c r="BR601" s="55"/>
      <c r="BS601" s="55"/>
      <c r="BT601" s="55"/>
      <c r="BU601" s="55"/>
      <c r="BV601" s="55"/>
      <c r="BW601" s="55"/>
      <c r="BX601" s="55"/>
      <c r="BY601" s="55"/>
    </row>
    <row r="602" spans="2:77" ht="33.75">
      <c r="B602" s="89">
        <v>589</v>
      </c>
      <c r="C602" s="93">
        <v>305</v>
      </c>
      <c r="D602" s="93">
        <v>510</v>
      </c>
      <c r="E602" s="94">
        <v>0.58680555555555558</v>
      </c>
      <c r="F602" s="105">
        <v>0.59097222222222223</v>
      </c>
      <c r="G602" s="93" t="s">
        <v>383</v>
      </c>
      <c r="H602" s="93" t="s">
        <v>103</v>
      </c>
      <c r="I602" s="96">
        <v>2.5</v>
      </c>
      <c r="J602" s="97" t="s">
        <v>93</v>
      </c>
      <c r="K602" s="98">
        <v>174</v>
      </c>
      <c r="L602" s="109" t="s">
        <v>760</v>
      </c>
      <c r="M602" s="87" t="s">
        <v>836</v>
      </c>
      <c r="N602" s="87">
        <v>21</v>
      </c>
      <c r="O602" s="87" t="s">
        <v>1899</v>
      </c>
      <c r="P602" s="87">
        <v>29</v>
      </c>
      <c r="Q602" s="87"/>
      <c r="R602" s="87"/>
      <c r="S602" s="26">
        <v>3542</v>
      </c>
      <c r="T602" s="26" t="s">
        <v>1601</v>
      </c>
      <c r="U602" s="26">
        <v>3310</v>
      </c>
      <c r="V602" s="26" t="s">
        <v>1602</v>
      </c>
      <c r="W602" s="62">
        <v>44816</v>
      </c>
      <c r="X602" s="62">
        <v>45086</v>
      </c>
      <c r="Y602" s="62"/>
      <c r="Z602" s="62"/>
      <c r="AA602" s="22" t="s">
        <v>1102</v>
      </c>
      <c r="AB602" s="25"/>
      <c r="AC602" s="25"/>
      <c r="AD602" s="25"/>
      <c r="AE602" s="23" t="s">
        <v>731</v>
      </c>
      <c r="AF602" s="23" t="s">
        <v>731</v>
      </c>
      <c r="AG602" s="23" t="s">
        <v>731</v>
      </c>
      <c r="AH602" s="23" t="s">
        <v>731</v>
      </c>
      <c r="AI602" s="23" t="s">
        <v>731</v>
      </c>
      <c r="AJ602" s="23" t="s">
        <v>731</v>
      </c>
      <c r="AK602" s="25"/>
      <c r="AL602" s="25"/>
      <c r="AM602" s="25"/>
      <c r="AN602" s="25"/>
      <c r="AO602" s="25"/>
      <c r="AP602" s="23"/>
      <c r="AQ602" s="23"/>
      <c r="AR602" s="23"/>
      <c r="AS602" s="23"/>
      <c r="AT602" s="23"/>
      <c r="AU602" s="25"/>
      <c r="AV602" s="44">
        <v>4.5</v>
      </c>
      <c r="AW602" s="47"/>
      <c r="AX602" s="47"/>
      <c r="AY602" s="42"/>
      <c r="AZ602" s="42"/>
      <c r="BA602" s="47"/>
      <c r="BB602" s="45">
        <v>1</v>
      </c>
      <c r="BC602" s="44"/>
      <c r="BD602" s="44"/>
      <c r="BG602" s="18"/>
      <c r="BH602" s="18">
        <v>15</v>
      </c>
      <c r="BI602" s="18">
        <v>20</v>
      </c>
      <c r="BJ602" s="18">
        <v>21</v>
      </c>
      <c r="BK602" s="18">
        <v>15</v>
      </c>
      <c r="BL602" s="18">
        <v>17</v>
      </c>
      <c r="BM602" s="55">
        <f>SUM(AV602:AX602)+SUM(BC602:BD602)+SUM(BE602:BF602)+BG602</f>
        <v>4.5</v>
      </c>
      <c r="BN602" s="55"/>
      <c r="BO602" s="55"/>
      <c r="BP602" s="55"/>
      <c r="BQ602" s="55"/>
      <c r="BR602" s="55"/>
      <c r="BS602" s="55"/>
      <c r="BT602" s="55"/>
      <c r="BU602" s="55"/>
      <c r="BV602" s="55"/>
      <c r="BW602" s="55"/>
      <c r="BX602" s="55"/>
      <c r="BY602" s="55"/>
    </row>
    <row r="603" spans="2:77" ht="33.75">
      <c r="B603" s="89">
        <v>590</v>
      </c>
      <c r="C603" s="93">
        <v>305</v>
      </c>
      <c r="D603" s="93">
        <v>508</v>
      </c>
      <c r="E603" s="94">
        <v>0.59583333333333333</v>
      </c>
      <c r="F603" s="94">
        <v>0.61111111111111105</v>
      </c>
      <c r="G603" s="93" t="s">
        <v>384</v>
      </c>
      <c r="H603" s="93" t="s">
        <v>103</v>
      </c>
      <c r="I603" s="96">
        <v>11</v>
      </c>
      <c r="J603" s="97" t="s">
        <v>93</v>
      </c>
      <c r="K603" s="98">
        <v>174</v>
      </c>
      <c r="L603" s="109" t="s">
        <v>760</v>
      </c>
      <c r="M603" s="83" t="s">
        <v>836</v>
      </c>
      <c r="N603" s="83">
        <v>21</v>
      </c>
      <c r="O603" s="87" t="s">
        <v>1899</v>
      </c>
      <c r="P603" s="87">
        <v>29</v>
      </c>
      <c r="Q603" s="87"/>
      <c r="R603" s="83"/>
      <c r="S603" s="26" t="s">
        <v>1599</v>
      </c>
      <c r="T603" s="26" t="s">
        <v>1600</v>
      </c>
      <c r="U603" s="26">
        <v>3407</v>
      </c>
      <c r="V603" s="26" t="s">
        <v>1598</v>
      </c>
      <c r="W603" s="62">
        <v>44816</v>
      </c>
      <c r="X603" s="62">
        <v>45086</v>
      </c>
      <c r="Y603" s="62"/>
      <c r="Z603" s="62"/>
      <c r="AA603" s="22" t="s">
        <v>1102</v>
      </c>
      <c r="AB603" s="25"/>
      <c r="AC603" s="25"/>
      <c r="AD603" s="25"/>
      <c r="AE603" s="23" t="s">
        <v>731</v>
      </c>
      <c r="AF603" s="23" t="s">
        <v>731</v>
      </c>
      <c r="AG603" s="23" t="s">
        <v>731</v>
      </c>
      <c r="AH603" s="23" t="s">
        <v>731</v>
      </c>
      <c r="AI603" s="23" t="s">
        <v>731</v>
      </c>
      <c r="AJ603" s="23" t="s">
        <v>731</v>
      </c>
      <c r="AK603" s="25"/>
      <c r="AL603" s="25"/>
      <c r="AM603" s="25"/>
      <c r="AN603" s="25"/>
      <c r="AO603" s="25"/>
      <c r="AP603" s="23"/>
      <c r="AQ603" s="23"/>
      <c r="AR603" s="23"/>
      <c r="AS603" s="23"/>
      <c r="AT603" s="23"/>
      <c r="AU603" s="25"/>
      <c r="AV603" s="42">
        <v>34.58</v>
      </c>
      <c r="AW603" s="47"/>
      <c r="AX603" s="47"/>
      <c r="AY603" s="42"/>
      <c r="AZ603" s="42"/>
      <c r="BA603" s="47"/>
      <c r="BB603" s="45">
        <v>1</v>
      </c>
      <c r="BC603" s="41">
        <f>IF(AND((AV603/I603)&lt;2,BB603=1),(I603*2)-AV603,0)</f>
        <v>0</v>
      </c>
      <c r="BD603" s="41">
        <f>IF(AND((AV603/I603)&lt;3,BB603=2),(I603*3)-AV603,0)</f>
        <v>0</v>
      </c>
      <c r="BG603" s="18"/>
      <c r="BH603" s="18">
        <v>15</v>
      </c>
      <c r="BI603" s="18">
        <v>20</v>
      </c>
      <c r="BJ603" s="18">
        <v>21</v>
      </c>
      <c r="BK603" s="18">
        <v>15</v>
      </c>
      <c r="BL603" s="18">
        <v>17</v>
      </c>
      <c r="BM603" s="55">
        <f>SUM(AV603:AX603)+SUM(BC603:BD603)+SUM(BE603:BF603)+BG603</f>
        <v>34.58</v>
      </c>
      <c r="BN603" s="55"/>
      <c r="BO603" s="55"/>
      <c r="BP603" s="55"/>
      <c r="BQ603" s="55"/>
      <c r="BR603" s="55"/>
      <c r="BS603" s="55"/>
      <c r="BT603" s="55"/>
      <c r="BU603" s="55"/>
      <c r="BV603" s="55"/>
      <c r="BW603" s="55"/>
      <c r="BX603" s="55"/>
      <c r="BY603" s="55"/>
    </row>
    <row r="604" spans="2:77" ht="25.5">
      <c r="B604" s="89">
        <v>591</v>
      </c>
      <c r="C604" s="93">
        <v>306</v>
      </c>
      <c r="D604" s="93">
        <v>467</v>
      </c>
      <c r="E604" s="94">
        <v>0.28819444444444448</v>
      </c>
      <c r="F604" s="105">
        <v>0.2986111111111111</v>
      </c>
      <c r="G604" s="93" t="s">
        <v>139</v>
      </c>
      <c r="H604" s="93" t="s">
        <v>97</v>
      </c>
      <c r="I604" s="96">
        <v>5</v>
      </c>
      <c r="J604" s="97" t="s">
        <v>93</v>
      </c>
      <c r="K604" s="98">
        <v>208</v>
      </c>
      <c r="L604" s="109" t="s">
        <v>761</v>
      </c>
      <c r="M604" s="2" t="s">
        <v>1079</v>
      </c>
      <c r="N604" s="2">
        <v>23</v>
      </c>
      <c r="O604" s="87" t="s">
        <v>1931</v>
      </c>
      <c r="P604" s="87">
        <v>33</v>
      </c>
      <c r="S604" s="26">
        <v>3051</v>
      </c>
      <c r="T604" s="26" t="s">
        <v>1603</v>
      </c>
      <c r="U604" s="26">
        <v>3042</v>
      </c>
      <c r="V604" s="26" t="s">
        <v>1604</v>
      </c>
      <c r="W604" s="62">
        <v>44816</v>
      </c>
      <c r="X604" s="62">
        <v>45086</v>
      </c>
      <c r="Y604" s="62"/>
      <c r="Z604" s="62"/>
      <c r="AA604" s="22" t="s">
        <v>1106</v>
      </c>
      <c r="AB604" s="25"/>
      <c r="AC604" s="25"/>
      <c r="AD604" s="25"/>
      <c r="AE604" s="23" t="s">
        <v>731</v>
      </c>
      <c r="AF604" s="23" t="s">
        <v>731</v>
      </c>
      <c r="AG604" s="23" t="s">
        <v>731</v>
      </c>
      <c r="AH604" s="23" t="s">
        <v>731</v>
      </c>
      <c r="AI604" s="23" t="s">
        <v>731</v>
      </c>
      <c r="AJ604" s="23" t="s">
        <v>731</v>
      </c>
      <c r="AK604" s="23" t="s">
        <v>731</v>
      </c>
      <c r="AL604" s="25"/>
      <c r="AM604" s="25"/>
      <c r="AN604" s="25"/>
      <c r="AO604" s="25"/>
      <c r="AP604" s="23"/>
      <c r="AQ604" s="23"/>
      <c r="AR604" s="23"/>
      <c r="AS604" s="23"/>
      <c r="AT604" s="23"/>
      <c r="AU604" s="23"/>
      <c r="AV604" s="42">
        <v>75.430000000000007</v>
      </c>
      <c r="AW604" s="47"/>
      <c r="AX604" s="47"/>
      <c r="AY604" s="42"/>
      <c r="AZ604" s="42"/>
      <c r="BA604" s="47"/>
      <c r="BB604" s="45">
        <v>1</v>
      </c>
      <c r="BC604" s="41">
        <f>IF(AND((AV604/I604)&lt;2,BB604=1),(I604*2)-AV604,0)</f>
        <v>0</v>
      </c>
      <c r="BD604" s="41">
        <f>IF(AND((AV604/I604)&lt;3,BB604=2),(I604*3)-AV604,0)</f>
        <v>0</v>
      </c>
      <c r="BG604" s="41">
        <f>IF((AV604+AW604+AX604)&lt;20,(20-(AV604+AW604+AX604)),0)</f>
        <v>0</v>
      </c>
      <c r="BH604" s="18">
        <v>17</v>
      </c>
      <c r="BI604" s="18">
        <v>25</v>
      </c>
      <c r="BJ604" s="18">
        <v>25</v>
      </c>
      <c r="BK604" s="18">
        <v>18</v>
      </c>
      <c r="BL604" s="18">
        <v>20</v>
      </c>
      <c r="BM604" s="55">
        <f>SUM(AV604:AX604)+SUM(BC604:BD604)+SUM(BE604:BF604)+BG604</f>
        <v>75.430000000000007</v>
      </c>
      <c r="BN604" s="55"/>
      <c r="BO604" s="55"/>
      <c r="BP604" s="55"/>
      <c r="BQ604" s="55"/>
      <c r="BR604" s="55"/>
      <c r="BS604" s="55"/>
      <c r="BT604" s="55"/>
      <c r="BU604" s="55"/>
      <c r="BV604" s="55"/>
      <c r="BW604" s="55"/>
      <c r="BX604" s="55"/>
      <c r="BY604" s="55"/>
    </row>
    <row r="605" spans="2:77" ht="25.5">
      <c r="B605" s="89">
        <v>592</v>
      </c>
      <c r="C605" s="93">
        <v>306</v>
      </c>
      <c r="D605" s="93">
        <v>51</v>
      </c>
      <c r="E605" s="105">
        <v>0.29305555555555557</v>
      </c>
      <c r="F605" s="105">
        <v>0.31875000000000003</v>
      </c>
      <c r="G605" s="93" t="s">
        <v>334</v>
      </c>
      <c r="H605" s="93" t="s">
        <v>103</v>
      </c>
      <c r="I605" s="96">
        <v>24</v>
      </c>
      <c r="J605" s="97" t="s">
        <v>101</v>
      </c>
      <c r="K605" s="98">
        <v>174</v>
      </c>
      <c r="L605" s="109" t="s">
        <v>762</v>
      </c>
      <c r="M605" s="83" t="s">
        <v>918</v>
      </c>
      <c r="N605" s="83">
        <v>55</v>
      </c>
      <c r="O605" s="87" t="s">
        <v>1900</v>
      </c>
      <c r="P605" s="87">
        <v>55</v>
      </c>
      <c r="Q605" s="114"/>
      <c r="R605" s="83"/>
      <c r="S605" s="26" t="s">
        <v>1605</v>
      </c>
      <c r="T605" s="26" t="s">
        <v>1606</v>
      </c>
      <c r="U605" s="26" t="s">
        <v>1570</v>
      </c>
      <c r="V605" s="26" t="s">
        <v>1569</v>
      </c>
      <c r="W605" s="62">
        <v>44816</v>
      </c>
      <c r="X605" s="62">
        <v>45086</v>
      </c>
      <c r="Y605" s="62"/>
      <c r="Z605" s="62"/>
      <c r="AA605" s="22" t="s">
        <v>1102</v>
      </c>
      <c r="AB605" s="25"/>
      <c r="AC605" s="25"/>
      <c r="AD605" s="25"/>
      <c r="AE605" s="23" t="s">
        <v>731</v>
      </c>
      <c r="AF605" s="23" t="s">
        <v>731</v>
      </c>
      <c r="AG605" s="23" t="s">
        <v>731</v>
      </c>
      <c r="AH605" s="23" t="s">
        <v>731</v>
      </c>
      <c r="AI605" s="23" t="s">
        <v>731</v>
      </c>
      <c r="AJ605" s="23" t="s">
        <v>731</v>
      </c>
      <c r="AK605" s="25"/>
      <c r="AL605" s="25"/>
      <c r="AM605" s="25"/>
      <c r="AN605" s="25"/>
      <c r="AO605" s="25"/>
      <c r="AP605" s="23"/>
      <c r="AQ605" s="23"/>
      <c r="AR605" s="23"/>
      <c r="AS605" s="23"/>
      <c r="AT605" s="23"/>
      <c r="AU605" s="25"/>
      <c r="AV605" s="42">
        <v>220</v>
      </c>
      <c r="AW605" s="47"/>
      <c r="AX605" s="47"/>
      <c r="AY605" s="42"/>
      <c r="AZ605" s="42"/>
      <c r="BA605" s="47"/>
      <c r="BB605" s="43">
        <v>2</v>
      </c>
      <c r="BC605" s="41">
        <f>IF(AND((AV605/I605)&lt;2,BB605=1),(I605*2)-AV605,0)</f>
        <v>0</v>
      </c>
      <c r="BD605" s="41">
        <f>IF(AND((AV605/I605)&lt;3,BB605=2),(I605*3)-AV605,0)</f>
        <v>0</v>
      </c>
      <c r="BG605" s="18"/>
      <c r="BH605" s="18">
        <v>15</v>
      </c>
      <c r="BI605" s="18">
        <v>20</v>
      </c>
      <c r="BJ605" s="18">
        <v>21</v>
      </c>
      <c r="BK605" s="18">
        <v>15</v>
      </c>
      <c r="BL605" s="18">
        <v>17</v>
      </c>
      <c r="BM605" s="55">
        <f>SUM(AV605:AX605)+SUM(BC605:BD605)+SUM(BE605:BF605)+BG605</f>
        <v>220</v>
      </c>
      <c r="BN605" s="55"/>
      <c r="BO605" s="55"/>
      <c r="BP605" s="55"/>
      <c r="BQ605" s="55"/>
      <c r="BR605" s="55"/>
      <c r="BS605" s="55"/>
      <c r="BT605" s="55"/>
      <c r="BU605" s="55"/>
      <c r="BV605" s="55"/>
      <c r="BW605" s="55"/>
      <c r="BX605" s="55"/>
      <c r="BY605" s="55"/>
    </row>
    <row r="606" spans="2:77" ht="38.25">
      <c r="B606" s="89">
        <v>593</v>
      </c>
      <c r="C606" s="93">
        <v>306</v>
      </c>
      <c r="D606" s="93">
        <v>469</v>
      </c>
      <c r="E606" s="94">
        <v>0.31944444444444448</v>
      </c>
      <c r="F606" s="105">
        <v>0.34583333333333338</v>
      </c>
      <c r="G606" s="93" t="s">
        <v>137</v>
      </c>
      <c r="H606" s="93" t="s">
        <v>138</v>
      </c>
      <c r="I606" s="96">
        <v>10</v>
      </c>
      <c r="J606" s="97" t="s">
        <v>93</v>
      </c>
      <c r="K606" s="98">
        <v>11</v>
      </c>
      <c r="L606" s="109" t="s">
        <v>761</v>
      </c>
      <c r="M606" s="2" t="s">
        <v>1079</v>
      </c>
      <c r="N606" s="2">
        <v>23</v>
      </c>
      <c r="O606" s="87" t="s">
        <v>922</v>
      </c>
      <c r="P606" s="87">
        <v>20</v>
      </c>
      <c r="Q606" s="87" t="s">
        <v>1931</v>
      </c>
      <c r="R606" s="84">
        <v>33</v>
      </c>
      <c r="S606" s="26">
        <v>3051</v>
      </c>
      <c r="T606" s="26" t="s">
        <v>1603</v>
      </c>
      <c r="U606" s="26" t="s">
        <v>1607</v>
      </c>
      <c r="V606" s="26" t="s">
        <v>1608</v>
      </c>
      <c r="W606" s="63">
        <v>44562</v>
      </c>
      <c r="X606" s="63">
        <v>44815</v>
      </c>
      <c r="Y606" s="63">
        <v>45101</v>
      </c>
      <c r="Z606" s="63">
        <v>45169</v>
      </c>
      <c r="AA606" s="26" t="s">
        <v>1144</v>
      </c>
      <c r="AB606" s="25"/>
      <c r="AC606" s="25" t="s">
        <v>731</v>
      </c>
      <c r="AD606" s="25" t="s">
        <v>731</v>
      </c>
      <c r="AE606" s="25"/>
      <c r="AF606" s="25"/>
      <c r="AG606" s="25" t="s">
        <v>731</v>
      </c>
      <c r="AH606" s="25"/>
      <c r="AI606" s="25"/>
      <c r="AJ606" s="25"/>
      <c r="AK606" s="25"/>
      <c r="AL606" s="25"/>
      <c r="AM606" s="25"/>
      <c r="AN606" s="25"/>
      <c r="AO606" s="25"/>
      <c r="AP606" s="25"/>
      <c r="AQ606" s="25"/>
      <c r="AR606" s="25"/>
      <c r="AS606" s="25"/>
      <c r="AT606" s="25"/>
      <c r="AU606" s="25"/>
      <c r="AV606" s="42">
        <v>70.510000000000005</v>
      </c>
      <c r="AW606" s="47"/>
      <c r="AX606" s="47"/>
      <c r="AY606" s="42"/>
      <c r="AZ606" s="42"/>
      <c r="BA606" s="47"/>
      <c r="BB606" s="45">
        <v>1</v>
      </c>
      <c r="BC606" s="41">
        <f>IF(AND((AV606/I606)&lt;2,BB606=1),(I606*2)-AV606,0)</f>
        <v>0</v>
      </c>
      <c r="BD606" s="41">
        <f>IF(AND((AV606/I606)&lt;3,BB606=2),(I606*3)-AV606,0)</f>
        <v>0</v>
      </c>
      <c r="BG606" s="18"/>
      <c r="BH606" s="18">
        <v>1</v>
      </c>
      <c r="BI606" s="18">
        <v>0</v>
      </c>
      <c r="BJ606" s="18">
        <v>0</v>
      </c>
      <c r="BK606" s="18">
        <v>0</v>
      </c>
      <c r="BL606" s="18">
        <v>0</v>
      </c>
      <c r="BM606" s="55">
        <f>SUM(AV606:AX606)+SUM(BC606:BD606)+SUM(BE606:BF606)+BG606</f>
        <v>70.510000000000005</v>
      </c>
      <c r="BN606" s="55"/>
      <c r="BO606" s="55"/>
      <c r="BP606" s="55"/>
      <c r="BQ606" s="55"/>
      <c r="BR606" s="55"/>
      <c r="BS606" s="55"/>
      <c r="BT606" s="55"/>
      <c r="BU606" s="55"/>
      <c r="BV606" s="55"/>
      <c r="BW606" s="55"/>
      <c r="BX606" s="55"/>
      <c r="BY606" s="55"/>
    </row>
    <row r="607" spans="2:77" ht="25.5">
      <c r="B607" s="89">
        <v>594</v>
      </c>
      <c r="C607" s="93">
        <v>306</v>
      </c>
      <c r="D607" s="93">
        <v>469</v>
      </c>
      <c r="E607" s="94">
        <v>0.3263888888888889</v>
      </c>
      <c r="F607" s="105">
        <v>0.3527777777777778</v>
      </c>
      <c r="G607" s="93" t="s">
        <v>137</v>
      </c>
      <c r="H607" s="93" t="s">
        <v>136</v>
      </c>
      <c r="I607" s="96">
        <f>10+2</f>
        <v>12</v>
      </c>
      <c r="J607" s="97" t="s">
        <v>93</v>
      </c>
      <c r="K607" s="98">
        <v>41</v>
      </c>
      <c r="L607" s="109" t="s">
        <v>761</v>
      </c>
      <c r="M607" s="2" t="s">
        <v>1079</v>
      </c>
      <c r="N607" s="2">
        <v>23</v>
      </c>
      <c r="O607" s="87" t="s">
        <v>922</v>
      </c>
      <c r="P607" s="87">
        <v>20</v>
      </c>
      <c r="Q607" s="87" t="s">
        <v>1931</v>
      </c>
      <c r="R607" s="84">
        <v>33</v>
      </c>
      <c r="S607" s="26">
        <v>3051</v>
      </c>
      <c r="T607" s="26" t="s">
        <v>1603</v>
      </c>
      <c r="U607" s="26" t="s">
        <v>1607</v>
      </c>
      <c r="V607" s="26" t="s">
        <v>1608</v>
      </c>
      <c r="W607" s="63">
        <v>44816</v>
      </c>
      <c r="X607" s="63">
        <v>45100</v>
      </c>
      <c r="Y607" s="63"/>
      <c r="Z607" s="63"/>
      <c r="AA607" s="26" t="s">
        <v>1145</v>
      </c>
      <c r="AB607" s="23" t="s">
        <v>731</v>
      </c>
      <c r="AC607" s="23"/>
      <c r="AD607" s="23" t="s">
        <v>731</v>
      </c>
      <c r="AE607" s="23"/>
      <c r="AF607" s="23"/>
      <c r="AG607" s="23" t="s">
        <v>731</v>
      </c>
      <c r="AH607" s="23"/>
      <c r="AI607" s="23"/>
      <c r="AJ607" s="23"/>
      <c r="AK607" s="23"/>
      <c r="AL607" s="23"/>
      <c r="AM607" s="23"/>
      <c r="AN607" s="23"/>
      <c r="AO607" s="23"/>
      <c r="AP607" s="23"/>
      <c r="AQ607" s="23"/>
      <c r="AR607" s="23"/>
      <c r="AS607" s="23"/>
      <c r="AT607" s="23"/>
      <c r="AU607" s="23"/>
      <c r="AV607" s="42">
        <v>74.11</v>
      </c>
      <c r="AW607" s="18"/>
      <c r="AY607" s="42"/>
      <c r="AZ607" s="42"/>
      <c r="BB607" s="45">
        <v>1</v>
      </c>
      <c r="BC607" s="41">
        <f>IF(AND((AV607/I607)&lt;2,BB607=1),(I607*2)-AV607,0)</f>
        <v>0</v>
      </c>
      <c r="BD607" s="41">
        <f>IF(AND((AV607/I607)&lt;3,BB607=2),(I607*3)-AV607,0)</f>
        <v>0</v>
      </c>
      <c r="BG607" s="18"/>
      <c r="BH607" s="18">
        <v>3</v>
      </c>
      <c r="BI607" s="18">
        <v>4</v>
      </c>
      <c r="BJ607" s="18">
        <v>4</v>
      </c>
      <c r="BK607" s="18">
        <v>4</v>
      </c>
      <c r="BL607" s="18">
        <v>5</v>
      </c>
      <c r="BM607" s="55">
        <f>SUM(AV607:AX607)+SUM(BC607:BD607)+SUM(BE607:BF607)+BG607</f>
        <v>74.11</v>
      </c>
      <c r="BN607" s="55"/>
      <c r="BO607" s="55"/>
      <c r="BP607" s="55"/>
      <c r="BQ607" s="55"/>
      <c r="BR607" s="55"/>
      <c r="BS607" s="55"/>
      <c r="BT607" s="55"/>
      <c r="BU607" s="55"/>
      <c r="BV607" s="55"/>
      <c r="BW607" s="55"/>
      <c r="BX607" s="55"/>
      <c r="BY607" s="55"/>
    </row>
    <row r="608" spans="2:77" ht="25.5">
      <c r="B608" s="89">
        <v>595</v>
      </c>
      <c r="C608" s="93">
        <v>306</v>
      </c>
      <c r="D608" s="93">
        <v>36</v>
      </c>
      <c r="E608" s="94">
        <v>0.33333333333333331</v>
      </c>
      <c r="F608" s="94">
        <v>0.36736111111111108</v>
      </c>
      <c r="G608" s="93" t="s">
        <v>562</v>
      </c>
      <c r="H608" s="93" t="s">
        <v>103</v>
      </c>
      <c r="I608" s="96">
        <v>24</v>
      </c>
      <c r="J608" s="97" t="s">
        <v>101</v>
      </c>
      <c r="K608" s="98">
        <v>174</v>
      </c>
      <c r="L608" s="109" t="s">
        <v>763</v>
      </c>
      <c r="M608" s="83" t="s">
        <v>965</v>
      </c>
      <c r="N608" s="83">
        <v>37</v>
      </c>
      <c r="O608" s="83" t="s">
        <v>1891</v>
      </c>
      <c r="P608" s="116">
        <v>58</v>
      </c>
      <c r="Q608" s="83" t="s">
        <v>1197</v>
      </c>
      <c r="R608" s="86">
        <v>57</v>
      </c>
      <c r="S608" s="26" t="s">
        <v>1568</v>
      </c>
      <c r="T608" s="26" t="s">
        <v>1569</v>
      </c>
      <c r="U608" s="26" t="s">
        <v>1607</v>
      </c>
      <c r="V608" s="26" t="s">
        <v>1608</v>
      </c>
      <c r="W608" s="62">
        <v>44816</v>
      </c>
      <c r="X608" s="62">
        <v>45086</v>
      </c>
      <c r="Y608" s="62"/>
      <c r="Z608" s="62"/>
      <c r="AA608" s="22" t="s">
        <v>1102</v>
      </c>
      <c r="AB608" s="23"/>
      <c r="AC608" s="23"/>
      <c r="AD608" s="23"/>
      <c r="AE608" s="23" t="s">
        <v>731</v>
      </c>
      <c r="AF608" s="23" t="s">
        <v>731</v>
      </c>
      <c r="AG608" s="23" t="s">
        <v>731</v>
      </c>
      <c r="AH608" s="23" t="s">
        <v>731</v>
      </c>
      <c r="AI608" s="23" t="s">
        <v>731</v>
      </c>
      <c r="AJ608" s="23" t="s">
        <v>731</v>
      </c>
      <c r="AK608" s="23"/>
      <c r="AL608" s="23"/>
      <c r="AM608" s="23"/>
      <c r="AN608" s="23"/>
      <c r="AO608" s="23"/>
      <c r="AP608" s="23"/>
      <c r="AQ608" s="23"/>
      <c r="AR608" s="23"/>
      <c r="AS608" s="23"/>
      <c r="AT608" s="23"/>
      <c r="AU608" s="23"/>
      <c r="AV608" s="42">
        <v>150</v>
      </c>
      <c r="AW608" s="18"/>
      <c r="AY608" s="42"/>
      <c r="AZ608" s="42"/>
      <c r="BA608" s="18">
        <v>55</v>
      </c>
      <c r="BB608" s="43">
        <v>2</v>
      </c>
      <c r="BC608" s="41">
        <f>IF(AND((AV608/I608)&lt;2,BB608=1),(I608*2)-AV608,0)</f>
        <v>0</v>
      </c>
      <c r="BD608" s="41">
        <f>IF(AND((AV608/I608)&lt;3,BB608=2),(I608*3)-AV608,0)</f>
        <v>0</v>
      </c>
      <c r="BG608" s="18"/>
      <c r="BH608" s="18">
        <v>15</v>
      </c>
      <c r="BI608" s="18">
        <v>20</v>
      </c>
      <c r="BJ608" s="18">
        <v>21</v>
      </c>
      <c r="BK608" s="18">
        <v>15</v>
      </c>
      <c r="BL608" s="18">
        <v>17</v>
      </c>
      <c r="BM608" s="55">
        <f>SUM(AV608:AX608)+SUM(BC608:BD608)+SUM(BE608:BF608)+BG608</f>
        <v>150</v>
      </c>
      <c r="BN608" s="73" t="s">
        <v>1102</v>
      </c>
      <c r="BO608" s="73" t="s">
        <v>125</v>
      </c>
      <c r="BP608" s="73"/>
      <c r="BQ608" s="73" t="s">
        <v>99</v>
      </c>
      <c r="BR608" s="73"/>
      <c r="BS608" s="73" t="s">
        <v>1993</v>
      </c>
      <c r="BT608" s="73"/>
      <c r="BU608" s="73" t="s">
        <v>125</v>
      </c>
      <c r="BV608" s="73"/>
      <c r="BW608" s="73" t="s">
        <v>331</v>
      </c>
      <c r="BX608" s="73"/>
      <c r="BY608" s="55">
        <v>70</v>
      </c>
    </row>
    <row r="609" spans="1:77" ht="25.5">
      <c r="B609" s="89">
        <v>596</v>
      </c>
      <c r="C609" s="93">
        <v>306</v>
      </c>
      <c r="D609" s="95">
        <v>471</v>
      </c>
      <c r="E609" s="94">
        <v>0.4548611111111111</v>
      </c>
      <c r="F609" s="105">
        <v>0.47986111111111113</v>
      </c>
      <c r="G609" s="103" t="s">
        <v>135</v>
      </c>
      <c r="H609" s="93" t="s">
        <v>134</v>
      </c>
      <c r="I609" s="96">
        <f>16+2</f>
        <v>18</v>
      </c>
      <c r="J609" s="97" t="s">
        <v>93</v>
      </c>
      <c r="K609" s="98">
        <f>41+11</f>
        <v>52</v>
      </c>
      <c r="L609" s="109" t="s">
        <v>761</v>
      </c>
      <c r="M609" s="2" t="s">
        <v>1079</v>
      </c>
      <c r="N609" s="2">
        <v>23</v>
      </c>
      <c r="O609" s="87" t="s">
        <v>922</v>
      </c>
      <c r="P609" s="87">
        <v>20</v>
      </c>
      <c r="Q609" s="87" t="s">
        <v>1931</v>
      </c>
      <c r="R609" s="84">
        <v>33</v>
      </c>
      <c r="S609" s="26" t="s">
        <v>1607</v>
      </c>
      <c r="T609" s="26" t="s">
        <v>1608</v>
      </c>
      <c r="U609" s="26">
        <v>3051</v>
      </c>
      <c r="V609" s="26" t="s">
        <v>1603</v>
      </c>
      <c r="W609" s="62">
        <v>44805</v>
      </c>
      <c r="X609" s="62">
        <v>45169</v>
      </c>
      <c r="Y609" s="62"/>
      <c r="Z609" s="62"/>
      <c r="AA609" s="26" t="s">
        <v>1146</v>
      </c>
      <c r="AB609" s="23" t="s">
        <v>731</v>
      </c>
      <c r="AC609" s="23" t="s">
        <v>731</v>
      </c>
      <c r="AD609" s="23" t="s">
        <v>731</v>
      </c>
      <c r="AE609" s="23"/>
      <c r="AF609" s="23"/>
      <c r="AG609" s="23" t="s">
        <v>731</v>
      </c>
      <c r="AH609" s="23"/>
      <c r="AI609" s="23"/>
      <c r="AJ609" s="23"/>
      <c r="AK609" s="23"/>
      <c r="AL609" s="23"/>
      <c r="AM609" s="23"/>
      <c r="AN609" s="23"/>
      <c r="AO609" s="23"/>
      <c r="AP609" s="23"/>
      <c r="AQ609" s="23"/>
      <c r="AR609" s="23"/>
      <c r="AS609" s="23"/>
      <c r="AT609" s="23"/>
      <c r="AU609" s="23"/>
      <c r="AV609" s="42">
        <v>74.11</v>
      </c>
      <c r="AW609" s="18"/>
      <c r="AY609" s="42"/>
      <c r="AZ609" s="42"/>
      <c r="BB609" s="45">
        <v>1</v>
      </c>
      <c r="BC609" s="41">
        <f>IF(AND((AV609/I609)&lt;2,BB609=1),(I609*2)-AV609,0)</f>
        <v>0</v>
      </c>
      <c r="BD609" s="41">
        <f>IF(AND((AV609/I609)&lt;3,BB609=2),(I609*3)-AV609,0)</f>
        <v>0</v>
      </c>
      <c r="BG609" s="18"/>
      <c r="BH609" s="18">
        <v>4</v>
      </c>
      <c r="BI609" s="18">
        <v>4</v>
      </c>
      <c r="BJ609" s="18">
        <v>4</v>
      </c>
      <c r="BK609" s="18">
        <v>4</v>
      </c>
      <c r="BL609" s="18">
        <v>5</v>
      </c>
      <c r="BM609" s="55">
        <f>SUM(AV609:AX609)+SUM(BC609:BD609)+SUM(BE609:BF609)+BG609</f>
        <v>74.11</v>
      </c>
      <c r="BN609" s="55"/>
      <c r="BO609" s="55"/>
      <c r="BP609" s="55"/>
      <c r="BQ609" s="55"/>
      <c r="BR609" s="55"/>
      <c r="BS609" s="55"/>
      <c r="BT609" s="55"/>
      <c r="BU609" s="55"/>
      <c r="BV609" s="55"/>
      <c r="BW609" s="55"/>
      <c r="BX609" s="55"/>
      <c r="BY609" s="55"/>
    </row>
    <row r="610" spans="1:77" ht="25.5">
      <c r="B610" s="89">
        <v>597</v>
      </c>
      <c r="C610" s="93">
        <v>306</v>
      </c>
      <c r="D610" s="93">
        <v>57</v>
      </c>
      <c r="E610" s="94">
        <v>0.50347222222222221</v>
      </c>
      <c r="F610" s="94">
        <v>0.53749999999999998</v>
      </c>
      <c r="G610" s="93" t="s">
        <v>516</v>
      </c>
      <c r="H610" s="93" t="s">
        <v>424</v>
      </c>
      <c r="I610" s="96">
        <v>24</v>
      </c>
      <c r="J610" s="97" t="s">
        <v>93</v>
      </c>
      <c r="K610" s="98">
        <v>55</v>
      </c>
      <c r="L610" s="109" t="s">
        <v>745</v>
      </c>
      <c r="M610" s="83" t="s">
        <v>899</v>
      </c>
      <c r="N610" s="83">
        <v>20</v>
      </c>
      <c r="O610" s="83" t="s">
        <v>902</v>
      </c>
      <c r="P610" s="83">
        <v>24</v>
      </c>
      <c r="Q610" s="83" t="s">
        <v>898</v>
      </c>
      <c r="R610" s="85">
        <v>23</v>
      </c>
      <c r="S610" s="26" t="s">
        <v>1605</v>
      </c>
      <c r="T610" s="26" t="s">
        <v>1606</v>
      </c>
      <c r="U610" s="26" t="s">
        <v>1570</v>
      </c>
      <c r="V610" s="26" t="s">
        <v>1569</v>
      </c>
      <c r="W610" s="63">
        <v>44562</v>
      </c>
      <c r="X610" s="63">
        <v>44815</v>
      </c>
      <c r="Y610" s="63">
        <v>45101</v>
      </c>
      <c r="Z610" s="63">
        <v>45169</v>
      </c>
      <c r="AA610" s="22" t="s">
        <v>1109</v>
      </c>
      <c r="AB610" s="23"/>
      <c r="AC610" s="23" t="s">
        <v>731</v>
      </c>
      <c r="AD610" s="23" t="s">
        <v>731</v>
      </c>
      <c r="AE610" s="23"/>
      <c r="AF610" s="23" t="s">
        <v>731</v>
      </c>
      <c r="AG610" s="23" t="s">
        <v>731</v>
      </c>
      <c r="AH610" s="23" t="s">
        <v>731</v>
      </c>
      <c r="AI610" s="23" t="s">
        <v>731</v>
      </c>
      <c r="AJ610" s="23" t="s">
        <v>731</v>
      </c>
      <c r="AK610" s="23"/>
      <c r="AL610" s="23"/>
      <c r="AM610" s="23"/>
      <c r="AN610" s="23"/>
      <c r="AO610" s="23"/>
      <c r="AP610" s="23"/>
      <c r="AQ610" s="23"/>
      <c r="AR610" s="23"/>
      <c r="AS610" s="23"/>
      <c r="AT610" s="23"/>
      <c r="AU610" s="23"/>
      <c r="AV610" s="42">
        <v>72</v>
      </c>
      <c r="AW610" s="18"/>
      <c r="AY610" s="42"/>
      <c r="AZ610" s="42"/>
      <c r="BB610" s="45">
        <v>1</v>
      </c>
      <c r="BC610" s="41">
        <f>IF(AND((AV610/I610)&lt;2,BB610=1),(I610*2)-AV610,0)</f>
        <v>0</v>
      </c>
      <c r="BD610" s="41">
        <f>IF(AND((AV610/I610)&lt;3,BB610=2),(I610*3)-AV610,0)</f>
        <v>0</v>
      </c>
      <c r="BG610" s="18"/>
      <c r="BH610" s="18">
        <v>7</v>
      </c>
      <c r="BI610" s="18">
        <v>0</v>
      </c>
      <c r="BJ610" s="18">
        <v>0</v>
      </c>
      <c r="BK610" s="18">
        <v>0</v>
      </c>
      <c r="BL610" s="18">
        <v>0</v>
      </c>
      <c r="BM610" s="55">
        <f>SUM(AV610:AX610)+SUM(BC610:BD610)+SUM(BE610:BF610)+BG610</f>
        <v>72</v>
      </c>
      <c r="BN610" s="55"/>
      <c r="BO610" s="55"/>
      <c r="BP610" s="55"/>
      <c r="BQ610" s="55"/>
      <c r="BR610" s="55"/>
      <c r="BS610" s="55"/>
      <c r="BT610" s="55"/>
      <c r="BU610" s="55"/>
      <c r="BV610" s="55"/>
      <c r="BW610" s="55"/>
      <c r="BX610" s="55"/>
      <c r="BY610" s="55"/>
    </row>
    <row r="611" spans="1:77" ht="51">
      <c r="B611" s="89">
        <v>598</v>
      </c>
      <c r="C611" s="93">
        <v>306</v>
      </c>
      <c r="D611" s="93">
        <v>509</v>
      </c>
      <c r="E611" s="94">
        <v>0.53472222222222221</v>
      </c>
      <c r="F611" s="94">
        <v>0.61249999999999993</v>
      </c>
      <c r="G611" s="93" t="s">
        <v>2002</v>
      </c>
      <c r="H611" s="93" t="s">
        <v>446</v>
      </c>
      <c r="I611" s="96">
        <v>52</v>
      </c>
      <c r="J611" s="97" t="s">
        <v>188</v>
      </c>
      <c r="K611" s="98">
        <v>47</v>
      </c>
      <c r="L611" s="109" t="s">
        <v>756</v>
      </c>
      <c r="M611" s="83" t="s">
        <v>952</v>
      </c>
      <c r="N611" s="83">
        <v>33</v>
      </c>
      <c r="O611" s="2" t="s">
        <v>1254</v>
      </c>
      <c r="P611" s="85">
        <v>55</v>
      </c>
      <c r="S611" s="26">
        <v>3895</v>
      </c>
      <c r="T611" s="26" t="s">
        <v>1577</v>
      </c>
      <c r="U611" s="26" t="s">
        <v>1570</v>
      </c>
      <c r="V611" s="26" t="s">
        <v>1569</v>
      </c>
      <c r="W611" s="63">
        <v>44816</v>
      </c>
      <c r="X611" s="63">
        <v>45100</v>
      </c>
      <c r="Y611" s="63"/>
      <c r="Z611" s="63"/>
      <c r="AA611" s="27" t="s">
        <v>1103</v>
      </c>
      <c r="AB611" s="23" t="s">
        <v>731</v>
      </c>
      <c r="AC611" s="23"/>
      <c r="AD611" s="23"/>
      <c r="AE611" s="23"/>
      <c r="AF611" s="23"/>
      <c r="AG611" s="23"/>
      <c r="AH611" s="23"/>
      <c r="AI611" s="23"/>
      <c r="AJ611" s="23"/>
      <c r="AK611" s="23"/>
      <c r="AL611" s="23" t="s">
        <v>731</v>
      </c>
      <c r="AM611" s="23"/>
      <c r="AN611" s="23"/>
      <c r="AO611" s="23"/>
      <c r="AP611" s="23"/>
      <c r="AQ611" s="23"/>
      <c r="AR611" s="23"/>
      <c r="AS611" s="23"/>
      <c r="AT611" s="23"/>
      <c r="AU611" s="23"/>
      <c r="AV611" s="42">
        <v>156</v>
      </c>
      <c r="AW611" s="18"/>
      <c r="AY611" s="42"/>
      <c r="AZ611" s="42"/>
      <c r="BB611" s="45">
        <v>1</v>
      </c>
      <c r="BC611" s="41">
        <f>IF(AND((AV611/I611)&lt;2,BB611=1),(I611*2)-AV611,0)</f>
        <v>0</v>
      </c>
      <c r="BD611" s="41">
        <f>IF(AND((AV611/I611)&lt;3,BB611=2),(I611*3)-AV611,0)</f>
        <v>0</v>
      </c>
      <c r="BG611" s="18"/>
      <c r="BH611" s="18">
        <v>2</v>
      </c>
      <c r="BI611" s="18">
        <v>5</v>
      </c>
      <c r="BJ611" s="18">
        <v>5</v>
      </c>
      <c r="BK611" s="18">
        <v>6</v>
      </c>
      <c r="BL611" s="18">
        <v>6</v>
      </c>
      <c r="BM611" s="55">
        <f>SUM(AV611:AX611)+SUM(BC611:BD611)+SUM(BE611:BF611)+BG611</f>
        <v>156</v>
      </c>
      <c r="BN611" s="55"/>
      <c r="BO611" s="55"/>
      <c r="BP611" s="55"/>
      <c r="BQ611" s="55"/>
      <c r="BR611" s="55"/>
      <c r="BS611" s="55"/>
      <c r="BT611" s="55"/>
      <c r="BU611" s="55"/>
      <c r="BV611" s="55"/>
      <c r="BW611" s="55"/>
      <c r="BX611" s="55"/>
      <c r="BY611" s="55"/>
    </row>
    <row r="612" spans="1:77" ht="25.5">
      <c r="B612" s="89">
        <v>599</v>
      </c>
      <c r="C612" s="93">
        <v>306</v>
      </c>
      <c r="D612" s="93">
        <v>470</v>
      </c>
      <c r="E612" s="94">
        <v>0.54513888888888895</v>
      </c>
      <c r="F612" s="94">
        <v>0.55555555555555558</v>
      </c>
      <c r="G612" s="103" t="s">
        <v>642</v>
      </c>
      <c r="H612" s="93" t="s">
        <v>134</v>
      </c>
      <c r="I612" s="96">
        <v>5</v>
      </c>
      <c r="J612" s="97" t="s">
        <v>93</v>
      </c>
      <c r="K612" s="98">
        <f>41+11</f>
        <v>52</v>
      </c>
      <c r="L612" s="109" t="s">
        <v>761</v>
      </c>
      <c r="M612" s="2" t="s">
        <v>1079</v>
      </c>
      <c r="N612" s="2">
        <v>23</v>
      </c>
      <c r="O612" s="87" t="s">
        <v>922</v>
      </c>
      <c r="P612" s="87">
        <v>20</v>
      </c>
      <c r="Q612" s="87" t="s">
        <v>1931</v>
      </c>
      <c r="R612" s="84">
        <v>33</v>
      </c>
      <c r="S612" s="26">
        <v>3042</v>
      </c>
      <c r="T612" s="26" t="s">
        <v>1604</v>
      </c>
      <c r="U612" s="26">
        <v>3051</v>
      </c>
      <c r="V612" s="26" t="s">
        <v>1603</v>
      </c>
      <c r="W612" s="62">
        <v>44805</v>
      </c>
      <c r="X612" s="62">
        <v>45169</v>
      </c>
      <c r="Y612" s="62"/>
      <c r="Z612" s="62"/>
      <c r="AA612" s="26" t="s">
        <v>1146</v>
      </c>
      <c r="AB612" s="23" t="s">
        <v>731</v>
      </c>
      <c r="AC612" s="23" t="s">
        <v>731</v>
      </c>
      <c r="AD612" s="23" t="s">
        <v>731</v>
      </c>
      <c r="AE612" s="23"/>
      <c r="AF612" s="23"/>
      <c r="AG612" s="23" t="s">
        <v>731</v>
      </c>
      <c r="AH612" s="23"/>
      <c r="AI612" s="23"/>
      <c r="AJ612" s="23"/>
      <c r="AK612" s="23"/>
      <c r="AL612" s="23"/>
      <c r="AM612" s="23"/>
      <c r="AN612" s="23"/>
      <c r="AO612" s="23"/>
      <c r="AP612" s="23"/>
      <c r="AQ612" s="23"/>
      <c r="AR612" s="23"/>
      <c r="AS612" s="23"/>
      <c r="AT612" s="23"/>
      <c r="AU612" s="23"/>
      <c r="AV612" s="42">
        <v>70.510000000000005</v>
      </c>
      <c r="AW612" s="18"/>
      <c r="AY612" s="42"/>
      <c r="AZ612" s="42"/>
      <c r="BB612" s="45">
        <v>1</v>
      </c>
      <c r="BC612" s="41">
        <f>IF(AND((AV612/I612)&lt;2,BB612=1),(I612*2)-AV612,0)</f>
        <v>0</v>
      </c>
      <c r="BD612" s="41">
        <f>IF(AND((AV612/I612)&lt;3,BB612=2),(I612*3)-AV612,0)</f>
        <v>0</v>
      </c>
      <c r="BG612" s="18"/>
      <c r="BH612" s="18">
        <v>4</v>
      </c>
      <c r="BI612" s="18">
        <v>4</v>
      </c>
      <c r="BJ612" s="18">
        <v>4</v>
      </c>
      <c r="BK612" s="18">
        <v>4</v>
      </c>
      <c r="BL612" s="18">
        <v>5</v>
      </c>
      <c r="BM612" s="55">
        <f>SUM(AV612:AX612)+SUM(BC612:BD612)+SUM(BE612:BF612)+BG612</f>
        <v>70.510000000000005</v>
      </c>
      <c r="BN612" s="55"/>
      <c r="BO612" s="55"/>
      <c r="BP612" s="55"/>
      <c r="BQ612" s="55"/>
      <c r="BR612" s="55"/>
      <c r="BS612" s="55"/>
      <c r="BT612" s="55"/>
      <c r="BU612" s="55"/>
      <c r="BV612" s="55"/>
      <c r="BW612" s="55"/>
      <c r="BX612" s="55"/>
      <c r="BY612" s="55"/>
    </row>
    <row r="613" spans="1:77" ht="25.5">
      <c r="B613" s="89">
        <v>600</v>
      </c>
      <c r="C613" s="93">
        <v>306</v>
      </c>
      <c r="D613" s="93">
        <v>468</v>
      </c>
      <c r="E613" s="94">
        <v>0.58611111111111114</v>
      </c>
      <c r="F613" s="94">
        <v>0.59652777777777777</v>
      </c>
      <c r="G613" s="93" t="s">
        <v>133</v>
      </c>
      <c r="H613" s="93" t="s">
        <v>97</v>
      </c>
      <c r="I613" s="96">
        <v>5</v>
      </c>
      <c r="J613" s="97" t="s">
        <v>93</v>
      </c>
      <c r="K613" s="98">
        <v>208</v>
      </c>
      <c r="L613" s="109" t="s">
        <v>761</v>
      </c>
      <c r="M613" s="2" t="s">
        <v>1079</v>
      </c>
      <c r="N613" s="2">
        <v>23</v>
      </c>
      <c r="O613" s="87" t="s">
        <v>1931</v>
      </c>
      <c r="P613" s="87">
        <v>33</v>
      </c>
      <c r="S613" s="26">
        <v>3042</v>
      </c>
      <c r="T613" s="26" t="s">
        <v>1604</v>
      </c>
      <c r="U613" s="26">
        <v>3051</v>
      </c>
      <c r="V613" s="26" t="s">
        <v>1603</v>
      </c>
      <c r="W613" s="62">
        <v>44816</v>
      </c>
      <c r="X613" s="62">
        <v>45086</v>
      </c>
      <c r="Y613" s="62"/>
      <c r="Z613" s="62"/>
      <c r="AA613" s="22" t="s">
        <v>1106</v>
      </c>
      <c r="AB613" s="23"/>
      <c r="AC613" s="23"/>
      <c r="AD613" s="23"/>
      <c r="AE613" s="23" t="s">
        <v>731</v>
      </c>
      <c r="AF613" s="23" t="s">
        <v>731</v>
      </c>
      <c r="AG613" s="23" t="s">
        <v>731</v>
      </c>
      <c r="AH613" s="23" t="s">
        <v>731</v>
      </c>
      <c r="AI613" s="23" t="s">
        <v>731</v>
      </c>
      <c r="AJ613" s="23" t="s">
        <v>731</v>
      </c>
      <c r="AK613" s="23" t="s">
        <v>731</v>
      </c>
      <c r="AL613" s="23"/>
      <c r="AM613" s="23"/>
      <c r="AN613" s="23"/>
      <c r="AO613" s="23"/>
      <c r="AP613" s="23"/>
      <c r="AQ613" s="23"/>
      <c r="AR613" s="23"/>
      <c r="AS613" s="23"/>
      <c r="AT613" s="23"/>
      <c r="AU613" s="23"/>
      <c r="AV613" s="42">
        <v>75.430000000000007</v>
      </c>
      <c r="AW613" s="18"/>
      <c r="AY613" s="42"/>
      <c r="AZ613" s="42"/>
      <c r="BB613" s="45">
        <v>1</v>
      </c>
      <c r="BC613" s="41">
        <f>IF(AND((AV613/I613)&lt;2,BB613=1),(I613*2)-AV613,0)</f>
        <v>0</v>
      </c>
      <c r="BD613" s="41">
        <f>IF(AND((AV613/I613)&lt;3,BB613=2),(I613*3)-AV613,0)</f>
        <v>0</v>
      </c>
      <c r="BG613" s="18"/>
      <c r="BH613" s="18">
        <v>17</v>
      </c>
      <c r="BI613" s="18">
        <v>25</v>
      </c>
      <c r="BJ613" s="18">
        <v>25</v>
      </c>
      <c r="BK613" s="18">
        <v>18</v>
      </c>
      <c r="BL613" s="18">
        <v>20</v>
      </c>
      <c r="BM613" s="55">
        <f>SUM(AV613:AX613)+SUM(BC613:BD613)+SUM(BE613:BF613)+BG613</f>
        <v>75.430000000000007</v>
      </c>
      <c r="BN613" s="55"/>
      <c r="BO613" s="55"/>
      <c r="BP613" s="55"/>
      <c r="BQ613" s="55"/>
      <c r="BR613" s="55"/>
      <c r="BS613" s="55"/>
      <c r="BT613" s="55"/>
      <c r="BU613" s="55"/>
      <c r="BV613" s="55"/>
      <c r="BW613" s="55"/>
      <c r="BX613" s="55"/>
      <c r="BY613" s="55"/>
    </row>
    <row r="614" spans="1:77" ht="25.5">
      <c r="B614" s="89">
        <v>601</v>
      </c>
      <c r="C614" s="93">
        <v>306</v>
      </c>
      <c r="D614" s="93">
        <v>509</v>
      </c>
      <c r="E614" s="94">
        <v>0.59722222222222221</v>
      </c>
      <c r="F614" s="94">
        <v>0.67499999999999993</v>
      </c>
      <c r="G614" s="93" t="s">
        <v>621</v>
      </c>
      <c r="H614" s="93" t="s">
        <v>549</v>
      </c>
      <c r="I614" s="96">
        <v>52</v>
      </c>
      <c r="J614" s="97" t="s">
        <v>188</v>
      </c>
      <c r="K614" s="98">
        <v>13</v>
      </c>
      <c r="L614" s="118" t="s">
        <v>756</v>
      </c>
      <c r="M614" s="83" t="s">
        <v>952</v>
      </c>
      <c r="N614" s="83">
        <v>33</v>
      </c>
      <c r="O614" s="2" t="s">
        <v>1254</v>
      </c>
      <c r="P614" s="85">
        <v>55</v>
      </c>
      <c r="S614" s="26">
        <v>3895</v>
      </c>
      <c r="T614" s="26" t="s">
        <v>1577</v>
      </c>
      <c r="U614" s="26" t="s">
        <v>1570</v>
      </c>
      <c r="V614" s="26" t="s">
        <v>1569</v>
      </c>
      <c r="W614" s="63">
        <v>44562</v>
      </c>
      <c r="X614" s="63">
        <v>44815</v>
      </c>
      <c r="Y614" s="63">
        <v>45101</v>
      </c>
      <c r="Z614" s="63">
        <v>45169</v>
      </c>
      <c r="AA614" s="17" t="s">
        <v>1104</v>
      </c>
      <c r="AB614" s="23"/>
      <c r="AC614" s="23" t="s">
        <v>731</v>
      </c>
      <c r="AD614" s="23"/>
      <c r="AE614" s="23"/>
      <c r="AF614" s="23"/>
      <c r="AG614" s="23"/>
      <c r="AH614" s="23"/>
      <c r="AI614" s="23"/>
      <c r="AJ614" s="23"/>
      <c r="AK614" s="23"/>
      <c r="AL614" s="23" t="s">
        <v>731</v>
      </c>
      <c r="AM614" s="23"/>
      <c r="AN614" s="23"/>
      <c r="AO614" s="23"/>
      <c r="AP614" s="23"/>
      <c r="AQ614" s="23"/>
      <c r="AR614" s="23"/>
      <c r="AS614" s="23"/>
      <c r="AT614" s="23"/>
      <c r="AU614" s="23"/>
      <c r="AV614" s="42">
        <v>156</v>
      </c>
      <c r="AW614" s="18"/>
      <c r="AY614" s="42"/>
      <c r="AZ614" s="42"/>
      <c r="BB614" s="45">
        <v>1</v>
      </c>
      <c r="BC614" s="41">
        <f>IF(AND((AV614/I614)&lt;2,BB614=1),(I614*2)-AV614,0)</f>
        <v>0</v>
      </c>
      <c r="BD614" s="41">
        <f>IF(AND((AV614/I614)&lt;3,BB614=2),(I614*3)-AV614,0)</f>
        <v>0</v>
      </c>
      <c r="BG614" s="18"/>
      <c r="BH614" s="18">
        <v>2</v>
      </c>
      <c r="BI614" s="18">
        <v>0</v>
      </c>
      <c r="BJ614" s="18">
        <v>0</v>
      </c>
      <c r="BK614" s="18">
        <v>0</v>
      </c>
      <c r="BL614" s="18">
        <v>0</v>
      </c>
      <c r="BM614" s="55">
        <f>SUM(AV614:AX614)+SUM(BC614:BD614)+SUM(BE614:BF614)+BG614</f>
        <v>156</v>
      </c>
      <c r="BN614" s="55"/>
      <c r="BO614" s="55"/>
      <c r="BP614" s="55"/>
      <c r="BQ614" s="55"/>
      <c r="BR614" s="55"/>
      <c r="BS614" s="55"/>
      <c r="BT614" s="55"/>
      <c r="BU614" s="55"/>
      <c r="BV614" s="55"/>
      <c r="BW614" s="55"/>
      <c r="BX614" s="55"/>
      <c r="BY614" s="55"/>
    </row>
    <row r="615" spans="1:77" ht="51">
      <c r="B615" s="89">
        <v>602</v>
      </c>
      <c r="C615" s="93">
        <v>306</v>
      </c>
      <c r="D615" s="93">
        <v>514</v>
      </c>
      <c r="E615" s="94">
        <v>0.70138888888888884</v>
      </c>
      <c r="F615" s="94">
        <v>0.77847222222222223</v>
      </c>
      <c r="G615" s="103" t="s">
        <v>2003</v>
      </c>
      <c r="H615" s="93" t="s">
        <v>550</v>
      </c>
      <c r="I615" s="96">
        <v>52</v>
      </c>
      <c r="J615" s="97" t="s">
        <v>188</v>
      </c>
      <c r="K615" s="98">
        <v>58</v>
      </c>
      <c r="L615" s="109" t="s">
        <v>756</v>
      </c>
      <c r="M615" s="83" t="s">
        <v>952</v>
      </c>
      <c r="N615" s="83">
        <v>33</v>
      </c>
      <c r="O615" s="2" t="s">
        <v>1254</v>
      </c>
      <c r="P615" s="85">
        <v>55</v>
      </c>
      <c r="S615" s="26" t="s">
        <v>1568</v>
      </c>
      <c r="T615" s="26" t="s">
        <v>1569</v>
      </c>
      <c r="U615" s="26">
        <v>3895</v>
      </c>
      <c r="V615" s="26" t="s">
        <v>1577</v>
      </c>
      <c r="W615" s="62">
        <v>44805</v>
      </c>
      <c r="X615" s="62">
        <v>45169</v>
      </c>
      <c r="Y615" s="62"/>
      <c r="Z615" s="62"/>
      <c r="AA615" s="23" t="s">
        <v>1115</v>
      </c>
      <c r="AB615" s="23" t="s">
        <v>731</v>
      </c>
      <c r="AC615" s="23" t="s">
        <v>731</v>
      </c>
      <c r="AD615" s="23"/>
      <c r="AE615" s="23"/>
      <c r="AF615" s="23"/>
      <c r="AG615" s="23"/>
      <c r="AH615" s="23"/>
      <c r="AI615" s="23"/>
      <c r="AJ615" s="23"/>
      <c r="AK615" s="23"/>
      <c r="AL615" s="23" t="s">
        <v>731</v>
      </c>
      <c r="AM615" s="23"/>
      <c r="AN615" s="23"/>
      <c r="AO615" s="23"/>
      <c r="AP615" s="23"/>
      <c r="AQ615" s="23"/>
      <c r="AR615" s="23"/>
      <c r="AS615" s="23"/>
      <c r="AT615" s="23"/>
      <c r="AU615" s="23"/>
      <c r="AV615" s="42">
        <v>156</v>
      </c>
      <c r="AW615" s="18"/>
      <c r="AY615" s="42"/>
      <c r="AZ615" s="42"/>
      <c r="BB615" s="45">
        <v>1</v>
      </c>
      <c r="BC615" s="41">
        <f>IF(AND((AV615/I615)&lt;2,BB615=1),(I615*2)-AV615,0)</f>
        <v>0</v>
      </c>
      <c r="BD615" s="41">
        <f>IF(AND((AV615/I615)&lt;3,BB615=2),(I615*3)-AV615,0)</f>
        <v>0</v>
      </c>
      <c r="BG615" s="18"/>
      <c r="BH615" s="18">
        <v>4</v>
      </c>
      <c r="BI615" s="18">
        <v>5</v>
      </c>
      <c r="BJ615" s="18">
        <v>5</v>
      </c>
      <c r="BK615" s="18">
        <v>6</v>
      </c>
      <c r="BL615" s="18">
        <v>6</v>
      </c>
      <c r="BM615" s="55">
        <f>SUM(AV615:AX615)+SUM(BC615:BD615)+SUM(BE615:BF615)+BG615</f>
        <v>156</v>
      </c>
      <c r="BN615" s="55"/>
      <c r="BO615" s="55"/>
      <c r="BP615" s="55"/>
      <c r="BQ615" s="55"/>
      <c r="BR615" s="55"/>
      <c r="BS615" s="55"/>
      <c r="BT615" s="55"/>
      <c r="BU615" s="55"/>
      <c r="BV615" s="55"/>
      <c r="BW615" s="55"/>
      <c r="BX615" s="55"/>
      <c r="BY615" s="55"/>
    </row>
    <row r="616" spans="1:77" ht="25.5">
      <c r="B616" s="89">
        <v>603</v>
      </c>
      <c r="C616" s="93">
        <v>310</v>
      </c>
      <c r="D616" s="93">
        <v>93</v>
      </c>
      <c r="E616" s="94">
        <v>0.28819444444444448</v>
      </c>
      <c r="F616" s="94">
        <v>0.31527777777777777</v>
      </c>
      <c r="G616" s="93" t="s">
        <v>485</v>
      </c>
      <c r="H616" s="93" t="s">
        <v>103</v>
      </c>
      <c r="I616" s="96">
        <v>18</v>
      </c>
      <c r="J616" s="97" t="s">
        <v>101</v>
      </c>
      <c r="K616" s="98">
        <v>174</v>
      </c>
      <c r="L616" s="109" t="s">
        <v>745</v>
      </c>
      <c r="M616" s="83" t="s">
        <v>900</v>
      </c>
      <c r="N616" s="83">
        <v>57</v>
      </c>
      <c r="O616" s="190" t="s">
        <v>1911</v>
      </c>
      <c r="P616" s="193">
        <v>50</v>
      </c>
      <c r="Q616" s="83" t="s">
        <v>901</v>
      </c>
      <c r="R616" s="83">
        <v>36</v>
      </c>
      <c r="S616" s="26">
        <v>3381</v>
      </c>
      <c r="T616" s="26" t="s">
        <v>1609</v>
      </c>
      <c r="U616" s="26" t="s">
        <v>1610</v>
      </c>
      <c r="V616" s="26" t="s">
        <v>1611</v>
      </c>
      <c r="W616" s="62">
        <v>44816</v>
      </c>
      <c r="X616" s="62">
        <v>45086</v>
      </c>
      <c r="Y616" s="62"/>
      <c r="Z616" s="62"/>
      <c r="AA616" s="22" t="s">
        <v>1102</v>
      </c>
      <c r="AB616" s="23"/>
      <c r="AC616" s="23"/>
      <c r="AD616" s="23"/>
      <c r="AE616" s="23" t="s">
        <v>731</v>
      </c>
      <c r="AF616" s="23" t="s">
        <v>731</v>
      </c>
      <c r="AG616" s="23" t="s">
        <v>731</v>
      </c>
      <c r="AH616" s="23" t="s">
        <v>731</v>
      </c>
      <c r="AI616" s="23" t="s">
        <v>731</v>
      </c>
      <c r="AJ616" s="23" t="s">
        <v>731</v>
      </c>
      <c r="AK616" s="23"/>
      <c r="AL616" s="23"/>
      <c r="AM616" s="23"/>
      <c r="AN616" s="23"/>
      <c r="AO616" s="23"/>
      <c r="AP616" s="23"/>
      <c r="AQ616" s="23"/>
      <c r="AR616" s="23"/>
      <c r="AS616" s="23"/>
      <c r="AT616" s="23"/>
      <c r="AU616" s="23"/>
      <c r="AV616" s="42">
        <v>54</v>
      </c>
      <c r="AW616" s="18"/>
      <c r="AY616" s="42"/>
      <c r="AZ616" s="42"/>
      <c r="BB616" s="43">
        <v>2</v>
      </c>
      <c r="BC616" s="41">
        <f>IF(AND((AV616/I616)&lt;2,BB616=1),(I616*2)-AV616,0)</f>
        <v>0</v>
      </c>
      <c r="BD616" s="41">
        <f>IF(AND((AV616/I616)&lt;3,BB616=2),(I616*3)-AV616,0)</f>
        <v>0</v>
      </c>
      <c r="BG616" s="41">
        <f>IF((AV616+AW616+AX616)&lt;20,(20-(AV616+AW616+AX616)),0)</f>
        <v>0</v>
      </c>
      <c r="BH616" s="18">
        <v>15</v>
      </c>
      <c r="BI616" s="18">
        <v>20</v>
      </c>
      <c r="BJ616" s="18">
        <v>21</v>
      </c>
      <c r="BK616" s="18">
        <v>15</v>
      </c>
      <c r="BL616" s="18">
        <v>17</v>
      </c>
      <c r="BM616" s="55">
        <f>SUM(AV616:AX616)+SUM(BC616:BD616)+SUM(BE616:BF616)+BG616</f>
        <v>54</v>
      </c>
      <c r="BN616" s="55"/>
      <c r="BO616" s="55"/>
      <c r="BP616" s="55"/>
      <c r="BQ616" s="55"/>
      <c r="BR616" s="55"/>
      <c r="BS616" s="55"/>
      <c r="BT616" s="55"/>
      <c r="BU616" s="55"/>
      <c r="BV616" s="55"/>
      <c r="BW616" s="55"/>
      <c r="BX616" s="55"/>
      <c r="BY616" s="55"/>
    </row>
    <row r="617" spans="1:77" ht="25.5">
      <c r="A617" s="110" t="s">
        <v>1166</v>
      </c>
      <c r="B617" s="89">
        <v>604</v>
      </c>
      <c r="C617" s="93">
        <v>310</v>
      </c>
      <c r="D617" s="93">
        <v>183</v>
      </c>
      <c r="E617" s="94">
        <v>0.3611111111111111</v>
      </c>
      <c r="F617" s="105">
        <v>0.39861111111111108</v>
      </c>
      <c r="G617" s="154" t="s">
        <v>1920</v>
      </c>
      <c r="H617" s="106" t="s">
        <v>1039</v>
      </c>
      <c r="I617" s="96">
        <v>30</v>
      </c>
      <c r="J617" s="97" t="s">
        <v>188</v>
      </c>
      <c r="K617" s="111">
        <v>202</v>
      </c>
      <c r="L617" s="109" t="s">
        <v>745</v>
      </c>
      <c r="M617" s="83" t="s">
        <v>900</v>
      </c>
      <c r="N617" s="83">
        <v>57</v>
      </c>
      <c r="O617" s="190" t="s">
        <v>1911</v>
      </c>
      <c r="P617" s="193">
        <v>50</v>
      </c>
      <c r="Q617" s="83" t="s">
        <v>901</v>
      </c>
      <c r="R617" s="83">
        <v>36</v>
      </c>
      <c r="S617" s="26">
        <v>3389</v>
      </c>
      <c r="T617" s="26" t="s">
        <v>1612</v>
      </c>
      <c r="U617" s="26">
        <v>3100</v>
      </c>
      <c r="V617" s="26" t="s">
        <v>1345</v>
      </c>
      <c r="W617" s="63">
        <v>44816</v>
      </c>
      <c r="X617" s="63">
        <v>45100</v>
      </c>
      <c r="Y617" s="63"/>
      <c r="Z617" s="63"/>
      <c r="AA617" s="23" t="s">
        <v>1108</v>
      </c>
      <c r="AB617" s="23" t="s">
        <v>731</v>
      </c>
      <c r="AC617" s="23"/>
      <c r="AD617" s="23" t="s">
        <v>731</v>
      </c>
      <c r="AE617" s="23"/>
      <c r="AF617" s="23" t="s">
        <v>731</v>
      </c>
      <c r="AG617" s="23" t="s">
        <v>731</v>
      </c>
      <c r="AH617" s="23" t="s">
        <v>731</v>
      </c>
      <c r="AI617" s="23" t="s">
        <v>731</v>
      </c>
      <c r="AJ617" s="23" t="s">
        <v>731</v>
      </c>
      <c r="AK617" s="23"/>
      <c r="AL617" s="23"/>
      <c r="AM617" s="23"/>
      <c r="AN617" s="23"/>
      <c r="AO617" s="23"/>
      <c r="AP617" s="23"/>
      <c r="AQ617" s="23"/>
      <c r="AR617" s="23"/>
      <c r="AS617" s="23"/>
      <c r="AT617" s="23"/>
      <c r="AU617" s="23"/>
      <c r="AV617" s="42">
        <v>90</v>
      </c>
      <c r="AW617" s="18"/>
      <c r="AY617" s="42"/>
      <c r="AZ617" s="42"/>
      <c r="BB617" s="45">
        <v>1</v>
      </c>
      <c r="BC617" s="41">
        <f>IF(AND((AV617/I617)&lt;2,BB617=1),(I617*2)-AV617,0)</f>
        <v>0</v>
      </c>
      <c r="BD617" s="41">
        <f>IF(AND((AV617/I617)&lt;3,BB617=2),(I617*3)-AV617,0)</f>
        <v>0</v>
      </c>
      <c r="BG617" s="18"/>
      <c r="BH617" s="18">
        <v>15</v>
      </c>
      <c r="BI617" s="18">
        <v>21</v>
      </c>
      <c r="BJ617" s="18">
        <v>21</v>
      </c>
      <c r="BK617" s="18">
        <v>20</v>
      </c>
      <c r="BL617" s="18">
        <v>21</v>
      </c>
      <c r="BM617" s="55">
        <f>SUM(AV617:AX617)+SUM(BC617:BD617)+SUM(BE617:BF617)+BG617</f>
        <v>90</v>
      </c>
      <c r="BN617" s="55"/>
      <c r="BO617" s="55"/>
      <c r="BP617" s="55"/>
      <c r="BQ617" s="55"/>
      <c r="BR617" s="55"/>
      <c r="BS617" s="55"/>
      <c r="BT617" s="55"/>
      <c r="BU617" s="55"/>
      <c r="BV617" s="55"/>
      <c r="BW617" s="55"/>
      <c r="BX617" s="55"/>
      <c r="BY617" s="55"/>
    </row>
    <row r="618" spans="1:77" ht="25.5">
      <c r="B618" s="89">
        <v>605</v>
      </c>
      <c r="C618" s="93">
        <v>311</v>
      </c>
      <c r="D618" s="93">
        <v>797</v>
      </c>
      <c r="E618" s="94">
        <v>0.72222222222222221</v>
      </c>
      <c r="F618" s="94">
        <v>0.73472222222222217</v>
      </c>
      <c r="G618" s="93" t="s">
        <v>351</v>
      </c>
      <c r="H618" s="93" t="s">
        <v>103</v>
      </c>
      <c r="I618" s="96">
        <v>12</v>
      </c>
      <c r="J618" s="97" t="s">
        <v>146</v>
      </c>
      <c r="K618" s="98">
        <v>174</v>
      </c>
      <c r="L618" s="109" t="s">
        <v>745</v>
      </c>
      <c r="M618" s="83" t="s">
        <v>1068</v>
      </c>
      <c r="N618" s="83">
        <v>16</v>
      </c>
      <c r="O618" s="83" t="s">
        <v>898</v>
      </c>
      <c r="P618" s="83">
        <v>23</v>
      </c>
      <c r="Q618" s="100" t="s">
        <v>1911</v>
      </c>
      <c r="R618" s="2">
        <v>50</v>
      </c>
      <c r="S618" s="26">
        <v>3640</v>
      </c>
      <c r="T618" s="26" t="s">
        <v>1575</v>
      </c>
      <c r="U618" s="26">
        <v>3103</v>
      </c>
      <c r="V618" s="26" t="s">
        <v>1613</v>
      </c>
      <c r="W618" s="62">
        <v>44816</v>
      </c>
      <c r="X618" s="62">
        <v>45086</v>
      </c>
      <c r="Y618" s="62"/>
      <c r="Z618" s="62"/>
      <c r="AA618" s="22" t="s">
        <v>1102</v>
      </c>
      <c r="AB618" s="23"/>
      <c r="AC618" s="23"/>
      <c r="AD618" s="23"/>
      <c r="AE618" s="23" t="s">
        <v>731</v>
      </c>
      <c r="AF618" s="23" t="s">
        <v>731</v>
      </c>
      <c r="AG618" s="23" t="s">
        <v>731</v>
      </c>
      <c r="AH618" s="23" t="s">
        <v>731</v>
      </c>
      <c r="AI618" s="23" t="s">
        <v>731</v>
      </c>
      <c r="AJ618" s="23" t="s">
        <v>731</v>
      </c>
      <c r="AK618" s="23"/>
      <c r="AL618" s="23"/>
      <c r="AM618" s="23"/>
      <c r="AN618" s="23"/>
      <c r="AO618" s="23"/>
      <c r="AP618" s="23"/>
      <c r="AQ618" s="23"/>
      <c r="AR618" s="23"/>
      <c r="AS618" s="23"/>
      <c r="AT618" s="23"/>
      <c r="AU618" s="23"/>
      <c r="AV618" s="42">
        <v>30</v>
      </c>
      <c r="AW618" s="18"/>
      <c r="AY618" s="42"/>
      <c r="AZ618" s="42"/>
      <c r="BB618" s="45">
        <v>1</v>
      </c>
      <c r="BC618" s="41">
        <f>IF(AND((AV618/I618)&lt;2,BB618=1),(I618*2)-AV618,0)</f>
        <v>0</v>
      </c>
      <c r="BD618" s="41">
        <f>IF(AND((AV618/I618)&lt;3,BB618=2),(I618*3)-AV618,0)</f>
        <v>0</v>
      </c>
      <c r="BG618" s="18"/>
      <c r="BH618" s="18">
        <v>15</v>
      </c>
      <c r="BI618" s="18">
        <v>20</v>
      </c>
      <c r="BJ618" s="18">
        <v>21</v>
      </c>
      <c r="BK618" s="18">
        <v>15</v>
      </c>
      <c r="BL618" s="18">
        <v>17</v>
      </c>
      <c r="BM618" s="55">
        <f>SUM(AV618:AX618)+SUM(BC618:BD618)+SUM(BE618:BF618)+BG618</f>
        <v>30</v>
      </c>
      <c r="BN618" s="55"/>
      <c r="BO618" s="55"/>
      <c r="BP618" s="55"/>
      <c r="BQ618" s="55"/>
      <c r="BR618" s="55"/>
      <c r="BS618" s="55"/>
      <c r="BT618" s="55"/>
      <c r="BU618" s="55"/>
      <c r="BV618" s="55"/>
      <c r="BW618" s="55"/>
      <c r="BX618" s="55"/>
      <c r="BY618" s="55"/>
    </row>
    <row r="619" spans="1:77" ht="25.5">
      <c r="B619" s="89">
        <v>606</v>
      </c>
      <c r="C619" s="93">
        <v>312</v>
      </c>
      <c r="D619" s="95">
        <v>365</v>
      </c>
      <c r="E619" s="94">
        <v>0.2638888888888889</v>
      </c>
      <c r="F619" s="94">
        <v>0.28263888888888888</v>
      </c>
      <c r="G619" s="93" t="s">
        <v>365</v>
      </c>
      <c r="H619" s="93" t="s">
        <v>97</v>
      </c>
      <c r="I619" s="96">
        <v>15.5</v>
      </c>
      <c r="J619" s="97" t="s">
        <v>355</v>
      </c>
      <c r="K619" s="98">
        <v>208</v>
      </c>
      <c r="L619" s="109" t="s">
        <v>720</v>
      </c>
      <c r="M619" s="83" t="s">
        <v>862</v>
      </c>
      <c r="N619" s="83">
        <v>17</v>
      </c>
      <c r="Q619" s="87"/>
      <c r="R619" s="83"/>
      <c r="S619" s="26">
        <v>3169</v>
      </c>
      <c r="T619" s="26" t="s">
        <v>1344</v>
      </c>
      <c r="U619" s="26">
        <v>3164</v>
      </c>
      <c r="V619" s="26" t="s">
        <v>1614</v>
      </c>
      <c r="W619" s="62">
        <v>44816</v>
      </c>
      <c r="X619" s="62">
        <v>45086</v>
      </c>
      <c r="Y619" s="62"/>
      <c r="Z619" s="62"/>
      <c r="AA619" s="22" t="s">
        <v>1106</v>
      </c>
      <c r="AB619" s="23"/>
      <c r="AC619" s="23"/>
      <c r="AD619" s="23"/>
      <c r="AE619" s="23" t="s">
        <v>731</v>
      </c>
      <c r="AF619" s="23" t="s">
        <v>731</v>
      </c>
      <c r="AG619" s="23" t="s">
        <v>731</v>
      </c>
      <c r="AH619" s="23" t="s">
        <v>731</v>
      </c>
      <c r="AI619" s="23" t="s">
        <v>731</v>
      </c>
      <c r="AJ619" s="23" t="s">
        <v>731</v>
      </c>
      <c r="AK619" s="23" t="s">
        <v>731</v>
      </c>
      <c r="AL619" s="23"/>
      <c r="AM619" s="23"/>
      <c r="AN619" s="23"/>
      <c r="AO619" s="23"/>
      <c r="AP619" s="23"/>
      <c r="AQ619" s="23"/>
      <c r="AR619" s="23"/>
      <c r="AS619" s="23"/>
      <c r="AT619" s="23"/>
      <c r="AU619" s="23"/>
      <c r="AV619" s="42">
        <v>56.61</v>
      </c>
      <c r="AW619" s="18"/>
      <c r="AY619" s="42"/>
      <c r="AZ619" s="42"/>
      <c r="BB619" s="45">
        <v>1</v>
      </c>
      <c r="BC619" s="41">
        <f>IF(AND((AV619/I619)&lt;2,BB619=1),(I619*2)-AV619,0)</f>
        <v>0</v>
      </c>
      <c r="BD619" s="41">
        <f>IF(AND((AV619/I619)&lt;3,BB619=2),(I619*3)-AV619,0)</f>
        <v>0</v>
      </c>
      <c r="BG619" s="41">
        <f>IF((AV619+AW619+AX619)&lt;20,(20-(AV619+AW619+AX619)),0)</f>
        <v>0</v>
      </c>
      <c r="BH619" s="18">
        <v>17</v>
      </c>
      <c r="BI619" s="18">
        <v>25</v>
      </c>
      <c r="BJ619" s="18">
        <v>25</v>
      </c>
      <c r="BK619" s="18">
        <v>18</v>
      </c>
      <c r="BL619" s="18">
        <v>20</v>
      </c>
      <c r="BM619" s="55">
        <f>SUM(AV619:AX619)+SUM(BC619:BD619)+SUM(BE619:BF619)+BG619</f>
        <v>56.61</v>
      </c>
      <c r="BN619" s="55"/>
      <c r="BO619" s="55"/>
      <c r="BP619" s="55"/>
      <c r="BQ619" s="55"/>
      <c r="BR619" s="55"/>
      <c r="BS619" s="55"/>
      <c r="BT619" s="55"/>
      <c r="BU619" s="55"/>
      <c r="BV619" s="55"/>
      <c r="BW619" s="55"/>
      <c r="BX619" s="55"/>
      <c r="BY619" s="55"/>
    </row>
    <row r="620" spans="1:77" ht="25.5">
      <c r="B620" s="89">
        <v>607</v>
      </c>
      <c r="C620" s="93">
        <v>312</v>
      </c>
      <c r="D620" s="95">
        <v>601</v>
      </c>
      <c r="E620" s="94">
        <v>0.3611111111111111</v>
      </c>
      <c r="F620" s="94">
        <v>0.36805555555555558</v>
      </c>
      <c r="G620" s="103" t="s">
        <v>368</v>
      </c>
      <c r="H620" s="93" t="s">
        <v>364</v>
      </c>
      <c r="I620" s="96">
        <v>6</v>
      </c>
      <c r="J620" s="97" t="s">
        <v>93</v>
      </c>
      <c r="K620" s="98">
        <f t="shared" ref="K620:K627" si="0">38+39+10+11</f>
        <v>98</v>
      </c>
      <c r="L620" s="109" t="s">
        <v>720</v>
      </c>
      <c r="M620" s="83" t="s">
        <v>862</v>
      </c>
      <c r="N620" s="83">
        <v>17</v>
      </c>
      <c r="Q620" s="87"/>
      <c r="R620" s="83"/>
      <c r="S620" s="26">
        <v>3164</v>
      </c>
      <c r="T620" s="26" t="s">
        <v>1614</v>
      </c>
      <c r="U620" s="26">
        <v>3159</v>
      </c>
      <c r="V620" s="26" t="s">
        <v>1615</v>
      </c>
      <c r="W620" s="62">
        <v>44805</v>
      </c>
      <c r="X620" s="62">
        <v>45169</v>
      </c>
      <c r="Y620" s="62"/>
      <c r="Z620" s="62"/>
      <c r="AA620" s="24" t="s">
        <v>1147</v>
      </c>
      <c r="AB620" s="23" t="s">
        <v>731</v>
      </c>
      <c r="AC620" s="23" t="s">
        <v>731</v>
      </c>
      <c r="AD620" s="23" t="s">
        <v>731</v>
      </c>
      <c r="AE620" s="23"/>
      <c r="AF620" s="23" t="s">
        <v>731</v>
      </c>
      <c r="AG620" s="23"/>
      <c r="AH620" s="23"/>
      <c r="AI620" s="23" t="s">
        <v>731</v>
      </c>
      <c r="AJ620" s="23"/>
      <c r="AK620" s="23"/>
      <c r="AL620" s="23"/>
      <c r="AM620" s="23"/>
      <c r="AN620" s="23"/>
      <c r="AO620" s="23"/>
      <c r="AP620" s="23"/>
      <c r="AQ620" s="23"/>
      <c r="AR620" s="23"/>
      <c r="AS620" s="23"/>
      <c r="AT620" s="23"/>
      <c r="AU620" s="23"/>
      <c r="AV620" s="42">
        <v>13.04</v>
      </c>
      <c r="AW620" s="18"/>
      <c r="AY620" s="42"/>
      <c r="AZ620" s="42"/>
      <c r="BB620" s="45">
        <v>1</v>
      </c>
      <c r="BC620" s="41">
        <f>IF(AND((AV620/I620)&lt;2,BB620=1),(I620*2)-AV620,0)</f>
        <v>0</v>
      </c>
      <c r="BD620" s="41">
        <f>IF(AND((AV620/I620)&lt;3,BB620=2),(I620*3)-AV620,0)</f>
        <v>0</v>
      </c>
      <c r="BG620" s="18"/>
      <c r="BH620" s="18">
        <v>9</v>
      </c>
      <c r="BI620" s="18">
        <v>9</v>
      </c>
      <c r="BJ620" s="18">
        <v>8</v>
      </c>
      <c r="BK620" s="18">
        <v>7</v>
      </c>
      <c r="BL620" s="18">
        <v>9</v>
      </c>
      <c r="BM620" s="55">
        <f>SUM(AV620:AX620)+SUM(BC620:BD620)+SUM(BE620:BF620)+BG620</f>
        <v>13.04</v>
      </c>
      <c r="BN620" s="55"/>
      <c r="BO620" s="55"/>
      <c r="BP620" s="55"/>
      <c r="BQ620" s="55"/>
      <c r="BR620" s="55"/>
      <c r="BS620" s="55"/>
      <c r="BT620" s="55"/>
      <c r="BU620" s="55"/>
      <c r="BV620" s="55"/>
      <c r="BW620" s="55"/>
      <c r="BX620" s="55"/>
      <c r="BY620" s="55"/>
    </row>
    <row r="621" spans="1:77" ht="25.5">
      <c r="B621" s="89">
        <v>608</v>
      </c>
      <c r="C621" s="93">
        <v>312</v>
      </c>
      <c r="D621" s="95">
        <v>600</v>
      </c>
      <c r="E621" s="94">
        <v>0.36805555555555558</v>
      </c>
      <c r="F621" s="94">
        <v>0.375</v>
      </c>
      <c r="G621" s="103" t="s">
        <v>367</v>
      </c>
      <c r="H621" s="93" t="s">
        <v>364</v>
      </c>
      <c r="I621" s="96">
        <v>6.5</v>
      </c>
      <c r="J621" s="97" t="s">
        <v>93</v>
      </c>
      <c r="K621" s="98">
        <f t="shared" si="0"/>
        <v>98</v>
      </c>
      <c r="L621" s="109" t="s">
        <v>720</v>
      </c>
      <c r="M621" s="87" t="s">
        <v>862</v>
      </c>
      <c r="N621" s="87">
        <v>17</v>
      </c>
      <c r="Q621" s="87"/>
      <c r="R621" s="87"/>
      <c r="S621" s="26">
        <v>3159</v>
      </c>
      <c r="T621" s="26" t="s">
        <v>1615</v>
      </c>
      <c r="U621" s="26">
        <v>3164</v>
      </c>
      <c r="V621" s="26" t="s">
        <v>1614</v>
      </c>
      <c r="W621" s="62">
        <v>44805</v>
      </c>
      <c r="X621" s="62">
        <v>45169</v>
      </c>
      <c r="Y621" s="62"/>
      <c r="Z621" s="62"/>
      <c r="AA621" s="24" t="s">
        <v>1147</v>
      </c>
      <c r="AB621" s="23" t="s">
        <v>731</v>
      </c>
      <c r="AC621" s="23" t="s">
        <v>731</v>
      </c>
      <c r="AD621" s="23" t="s">
        <v>731</v>
      </c>
      <c r="AE621" s="23"/>
      <c r="AF621" s="23" t="s">
        <v>731</v>
      </c>
      <c r="AG621" s="23"/>
      <c r="AH621" s="23"/>
      <c r="AI621" s="23" t="s">
        <v>731</v>
      </c>
      <c r="AJ621" s="23"/>
      <c r="AK621" s="23"/>
      <c r="AL621" s="23"/>
      <c r="AM621" s="23"/>
      <c r="AN621" s="23"/>
      <c r="AO621" s="23"/>
      <c r="AP621" s="23"/>
      <c r="AQ621" s="23"/>
      <c r="AR621" s="23"/>
      <c r="AS621" s="23"/>
      <c r="AT621" s="23"/>
      <c r="AU621" s="23"/>
      <c r="AV621" s="42">
        <v>14.12</v>
      </c>
      <c r="AW621" s="18"/>
      <c r="AY621" s="42"/>
      <c r="AZ621" s="42"/>
      <c r="BB621" s="45">
        <v>1</v>
      </c>
      <c r="BC621" s="41">
        <f>IF(AND((AV621/I621)&lt;2,BB621=1),(I621*2)-AV621,0)</f>
        <v>0</v>
      </c>
      <c r="BD621" s="41">
        <f>IF(AND((AV621/I621)&lt;3,BB621=2),(I621*3)-AV621,0)</f>
        <v>0</v>
      </c>
      <c r="BG621" s="18"/>
      <c r="BH621" s="18">
        <v>9</v>
      </c>
      <c r="BI621" s="18">
        <v>9</v>
      </c>
      <c r="BJ621" s="18">
        <v>8</v>
      </c>
      <c r="BK621" s="18">
        <v>7</v>
      </c>
      <c r="BL621" s="18">
        <v>9</v>
      </c>
      <c r="BM621" s="55">
        <f>SUM(AV621:AX621)+SUM(BC621:BD621)+SUM(BE621:BF621)+BG621</f>
        <v>14.12</v>
      </c>
      <c r="BN621" s="55"/>
      <c r="BO621" s="55"/>
      <c r="BP621" s="55"/>
      <c r="BQ621" s="55"/>
      <c r="BR621" s="55"/>
      <c r="BS621" s="55"/>
      <c r="BT621" s="55"/>
      <c r="BU621" s="55"/>
      <c r="BV621" s="55"/>
      <c r="BW621" s="55"/>
      <c r="BX621" s="55"/>
      <c r="BY621" s="55"/>
    </row>
    <row r="622" spans="1:77" ht="25.5">
      <c r="B622" s="89">
        <v>609</v>
      </c>
      <c r="C622" s="93">
        <v>312</v>
      </c>
      <c r="D622" s="95">
        <v>604</v>
      </c>
      <c r="E622" s="94">
        <v>0.38194444444444442</v>
      </c>
      <c r="F622" s="94">
        <v>0.39861111111111108</v>
      </c>
      <c r="G622" s="103" t="s">
        <v>622</v>
      </c>
      <c r="H622" s="93" t="s">
        <v>364</v>
      </c>
      <c r="I622" s="96">
        <v>14</v>
      </c>
      <c r="J622" s="97" t="s">
        <v>93</v>
      </c>
      <c r="K622" s="98">
        <f t="shared" si="0"/>
        <v>98</v>
      </c>
      <c r="L622" s="109" t="s">
        <v>720</v>
      </c>
      <c r="M622" s="87" t="s">
        <v>862</v>
      </c>
      <c r="N622" s="87">
        <v>17</v>
      </c>
      <c r="Q622" s="87"/>
      <c r="R622" s="87"/>
      <c r="S622" s="26">
        <v>3164</v>
      </c>
      <c r="T622" s="26" t="s">
        <v>1614</v>
      </c>
      <c r="U622" s="26">
        <v>3166</v>
      </c>
      <c r="V622" s="26" t="s">
        <v>1616</v>
      </c>
      <c r="W622" s="62">
        <v>44805</v>
      </c>
      <c r="X622" s="62">
        <v>45169</v>
      </c>
      <c r="Y622" s="62"/>
      <c r="Z622" s="62"/>
      <c r="AA622" s="24" t="s">
        <v>1147</v>
      </c>
      <c r="AB622" s="23" t="s">
        <v>731</v>
      </c>
      <c r="AC622" s="23" t="s">
        <v>731</v>
      </c>
      <c r="AD622" s="23" t="s">
        <v>731</v>
      </c>
      <c r="AE622" s="23"/>
      <c r="AF622" s="23" t="s">
        <v>731</v>
      </c>
      <c r="AG622" s="23"/>
      <c r="AH622" s="23"/>
      <c r="AI622" s="23" t="s">
        <v>731</v>
      </c>
      <c r="AJ622" s="23"/>
      <c r="AK622" s="23"/>
      <c r="AL622" s="23"/>
      <c r="AM622" s="23"/>
      <c r="AN622" s="23"/>
      <c r="AO622" s="23"/>
      <c r="AP622" s="23"/>
      <c r="AQ622" s="23"/>
      <c r="AR622" s="23"/>
      <c r="AS622" s="23"/>
      <c r="AT622" s="23"/>
      <c r="AU622" s="23"/>
      <c r="AV622" s="42">
        <v>30.42</v>
      </c>
      <c r="AW622" s="18"/>
      <c r="AY622" s="42"/>
      <c r="AZ622" s="42"/>
      <c r="BB622" s="45">
        <v>1</v>
      </c>
      <c r="BC622" s="41">
        <f>IF(AND((AV622/I622)&lt;2,BB622=1),(I622*2)-AV622,0)</f>
        <v>0</v>
      </c>
      <c r="BD622" s="41">
        <f>IF(AND((AV622/I622)&lt;3,BB622=2),(I622*3)-AV622,0)</f>
        <v>0</v>
      </c>
      <c r="BG622" s="18"/>
      <c r="BH622" s="18">
        <v>9</v>
      </c>
      <c r="BI622" s="18">
        <v>9</v>
      </c>
      <c r="BJ622" s="18">
        <v>8</v>
      </c>
      <c r="BK622" s="18">
        <v>7</v>
      </c>
      <c r="BL622" s="18">
        <v>9</v>
      </c>
      <c r="BM622" s="55">
        <f>SUM(AV622:AX622)+SUM(BC622:BD622)+SUM(BE622:BF622)+BG622</f>
        <v>30.42</v>
      </c>
      <c r="BN622" s="55"/>
      <c r="BO622" s="55"/>
      <c r="BP622" s="55"/>
      <c r="BQ622" s="55"/>
      <c r="BR622" s="55"/>
      <c r="BS622" s="55"/>
      <c r="BT622" s="55"/>
      <c r="BU622" s="55"/>
      <c r="BV622" s="55"/>
      <c r="BW622" s="55"/>
      <c r="BX622" s="55"/>
      <c r="BY622" s="55"/>
    </row>
    <row r="623" spans="1:77" ht="25.5">
      <c r="B623" s="89">
        <v>610</v>
      </c>
      <c r="C623" s="93">
        <v>312</v>
      </c>
      <c r="D623" s="95">
        <v>605</v>
      </c>
      <c r="E623" s="94">
        <v>0.39861111111111108</v>
      </c>
      <c r="F623" s="94">
        <v>0.41319444444444442</v>
      </c>
      <c r="G623" s="103" t="s">
        <v>623</v>
      </c>
      <c r="H623" s="93" t="s">
        <v>364</v>
      </c>
      <c r="I623" s="96">
        <v>12.5</v>
      </c>
      <c r="J623" s="97" t="s">
        <v>93</v>
      </c>
      <c r="K623" s="98">
        <f t="shared" si="0"/>
        <v>98</v>
      </c>
      <c r="L623" s="109" t="s">
        <v>720</v>
      </c>
      <c r="M623" s="87" t="s">
        <v>862</v>
      </c>
      <c r="N623" s="87">
        <v>17</v>
      </c>
      <c r="Q623" s="87"/>
      <c r="R623" s="87"/>
      <c r="S623" s="26">
        <v>3166</v>
      </c>
      <c r="T623" s="26" t="s">
        <v>1616</v>
      </c>
      <c r="U623" s="26">
        <v>3164</v>
      </c>
      <c r="V623" s="26" t="s">
        <v>1614</v>
      </c>
      <c r="W623" s="62">
        <v>44805</v>
      </c>
      <c r="X623" s="62">
        <v>45169</v>
      </c>
      <c r="Y623" s="62"/>
      <c r="Z623" s="62"/>
      <c r="AA623" s="24" t="s">
        <v>1147</v>
      </c>
      <c r="AB623" s="23" t="s">
        <v>731</v>
      </c>
      <c r="AC623" s="23" t="s">
        <v>731</v>
      </c>
      <c r="AD623" s="23" t="s">
        <v>731</v>
      </c>
      <c r="AE623" s="23"/>
      <c r="AF623" s="23" t="s">
        <v>731</v>
      </c>
      <c r="AG623" s="23"/>
      <c r="AH623" s="23"/>
      <c r="AI623" s="23" t="s">
        <v>731</v>
      </c>
      <c r="AJ623" s="23"/>
      <c r="AK623" s="23"/>
      <c r="AL623" s="23"/>
      <c r="AM623" s="23"/>
      <c r="AN623" s="23"/>
      <c r="AO623" s="23"/>
      <c r="AP623" s="23"/>
      <c r="AQ623" s="23"/>
      <c r="AR623" s="23"/>
      <c r="AS623" s="23"/>
      <c r="AT623" s="23"/>
      <c r="AU623" s="23"/>
      <c r="AV623" s="42">
        <v>27.16</v>
      </c>
      <c r="AW623" s="18"/>
      <c r="AY623" s="42"/>
      <c r="AZ623" s="42"/>
      <c r="BB623" s="45">
        <v>1</v>
      </c>
      <c r="BC623" s="41">
        <f>IF(AND((AV623/I623)&lt;2,BB623=1),(I623*2)-AV623,0)</f>
        <v>0</v>
      </c>
      <c r="BD623" s="41">
        <f>IF(AND((AV623/I623)&lt;3,BB623=2),(I623*3)-AV623,0)</f>
        <v>0</v>
      </c>
      <c r="BG623" s="18"/>
      <c r="BH623" s="18">
        <v>9</v>
      </c>
      <c r="BI623" s="18">
        <v>9</v>
      </c>
      <c r="BJ623" s="18">
        <v>8</v>
      </c>
      <c r="BK623" s="18">
        <v>7</v>
      </c>
      <c r="BL623" s="18">
        <v>9</v>
      </c>
      <c r="BM623" s="55">
        <f>SUM(AV623:AX623)+SUM(BC623:BD623)+SUM(BE623:BF623)+BG623</f>
        <v>27.16</v>
      </c>
      <c r="BN623" s="55"/>
      <c r="BO623" s="55"/>
      <c r="BP623" s="55"/>
      <c r="BQ623" s="55"/>
      <c r="BR623" s="55"/>
      <c r="BS623" s="55"/>
      <c r="BT623" s="55"/>
      <c r="BU623" s="55"/>
      <c r="BV623" s="55"/>
      <c r="BW623" s="55"/>
      <c r="BX623" s="55"/>
      <c r="BY623" s="55"/>
    </row>
    <row r="624" spans="1:77" ht="25.5">
      <c r="B624" s="89">
        <v>611</v>
      </c>
      <c r="C624" s="93">
        <v>312</v>
      </c>
      <c r="D624" s="123">
        <v>603</v>
      </c>
      <c r="E624" s="94">
        <v>0.4375</v>
      </c>
      <c r="F624" s="94">
        <v>0.45555555555555555</v>
      </c>
      <c r="G624" s="103" t="s">
        <v>702</v>
      </c>
      <c r="H624" s="93" t="s">
        <v>364</v>
      </c>
      <c r="I624" s="96">
        <v>12</v>
      </c>
      <c r="J624" s="97" t="s">
        <v>93</v>
      </c>
      <c r="K624" s="98">
        <f t="shared" si="0"/>
        <v>98</v>
      </c>
      <c r="L624" s="109" t="s">
        <v>720</v>
      </c>
      <c r="M624" s="87" t="s">
        <v>862</v>
      </c>
      <c r="N624" s="87">
        <v>17</v>
      </c>
      <c r="Q624" s="87"/>
      <c r="R624" s="87"/>
      <c r="S624" s="26">
        <v>3164</v>
      </c>
      <c r="T624" s="26" t="s">
        <v>1614</v>
      </c>
      <c r="U624" s="26" t="s">
        <v>1617</v>
      </c>
      <c r="V624" s="26" t="s">
        <v>1618</v>
      </c>
      <c r="W624" s="62">
        <v>44805</v>
      </c>
      <c r="X624" s="62">
        <v>45169</v>
      </c>
      <c r="Y624" s="62"/>
      <c r="Z624" s="62"/>
      <c r="AA624" s="24" t="s">
        <v>1147</v>
      </c>
      <c r="AB624" s="23" t="s">
        <v>731</v>
      </c>
      <c r="AC624" s="23" t="s">
        <v>731</v>
      </c>
      <c r="AD624" s="23" t="s">
        <v>731</v>
      </c>
      <c r="AE624" s="23"/>
      <c r="AF624" s="23" t="s">
        <v>731</v>
      </c>
      <c r="AG624" s="23"/>
      <c r="AH624" s="23"/>
      <c r="AI624" s="23" t="s">
        <v>731</v>
      </c>
      <c r="AJ624" s="23"/>
      <c r="AK624" s="23"/>
      <c r="AL624" s="23"/>
      <c r="AM624" s="23"/>
      <c r="AN624" s="23"/>
      <c r="AO624" s="23"/>
      <c r="AP624" s="23"/>
      <c r="AQ624" s="23"/>
      <c r="AR624" s="23"/>
      <c r="AS624" s="23"/>
      <c r="AT624" s="23"/>
      <c r="AU624" s="23"/>
      <c r="AV624" s="42">
        <v>26.07</v>
      </c>
      <c r="AW624" s="18"/>
      <c r="AY624" s="42"/>
      <c r="AZ624" s="42"/>
      <c r="BB624" s="45">
        <v>1</v>
      </c>
      <c r="BC624" s="41">
        <f>IF(AND((AV624/I624)&lt;2,BB624=1),(I624*2)-AV624,0)</f>
        <v>0</v>
      </c>
      <c r="BD624" s="41">
        <f>IF(AND((AV624/I624)&lt;3,BB624=2),(I624*3)-AV624,0)</f>
        <v>0</v>
      </c>
      <c r="BG624" s="18"/>
      <c r="BH624" s="18">
        <v>9</v>
      </c>
      <c r="BI624" s="18">
        <v>9</v>
      </c>
      <c r="BJ624" s="18">
        <v>8</v>
      </c>
      <c r="BK624" s="18">
        <v>7</v>
      </c>
      <c r="BL624" s="18">
        <v>9</v>
      </c>
      <c r="BM624" s="55">
        <f>SUM(AV624:AX624)+SUM(BC624:BD624)+SUM(BE624:BF624)+BG624</f>
        <v>26.07</v>
      </c>
      <c r="BN624" s="55"/>
      <c r="BO624" s="55"/>
      <c r="BP624" s="55"/>
      <c r="BQ624" s="55"/>
      <c r="BR624" s="55"/>
      <c r="BS624" s="55"/>
      <c r="BT624" s="55"/>
      <c r="BU624" s="55"/>
      <c r="BV624" s="55"/>
      <c r="BW624" s="55"/>
      <c r="BX624" s="55"/>
      <c r="BY624" s="55"/>
    </row>
    <row r="625" spans="1:77" ht="25.5">
      <c r="B625" s="89">
        <v>612</v>
      </c>
      <c r="C625" s="93">
        <v>312</v>
      </c>
      <c r="D625" s="95">
        <v>602</v>
      </c>
      <c r="E625" s="105">
        <v>0.45208333333333334</v>
      </c>
      <c r="F625" s="105">
        <v>0.47013888888888888</v>
      </c>
      <c r="G625" s="103" t="s">
        <v>624</v>
      </c>
      <c r="H625" s="93" t="s">
        <v>364</v>
      </c>
      <c r="I625" s="96">
        <v>12</v>
      </c>
      <c r="J625" s="97" t="s">
        <v>93</v>
      </c>
      <c r="K625" s="98">
        <f t="shared" si="0"/>
        <v>98</v>
      </c>
      <c r="L625" s="109" t="s">
        <v>720</v>
      </c>
      <c r="M625" s="87" t="s">
        <v>862</v>
      </c>
      <c r="N625" s="87">
        <v>17</v>
      </c>
      <c r="Q625" s="87"/>
      <c r="R625" s="87"/>
      <c r="S625" s="26" t="s">
        <v>1617</v>
      </c>
      <c r="T625" s="26" t="s">
        <v>1619</v>
      </c>
      <c r="U625" s="26">
        <v>3164</v>
      </c>
      <c r="V625" s="26" t="s">
        <v>1614</v>
      </c>
      <c r="W625" s="62">
        <v>44805</v>
      </c>
      <c r="X625" s="62">
        <v>45169</v>
      </c>
      <c r="Y625" s="62"/>
      <c r="Z625" s="62"/>
      <c r="AA625" s="24" t="s">
        <v>1147</v>
      </c>
      <c r="AB625" s="23" t="s">
        <v>731</v>
      </c>
      <c r="AC625" s="23" t="s">
        <v>731</v>
      </c>
      <c r="AD625" s="23" t="s">
        <v>731</v>
      </c>
      <c r="AE625" s="23"/>
      <c r="AF625" s="23" t="s">
        <v>731</v>
      </c>
      <c r="AG625" s="23"/>
      <c r="AH625" s="23"/>
      <c r="AI625" s="23" t="s">
        <v>731</v>
      </c>
      <c r="AJ625" s="23"/>
      <c r="AK625" s="23"/>
      <c r="AL625" s="23"/>
      <c r="AM625" s="23"/>
      <c r="AN625" s="23"/>
      <c r="AO625" s="23"/>
      <c r="AP625" s="23"/>
      <c r="AQ625" s="23"/>
      <c r="AR625" s="23"/>
      <c r="AS625" s="23"/>
      <c r="AT625" s="23"/>
      <c r="AU625" s="23"/>
      <c r="AV625" s="42">
        <f>26.07+12</f>
        <v>38.07</v>
      </c>
      <c r="AW625" s="18"/>
      <c r="AY625" s="42"/>
      <c r="AZ625" s="42"/>
      <c r="BB625" s="45">
        <v>1</v>
      </c>
      <c r="BC625" s="41">
        <f>IF(AND((AV625/I625)&lt;2,BB625=1),(I625*2)-AV625,0)</f>
        <v>0</v>
      </c>
      <c r="BD625" s="41">
        <f>IF(AND((AV625/I625)&lt;3,BB625=2),(I625*3)-AV625,0)</f>
        <v>0</v>
      </c>
      <c r="BG625" s="18"/>
      <c r="BH625" s="18">
        <v>9</v>
      </c>
      <c r="BI625" s="18">
        <v>9</v>
      </c>
      <c r="BJ625" s="18">
        <v>8</v>
      </c>
      <c r="BK625" s="18">
        <v>7</v>
      </c>
      <c r="BL625" s="18">
        <v>9</v>
      </c>
      <c r="BM625" s="55">
        <f>SUM(AV625:AX625)+SUM(BC625:BD625)+SUM(BE625:BF625)+BG625</f>
        <v>38.07</v>
      </c>
      <c r="BN625" s="55"/>
      <c r="BO625" s="55"/>
      <c r="BP625" s="55"/>
      <c r="BQ625" s="55"/>
      <c r="BR625" s="55"/>
      <c r="BS625" s="55"/>
      <c r="BT625" s="55"/>
      <c r="BU625" s="55"/>
      <c r="BV625" s="55"/>
      <c r="BW625" s="55"/>
      <c r="BX625" s="55"/>
      <c r="BY625" s="55"/>
    </row>
    <row r="626" spans="1:77" ht="25.5">
      <c r="B626" s="89">
        <v>613</v>
      </c>
      <c r="C626" s="93">
        <v>312</v>
      </c>
      <c r="D626" s="123">
        <v>606</v>
      </c>
      <c r="E626" s="94">
        <v>0.47916666666666669</v>
      </c>
      <c r="F626" s="94">
        <v>0.5</v>
      </c>
      <c r="G626" s="103" t="s">
        <v>366</v>
      </c>
      <c r="H626" s="93" t="s">
        <v>364</v>
      </c>
      <c r="I626" s="96">
        <v>17.5</v>
      </c>
      <c r="J626" s="97" t="s">
        <v>93</v>
      </c>
      <c r="K626" s="98">
        <f t="shared" si="0"/>
        <v>98</v>
      </c>
      <c r="L626" s="109" t="s">
        <v>720</v>
      </c>
      <c r="M626" s="87" t="s">
        <v>862</v>
      </c>
      <c r="N626" s="87">
        <v>17</v>
      </c>
      <c r="Q626" s="87"/>
      <c r="R626" s="87"/>
      <c r="S626" s="26">
        <v>3164</v>
      </c>
      <c r="T626" s="26" t="s">
        <v>1614</v>
      </c>
      <c r="U626" s="26">
        <v>3169</v>
      </c>
      <c r="V626" s="26" t="s">
        <v>1344</v>
      </c>
      <c r="W626" s="62">
        <v>44805</v>
      </c>
      <c r="X626" s="62">
        <v>45169</v>
      </c>
      <c r="Y626" s="62"/>
      <c r="Z626" s="62"/>
      <c r="AA626" s="24" t="s">
        <v>1147</v>
      </c>
      <c r="AB626" s="23" t="s">
        <v>731</v>
      </c>
      <c r="AC626" s="23" t="s">
        <v>731</v>
      </c>
      <c r="AD626" s="23" t="s">
        <v>731</v>
      </c>
      <c r="AE626" s="23"/>
      <c r="AF626" s="23" t="s">
        <v>731</v>
      </c>
      <c r="AG626" s="23"/>
      <c r="AH626" s="23"/>
      <c r="AI626" s="23" t="s">
        <v>731</v>
      </c>
      <c r="AJ626" s="23"/>
      <c r="AK626" s="23"/>
      <c r="AL626" s="23"/>
      <c r="AM626" s="23"/>
      <c r="AN626" s="23"/>
      <c r="AO626" s="23"/>
      <c r="AP626" s="23"/>
      <c r="AQ626" s="23"/>
      <c r="AR626" s="23"/>
      <c r="AS626" s="23"/>
      <c r="AT626" s="23"/>
      <c r="AU626" s="23"/>
      <c r="AV626" s="42">
        <v>38.020000000000003</v>
      </c>
      <c r="AW626" s="18"/>
      <c r="AY626" s="42"/>
      <c r="AZ626" s="42"/>
      <c r="BB626" s="45">
        <v>1</v>
      </c>
      <c r="BC626" s="41">
        <f>IF(AND((AV626/I626)&lt;2,BB626=1),(I626*2)-AV626,0)</f>
        <v>0</v>
      </c>
      <c r="BD626" s="41">
        <f>IF(AND((AV626/I626)&lt;3,BB626=2),(I626*3)-AV626,0)</f>
        <v>0</v>
      </c>
      <c r="BG626" s="18"/>
      <c r="BH626" s="18">
        <v>9</v>
      </c>
      <c r="BI626" s="18">
        <v>9</v>
      </c>
      <c r="BJ626" s="18">
        <v>8</v>
      </c>
      <c r="BK626" s="18">
        <v>7</v>
      </c>
      <c r="BL626" s="18">
        <v>9</v>
      </c>
      <c r="BM626" s="55">
        <f>SUM(AV626:AX626)+SUM(BC626:BD626)+SUM(BE626:BF626)+BG626</f>
        <v>38.020000000000003</v>
      </c>
      <c r="BN626" s="55"/>
      <c r="BO626" s="55"/>
      <c r="BP626" s="55"/>
      <c r="BQ626" s="55"/>
      <c r="BR626" s="55"/>
      <c r="BS626" s="55"/>
      <c r="BT626" s="55"/>
      <c r="BU626" s="55"/>
      <c r="BV626" s="55"/>
      <c r="BW626" s="55"/>
      <c r="BX626" s="55"/>
      <c r="BY626" s="55"/>
    </row>
    <row r="627" spans="1:77" ht="38.25">
      <c r="B627" s="89">
        <v>614</v>
      </c>
      <c r="C627" s="93">
        <v>312</v>
      </c>
      <c r="D627" s="95">
        <v>607</v>
      </c>
      <c r="E627" s="94">
        <v>0.5</v>
      </c>
      <c r="F627" s="94">
        <v>0.50972222222222219</v>
      </c>
      <c r="G627" s="103" t="s">
        <v>643</v>
      </c>
      <c r="H627" s="93" t="s">
        <v>364</v>
      </c>
      <c r="I627" s="96">
        <v>14</v>
      </c>
      <c r="J627" s="97" t="s">
        <v>93</v>
      </c>
      <c r="K627" s="98">
        <f t="shared" si="0"/>
        <v>98</v>
      </c>
      <c r="L627" s="109" t="s">
        <v>720</v>
      </c>
      <c r="M627" s="87" t="s">
        <v>862</v>
      </c>
      <c r="N627" s="87">
        <v>17</v>
      </c>
      <c r="Q627" s="87"/>
      <c r="R627" s="87"/>
      <c r="S627" s="26">
        <v>3169</v>
      </c>
      <c r="T627" s="26" t="s">
        <v>1344</v>
      </c>
      <c r="U627" s="26">
        <v>3164</v>
      </c>
      <c r="V627" s="26" t="s">
        <v>1614</v>
      </c>
      <c r="W627" s="62">
        <v>44805</v>
      </c>
      <c r="X627" s="62">
        <v>45169</v>
      </c>
      <c r="Y627" s="62"/>
      <c r="Z627" s="62"/>
      <c r="AA627" s="24" t="s">
        <v>1147</v>
      </c>
      <c r="AB627" s="23" t="s">
        <v>731</v>
      </c>
      <c r="AC627" s="23" t="s">
        <v>731</v>
      </c>
      <c r="AD627" s="23" t="s">
        <v>731</v>
      </c>
      <c r="AE627" s="23"/>
      <c r="AF627" s="23" t="s">
        <v>731</v>
      </c>
      <c r="AG627" s="23"/>
      <c r="AH627" s="23"/>
      <c r="AI627" s="23" t="s">
        <v>731</v>
      </c>
      <c r="AJ627" s="23"/>
      <c r="AK627" s="23"/>
      <c r="AL627" s="23"/>
      <c r="AM627" s="23"/>
      <c r="AN627" s="23"/>
      <c r="AO627" s="23"/>
      <c r="AP627" s="23"/>
      <c r="AQ627" s="23"/>
      <c r="AR627" s="23"/>
      <c r="AS627" s="23"/>
      <c r="AT627" s="23"/>
      <c r="AU627" s="23"/>
      <c r="AV627" s="42">
        <v>30.42</v>
      </c>
      <c r="AW627" s="18"/>
      <c r="AY627" s="42"/>
      <c r="AZ627" s="42"/>
      <c r="BB627" s="45">
        <v>1</v>
      </c>
      <c r="BC627" s="41">
        <f>IF(AND((AV627/I627)&lt;2,BB627=1),(I627*2)-AV627,0)</f>
        <v>0</v>
      </c>
      <c r="BD627" s="41">
        <f>IF(AND((AV627/I627)&lt;3,BB627=2),(I627*3)-AV627,0)</f>
        <v>0</v>
      </c>
      <c r="BG627" s="18"/>
      <c r="BH627" s="18">
        <v>9</v>
      </c>
      <c r="BI627" s="18">
        <v>9</v>
      </c>
      <c r="BJ627" s="18">
        <v>8</v>
      </c>
      <c r="BK627" s="18">
        <v>7</v>
      </c>
      <c r="BL627" s="18">
        <v>9</v>
      </c>
      <c r="BM627" s="55">
        <f>SUM(AV627:AX627)+SUM(BC627:BD627)+SUM(BE627:BF627)+BG627</f>
        <v>30.42</v>
      </c>
      <c r="BN627" s="55"/>
      <c r="BO627" s="55"/>
      <c r="BP627" s="55"/>
      <c r="BQ627" s="55"/>
      <c r="BR627" s="55"/>
      <c r="BS627" s="55"/>
      <c r="BT627" s="55"/>
      <c r="BU627" s="55"/>
      <c r="BV627" s="55"/>
      <c r="BW627" s="55"/>
      <c r="BX627" s="55"/>
      <c r="BY627" s="55"/>
    </row>
    <row r="628" spans="1:77" ht="25.5">
      <c r="A628" s="2" t="s">
        <v>800</v>
      </c>
      <c r="B628" s="89">
        <v>615</v>
      </c>
      <c r="C628" s="93">
        <v>312</v>
      </c>
      <c r="D628" s="93"/>
      <c r="E628" s="94">
        <v>0.67708333333333337</v>
      </c>
      <c r="F628" s="94">
        <v>0.70833333333333337</v>
      </c>
      <c r="G628" s="93" t="s">
        <v>707</v>
      </c>
      <c r="H628" s="93" t="s">
        <v>103</v>
      </c>
      <c r="I628" s="96">
        <v>17.2</v>
      </c>
      <c r="J628" s="97" t="s">
        <v>93</v>
      </c>
      <c r="K628" s="98">
        <v>174</v>
      </c>
      <c r="L628" s="99" t="s">
        <v>764</v>
      </c>
      <c r="M628" s="83" t="s">
        <v>964</v>
      </c>
      <c r="N628" s="83">
        <v>16</v>
      </c>
      <c r="O628" s="100" t="s">
        <v>1226</v>
      </c>
      <c r="P628" s="100">
        <v>21</v>
      </c>
      <c r="Q628" s="83" t="s">
        <v>1227</v>
      </c>
      <c r="R628" s="87">
        <v>15</v>
      </c>
      <c r="S628" s="26" t="s">
        <v>1342</v>
      </c>
      <c r="T628" s="26" t="s">
        <v>1343</v>
      </c>
      <c r="U628" s="26">
        <v>3253</v>
      </c>
      <c r="V628" s="26" t="s">
        <v>1620</v>
      </c>
      <c r="W628" s="62">
        <v>44816</v>
      </c>
      <c r="X628" s="62">
        <v>45086</v>
      </c>
      <c r="Y628" s="62"/>
      <c r="Z628" s="62"/>
      <c r="AA628" s="22" t="s">
        <v>1102</v>
      </c>
      <c r="AB628" s="23"/>
      <c r="AC628" s="23"/>
      <c r="AD628" s="23"/>
      <c r="AE628" s="23" t="s">
        <v>731</v>
      </c>
      <c r="AF628" s="23" t="s">
        <v>731</v>
      </c>
      <c r="AG628" s="23" t="s">
        <v>731</v>
      </c>
      <c r="AH628" s="23" t="s">
        <v>731</v>
      </c>
      <c r="AI628" s="23" t="s">
        <v>731</v>
      </c>
      <c r="AJ628" s="23" t="s">
        <v>731</v>
      </c>
      <c r="AK628" s="23"/>
      <c r="AL628" s="23"/>
      <c r="AM628" s="23"/>
      <c r="AN628" s="23"/>
      <c r="AO628" s="23"/>
      <c r="AP628" s="23"/>
      <c r="AQ628" s="23"/>
      <c r="AR628" s="23"/>
      <c r="AS628" s="23"/>
      <c r="AT628" s="23"/>
      <c r="AU628" s="23"/>
      <c r="AV628" s="42"/>
      <c r="AX628" s="41">
        <f>3*I628</f>
        <v>51.599999999999994</v>
      </c>
      <c r="AY628" s="42"/>
      <c r="AZ628" s="42"/>
      <c r="BB628" s="45">
        <v>1</v>
      </c>
      <c r="BC628" s="45"/>
      <c r="BD628" s="50"/>
      <c r="BE628" s="45"/>
      <c r="BF628" s="45"/>
      <c r="BG628" s="18"/>
      <c r="BH628" s="18">
        <v>15</v>
      </c>
      <c r="BI628" s="18">
        <v>20</v>
      </c>
      <c r="BJ628" s="18">
        <v>21</v>
      </c>
      <c r="BK628" s="18">
        <v>15</v>
      </c>
      <c r="BL628" s="18">
        <v>17</v>
      </c>
      <c r="BM628" s="55">
        <f>SUM(AV628:AX628)+SUM(BC628:BD628)+SUM(BE628:BF628)+BG628</f>
        <v>51.599999999999994</v>
      </c>
      <c r="BN628" s="55"/>
      <c r="BO628" s="55"/>
      <c r="BP628" s="55"/>
      <c r="BQ628" s="55"/>
      <c r="BR628" s="55"/>
      <c r="BS628" s="55"/>
      <c r="BT628" s="55"/>
      <c r="BU628" s="55"/>
      <c r="BV628" s="55"/>
      <c r="BW628" s="55"/>
      <c r="BX628" s="55"/>
      <c r="BY628" s="55"/>
    </row>
    <row r="629" spans="1:77" ht="25.5">
      <c r="B629" s="89">
        <v>616</v>
      </c>
      <c r="C629" s="101">
        <v>312</v>
      </c>
      <c r="D629" s="101">
        <v>110</v>
      </c>
      <c r="E629" s="102">
        <v>0.7270833333333333</v>
      </c>
      <c r="F629" s="102">
        <v>0.78055555555555556</v>
      </c>
      <c r="G629" s="103" t="s">
        <v>28</v>
      </c>
      <c r="H629" s="93" t="s">
        <v>155</v>
      </c>
      <c r="I629" s="101">
        <v>36</v>
      </c>
      <c r="J629" s="104">
        <v>19</v>
      </c>
      <c r="K629" s="98">
        <v>252</v>
      </c>
      <c r="L629" s="109" t="s">
        <v>745</v>
      </c>
      <c r="M629" s="83" t="s">
        <v>898</v>
      </c>
      <c r="N629" s="83">
        <v>23</v>
      </c>
      <c r="O629" s="83" t="s">
        <v>899</v>
      </c>
      <c r="P629" s="83">
        <v>20</v>
      </c>
      <c r="R629" s="83"/>
      <c r="S629" s="26" t="s">
        <v>1342</v>
      </c>
      <c r="T629" s="26" t="s">
        <v>1343</v>
      </c>
      <c r="U629" s="26">
        <v>3166</v>
      </c>
      <c r="V629" s="26" t="s">
        <v>1616</v>
      </c>
      <c r="W629" s="62">
        <v>44805</v>
      </c>
      <c r="X629" s="62">
        <v>45169</v>
      </c>
      <c r="Y629" s="62"/>
      <c r="Z629" s="62"/>
      <c r="AA629" s="22" t="s">
        <v>1101</v>
      </c>
      <c r="AB629" s="23" t="s">
        <v>731</v>
      </c>
      <c r="AC629" s="23" t="s">
        <v>731</v>
      </c>
      <c r="AD629" s="23" t="s">
        <v>731</v>
      </c>
      <c r="AE629" s="23"/>
      <c r="AF629" s="23" t="s">
        <v>731</v>
      </c>
      <c r="AG629" s="23" t="s">
        <v>731</v>
      </c>
      <c r="AH629" s="23" t="s">
        <v>731</v>
      </c>
      <c r="AI629" s="23" t="s">
        <v>731</v>
      </c>
      <c r="AJ629" s="23" t="s">
        <v>731</v>
      </c>
      <c r="AK629" s="23"/>
      <c r="AL629" s="23"/>
      <c r="AM629" s="23"/>
      <c r="AN629" s="23"/>
      <c r="AO629" s="23"/>
      <c r="AP629" s="23"/>
      <c r="AQ629" s="23"/>
      <c r="AR629" s="23"/>
      <c r="AS629" s="23"/>
      <c r="AT629" s="23"/>
      <c r="AU629" s="23"/>
      <c r="AW629" s="41">
        <f>1.9*36</f>
        <v>68.399999999999991</v>
      </c>
      <c r="AY629" s="41"/>
      <c r="AZ629" s="41"/>
      <c r="BB629" s="45">
        <v>1</v>
      </c>
      <c r="BD629" s="41"/>
      <c r="BE629" s="41">
        <f>IF(AND((AW629/I629)&lt;2,BB629=1),(I629*2)-AW629,0)</f>
        <v>3.6000000000000085</v>
      </c>
      <c r="BF629" s="41">
        <f>IF(AND((AW629/I629)&lt;3,BB629=2),(I629*3)-AW629,0)</f>
        <v>0</v>
      </c>
      <c r="BG629" s="18"/>
      <c r="BH629" s="18">
        <v>22</v>
      </c>
      <c r="BI629" s="18">
        <v>21</v>
      </c>
      <c r="BJ629" s="18">
        <v>21</v>
      </c>
      <c r="BK629" s="18">
        <v>20</v>
      </c>
      <c r="BL629" s="18">
        <v>21</v>
      </c>
      <c r="BM629" s="55">
        <f>SUM(AV629:AX629)+SUM(BC629:BD629)+SUM(BE629:BF629)+BG629</f>
        <v>72</v>
      </c>
      <c r="BN629" s="55"/>
      <c r="BO629" s="55"/>
      <c r="BP629" s="55"/>
      <c r="BQ629" s="55"/>
      <c r="BR629" s="55"/>
      <c r="BS629" s="55"/>
      <c r="BT629" s="55"/>
      <c r="BU629" s="55"/>
      <c r="BV629" s="55"/>
      <c r="BW629" s="55"/>
      <c r="BX629" s="55"/>
      <c r="BY629" s="55"/>
    </row>
    <row r="630" spans="1:77" ht="25.5">
      <c r="B630" s="89">
        <v>617</v>
      </c>
      <c r="C630" s="101">
        <v>312</v>
      </c>
      <c r="D630" s="101">
        <v>128</v>
      </c>
      <c r="E630" s="102">
        <v>0.76388888888888884</v>
      </c>
      <c r="F630" s="102">
        <v>0.79513888888888884</v>
      </c>
      <c r="G630" s="103" t="s">
        <v>27</v>
      </c>
      <c r="H630" s="93" t="s">
        <v>97</v>
      </c>
      <c r="I630" s="101">
        <v>17</v>
      </c>
      <c r="J630" s="104">
        <v>19</v>
      </c>
      <c r="K630" s="98">
        <v>208</v>
      </c>
      <c r="L630" s="109" t="s">
        <v>745</v>
      </c>
      <c r="M630" s="83" t="s">
        <v>902</v>
      </c>
      <c r="N630" s="83">
        <v>24</v>
      </c>
      <c r="O630" s="83" t="s">
        <v>899</v>
      </c>
      <c r="P630" s="83">
        <v>20</v>
      </c>
      <c r="R630" s="83"/>
      <c r="S630" s="26" t="s">
        <v>1342</v>
      </c>
      <c r="T630" s="26" t="s">
        <v>1343</v>
      </c>
      <c r="U630" s="26">
        <v>3253</v>
      </c>
      <c r="V630" s="26" t="s">
        <v>1620</v>
      </c>
      <c r="W630" s="62">
        <v>44816</v>
      </c>
      <c r="X630" s="62">
        <v>45086</v>
      </c>
      <c r="Y630" s="62"/>
      <c r="Z630" s="62"/>
      <c r="AA630" s="22" t="s">
        <v>1106</v>
      </c>
      <c r="AB630" s="23"/>
      <c r="AC630" s="23"/>
      <c r="AD630" s="23"/>
      <c r="AE630" s="23" t="s">
        <v>731</v>
      </c>
      <c r="AF630" s="23" t="s">
        <v>731</v>
      </c>
      <c r="AG630" s="23" t="s">
        <v>731</v>
      </c>
      <c r="AH630" s="23" t="s">
        <v>731</v>
      </c>
      <c r="AI630" s="23" t="s">
        <v>731</v>
      </c>
      <c r="AJ630" s="23" t="s">
        <v>731</v>
      </c>
      <c r="AK630" s="23" t="s">
        <v>731</v>
      </c>
      <c r="AL630" s="23"/>
      <c r="AM630" s="23"/>
      <c r="AN630" s="23"/>
      <c r="AO630" s="23"/>
      <c r="AP630" s="23"/>
      <c r="AQ630" s="23"/>
      <c r="AR630" s="23"/>
      <c r="AS630" s="23"/>
      <c r="AT630" s="23"/>
      <c r="AU630" s="23"/>
      <c r="AW630" s="41">
        <f>1.9*17</f>
        <v>32.299999999999997</v>
      </c>
      <c r="AY630" s="41"/>
      <c r="AZ630" s="41"/>
      <c r="BB630" s="45">
        <v>1</v>
      </c>
      <c r="BD630" s="41"/>
      <c r="BE630" s="41">
        <f>IF(AND((AW630/I630)&lt;2,BB630=1),(I630*2)-AW630,0)</f>
        <v>1.7000000000000028</v>
      </c>
      <c r="BF630" s="41">
        <f>IF(AND((AW630/I630)&lt;3,BB630=2),(I630*3)-AW630,0)</f>
        <v>0</v>
      </c>
      <c r="BG630" s="18"/>
      <c r="BH630" s="18">
        <v>17</v>
      </c>
      <c r="BI630" s="18">
        <v>25</v>
      </c>
      <c r="BJ630" s="18">
        <v>25</v>
      </c>
      <c r="BK630" s="18">
        <v>18</v>
      </c>
      <c r="BL630" s="18">
        <v>20</v>
      </c>
      <c r="BM630" s="55">
        <f>SUM(AV630:AX630)+SUM(BC630:BD630)+SUM(BE630:BF630)+BG630</f>
        <v>34</v>
      </c>
      <c r="BN630" s="55"/>
      <c r="BO630" s="55"/>
      <c r="BP630" s="55"/>
      <c r="BQ630" s="55"/>
      <c r="BR630" s="55"/>
      <c r="BS630" s="55"/>
      <c r="BT630" s="55"/>
      <c r="BU630" s="55"/>
      <c r="BV630" s="55"/>
      <c r="BW630" s="55"/>
      <c r="BX630" s="55"/>
      <c r="BY630" s="55"/>
    </row>
    <row r="631" spans="1:77" ht="25.5">
      <c r="B631" s="89">
        <v>618</v>
      </c>
      <c r="C631" s="101">
        <v>312</v>
      </c>
      <c r="D631" s="101">
        <v>130</v>
      </c>
      <c r="E631" s="102">
        <v>0.8125</v>
      </c>
      <c r="F631" s="102">
        <v>0.84375</v>
      </c>
      <c r="G631" s="103" t="s">
        <v>27</v>
      </c>
      <c r="H631" s="93" t="s">
        <v>155</v>
      </c>
      <c r="I631" s="101">
        <v>17</v>
      </c>
      <c r="J631" s="104">
        <v>19</v>
      </c>
      <c r="K631" s="98">
        <v>252</v>
      </c>
      <c r="L631" s="109" t="s">
        <v>745</v>
      </c>
      <c r="M631" s="83" t="s">
        <v>898</v>
      </c>
      <c r="N631" s="83">
        <v>23</v>
      </c>
      <c r="O631" s="83" t="s">
        <v>899</v>
      </c>
      <c r="P631" s="83">
        <v>20</v>
      </c>
      <c r="Q631" s="83" t="s">
        <v>902</v>
      </c>
      <c r="R631" s="84">
        <v>24</v>
      </c>
      <c r="S631" s="26" t="s">
        <v>1342</v>
      </c>
      <c r="T631" s="26" t="s">
        <v>1343</v>
      </c>
      <c r="U631" s="26">
        <v>3253</v>
      </c>
      <c r="V631" s="26" t="s">
        <v>1620</v>
      </c>
      <c r="W631" s="62">
        <v>44805</v>
      </c>
      <c r="X631" s="62">
        <v>45169</v>
      </c>
      <c r="Y631" s="62"/>
      <c r="Z631" s="62"/>
      <c r="AA631" s="22" t="s">
        <v>1101</v>
      </c>
      <c r="AB631" s="23" t="s">
        <v>731</v>
      </c>
      <c r="AC631" s="23" t="s">
        <v>731</v>
      </c>
      <c r="AD631" s="23" t="s">
        <v>731</v>
      </c>
      <c r="AE631" s="23"/>
      <c r="AF631" s="23" t="s">
        <v>731</v>
      </c>
      <c r="AG631" s="23" t="s">
        <v>731</v>
      </c>
      <c r="AH631" s="23" t="s">
        <v>731</v>
      </c>
      <c r="AI631" s="23" t="s">
        <v>731</v>
      </c>
      <c r="AJ631" s="23" t="s">
        <v>731</v>
      </c>
      <c r="AK631" s="23"/>
      <c r="AL631" s="23"/>
      <c r="AM631" s="23"/>
      <c r="AN631" s="23"/>
      <c r="AO631" s="23"/>
      <c r="AP631" s="23"/>
      <c r="AQ631" s="23"/>
      <c r="AR631" s="23"/>
      <c r="AS631" s="23"/>
      <c r="AT631" s="23"/>
      <c r="AU631" s="23"/>
      <c r="AW631" s="41">
        <f>1.9*17</f>
        <v>32.299999999999997</v>
      </c>
      <c r="AY631" s="41"/>
      <c r="AZ631" s="41"/>
      <c r="BB631" s="45">
        <v>1</v>
      </c>
      <c r="BD631" s="41"/>
      <c r="BE631" s="41">
        <f>IF(AND((AW631/I631)&lt;2,BB631=1),(I631*2)-AW631,0)</f>
        <v>1.7000000000000028</v>
      </c>
      <c r="BF631" s="41">
        <f>IF(AND((AW631/I631)&lt;3,BB631=2),(I631*3)-AW631,0)</f>
        <v>0</v>
      </c>
      <c r="BG631" s="18"/>
      <c r="BH631" s="18">
        <v>22</v>
      </c>
      <c r="BI631" s="18">
        <v>21</v>
      </c>
      <c r="BJ631" s="18">
        <v>21</v>
      </c>
      <c r="BK631" s="18">
        <v>20</v>
      </c>
      <c r="BL631" s="18">
        <v>21</v>
      </c>
      <c r="BM631" s="55">
        <f>SUM(AV631:AX631)+SUM(BC631:BD631)+SUM(BE631:BF631)+BG631</f>
        <v>34</v>
      </c>
      <c r="BN631" s="55"/>
      <c r="BO631" s="55"/>
      <c r="BP631" s="55"/>
      <c r="BQ631" s="55"/>
      <c r="BR631" s="55"/>
      <c r="BS631" s="55"/>
      <c r="BT631" s="55"/>
      <c r="BU631" s="55"/>
      <c r="BV631" s="55"/>
      <c r="BW631" s="55"/>
      <c r="BX631" s="55"/>
      <c r="BY631" s="55"/>
    </row>
    <row r="632" spans="1:77" ht="38.25">
      <c r="B632" s="89">
        <v>619</v>
      </c>
      <c r="C632" s="93">
        <v>314</v>
      </c>
      <c r="D632" s="95">
        <v>115</v>
      </c>
      <c r="E632" s="94">
        <v>0.27083333333333331</v>
      </c>
      <c r="F632" s="94">
        <v>0.30902777777777779</v>
      </c>
      <c r="G632" s="93" t="s">
        <v>363</v>
      </c>
      <c r="H632" s="93" t="s">
        <v>347</v>
      </c>
      <c r="I632" s="96">
        <v>27</v>
      </c>
      <c r="J632" s="97" t="s">
        <v>355</v>
      </c>
      <c r="K632" s="98">
        <v>29</v>
      </c>
      <c r="L632" s="109" t="s">
        <v>720</v>
      </c>
      <c r="M632" s="87" t="s">
        <v>862</v>
      </c>
      <c r="N632" s="87">
        <v>17</v>
      </c>
      <c r="Q632" s="87"/>
      <c r="R632" s="87"/>
      <c r="S632" s="26">
        <v>3240</v>
      </c>
      <c r="T632" s="26" t="s">
        <v>1621</v>
      </c>
      <c r="U632" s="26" t="s">
        <v>1622</v>
      </c>
      <c r="V632" s="26" t="s">
        <v>1623</v>
      </c>
      <c r="W632" s="63">
        <v>44816</v>
      </c>
      <c r="X632" s="63">
        <v>45100</v>
      </c>
      <c r="Y632" s="63"/>
      <c r="Z632" s="63"/>
      <c r="AA632" s="22" t="s">
        <v>1110</v>
      </c>
      <c r="AB632" s="23" t="s">
        <v>731</v>
      </c>
      <c r="AC632" s="23"/>
      <c r="AD632" s="23" t="s">
        <v>731</v>
      </c>
      <c r="AE632" s="23"/>
      <c r="AF632" s="23"/>
      <c r="AG632" s="23"/>
      <c r="AH632" s="23"/>
      <c r="AI632" s="23"/>
      <c r="AJ632" s="23"/>
      <c r="AK632" s="23"/>
      <c r="AL632" s="23"/>
      <c r="AM632" s="23"/>
      <c r="AN632" s="23"/>
      <c r="AO632" s="23"/>
      <c r="AP632" s="23" t="s">
        <v>731</v>
      </c>
      <c r="AQ632" s="23" t="s">
        <v>731</v>
      </c>
      <c r="AR632" s="23" t="s">
        <v>731</v>
      </c>
      <c r="AS632" s="23" t="s">
        <v>731</v>
      </c>
      <c r="AT632" s="23" t="s">
        <v>731</v>
      </c>
      <c r="AU632" s="23" t="s">
        <v>731</v>
      </c>
      <c r="AV632" s="42">
        <v>65.430000000000007</v>
      </c>
      <c r="AW632" s="18"/>
      <c r="AY632" s="42"/>
      <c r="AZ632" s="42"/>
      <c r="BB632" s="45">
        <v>1</v>
      </c>
      <c r="BC632" s="41">
        <f>IF(AND((AV632/I632)&lt;2,BB632=1),(I632*2)-AV632,0)</f>
        <v>0</v>
      </c>
      <c r="BD632" s="41">
        <f>IF(AND((AV632/I632)&lt;3,BB632=2),(I632*3)-AV632,0)</f>
        <v>0</v>
      </c>
      <c r="BG632" s="41">
        <f>IF((AV632+AW632+AX632)&lt;20,(20-(AV632+AW632+AX632)),0)</f>
        <v>0</v>
      </c>
      <c r="BH632" s="18">
        <v>0</v>
      </c>
      <c r="BI632" s="18">
        <v>1</v>
      </c>
      <c r="BJ632" s="18">
        <v>0</v>
      </c>
      <c r="BK632" s="18">
        <v>7</v>
      </c>
      <c r="BL632" s="18">
        <v>5</v>
      </c>
      <c r="BM632" s="55">
        <f>SUM(AV632:AX632)+SUM(BC632:BD632)+SUM(BE632:BF632)+BG632</f>
        <v>65.430000000000007</v>
      </c>
      <c r="BN632" s="55"/>
      <c r="BO632" s="55"/>
      <c r="BP632" s="55"/>
      <c r="BQ632" s="55"/>
      <c r="BR632" s="55"/>
      <c r="BS632" s="55"/>
      <c r="BT632" s="55"/>
      <c r="BU632" s="55"/>
      <c r="BV632" s="55"/>
      <c r="BW632" s="55"/>
      <c r="BX632" s="55"/>
      <c r="BY632" s="55"/>
    </row>
    <row r="633" spans="1:77" ht="38.25">
      <c r="B633" s="89">
        <v>620</v>
      </c>
      <c r="C633" s="93">
        <v>314</v>
      </c>
      <c r="D633" s="95">
        <v>114</v>
      </c>
      <c r="E633" s="94">
        <v>0.30902777777777779</v>
      </c>
      <c r="F633" s="94">
        <v>0.34027777777777773</v>
      </c>
      <c r="G633" s="93" t="s">
        <v>362</v>
      </c>
      <c r="H633" s="93" t="s">
        <v>361</v>
      </c>
      <c r="I633" s="96">
        <v>25</v>
      </c>
      <c r="J633" s="97" t="s">
        <v>355</v>
      </c>
      <c r="K633" s="98">
        <v>26</v>
      </c>
      <c r="L633" s="109" t="s">
        <v>720</v>
      </c>
      <c r="M633" s="87" t="s">
        <v>862</v>
      </c>
      <c r="N633" s="87">
        <v>17</v>
      </c>
      <c r="Q633" s="87"/>
      <c r="R633" s="87"/>
      <c r="S633" s="26">
        <v>3100</v>
      </c>
      <c r="T633" s="26" t="s">
        <v>1624</v>
      </c>
      <c r="U633" s="26">
        <v>3164</v>
      </c>
      <c r="V633" s="26" t="s">
        <v>1614</v>
      </c>
      <c r="W633" s="63">
        <v>44816</v>
      </c>
      <c r="X633" s="63">
        <v>45100</v>
      </c>
      <c r="Y633" s="63"/>
      <c r="Z633" s="63"/>
      <c r="AA633" s="22" t="s">
        <v>1134</v>
      </c>
      <c r="AB633" s="23" t="s">
        <v>731</v>
      </c>
      <c r="AC633" s="23"/>
      <c r="AD633" s="23" t="s">
        <v>731</v>
      </c>
      <c r="AE633" s="23"/>
      <c r="AF633" s="23"/>
      <c r="AG633" s="23"/>
      <c r="AH633" s="23"/>
      <c r="AI633" s="23"/>
      <c r="AJ633" s="23"/>
      <c r="AK633" s="23"/>
      <c r="AL633" s="23"/>
      <c r="AM633" s="23"/>
      <c r="AN633" s="23"/>
      <c r="AO633" s="23"/>
      <c r="AP633" s="23" t="s">
        <v>731</v>
      </c>
      <c r="AQ633" s="23" t="s">
        <v>731</v>
      </c>
      <c r="AR633" s="23" t="s">
        <v>731</v>
      </c>
      <c r="AS633" s="23" t="s">
        <v>731</v>
      </c>
      <c r="AT633" s="23" t="s">
        <v>731</v>
      </c>
      <c r="AU633" s="23"/>
      <c r="AV633" s="42">
        <v>44.29</v>
      </c>
      <c r="AW633" s="18"/>
      <c r="AY633" s="42"/>
      <c r="AZ633" s="42"/>
      <c r="BB633" s="45">
        <v>1</v>
      </c>
      <c r="BC633" s="41">
        <f>IF(AND((AV633/I633)&lt;2,BB633=1),(I633*2)-AV633,0)</f>
        <v>5.7100000000000009</v>
      </c>
      <c r="BD633" s="41">
        <f>IF(AND((AV633/I633)&lt;3,BB633=2),(I633*3)-AV633,0)</f>
        <v>0</v>
      </c>
      <c r="BG633" s="18"/>
      <c r="BH633" s="18">
        <v>0</v>
      </c>
      <c r="BI633" s="18">
        <v>1</v>
      </c>
      <c r="BJ633" s="18">
        <v>0</v>
      </c>
      <c r="BK633" s="18">
        <v>5</v>
      </c>
      <c r="BL633" s="18">
        <v>4</v>
      </c>
      <c r="BM633" s="55">
        <f>SUM(AV633:AX633)+SUM(BC633:BD633)+SUM(BE633:BF633)+BG633</f>
        <v>50</v>
      </c>
      <c r="BN633" s="55"/>
      <c r="BO633" s="55"/>
      <c r="BP633" s="55"/>
      <c r="BQ633" s="55"/>
      <c r="BR633" s="55"/>
      <c r="BS633" s="55"/>
      <c r="BT633" s="55"/>
      <c r="BU633" s="55"/>
      <c r="BV633" s="55"/>
      <c r="BW633" s="55"/>
      <c r="BX633" s="55"/>
      <c r="BY633" s="55"/>
    </row>
    <row r="634" spans="1:77" ht="38.25">
      <c r="B634" s="89">
        <v>621</v>
      </c>
      <c r="C634" s="93">
        <v>314</v>
      </c>
      <c r="D634" s="95">
        <v>608</v>
      </c>
      <c r="E634" s="94">
        <v>0.3611111111111111</v>
      </c>
      <c r="F634" s="94">
        <v>0.37638888888888888</v>
      </c>
      <c r="G634" s="103" t="s">
        <v>360</v>
      </c>
      <c r="H634" s="93" t="s">
        <v>625</v>
      </c>
      <c r="I634" s="96">
        <v>12</v>
      </c>
      <c r="J634" s="97" t="s">
        <v>93</v>
      </c>
      <c r="K634" s="98">
        <v>156</v>
      </c>
      <c r="L634" s="109" t="s">
        <v>720</v>
      </c>
      <c r="M634" s="87" t="s">
        <v>862</v>
      </c>
      <c r="N634" s="87">
        <v>17</v>
      </c>
      <c r="Q634" s="87"/>
      <c r="R634" s="87"/>
      <c r="S634" s="26">
        <v>3164</v>
      </c>
      <c r="T634" s="26" t="s">
        <v>1614</v>
      </c>
      <c r="U634" s="26">
        <v>3240</v>
      </c>
      <c r="V634" s="26" t="s">
        <v>1621</v>
      </c>
      <c r="W634" s="62">
        <v>44805</v>
      </c>
      <c r="X634" s="62">
        <v>45169</v>
      </c>
      <c r="Y634" s="62"/>
      <c r="Z634" s="62"/>
      <c r="AA634" s="24" t="s">
        <v>1148</v>
      </c>
      <c r="AB634" s="23" t="s">
        <v>731</v>
      </c>
      <c r="AC634" s="23" t="s">
        <v>731</v>
      </c>
      <c r="AD634" s="23" t="s">
        <v>731</v>
      </c>
      <c r="AE634" s="23"/>
      <c r="AF634" s="23"/>
      <c r="AG634" s="23" t="s">
        <v>731</v>
      </c>
      <c r="AH634" s="23" t="s">
        <v>731</v>
      </c>
      <c r="AI634" s="23"/>
      <c r="AJ634" s="23" t="s">
        <v>731</v>
      </c>
      <c r="AK634" s="23"/>
      <c r="AL634" s="23"/>
      <c r="AM634" s="23"/>
      <c r="AN634" s="23"/>
      <c r="AO634" s="23"/>
      <c r="AP634" s="23"/>
      <c r="AQ634" s="23"/>
      <c r="AR634" s="23"/>
      <c r="AS634" s="23"/>
      <c r="AT634" s="23"/>
      <c r="AU634" s="23"/>
      <c r="AV634" s="41">
        <f>((36*52)+(24*104))/K634</f>
        <v>28</v>
      </c>
      <c r="AW634" s="18"/>
      <c r="AY634" s="42"/>
      <c r="AZ634" s="42"/>
      <c r="BB634" s="45">
        <v>1</v>
      </c>
      <c r="BC634" s="41">
        <f>IF(AND((AV634/I634)&lt;2,BB634=1),(I634*2)-AV634,0)</f>
        <v>0</v>
      </c>
      <c r="BD634" s="41">
        <f>IF(AND((AV634/I634)&lt;3,BB634=2),(I634*3)-AV634,0)</f>
        <v>0</v>
      </c>
      <c r="BG634" s="18"/>
      <c r="BH634" s="18">
        <v>13</v>
      </c>
      <c r="BI634" s="18">
        <v>12</v>
      </c>
      <c r="BJ634" s="18">
        <v>13</v>
      </c>
      <c r="BK634" s="18">
        <v>13</v>
      </c>
      <c r="BL634" s="18">
        <v>12</v>
      </c>
      <c r="BM634" s="55">
        <f>SUM(AV634:AX634)+SUM(BC634:BD634)+SUM(BE634:BF634)+BG634</f>
        <v>28</v>
      </c>
      <c r="BN634" s="55"/>
      <c r="BO634" s="55"/>
      <c r="BP634" s="55"/>
      <c r="BQ634" s="55"/>
      <c r="BR634" s="55"/>
      <c r="BS634" s="55"/>
      <c r="BT634" s="55"/>
      <c r="BU634" s="55"/>
      <c r="BV634" s="55"/>
      <c r="BW634" s="55"/>
      <c r="BX634" s="55"/>
      <c r="BY634" s="55"/>
    </row>
    <row r="635" spans="1:77" ht="38.25">
      <c r="B635" s="89">
        <v>622</v>
      </c>
      <c r="C635" s="93">
        <v>314</v>
      </c>
      <c r="D635" s="95">
        <v>609</v>
      </c>
      <c r="E635" s="94">
        <v>0.37638888888888888</v>
      </c>
      <c r="F635" s="94">
        <v>0.39097222222222222</v>
      </c>
      <c r="G635" s="103" t="s">
        <v>358</v>
      </c>
      <c r="H635" s="93" t="s">
        <v>625</v>
      </c>
      <c r="I635" s="96">
        <v>12</v>
      </c>
      <c r="J635" s="97" t="s">
        <v>93</v>
      </c>
      <c r="K635" s="98">
        <v>156</v>
      </c>
      <c r="L635" s="109" t="s">
        <v>720</v>
      </c>
      <c r="M635" s="87" t="s">
        <v>862</v>
      </c>
      <c r="N635" s="87">
        <v>17</v>
      </c>
      <c r="Q635" s="87"/>
      <c r="R635" s="87"/>
      <c r="S635" s="26">
        <v>3240</v>
      </c>
      <c r="T635" s="26" t="s">
        <v>1621</v>
      </c>
      <c r="U635" s="26">
        <v>3164</v>
      </c>
      <c r="V635" s="26" t="s">
        <v>1614</v>
      </c>
      <c r="W635" s="62">
        <v>44805</v>
      </c>
      <c r="X635" s="62">
        <v>45169</v>
      </c>
      <c r="Y635" s="62"/>
      <c r="Z635" s="62"/>
      <c r="AA635" s="24" t="s">
        <v>1148</v>
      </c>
      <c r="AB635" s="23" t="s">
        <v>731</v>
      </c>
      <c r="AC635" s="23" t="s">
        <v>731</v>
      </c>
      <c r="AD635" s="23" t="s">
        <v>731</v>
      </c>
      <c r="AE635" s="23"/>
      <c r="AF635" s="23"/>
      <c r="AG635" s="23" t="s">
        <v>731</v>
      </c>
      <c r="AH635" s="23" t="s">
        <v>731</v>
      </c>
      <c r="AI635" s="23"/>
      <c r="AJ635" s="23" t="s">
        <v>731</v>
      </c>
      <c r="AK635" s="23"/>
      <c r="AL635" s="23"/>
      <c r="AM635" s="23"/>
      <c r="AN635" s="23"/>
      <c r="AO635" s="23"/>
      <c r="AP635" s="23"/>
      <c r="AQ635" s="23"/>
      <c r="AR635" s="23"/>
      <c r="AS635" s="23"/>
      <c r="AT635" s="23"/>
      <c r="AU635" s="23"/>
      <c r="AV635" s="41">
        <f>((36*52)+(24*104))/K635</f>
        <v>28</v>
      </c>
      <c r="AW635" s="18"/>
      <c r="AY635" s="42"/>
      <c r="AZ635" s="42"/>
      <c r="BB635" s="45">
        <v>1</v>
      </c>
      <c r="BC635" s="41">
        <f>IF(AND((AV635/I635)&lt;2,BB635=1),(I635*2)-AV635,0)</f>
        <v>0</v>
      </c>
      <c r="BD635" s="41">
        <f>IF(AND((AV635/I635)&lt;3,BB635=2),(I635*3)-AV635,0)</f>
        <v>0</v>
      </c>
      <c r="BG635" s="18"/>
      <c r="BH635" s="18">
        <v>13</v>
      </c>
      <c r="BI635" s="18">
        <v>12</v>
      </c>
      <c r="BJ635" s="18">
        <v>13</v>
      </c>
      <c r="BK635" s="18">
        <v>13</v>
      </c>
      <c r="BL635" s="18">
        <v>12</v>
      </c>
      <c r="BM635" s="55">
        <f>SUM(AV635:AX635)+SUM(BC635:BD635)+SUM(BE635:BF635)+BG635</f>
        <v>28</v>
      </c>
      <c r="BN635" s="55"/>
      <c r="BO635" s="55"/>
      <c r="BP635" s="55"/>
      <c r="BQ635" s="55"/>
      <c r="BR635" s="55"/>
      <c r="BS635" s="55"/>
      <c r="BT635" s="55"/>
      <c r="BU635" s="55"/>
      <c r="BV635" s="55"/>
      <c r="BW635" s="55"/>
      <c r="BX635" s="55"/>
      <c r="BY635" s="55"/>
    </row>
    <row r="636" spans="1:77" ht="38.25">
      <c r="B636" s="89">
        <v>623</v>
      </c>
      <c r="C636" s="93">
        <v>314</v>
      </c>
      <c r="D636" s="95">
        <v>613</v>
      </c>
      <c r="E636" s="94">
        <v>0.3923611111111111</v>
      </c>
      <c r="F636" s="94">
        <v>0.40902777777777777</v>
      </c>
      <c r="G636" s="103" t="s">
        <v>357</v>
      </c>
      <c r="H636" s="93" t="s">
        <v>625</v>
      </c>
      <c r="I636" s="96">
        <v>15</v>
      </c>
      <c r="J636" s="97" t="s">
        <v>93</v>
      </c>
      <c r="K636" s="98">
        <v>156</v>
      </c>
      <c r="L636" s="109" t="s">
        <v>720</v>
      </c>
      <c r="M636" s="87" t="s">
        <v>862</v>
      </c>
      <c r="N636" s="87">
        <v>17</v>
      </c>
      <c r="Q636" s="87"/>
      <c r="R636" s="87"/>
      <c r="S636" s="26">
        <v>3164</v>
      </c>
      <c r="T636" s="26" t="s">
        <v>1614</v>
      </c>
      <c r="U636" s="26">
        <v>3231</v>
      </c>
      <c r="V636" s="26" t="s">
        <v>1625</v>
      </c>
      <c r="W636" s="62">
        <v>44805</v>
      </c>
      <c r="X636" s="62">
        <v>45169</v>
      </c>
      <c r="Y636" s="62"/>
      <c r="Z636" s="62"/>
      <c r="AA636" s="24" t="s">
        <v>1148</v>
      </c>
      <c r="AB636" s="23" t="s">
        <v>731</v>
      </c>
      <c r="AC636" s="23" t="s">
        <v>731</v>
      </c>
      <c r="AD636" s="23" t="s">
        <v>731</v>
      </c>
      <c r="AE636" s="23"/>
      <c r="AF636" s="23"/>
      <c r="AG636" s="23" t="s">
        <v>731</v>
      </c>
      <c r="AH636" s="23" t="s">
        <v>731</v>
      </c>
      <c r="AI636" s="23"/>
      <c r="AJ636" s="23" t="s">
        <v>731</v>
      </c>
      <c r="AK636" s="23"/>
      <c r="AL636" s="23"/>
      <c r="AM636" s="23"/>
      <c r="AN636" s="23"/>
      <c r="AO636" s="23"/>
      <c r="AP636" s="23"/>
      <c r="AQ636" s="23"/>
      <c r="AR636" s="23"/>
      <c r="AS636" s="23"/>
      <c r="AT636" s="23"/>
      <c r="AU636" s="23"/>
      <c r="AV636" s="41">
        <f>((45*52)+(30*104))/K636</f>
        <v>35</v>
      </c>
      <c r="AW636" s="18"/>
      <c r="AY636" s="42"/>
      <c r="AZ636" s="42"/>
      <c r="BB636" s="45">
        <v>1</v>
      </c>
      <c r="BC636" s="41">
        <f>IF(AND((AV636/I636)&lt;2,BB636=1),(I636*2)-AV636,0)</f>
        <v>0</v>
      </c>
      <c r="BD636" s="41">
        <f>IF(AND((AV636/I636)&lt;3,BB636=2),(I636*3)-AV636,0)</f>
        <v>0</v>
      </c>
      <c r="BG636" s="18"/>
      <c r="BH636" s="18">
        <v>13</v>
      </c>
      <c r="BI636" s="18">
        <v>12</v>
      </c>
      <c r="BJ636" s="18">
        <v>13</v>
      </c>
      <c r="BK636" s="18">
        <v>13</v>
      </c>
      <c r="BL636" s="18">
        <v>12</v>
      </c>
      <c r="BM636" s="55">
        <f>SUM(AV636:AX636)+SUM(BC636:BD636)+SUM(BE636:BF636)+BG636</f>
        <v>35</v>
      </c>
      <c r="BN636" s="55"/>
      <c r="BO636" s="55"/>
      <c r="BP636" s="55"/>
      <c r="BQ636" s="55"/>
      <c r="BR636" s="55"/>
      <c r="BS636" s="55"/>
      <c r="BT636" s="55"/>
      <c r="BU636" s="55"/>
      <c r="BV636" s="55"/>
      <c r="BW636" s="55"/>
      <c r="BX636" s="55"/>
      <c r="BY636" s="55"/>
    </row>
    <row r="637" spans="1:77" ht="38.25">
      <c r="B637" s="89">
        <v>624</v>
      </c>
      <c r="C637" s="93">
        <v>314</v>
      </c>
      <c r="D637" s="95">
        <v>612</v>
      </c>
      <c r="E637" s="94">
        <v>0.40902777777777777</v>
      </c>
      <c r="F637" s="94">
        <v>0.42569444444444443</v>
      </c>
      <c r="G637" s="103" t="s">
        <v>356</v>
      </c>
      <c r="H637" s="93" t="s">
        <v>625</v>
      </c>
      <c r="I637" s="96">
        <v>15</v>
      </c>
      <c r="J637" s="97" t="s">
        <v>93</v>
      </c>
      <c r="K637" s="98">
        <v>156</v>
      </c>
      <c r="L637" s="109" t="s">
        <v>720</v>
      </c>
      <c r="M637" s="87" t="s">
        <v>862</v>
      </c>
      <c r="N637" s="87">
        <v>17</v>
      </c>
      <c r="Q637" s="87"/>
      <c r="R637" s="87"/>
      <c r="S637" s="26">
        <v>3231</v>
      </c>
      <c r="T637" s="26" t="s">
        <v>1625</v>
      </c>
      <c r="U637" s="26">
        <v>3164</v>
      </c>
      <c r="V637" s="26" t="s">
        <v>1614</v>
      </c>
      <c r="W637" s="62">
        <v>44805</v>
      </c>
      <c r="X637" s="62">
        <v>45169</v>
      </c>
      <c r="Y637" s="62"/>
      <c r="Z637" s="62"/>
      <c r="AA637" s="24" t="s">
        <v>1148</v>
      </c>
      <c r="AB637" s="23" t="s">
        <v>731</v>
      </c>
      <c r="AC637" s="23" t="s">
        <v>731</v>
      </c>
      <c r="AD637" s="23" t="s">
        <v>731</v>
      </c>
      <c r="AE637" s="23"/>
      <c r="AF637" s="23"/>
      <c r="AG637" s="23" t="s">
        <v>731</v>
      </c>
      <c r="AH637" s="23" t="s">
        <v>731</v>
      </c>
      <c r="AI637" s="23"/>
      <c r="AJ637" s="23" t="s">
        <v>731</v>
      </c>
      <c r="AK637" s="23"/>
      <c r="AL637" s="23"/>
      <c r="AM637" s="23"/>
      <c r="AN637" s="23"/>
      <c r="AO637" s="23"/>
      <c r="AP637" s="23"/>
      <c r="AQ637" s="23"/>
      <c r="AR637" s="23"/>
      <c r="AS637" s="23"/>
      <c r="AT637" s="23"/>
      <c r="AU637" s="23"/>
      <c r="AV637" s="41">
        <f>((45*52)+(30*104))/K637</f>
        <v>35</v>
      </c>
      <c r="AW637" s="18"/>
      <c r="AY637" s="42"/>
      <c r="AZ637" s="42"/>
      <c r="BB637" s="45">
        <v>1</v>
      </c>
      <c r="BC637" s="41">
        <f>IF(AND((AV637/I637)&lt;2,BB637=1),(I637*2)-AV637,0)</f>
        <v>0</v>
      </c>
      <c r="BD637" s="41">
        <f>IF(AND((AV637/I637)&lt;3,BB637=2),(I637*3)-AV637,0)</f>
        <v>0</v>
      </c>
      <c r="BG637" s="18"/>
      <c r="BH637" s="18">
        <v>13</v>
      </c>
      <c r="BI637" s="18">
        <v>12</v>
      </c>
      <c r="BJ637" s="18">
        <v>13</v>
      </c>
      <c r="BK637" s="18">
        <v>13</v>
      </c>
      <c r="BL637" s="18">
        <v>12</v>
      </c>
      <c r="BM637" s="55">
        <f>SUM(AV637:AX637)+SUM(BC637:BD637)+SUM(BE637:BF637)+BG637</f>
        <v>35</v>
      </c>
      <c r="BN637" s="55"/>
      <c r="BO637" s="55"/>
      <c r="BP637" s="55"/>
      <c r="BQ637" s="55"/>
      <c r="BR637" s="55"/>
      <c r="BS637" s="55"/>
      <c r="BT637" s="55"/>
      <c r="BU637" s="55"/>
      <c r="BV637" s="55"/>
      <c r="BW637" s="55"/>
      <c r="BX637" s="55"/>
      <c r="BY637" s="55"/>
    </row>
    <row r="638" spans="1:77" ht="38.25">
      <c r="B638" s="89">
        <v>625</v>
      </c>
      <c r="C638" s="93">
        <v>314</v>
      </c>
      <c r="D638" s="95">
        <v>610</v>
      </c>
      <c r="E638" s="94">
        <v>0.4375</v>
      </c>
      <c r="F638" s="94">
        <v>0.45277777777777778</v>
      </c>
      <c r="G638" s="103" t="s">
        <v>359</v>
      </c>
      <c r="H638" s="93" t="s">
        <v>625</v>
      </c>
      <c r="I638" s="96">
        <v>12</v>
      </c>
      <c r="J638" s="97" t="s">
        <v>93</v>
      </c>
      <c r="K638" s="98">
        <v>156</v>
      </c>
      <c r="L638" s="109" t="s">
        <v>720</v>
      </c>
      <c r="M638" s="87" t="s">
        <v>862</v>
      </c>
      <c r="N638" s="87">
        <v>17</v>
      </c>
      <c r="Q638" s="87"/>
      <c r="R638" s="87"/>
      <c r="S638" s="26">
        <v>3164</v>
      </c>
      <c r="T638" s="26" t="s">
        <v>1614</v>
      </c>
      <c r="U638" s="26">
        <v>3240</v>
      </c>
      <c r="V638" s="26" t="s">
        <v>1621</v>
      </c>
      <c r="W638" s="62">
        <v>44805</v>
      </c>
      <c r="X638" s="62">
        <v>45169</v>
      </c>
      <c r="Y638" s="62"/>
      <c r="Z638" s="62"/>
      <c r="AA638" s="24" t="s">
        <v>1148</v>
      </c>
      <c r="AB638" s="23" t="s">
        <v>731</v>
      </c>
      <c r="AC638" s="23" t="s">
        <v>731</v>
      </c>
      <c r="AD638" s="23" t="s">
        <v>731</v>
      </c>
      <c r="AE638" s="23"/>
      <c r="AF638" s="23"/>
      <c r="AG638" s="23" t="s">
        <v>731</v>
      </c>
      <c r="AH638" s="23" t="s">
        <v>731</v>
      </c>
      <c r="AI638" s="23"/>
      <c r="AJ638" s="23" t="s">
        <v>731</v>
      </c>
      <c r="AK638" s="23"/>
      <c r="AL638" s="23"/>
      <c r="AM638" s="23"/>
      <c r="AN638" s="23"/>
      <c r="AO638" s="23"/>
      <c r="AP638" s="23"/>
      <c r="AQ638" s="23"/>
      <c r="AR638" s="23"/>
      <c r="AS638" s="23"/>
      <c r="AT638" s="23"/>
      <c r="AU638" s="23"/>
      <c r="AV638" s="41">
        <f>((36*52)+(24*104))/K638</f>
        <v>28</v>
      </c>
      <c r="AW638" s="18"/>
      <c r="AY638" s="42"/>
      <c r="AZ638" s="42"/>
      <c r="BB638" s="45">
        <v>1</v>
      </c>
      <c r="BC638" s="41">
        <f>IF(AND((AV638/I638)&lt;2,BB638=1),(I638*2)-AV638,0)</f>
        <v>0</v>
      </c>
      <c r="BD638" s="41">
        <f>IF(AND((AV638/I638)&lt;3,BB638=2),(I638*3)-AV638,0)</f>
        <v>0</v>
      </c>
      <c r="BG638" s="18"/>
      <c r="BH638" s="18">
        <v>13</v>
      </c>
      <c r="BI638" s="18">
        <v>12</v>
      </c>
      <c r="BJ638" s="18">
        <v>13</v>
      </c>
      <c r="BK638" s="18">
        <v>13</v>
      </c>
      <c r="BL638" s="18">
        <v>12</v>
      </c>
      <c r="BM638" s="55">
        <f>SUM(AV638:AX638)+SUM(BC638:BD638)+SUM(BE638:BF638)+BG638</f>
        <v>28</v>
      </c>
      <c r="BN638" s="55"/>
      <c r="BO638" s="55"/>
      <c r="BP638" s="55"/>
      <c r="BQ638" s="55"/>
      <c r="BR638" s="55"/>
      <c r="BS638" s="55"/>
      <c r="BT638" s="55"/>
      <c r="BU638" s="55"/>
      <c r="BV638" s="55"/>
      <c r="BW638" s="55"/>
      <c r="BX638" s="55"/>
      <c r="BY638" s="55"/>
    </row>
    <row r="639" spans="1:77" ht="38.25">
      <c r="B639" s="89">
        <v>626</v>
      </c>
      <c r="C639" s="93">
        <v>314</v>
      </c>
      <c r="D639" s="95">
        <v>611</v>
      </c>
      <c r="E639" s="94">
        <v>0.45277777777777778</v>
      </c>
      <c r="F639" s="94">
        <v>0.46736111111111112</v>
      </c>
      <c r="G639" s="103" t="s">
        <v>358</v>
      </c>
      <c r="H639" s="93" t="s">
        <v>625</v>
      </c>
      <c r="I639" s="96">
        <v>12</v>
      </c>
      <c r="J639" s="97" t="s">
        <v>93</v>
      </c>
      <c r="K639" s="98">
        <v>156</v>
      </c>
      <c r="L639" s="109" t="s">
        <v>720</v>
      </c>
      <c r="M639" s="87" t="s">
        <v>862</v>
      </c>
      <c r="N639" s="87">
        <v>17</v>
      </c>
      <c r="Q639" s="87"/>
      <c r="R639" s="87"/>
      <c r="S639" s="26">
        <v>3240</v>
      </c>
      <c r="T639" s="26" t="s">
        <v>1621</v>
      </c>
      <c r="U639" s="26">
        <v>3164</v>
      </c>
      <c r="V639" s="26" t="s">
        <v>1614</v>
      </c>
      <c r="W639" s="62">
        <v>44805</v>
      </c>
      <c r="X639" s="62">
        <v>45169</v>
      </c>
      <c r="Y639" s="62"/>
      <c r="Z639" s="62"/>
      <c r="AA639" s="24" t="s">
        <v>1148</v>
      </c>
      <c r="AB639" s="23" t="s">
        <v>731</v>
      </c>
      <c r="AC639" s="23" t="s">
        <v>731</v>
      </c>
      <c r="AD639" s="23" t="s">
        <v>731</v>
      </c>
      <c r="AE639" s="23"/>
      <c r="AF639" s="23"/>
      <c r="AG639" s="23" t="s">
        <v>731</v>
      </c>
      <c r="AH639" s="23" t="s">
        <v>731</v>
      </c>
      <c r="AI639" s="23"/>
      <c r="AJ639" s="23" t="s">
        <v>731</v>
      </c>
      <c r="AK639" s="23"/>
      <c r="AL639" s="23"/>
      <c r="AM639" s="23"/>
      <c r="AN639" s="23"/>
      <c r="AO639" s="23"/>
      <c r="AP639" s="23"/>
      <c r="AQ639" s="23"/>
      <c r="AR639" s="23"/>
      <c r="AS639" s="23"/>
      <c r="AT639" s="23"/>
      <c r="AU639" s="23"/>
      <c r="AV639" s="41">
        <f>((36*52)+(24*104))/K639</f>
        <v>28</v>
      </c>
      <c r="AW639" s="18"/>
      <c r="AY639" s="42"/>
      <c r="AZ639" s="42"/>
      <c r="BB639" s="45">
        <v>1</v>
      </c>
      <c r="BC639" s="41">
        <f>IF(AND((AV639/I639)&lt;2,BB639=1),(I639*2)-AV639,0)</f>
        <v>0</v>
      </c>
      <c r="BD639" s="41">
        <f>IF(AND((AV639/I639)&lt;3,BB639=2),(I639*3)-AV639,0)</f>
        <v>0</v>
      </c>
      <c r="BG639" s="18"/>
      <c r="BH639" s="18">
        <v>13</v>
      </c>
      <c r="BI639" s="18">
        <v>12</v>
      </c>
      <c r="BJ639" s="18">
        <v>13</v>
      </c>
      <c r="BK639" s="18">
        <v>13</v>
      </c>
      <c r="BL639" s="18">
        <v>12</v>
      </c>
      <c r="BM639" s="55">
        <f>SUM(AV639:AX639)+SUM(BC639:BD639)+SUM(BE639:BF639)+BG639</f>
        <v>28</v>
      </c>
      <c r="BN639" s="55"/>
      <c r="BO639" s="55"/>
      <c r="BP639" s="55"/>
      <c r="BQ639" s="55"/>
      <c r="BR639" s="55"/>
      <c r="BS639" s="55"/>
      <c r="BT639" s="55"/>
      <c r="BU639" s="55"/>
      <c r="BV639" s="55"/>
      <c r="BW639" s="55"/>
      <c r="BX639" s="55"/>
      <c r="BY639" s="55"/>
    </row>
    <row r="640" spans="1:77" ht="38.25">
      <c r="B640" s="89">
        <v>627</v>
      </c>
      <c r="C640" s="93">
        <v>314</v>
      </c>
      <c r="D640" s="95">
        <v>615</v>
      </c>
      <c r="E640" s="94">
        <v>0.47916666666666669</v>
      </c>
      <c r="F640" s="94">
        <v>0.49583333333333335</v>
      </c>
      <c r="G640" s="103" t="s">
        <v>357</v>
      </c>
      <c r="H640" s="93" t="s">
        <v>625</v>
      </c>
      <c r="I640" s="96">
        <v>15</v>
      </c>
      <c r="J640" s="97" t="s">
        <v>93</v>
      </c>
      <c r="K640" s="98">
        <v>156</v>
      </c>
      <c r="L640" s="109" t="s">
        <v>720</v>
      </c>
      <c r="M640" s="87" t="s">
        <v>862</v>
      </c>
      <c r="N640" s="87">
        <v>17</v>
      </c>
      <c r="Q640" s="87"/>
      <c r="R640" s="87"/>
      <c r="S640" s="26">
        <v>3164</v>
      </c>
      <c r="T640" s="26" t="s">
        <v>1614</v>
      </c>
      <c r="U640" s="26">
        <v>3231</v>
      </c>
      <c r="V640" s="26" t="s">
        <v>1625</v>
      </c>
      <c r="W640" s="62">
        <v>44805</v>
      </c>
      <c r="X640" s="62">
        <v>45169</v>
      </c>
      <c r="Y640" s="62"/>
      <c r="Z640" s="62"/>
      <c r="AA640" s="24" t="s">
        <v>1148</v>
      </c>
      <c r="AB640" s="23" t="s">
        <v>731</v>
      </c>
      <c r="AC640" s="23" t="s">
        <v>731</v>
      </c>
      <c r="AD640" s="23" t="s">
        <v>731</v>
      </c>
      <c r="AE640" s="23"/>
      <c r="AF640" s="23"/>
      <c r="AG640" s="23" t="s">
        <v>731</v>
      </c>
      <c r="AH640" s="23" t="s">
        <v>731</v>
      </c>
      <c r="AI640" s="23"/>
      <c r="AJ640" s="23" t="s">
        <v>731</v>
      </c>
      <c r="AK640" s="23"/>
      <c r="AL640" s="23"/>
      <c r="AM640" s="23"/>
      <c r="AN640" s="23"/>
      <c r="AO640" s="23"/>
      <c r="AP640" s="23"/>
      <c r="AQ640" s="23"/>
      <c r="AR640" s="23"/>
      <c r="AS640" s="23"/>
      <c r="AT640" s="23"/>
      <c r="AU640" s="23"/>
      <c r="AV640" s="41">
        <f>((45*52)+(30*104))/K640</f>
        <v>35</v>
      </c>
      <c r="AW640" s="18"/>
      <c r="AY640" s="42"/>
      <c r="AZ640" s="42"/>
      <c r="BB640" s="45">
        <v>1</v>
      </c>
      <c r="BC640" s="41">
        <f>IF(AND((AV640/I640)&lt;2,BB640=1),(I640*2)-AV640,0)</f>
        <v>0</v>
      </c>
      <c r="BD640" s="41">
        <f>IF(AND((AV640/I640)&lt;3,BB640=2),(I640*3)-AV640,0)</f>
        <v>0</v>
      </c>
      <c r="BG640" s="18"/>
      <c r="BH640" s="18">
        <v>13</v>
      </c>
      <c r="BI640" s="18">
        <v>12</v>
      </c>
      <c r="BJ640" s="18">
        <v>13</v>
      </c>
      <c r="BK640" s="18">
        <v>13</v>
      </c>
      <c r="BL640" s="18">
        <v>12</v>
      </c>
      <c r="BM640" s="55">
        <f>SUM(AV640:AX640)+SUM(BC640:BD640)+SUM(BE640:BF640)+BG640</f>
        <v>35</v>
      </c>
      <c r="BN640" s="55"/>
      <c r="BO640" s="55"/>
      <c r="BP640" s="55"/>
      <c r="BQ640" s="55"/>
      <c r="BR640" s="55"/>
      <c r="BS640" s="55"/>
      <c r="BT640" s="55"/>
      <c r="BU640" s="55"/>
      <c r="BV640" s="55"/>
      <c r="BW640" s="55"/>
      <c r="BX640" s="55"/>
      <c r="BY640" s="55"/>
    </row>
    <row r="641" spans="1:77" ht="38.25">
      <c r="B641" s="89">
        <v>628</v>
      </c>
      <c r="C641" s="93">
        <v>314</v>
      </c>
      <c r="D641" s="95">
        <v>614</v>
      </c>
      <c r="E641" s="94">
        <v>0.49583333333333335</v>
      </c>
      <c r="F641" s="94">
        <v>0.51249999999999996</v>
      </c>
      <c r="G641" s="103" t="s">
        <v>356</v>
      </c>
      <c r="H641" s="93" t="s">
        <v>625</v>
      </c>
      <c r="I641" s="96">
        <v>15</v>
      </c>
      <c r="J641" s="97" t="s">
        <v>93</v>
      </c>
      <c r="K641" s="98">
        <v>156</v>
      </c>
      <c r="L641" s="109" t="s">
        <v>720</v>
      </c>
      <c r="M641" s="87" t="s">
        <v>862</v>
      </c>
      <c r="N641" s="87">
        <v>17</v>
      </c>
      <c r="Q641" s="87"/>
      <c r="R641" s="87"/>
      <c r="S641" s="26">
        <v>3231</v>
      </c>
      <c r="T641" s="26" t="s">
        <v>1625</v>
      </c>
      <c r="U641" s="26">
        <v>3164</v>
      </c>
      <c r="V641" s="26" t="s">
        <v>1614</v>
      </c>
      <c r="W641" s="62">
        <v>44805</v>
      </c>
      <c r="X641" s="62">
        <v>45169</v>
      </c>
      <c r="Y641" s="62"/>
      <c r="Z641" s="62"/>
      <c r="AA641" s="24" t="s">
        <v>1148</v>
      </c>
      <c r="AB641" s="23" t="s">
        <v>731</v>
      </c>
      <c r="AC641" s="23" t="s">
        <v>731</v>
      </c>
      <c r="AD641" s="23" t="s">
        <v>731</v>
      </c>
      <c r="AE641" s="23"/>
      <c r="AF641" s="23"/>
      <c r="AG641" s="23" t="s">
        <v>731</v>
      </c>
      <c r="AH641" s="23" t="s">
        <v>731</v>
      </c>
      <c r="AI641" s="23"/>
      <c r="AJ641" s="23" t="s">
        <v>731</v>
      </c>
      <c r="AK641" s="23"/>
      <c r="AL641" s="23"/>
      <c r="AM641" s="23"/>
      <c r="AN641" s="23"/>
      <c r="AO641" s="23"/>
      <c r="AP641" s="23"/>
      <c r="AQ641" s="23"/>
      <c r="AR641" s="23"/>
      <c r="AS641" s="23"/>
      <c r="AT641" s="23"/>
      <c r="AU641" s="23"/>
      <c r="AV641" s="41">
        <f>((45*52)+(30*104))/K641</f>
        <v>35</v>
      </c>
      <c r="AW641" s="18"/>
      <c r="AY641" s="42"/>
      <c r="AZ641" s="42"/>
      <c r="BB641" s="45">
        <v>1</v>
      </c>
      <c r="BC641" s="41">
        <f>IF(AND((AV641/I641)&lt;2,BB641=1),(I641*2)-AV641,0)</f>
        <v>0</v>
      </c>
      <c r="BD641" s="41">
        <f>IF(AND((AV641/I641)&lt;3,BB641=2),(I641*3)-AV641,0)</f>
        <v>0</v>
      </c>
      <c r="BG641" s="18"/>
      <c r="BH641" s="18">
        <v>13</v>
      </c>
      <c r="BI641" s="18">
        <v>12</v>
      </c>
      <c r="BJ641" s="18">
        <v>13</v>
      </c>
      <c r="BK641" s="18">
        <v>13</v>
      </c>
      <c r="BL641" s="18">
        <v>12</v>
      </c>
      <c r="BM641" s="55">
        <f>SUM(AV641:AX641)+SUM(BC641:BD641)+SUM(BE641:BF641)+BG641</f>
        <v>35</v>
      </c>
      <c r="BN641" s="55"/>
      <c r="BO641" s="55"/>
      <c r="BP641" s="55"/>
      <c r="BQ641" s="55"/>
      <c r="BR641" s="55"/>
      <c r="BS641" s="55"/>
      <c r="BT641" s="55"/>
      <c r="BU641" s="55"/>
      <c r="BV641" s="55"/>
      <c r="BW641" s="55"/>
      <c r="BX641" s="55"/>
      <c r="BY641" s="55"/>
    </row>
    <row r="642" spans="1:77" ht="25.5">
      <c r="B642" s="89">
        <v>629</v>
      </c>
      <c r="C642" s="93">
        <v>315</v>
      </c>
      <c r="D642" s="93">
        <v>99</v>
      </c>
      <c r="E642" s="94">
        <v>0.27430555555555552</v>
      </c>
      <c r="F642" s="94">
        <v>0.30416666666666664</v>
      </c>
      <c r="G642" s="93" t="s">
        <v>132</v>
      </c>
      <c r="H642" s="93" t="s">
        <v>549</v>
      </c>
      <c r="I642" s="96">
        <v>20</v>
      </c>
      <c r="J642" s="97" t="s">
        <v>93</v>
      </c>
      <c r="K642" s="98">
        <v>13</v>
      </c>
      <c r="L642" s="109" t="s">
        <v>761</v>
      </c>
      <c r="M642" s="83" t="s">
        <v>922</v>
      </c>
      <c r="N642" s="83">
        <v>20</v>
      </c>
      <c r="O642" s="2" t="s">
        <v>1079</v>
      </c>
      <c r="P642" s="2">
        <v>23</v>
      </c>
      <c r="Q642" s="87" t="s">
        <v>1931</v>
      </c>
      <c r="R642" s="84">
        <v>33</v>
      </c>
      <c r="S642" s="26" t="s">
        <v>1626</v>
      </c>
      <c r="T642" s="26" t="s">
        <v>1627</v>
      </c>
      <c r="U642" s="26" t="s">
        <v>1570</v>
      </c>
      <c r="V642" s="26" t="s">
        <v>1569</v>
      </c>
      <c r="W642" s="63">
        <v>44562</v>
      </c>
      <c r="X642" s="63">
        <v>44815</v>
      </c>
      <c r="Y642" s="63">
        <v>45101</v>
      </c>
      <c r="Z642" s="63">
        <v>45169</v>
      </c>
      <c r="AA642" s="17" t="s">
        <v>1104</v>
      </c>
      <c r="AB642" s="23"/>
      <c r="AC642" s="23" t="s">
        <v>731</v>
      </c>
      <c r="AD642" s="23"/>
      <c r="AE642" s="23"/>
      <c r="AF642" s="23"/>
      <c r="AG642" s="23"/>
      <c r="AH642" s="23"/>
      <c r="AI642" s="23"/>
      <c r="AJ642" s="23"/>
      <c r="AK642" s="23"/>
      <c r="AL642" s="23" t="s">
        <v>731</v>
      </c>
      <c r="AM642" s="23"/>
      <c r="AN642" s="23"/>
      <c r="AO642" s="23"/>
      <c r="AP642" s="23"/>
      <c r="AQ642" s="23"/>
      <c r="AR642" s="23"/>
      <c r="AS642" s="23"/>
      <c r="AT642" s="23"/>
      <c r="AU642" s="23"/>
      <c r="AV642" s="42">
        <v>63.39</v>
      </c>
      <c r="AW642" s="18"/>
      <c r="AY642" s="42"/>
      <c r="AZ642" s="42"/>
      <c r="BB642" s="45">
        <v>1</v>
      </c>
      <c r="BC642" s="41">
        <f>IF(AND((AV642/I642)&lt;2,BB642=1),(I642*2)-AV642,0)</f>
        <v>0</v>
      </c>
      <c r="BD642" s="41">
        <f>IF(AND((AV642/I642)&lt;3,BB642=2),(I642*3)-AV642,0)</f>
        <v>0</v>
      </c>
      <c r="BG642" s="41">
        <f>IF((AV642+AW642+AX642)&lt;20,(20-(AV642+AW642+AX642)),0)</f>
        <v>0</v>
      </c>
      <c r="BH642" s="18">
        <v>2</v>
      </c>
      <c r="BI642" s="18">
        <v>0</v>
      </c>
      <c r="BJ642" s="18">
        <v>0</v>
      </c>
      <c r="BK642" s="18">
        <v>0</v>
      </c>
      <c r="BL642" s="18">
        <v>0</v>
      </c>
      <c r="BM642" s="55">
        <f>SUM(AV642:AX642)+SUM(BC642:BD642)+SUM(BE642:BF642)+BG642</f>
        <v>63.39</v>
      </c>
      <c r="BN642" s="55"/>
      <c r="BO642" s="55"/>
      <c r="BP642" s="55"/>
      <c r="BQ642" s="55"/>
      <c r="BR642" s="55"/>
      <c r="BS642" s="55"/>
      <c r="BT642" s="55"/>
      <c r="BU642" s="55"/>
      <c r="BV642" s="55"/>
      <c r="BW642" s="55"/>
      <c r="BX642" s="55"/>
      <c r="BY642" s="55"/>
    </row>
    <row r="643" spans="1:77" ht="51">
      <c r="B643" s="89">
        <v>630</v>
      </c>
      <c r="C643" s="93">
        <v>315</v>
      </c>
      <c r="D643" s="93">
        <v>333</v>
      </c>
      <c r="E643" s="105">
        <v>0.28680555555555554</v>
      </c>
      <c r="F643" s="105">
        <v>0.29375000000000001</v>
      </c>
      <c r="G643" s="93" t="s">
        <v>333</v>
      </c>
      <c r="H643" s="93" t="s">
        <v>97</v>
      </c>
      <c r="I643" s="96">
        <v>13</v>
      </c>
      <c r="J643" s="97" t="s">
        <v>331</v>
      </c>
      <c r="K643" s="98">
        <v>208</v>
      </c>
      <c r="L643" s="99" t="s">
        <v>761</v>
      </c>
      <c r="M643" s="83" t="s">
        <v>922</v>
      </c>
      <c r="N643" s="83">
        <v>20</v>
      </c>
      <c r="O643" s="83" t="s">
        <v>1901</v>
      </c>
      <c r="P643" s="83">
        <v>31</v>
      </c>
      <c r="Q643" s="87" t="s">
        <v>1256</v>
      </c>
      <c r="R643" s="85">
        <v>29</v>
      </c>
      <c r="S643" s="26">
        <v>3213</v>
      </c>
      <c r="T643" s="26" t="s">
        <v>1628</v>
      </c>
      <c r="U643" s="26">
        <v>3209</v>
      </c>
      <c r="V643" s="26" t="s">
        <v>1629</v>
      </c>
      <c r="W643" s="62">
        <v>44816</v>
      </c>
      <c r="X643" s="62">
        <v>45086</v>
      </c>
      <c r="Y643" s="62"/>
      <c r="Z643" s="62"/>
      <c r="AA643" s="22" t="s">
        <v>1106</v>
      </c>
      <c r="AB643" s="23"/>
      <c r="AC643" s="23"/>
      <c r="AD643" s="23"/>
      <c r="AE643" s="23" t="s">
        <v>731</v>
      </c>
      <c r="AF643" s="23" t="s">
        <v>731</v>
      </c>
      <c r="AG643" s="23" t="s">
        <v>731</v>
      </c>
      <c r="AH643" s="23" t="s">
        <v>731</v>
      </c>
      <c r="AI643" s="23" t="s">
        <v>731</v>
      </c>
      <c r="AJ643" s="23" t="s">
        <v>731</v>
      </c>
      <c r="AK643" s="23" t="s">
        <v>731</v>
      </c>
      <c r="AL643" s="23"/>
      <c r="AM643" s="23"/>
      <c r="AN643" s="23"/>
      <c r="AO643" s="23"/>
      <c r="AP643" s="23"/>
      <c r="AQ643" s="23"/>
      <c r="AR643" s="23"/>
      <c r="AS643" s="23"/>
      <c r="AT643" s="23"/>
      <c r="AU643" s="23"/>
      <c r="AV643" s="42">
        <v>61.25</v>
      </c>
      <c r="AW643" s="18"/>
      <c r="AY643" s="42"/>
      <c r="AZ643" s="42"/>
      <c r="BB643" s="45">
        <v>1</v>
      </c>
      <c r="BC643" s="41">
        <f>IF(AND((AV643/I643)&lt;2,BB643=1),(I643*2)-AV643,0)</f>
        <v>0</v>
      </c>
      <c r="BD643" s="41">
        <f>IF(AND((AV643/I643)&lt;3,BB643=2),(I643*3)-AV643,0)</f>
        <v>0</v>
      </c>
      <c r="BG643" s="41">
        <f>IF((AV643+AW643+AX643)&lt;20,(20-(AV643+AW643+AX643)),0)</f>
        <v>0</v>
      </c>
      <c r="BH643" s="18">
        <v>17</v>
      </c>
      <c r="BI643" s="18">
        <v>25</v>
      </c>
      <c r="BJ643" s="18">
        <v>25</v>
      </c>
      <c r="BK643" s="18">
        <v>18</v>
      </c>
      <c r="BL643" s="18">
        <v>20</v>
      </c>
      <c r="BM643" s="55">
        <f>SUM(AV643:AX643)+SUM(BC643:BD643)+SUM(BE643:BF643)+BG643</f>
        <v>61.25</v>
      </c>
      <c r="BN643" s="55"/>
      <c r="BO643" s="55"/>
      <c r="BP643" s="55"/>
      <c r="BQ643" s="55"/>
      <c r="BR643" s="55"/>
      <c r="BS643" s="55"/>
      <c r="BT643" s="55"/>
      <c r="BU643" s="55"/>
      <c r="BV643" s="55"/>
      <c r="BW643" s="55"/>
      <c r="BX643" s="55"/>
      <c r="BY643" s="55"/>
    </row>
    <row r="644" spans="1:77" ht="33.75">
      <c r="B644" s="89">
        <v>631</v>
      </c>
      <c r="C644" s="93">
        <v>315</v>
      </c>
      <c r="D644" s="93">
        <v>951</v>
      </c>
      <c r="E644" s="94">
        <v>0.375</v>
      </c>
      <c r="F644" s="105">
        <v>0.40138888888888885</v>
      </c>
      <c r="G644" s="93" t="s">
        <v>329</v>
      </c>
      <c r="H644" s="93" t="s">
        <v>330</v>
      </c>
      <c r="I644" s="96">
        <v>20</v>
      </c>
      <c r="J644" s="97" t="s">
        <v>93</v>
      </c>
      <c r="K644" s="98">
        <f>41+39</f>
        <v>80</v>
      </c>
      <c r="L644" s="109" t="s">
        <v>765</v>
      </c>
      <c r="M644" s="2" t="s">
        <v>1170</v>
      </c>
      <c r="N644" s="2">
        <v>21</v>
      </c>
      <c r="O644" s="83" t="s">
        <v>843</v>
      </c>
      <c r="P644" s="83">
        <v>31</v>
      </c>
      <c r="Q644" s="83" t="s">
        <v>1256</v>
      </c>
      <c r="R644" s="85">
        <v>29</v>
      </c>
      <c r="S644" s="26">
        <v>3210</v>
      </c>
      <c r="T644" s="26" t="s">
        <v>1630</v>
      </c>
      <c r="U644" s="26" t="s">
        <v>1570</v>
      </c>
      <c r="V644" s="26" t="s">
        <v>1569</v>
      </c>
      <c r="W644" s="63">
        <v>44816</v>
      </c>
      <c r="X644" s="63">
        <v>45100</v>
      </c>
      <c r="Y644" s="63"/>
      <c r="Z644" s="63"/>
      <c r="AA644" s="22" t="s">
        <v>1149</v>
      </c>
      <c r="AB644" s="23" t="s">
        <v>731</v>
      </c>
      <c r="AC644" s="23"/>
      <c r="AD644" s="23" t="s">
        <v>731</v>
      </c>
      <c r="AE644" s="23"/>
      <c r="AF644" s="23"/>
      <c r="AG644" s="23" t="s">
        <v>731</v>
      </c>
      <c r="AH644" s="23"/>
      <c r="AI644" s="23" t="s">
        <v>731</v>
      </c>
      <c r="AJ644" s="23"/>
      <c r="AK644" s="23"/>
      <c r="AL644" s="23"/>
      <c r="AM644" s="23"/>
      <c r="AN644" s="23"/>
      <c r="AO644" s="23"/>
      <c r="AP644" s="23"/>
      <c r="AQ644" s="23"/>
      <c r="AR644" s="23"/>
      <c r="AS644" s="23"/>
      <c r="AT644" s="23"/>
      <c r="AU644" s="23"/>
      <c r="AV644" s="42">
        <v>36</v>
      </c>
      <c r="AW644" s="18"/>
      <c r="AY644" s="42"/>
      <c r="AZ644" s="42"/>
      <c r="BB644" s="45">
        <v>1</v>
      </c>
      <c r="BC644" s="41">
        <f>IF(AND((AV644/I644)&lt;2,BB644=1),(I644*2)-AV644,0)</f>
        <v>4</v>
      </c>
      <c r="BD644" s="41">
        <f>IF(AND((AV644/I644)&lt;3,BB644=2),(I644*3)-AV644,0)</f>
        <v>0</v>
      </c>
      <c r="BG644" s="18"/>
      <c r="BH644" s="18">
        <v>6</v>
      </c>
      <c r="BI644" s="18">
        <v>8</v>
      </c>
      <c r="BJ644" s="18">
        <v>8</v>
      </c>
      <c r="BK644" s="18">
        <v>8</v>
      </c>
      <c r="BL644" s="18">
        <v>9</v>
      </c>
      <c r="BM644" s="55">
        <f>SUM(AV644:AX644)+SUM(BC644:BD644)+SUM(BE644:BF644)+BG644</f>
        <v>40</v>
      </c>
      <c r="BN644" s="55"/>
      <c r="BO644" s="55"/>
      <c r="BP644" s="55"/>
      <c r="BQ644" s="55"/>
      <c r="BR644" s="55"/>
      <c r="BS644" s="55"/>
      <c r="BT644" s="55"/>
      <c r="BU644" s="55"/>
      <c r="BV644" s="55"/>
      <c r="BW644" s="55"/>
      <c r="BX644" s="55"/>
      <c r="BY644" s="55"/>
    </row>
    <row r="645" spans="1:77" ht="33.75">
      <c r="B645" s="89">
        <v>632</v>
      </c>
      <c r="C645" s="93">
        <v>315</v>
      </c>
      <c r="D645" s="93">
        <v>951</v>
      </c>
      <c r="E645" s="94">
        <v>0.375</v>
      </c>
      <c r="F645" s="94">
        <v>0.40138888888888885</v>
      </c>
      <c r="G645" s="93" t="s">
        <v>329</v>
      </c>
      <c r="H645" s="93" t="s">
        <v>457</v>
      </c>
      <c r="I645" s="96">
        <v>20</v>
      </c>
      <c r="J645" s="97" t="s">
        <v>234</v>
      </c>
      <c r="K645" s="98">
        <v>11</v>
      </c>
      <c r="L645" s="109" t="s">
        <v>765</v>
      </c>
      <c r="M645" s="2" t="s">
        <v>1170</v>
      </c>
      <c r="N645" s="2">
        <v>21</v>
      </c>
      <c r="O645" s="83" t="s">
        <v>843</v>
      </c>
      <c r="P645" s="83">
        <v>31</v>
      </c>
      <c r="Q645" s="83" t="s">
        <v>1256</v>
      </c>
      <c r="R645" s="85">
        <v>29</v>
      </c>
      <c r="S645" s="26">
        <v>3210</v>
      </c>
      <c r="T645" s="26" t="s">
        <v>1630</v>
      </c>
      <c r="U645" s="26" t="s">
        <v>1570</v>
      </c>
      <c r="V645" s="26" t="s">
        <v>1569</v>
      </c>
      <c r="W645" s="63">
        <v>44562</v>
      </c>
      <c r="X645" s="63">
        <v>44815</v>
      </c>
      <c r="Y645" s="63">
        <v>45101</v>
      </c>
      <c r="Z645" s="63">
        <v>45169</v>
      </c>
      <c r="AA645" s="22" t="s">
        <v>1144</v>
      </c>
      <c r="AB645" s="23"/>
      <c r="AC645" s="23" t="s">
        <v>731</v>
      </c>
      <c r="AD645" s="23" t="s">
        <v>731</v>
      </c>
      <c r="AE645" s="23"/>
      <c r="AF645" s="23"/>
      <c r="AG645" s="23" t="s">
        <v>731</v>
      </c>
      <c r="AH645" s="23"/>
      <c r="AI645" s="23"/>
      <c r="AJ645" s="23"/>
      <c r="AK645" s="23"/>
      <c r="AL645" s="23"/>
      <c r="AM645" s="23"/>
      <c r="AN645" s="23"/>
      <c r="AO645" s="23"/>
      <c r="AP645" s="23"/>
      <c r="AQ645" s="23"/>
      <c r="AR645" s="23"/>
      <c r="AS645" s="23"/>
      <c r="AT645" s="23"/>
      <c r="AU645" s="23"/>
      <c r="AV645" s="42">
        <v>60</v>
      </c>
      <c r="AW645" s="18"/>
      <c r="AY645" s="42"/>
      <c r="AZ645" s="42"/>
      <c r="BB645" s="45">
        <v>1</v>
      </c>
      <c r="BC645" s="41">
        <f>IF(AND((AV645/I645)&lt;2,BB645=1),(I645*2)-AV645,0)</f>
        <v>0</v>
      </c>
      <c r="BD645" s="41">
        <f>IF(AND((AV645/I645)&lt;3,BB645=2),(I645*3)-AV645,0)</f>
        <v>0</v>
      </c>
      <c r="BG645" s="18"/>
      <c r="BH645" s="18">
        <v>1</v>
      </c>
      <c r="BI645" s="18">
        <v>0</v>
      </c>
      <c r="BJ645" s="18">
        <v>0</v>
      </c>
      <c r="BK645" s="18">
        <v>0</v>
      </c>
      <c r="BL645" s="18">
        <v>0</v>
      </c>
      <c r="BM645" s="55">
        <f>SUM(AV645:AX645)+SUM(BC645:BD645)+SUM(BE645:BF645)+BG645</f>
        <v>60</v>
      </c>
      <c r="BN645" s="55"/>
      <c r="BO645" s="55"/>
      <c r="BP645" s="55"/>
      <c r="BQ645" s="55"/>
      <c r="BR645" s="55"/>
      <c r="BS645" s="55"/>
      <c r="BT645" s="55"/>
      <c r="BU645" s="55"/>
      <c r="BV645" s="55"/>
      <c r="BW645" s="55"/>
      <c r="BX645" s="55"/>
      <c r="BY645" s="55"/>
    </row>
    <row r="646" spans="1:77" ht="25.5">
      <c r="B646" s="89">
        <v>633</v>
      </c>
      <c r="C646" s="93">
        <v>315</v>
      </c>
      <c r="D646" s="93">
        <v>94</v>
      </c>
      <c r="E646" s="94">
        <v>0.4236111111111111</v>
      </c>
      <c r="F646" s="105">
        <v>0.46180555555555558</v>
      </c>
      <c r="G646" s="93" t="s">
        <v>131</v>
      </c>
      <c r="H646" s="93" t="s">
        <v>549</v>
      </c>
      <c r="I646" s="96">
        <v>25</v>
      </c>
      <c r="J646" s="97" t="s">
        <v>93</v>
      </c>
      <c r="K646" s="98">
        <v>13</v>
      </c>
      <c r="L646" s="109" t="s">
        <v>761</v>
      </c>
      <c r="M646" s="83" t="s">
        <v>922</v>
      </c>
      <c r="N646" s="83">
        <v>20</v>
      </c>
      <c r="O646" s="2" t="s">
        <v>1079</v>
      </c>
      <c r="P646" s="2">
        <v>23</v>
      </c>
      <c r="R646" s="83"/>
      <c r="S646" s="26" t="s">
        <v>1568</v>
      </c>
      <c r="T646" s="26" t="s">
        <v>1569</v>
      </c>
      <c r="U646" s="26" t="s">
        <v>1631</v>
      </c>
      <c r="V646" s="26" t="s">
        <v>1632</v>
      </c>
      <c r="W646" s="63">
        <v>44562</v>
      </c>
      <c r="X646" s="63">
        <v>44815</v>
      </c>
      <c r="Y646" s="63">
        <v>45101</v>
      </c>
      <c r="Z646" s="63">
        <v>45169</v>
      </c>
      <c r="AA646" s="17" t="s">
        <v>1104</v>
      </c>
      <c r="AB646" s="23"/>
      <c r="AC646" s="23" t="s">
        <v>731</v>
      </c>
      <c r="AD646" s="23"/>
      <c r="AE646" s="23"/>
      <c r="AF646" s="23"/>
      <c r="AG646" s="23"/>
      <c r="AH646" s="23"/>
      <c r="AI646" s="23"/>
      <c r="AJ646" s="23"/>
      <c r="AK646" s="23"/>
      <c r="AL646" s="23" t="s">
        <v>731</v>
      </c>
      <c r="AM646" s="23"/>
      <c r="AN646" s="23"/>
      <c r="AO646" s="23"/>
      <c r="AP646" s="23"/>
      <c r="AQ646" s="23"/>
      <c r="AR646" s="23"/>
      <c r="AS646" s="23"/>
      <c r="AT646" s="23"/>
      <c r="AU646" s="23"/>
      <c r="AV646" s="42">
        <v>63.39</v>
      </c>
      <c r="AW646" s="18"/>
      <c r="AY646" s="42"/>
      <c r="AZ646" s="42"/>
      <c r="BB646" s="45">
        <v>1</v>
      </c>
      <c r="BC646" s="41">
        <f>IF(AND((AV646/I646)&lt;2,BB646=1),(I646*2)-AV646,0)</f>
        <v>0</v>
      </c>
      <c r="BD646" s="41">
        <f>IF(AND((AV646/I646)&lt;3,BB646=2),(I646*3)-AV646,0)</f>
        <v>0</v>
      </c>
      <c r="BG646" s="18"/>
      <c r="BH646" s="18">
        <v>2</v>
      </c>
      <c r="BI646" s="18">
        <v>0</v>
      </c>
      <c r="BJ646" s="18">
        <v>0</v>
      </c>
      <c r="BK646" s="18">
        <v>0</v>
      </c>
      <c r="BL646" s="18">
        <v>0</v>
      </c>
      <c r="BM646" s="55">
        <f>SUM(AV646:AX646)+SUM(BC646:BD646)+SUM(BE646:BF646)+BG646</f>
        <v>63.39</v>
      </c>
      <c r="BN646" s="55"/>
      <c r="BO646" s="55"/>
      <c r="BP646" s="55"/>
      <c r="BQ646" s="55"/>
      <c r="BR646" s="55"/>
      <c r="BS646" s="55"/>
      <c r="BT646" s="55"/>
      <c r="BU646" s="55"/>
      <c r="BV646" s="55"/>
      <c r="BW646" s="55"/>
      <c r="BX646" s="55"/>
      <c r="BY646" s="55"/>
    </row>
    <row r="647" spans="1:77" ht="33.75">
      <c r="B647" s="89">
        <v>634</v>
      </c>
      <c r="C647" s="93">
        <v>315</v>
      </c>
      <c r="D647" s="93">
        <v>952</v>
      </c>
      <c r="E647" s="94">
        <v>0.47916666666666669</v>
      </c>
      <c r="F647" s="94">
        <v>0.50555555555555554</v>
      </c>
      <c r="G647" s="93" t="s">
        <v>328</v>
      </c>
      <c r="H647" s="93" t="s">
        <v>330</v>
      </c>
      <c r="I647" s="96">
        <v>20</v>
      </c>
      <c r="J647" s="97" t="s">
        <v>93</v>
      </c>
      <c r="K647" s="98">
        <v>80</v>
      </c>
      <c r="L647" s="109" t="s">
        <v>765</v>
      </c>
      <c r="M647" s="2" t="s">
        <v>1170</v>
      </c>
      <c r="N647" s="2">
        <v>21</v>
      </c>
      <c r="O647" s="83" t="s">
        <v>843</v>
      </c>
      <c r="P647" s="83">
        <v>31</v>
      </c>
      <c r="Q647" s="83" t="s">
        <v>1256</v>
      </c>
      <c r="R647" s="85">
        <v>29</v>
      </c>
      <c r="S647" s="26" t="s">
        <v>1568</v>
      </c>
      <c r="T647" s="26" t="s">
        <v>1569</v>
      </c>
      <c r="U647" s="26">
        <v>3210</v>
      </c>
      <c r="V647" s="26" t="s">
        <v>1630</v>
      </c>
      <c r="W647" s="63">
        <v>44816</v>
      </c>
      <c r="X647" s="63">
        <v>45100</v>
      </c>
      <c r="Y647" s="63"/>
      <c r="Z647" s="63"/>
      <c r="AA647" s="22" t="s">
        <v>1149</v>
      </c>
      <c r="AB647" s="23" t="s">
        <v>731</v>
      </c>
      <c r="AC647" s="23"/>
      <c r="AD647" s="23" t="s">
        <v>731</v>
      </c>
      <c r="AE647" s="23"/>
      <c r="AF647" s="23"/>
      <c r="AG647" s="23" t="s">
        <v>731</v>
      </c>
      <c r="AH647" s="23"/>
      <c r="AI647" s="23" t="s">
        <v>731</v>
      </c>
      <c r="AJ647" s="23"/>
      <c r="AK647" s="23"/>
      <c r="AL647" s="23"/>
      <c r="AM647" s="23"/>
      <c r="AN647" s="23"/>
      <c r="AO647" s="23"/>
      <c r="AP647" s="23"/>
      <c r="AQ647" s="23"/>
      <c r="AR647" s="23"/>
      <c r="AS647" s="23"/>
      <c r="AT647" s="23"/>
      <c r="AU647" s="23"/>
      <c r="AV647" s="42">
        <v>36</v>
      </c>
      <c r="AW647" s="18"/>
      <c r="AY647" s="42"/>
      <c r="AZ647" s="42"/>
      <c r="BB647" s="45">
        <v>1</v>
      </c>
      <c r="BC647" s="41">
        <f>IF(AND((AV647/I647)&lt;2,BB647=1),(I647*2)-AV647,0)</f>
        <v>4</v>
      </c>
      <c r="BD647" s="41">
        <f>IF(AND((AV647/I647)&lt;3,BB647=2),(I647*3)-AV647,0)</f>
        <v>0</v>
      </c>
      <c r="BG647" s="18"/>
      <c r="BH647" s="18">
        <v>6</v>
      </c>
      <c r="BI647" s="18">
        <v>8</v>
      </c>
      <c r="BJ647" s="18">
        <v>8</v>
      </c>
      <c r="BK647" s="18">
        <v>8</v>
      </c>
      <c r="BL647" s="18">
        <v>9</v>
      </c>
      <c r="BM647" s="55">
        <f>SUM(AV647:AX647)+SUM(BC647:BD647)+SUM(BE647:BF647)+BG647</f>
        <v>40</v>
      </c>
      <c r="BN647" s="55"/>
      <c r="BO647" s="55"/>
      <c r="BP647" s="55"/>
      <c r="BQ647" s="55"/>
      <c r="BR647" s="55"/>
      <c r="BS647" s="55"/>
      <c r="BT647" s="55"/>
      <c r="BU647" s="55"/>
      <c r="BV647" s="55"/>
      <c r="BW647" s="55"/>
      <c r="BX647" s="55"/>
      <c r="BY647" s="55"/>
    </row>
    <row r="648" spans="1:77" ht="33.75">
      <c r="B648" s="89">
        <v>635</v>
      </c>
      <c r="C648" s="93">
        <v>315</v>
      </c>
      <c r="D648" s="93">
        <v>952</v>
      </c>
      <c r="E648" s="94">
        <v>0.47916666666666669</v>
      </c>
      <c r="F648" s="94">
        <v>0.50555555555555554</v>
      </c>
      <c r="G648" s="93" t="s">
        <v>328</v>
      </c>
      <c r="H648" s="93" t="s">
        <v>457</v>
      </c>
      <c r="I648" s="96">
        <v>20</v>
      </c>
      <c r="J648" s="97" t="s">
        <v>234</v>
      </c>
      <c r="K648" s="98">
        <v>11</v>
      </c>
      <c r="L648" s="109" t="s">
        <v>765</v>
      </c>
      <c r="M648" s="2" t="s">
        <v>1170</v>
      </c>
      <c r="N648" s="2">
        <v>21</v>
      </c>
      <c r="O648" s="83" t="s">
        <v>843</v>
      </c>
      <c r="P648" s="83">
        <v>31</v>
      </c>
      <c r="Q648" s="83" t="s">
        <v>1256</v>
      </c>
      <c r="R648" s="85">
        <v>29</v>
      </c>
      <c r="S648" s="26" t="s">
        <v>1568</v>
      </c>
      <c r="T648" s="26" t="s">
        <v>1569</v>
      </c>
      <c r="U648" s="26">
        <v>3210</v>
      </c>
      <c r="V648" s="26" t="s">
        <v>1630</v>
      </c>
      <c r="W648" s="63">
        <v>44562</v>
      </c>
      <c r="X648" s="63">
        <v>44815</v>
      </c>
      <c r="Y648" s="63">
        <v>45101</v>
      </c>
      <c r="Z648" s="63">
        <v>45169</v>
      </c>
      <c r="AA648" s="22" t="s">
        <v>1144</v>
      </c>
      <c r="AB648" s="23"/>
      <c r="AC648" s="23" t="s">
        <v>731</v>
      </c>
      <c r="AD648" s="23" t="s">
        <v>731</v>
      </c>
      <c r="AE648" s="23"/>
      <c r="AF648" s="23"/>
      <c r="AG648" s="23" t="s">
        <v>731</v>
      </c>
      <c r="AH648" s="23"/>
      <c r="AI648" s="23"/>
      <c r="AJ648" s="23"/>
      <c r="AK648" s="23"/>
      <c r="AL648" s="23"/>
      <c r="AM648" s="23"/>
      <c r="AN648" s="23"/>
      <c r="AO648" s="23"/>
      <c r="AP648" s="23"/>
      <c r="AQ648" s="23"/>
      <c r="AR648" s="23"/>
      <c r="AS648" s="23"/>
      <c r="AT648" s="23"/>
      <c r="AU648" s="23"/>
      <c r="AV648" s="42">
        <v>60</v>
      </c>
      <c r="AW648" s="18"/>
      <c r="AY648" s="42"/>
      <c r="AZ648" s="42"/>
      <c r="BB648" s="45">
        <v>1</v>
      </c>
      <c r="BC648" s="41">
        <f>IF(AND((AV648/I648)&lt;2,BB648=1),(I648*2)-AV648,0)</f>
        <v>0</v>
      </c>
      <c r="BD648" s="41">
        <f>IF(AND((AV648/I648)&lt;3,BB648=2),(I648*3)-AV648,0)</f>
        <v>0</v>
      </c>
      <c r="BG648" s="18"/>
      <c r="BH648" s="18">
        <v>1</v>
      </c>
      <c r="BI648" s="18">
        <v>0</v>
      </c>
      <c r="BJ648" s="18">
        <v>0</v>
      </c>
      <c r="BK648" s="18">
        <v>0</v>
      </c>
      <c r="BL648" s="18">
        <v>0</v>
      </c>
      <c r="BM648" s="55">
        <f>SUM(AV648:AX648)+SUM(BC648:BD648)+SUM(BE648:BF648)+BG648</f>
        <v>60</v>
      </c>
      <c r="BN648" s="55"/>
      <c r="BO648" s="55"/>
      <c r="BP648" s="55"/>
      <c r="BQ648" s="55"/>
      <c r="BR648" s="55"/>
      <c r="BS648" s="55"/>
      <c r="BT648" s="55"/>
      <c r="BU648" s="55"/>
      <c r="BV648" s="55"/>
      <c r="BW648" s="55"/>
      <c r="BX648" s="55"/>
      <c r="BY648" s="55"/>
    </row>
    <row r="649" spans="1:77" ht="33.75">
      <c r="B649" s="89">
        <v>636</v>
      </c>
      <c r="C649" s="93">
        <v>315</v>
      </c>
      <c r="D649" s="93">
        <v>335</v>
      </c>
      <c r="E649" s="94">
        <v>0.58333333333333337</v>
      </c>
      <c r="F649" s="94">
        <v>0.60555555555555551</v>
      </c>
      <c r="G649" s="93" t="s">
        <v>332</v>
      </c>
      <c r="H649" s="93" t="s">
        <v>97</v>
      </c>
      <c r="I649" s="96">
        <v>7</v>
      </c>
      <c r="J649" s="97" t="s">
        <v>331</v>
      </c>
      <c r="K649" s="98">
        <v>208</v>
      </c>
      <c r="L649" s="99" t="s">
        <v>761</v>
      </c>
      <c r="M649" s="83" t="s">
        <v>922</v>
      </c>
      <c r="N649" s="83">
        <v>20</v>
      </c>
      <c r="O649" s="83" t="s">
        <v>1901</v>
      </c>
      <c r="P649" s="83">
        <v>31</v>
      </c>
      <c r="Q649" s="87" t="s">
        <v>1256</v>
      </c>
      <c r="R649" s="85">
        <v>29</v>
      </c>
      <c r="S649" s="26">
        <v>3209</v>
      </c>
      <c r="T649" s="26" t="s">
        <v>1629</v>
      </c>
      <c r="U649" s="26">
        <v>3213</v>
      </c>
      <c r="V649" s="26" t="s">
        <v>1628</v>
      </c>
      <c r="W649" s="62">
        <v>44816</v>
      </c>
      <c r="X649" s="62">
        <v>45086</v>
      </c>
      <c r="Y649" s="62"/>
      <c r="Z649" s="62"/>
      <c r="AA649" s="22" t="s">
        <v>1106</v>
      </c>
      <c r="AB649" s="23"/>
      <c r="AC649" s="23"/>
      <c r="AD649" s="23"/>
      <c r="AE649" s="23" t="s">
        <v>731</v>
      </c>
      <c r="AF649" s="23" t="s">
        <v>731</v>
      </c>
      <c r="AG649" s="23" t="s">
        <v>731</v>
      </c>
      <c r="AH649" s="23" t="s">
        <v>731</v>
      </c>
      <c r="AI649" s="23" t="s">
        <v>731</v>
      </c>
      <c r="AJ649" s="23" t="s">
        <v>731</v>
      </c>
      <c r="AK649" s="23" t="s">
        <v>731</v>
      </c>
      <c r="AL649" s="23"/>
      <c r="AM649" s="23"/>
      <c r="AN649" s="23"/>
      <c r="AO649" s="23"/>
      <c r="AP649" s="23"/>
      <c r="AQ649" s="23"/>
      <c r="AR649" s="23"/>
      <c r="AS649" s="23"/>
      <c r="AT649" s="23"/>
      <c r="AU649" s="23"/>
      <c r="AV649" s="42">
        <v>42.43</v>
      </c>
      <c r="AW649" s="18"/>
      <c r="AY649" s="42"/>
      <c r="AZ649" s="42"/>
      <c r="BB649" s="45">
        <v>1</v>
      </c>
      <c r="BC649" s="41">
        <f>IF(AND((AV649/I649)&lt;2,BB649=1),(I649*2)-AV649,0)</f>
        <v>0</v>
      </c>
      <c r="BD649" s="41">
        <f>IF(AND((AV649/I649)&lt;3,BB649=2),(I649*3)-AV649,0)</f>
        <v>0</v>
      </c>
      <c r="BG649" s="18"/>
      <c r="BH649" s="18">
        <v>17</v>
      </c>
      <c r="BI649" s="18">
        <v>25</v>
      </c>
      <c r="BJ649" s="18">
        <v>25</v>
      </c>
      <c r="BK649" s="18">
        <v>18</v>
      </c>
      <c r="BL649" s="18">
        <v>20</v>
      </c>
      <c r="BM649" s="55">
        <f>SUM(AV649:AX649)+SUM(BC649:BD649)+SUM(BE649:BF649)+BG649</f>
        <v>42.43</v>
      </c>
      <c r="BN649" s="55"/>
      <c r="BO649" s="55"/>
      <c r="BP649" s="55"/>
      <c r="BQ649" s="55"/>
      <c r="BR649" s="55"/>
      <c r="BS649" s="55"/>
      <c r="BT649" s="55"/>
      <c r="BU649" s="55"/>
      <c r="BV649" s="55"/>
      <c r="BW649" s="55"/>
      <c r="BX649" s="55"/>
      <c r="BY649" s="55"/>
    </row>
    <row r="650" spans="1:77" ht="33.75">
      <c r="B650" s="89">
        <v>637</v>
      </c>
      <c r="C650" s="93">
        <v>315</v>
      </c>
      <c r="D650" s="93">
        <v>953</v>
      </c>
      <c r="E650" s="94">
        <v>0.65625</v>
      </c>
      <c r="F650" s="105">
        <v>0.68263888888888891</v>
      </c>
      <c r="G650" s="93" t="s">
        <v>329</v>
      </c>
      <c r="H650" s="93" t="s">
        <v>203</v>
      </c>
      <c r="I650" s="96">
        <v>20</v>
      </c>
      <c r="J650" s="97" t="s">
        <v>93</v>
      </c>
      <c r="K650" s="98">
        <v>202</v>
      </c>
      <c r="L650" s="109" t="s">
        <v>765</v>
      </c>
      <c r="M650" s="2" t="s">
        <v>1170</v>
      </c>
      <c r="N650" s="2">
        <v>21</v>
      </c>
      <c r="O650" s="83" t="s">
        <v>843</v>
      </c>
      <c r="P650" s="83">
        <v>31</v>
      </c>
      <c r="Q650" s="83" t="s">
        <v>1256</v>
      </c>
      <c r="R650" s="85">
        <v>29</v>
      </c>
      <c r="S650" s="26">
        <v>3210</v>
      </c>
      <c r="T650" s="26" t="s">
        <v>1630</v>
      </c>
      <c r="U650" s="26" t="s">
        <v>1570</v>
      </c>
      <c r="V650" s="26" t="s">
        <v>1569</v>
      </c>
      <c r="W650" s="63">
        <v>44816</v>
      </c>
      <c r="X650" s="63">
        <v>45100</v>
      </c>
      <c r="Y650" s="63"/>
      <c r="Z650" s="63"/>
      <c r="AA650" s="22" t="s">
        <v>1108</v>
      </c>
      <c r="AB650" s="23" t="s">
        <v>731</v>
      </c>
      <c r="AC650" s="23"/>
      <c r="AD650" s="23" t="s">
        <v>731</v>
      </c>
      <c r="AE650" s="23"/>
      <c r="AF650" s="23" t="s">
        <v>731</v>
      </c>
      <c r="AG650" s="23" t="s">
        <v>731</v>
      </c>
      <c r="AH650" s="23" t="s">
        <v>731</v>
      </c>
      <c r="AI650" s="23" t="s">
        <v>731</v>
      </c>
      <c r="AJ650" s="23" t="s">
        <v>731</v>
      </c>
      <c r="AK650" s="23"/>
      <c r="AL650" s="23"/>
      <c r="AM650" s="23"/>
      <c r="AN650" s="23"/>
      <c r="AO650" s="23"/>
      <c r="AP650" s="23"/>
      <c r="AQ650" s="23"/>
      <c r="AR650" s="23"/>
      <c r="AS650" s="23"/>
      <c r="AT650" s="23"/>
      <c r="AU650" s="23"/>
      <c r="AV650" s="42">
        <v>36</v>
      </c>
      <c r="AW650" s="18"/>
      <c r="AY650" s="42"/>
      <c r="AZ650" s="42"/>
      <c r="BB650" s="45">
        <v>1</v>
      </c>
      <c r="BC650" s="41">
        <f>IF(AND((AV650/I650)&lt;2,BB650=1),(I650*2)-AV650,0)</f>
        <v>4</v>
      </c>
      <c r="BD650" s="41">
        <f>IF(AND((AV650/I650)&lt;3,BB650=2),(I650*3)-AV650,0)</f>
        <v>0</v>
      </c>
      <c r="BG650" s="18"/>
      <c r="BH650" s="18">
        <v>15</v>
      </c>
      <c r="BI650" s="18">
        <v>21</v>
      </c>
      <c r="BJ650" s="18">
        <v>21</v>
      </c>
      <c r="BK650" s="18">
        <v>20</v>
      </c>
      <c r="BL650" s="18">
        <v>21</v>
      </c>
      <c r="BM650" s="55">
        <f>SUM(AV650:AX650)+SUM(BC650:BD650)+SUM(BE650:BF650)+BG650</f>
        <v>40</v>
      </c>
      <c r="BN650" s="55"/>
      <c r="BO650" s="55"/>
      <c r="BP650" s="55"/>
      <c r="BQ650" s="55"/>
      <c r="BR650" s="55"/>
      <c r="BS650" s="55"/>
      <c r="BT650" s="55"/>
      <c r="BU650" s="55"/>
      <c r="BV650" s="55"/>
      <c r="BW650" s="55"/>
      <c r="BX650" s="55"/>
      <c r="BY650" s="55"/>
    </row>
    <row r="651" spans="1:77" ht="33.75">
      <c r="B651" s="89">
        <v>638</v>
      </c>
      <c r="C651" s="93">
        <v>315</v>
      </c>
      <c r="D651" s="93">
        <v>954</v>
      </c>
      <c r="E651" s="94">
        <v>0.69097222222222221</v>
      </c>
      <c r="F651" s="94">
        <v>0.71736111111111101</v>
      </c>
      <c r="G651" s="93" t="s">
        <v>328</v>
      </c>
      <c r="H651" s="93" t="s">
        <v>203</v>
      </c>
      <c r="I651" s="96">
        <v>20</v>
      </c>
      <c r="J651" s="97" t="s">
        <v>93</v>
      </c>
      <c r="K651" s="98">
        <v>202</v>
      </c>
      <c r="L651" s="109" t="s">
        <v>765</v>
      </c>
      <c r="M651" s="2" t="s">
        <v>1170</v>
      </c>
      <c r="N651" s="2">
        <v>21</v>
      </c>
      <c r="O651" s="83" t="s">
        <v>843</v>
      </c>
      <c r="P651" s="83">
        <v>31</v>
      </c>
      <c r="Q651" s="83" t="s">
        <v>1256</v>
      </c>
      <c r="R651" s="85">
        <v>29</v>
      </c>
      <c r="S651" s="26" t="s">
        <v>1568</v>
      </c>
      <c r="T651" s="26" t="s">
        <v>1569</v>
      </c>
      <c r="U651" s="26">
        <v>3210</v>
      </c>
      <c r="V651" s="26" t="s">
        <v>1630</v>
      </c>
      <c r="W651" s="63">
        <v>44816</v>
      </c>
      <c r="X651" s="63">
        <v>45100</v>
      </c>
      <c r="Y651" s="63"/>
      <c r="Z651" s="63"/>
      <c r="AA651" s="22" t="s">
        <v>1108</v>
      </c>
      <c r="AB651" s="23" t="s">
        <v>731</v>
      </c>
      <c r="AC651" s="23"/>
      <c r="AD651" s="23" t="s">
        <v>731</v>
      </c>
      <c r="AE651" s="23"/>
      <c r="AF651" s="23" t="s">
        <v>731</v>
      </c>
      <c r="AG651" s="23" t="s">
        <v>731</v>
      </c>
      <c r="AH651" s="23" t="s">
        <v>731</v>
      </c>
      <c r="AI651" s="23" t="s">
        <v>731</v>
      </c>
      <c r="AJ651" s="23" t="s">
        <v>731</v>
      </c>
      <c r="AK651" s="23"/>
      <c r="AL651" s="23"/>
      <c r="AM651" s="23"/>
      <c r="AN651" s="23"/>
      <c r="AO651" s="23"/>
      <c r="AP651" s="23"/>
      <c r="AQ651" s="23"/>
      <c r="AR651" s="23"/>
      <c r="AS651" s="23"/>
      <c r="AT651" s="23"/>
      <c r="AU651" s="23"/>
      <c r="AV651" s="42">
        <v>36</v>
      </c>
      <c r="AW651" s="18"/>
      <c r="AY651" s="42"/>
      <c r="AZ651" s="42"/>
      <c r="BB651" s="45">
        <v>1</v>
      </c>
      <c r="BC651" s="41">
        <f>IF(AND((AV651/I651)&lt;2,BB651=1),(I651*2)-AV651,0)</f>
        <v>4</v>
      </c>
      <c r="BD651" s="41">
        <f>IF(AND((AV651/I651)&lt;3,BB651=2),(I651*3)-AV651,0)</f>
        <v>0</v>
      </c>
      <c r="BG651" s="18"/>
      <c r="BH651" s="18">
        <v>15</v>
      </c>
      <c r="BI651" s="18">
        <v>21</v>
      </c>
      <c r="BJ651" s="18">
        <v>21</v>
      </c>
      <c r="BK651" s="18">
        <v>20</v>
      </c>
      <c r="BL651" s="18">
        <v>21</v>
      </c>
      <c r="BM651" s="55">
        <f>SUM(AV651:AX651)+SUM(BC651:BD651)+SUM(BE651:BF651)+BG651</f>
        <v>40</v>
      </c>
      <c r="BN651" s="55"/>
      <c r="BO651" s="55"/>
      <c r="BP651" s="55"/>
      <c r="BQ651" s="55"/>
      <c r="BR651" s="55"/>
      <c r="BS651" s="55"/>
      <c r="BT651" s="55"/>
      <c r="BU651" s="55"/>
      <c r="BV651" s="55"/>
      <c r="BW651" s="55"/>
      <c r="BX651" s="55"/>
      <c r="BY651" s="55"/>
    </row>
    <row r="652" spans="1:77" ht="25.5">
      <c r="B652" s="89">
        <v>639</v>
      </c>
      <c r="C652" s="101">
        <v>334</v>
      </c>
      <c r="D652" s="101">
        <v>539</v>
      </c>
      <c r="E652" s="102">
        <v>0.34513888888888888</v>
      </c>
      <c r="F652" s="102">
        <v>0.35138888888888892</v>
      </c>
      <c r="G652" s="103" t="s">
        <v>29</v>
      </c>
      <c r="H652" s="93" t="s">
        <v>97</v>
      </c>
      <c r="I652" s="101">
        <v>4</v>
      </c>
      <c r="J652" s="104">
        <v>19</v>
      </c>
      <c r="K652" s="98">
        <v>208</v>
      </c>
      <c r="L652" s="109" t="s">
        <v>762</v>
      </c>
      <c r="M652" s="83" t="s">
        <v>948</v>
      </c>
      <c r="N652" s="83">
        <v>22</v>
      </c>
      <c r="O652" s="87" t="s">
        <v>1902</v>
      </c>
      <c r="P652" s="87">
        <v>29</v>
      </c>
      <c r="Q652" s="2" t="s">
        <v>1257</v>
      </c>
      <c r="R652" s="83">
        <v>21</v>
      </c>
      <c r="S652" s="26" t="s">
        <v>1633</v>
      </c>
      <c r="T652" s="26" t="s">
        <v>1634</v>
      </c>
      <c r="U652" s="26" t="s">
        <v>1635</v>
      </c>
      <c r="V652" s="26" t="s">
        <v>1636</v>
      </c>
      <c r="W652" s="62">
        <v>44816</v>
      </c>
      <c r="X652" s="62">
        <v>45086</v>
      </c>
      <c r="Y652" s="62"/>
      <c r="Z652" s="62"/>
      <c r="AA652" s="22" t="s">
        <v>1106</v>
      </c>
      <c r="AB652" s="23"/>
      <c r="AC652" s="23"/>
      <c r="AD652" s="23"/>
      <c r="AE652" s="23" t="s">
        <v>731</v>
      </c>
      <c r="AF652" s="23" t="s">
        <v>731</v>
      </c>
      <c r="AG652" s="23" t="s">
        <v>731</v>
      </c>
      <c r="AH652" s="23" t="s">
        <v>731</v>
      </c>
      <c r="AI652" s="23" t="s">
        <v>731</v>
      </c>
      <c r="AJ652" s="23" t="s">
        <v>731</v>
      </c>
      <c r="AK652" s="23" t="s">
        <v>731</v>
      </c>
      <c r="AL652" s="23"/>
      <c r="AM652" s="23"/>
      <c r="AN652" s="23"/>
      <c r="AO652" s="23"/>
      <c r="AP652" s="23"/>
      <c r="AQ652" s="23"/>
      <c r="AR652" s="23"/>
      <c r="AS652" s="23"/>
      <c r="AT652" s="23"/>
      <c r="AU652" s="23"/>
      <c r="AW652" s="18"/>
      <c r="AY652" s="20" t="s">
        <v>1006</v>
      </c>
      <c r="AZ652" s="20"/>
      <c r="BB652" s="45">
        <v>1</v>
      </c>
      <c r="BD652" s="41"/>
      <c r="BG652" s="18"/>
      <c r="BH652" s="18">
        <v>17</v>
      </c>
      <c r="BI652" s="18">
        <v>25</v>
      </c>
      <c r="BJ652" s="18">
        <v>25</v>
      </c>
      <c r="BK652" s="18">
        <v>18</v>
      </c>
      <c r="BL652" s="18">
        <v>20</v>
      </c>
      <c r="BM652" s="55">
        <f>SUM(AV652:AX652)+SUM(BC652:BD652)+SUM(BE652:BF652)+BG652</f>
        <v>0</v>
      </c>
      <c r="BN652" s="55" t="s">
        <v>1838</v>
      </c>
      <c r="BO652" s="77">
        <v>1</v>
      </c>
      <c r="BP652" s="77"/>
      <c r="BQ652" s="77">
        <v>1</v>
      </c>
      <c r="BR652" s="77"/>
      <c r="BS652" s="77">
        <v>1</v>
      </c>
      <c r="BT652" s="77"/>
      <c r="BU652" s="77">
        <v>1</v>
      </c>
      <c r="BV652" s="77"/>
      <c r="BW652" s="77">
        <v>1</v>
      </c>
      <c r="BX652" s="77"/>
      <c r="BY652" s="55">
        <v>2500</v>
      </c>
    </row>
    <row r="653" spans="1:77" ht="25.5">
      <c r="A653" s="2" t="s">
        <v>1167</v>
      </c>
      <c r="B653" s="89">
        <v>640</v>
      </c>
      <c r="C653" s="101">
        <v>334</v>
      </c>
      <c r="D653" s="101">
        <v>276</v>
      </c>
      <c r="E653" s="102">
        <v>0.40208333333333335</v>
      </c>
      <c r="F653" s="102">
        <v>0.41180555555555554</v>
      </c>
      <c r="G653" s="103" t="s">
        <v>35</v>
      </c>
      <c r="H653" s="93" t="s">
        <v>97</v>
      </c>
      <c r="I653" s="121">
        <v>16</v>
      </c>
      <c r="J653" s="104">
        <v>19</v>
      </c>
      <c r="K653" s="98">
        <v>208</v>
      </c>
      <c r="L653" s="109" t="s">
        <v>762</v>
      </c>
      <c r="M653" s="83" t="s">
        <v>948</v>
      </c>
      <c r="N653" s="83">
        <v>22</v>
      </c>
      <c r="O653" s="87" t="s">
        <v>1902</v>
      </c>
      <c r="P653" s="87">
        <v>29</v>
      </c>
      <c r="Q653" s="2" t="s">
        <v>1257</v>
      </c>
      <c r="R653" s="83">
        <v>21</v>
      </c>
      <c r="S653" s="26" t="s">
        <v>1635</v>
      </c>
      <c r="T653" s="26" t="s">
        <v>1636</v>
      </c>
      <c r="U653" s="26" t="s">
        <v>1637</v>
      </c>
      <c r="V653" s="26" t="s">
        <v>1638</v>
      </c>
      <c r="W653" s="62">
        <v>44816</v>
      </c>
      <c r="X653" s="62">
        <v>45086</v>
      </c>
      <c r="Y653" s="62"/>
      <c r="Z653" s="62"/>
      <c r="AA653" s="22" t="s">
        <v>1106</v>
      </c>
      <c r="AB653" s="23"/>
      <c r="AC653" s="23"/>
      <c r="AD653" s="23"/>
      <c r="AE653" s="23" t="s">
        <v>731</v>
      </c>
      <c r="AF653" s="23" t="s">
        <v>731</v>
      </c>
      <c r="AG653" s="23" t="s">
        <v>731</v>
      </c>
      <c r="AH653" s="23" t="s">
        <v>731</v>
      </c>
      <c r="AI653" s="23" t="s">
        <v>731</v>
      </c>
      <c r="AJ653" s="23" t="s">
        <v>731</v>
      </c>
      <c r="AK653" s="23" t="s">
        <v>731</v>
      </c>
      <c r="AL653" s="23"/>
      <c r="AM653" s="23"/>
      <c r="AN653" s="23"/>
      <c r="AO653" s="23"/>
      <c r="AP653" s="23"/>
      <c r="AQ653" s="23"/>
      <c r="AR653" s="23"/>
      <c r="AS653" s="23"/>
      <c r="AT653" s="23"/>
      <c r="AU653" s="23"/>
      <c r="AW653" s="18"/>
      <c r="AY653" s="20" t="s">
        <v>1006</v>
      </c>
      <c r="AZ653" s="20"/>
      <c r="BA653" s="18">
        <v>32</v>
      </c>
      <c r="BB653" s="45">
        <v>1</v>
      </c>
      <c r="BD653" s="41"/>
      <c r="BG653" s="18"/>
      <c r="BH653" s="18">
        <v>17</v>
      </c>
      <c r="BI653" s="18">
        <v>25</v>
      </c>
      <c r="BJ653" s="18">
        <v>25</v>
      </c>
      <c r="BK653" s="18">
        <v>18</v>
      </c>
      <c r="BL653" s="18">
        <v>20</v>
      </c>
      <c r="BM653" s="55">
        <f>SUM(AV653:AX653)+SUM(BC653:BD653)+SUM(BE653:BF653)+BG653</f>
        <v>0</v>
      </c>
      <c r="BN653" s="73" t="s">
        <v>1106</v>
      </c>
      <c r="BO653" s="77">
        <v>17</v>
      </c>
      <c r="BP653" s="77"/>
      <c r="BQ653" s="77">
        <v>25</v>
      </c>
      <c r="BR653" s="77"/>
      <c r="BS653" s="77">
        <v>25</v>
      </c>
      <c r="BT653" s="77"/>
      <c r="BU653" s="77">
        <v>18</v>
      </c>
      <c r="BV653" s="77"/>
      <c r="BW653" s="77">
        <v>20</v>
      </c>
      <c r="BX653" s="77"/>
      <c r="BY653" s="55">
        <v>69</v>
      </c>
    </row>
    <row r="654" spans="1:77" ht="25.5">
      <c r="B654" s="89">
        <v>641</v>
      </c>
      <c r="C654" s="101">
        <v>334</v>
      </c>
      <c r="D654" s="101">
        <v>405</v>
      </c>
      <c r="E654" s="102">
        <v>0.41597222222222219</v>
      </c>
      <c r="F654" s="108">
        <v>0.4368055555555555</v>
      </c>
      <c r="G654" s="103" t="s">
        <v>34</v>
      </c>
      <c r="H654" s="93" t="s">
        <v>97</v>
      </c>
      <c r="I654" s="101">
        <v>19.3</v>
      </c>
      <c r="J654" s="104">
        <v>19</v>
      </c>
      <c r="K654" s="98">
        <v>208</v>
      </c>
      <c r="L654" s="109" t="s">
        <v>762</v>
      </c>
      <c r="M654" s="83" t="s">
        <v>948</v>
      </c>
      <c r="N654" s="83">
        <v>22</v>
      </c>
      <c r="O654" s="87" t="s">
        <v>1902</v>
      </c>
      <c r="P654" s="87">
        <v>29</v>
      </c>
      <c r="Q654" s="2" t="s">
        <v>1257</v>
      </c>
      <c r="R654" s="83">
        <v>21</v>
      </c>
      <c r="S654" s="26" t="s">
        <v>1639</v>
      </c>
      <c r="T654" s="26" t="s">
        <v>1640</v>
      </c>
      <c r="U654" s="26" t="s">
        <v>1635</v>
      </c>
      <c r="V654" s="26" t="s">
        <v>1636</v>
      </c>
      <c r="W654" s="62">
        <v>44816</v>
      </c>
      <c r="X654" s="62">
        <v>45086</v>
      </c>
      <c r="Y654" s="62"/>
      <c r="Z654" s="62"/>
      <c r="AA654" s="22" t="s">
        <v>1106</v>
      </c>
      <c r="AB654" s="23"/>
      <c r="AC654" s="23"/>
      <c r="AD654" s="23"/>
      <c r="AE654" s="23" t="s">
        <v>731</v>
      </c>
      <c r="AF654" s="23" t="s">
        <v>731</v>
      </c>
      <c r="AG654" s="23" t="s">
        <v>731</v>
      </c>
      <c r="AH654" s="23" t="s">
        <v>731</v>
      </c>
      <c r="AI654" s="23" t="s">
        <v>731</v>
      </c>
      <c r="AJ654" s="23" t="s">
        <v>731</v>
      </c>
      <c r="AK654" s="23" t="s">
        <v>731</v>
      </c>
      <c r="AL654" s="23"/>
      <c r="AM654" s="23"/>
      <c r="AN654" s="23"/>
      <c r="AO654" s="23"/>
      <c r="AP654" s="23"/>
      <c r="AQ654" s="23"/>
      <c r="AR654" s="23"/>
      <c r="AS654" s="23"/>
      <c r="AT654" s="23"/>
      <c r="AU654" s="23"/>
      <c r="AW654" s="18"/>
      <c r="AY654" s="20" t="s">
        <v>1006</v>
      </c>
      <c r="AZ654" s="20"/>
      <c r="BA654" s="18">
        <v>33</v>
      </c>
      <c r="BB654" s="45">
        <v>1</v>
      </c>
      <c r="BD654" s="41"/>
      <c r="BG654" s="18"/>
      <c r="BH654" s="18">
        <v>17</v>
      </c>
      <c r="BI654" s="18">
        <v>25</v>
      </c>
      <c r="BJ654" s="18">
        <v>25</v>
      </c>
      <c r="BK654" s="18">
        <v>18</v>
      </c>
      <c r="BL654" s="18">
        <v>20</v>
      </c>
      <c r="BM654" s="55">
        <f>SUM(AV654:AX654)+SUM(BC654:BD654)+SUM(BE654:BF654)+BG654</f>
        <v>0</v>
      </c>
      <c r="BN654" s="55"/>
      <c r="BO654" s="55"/>
      <c r="BP654" s="55"/>
      <c r="BQ654" s="55"/>
      <c r="BR654" s="55"/>
      <c r="BS654" s="55"/>
      <c r="BT654" s="55"/>
      <c r="BU654" s="55"/>
      <c r="BV654" s="55"/>
      <c r="BW654" s="55"/>
      <c r="BX654" s="55"/>
      <c r="BY654" s="55"/>
    </row>
    <row r="655" spans="1:77" ht="25.5">
      <c r="B655" s="89">
        <v>642</v>
      </c>
      <c r="C655" s="121">
        <v>334</v>
      </c>
      <c r="D655" s="101">
        <v>87</v>
      </c>
      <c r="E655" s="108">
        <v>0.46180555555555558</v>
      </c>
      <c r="F655" s="102">
        <v>0.4777777777777778</v>
      </c>
      <c r="G655" s="103" t="s">
        <v>645</v>
      </c>
      <c r="H655" s="93" t="s">
        <v>103</v>
      </c>
      <c r="I655" s="101">
        <v>14</v>
      </c>
      <c r="J655" s="104">
        <v>19</v>
      </c>
      <c r="K655" s="98">
        <v>174</v>
      </c>
      <c r="L655" s="109" t="s">
        <v>762</v>
      </c>
      <c r="M655" s="83" t="s">
        <v>948</v>
      </c>
      <c r="N655" s="83">
        <v>22</v>
      </c>
      <c r="O655" s="87" t="s">
        <v>1902</v>
      </c>
      <c r="P655" s="87">
        <v>29</v>
      </c>
      <c r="Q655" s="2" t="s">
        <v>1257</v>
      </c>
      <c r="R655" s="83">
        <v>21</v>
      </c>
      <c r="S655" s="26" t="s">
        <v>1635</v>
      </c>
      <c r="T655" s="26" t="s">
        <v>1636</v>
      </c>
      <c r="U655" s="26">
        <v>3367</v>
      </c>
      <c r="V655" s="26" t="s">
        <v>1641</v>
      </c>
      <c r="W655" s="62">
        <v>44816</v>
      </c>
      <c r="X655" s="62">
        <v>45086</v>
      </c>
      <c r="Y655" s="62"/>
      <c r="Z655" s="62"/>
      <c r="AA655" s="22" t="s">
        <v>1102</v>
      </c>
      <c r="AB655" s="23"/>
      <c r="AC655" s="23"/>
      <c r="AD655" s="23"/>
      <c r="AE655" s="23" t="s">
        <v>731</v>
      </c>
      <c r="AF655" s="23" t="s">
        <v>731</v>
      </c>
      <c r="AG655" s="23" t="s">
        <v>731</v>
      </c>
      <c r="AH655" s="23" t="s">
        <v>731</v>
      </c>
      <c r="AI655" s="23" t="s">
        <v>731</v>
      </c>
      <c r="AJ655" s="23" t="s">
        <v>731</v>
      </c>
      <c r="AK655" s="23"/>
      <c r="AL655" s="23"/>
      <c r="AM655" s="23"/>
      <c r="AN655" s="23"/>
      <c r="AO655" s="23"/>
      <c r="AP655" s="23"/>
      <c r="AQ655" s="23"/>
      <c r="AR655" s="23"/>
      <c r="AS655" s="23"/>
      <c r="AT655" s="23"/>
      <c r="AU655" s="23"/>
      <c r="AW655" s="18"/>
      <c r="AY655" s="20" t="s">
        <v>1005</v>
      </c>
      <c r="AZ655" s="20"/>
      <c r="BB655" s="45">
        <v>1</v>
      </c>
      <c r="BD655" s="41"/>
      <c r="BG655" s="18"/>
      <c r="BH655" s="18">
        <v>15</v>
      </c>
      <c r="BI655" s="18">
        <v>20</v>
      </c>
      <c r="BJ655" s="18">
        <v>21</v>
      </c>
      <c r="BK655" s="18">
        <v>15</v>
      </c>
      <c r="BL655" s="18">
        <v>17</v>
      </c>
      <c r="BM655" s="55">
        <f>SUM(AV655:AX655)+SUM(BC655:BD655)+SUM(BE655:BF655)+BG655</f>
        <v>0</v>
      </c>
      <c r="BN655" s="55" t="s">
        <v>1838</v>
      </c>
      <c r="BO655" s="77">
        <v>1</v>
      </c>
      <c r="BP655" s="77"/>
      <c r="BQ655" s="77">
        <v>1</v>
      </c>
      <c r="BR655" s="77"/>
      <c r="BS655" s="77">
        <v>1</v>
      </c>
      <c r="BT655" s="77"/>
      <c r="BU655" s="77">
        <v>1</v>
      </c>
      <c r="BV655" s="77"/>
      <c r="BW655" s="77">
        <v>1</v>
      </c>
      <c r="BX655" s="77"/>
      <c r="BY655" s="55">
        <v>2500</v>
      </c>
    </row>
    <row r="656" spans="1:77" ht="25.5">
      <c r="B656" s="89">
        <v>643</v>
      </c>
      <c r="C656" s="101">
        <v>334</v>
      </c>
      <c r="D656" s="101">
        <v>197</v>
      </c>
      <c r="E656" s="102">
        <v>0.5805555555555556</v>
      </c>
      <c r="F656" s="102">
        <v>0.58611111111111114</v>
      </c>
      <c r="G656" s="103" t="s">
        <v>29</v>
      </c>
      <c r="H656" s="93" t="s">
        <v>97</v>
      </c>
      <c r="I656" s="101">
        <v>4</v>
      </c>
      <c r="J656" s="104">
        <v>19</v>
      </c>
      <c r="K656" s="98">
        <v>208</v>
      </c>
      <c r="L656" s="109" t="s">
        <v>762</v>
      </c>
      <c r="M656" s="83" t="s">
        <v>948</v>
      </c>
      <c r="N656" s="83">
        <v>22</v>
      </c>
      <c r="O656" s="87" t="s">
        <v>1902</v>
      </c>
      <c r="P656" s="87">
        <v>29</v>
      </c>
      <c r="Q656" s="2" t="s">
        <v>1257</v>
      </c>
      <c r="R656" s="83">
        <v>21</v>
      </c>
      <c r="S656" s="26" t="s">
        <v>1633</v>
      </c>
      <c r="T656" s="26" t="s">
        <v>1634</v>
      </c>
      <c r="U656" s="26" t="s">
        <v>1635</v>
      </c>
      <c r="V656" s="26" t="s">
        <v>1636</v>
      </c>
      <c r="W656" s="62">
        <v>44816</v>
      </c>
      <c r="X656" s="62">
        <v>45086</v>
      </c>
      <c r="Y656" s="62"/>
      <c r="Z656" s="62"/>
      <c r="AA656" s="22" t="s">
        <v>1106</v>
      </c>
      <c r="AB656" s="23"/>
      <c r="AC656" s="23"/>
      <c r="AD656" s="23"/>
      <c r="AE656" s="23" t="s">
        <v>731</v>
      </c>
      <c r="AF656" s="23" t="s">
        <v>731</v>
      </c>
      <c r="AG656" s="23" t="s">
        <v>731</v>
      </c>
      <c r="AH656" s="23" t="s">
        <v>731</v>
      </c>
      <c r="AI656" s="23" t="s">
        <v>731</v>
      </c>
      <c r="AJ656" s="23" t="s">
        <v>731</v>
      </c>
      <c r="AK656" s="23" t="s">
        <v>731</v>
      </c>
      <c r="AL656" s="23"/>
      <c r="AM656" s="23"/>
      <c r="AN656" s="23"/>
      <c r="AO656" s="23"/>
      <c r="AP656" s="23"/>
      <c r="AQ656" s="23"/>
      <c r="AR656" s="23"/>
      <c r="AS656" s="23"/>
      <c r="AT656" s="23"/>
      <c r="AU656" s="23"/>
      <c r="AW656" s="18"/>
      <c r="AY656" s="20" t="s">
        <v>1005</v>
      </c>
      <c r="AZ656" s="20"/>
      <c r="BB656" s="45">
        <v>1</v>
      </c>
      <c r="BD656" s="41"/>
      <c r="BG656" s="18"/>
      <c r="BH656" s="18">
        <v>17</v>
      </c>
      <c r="BI656" s="18">
        <v>25</v>
      </c>
      <c r="BJ656" s="18">
        <v>25</v>
      </c>
      <c r="BK656" s="18">
        <v>18</v>
      </c>
      <c r="BL656" s="18">
        <v>20</v>
      </c>
      <c r="BM656" s="55">
        <f>SUM(AV656:AX656)+SUM(BC656:BD656)+SUM(BE656:BF656)+BG656</f>
        <v>0</v>
      </c>
      <c r="BN656" s="55"/>
      <c r="BO656" s="55"/>
      <c r="BP656" s="55"/>
      <c r="BQ656" s="55"/>
      <c r="BR656" s="55"/>
      <c r="BS656" s="55"/>
      <c r="BT656" s="55"/>
      <c r="BU656" s="55"/>
      <c r="BV656" s="55"/>
      <c r="BW656" s="55"/>
      <c r="BX656" s="55"/>
      <c r="BY656" s="55"/>
    </row>
    <row r="657" spans="1:78" ht="25.5">
      <c r="B657" s="89">
        <v>644</v>
      </c>
      <c r="C657" s="101">
        <v>334</v>
      </c>
      <c r="D657" s="101">
        <v>201</v>
      </c>
      <c r="E657" s="102">
        <v>0.60486111111111118</v>
      </c>
      <c r="F657" s="102">
        <v>0.62638888888888888</v>
      </c>
      <c r="G657" s="103" t="s">
        <v>33</v>
      </c>
      <c r="H657" s="93" t="s">
        <v>103</v>
      </c>
      <c r="I657" s="101">
        <v>19.3</v>
      </c>
      <c r="J657" s="104">
        <v>19</v>
      </c>
      <c r="K657" s="98">
        <v>174</v>
      </c>
      <c r="L657" s="109" t="s">
        <v>762</v>
      </c>
      <c r="M657" s="83" t="s">
        <v>948</v>
      </c>
      <c r="N657" s="83">
        <v>22</v>
      </c>
      <c r="O657" s="87" t="s">
        <v>1902</v>
      </c>
      <c r="P657" s="87">
        <v>29</v>
      </c>
      <c r="Q657" s="2" t="s">
        <v>1257</v>
      </c>
      <c r="R657" s="83">
        <v>21</v>
      </c>
      <c r="S657" s="26" t="s">
        <v>1639</v>
      </c>
      <c r="T657" s="26" t="s">
        <v>1640</v>
      </c>
      <c r="U657" s="26" t="s">
        <v>1635</v>
      </c>
      <c r="V657" s="26" t="s">
        <v>1636</v>
      </c>
      <c r="W657" s="62">
        <v>44816</v>
      </c>
      <c r="X657" s="62">
        <v>45086</v>
      </c>
      <c r="Y657" s="62"/>
      <c r="Z657" s="62"/>
      <c r="AA657" s="22" t="s">
        <v>1102</v>
      </c>
      <c r="AB657" s="23"/>
      <c r="AC657" s="23"/>
      <c r="AD657" s="23"/>
      <c r="AE657" s="23" t="s">
        <v>731</v>
      </c>
      <c r="AF657" s="23" t="s">
        <v>731</v>
      </c>
      <c r="AG657" s="23" t="s">
        <v>731</v>
      </c>
      <c r="AH657" s="23" t="s">
        <v>731</v>
      </c>
      <c r="AI657" s="23" t="s">
        <v>731</v>
      </c>
      <c r="AJ657" s="23" t="s">
        <v>731</v>
      </c>
      <c r="AK657" s="23"/>
      <c r="AL657" s="23"/>
      <c r="AM657" s="23"/>
      <c r="AN657" s="23"/>
      <c r="AO657" s="23"/>
      <c r="AP657" s="23"/>
      <c r="AQ657" s="23"/>
      <c r="AR657" s="23"/>
      <c r="AS657" s="23"/>
      <c r="AT657" s="23"/>
      <c r="AU657" s="23"/>
      <c r="AW657" s="18"/>
      <c r="AY657" s="20" t="s">
        <v>1006</v>
      </c>
      <c r="AZ657" s="20"/>
      <c r="BA657" s="18">
        <v>34</v>
      </c>
      <c r="BB657" s="45">
        <v>1</v>
      </c>
      <c r="BD657" s="41"/>
      <c r="BG657" s="18"/>
      <c r="BH657" s="18">
        <v>15</v>
      </c>
      <c r="BI657" s="18">
        <v>20</v>
      </c>
      <c r="BJ657" s="18">
        <v>21</v>
      </c>
      <c r="BK657" s="18">
        <v>15</v>
      </c>
      <c r="BL657" s="18">
        <v>17</v>
      </c>
      <c r="BM657" s="55">
        <f>SUM(AV657:AX657)+SUM(BC657:BD657)+SUM(BE657:BF657)+BG657</f>
        <v>0</v>
      </c>
      <c r="BN657" s="55"/>
      <c r="BO657" s="55"/>
      <c r="BP657" s="55"/>
      <c r="BQ657" s="55"/>
      <c r="BR657" s="55"/>
      <c r="BS657" s="55"/>
      <c r="BT657" s="55"/>
      <c r="BU657" s="55"/>
      <c r="BV657" s="55"/>
      <c r="BW657" s="55"/>
      <c r="BX657" s="55"/>
      <c r="BY657" s="55"/>
    </row>
    <row r="658" spans="1:78" ht="33.75">
      <c r="A658" s="156" t="s">
        <v>2088</v>
      </c>
      <c r="B658" s="157">
        <v>645</v>
      </c>
      <c r="C658" s="171">
        <v>334</v>
      </c>
      <c r="D658" s="171">
        <v>401</v>
      </c>
      <c r="E658" s="172">
        <v>0.69236111111111109</v>
      </c>
      <c r="F658" s="172">
        <v>0.69861111111111107</v>
      </c>
      <c r="G658" s="173" t="s">
        <v>29</v>
      </c>
      <c r="H658" s="158" t="s">
        <v>242</v>
      </c>
      <c r="I658" s="171">
        <v>10</v>
      </c>
      <c r="J658" s="174">
        <v>19</v>
      </c>
      <c r="K658" s="169">
        <v>34</v>
      </c>
      <c r="L658" s="164" t="s">
        <v>762</v>
      </c>
      <c r="M658" s="179" t="s">
        <v>948</v>
      </c>
      <c r="N658" s="179">
        <v>22</v>
      </c>
      <c r="O658" s="179" t="s">
        <v>1902</v>
      </c>
      <c r="P658" s="179">
        <v>29</v>
      </c>
      <c r="Q658" s="156" t="s">
        <v>1257</v>
      </c>
      <c r="R658" s="179">
        <v>21</v>
      </c>
      <c r="S658" s="170" t="s">
        <v>1637</v>
      </c>
      <c r="T658" s="170" t="s">
        <v>1638</v>
      </c>
      <c r="U658" s="170" t="s">
        <v>1635</v>
      </c>
      <c r="V658" s="170" t="s">
        <v>1636</v>
      </c>
      <c r="W658" s="180">
        <v>44816</v>
      </c>
      <c r="X658" s="180">
        <v>44869</v>
      </c>
      <c r="Y658" s="180"/>
      <c r="Z658" s="180"/>
      <c r="AA658" s="181" t="s">
        <v>1111</v>
      </c>
      <c r="AB658" s="181"/>
      <c r="AC658" s="181"/>
      <c r="AD658" s="181"/>
      <c r="AE658" s="181" t="s">
        <v>731</v>
      </c>
      <c r="AF658" s="181"/>
      <c r="AG658" s="181"/>
      <c r="AH658" s="181"/>
      <c r="AI658" s="181"/>
      <c r="AJ658" s="181"/>
      <c r="AK658" s="181" t="s">
        <v>731</v>
      </c>
      <c r="AL658" s="181"/>
      <c r="AM658" s="181"/>
      <c r="AN658" s="181"/>
      <c r="AO658" s="181"/>
      <c r="AP658" s="181"/>
      <c r="AQ658" s="181"/>
      <c r="AR658" s="181"/>
      <c r="AS658" s="181"/>
      <c r="AT658" s="181"/>
      <c r="AU658" s="181"/>
      <c r="AV658" s="168"/>
      <c r="AW658" s="166"/>
      <c r="AX658" s="166"/>
      <c r="AY658" s="165" t="s">
        <v>1006</v>
      </c>
      <c r="AZ658" s="165"/>
      <c r="BA658" s="166">
        <v>35</v>
      </c>
      <c r="BB658" s="166">
        <v>1</v>
      </c>
      <c r="BC658" s="166"/>
      <c r="BD658" s="168"/>
      <c r="BE658" s="166"/>
      <c r="BF658" s="166"/>
      <c r="BG658" s="166"/>
      <c r="BH658" s="166">
        <v>2</v>
      </c>
      <c r="BI658" s="166">
        <v>5</v>
      </c>
      <c r="BJ658" s="166"/>
      <c r="BK658" s="166"/>
      <c r="BL658" s="166"/>
      <c r="BM658" s="167">
        <f>SUM(AV658:AX658)+SUM(BC658:BD658)+SUM(BE658:BF658)+BG658</f>
        <v>0</v>
      </c>
      <c r="BN658" s="167"/>
      <c r="BO658" s="167"/>
      <c r="BP658" s="167"/>
      <c r="BQ658" s="167"/>
      <c r="BR658" s="167"/>
      <c r="BS658" s="167"/>
      <c r="BT658" s="167"/>
      <c r="BU658" s="167"/>
      <c r="BV658" s="167"/>
      <c r="BW658" s="167"/>
      <c r="BX658" s="167"/>
      <c r="BY658" s="167"/>
      <c r="BZ658" s="166"/>
    </row>
    <row r="659" spans="1:78" ht="25.5">
      <c r="B659" s="89">
        <v>646</v>
      </c>
      <c r="C659" s="101">
        <v>334</v>
      </c>
      <c r="D659" s="101">
        <v>278</v>
      </c>
      <c r="E659" s="108">
        <v>0.74583333333333324</v>
      </c>
      <c r="F659" s="108">
        <v>0.75624999999999998</v>
      </c>
      <c r="G659" s="103" t="s">
        <v>31</v>
      </c>
      <c r="H659" s="93" t="s">
        <v>103</v>
      </c>
      <c r="I659" s="101">
        <v>10.3</v>
      </c>
      <c r="J659" s="104">
        <v>19</v>
      </c>
      <c r="K659" s="98">
        <v>174</v>
      </c>
      <c r="L659" s="109" t="s">
        <v>762</v>
      </c>
      <c r="M659" s="83" t="s">
        <v>948</v>
      </c>
      <c r="N659" s="83">
        <v>22</v>
      </c>
      <c r="O659" s="87" t="s">
        <v>1902</v>
      </c>
      <c r="P659" s="87">
        <v>29</v>
      </c>
      <c r="Q659" s="2" t="s">
        <v>1257</v>
      </c>
      <c r="R659" s="83">
        <v>21</v>
      </c>
      <c r="S659" s="26" t="s">
        <v>1637</v>
      </c>
      <c r="T659" s="26" t="s">
        <v>1638</v>
      </c>
      <c r="U659" s="26">
        <v>3354</v>
      </c>
      <c r="V659" s="26" t="s">
        <v>1642</v>
      </c>
      <c r="W659" s="62">
        <v>44816</v>
      </c>
      <c r="X659" s="62">
        <v>45086</v>
      </c>
      <c r="Y659" s="62"/>
      <c r="Z659" s="62"/>
      <c r="AA659" s="22" t="s">
        <v>1102</v>
      </c>
      <c r="AB659" s="23"/>
      <c r="AC659" s="23"/>
      <c r="AD659" s="23"/>
      <c r="AE659" s="23" t="s">
        <v>731</v>
      </c>
      <c r="AF659" s="23" t="s">
        <v>731</v>
      </c>
      <c r="AG659" s="23" t="s">
        <v>731</v>
      </c>
      <c r="AH659" s="23" t="s">
        <v>731</v>
      </c>
      <c r="AI659" s="23" t="s">
        <v>731</v>
      </c>
      <c r="AJ659" s="23" t="s">
        <v>731</v>
      </c>
      <c r="AK659" s="23"/>
      <c r="AL659" s="23"/>
      <c r="AM659" s="23"/>
      <c r="AN659" s="23"/>
      <c r="AO659" s="23"/>
      <c r="AP659" s="23"/>
      <c r="AQ659" s="23"/>
      <c r="AR659" s="23"/>
      <c r="AS659" s="23"/>
      <c r="AT659" s="23"/>
      <c r="AU659" s="23"/>
      <c r="AW659" s="18"/>
      <c r="AY659" s="20" t="s">
        <v>1006</v>
      </c>
      <c r="AZ659" s="20"/>
      <c r="BA659" s="18">
        <v>36</v>
      </c>
      <c r="BB659" s="45">
        <v>1</v>
      </c>
      <c r="BD659" s="41"/>
      <c r="BG659" s="18"/>
      <c r="BH659" s="18">
        <v>15</v>
      </c>
      <c r="BI659" s="18">
        <v>20</v>
      </c>
      <c r="BJ659" s="18">
        <v>21</v>
      </c>
      <c r="BK659" s="18">
        <v>15</v>
      </c>
      <c r="BL659" s="18">
        <v>17</v>
      </c>
      <c r="BM659" s="55">
        <f>SUM(AV659:AX659)+SUM(BC659:BD659)+SUM(BE659:BF659)+BG659</f>
        <v>0</v>
      </c>
      <c r="BN659" s="55"/>
      <c r="BO659" s="55"/>
      <c r="BP659" s="55"/>
      <c r="BQ659" s="55"/>
      <c r="BR659" s="55"/>
      <c r="BS659" s="55"/>
      <c r="BT659" s="55"/>
      <c r="BU659" s="55"/>
      <c r="BV659" s="55"/>
      <c r="BW659" s="55"/>
      <c r="BX659" s="55"/>
      <c r="BY659" s="55"/>
    </row>
    <row r="660" spans="1:78" ht="25.5">
      <c r="B660" s="89">
        <v>647</v>
      </c>
      <c r="C660" s="101">
        <v>334</v>
      </c>
      <c r="D660" s="101">
        <v>211</v>
      </c>
      <c r="E660" s="102">
        <v>0.75694444444444453</v>
      </c>
      <c r="F660" s="102">
        <v>0.76597222222222217</v>
      </c>
      <c r="G660" s="103" t="s">
        <v>32</v>
      </c>
      <c r="H660" s="93" t="s">
        <v>103</v>
      </c>
      <c r="I660" s="101">
        <v>8</v>
      </c>
      <c r="J660" s="104">
        <v>19</v>
      </c>
      <c r="K660" s="98">
        <v>174</v>
      </c>
      <c r="L660" s="109" t="s">
        <v>762</v>
      </c>
      <c r="M660" s="83" t="s">
        <v>948</v>
      </c>
      <c r="N660" s="83">
        <v>22</v>
      </c>
      <c r="O660" s="87" t="s">
        <v>1902</v>
      </c>
      <c r="P660" s="87">
        <v>29</v>
      </c>
      <c r="Q660" s="2" t="s">
        <v>1257</v>
      </c>
      <c r="R660" s="83">
        <v>21</v>
      </c>
      <c r="S660" s="26">
        <v>3354</v>
      </c>
      <c r="T660" s="26" t="s">
        <v>1642</v>
      </c>
      <c r="U660" s="26" t="s">
        <v>1635</v>
      </c>
      <c r="V660" s="26" t="s">
        <v>1636</v>
      </c>
      <c r="W660" s="62">
        <v>44816</v>
      </c>
      <c r="X660" s="62">
        <v>45086</v>
      </c>
      <c r="Y660" s="62"/>
      <c r="Z660" s="62"/>
      <c r="AA660" s="22" t="s">
        <v>1102</v>
      </c>
      <c r="AB660" s="23"/>
      <c r="AC660" s="23"/>
      <c r="AD660" s="23"/>
      <c r="AE660" s="23" t="s">
        <v>731</v>
      </c>
      <c r="AF660" s="23" t="s">
        <v>731</v>
      </c>
      <c r="AG660" s="23" t="s">
        <v>731</v>
      </c>
      <c r="AH660" s="23" t="s">
        <v>731</v>
      </c>
      <c r="AI660" s="23" t="s">
        <v>731</v>
      </c>
      <c r="AJ660" s="23" t="s">
        <v>731</v>
      </c>
      <c r="AK660" s="23"/>
      <c r="AL660" s="23"/>
      <c r="AM660" s="23"/>
      <c r="AN660" s="23"/>
      <c r="AO660" s="23"/>
      <c r="AP660" s="23"/>
      <c r="AQ660" s="23"/>
      <c r="AR660" s="23"/>
      <c r="AS660" s="23"/>
      <c r="AT660" s="23"/>
      <c r="AU660" s="23"/>
      <c r="AW660" s="18"/>
      <c r="AY660" s="20" t="s">
        <v>1006</v>
      </c>
      <c r="AZ660" s="20"/>
      <c r="BA660" s="18">
        <v>37</v>
      </c>
      <c r="BB660" s="45">
        <v>1</v>
      </c>
      <c r="BD660" s="41"/>
      <c r="BG660" s="18"/>
      <c r="BH660" s="18">
        <v>15</v>
      </c>
      <c r="BI660" s="18">
        <v>20</v>
      </c>
      <c r="BJ660" s="18">
        <v>21</v>
      </c>
      <c r="BK660" s="18">
        <v>15</v>
      </c>
      <c r="BL660" s="18">
        <v>17</v>
      </c>
      <c r="BM660" s="55">
        <f>SUM(AV660:AX660)+SUM(BC660:BD660)+SUM(BE660:BF660)+BG660</f>
        <v>0</v>
      </c>
      <c r="BN660" s="55"/>
      <c r="BO660" s="55"/>
      <c r="BP660" s="55"/>
      <c r="BQ660" s="55"/>
      <c r="BR660" s="55"/>
      <c r="BS660" s="55"/>
      <c r="BT660" s="55"/>
      <c r="BU660" s="55"/>
      <c r="BV660" s="55"/>
      <c r="BW660" s="55"/>
      <c r="BX660" s="55"/>
      <c r="BY660" s="55"/>
    </row>
    <row r="661" spans="1:78" ht="25.5">
      <c r="B661" s="89">
        <v>648</v>
      </c>
      <c r="C661" s="101">
        <v>334</v>
      </c>
      <c r="D661" s="101">
        <v>402</v>
      </c>
      <c r="E661" s="102">
        <v>0.77013888888888893</v>
      </c>
      <c r="F661" s="102">
        <v>0.78055555555555556</v>
      </c>
      <c r="G661" s="103" t="s">
        <v>31</v>
      </c>
      <c r="H661" s="93" t="s">
        <v>97</v>
      </c>
      <c r="I661" s="101">
        <v>10.3</v>
      </c>
      <c r="J661" s="104">
        <v>19</v>
      </c>
      <c r="K661" s="98">
        <v>208</v>
      </c>
      <c r="L661" s="109" t="s">
        <v>762</v>
      </c>
      <c r="M661" s="83" t="s">
        <v>948</v>
      </c>
      <c r="N661" s="83">
        <v>22</v>
      </c>
      <c r="O661" s="87" t="s">
        <v>1902</v>
      </c>
      <c r="P661" s="87">
        <v>29</v>
      </c>
      <c r="Q661" s="2" t="s">
        <v>1257</v>
      </c>
      <c r="R661" s="83">
        <v>21</v>
      </c>
      <c r="S661" s="26" t="s">
        <v>1637</v>
      </c>
      <c r="T661" s="26" t="s">
        <v>1638</v>
      </c>
      <c r="U661" s="26">
        <v>3354</v>
      </c>
      <c r="V661" s="26" t="s">
        <v>1642</v>
      </c>
      <c r="W661" s="62">
        <v>44816</v>
      </c>
      <c r="X661" s="62">
        <v>45086</v>
      </c>
      <c r="Y661" s="62"/>
      <c r="Z661" s="62"/>
      <c r="AA661" s="22" t="s">
        <v>1106</v>
      </c>
      <c r="AB661" s="23"/>
      <c r="AC661" s="23"/>
      <c r="AD661" s="23"/>
      <c r="AE661" s="23" t="s">
        <v>731</v>
      </c>
      <c r="AF661" s="23" t="s">
        <v>731</v>
      </c>
      <c r="AG661" s="23" t="s">
        <v>731</v>
      </c>
      <c r="AH661" s="23" t="s">
        <v>731</v>
      </c>
      <c r="AI661" s="23" t="s">
        <v>731</v>
      </c>
      <c r="AJ661" s="23" t="s">
        <v>731</v>
      </c>
      <c r="AK661" s="23" t="s">
        <v>731</v>
      </c>
      <c r="AL661" s="23"/>
      <c r="AM661" s="23"/>
      <c r="AN661" s="23"/>
      <c r="AO661" s="23"/>
      <c r="AP661" s="23"/>
      <c r="AQ661" s="23"/>
      <c r="AR661" s="23"/>
      <c r="AS661" s="23"/>
      <c r="AT661" s="23"/>
      <c r="AU661" s="23"/>
      <c r="AW661" s="18"/>
      <c r="AY661" s="20" t="s">
        <v>1006</v>
      </c>
      <c r="AZ661" s="20"/>
      <c r="BA661" s="18">
        <v>38</v>
      </c>
      <c r="BB661" s="45">
        <v>1</v>
      </c>
      <c r="BD661" s="41"/>
      <c r="BG661" s="18"/>
      <c r="BH661" s="18">
        <v>17</v>
      </c>
      <c r="BI661" s="18">
        <v>25</v>
      </c>
      <c r="BJ661" s="18">
        <v>25</v>
      </c>
      <c r="BK661" s="18">
        <v>18</v>
      </c>
      <c r="BL661" s="18">
        <v>20</v>
      </c>
      <c r="BM661" s="55">
        <f>SUM(AV661:AX661)+SUM(BC661:BD661)+SUM(BE661:BF661)+BG661</f>
        <v>0</v>
      </c>
      <c r="BN661" s="55"/>
      <c r="BO661" s="55"/>
      <c r="BP661" s="55"/>
      <c r="BQ661" s="55"/>
      <c r="BR661" s="55"/>
      <c r="BS661" s="55"/>
      <c r="BT661" s="55"/>
      <c r="BU661" s="55"/>
      <c r="BV661" s="55"/>
      <c r="BW661" s="55"/>
      <c r="BX661" s="55"/>
      <c r="BY661" s="55"/>
    </row>
    <row r="662" spans="1:78" ht="25.5">
      <c r="B662" s="89">
        <v>649</v>
      </c>
      <c r="C662" s="121">
        <v>307</v>
      </c>
      <c r="D662" s="101">
        <v>282</v>
      </c>
      <c r="E662" s="102">
        <v>0.40277777777777773</v>
      </c>
      <c r="F662" s="102">
        <v>0.42499999999999999</v>
      </c>
      <c r="G662" s="103" t="s">
        <v>644</v>
      </c>
      <c r="H662" s="93" t="s">
        <v>103</v>
      </c>
      <c r="I662" s="101">
        <v>17</v>
      </c>
      <c r="J662" s="104">
        <v>19</v>
      </c>
      <c r="K662" s="98">
        <v>174</v>
      </c>
      <c r="L662" s="109" t="s">
        <v>762</v>
      </c>
      <c r="M662" s="83" t="s">
        <v>948</v>
      </c>
      <c r="N662" s="83">
        <v>22</v>
      </c>
      <c r="O662" s="87" t="s">
        <v>1902</v>
      </c>
      <c r="P662" s="87">
        <v>29</v>
      </c>
      <c r="Q662" s="2" t="s">
        <v>1257</v>
      </c>
      <c r="R662" s="83">
        <v>21</v>
      </c>
      <c r="S662" s="26" t="s">
        <v>1643</v>
      </c>
      <c r="T662" s="26" t="s">
        <v>1644</v>
      </c>
      <c r="U662" s="26" t="s">
        <v>1643</v>
      </c>
      <c r="V662" s="26" t="s">
        <v>1645</v>
      </c>
      <c r="W662" s="62">
        <v>44816</v>
      </c>
      <c r="X662" s="62">
        <v>45086</v>
      </c>
      <c r="Y662" s="62"/>
      <c r="Z662" s="62"/>
      <c r="AA662" s="22" t="s">
        <v>1102</v>
      </c>
      <c r="AB662" s="23"/>
      <c r="AC662" s="23"/>
      <c r="AD662" s="23"/>
      <c r="AE662" s="23" t="s">
        <v>731</v>
      </c>
      <c r="AF662" s="23" t="s">
        <v>731</v>
      </c>
      <c r="AG662" s="23" t="s">
        <v>731</v>
      </c>
      <c r="AH662" s="23" t="s">
        <v>731</v>
      </c>
      <c r="AI662" s="23" t="s">
        <v>731</v>
      </c>
      <c r="AJ662" s="23" t="s">
        <v>731</v>
      </c>
      <c r="AK662" s="23"/>
      <c r="AL662" s="23"/>
      <c r="AM662" s="23"/>
      <c r="AN662" s="23"/>
      <c r="AO662" s="23"/>
      <c r="AP662" s="23"/>
      <c r="AQ662" s="23"/>
      <c r="AR662" s="23"/>
      <c r="AS662" s="23"/>
      <c r="AT662" s="23"/>
      <c r="AU662" s="23"/>
      <c r="AW662" s="18"/>
      <c r="AY662" s="20" t="s">
        <v>1005</v>
      </c>
      <c r="AZ662" s="20"/>
      <c r="BB662" s="45">
        <v>1</v>
      </c>
      <c r="BD662" s="41"/>
      <c r="BG662" s="18"/>
      <c r="BH662" s="18">
        <v>15</v>
      </c>
      <c r="BI662" s="18">
        <v>20</v>
      </c>
      <c r="BJ662" s="18">
        <v>21</v>
      </c>
      <c r="BK662" s="18">
        <v>15</v>
      </c>
      <c r="BL662" s="18">
        <v>17</v>
      </c>
      <c r="BM662" s="55">
        <f>SUM(AV662:AX662)+SUM(BC662:BD662)+SUM(BE662:BF662)+BG662</f>
        <v>0</v>
      </c>
      <c r="BN662" s="55"/>
      <c r="BO662" s="55"/>
      <c r="BP662" s="55"/>
      <c r="BQ662" s="55"/>
      <c r="BR662" s="55"/>
      <c r="BS662" s="55"/>
      <c r="BT662" s="55"/>
      <c r="BU662" s="55"/>
      <c r="BV662" s="55"/>
      <c r="BW662" s="55"/>
      <c r="BX662" s="55"/>
      <c r="BY662" s="55"/>
    </row>
    <row r="663" spans="1:78" ht="25.5">
      <c r="B663" s="89">
        <v>650</v>
      </c>
      <c r="C663" s="101">
        <v>335</v>
      </c>
      <c r="D663" s="101">
        <v>182</v>
      </c>
      <c r="E663" s="102">
        <v>0.44861111111111113</v>
      </c>
      <c r="F663" s="102">
        <v>0.4548611111111111</v>
      </c>
      <c r="G663" s="103" t="s">
        <v>30</v>
      </c>
      <c r="H663" s="93" t="s">
        <v>97</v>
      </c>
      <c r="I663" s="101">
        <v>4</v>
      </c>
      <c r="J663" s="104">
        <v>19</v>
      </c>
      <c r="K663" s="98">
        <v>208</v>
      </c>
      <c r="L663" s="109" t="s">
        <v>762</v>
      </c>
      <c r="M663" s="83" t="s">
        <v>948</v>
      </c>
      <c r="N663" s="83">
        <v>22</v>
      </c>
      <c r="O663" s="87" t="s">
        <v>1902</v>
      </c>
      <c r="P663" s="87">
        <v>29</v>
      </c>
      <c r="Q663" s="2" t="s">
        <v>1257</v>
      </c>
      <c r="R663" s="83">
        <v>21</v>
      </c>
      <c r="S663" s="26" t="s">
        <v>1635</v>
      </c>
      <c r="T663" s="26" t="s">
        <v>1636</v>
      </c>
      <c r="U663" s="26" t="s">
        <v>1633</v>
      </c>
      <c r="V663" s="26" t="s">
        <v>1634</v>
      </c>
      <c r="W663" s="62">
        <v>44816</v>
      </c>
      <c r="X663" s="62">
        <v>45086</v>
      </c>
      <c r="Y663" s="62"/>
      <c r="Z663" s="62"/>
      <c r="AA663" s="22" t="s">
        <v>1106</v>
      </c>
      <c r="AB663" s="23"/>
      <c r="AC663" s="23"/>
      <c r="AD663" s="23"/>
      <c r="AE663" s="23" t="s">
        <v>731</v>
      </c>
      <c r="AF663" s="23" t="s">
        <v>731</v>
      </c>
      <c r="AG663" s="23" t="s">
        <v>731</v>
      </c>
      <c r="AH663" s="23" t="s">
        <v>731</v>
      </c>
      <c r="AI663" s="23" t="s">
        <v>731</v>
      </c>
      <c r="AJ663" s="23" t="s">
        <v>731</v>
      </c>
      <c r="AK663" s="23" t="s">
        <v>731</v>
      </c>
      <c r="AL663" s="23"/>
      <c r="AM663" s="23"/>
      <c r="AN663" s="23"/>
      <c r="AO663" s="23"/>
      <c r="AP663" s="23"/>
      <c r="AQ663" s="23"/>
      <c r="AR663" s="23"/>
      <c r="AS663" s="23"/>
      <c r="AT663" s="23"/>
      <c r="AU663" s="23"/>
      <c r="AW663" s="18"/>
      <c r="AY663" s="20" t="s">
        <v>1005</v>
      </c>
      <c r="AZ663" s="20"/>
      <c r="BA663" s="18">
        <v>39</v>
      </c>
      <c r="BB663" s="45">
        <v>1</v>
      </c>
      <c r="BD663" s="41"/>
      <c r="BG663" s="18"/>
      <c r="BH663" s="18">
        <v>17</v>
      </c>
      <c r="BI663" s="18">
        <v>25</v>
      </c>
      <c r="BJ663" s="18">
        <v>25</v>
      </c>
      <c r="BK663" s="18">
        <v>18</v>
      </c>
      <c r="BL663" s="18">
        <v>20</v>
      </c>
      <c r="BM663" s="55">
        <f>SUM(AV663:AX663)+SUM(BC663:BD663)+SUM(BE663:BF663)+BG663</f>
        <v>0</v>
      </c>
      <c r="BN663" s="55"/>
      <c r="BO663" s="55"/>
      <c r="BP663" s="55"/>
      <c r="BQ663" s="55"/>
      <c r="BR663" s="55"/>
      <c r="BS663" s="55"/>
      <c r="BT663" s="55"/>
      <c r="BU663" s="55"/>
      <c r="BV663" s="55"/>
      <c r="BW663" s="55"/>
      <c r="BX663" s="55"/>
      <c r="BY663" s="55"/>
    </row>
    <row r="664" spans="1:78" ht="25.5">
      <c r="B664" s="89">
        <v>651</v>
      </c>
      <c r="C664" s="101">
        <v>335</v>
      </c>
      <c r="D664" s="101">
        <v>198</v>
      </c>
      <c r="E664" s="102">
        <v>0.65625</v>
      </c>
      <c r="F664" s="102">
        <v>0.66249999999999998</v>
      </c>
      <c r="G664" s="103" t="s">
        <v>30</v>
      </c>
      <c r="H664" s="93" t="s">
        <v>97</v>
      </c>
      <c r="I664" s="101">
        <v>4</v>
      </c>
      <c r="J664" s="104">
        <v>19</v>
      </c>
      <c r="K664" s="98">
        <v>208</v>
      </c>
      <c r="L664" s="109" t="s">
        <v>762</v>
      </c>
      <c r="M664" s="83" t="s">
        <v>948</v>
      </c>
      <c r="N664" s="83">
        <v>22</v>
      </c>
      <c r="O664" s="87" t="s">
        <v>1902</v>
      </c>
      <c r="P664" s="87">
        <v>29</v>
      </c>
      <c r="Q664" s="2" t="s">
        <v>1257</v>
      </c>
      <c r="R664" s="83">
        <v>21</v>
      </c>
      <c r="S664" s="26" t="s">
        <v>1635</v>
      </c>
      <c r="T664" s="26" t="s">
        <v>1636</v>
      </c>
      <c r="U664" s="26" t="s">
        <v>1633</v>
      </c>
      <c r="V664" s="26" t="s">
        <v>1634</v>
      </c>
      <c r="W664" s="62">
        <v>44816</v>
      </c>
      <c r="X664" s="62">
        <v>45086</v>
      </c>
      <c r="Y664" s="62"/>
      <c r="Z664" s="62"/>
      <c r="AA664" s="22" t="s">
        <v>1106</v>
      </c>
      <c r="AB664" s="23"/>
      <c r="AC664" s="23"/>
      <c r="AD664" s="23"/>
      <c r="AE664" s="23" t="s">
        <v>731</v>
      </c>
      <c r="AF664" s="23" t="s">
        <v>731</v>
      </c>
      <c r="AG664" s="23" t="s">
        <v>731</v>
      </c>
      <c r="AH664" s="23" t="s">
        <v>731</v>
      </c>
      <c r="AI664" s="23" t="s">
        <v>731</v>
      </c>
      <c r="AJ664" s="23" t="s">
        <v>731</v>
      </c>
      <c r="AK664" s="23" t="s">
        <v>731</v>
      </c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W664" s="18"/>
      <c r="AY664" s="20" t="s">
        <v>1005</v>
      </c>
      <c r="AZ664" s="20"/>
      <c r="BA664" s="18">
        <v>40</v>
      </c>
      <c r="BB664" s="45">
        <v>1</v>
      </c>
      <c r="BD664" s="41"/>
      <c r="BG664" s="18"/>
      <c r="BH664" s="18">
        <v>17</v>
      </c>
      <c r="BI664" s="18">
        <v>25</v>
      </c>
      <c r="BJ664" s="18">
        <v>25</v>
      </c>
      <c r="BK664" s="18">
        <v>18</v>
      </c>
      <c r="BL664" s="18">
        <v>20</v>
      </c>
      <c r="BM664" s="55">
        <f>SUM(AV664:AX664)+SUM(BC664:BD664)+SUM(BE664:BF664)+BG664</f>
        <v>0</v>
      </c>
      <c r="BN664" s="55"/>
      <c r="BO664" s="55"/>
      <c r="BP664" s="55"/>
      <c r="BQ664" s="55"/>
      <c r="BR664" s="55"/>
      <c r="BS664" s="55"/>
      <c r="BT664" s="55"/>
      <c r="BU664" s="55"/>
      <c r="BV664" s="55"/>
      <c r="BW664" s="55"/>
      <c r="BX664" s="55"/>
      <c r="BY664" s="55"/>
    </row>
    <row r="665" spans="1:78" ht="25.5">
      <c r="B665" s="89">
        <v>652</v>
      </c>
      <c r="C665" s="101">
        <v>335</v>
      </c>
      <c r="D665" s="101">
        <v>208</v>
      </c>
      <c r="E665" s="108">
        <v>0.79513888888888884</v>
      </c>
      <c r="F665" s="108">
        <v>0.8208333333333333</v>
      </c>
      <c r="G665" s="103" t="s">
        <v>36</v>
      </c>
      <c r="H665" s="93" t="s">
        <v>97</v>
      </c>
      <c r="I665" s="101">
        <v>19.3</v>
      </c>
      <c r="J665" s="104">
        <v>19</v>
      </c>
      <c r="K665" s="98">
        <v>208</v>
      </c>
      <c r="L665" s="109" t="s">
        <v>762</v>
      </c>
      <c r="M665" s="83" t="s">
        <v>948</v>
      </c>
      <c r="N665" s="83">
        <v>22</v>
      </c>
      <c r="O665" s="87" t="s">
        <v>1902</v>
      </c>
      <c r="P665" s="87">
        <v>29</v>
      </c>
      <c r="Q665" s="2" t="s">
        <v>1257</v>
      </c>
      <c r="R665" s="83">
        <v>21</v>
      </c>
      <c r="S665" s="26" t="s">
        <v>1635</v>
      </c>
      <c r="T665" s="26" t="s">
        <v>1636</v>
      </c>
      <c r="U665" s="26" t="s">
        <v>1637</v>
      </c>
      <c r="V665" s="26" t="s">
        <v>1638</v>
      </c>
      <c r="W665" s="62">
        <v>44816</v>
      </c>
      <c r="X665" s="62">
        <v>45086</v>
      </c>
      <c r="Y665" s="62"/>
      <c r="Z665" s="62"/>
      <c r="AA665" s="22" t="s">
        <v>1106</v>
      </c>
      <c r="AB665" s="23"/>
      <c r="AC665" s="23"/>
      <c r="AD665" s="23"/>
      <c r="AE665" s="23" t="s">
        <v>731</v>
      </c>
      <c r="AF665" s="23" t="s">
        <v>731</v>
      </c>
      <c r="AG665" s="23" t="s">
        <v>731</v>
      </c>
      <c r="AH665" s="23" t="s">
        <v>731</v>
      </c>
      <c r="AI665" s="23" t="s">
        <v>731</v>
      </c>
      <c r="AJ665" s="23" t="s">
        <v>731</v>
      </c>
      <c r="AK665" s="23" t="s">
        <v>731</v>
      </c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W665" s="18"/>
      <c r="AY665" s="20" t="s">
        <v>1006</v>
      </c>
      <c r="AZ665" s="20"/>
      <c r="BA665" s="18">
        <v>41</v>
      </c>
      <c r="BB665" s="45">
        <v>1</v>
      </c>
      <c r="BD665" s="41"/>
      <c r="BG665" s="18"/>
      <c r="BH665" s="18">
        <v>17</v>
      </c>
      <c r="BI665" s="18">
        <v>25</v>
      </c>
      <c r="BJ665" s="18">
        <v>25</v>
      </c>
      <c r="BK665" s="18">
        <v>18</v>
      </c>
      <c r="BL665" s="18">
        <v>20</v>
      </c>
      <c r="BM665" s="55">
        <f>SUM(AV665:AX665)+SUM(BC665:BD665)+SUM(BE665:BF665)+BG665</f>
        <v>0</v>
      </c>
      <c r="BN665" s="55"/>
      <c r="BO665" s="55"/>
      <c r="BP665" s="55"/>
      <c r="BQ665" s="55"/>
      <c r="BR665" s="55"/>
      <c r="BS665" s="55"/>
      <c r="BT665" s="55"/>
      <c r="BU665" s="55"/>
      <c r="BV665" s="55"/>
      <c r="BW665" s="55"/>
      <c r="BX665" s="55"/>
      <c r="BY665" s="55"/>
    </row>
    <row r="666" spans="1:78" ht="25.5">
      <c r="A666" s="2" t="s">
        <v>1167</v>
      </c>
      <c r="B666" s="89">
        <v>653</v>
      </c>
      <c r="C666" s="101">
        <v>335</v>
      </c>
      <c r="D666" s="101">
        <v>208</v>
      </c>
      <c r="E666" s="108">
        <v>0.8208333333333333</v>
      </c>
      <c r="F666" s="108">
        <v>0.82916666666666661</v>
      </c>
      <c r="G666" s="103" t="s">
        <v>37</v>
      </c>
      <c r="H666" s="93" t="s">
        <v>97</v>
      </c>
      <c r="I666" s="121">
        <v>19.3</v>
      </c>
      <c r="J666" s="104">
        <v>19</v>
      </c>
      <c r="K666" s="98">
        <v>208</v>
      </c>
      <c r="L666" s="109" t="s">
        <v>762</v>
      </c>
      <c r="M666" s="83" t="s">
        <v>948</v>
      </c>
      <c r="N666" s="83">
        <v>22</v>
      </c>
      <c r="O666" s="87" t="s">
        <v>1902</v>
      </c>
      <c r="P666" s="87">
        <v>29</v>
      </c>
      <c r="Q666" s="2" t="s">
        <v>1257</v>
      </c>
      <c r="R666" s="83">
        <v>21</v>
      </c>
      <c r="S666" s="26" t="s">
        <v>1637</v>
      </c>
      <c r="T666" s="26" t="s">
        <v>1638</v>
      </c>
      <c r="U666" s="26" t="s">
        <v>1635</v>
      </c>
      <c r="V666" s="26" t="s">
        <v>1636</v>
      </c>
      <c r="W666" s="62">
        <v>44816</v>
      </c>
      <c r="X666" s="62">
        <v>45086</v>
      </c>
      <c r="Y666" s="62"/>
      <c r="Z666" s="62"/>
      <c r="AA666" s="22" t="s">
        <v>1106</v>
      </c>
      <c r="AB666" s="23"/>
      <c r="AC666" s="23"/>
      <c r="AD666" s="23"/>
      <c r="AE666" s="23" t="s">
        <v>731</v>
      </c>
      <c r="AF666" s="23" t="s">
        <v>731</v>
      </c>
      <c r="AG666" s="23" t="s">
        <v>731</v>
      </c>
      <c r="AH666" s="23" t="s">
        <v>731</v>
      </c>
      <c r="AI666" s="23" t="s">
        <v>731</v>
      </c>
      <c r="AJ666" s="23" t="s">
        <v>731</v>
      </c>
      <c r="AK666" s="23" t="s">
        <v>731</v>
      </c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W666" s="18"/>
      <c r="AY666" s="20" t="s">
        <v>1006</v>
      </c>
      <c r="AZ666" s="20"/>
      <c r="BA666" s="18">
        <v>42</v>
      </c>
      <c r="BB666" s="45">
        <v>1</v>
      </c>
      <c r="BD666" s="41"/>
      <c r="BG666" s="18"/>
      <c r="BH666" s="18">
        <v>17</v>
      </c>
      <c r="BI666" s="18">
        <v>25</v>
      </c>
      <c r="BJ666" s="18">
        <v>25</v>
      </c>
      <c r="BK666" s="18">
        <v>18</v>
      </c>
      <c r="BL666" s="18">
        <v>20</v>
      </c>
      <c r="BM666" s="55">
        <f>SUM(AV666:AX666)+SUM(BC666:BD666)+SUM(BE666:BF666)+BG666</f>
        <v>0</v>
      </c>
      <c r="BN666" s="55"/>
      <c r="BO666" s="55"/>
      <c r="BP666" s="55"/>
      <c r="BQ666" s="55"/>
      <c r="BR666" s="55"/>
      <c r="BS666" s="55"/>
      <c r="BT666" s="55"/>
      <c r="BU666" s="55"/>
      <c r="BV666" s="55"/>
      <c r="BW666" s="55"/>
      <c r="BX666" s="55"/>
      <c r="BY666" s="55"/>
    </row>
    <row r="667" spans="1:78" ht="25.5">
      <c r="B667" s="89">
        <v>654</v>
      </c>
      <c r="C667" s="101">
        <v>335</v>
      </c>
      <c r="D667" s="101">
        <v>210</v>
      </c>
      <c r="E667" s="102">
        <v>0.83194444444444438</v>
      </c>
      <c r="F667" s="102">
        <v>0.8520833333333333</v>
      </c>
      <c r="G667" s="103" t="s">
        <v>36</v>
      </c>
      <c r="H667" s="93" t="s">
        <v>97</v>
      </c>
      <c r="I667" s="101">
        <v>19.3</v>
      </c>
      <c r="J667" s="104">
        <v>19</v>
      </c>
      <c r="K667" s="98">
        <v>208</v>
      </c>
      <c r="L667" s="109" t="s">
        <v>762</v>
      </c>
      <c r="M667" s="83" t="s">
        <v>948</v>
      </c>
      <c r="N667" s="83">
        <v>22</v>
      </c>
      <c r="O667" s="87" t="s">
        <v>1902</v>
      </c>
      <c r="P667" s="87">
        <v>29</v>
      </c>
      <c r="Q667" s="2" t="s">
        <v>1257</v>
      </c>
      <c r="R667" s="83">
        <v>21</v>
      </c>
      <c r="S667" s="26" t="s">
        <v>1635</v>
      </c>
      <c r="T667" s="26" t="s">
        <v>1636</v>
      </c>
      <c r="U667" s="26" t="s">
        <v>1639</v>
      </c>
      <c r="V667" s="26" t="s">
        <v>1640</v>
      </c>
      <c r="W667" s="62">
        <v>44816</v>
      </c>
      <c r="X667" s="62">
        <v>45086</v>
      </c>
      <c r="Y667" s="62"/>
      <c r="Z667" s="62"/>
      <c r="AA667" s="22" t="s">
        <v>1106</v>
      </c>
      <c r="AB667" s="23"/>
      <c r="AC667" s="23"/>
      <c r="AD667" s="23"/>
      <c r="AE667" s="23" t="s">
        <v>731</v>
      </c>
      <c r="AF667" s="23" t="s">
        <v>731</v>
      </c>
      <c r="AG667" s="23" t="s">
        <v>731</v>
      </c>
      <c r="AH667" s="23" t="s">
        <v>731</v>
      </c>
      <c r="AI667" s="23" t="s">
        <v>731</v>
      </c>
      <c r="AJ667" s="23" t="s">
        <v>731</v>
      </c>
      <c r="AK667" s="23" t="s">
        <v>731</v>
      </c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W667" s="18"/>
      <c r="AY667" s="20" t="s">
        <v>1006</v>
      </c>
      <c r="AZ667" s="20"/>
      <c r="BA667" s="18">
        <v>43</v>
      </c>
      <c r="BB667" s="45">
        <v>1</v>
      </c>
      <c r="BD667" s="41"/>
      <c r="BG667" s="18"/>
      <c r="BH667" s="18">
        <v>17</v>
      </c>
      <c r="BI667" s="18">
        <v>25</v>
      </c>
      <c r="BJ667" s="18">
        <v>25</v>
      </c>
      <c r="BK667" s="18">
        <v>18</v>
      </c>
      <c r="BL667" s="18">
        <v>20</v>
      </c>
      <c r="BM667" s="55">
        <f>SUM(AV667:AX667)+SUM(BC667:BD667)+SUM(BE667:BF667)+BG667</f>
        <v>0</v>
      </c>
      <c r="BN667" s="55"/>
      <c r="BO667" s="55"/>
      <c r="BP667" s="55"/>
      <c r="BQ667" s="55"/>
      <c r="BR667" s="55"/>
      <c r="BS667" s="55"/>
      <c r="BT667" s="55"/>
      <c r="BU667" s="55"/>
      <c r="BV667" s="55"/>
      <c r="BW667" s="55"/>
      <c r="BX667" s="55"/>
      <c r="BY667" s="55"/>
    </row>
    <row r="668" spans="1:78" ht="25.5">
      <c r="B668" s="89">
        <v>655</v>
      </c>
      <c r="C668" s="93">
        <v>336</v>
      </c>
      <c r="D668" s="97">
        <v>791</v>
      </c>
      <c r="E668" s="94">
        <v>0.27291666666666664</v>
      </c>
      <c r="F668" s="94">
        <v>0.28402777777777777</v>
      </c>
      <c r="G668" s="93" t="s">
        <v>235</v>
      </c>
      <c r="H668" s="93" t="s">
        <v>97</v>
      </c>
      <c r="I668" s="96">
        <v>9.5</v>
      </c>
      <c r="J668" s="97" t="s">
        <v>116</v>
      </c>
      <c r="K668" s="98">
        <v>208</v>
      </c>
      <c r="L668" s="109" t="s">
        <v>766</v>
      </c>
      <c r="M668" s="87" t="s">
        <v>916</v>
      </c>
      <c r="N668" s="87">
        <v>9</v>
      </c>
      <c r="O668" s="87" t="s">
        <v>1258</v>
      </c>
      <c r="P668" s="87">
        <v>9</v>
      </c>
      <c r="Q668" s="87" t="s">
        <v>1259</v>
      </c>
      <c r="R668" s="84">
        <v>9</v>
      </c>
      <c r="S668" s="26" t="s">
        <v>1646</v>
      </c>
      <c r="T668" s="26" t="s">
        <v>1647</v>
      </c>
      <c r="U668" s="26" t="s">
        <v>1635</v>
      </c>
      <c r="V668" s="26" t="s">
        <v>1636</v>
      </c>
      <c r="W668" s="62">
        <v>44816</v>
      </c>
      <c r="X668" s="62">
        <v>45086</v>
      </c>
      <c r="Y668" s="62"/>
      <c r="Z668" s="62"/>
      <c r="AA668" s="22" t="s">
        <v>1106</v>
      </c>
      <c r="AB668" s="23"/>
      <c r="AC668" s="23"/>
      <c r="AD668" s="23"/>
      <c r="AE668" s="23" t="s">
        <v>731</v>
      </c>
      <c r="AF668" s="23" t="s">
        <v>731</v>
      </c>
      <c r="AG668" s="23" t="s">
        <v>731</v>
      </c>
      <c r="AH668" s="23" t="s">
        <v>731</v>
      </c>
      <c r="AI668" s="23" t="s">
        <v>731</v>
      </c>
      <c r="AJ668" s="23" t="s">
        <v>731</v>
      </c>
      <c r="AK668" s="23" t="s">
        <v>731</v>
      </c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42">
        <v>30.37</v>
      </c>
      <c r="AW668" s="18"/>
      <c r="AY668" s="42"/>
      <c r="AZ668" s="42"/>
      <c r="BB668" s="45">
        <v>1</v>
      </c>
      <c r="BC668" s="41">
        <f>IF(AND((AV668/I668)&lt;2,BB668=1),(I668*2)-AV668,0)</f>
        <v>0</v>
      </c>
      <c r="BD668" s="41">
        <f>IF(AND((AV668/I668)&lt;3,BB668=2),(I668*3)-AV668,0)</f>
        <v>0</v>
      </c>
      <c r="BG668" s="41">
        <f>IF((AV668+AW668+AX668)&lt;20,(20-(AV668+AW668+AX668)),0)</f>
        <v>0</v>
      </c>
      <c r="BH668" s="18">
        <v>17</v>
      </c>
      <c r="BI668" s="18">
        <v>25</v>
      </c>
      <c r="BJ668" s="18">
        <v>25</v>
      </c>
      <c r="BK668" s="18">
        <v>18</v>
      </c>
      <c r="BL668" s="18">
        <v>20</v>
      </c>
      <c r="BM668" s="55">
        <f>SUM(AV668:AX668)+SUM(BC668:BD668)+SUM(BE668:BF668)+BG668</f>
        <v>30.37</v>
      </c>
      <c r="BN668" s="55"/>
      <c r="BO668" s="55"/>
      <c r="BP668" s="55"/>
      <c r="BQ668" s="55"/>
      <c r="BR668" s="55"/>
      <c r="BS668" s="55"/>
      <c r="BT668" s="55"/>
      <c r="BU668" s="55"/>
      <c r="BV668" s="55"/>
      <c r="BW668" s="55"/>
      <c r="BX668" s="55"/>
      <c r="BY668" s="55"/>
    </row>
    <row r="669" spans="1:78" ht="25.5">
      <c r="B669" s="89">
        <v>656</v>
      </c>
      <c r="C669" s="93">
        <v>336</v>
      </c>
      <c r="D669" s="97">
        <v>786</v>
      </c>
      <c r="E669" s="94">
        <v>0.2951388888888889</v>
      </c>
      <c r="F669" s="94">
        <v>0.30486111111111108</v>
      </c>
      <c r="G669" s="93" t="s">
        <v>236</v>
      </c>
      <c r="H669" s="93" t="s">
        <v>478</v>
      </c>
      <c r="I669" s="96">
        <v>6.7</v>
      </c>
      <c r="J669" s="97" t="s">
        <v>234</v>
      </c>
      <c r="K669" s="98">
        <v>240</v>
      </c>
      <c r="L669" s="109" t="s">
        <v>762</v>
      </c>
      <c r="M669" s="83" t="s">
        <v>948</v>
      </c>
      <c r="N669" s="83">
        <v>22</v>
      </c>
      <c r="O669" s="87" t="s">
        <v>1902</v>
      </c>
      <c r="P669" s="87">
        <v>29</v>
      </c>
      <c r="Q669" s="2" t="s">
        <v>1257</v>
      </c>
      <c r="R669" s="83">
        <v>21</v>
      </c>
      <c r="S669" s="26" t="s">
        <v>1635</v>
      </c>
      <c r="T669" s="26" t="s">
        <v>1636</v>
      </c>
      <c r="U669" s="26">
        <v>3337</v>
      </c>
      <c r="V669" s="26" t="s">
        <v>1648</v>
      </c>
      <c r="W669" s="63">
        <v>44816</v>
      </c>
      <c r="X669" s="63">
        <v>45100</v>
      </c>
      <c r="Y669" s="63"/>
      <c r="Z669" s="63"/>
      <c r="AA669" s="26" t="s">
        <v>1112</v>
      </c>
      <c r="AB669" s="23" t="s">
        <v>731</v>
      </c>
      <c r="AC669" s="23"/>
      <c r="AD669" s="23" t="s">
        <v>731</v>
      </c>
      <c r="AE669" s="23"/>
      <c r="AF669" s="23" t="s">
        <v>731</v>
      </c>
      <c r="AG669" s="23" t="s">
        <v>731</v>
      </c>
      <c r="AH669" s="23" t="s">
        <v>731</v>
      </c>
      <c r="AI669" s="23" t="s">
        <v>731</v>
      </c>
      <c r="AJ669" s="23" t="s">
        <v>731</v>
      </c>
      <c r="AK669" s="23" t="s">
        <v>731</v>
      </c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42">
        <v>21.77</v>
      </c>
      <c r="AW669" s="18"/>
      <c r="AY669" s="42"/>
      <c r="AZ669" s="42"/>
      <c r="BB669" s="45">
        <v>1</v>
      </c>
      <c r="BC669" s="41">
        <f>IF(AND((AV669/I669)&lt;2,BB669=1),(I669*2)-AV669,0)</f>
        <v>0</v>
      </c>
      <c r="BD669" s="41">
        <f>IF(AND((AV669/I669)&lt;3,BB669=2),(I669*3)-AV669,0)</f>
        <v>0</v>
      </c>
      <c r="BG669" s="18"/>
      <c r="BH669" s="18">
        <v>17</v>
      </c>
      <c r="BI669" s="18">
        <v>26</v>
      </c>
      <c r="BJ669" s="18">
        <v>25</v>
      </c>
      <c r="BK669" s="18">
        <v>25</v>
      </c>
      <c r="BL669" s="18">
        <v>25</v>
      </c>
      <c r="BM669" s="55">
        <f>SUM(AV669:AX669)+SUM(BC669:BD669)+SUM(BE669:BF669)+BG669</f>
        <v>21.77</v>
      </c>
      <c r="BN669" s="55"/>
      <c r="BO669" s="55"/>
      <c r="BP669" s="55"/>
      <c r="BQ669" s="55"/>
      <c r="BR669" s="55"/>
      <c r="BS669" s="55"/>
      <c r="BT669" s="55"/>
      <c r="BU669" s="55"/>
      <c r="BV669" s="55"/>
      <c r="BW669" s="55"/>
      <c r="BX669" s="55"/>
      <c r="BY669" s="55"/>
    </row>
    <row r="670" spans="1:78" ht="25.5">
      <c r="B670" s="89">
        <v>657</v>
      </c>
      <c r="C670" s="93">
        <v>336</v>
      </c>
      <c r="D670" s="97">
        <v>787</v>
      </c>
      <c r="E670" s="105">
        <v>0.30902777777777779</v>
      </c>
      <c r="F670" s="105">
        <v>0.32291666666666669</v>
      </c>
      <c r="G670" s="103" t="s">
        <v>235</v>
      </c>
      <c r="H670" s="93" t="s">
        <v>18</v>
      </c>
      <c r="I670" s="96">
        <v>7</v>
      </c>
      <c r="J670" s="97" t="s">
        <v>234</v>
      </c>
      <c r="K670" s="98">
        <v>304</v>
      </c>
      <c r="L670" s="109" t="s">
        <v>762</v>
      </c>
      <c r="M670" s="83" t="s">
        <v>948</v>
      </c>
      <c r="N670" s="83">
        <v>22</v>
      </c>
      <c r="O670" s="87" t="s">
        <v>1902</v>
      </c>
      <c r="P670" s="87">
        <v>29</v>
      </c>
      <c r="Q670" s="2" t="s">
        <v>1257</v>
      </c>
      <c r="R670" s="83">
        <v>21</v>
      </c>
      <c r="S670" s="26" t="s">
        <v>1646</v>
      </c>
      <c r="T670" s="26" t="s">
        <v>1647</v>
      </c>
      <c r="U670" s="26" t="s">
        <v>1635</v>
      </c>
      <c r="V670" s="26" t="s">
        <v>1636</v>
      </c>
      <c r="W670" s="62">
        <v>44805</v>
      </c>
      <c r="X670" s="62">
        <v>45169</v>
      </c>
      <c r="Y670" s="62"/>
      <c r="Z670" s="62"/>
      <c r="AA670" s="23" t="s">
        <v>1113</v>
      </c>
      <c r="AB670" s="23" t="s">
        <v>731</v>
      </c>
      <c r="AC670" s="23" t="s">
        <v>731</v>
      </c>
      <c r="AD670" s="23" t="s">
        <v>731</v>
      </c>
      <c r="AE670" s="23"/>
      <c r="AF670" s="23" t="s">
        <v>731</v>
      </c>
      <c r="AG670" s="23" t="s">
        <v>731</v>
      </c>
      <c r="AH670" s="23" t="s">
        <v>731</v>
      </c>
      <c r="AI670" s="23" t="s">
        <v>731</v>
      </c>
      <c r="AJ670" s="23" t="s">
        <v>731</v>
      </c>
      <c r="AK670" s="23" t="s">
        <v>731</v>
      </c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42">
        <v>29.41</v>
      </c>
      <c r="AW670" s="18"/>
      <c r="AY670" s="42"/>
      <c r="AZ670" s="42"/>
      <c r="BB670" s="45">
        <v>1</v>
      </c>
      <c r="BC670" s="41">
        <f>IF(AND((AV670/I670)&lt;2,BB670=1),(I670*2)-AV670,0)</f>
        <v>0</v>
      </c>
      <c r="BD670" s="41">
        <f>IF(AND((AV670/I670)&lt;3,BB670=2),(I670*3)-AV670,0)</f>
        <v>0</v>
      </c>
      <c r="BG670" s="18"/>
      <c r="BH670" s="18">
        <v>26</v>
      </c>
      <c r="BI670" s="18">
        <v>26</v>
      </c>
      <c r="BJ670" s="18">
        <v>25</v>
      </c>
      <c r="BK670" s="18">
        <v>25</v>
      </c>
      <c r="BL670" s="18">
        <v>25</v>
      </c>
      <c r="BM670" s="55">
        <f>SUM(AV670:AX670)+SUM(BC670:BD670)+SUM(BE670:BF670)+BG670</f>
        <v>29.41</v>
      </c>
      <c r="BN670" s="55"/>
      <c r="BO670" s="55"/>
      <c r="BP670" s="55"/>
      <c r="BQ670" s="55"/>
      <c r="BR670" s="55"/>
      <c r="BS670" s="55"/>
      <c r="BT670" s="55"/>
      <c r="BU670" s="55"/>
      <c r="BV670" s="55"/>
      <c r="BW670" s="55"/>
      <c r="BX670" s="55"/>
      <c r="BY670" s="55"/>
    </row>
    <row r="671" spans="1:78" ht="25.5">
      <c r="B671" s="89">
        <v>658</v>
      </c>
      <c r="C671" s="93">
        <v>336</v>
      </c>
      <c r="D671" s="97">
        <v>788</v>
      </c>
      <c r="E671" s="94">
        <v>0.55069444444444449</v>
      </c>
      <c r="F671" s="105">
        <v>0.56388888888888888</v>
      </c>
      <c r="G671" s="103" t="s">
        <v>626</v>
      </c>
      <c r="H671" s="93" t="s">
        <v>18</v>
      </c>
      <c r="I671" s="96">
        <v>7.7</v>
      </c>
      <c r="J671" s="97" t="s">
        <v>234</v>
      </c>
      <c r="K671" s="98">
        <v>304</v>
      </c>
      <c r="L671" s="109" t="s">
        <v>762</v>
      </c>
      <c r="M671" s="83" t="s">
        <v>948</v>
      </c>
      <c r="N671" s="83">
        <v>22</v>
      </c>
      <c r="O671" s="87" t="s">
        <v>1902</v>
      </c>
      <c r="P671" s="87">
        <v>29</v>
      </c>
      <c r="Q671" s="2" t="s">
        <v>1257</v>
      </c>
      <c r="R671" s="83">
        <v>21</v>
      </c>
      <c r="S671" s="26" t="s">
        <v>1635</v>
      </c>
      <c r="T671" s="26" t="s">
        <v>1636</v>
      </c>
      <c r="U671" s="26" t="s">
        <v>1646</v>
      </c>
      <c r="V671" s="26" t="s">
        <v>1647</v>
      </c>
      <c r="W671" s="62">
        <v>44805</v>
      </c>
      <c r="X671" s="62">
        <v>45169</v>
      </c>
      <c r="Y671" s="62"/>
      <c r="Z671" s="62"/>
      <c r="AA671" s="23" t="s">
        <v>1113</v>
      </c>
      <c r="AB671" s="23" t="s">
        <v>731</v>
      </c>
      <c r="AC671" s="23" t="s">
        <v>731</v>
      </c>
      <c r="AD671" s="23" t="s">
        <v>731</v>
      </c>
      <c r="AE671" s="23"/>
      <c r="AF671" s="23" t="s">
        <v>731</v>
      </c>
      <c r="AG671" s="23" t="s">
        <v>731</v>
      </c>
      <c r="AH671" s="23" t="s">
        <v>731</v>
      </c>
      <c r="AI671" s="23" t="s">
        <v>731</v>
      </c>
      <c r="AJ671" s="23" t="s">
        <v>731</v>
      </c>
      <c r="AK671" s="23" t="s">
        <v>731</v>
      </c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42">
        <v>29.41</v>
      </c>
      <c r="AW671" s="18"/>
      <c r="AY671" s="42"/>
      <c r="AZ671" s="42"/>
      <c r="BB671" s="45">
        <v>1</v>
      </c>
      <c r="BC671" s="41">
        <f>IF(AND((AV671/I671)&lt;2,BB671=1),(I671*2)-AV671,0)</f>
        <v>0</v>
      </c>
      <c r="BD671" s="41">
        <f>IF(AND((AV671/I671)&lt;3,BB671=2),(I671*3)-AV671,0)</f>
        <v>0</v>
      </c>
      <c r="BG671" s="18"/>
      <c r="BH671" s="18">
        <v>26</v>
      </c>
      <c r="BI671" s="18">
        <v>26</v>
      </c>
      <c r="BJ671" s="18">
        <v>25</v>
      </c>
      <c r="BK671" s="18">
        <v>25</v>
      </c>
      <c r="BL671" s="18">
        <v>25</v>
      </c>
      <c r="BM671" s="55">
        <f>SUM(AV671:AX671)+SUM(BC671:BD671)+SUM(BE671:BF671)+BG671</f>
        <v>29.41</v>
      </c>
      <c r="BN671" s="55"/>
      <c r="BO671" s="55"/>
      <c r="BP671" s="55"/>
      <c r="BQ671" s="55"/>
      <c r="BR671" s="55"/>
      <c r="BS671" s="55"/>
      <c r="BT671" s="55"/>
      <c r="BU671" s="55"/>
      <c r="BV671" s="55"/>
      <c r="BW671" s="55"/>
      <c r="BX671" s="55"/>
      <c r="BY671" s="55"/>
    </row>
    <row r="672" spans="1:78" ht="25.5">
      <c r="B672" s="89">
        <v>659</v>
      </c>
      <c r="C672" s="93">
        <v>336</v>
      </c>
      <c r="D672" s="97">
        <v>789</v>
      </c>
      <c r="E672" s="105">
        <v>0.56388888888888888</v>
      </c>
      <c r="F672" s="105">
        <v>0.57430555555555551</v>
      </c>
      <c r="G672" s="103" t="s">
        <v>627</v>
      </c>
      <c r="H672" s="93" t="s">
        <v>18</v>
      </c>
      <c r="I672" s="96">
        <v>7.7</v>
      </c>
      <c r="J672" s="97" t="s">
        <v>234</v>
      </c>
      <c r="K672" s="98">
        <v>304</v>
      </c>
      <c r="L672" s="109" t="s">
        <v>762</v>
      </c>
      <c r="M672" s="83" t="s">
        <v>948</v>
      </c>
      <c r="N672" s="83">
        <v>22</v>
      </c>
      <c r="O672" s="87" t="s">
        <v>1902</v>
      </c>
      <c r="P672" s="87">
        <v>29</v>
      </c>
      <c r="Q672" s="2" t="s">
        <v>1257</v>
      </c>
      <c r="R672" s="83">
        <v>21</v>
      </c>
      <c r="S672" s="26" t="s">
        <v>1646</v>
      </c>
      <c r="T672" s="26" t="s">
        <v>1647</v>
      </c>
      <c r="U672" s="26" t="s">
        <v>1635</v>
      </c>
      <c r="V672" s="26" t="s">
        <v>1636</v>
      </c>
      <c r="W672" s="62">
        <v>44805</v>
      </c>
      <c r="X672" s="62">
        <v>45169</v>
      </c>
      <c r="Y672" s="62"/>
      <c r="Z672" s="62"/>
      <c r="AA672" s="23" t="s">
        <v>1113</v>
      </c>
      <c r="AB672" s="23" t="s">
        <v>731</v>
      </c>
      <c r="AC672" s="23" t="s">
        <v>731</v>
      </c>
      <c r="AD672" s="23" t="s">
        <v>731</v>
      </c>
      <c r="AE672" s="23"/>
      <c r="AF672" s="23" t="s">
        <v>731</v>
      </c>
      <c r="AG672" s="23" t="s">
        <v>731</v>
      </c>
      <c r="AH672" s="23" t="s">
        <v>731</v>
      </c>
      <c r="AI672" s="23" t="s">
        <v>731</v>
      </c>
      <c r="AJ672" s="23" t="s">
        <v>731</v>
      </c>
      <c r="AK672" s="23" t="s">
        <v>731</v>
      </c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42">
        <v>18.05</v>
      </c>
      <c r="AW672" s="18"/>
      <c r="AY672" s="42"/>
      <c r="AZ672" s="42"/>
      <c r="BB672" s="45">
        <v>1</v>
      </c>
      <c r="BC672" s="41">
        <f>IF(AND((AV672/I672)&lt;2,BB672=1),(I672*2)-AV672,0)</f>
        <v>0</v>
      </c>
      <c r="BD672" s="41">
        <f>IF(AND((AV672/I672)&lt;3,BB672=2),(I672*3)-AV672,0)</f>
        <v>0</v>
      </c>
      <c r="BG672" s="18"/>
      <c r="BH672" s="18">
        <v>26</v>
      </c>
      <c r="BI672" s="18">
        <v>26</v>
      </c>
      <c r="BJ672" s="18">
        <v>25</v>
      </c>
      <c r="BK672" s="18">
        <v>25</v>
      </c>
      <c r="BL672" s="18">
        <v>25</v>
      </c>
      <c r="BM672" s="55">
        <f>SUM(AV672:AX672)+SUM(BC672:BD672)+SUM(BE672:BF672)+BG672</f>
        <v>18.05</v>
      </c>
      <c r="BN672" s="55"/>
      <c r="BO672" s="55"/>
      <c r="BP672" s="55"/>
      <c r="BQ672" s="55"/>
      <c r="BR672" s="55"/>
      <c r="BS672" s="55"/>
      <c r="BT672" s="55"/>
      <c r="BU672" s="55"/>
      <c r="BV672" s="55"/>
      <c r="BW672" s="55"/>
      <c r="BX672" s="55"/>
      <c r="BY672" s="55"/>
    </row>
    <row r="673" spans="2:77" ht="25.5">
      <c r="B673" s="89">
        <v>660</v>
      </c>
      <c r="C673" s="93">
        <v>336</v>
      </c>
      <c r="D673" s="97">
        <v>794</v>
      </c>
      <c r="E673" s="94">
        <v>0.59027777777777779</v>
      </c>
      <c r="F673" s="105">
        <v>0.60416666666666663</v>
      </c>
      <c r="G673" s="93" t="s">
        <v>591</v>
      </c>
      <c r="H673" s="93" t="s">
        <v>97</v>
      </c>
      <c r="I673" s="96">
        <v>7.7</v>
      </c>
      <c r="J673" s="97" t="s">
        <v>116</v>
      </c>
      <c r="K673" s="98">
        <v>208</v>
      </c>
      <c r="L673" s="109" t="s">
        <v>766</v>
      </c>
      <c r="M673" s="87" t="s">
        <v>916</v>
      </c>
      <c r="N673" s="87">
        <v>9</v>
      </c>
      <c r="O673" s="87" t="s">
        <v>1258</v>
      </c>
      <c r="P673" s="87">
        <v>9</v>
      </c>
      <c r="Q673" s="87" t="s">
        <v>1259</v>
      </c>
      <c r="R673" s="84">
        <v>9</v>
      </c>
      <c r="S673" s="26" t="s">
        <v>1635</v>
      </c>
      <c r="T673" s="26" t="s">
        <v>1636</v>
      </c>
      <c r="U673" s="26" t="s">
        <v>1646</v>
      </c>
      <c r="V673" s="26" t="s">
        <v>1647</v>
      </c>
      <c r="W673" s="62">
        <v>44816</v>
      </c>
      <c r="X673" s="62">
        <v>45086</v>
      </c>
      <c r="Y673" s="62"/>
      <c r="Z673" s="62"/>
      <c r="AA673" s="22" t="s">
        <v>1106</v>
      </c>
      <c r="AB673" s="23"/>
      <c r="AC673" s="23"/>
      <c r="AD673" s="23"/>
      <c r="AE673" s="23" t="s">
        <v>731</v>
      </c>
      <c r="AF673" s="23" t="s">
        <v>731</v>
      </c>
      <c r="AG673" s="23" t="s">
        <v>731</v>
      </c>
      <c r="AH673" s="23" t="s">
        <v>731</v>
      </c>
      <c r="AI673" s="23" t="s">
        <v>731</v>
      </c>
      <c r="AJ673" s="23" t="s">
        <v>731</v>
      </c>
      <c r="AK673" s="23" t="s">
        <v>731</v>
      </c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42">
        <v>13.86</v>
      </c>
      <c r="AW673" s="18"/>
      <c r="AY673" s="42"/>
      <c r="AZ673" s="42"/>
      <c r="BB673" s="45">
        <v>1</v>
      </c>
      <c r="BC673" s="41">
        <f>IF(AND((AV673/I673)&lt;2,BB673=1),(I673*2)-AV673,0)</f>
        <v>1.5400000000000009</v>
      </c>
      <c r="BD673" s="41">
        <f>IF(AND((AV673/I673)&lt;3,BB673=2),(I673*3)-AV673,0)</f>
        <v>0</v>
      </c>
      <c r="BG673" s="18"/>
      <c r="BH673" s="18">
        <v>17</v>
      </c>
      <c r="BI673" s="18">
        <v>25</v>
      </c>
      <c r="BJ673" s="18">
        <v>25</v>
      </c>
      <c r="BK673" s="18">
        <v>18</v>
      </c>
      <c r="BL673" s="18">
        <v>20</v>
      </c>
      <c r="BM673" s="55">
        <f>SUM(AV673:AX673)+SUM(BC673:BD673)+SUM(BE673:BF673)+BG673</f>
        <v>15.4</v>
      </c>
      <c r="BN673" s="55"/>
      <c r="BO673" s="55"/>
      <c r="BP673" s="55"/>
      <c r="BQ673" s="55"/>
      <c r="BR673" s="55"/>
      <c r="BS673" s="55"/>
      <c r="BT673" s="55"/>
      <c r="BU673" s="55"/>
      <c r="BV673" s="55"/>
      <c r="BW673" s="55"/>
      <c r="BX673" s="55"/>
      <c r="BY673" s="55"/>
    </row>
    <row r="674" spans="2:77" ht="25.5">
      <c r="B674" s="89">
        <v>661</v>
      </c>
      <c r="C674" s="93">
        <v>336</v>
      </c>
      <c r="D674" s="97">
        <v>803</v>
      </c>
      <c r="E674" s="94">
        <v>0.60416666666666663</v>
      </c>
      <c r="F674" s="105">
        <v>0.61458333333333337</v>
      </c>
      <c r="G674" s="93" t="s">
        <v>592</v>
      </c>
      <c r="H674" s="93" t="s">
        <v>97</v>
      </c>
      <c r="I674" s="96">
        <v>7.7</v>
      </c>
      <c r="J674" s="97" t="s">
        <v>116</v>
      </c>
      <c r="K674" s="98">
        <v>208</v>
      </c>
      <c r="L674" s="109" t="s">
        <v>766</v>
      </c>
      <c r="M674" s="87" t="s">
        <v>916</v>
      </c>
      <c r="N674" s="87">
        <v>9</v>
      </c>
      <c r="O674" s="87" t="s">
        <v>1258</v>
      </c>
      <c r="P674" s="87">
        <v>9</v>
      </c>
      <c r="Q674" s="87" t="s">
        <v>1259</v>
      </c>
      <c r="R674" s="84">
        <v>9</v>
      </c>
      <c r="S674" s="26" t="s">
        <v>1646</v>
      </c>
      <c r="T674" s="26" t="s">
        <v>1647</v>
      </c>
      <c r="U674" s="26" t="s">
        <v>1635</v>
      </c>
      <c r="V674" s="26" t="s">
        <v>1636</v>
      </c>
      <c r="W674" s="62">
        <v>44816</v>
      </c>
      <c r="X674" s="62">
        <v>45086</v>
      </c>
      <c r="Y674" s="62"/>
      <c r="Z674" s="62"/>
      <c r="AA674" s="22" t="s">
        <v>1106</v>
      </c>
      <c r="AB674" s="23"/>
      <c r="AC674" s="23"/>
      <c r="AD674" s="23"/>
      <c r="AE674" s="23" t="s">
        <v>731</v>
      </c>
      <c r="AF674" s="23" t="s">
        <v>731</v>
      </c>
      <c r="AG674" s="23" t="s">
        <v>731</v>
      </c>
      <c r="AH674" s="23" t="s">
        <v>731</v>
      </c>
      <c r="AI674" s="23" t="s">
        <v>731</v>
      </c>
      <c r="AJ674" s="23" t="s">
        <v>731</v>
      </c>
      <c r="AK674" s="23" t="s">
        <v>731</v>
      </c>
      <c r="AL674" s="23"/>
      <c r="AM674" s="23"/>
      <c r="AN674" s="23"/>
      <c r="AO674" s="23"/>
      <c r="AP674" s="23"/>
      <c r="AQ674" s="23"/>
      <c r="AR674" s="23"/>
      <c r="AS674" s="23"/>
      <c r="AT674" s="23"/>
      <c r="AU674" s="23"/>
      <c r="AV674" s="42">
        <v>13.86</v>
      </c>
      <c r="AW674" s="18"/>
      <c r="AY674" s="42"/>
      <c r="AZ674" s="42"/>
      <c r="BB674" s="45">
        <v>1</v>
      </c>
      <c r="BC674" s="41">
        <f>IF(AND((AV674/I674)&lt;2,BB674=1),(I674*2)-AV674,0)</f>
        <v>1.5400000000000009</v>
      </c>
      <c r="BD674" s="41">
        <f>IF(AND((AV674/I674)&lt;3,BB674=2),(I674*3)-AV674,0)</f>
        <v>0</v>
      </c>
      <c r="BG674" s="18"/>
      <c r="BH674" s="18">
        <v>17</v>
      </c>
      <c r="BI674" s="18">
        <v>25</v>
      </c>
      <c r="BJ674" s="18">
        <v>25</v>
      </c>
      <c r="BK674" s="18">
        <v>18</v>
      </c>
      <c r="BL674" s="18">
        <v>20</v>
      </c>
      <c r="BM674" s="55">
        <f>SUM(AV674:AX674)+SUM(BC674:BD674)+SUM(BE674:BF674)+BG674</f>
        <v>15.4</v>
      </c>
      <c r="BN674" s="55"/>
      <c r="BO674" s="55"/>
      <c r="BP674" s="55"/>
      <c r="BQ674" s="55"/>
      <c r="BR674" s="55"/>
      <c r="BS674" s="55"/>
      <c r="BT674" s="55"/>
      <c r="BU674" s="55"/>
      <c r="BV674" s="55"/>
      <c r="BW674" s="55"/>
      <c r="BX674" s="55"/>
      <c r="BY674" s="55"/>
    </row>
    <row r="675" spans="2:77" ht="51">
      <c r="B675" s="89">
        <v>662</v>
      </c>
      <c r="C675" s="93">
        <v>336</v>
      </c>
      <c r="D675" s="97">
        <v>790</v>
      </c>
      <c r="E675" s="105">
        <v>0.71527777777777779</v>
      </c>
      <c r="F675" s="105">
        <v>0.7270833333333333</v>
      </c>
      <c r="G675" s="93" t="s">
        <v>233</v>
      </c>
      <c r="H675" s="93" t="s">
        <v>593</v>
      </c>
      <c r="I675" s="96">
        <v>7.7</v>
      </c>
      <c r="J675" s="97" t="s">
        <v>116</v>
      </c>
      <c r="K675" s="98">
        <f>174+14</f>
        <v>188</v>
      </c>
      <c r="L675" s="109" t="s">
        <v>762</v>
      </c>
      <c r="M675" s="83" t="s">
        <v>948</v>
      </c>
      <c r="N675" s="83">
        <v>22</v>
      </c>
      <c r="O675" s="87" t="s">
        <v>1902</v>
      </c>
      <c r="P675" s="87">
        <v>29</v>
      </c>
      <c r="Q675" s="2" t="s">
        <v>2023</v>
      </c>
      <c r="R675" s="83" t="s">
        <v>2024</v>
      </c>
      <c r="S675" s="26" t="s">
        <v>1635</v>
      </c>
      <c r="T675" s="26" t="s">
        <v>1636</v>
      </c>
      <c r="U675" s="26" t="s">
        <v>1646</v>
      </c>
      <c r="V675" s="26" t="s">
        <v>1647</v>
      </c>
      <c r="W675" s="62">
        <v>44816</v>
      </c>
      <c r="X675" s="62">
        <v>45086</v>
      </c>
      <c r="Y675" s="62"/>
      <c r="Z675" s="62"/>
      <c r="AA675" s="23" t="s">
        <v>1150</v>
      </c>
      <c r="AB675" s="23"/>
      <c r="AC675" s="23"/>
      <c r="AD675" s="23"/>
      <c r="AE675" s="23" t="s">
        <v>731</v>
      </c>
      <c r="AF675" s="23" t="s">
        <v>731</v>
      </c>
      <c r="AG675" s="23" t="s">
        <v>731</v>
      </c>
      <c r="AH675" s="23" t="s">
        <v>731</v>
      </c>
      <c r="AI675" s="23" t="s">
        <v>731</v>
      </c>
      <c r="AJ675" s="23" t="s">
        <v>731</v>
      </c>
      <c r="AK675" s="23"/>
      <c r="AL675" s="23"/>
      <c r="AM675" s="23"/>
      <c r="AN675" s="23"/>
      <c r="AO675" s="23"/>
      <c r="AP675" s="23" t="s">
        <v>731</v>
      </c>
      <c r="AQ675" s="23"/>
      <c r="AR675" s="23" t="s">
        <v>731</v>
      </c>
      <c r="AS675" s="23"/>
      <c r="AT675" s="23" t="s">
        <v>731</v>
      </c>
      <c r="AU675" s="23"/>
      <c r="AV675" s="42">
        <v>24</v>
      </c>
      <c r="AW675" s="18"/>
      <c r="AY675" s="42"/>
      <c r="AZ675" s="42"/>
      <c r="BB675" s="45">
        <v>1</v>
      </c>
      <c r="BC675" s="41">
        <f>IF(AND((AV675/I675)&lt;2,BB675=1),(I675*2)-AV675,0)</f>
        <v>0</v>
      </c>
      <c r="BD675" s="41">
        <f>IF(AND((AV675/I675)&lt;3,BB675=2),(I675*3)-AV675,0)</f>
        <v>0</v>
      </c>
      <c r="BG675" s="18"/>
      <c r="BH675" s="18">
        <v>15</v>
      </c>
      <c r="BI675" s="18">
        <v>21</v>
      </c>
      <c r="BJ675" s="18">
        <v>21</v>
      </c>
      <c r="BK675" s="18">
        <v>18</v>
      </c>
      <c r="BL675" s="18">
        <v>19</v>
      </c>
      <c r="BM675" s="55">
        <f>SUM(AV675:AX675)+SUM(BC675:BD675)+SUM(BE675:BF675)+BG675</f>
        <v>24</v>
      </c>
      <c r="BN675" s="55"/>
      <c r="BO675" s="55"/>
      <c r="BP675" s="55"/>
      <c r="BQ675" s="55"/>
      <c r="BR675" s="55"/>
      <c r="BS675" s="55"/>
      <c r="BT675" s="55"/>
      <c r="BU675" s="55"/>
      <c r="BV675" s="55"/>
      <c r="BW675" s="55"/>
      <c r="BX675" s="55"/>
      <c r="BY675" s="55"/>
    </row>
    <row r="676" spans="2:77" ht="51">
      <c r="B676" s="89">
        <v>663</v>
      </c>
      <c r="C676" s="93">
        <v>336</v>
      </c>
      <c r="D676" s="97">
        <v>805</v>
      </c>
      <c r="E676" s="94">
        <v>0.7270833333333333</v>
      </c>
      <c r="F676" s="105">
        <v>0.73749999999999993</v>
      </c>
      <c r="G676" s="93" t="s">
        <v>1052</v>
      </c>
      <c r="H676" s="93" t="s">
        <v>593</v>
      </c>
      <c r="I676" s="96">
        <v>7.7</v>
      </c>
      <c r="J676" s="97" t="s">
        <v>116</v>
      </c>
      <c r="K676" s="98">
        <f>174+14</f>
        <v>188</v>
      </c>
      <c r="L676" s="109" t="s">
        <v>762</v>
      </c>
      <c r="M676" s="83" t="s">
        <v>948</v>
      </c>
      <c r="N676" s="83">
        <v>22</v>
      </c>
      <c r="O676" s="87" t="s">
        <v>1902</v>
      </c>
      <c r="P676" s="87">
        <v>29</v>
      </c>
      <c r="Q676" s="2" t="s">
        <v>2023</v>
      </c>
      <c r="R676" s="83" t="s">
        <v>2024</v>
      </c>
      <c r="S676" s="26">
        <v>3337</v>
      </c>
      <c r="T676" s="26" t="s">
        <v>1648</v>
      </c>
      <c r="U676" s="26" t="s">
        <v>1635</v>
      </c>
      <c r="V676" s="26" t="s">
        <v>1636</v>
      </c>
      <c r="W676" s="62">
        <v>44816</v>
      </c>
      <c r="X676" s="62">
        <v>45086</v>
      </c>
      <c r="Y676" s="62"/>
      <c r="Z676" s="62"/>
      <c r="AA676" s="23" t="s">
        <v>1150</v>
      </c>
      <c r="AB676" s="23"/>
      <c r="AC676" s="23"/>
      <c r="AD676" s="23"/>
      <c r="AE676" s="23" t="s">
        <v>731</v>
      </c>
      <c r="AF676" s="23" t="s">
        <v>731</v>
      </c>
      <c r="AG676" s="23" t="s">
        <v>731</v>
      </c>
      <c r="AH676" s="23" t="s">
        <v>731</v>
      </c>
      <c r="AI676" s="23" t="s">
        <v>731</v>
      </c>
      <c r="AJ676" s="23" t="s">
        <v>731</v>
      </c>
      <c r="AK676" s="23"/>
      <c r="AL676" s="23"/>
      <c r="AM676" s="23"/>
      <c r="AN676" s="23"/>
      <c r="AO676" s="23"/>
      <c r="AP676" s="23" t="s">
        <v>731</v>
      </c>
      <c r="AQ676" s="23"/>
      <c r="AR676" s="23" t="s">
        <v>731</v>
      </c>
      <c r="AS676" s="23"/>
      <c r="AT676" s="23" t="s">
        <v>731</v>
      </c>
      <c r="AU676" s="23"/>
      <c r="AV676" s="42">
        <v>15.4</v>
      </c>
      <c r="AW676" s="18"/>
      <c r="AY676" s="42"/>
      <c r="AZ676" s="42"/>
      <c r="BB676" s="45">
        <v>1</v>
      </c>
      <c r="BC676" s="41">
        <f>IF(AND((AV676/I676)&lt;2,BB676=1),(I676*2)-AV676,0)</f>
        <v>0</v>
      </c>
      <c r="BD676" s="41">
        <f>IF(AND((AV676/I676)&lt;3,BB676=2),(I676*3)-AV676,0)</f>
        <v>0</v>
      </c>
      <c r="BG676" s="18"/>
      <c r="BH676" s="18">
        <v>15</v>
      </c>
      <c r="BI676" s="18">
        <v>21</v>
      </c>
      <c r="BJ676" s="18">
        <v>21</v>
      </c>
      <c r="BK676" s="18">
        <v>18</v>
      </c>
      <c r="BL676" s="18">
        <v>19</v>
      </c>
      <c r="BM676" s="55">
        <f>SUM(AV676:AX676)+SUM(BC676:BD676)+SUM(BE676:BF676)+BG676</f>
        <v>15.4</v>
      </c>
      <c r="BN676" s="55"/>
      <c r="BO676" s="55"/>
      <c r="BP676" s="55"/>
      <c r="BQ676" s="55"/>
      <c r="BR676" s="55"/>
      <c r="BS676" s="55"/>
      <c r="BT676" s="55"/>
      <c r="BU676" s="55"/>
      <c r="BV676" s="55"/>
      <c r="BW676" s="55"/>
      <c r="BX676" s="55"/>
      <c r="BY676" s="55"/>
    </row>
    <row r="677" spans="2:77" ht="25.5">
      <c r="B677" s="89">
        <v>664</v>
      </c>
      <c r="C677" s="101">
        <v>401</v>
      </c>
      <c r="D677" s="101">
        <v>122</v>
      </c>
      <c r="E677" s="102">
        <v>0.28472222222222221</v>
      </c>
      <c r="F677" s="102">
        <v>0.30486111111111108</v>
      </c>
      <c r="G677" s="103" t="s">
        <v>13</v>
      </c>
      <c r="H677" s="93" t="s">
        <v>14</v>
      </c>
      <c r="I677" s="101">
        <v>17</v>
      </c>
      <c r="J677" s="104">
        <v>19</v>
      </c>
      <c r="K677" s="98">
        <v>34</v>
      </c>
      <c r="L677" s="109" t="s">
        <v>767</v>
      </c>
      <c r="M677" s="152" t="s">
        <v>890</v>
      </c>
      <c r="N677" s="152">
        <v>33</v>
      </c>
      <c r="O677" s="83" t="s">
        <v>1921</v>
      </c>
      <c r="P677" s="87">
        <v>34</v>
      </c>
      <c r="S677" s="26">
        <v>4300</v>
      </c>
      <c r="T677" s="26" t="s">
        <v>1649</v>
      </c>
      <c r="U677" s="26" t="s">
        <v>1650</v>
      </c>
      <c r="V677" s="26" t="s">
        <v>1651</v>
      </c>
      <c r="W677" s="62">
        <v>44816</v>
      </c>
      <c r="X677" s="62">
        <v>45086</v>
      </c>
      <c r="Y677" s="62"/>
      <c r="Z677" s="62"/>
      <c r="AA677" s="24" t="s">
        <v>1111</v>
      </c>
      <c r="AB677" s="23"/>
      <c r="AC677" s="23"/>
      <c r="AD677" s="23"/>
      <c r="AE677" s="23" t="s">
        <v>731</v>
      </c>
      <c r="AF677" s="23"/>
      <c r="AG677" s="23"/>
      <c r="AH677" s="23"/>
      <c r="AI677" s="23"/>
      <c r="AJ677" s="23"/>
      <c r="AK677" s="23" t="s">
        <v>731</v>
      </c>
      <c r="AL677" s="23"/>
      <c r="AM677" s="23"/>
      <c r="AN677" s="23"/>
      <c r="AO677" s="23"/>
      <c r="AP677" s="23"/>
      <c r="AQ677" s="23"/>
      <c r="AR677" s="23"/>
      <c r="AS677" s="23"/>
      <c r="AT677" s="23"/>
      <c r="AU677" s="23"/>
      <c r="AW677" s="18"/>
      <c r="AY677" s="19" t="s">
        <v>1174</v>
      </c>
      <c r="AZ677" s="20"/>
      <c r="BB677" s="45">
        <v>1</v>
      </c>
      <c r="BD677" s="41"/>
      <c r="BH677" s="18">
        <v>2</v>
      </c>
      <c r="BI677" s="18">
        <v>5</v>
      </c>
      <c r="BJ677" s="18">
        <v>4</v>
      </c>
      <c r="BK677" s="18">
        <v>3</v>
      </c>
      <c r="BL677" s="18">
        <v>3</v>
      </c>
      <c r="BM677" s="55">
        <f>SUM(AV677:AX677)+SUM(BC677:BD677)+SUM(BE677:BF677)+BG677</f>
        <v>0</v>
      </c>
      <c r="BN677" s="55" t="s">
        <v>1111</v>
      </c>
      <c r="BO677" s="77">
        <v>2</v>
      </c>
      <c r="BP677" s="77"/>
      <c r="BQ677" s="77">
        <v>5</v>
      </c>
      <c r="BR677" s="77"/>
      <c r="BS677" s="77">
        <v>4</v>
      </c>
      <c r="BT677" s="77"/>
      <c r="BU677" s="77">
        <v>3</v>
      </c>
      <c r="BV677" s="77"/>
      <c r="BW677" s="77">
        <v>3</v>
      </c>
      <c r="BX677" s="77"/>
      <c r="BY677" s="55">
        <v>385</v>
      </c>
    </row>
    <row r="678" spans="2:77" ht="38.25">
      <c r="B678" s="89">
        <v>665</v>
      </c>
      <c r="C678" s="101">
        <v>401</v>
      </c>
      <c r="D678" s="101">
        <v>122</v>
      </c>
      <c r="E678" s="102">
        <v>0.28472222222222221</v>
      </c>
      <c r="F678" s="102">
        <v>0.30486111111111108</v>
      </c>
      <c r="G678" s="103" t="s">
        <v>13</v>
      </c>
      <c r="H678" s="93" t="s">
        <v>646</v>
      </c>
      <c r="I678" s="101">
        <v>17</v>
      </c>
      <c r="J678" s="104">
        <v>19</v>
      </c>
      <c r="K678" s="98">
        <v>26</v>
      </c>
      <c r="L678" s="109" t="s">
        <v>767</v>
      </c>
      <c r="M678" s="152" t="s">
        <v>890</v>
      </c>
      <c r="N678" s="152">
        <v>33</v>
      </c>
      <c r="O678" s="83" t="s">
        <v>1921</v>
      </c>
      <c r="P678" s="87">
        <v>34</v>
      </c>
      <c r="S678" s="26">
        <v>4300</v>
      </c>
      <c r="T678" s="26" t="s">
        <v>1649</v>
      </c>
      <c r="U678" s="26" t="s">
        <v>1650</v>
      </c>
      <c r="V678" s="26" t="s">
        <v>1651</v>
      </c>
      <c r="W678" s="63">
        <v>44816</v>
      </c>
      <c r="X678" s="63">
        <v>45100</v>
      </c>
      <c r="Y678" s="63"/>
      <c r="Z678" s="63"/>
      <c r="AA678" s="22" t="s">
        <v>1134</v>
      </c>
      <c r="AB678" s="23" t="s">
        <v>731</v>
      </c>
      <c r="AC678" s="23"/>
      <c r="AD678" s="23" t="s">
        <v>731</v>
      </c>
      <c r="AE678" s="23"/>
      <c r="AF678" s="23"/>
      <c r="AG678" s="23"/>
      <c r="AH678" s="23"/>
      <c r="AI678" s="23"/>
      <c r="AJ678" s="23"/>
      <c r="AK678" s="23"/>
      <c r="AL678" s="23"/>
      <c r="AM678" s="23"/>
      <c r="AN678" s="23"/>
      <c r="AO678" s="23"/>
      <c r="AP678" s="23" t="s">
        <v>731</v>
      </c>
      <c r="AQ678" s="23" t="s">
        <v>731</v>
      </c>
      <c r="AR678" s="23" t="s">
        <v>731</v>
      </c>
      <c r="AS678" s="23" t="s">
        <v>731</v>
      </c>
      <c r="AT678" s="23" t="s">
        <v>731</v>
      </c>
      <c r="AU678" s="23"/>
      <c r="AW678" s="18"/>
      <c r="AY678" s="19" t="s">
        <v>1173</v>
      </c>
      <c r="AZ678" s="20"/>
      <c r="BB678" s="45">
        <v>1</v>
      </c>
      <c r="BD678" s="41"/>
      <c r="BH678" s="18">
        <v>0</v>
      </c>
      <c r="BI678" s="18">
        <v>1</v>
      </c>
      <c r="BJ678" s="18">
        <v>0</v>
      </c>
      <c r="BK678" s="18">
        <v>5</v>
      </c>
      <c r="BL678" s="18">
        <v>4</v>
      </c>
      <c r="BM678" s="55">
        <f>SUM(AV678:AX678)+SUM(BC678:BD678)+SUM(BE678:BF678)+BG678</f>
        <v>0</v>
      </c>
      <c r="BN678" s="55" t="s">
        <v>1110</v>
      </c>
      <c r="BO678" s="77">
        <v>0</v>
      </c>
      <c r="BP678" s="77"/>
      <c r="BQ678" s="77">
        <v>1</v>
      </c>
      <c r="BR678" s="77"/>
      <c r="BS678" s="77">
        <v>0</v>
      </c>
      <c r="BT678" s="77"/>
      <c r="BU678" s="77">
        <v>7</v>
      </c>
      <c r="BV678" s="77"/>
      <c r="BW678" s="77">
        <v>5</v>
      </c>
      <c r="BX678" s="77"/>
      <c r="BY678" s="55">
        <v>165</v>
      </c>
    </row>
    <row r="679" spans="2:77" ht="25.5">
      <c r="B679" s="89">
        <v>666</v>
      </c>
      <c r="C679" s="93">
        <v>401</v>
      </c>
      <c r="D679" s="93">
        <v>507</v>
      </c>
      <c r="E679" s="94">
        <v>0.3298611111111111</v>
      </c>
      <c r="F679" s="105">
        <v>0.36805555555555558</v>
      </c>
      <c r="G679" s="93" t="s">
        <v>510</v>
      </c>
      <c r="H679" s="93" t="s">
        <v>203</v>
      </c>
      <c r="I679" s="96">
        <v>49</v>
      </c>
      <c r="J679" s="97" t="s">
        <v>101</v>
      </c>
      <c r="K679" s="98">
        <v>202</v>
      </c>
      <c r="L679" s="109" t="s">
        <v>768</v>
      </c>
      <c r="M679" s="83" t="s">
        <v>891</v>
      </c>
      <c r="N679" s="83">
        <v>61</v>
      </c>
      <c r="O679" s="83" t="s">
        <v>1903</v>
      </c>
      <c r="P679" s="87">
        <v>62</v>
      </c>
      <c r="Q679" s="87"/>
      <c r="R679" s="83"/>
      <c r="S679" s="26">
        <v>4400</v>
      </c>
      <c r="T679" s="26" t="s">
        <v>1652</v>
      </c>
      <c r="U679" s="26">
        <v>1</v>
      </c>
      <c r="V679" s="26" t="s">
        <v>1312</v>
      </c>
      <c r="W679" s="63">
        <v>44816</v>
      </c>
      <c r="X679" s="63">
        <v>45100</v>
      </c>
      <c r="Y679" s="63"/>
      <c r="Z679" s="63"/>
      <c r="AA679" s="22" t="s">
        <v>1108</v>
      </c>
      <c r="AB679" s="23" t="s">
        <v>731</v>
      </c>
      <c r="AC679" s="23"/>
      <c r="AD679" s="23" t="s">
        <v>731</v>
      </c>
      <c r="AE679" s="23"/>
      <c r="AF679" s="23" t="s">
        <v>731</v>
      </c>
      <c r="AG679" s="23" t="s">
        <v>731</v>
      </c>
      <c r="AH679" s="23" t="s">
        <v>731</v>
      </c>
      <c r="AI679" s="23" t="s">
        <v>731</v>
      </c>
      <c r="AJ679" s="23" t="s">
        <v>731</v>
      </c>
      <c r="AK679" s="23"/>
      <c r="AL679" s="23"/>
      <c r="AM679" s="23"/>
      <c r="AN679" s="23"/>
      <c r="AO679" s="23"/>
      <c r="AP679" s="23"/>
      <c r="AQ679" s="23"/>
      <c r="AR679" s="23"/>
      <c r="AS679" s="23"/>
      <c r="AT679" s="23"/>
      <c r="AU679" s="23"/>
      <c r="AV679" s="41">
        <v>88.2</v>
      </c>
      <c r="AW679" s="18"/>
      <c r="AY679" s="41"/>
      <c r="AZ679" s="41"/>
      <c r="BB679" s="43">
        <v>2</v>
      </c>
      <c r="BC679" s="44"/>
      <c r="BD679" s="44"/>
      <c r="BG679" s="18"/>
      <c r="BH679" s="18">
        <v>15</v>
      </c>
      <c r="BI679" s="18">
        <v>21</v>
      </c>
      <c r="BJ679" s="18">
        <v>21</v>
      </c>
      <c r="BK679" s="18">
        <v>20</v>
      </c>
      <c r="BL679" s="18">
        <v>21</v>
      </c>
      <c r="BM679" s="55">
        <f>SUM(AV679:AX679)+SUM(BC679:BD679)+SUM(BE679:BF679)+BG679</f>
        <v>88.2</v>
      </c>
      <c r="BN679" s="55"/>
      <c r="BO679" s="55"/>
      <c r="BP679" s="55"/>
      <c r="BQ679" s="55"/>
      <c r="BR679" s="55"/>
      <c r="BS679" s="55"/>
      <c r="BT679" s="55"/>
      <c r="BU679" s="55"/>
      <c r="BV679" s="55"/>
      <c r="BW679" s="55"/>
      <c r="BX679" s="55"/>
      <c r="BY679" s="55"/>
    </row>
    <row r="680" spans="2:77" ht="25.5">
      <c r="B680" s="89">
        <v>667</v>
      </c>
      <c r="C680" s="93">
        <v>401</v>
      </c>
      <c r="D680" s="93">
        <v>134</v>
      </c>
      <c r="E680" s="94">
        <v>0.42708333333333331</v>
      </c>
      <c r="F680" s="94">
        <v>0.47291666666666665</v>
      </c>
      <c r="G680" s="93" t="s">
        <v>511</v>
      </c>
      <c r="H680" s="93" t="s">
        <v>549</v>
      </c>
      <c r="I680" s="96">
        <v>37</v>
      </c>
      <c r="J680" s="97" t="s">
        <v>406</v>
      </c>
      <c r="K680" s="98">
        <v>13</v>
      </c>
      <c r="L680" s="109" t="s">
        <v>744</v>
      </c>
      <c r="M680" s="87" t="s">
        <v>848</v>
      </c>
      <c r="N680" s="87">
        <v>42</v>
      </c>
      <c r="O680" s="83" t="s">
        <v>1924</v>
      </c>
      <c r="P680" s="87">
        <v>45</v>
      </c>
      <c r="Q680" s="83" t="s">
        <v>1217</v>
      </c>
      <c r="R680" s="85">
        <v>48</v>
      </c>
      <c r="S680" s="26">
        <v>1</v>
      </c>
      <c r="T680" s="26" t="s">
        <v>1309</v>
      </c>
      <c r="U680" s="26">
        <v>4400</v>
      </c>
      <c r="V680" s="26" t="s">
        <v>1652</v>
      </c>
      <c r="W680" s="63">
        <v>44562</v>
      </c>
      <c r="X680" s="63">
        <v>44815</v>
      </c>
      <c r="Y680" s="63">
        <v>45101</v>
      </c>
      <c r="Z680" s="63">
        <v>45169</v>
      </c>
      <c r="AA680" s="17" t="s">
        <v>1104</v>
      </c>
      <c r="AB680" s="23"/>
      <c r="AC680" s="23" t="s">
        <v>731</v>
      </c>
      <c r="AD680" s="23"/>
      <c r="AE680" s="23"/>
      <c r="AF680" s="23"/>
      <c r="AG680" s="23"/>
      <c r="AH680" s="23"/>
      <c r="AI680" s="23"/>
      <c r="AJ680" s="23"/>
      <c r="AK680" s="23"/>
      <c r="AL680" s="23" t="s">
        <v>731</v>
      </c>
      <c r="AM680" s="23"/>
      <c r="AN680" s="23"/>
      <c r="AO680" s="23"/>
      <c r="AP680" s="23"/>
      <c r="AQ680" s="23"/>
      <c r="AR680" s="23"/>
      <c r="AS680" s="23"/>
      <c r="AT680" s="23"/>
      <c r="AU680" s="23"/>
      <c r="AV680" s="42">
        <v>111</v>
      </c>
      <c r="AW680" s="18"/>
      <c r="AY680" s="42"/>
      <c r="AZ680" s="42"/>
      <c r="BB680" s="43">
        <v>2</v>
      </c>
      <c r="BC680" s="41">
        <f>IF(AND((AV680/I680)&lt;2,BB680=1),(I680*2)-AV680,0)</f>
        <v>0</v>
      </c>
      <c r="BD680" s="41">
        <f>IF(AND((AV680/I680)&lt;3,BB680=2),(I680*3)-AV680,0)</f>
        <v>0</v>
      </c>
      <c r="BG680" s="18"/>
      <c r="BH680" s="18">
        <v>2</v>
      </c>
      <c r="BI680" s="18">
        <v>0</v>
      </c>
      <c r="BJ680" s="18">
        <v>0</v>
      </c>
      <c r="BK680" s="18">
        <v>0</v>
      </c>
      <c r="BL680" s="18">
        <v>0</v>
      </c>
      <c r="BM680" s="55">
        <f>SUM(AV680:AX680)+SUM(BC680:BD680)+SUM(BE680:BF680)+BG680</f>
        <v>111</v>
      </c>
      <c r="BN680" s="55"/>
      <c r="BO680" s="55"/>
      <c r="BP680" s="55"/>
      <c r="BQ680" s="55"/>
      <c r="BR680" s="55"/>
      <c r="BS680" s="55"/>
      <c r="BT680" s="55"/>
      <c r="BU680" s="55"/>
      <c r="BV680" s="55"/>
      <c r="BW680" s="55"/>
      <c r="BX680" s="55"/>
      <c r="BY680" s="55"/>
    </row>
    <row r="681" spans="2:77" ht="25.5">
      <c r="B681" s="89">
        <v>668</v>
      </c>
      <c r="C681" s="93">
        <v>401</v>
      </c>
      <c r="D681" s="93">
        <v>147</v>
      </c>
      <c r="E681" s="94">
        <v>0.47916666666666669</v>
      </c>
      <c r="F681" s="94">
        <v>0.52986111111111112</v>
      </c>
      <c r="G681" s="93" t="s">
        <v>510</v>
      </c>
      <c r="H681" s="93" t="s">
        <v>549</v>
      </c>
      <c r="I681" s="96">
        <v>41</v>
      </c>
      <c r="J681" s="97" t="s">
        <v>406</v>
      </c>
      <c r="K681" s="98">
        <v>13</v>
      </c>
      <c r="L681" s="109" t="s">
        <v>744</v>
      </c>
      <c r="M681" s="87" t="s">
        <v>848</v>
      </c>
      <c r="N681" s="87">
        <v>42</v>
      </c>
      <c r="O681" s="83" t="s">
        <v>1924</v>
      </c>
      <c r="P681" s="87">
        <v>45</v>
      </c>
      <c r="Q681" s="83" t="s">
        <v>1217</v>
      </c>
      <c r="R681" s="85">
        <v>48</v>
      </c>
      <c r="S681" s="26">
        <v>4400</v>
      </c>
      <c r="T681" s="26" t="s">
        <v>1652</v>
      </c>
      <c r="U681" s="26">
        <v>1</v>
      </c>
      <c r="V681" s="26" t="s">
        <v>1312</v>
      </c>
      <c r="W681" s="63">
        <v>44562</v>
      </c>
      <c r="X681" s="63">
        <v>44815</v>
      </c>
      <c r="Y681" s="63">
        <v>45101</v>
      </c>
      <c r="Z681" s="63">
        <v>45169</v>
      </c>
      <c r="AA681" s="17" t="s">
        <v>1104</v>
      </c>
      <c r="AB681" s="23"/>
      <c r="AC681" s="23" t="s">
        <v>731</v>
      </c>
      <c r="AD681" s="23"/>
      <c r="AE681" s="23"/>
      <c r="AF681" s="23"/>
      <c r="AG681" s="23"/>
      <c r="AH681" s="23"/>
      <c r="AI681" s="23"/>
      <c r="AJ681" s="23"/>
      <c r="AK681" s="23"/>
      <c r="AL681" s="23" t="s">
        <v>731</v>
      </c>
      <c r="AM681" s="23"/>
      <c r="AN681" s="23"/>
      <c r="AO681" s="23"/>
      <c r="AP681" s="23"/>
      <c r="AQ681" s="23"/>
      <c r="AR681" s="23"/>
      <c r="AS681" s="23"/>
      <c r="AT681" s="23"/>
      <c r="AU681" s="23"/>
      <c r="AV681" s="42">
        <v>123</v>
      </c>
      <c r="AY681" s="42"/>
      <c r="AZ681" s="42"/>
      <c r="BB681" s="43">
        <v>2</v>
      </c>
      <c r="BC681" s="41">
        <f>IF(AND((AV681/I681)&lt;2,BB681=1),(I681*2)-AV681,0)</f>
        <v>0</v>
      </c>
      <c r="BD681" s="41">
        <f>IF(AND((AV681/I681)&lt;3,BB681=2),(I681*3)-AV681,0)</f>
        <v>0</v>
      </c>
      <c r="BG681" s="18"/>
      <c r="BH681" s="18">
        <v>2</v>
      </c>
      <c r="BI681" s="18">
        <v>0</v>
      </c>
      <c r="BJ681" s="18">
        <v>0</v>
      </c>
      <c r="BK681" s="18">
        <v>0</v>
      </c>
      <c r="BL681" s="18">
        <v>0</v>
      </c>
      <c r="BM681" s="55">
        <f>SUM(AV681:AX681)+SUM(BC681:BD681)+SUM(BE681:BF681)+BG681</f>
        <v>123</v>
      </c>
      <c r="BN681" s="55"/>
      <c r="BO681" s="55"/>
      <c r="BP681" s="55"/>
      <c r="BQ681" s="55"/>
      <c r="BR681" s="55"/>
      <c r="BS681" s="55"/>
      <c r="BT681" s="55"/>
      <c r="BU681" s="55"/>
      <c r="BV681" s="55"/>
      <c r="BW681" s="55"/>
      <c r="BX681" s="55"/>
      <c r="BY681" s="55"/>
    </row>
    <row r="682" spans="2:77" ht="25.5">
      <c r="B682" s="89">
        <v>669</v>
      </c>
      <c r="C682" s="93">
        <v>401</v>
      </c>
      <c r="D682" s="93">
        <v>507</v>
      </c>
      <c r="E682" s="94">
        <v>0.54861111111111105</v>
      </c>
      <c r="F682" s="94">
        <v>0.59722222222222221</v>
      </c>
      <c r="G682" s="93" t="s">
        <v>510</v>
      </c>
      <c r="H682" s="93" t="s">
        <v>566</v>
      </c>
      <c r="I682" s="96">
        <v>49</v>
      </c>
      <c r="J682" s="97" t="s">
        <v>101</v>
      </c>
      <c r="K682" s="98">
        <v>55</v>
      </c>
      <c r="L682" s="109" t="s">
        <v>768</v>
      </c>
      <c r="M682" s="83" t="s">
        <v>891</v>
      </c>
      <c r="N682" s="83">
        <v>61</v>
      </c>
      <c r="O682" s="83" t="s">
        <v>1903</v>
      </c>
      <c r="P682" s="87">
        <v>62</v>
      </c>
      <c r="R682" s="83"/>
      <c r="S682" s="26" t="s">
        <v>1650</v>
      </c>
      <c r="T682" s="26" t="s">
        <v>1651</v>
      </c>
      <c r="U682" s="26">
        <v>1</v>
      </c>
      <c r="V682" s="26" t="s">
        <v>1312</v>
      </c>
      <c r="W682" s="63">
        <v>44562</v>
      </c>
      <c r="X682" s="63">
        <v>44815</v>
      </c>
      <c r="Y682" s="63">
        <v>45101</v>
      </c>
      <c r="Z682" s="63">
        <v>45169</v>
      </c>
      <c r="AA682" s="27" t="s">
        <v>1109</v>
      </c>
      <c r="AB682" s="23"/>
      <c r="AC682" s="23" t="s">
        <v>731</v>
      </c>
      <c r="AD682" s="23" t="s">
        <v>731</v>
      </c>
      <c r="AE682" s="23"/>
      <c r="AF682" s="23" t="s">
        <v>731</v>
      </c>
      <c r="AG682" s="23" t="s">
        <v>731</v>
      </c>
      <c r="AH682" s="23" t="s">
        <v>731</v>
      </c>
      <c r="AI682" s="23" t="s">
        <v>731</v>
      </c>
      <c r="AJ682" s="23" t="s">
        <v>731</v>
      </c>
      <c r="AK682" s="23"/>
      <c r="AL682" s="23"/>
      <c r="AM682" s="23"/>
      <c r="AN682" s="23"/>
      <c r="AO682" s="23"/>
      <c r="AP682" s="23"/>
      <c r="AQ682" s="23"/>
      <c r="AR682" s="23"/>
      <c r="AS682" s="23"/>
      <c r="AT682" s="23"/>
      <c r="AU682" s="23"/>
      <c r="AV682" s="41">
        <v>88.2</v>
      </c>
      <c r="AY682" s="41"/>
      <c r="AZ682" s="41"/>
      <c r="BB682" s="43">
        <v>2</v>
      </c>
      <c r="BC682" s="44"/>
      <c r="BD682" s="44"/>
      <c r="BG682" s="18"/>
      <c r="BH682" s="18">
        <v>7</v>
      </c>
      <c r="BI682" s="18">
        <v>0</v>
      </c>
      <c r="BJ682" s="18">
        <v>0</v>
      </c>
      <c r="BK682" s="18">
        <v>0</v>
      </c>
      <c r="BL682" s="18">
        <v>0</v>
      </c>
      <c r="BM682" s="55">
        <f>SUM(AV682:AX682)+SUM(BC682:BD682)+SUM(BE682:BF682)+BG682</f>
        <v>88.2</v>
      </c>
      <c r="BN682" s="55"/>
      <c r="BO682" s="55"/>
      <c r="BP682" s="55"/>
      <c r="BQ682" s="55"/>
      <c r="BR682" s="55"/>
      <c r="BS682" s="55"/>
      <c r="BT682" s="55"/>
      <c r="BU682" s="55"/>
      <c r="BV682" s="55"/>
      <c r="BW682" s="55"/>
      <c r="BX682" s="55"/>
      <c r="BY682" s="55"/>
    </row>
    <row r="683" spans="2:77" ht="25.5">
      <c r="B683" s="89">
        <v>670</v>
      </c>
      <c r="C683" s="93">
        <v>401</v>
      </c>
      <c r="D683" s="93">
        <v>266</v>
      </c>
      <c r="E683" s="94">
        <v>0.70138888888888884</v>
      </c>
      <c r="F683" s="94">
        <v>0.71875</v>
      </c>
      <c r="G683" s="93" t="s">
        <v>268</v>
      </c>
      <c r="H683" s="93" t="s">
        <v>267</v>
      </c>
      <c r="I683" s="96">
        <v>17.5</v>
      </c>
      <c r="J683" s="97" t="s">
        <v>116</v>
      </c>
      <c r="K683" s="98">
        <v>55</v>
      </c>
      <c r="L683" s="109" t="s">
        <v>769</v>
      </c>
      <c r="M683" s="87" t="s">
        <v>889</v>
      </c>
      <c r="N683" s="87">
        <v>9</v>
      </c>
      <c r="O683" s="87" t="s">
        <v>1904</v>
      </c>
      <c r="P683" s="87">
        <v>9</v>
      </c>
      <c r="R683" s="87"/>
      <c r="S683" s="26">
        <v>4300</v>
      </c>
      <c r="T683" s="26" t="s">
        <v>1649</v>
      </c>
      <c r="U683" s="26">
        <v>4400</v>
      </c>
      <c r="V683" s="26" t="s">
        <v>1652</v>
      </c>
      <c r="W683" s="63">
        <v>44562</v>
      </c>
      <c r="X683" s="63">
        <v>44815</v>
      </c>
      <c r="Y683" s="63">
        <v>45101</v>
      </c>
      <c r="Z683" s="63">
        <v>45169</v>
      </c>
      <c r="AA683" s="22" t="s">
        <v>1109</v>
      </c>
      <c r="AB683" s="23"/>
      <c r="AC683" s="23" t="s">
        <v>731</v>
      </c>
      <c r="AD683" s="23" t="s">
        <v>731</v>
      </c>
      <c r="AE683" s="23"/>
      <c r="AF683" s="23" t="s">
        <v>731</v>
      </c>
      <c r="AG683" s="23" t="s">
        <v>731</v>
      </c>
      <c r="AH683" s="23" t="s">
        <v>731</v>
      </c>
      <c r="AI683" s="23" t="s">
        <v>731</v>
      </c>
      <c r="AJ683" s="23" t="s">
        <v>731</v>
      </c>
      <c r="AK683" s="23"/>
      <c r="AL683" s="23"/>
      <c r="AM683" s="23"/>
      <c r="AN683" s="23"/>
      <c r="AO683" s="23"/>
      <c r="AP683" s="23"/>
      <c r="AQ683" s="23"/>
      <c r="AR683" s="23"/>
      <c r="AS683" s="23"/>
      <c r="AT683" s="23"/>
      <c r="AU683" s="23"/>
      <c r="AV683" s="42">
        <v>35</v>
      </c>
      <c r="AY683" s="42"/>
      <c r="AZ683" s="42"/>
      <c r="BB683" s="45">
        <v>1</v>
      </c>
      <c r="BC683" s="41">
        <f>IF(AND((AV683/I683)&lt;2,BB683=1),(I683*2)-AV683,0)</f>
        <v>0</v>
      </c>
      <c r="BD683" s="41">
        <f>IF(AND((AV683/I683)&lt;3,BB683=2),(I683*3)-AV683,0)</f>
        <v>0</v>
      </c>
      <c r="BG683" s="18"/>
      <c r="BH683" s="18">
        <v>7</v>
      </c>
      <c r="BI683" s="18">
        <v>0</v>
      </c>
      <c r="BJ683" s="18">
        <v>0</v>
      </c>
      <c r="BK683" s="18">
        <v>0</v>
      </c>
      <c r="BL683" s="18">
        <v>0</v>
      </c>
      <c r="BM683" s="55">
        <f>SUM(AV683:AX683)+SUM(BC683:BD683)+SUM(BE683:BF683)+BG683</f>
        <v>35</v>
      </c>
      <c r="BN683" s="55"/>
      <c r="BO683" s="55"/>
      <c r="BP683" s="55"/>
      <c r="BQ683" s="55"/>
      <c r="BR683" s="55"/>
      <c r="BS683" s="55"/>
      <c r="BT683" s="55"/>
      <c r="BU683" s="55"/>
      <c r="BV683" s="55"/>
      <c r="BW683" s="55"/>
      <c r="BX683" s="55"/>
      <c r="BY683" s="55"/>
    </row>
    <row r="684" spans="2:77" ht="25.5">
      <c r="B684" s="89">
        <v>671</v>
      </c>
      <c r="C684" s="93">
        <v>401</v>
      </c>
      <c r="D684" s="93">
        <v>410</v>
      </c>
      <c r="E684" s="94">
        <v>0.77430555555555547</v>
      </c>
      <c r="F684" s="94">
        <v>0.7895833333333333</v>
      </c>
      <c r="G684" s="93" t="s">
        <v>572</v>
      </c>
      <c r="H684" s="93" t="s">
        <v>424</v>
      </c>
      <c r="I684" s="96">
        <v>11.5</v>
      </c>
      <c r="J684" s="127">
        <v>50</v>
      </c>
      <c r="K684" s="98">
        <v>55</v>
      </c>
      <c r="L684" s="109" t="s">
        <v>720</v>
      </c>
      <c r="M684" s="87" t="s">
        <v>864</v>
      </c>
      <c r="N684" s="87" t="s">
        <v>983</v>
      </c>
      <c r="O684" s="87" t="s">
        <v>861</v>
      </c>
      <c r="P684" s="87">
        <v>57</v>
      </c>
      <c r="Q684" s="87" t="s">
        <v>1260</v>
      </c>
      <c r="R684" s="84">
        <v>56</v>
      </c>
      <c r="S684" s="26">
        <v>1</v>
      </c>
      <c r="T684" s="26" t="s">
        <v>1309</v>
      </c>
      <c r="U684" s="26" t="s">
        <v>1419</v>
      </c>
      <c r="V684" s="26" t="s">
        <v>1420</v>
      </c>
      <c r="W684" s="63">
        <v>44562</v>
      </c>
      <c r="X684" s="63">
        <v>44815</v>
      </c>
      <c r="Y684" s="63">
        <v>45101</v>
      </c>
      <c r="Z684" s="63">
        <v>45169</v>
      </c>
      <c r="AA684" s="22" t="s">
        <v>1109</v>
      </c>
      <c r="AB684" s="23"/>
      <c r="AC684" s="23" t="s">
        <v>731</v>
      </c>
      <c r="AD684" s="23" t="s">
        <v>731</v>
      </c>
      <c r="AE684" s="23"/>
      <c r="AF684" s="23" t="s">
        <v>731</v>
      </c>
      <c r="AG684" s="23" t="s">
        <v>731</v>
      </c>
      <c r="AH684" s="23" t="s">
        <v>731</v>
      </c>
      <c r="AI684" s="23" t="s">
        <v>731</v>
      </c>
      <c r="AJ684" s="23" t="s">
        <v>731</v>
      </c>
      <c r="AK684" s="23"/>
      <c r="AL684" s="23"/>
      <c r="AM684" s="23"/>
      <c r="AN684" s="23"/>
      <c r="AO684" s="23"/>
      <c r="AP684" s="23"/>
      <c r="AQ684" s="23"/>
      <c r="AR684" s="23"/>
      <c r="AS684" s="23"/>
      <c r="AT684" s="23"/>
      <c r="AU684" s="23"/>
      <c r="AV684" s="42">
        <v>34.5</v>
      </c>
      <c r="AY684" s="42"/>
      <c r="AZ684" s="42"/>
      <c r="BB684" s="43">
        <v>2</v>
      </c>
      <c r="BC684" s="41">
        <f>IF(AND((AV684/I684)&lt;2,BB684=1),(I684*2)-AV684,0)</f>
        <v>0</v>
      </c>
      <c r="BD684" s="41">
        <f>IF(AND((AV684/I684)&lt;3,BB684=2),(I684*3)-AV684,0)</f>
        <v>0</v>
      </c>
      <c r="BG684" s="18"/>
      <c r="BH684" s="18">
        <v>7</v>
      </c>
      <c r="BI684" s="18">
        <v>0</v>
      </c>
      <c r="BJ684" s="18">
        <v>0</v>
      </c>
      <c r="BK684" s="18">
        <v>0</v>
      </c>
      <c r="BL684" s="18">
        <v>0</v>
      </c>
      <c r="BM684" s="55">
        <f>SUM(AV684:AX684)+SUM(BC684:BD684)+SUM(BE684:BF684)+BG684</f>
        <v>34.5</v>
      </c>
      <c r="BN684" s="55"/>
      <c r="BO684" s="55"/>
      <c r="BP684" s="55"/>
      <c r="BQ684" s="55"/>
      <c r="BR684" s="55"/>
      <c r="BS684" s="55"/>
      <c r="BT684" s="55"/>
      <c r="BU684" s="55"/>
      <c r="BV684" s="55"/>
      <c r="BW684" s="55"/>
      <c r="BX684" s="55"/>
      <c r="BY684" s="55"/>
    </row>
    <row r="685" spans="2:77" ht="25.5">
      <c r="B685" s="89">
        <v>672</v>
      </c>
      <c r="C685" s="101">
        <v>401</v>
      </c>
      <c r="D685" s="121">
        <v>172</v>
      </c>
      <c r="E685" s="102">
        <v>0.80208333333333337</v>
      </c>
      <c r="F685" s="102">
        <v>0.84861111111111109</v>
      </c>
      <c r="G685" s="103" t="s">
        <v>12</v>
      </c>
      <c r="H685" s="93" t="s">
        <v>155</v>
      </c>
      <c r="I685" s="101">
        <v>41</v>
      </c>
      <c r="J685" s="104">
        <v>50</v>
      </c>
      <c r="K685" s="98">
        <v>252</v>
      </c>
      <c r="L685" s="109" t="s">
        <v>767</v>
      </c>
      <c r="M685" s="83" t="s">
        <v>891</v>
      </c>
      <c r="N685" s="83">
        <v>61</v>
      </c>
      <c r="O685" s="83" t="s">
        <v>1903</v>
      </c>
      <c r="P685" s="87">
        <v>62</v>
      </c>
      <c r="R685" s="83"/>
      <c r="S685" s="26">
        <v>1</v>
      </c>
      <c r="T685" s="26" t="s">
        <v>1309</v>
      </c>
      <c r="U685" s="26" t="s">
        <v>1650</v>
      </c>
      <c r="V685" s="26" t="s">
        <v>1651</v>
      </c>
      <c r="W685" s="62">
        <v>44805</v>
      </c>
      <c r="X685" s="62">
        <v>45169</v>
      </c>
      <c r="Y685" s="62"/>
      <c r="Z685" s="62"/>
      <c r="AA685" s="22" t="s">
        <v>1101</v>
      </c>
      <c r="AB685" s="23" t="s">
        <v>731</v>
      </c>
      <c r="AC685" s="23" t="s">
        <v>731</v>
      </c>
      <c r="AD685" s="23" t="s">
        <v>731</v>
      </c>
      <c r="AE685" s="23"/>
      <c r="AF685" s="23" t="s">
        <v>731</v>
      </c>
      <c r="AG685" s="23" t="s">
        <v>731</v>
      </c>
      <c r="AH685" s="23" t="s">
        <v>731</v>
      </c>
      <c r="AI685" s="23" t="s">
        <v>731</v>
      </c>
      <c r="AJ685" s="23" t="s">
        <v>731</v>
      </c>
      <c r="AK685" s="23"/>
      <c r="AL685" s="23"/>
      <c r="AM685" s="23"/>
      <c r="AN685" s="23"/>
      <c r="AO685" s="23"/>
      <c r="AP685" s="23"/>
      <c r="AQ685" s="23"/>
      <c r="AR685" s="23"/>
      <c r="AS685" s="23"/>
      <c r="AT685" s="23"/>
      <c r="AU685" s="23"/>
      <c r="AY685" s="19" t="s">
        <v>1002</v>
      </c>
      <c r="AZ685" s="20"/>
      <c r="BB685" s="43">
        <v>2</v>
      </c>
      <c r="BD685" s="41"/>
      <c r="BG685" s="18"/>
      <c r="BH685" s="18">
        <v>22</v>
      </c>
      <c r="BI685" s="18">
        <v>21</v>
      </c>
      <c r="BJ685" s="18">
        <v>21</v>
      </c>
      <c r="BK685" s="18">
        <v>20</v>
      </c>
      <c r="BL685" s="18">
        <v>21</v>
      </c>
      <c r="BM685" s="55">
        <f>SUM(AV685:AX685)+SUM(BC685:BD685)+SUM(BE685:BF685)+BG685</f>
        <v>0</v>
      </c>
      <c r="BN685" s="55" t="s">
        <v>1101</v>
      </c>
      <c r="BO685" s="77">
        <v>22</v>
      </c>
      <c r="BP685" s="77"/>
      <c r="BQ685" s="77">
        <v>21</v>
      </c>
      <c r="BR685" s="77"/>
      <c r="BS685" s="77">
        <v>21</v>
      </c>
      <c r="BT685" s="77"/>
      <c r="BU685" s="77">
        <v>20</v>
      </c>
      <c r="BV685" s="77"/>
      <c r="BW685" s="77">
        <v>21</v>
      </c>
      <c r="BX685" s="77"/>
      <c r="BY685" s="55">
        <v>220</v>
      </c>
    </row>
    <row r="686" spans="2:77" ht="45">
      <c r="B686" s="89">
        <v>673</v>
      </c>
      <c r="C686" s="93">
        <v>401</v>
      </c>
      <c r="D686" s="93">
        <v>172</v>
      </c>
      <c r="E686" s="94">
        <v>0.80208333333333337</v>
      </c>
      <c r="F686" s="94">
        <v>0.84861111111111109</v>
      </c>
      <c r="G686" s="93" t="s">
        <v>490</v>
      </c>
      <c r="H686" s="93" t="s">
        <v>161</v>
      </c>
      <c r="I686" s="96">
        <v>41</v>
      </c>
      <c r="J686" s="97" t="s">
        <v>101</v>
      </c>
      <c r="K686" s="98">
        <v>38</v>
      </c>
      <c r="L686" s="109" t="s">
        <v>758</v>
      </c>
      <c r="M686" s="227" t="s">
        <v>2095</v>
      </c>
      <c r="N686" s="227">
        <v>55</v>
      </c>
      <c r="O686" s="87" t="s">
        <v>1261</v>
      </c>
      <c r="P686" s="87">
        <v>57</v>
      </c>
      <c r="S686" s="26">
        <v>1</v>
      </c>
      <c r="T686" s="26" t="s">
        <v>1309</v>
      </c>
      <c r="U686" s="26" t="s">
        <v>1650</v>
      </c>
      <c r="V686" s="26" t="s">
        <v>1651</v>
      </c>
      <c r="W686" s="63">
        <v>44816</v>
      </c>
      <c r="X686" s="63">
        <v>45100</v>
      </c>
      <c r="Y686" s="63"/>
      <c r="Z686" s="63"/>
      <c r="AA686" s="22" t="s">
        <v>1127</v>
      </c>
      <c r="AB686" s="23" t="s">
        <v>731</v>
      </c>
      <c r="AC686" s="23"/>
      <c r="AD686" s="23" t="s">
        <v>731</v>
      </c>
      <c r="AE686" s="23"/>
      <c r="AF686" s="23"/>
      <c r="AG686" s="23"/>
      <c r="AH686" s="23"/>
      <c r="AI686" s="23"/>
      <c r="AJ686" s="23"/>
      <c r="AK686" s="23" t="s">
        <v>731</v>
      </c>
      <c r="AL686" s="23"/>
      <c r="AM686" s="23"/>
      <c r="AN686" s="23"/>
      <c r="AO686" s="23"/>
      <c r="AP686" s="23"/>
      <c r="AQ686" s="23"/>
      <c r="AR686" s="23"/>
      <c r="AS686" s="23"/>
      <c r="AT686" s="23"/>
      <c r="AU686" s="23"/>
      <c r="AV686" s="42">
        <v>123</v>
      </c>
      <c r="AY686" s="42"/>
      <c r="AZ686" s="42"/>
      <c r="BB686" s="43">
        <v>2</v>
      </c>
      <c r="BC686" s="41">
        <f>IF(AND((AV686/I686)&lt;2,BB686=1),(I686*2)-AV686,0)</f>
        <v>0</v>
      </c>
      <c r="BD686" s="41">
        <f>IF(AND((AV686/I686)&lt;3,BB686=2),(I686*3)-AV686,0)</f>
        <v>0</v>
      </c>
      <c r="BG686" s="18"/>
      <c r="BH686" s="18">
        <v>2</v>
      </c>
      <c r="BI686" s="18">
        <v>5</v>
      </c>
      <c r="BJ686" s="18">
        <v>4</v>
      </c>
      <c r="BK686" s="18">
        <v>5</v>
      </c>
      <c r="BL686" s="18">
        <v>4</v>
      </c>
      <c r="BM686" s="55">
        <f>SUM(AV686:AX686)+SUM(BC686:BD686)+SUM(BE686:BF686)+BG686</f>
        <v>123</v>
      </c>
      <c r="BN686" s="55"/>
      <c r="BO686" s="55"/>
      <c r="BP686" s="55"/>
      <c r="BQ686" s="55"/>
      <c r="BR686" s="55"/>
      <c r="BS686" s="55"/>
      <c r="BT686" s="55"/>
      <c r="BU686" s="55"/>
      <c r="BV686" s="55"/>
      <c r="BW686" s="55"/>
      <c r="BX686" s="55"/>
      <c r="BY686" s="55"/>
    </row>
    <row r="687" spans="2:77" ht="25.5">
      <c r="B687" s="89">
        <v>674</v>
      </c>
      <c r="C687" s="93">
        <v>402</v>
      </c>
      <c r="D687" s="93">
        <v>254</v>
      </c>
      <c r="E687" s="94">
        <v>0.26180555555555557</v>
      </c>
      <c r="F687" s="94">
        <v>0.27986111111111112</v>
      </c>
      <c r="G687" s="93" t="s">
        <v>432</v>
      </c>
      <c r="H687" s="93" t="s">
        <v>103</v>
      </c>
      <c r="I687" s="96">
        <v>2.4</v>
      </c>
      <c r="J687" s="97" t="s">
        <v>269</v>
      </c>
      <c r="K687" s="98">
        <v>174</v>
      </c>
      <c r="L687" s="109" t="s">
        <v>730</v>
      </c>
      <c r="M687" s="87" t="s">
        <v>875</v>
      </c>
      <c r="N687" s="87">
        <v>17</v>
      </c>
      <c r="O687" s="83" t="s">
        <v>1869</v>
      </c>
      <c r="P687" s="83">
        <v>18</v>
      </c>
      <c r="Q687" s="87"/>
      <c r="R687" s="84"/>
      <c r="S687" s="26" t="s">
        <v>1439</v>
      </c>
      <c r="T687" s="26" t="s">
        <v>1440</v>
      </c>
      <c r="U687" s="26">
        <v>4043</v>
      </c>
      <c r="V687" s="26" t="s">
        <v>1653</v>
      </c>
      <c r="W687" s="62">
        <v>44816</v>
      </c>
      <c r="X687" s="62">
        <v>45086</v>
      </c>
      <c r="Y687" s="62"/>
      <c r="Z687" s="62"/>
      <c r="AA687" s="22" t="s">
        <v>1102</v>
      </c>
      <c r="AB687" s="23"/>
      <c r="AC687" s="23"/>
      <c r="AD687" s="23"/>
      <c r="AE687" s="23" t="s">
        <v>731</v>
      </c>
      <c r="AF687" s="23" t="s">
        <v>731</v>
      </c>
      <c r="AG687" s="23" t="s">
        <v>731</v>
      </c>
      <c r="AH687" s="23" t="s">
        <v>731</v>
      </c>
      <c r="AI687" s="23" t="s">
        <v>731</v>
      </c>
      <c r="AJ687" s="23" t="s">
        <v>731</v>
      </c>
      <c r="AK687" s="23"/>
      <c r="AL687" s="23"/>
      <c r="AM687" s="23"/>
      <c r="AN687" s="23"/>
      <c r="AO687" s="23"/>
      <c r="AP687" s="23"/>
      <c r="AQ687" s="23"/>
      <c r="AR687" s="23"/>
      <c r="AS687" s="23"/>
      <c r="AT687" s="23"/>
      <c r="AU687" s="23"/>
      <c r="AV687" s="42">
        <v>10</v>
      </c>
      <c r="AY687" s="42"/>
      <c r="AZ687" s="42"/>
      <c r="BA687" s="20">
        <v>4</v>
      </c>
      <c r="BB687" s="45">
        <v>1</v>
      </c>
      <c r="BC687" s="41">
        <f>IF(AND((AV687/I687)&lt;2,BB687=1),(I687*2)-AV687,0)</f>
        <v>0</v>
      </c>
      <c r="BD687" s="41">
        <f>IF(AND((AV687/I687)&lt;3,BB687=2),(I687*3)-AV687,0)</f>
        <v>0</v>
      </c>
      <c r="BG687" s="41">
        <f>IF((AV687+AW687+AX687)&lt;20,(20-(AV687+AW687+AX687)),0)</f>
        <v>10</v>
      </c>
      <c r="BH687" s="18">
        <v>15</v>
      </c>
      <c r="BI687" s="18">
        <v>20</v>
      </c>
      <c r="BJ687" s="18">
        <v>21</v>
      </c>
      <c r="BK687" s="18">
        <v>15</v>
      </c>
      <c r="BL687" s="18">
        <v>17</v>
      </c>
      <c r="BM687" s="55">
        <f>SUM(AV687:AX687)+SUM(BC687:BD687)+SUM(BE687:BF687)+BG687</f>
        <v>20</v>
      </c>
      <c r="BN687" s="55"/>
      <c r="BO687" s="55"/>
      <c r="BP687" s="55"/>
      <c r="BQ687" s="55"/>
      <c r="BR687" s="55"/>
      <c r="BS687" s="55"/>
      <c r="BT687" s="55"/>
      <c r="BU687" s="55"/>
      <c r="BV687" s="55"/>
      <c r="BW687" s="55"/>
      <c r="BX687" s="55"/>
      <c r="BY687" s="55"/>
    </row>
    <row r="688" spans="2:77" ht="25.5">
      <c r="B688" s="89">
        <v>675</v>
      </c>
      <c r="C688" s="93">
        <v>402</v>
      </c>
      <c r="D688" s="93">
        <v>254</v>
      </c>
      <c r="E688" s="94">
        <v>0.26527777777777778</v>
      </c>
      <c r="F688" s="94">
        <v>0.28472222222222221</v>
      </c>
      <c r="G688" s="93" t="s">
        <v>410</v>
      </c>
      <c r="H688" s="93" t="s">
        <v>103</v>
      </c>
      <c r="I688" s="96">
        <v>15.5</v>
      </c>
      <c r="J688" s="97" t="s">
        <v>269</v>
      </c>
      <c r="K688" s="98">
        <v>174</v>
      </c>
      <c r="L688" s="109" t="s">
        <v>730</v>
      </c>
      <c r="M688" s="87" t="s">
        <v>875</v>
      </c>
      <c r="N688" s="87">
        <v>17</v>
      </c>
      <c r="O688" s="83" t="s">
        <v>1869</v>
      </c>
      <c r="P688" s="83">
        <v>18</v>
      </c>
      <c r="Q688" s="87"/>
      <c r="R688" s="84"/>
      <c r="S688" s="26">
        <v>4043</v>
      </c>
      <c r="T688" s="26" t="s">
        <v>1653</v>
      </c>
      <c r="U688" s="26">
        <v>1122</v>
      </c>
      <c r="V688" s="26" t="s">
        <v>1313</v>
      </c>
      <c r="W688" s="62">
        <v>44816</v>
      </c>
      <c r="X688" s="62">
        <v>45086</v>
      </c>
      <c r="Y688" s="62"/>
      <c r="Z688" s="62"/>
      <c r="AA688" s="22" t="s">
        <v>1102</v>
      </c>
      <c r="AB688" s="23"/>
      <c r="AC688" s="23"/>
      <c r="AD688" s="23"/>
      <c r="AE688" s="23" t="s">
        <v>731</v>
      </c>
      <c r="AF688" s="23" t="s">
        <v>731</v>
      </c>
      <c r="AG688" s="23" t="s">
        <v>731</v>
      </c>
      <c r="AH688" s="23" t="s">
        <v>731</v>
      </c>
      <c r="AI688" s="23" t="s">
        <v>731</v>
      </c>
      <c r="AJ688" s="23" t="s">
        <v>731</v>
      </c>
      <c r="AK688" s="23"/>
      <c r="AL688" s="23"/>
      <c r="AM688" s="23"/>
      <c r="AN688" s="23"/>
      <c r="AO688" s="23"/>
      <c r="AP688" s="23"/>
      <c r="AQ688" s="23"/>
      <c r="AR688" s="23"/>
      <c r="AS688" s="23"/>
      <c r="AT688" s="23"/>
      <c r="AU688" s="23"/>
      <c r="AV688" s="42">
        <v>38.75</v>
      </c>
      <c r="AY688" s="42"/>
      <c r="AZ688" s="42"/>
      <c r="BA688" s="20">
        <v>5</v>
      </c>
      <c r="BB688" s="45">
        <v>1</v>
      </c>
      <c r="BC688" s="41">
        <f>IF(AND((AV688/I688)&lt;2,BB688=1),(I688*2)-AV688,0)</f>
        <v>0</v>
      </c>
      <c r="BD688" s="41">
        <f>IF(AND((AV688/I688)&lt;3,BB688=2),(I688*3)-AV688,0)</f>
        <v>0</v>
      </c>
      <c r="BG688" s="41">
        <f>IF((AV688+AW688+AX688)&lt;20,(20-(AV688+AW688+AX688)),0)</f>
        <v>0</v>
      </c>
      <c r="BH688" s="18">
        <v>15</v>
      </c>
      <c r="BI688" s="18">
        <v>20</v>
      </c>
      <c r="BJ688" s="18">
        <v>21</v>
      </c>
      <c r="BK688" s="18">
        <v>15</v>
      </c>
      <c r="BL688" s="18">
        <v>17</v>
      </c>
      <c r="BM688" s="55">
        <f>SUM(AV688:AX688)+SUM(BC688:BD688)+SUM(BE688:BF688)+BG688</f>
        <v>38.75</v>
      </c>
      <c r="BN688" s="55"/>
      <c r="BO688" s="55"/>
      <c r="BP688" s="55"/>
      <c r="BQ688" s="55"/>
      <c r="BR688" s="55"/>
      <c r="BS688" s="55"/>
      <c r="BT688" s="55"/>
      <c r="BU688" s="55"/>
      <c r="BV688" s="55"/>
      <c r="BW688" s="55"/>
      <c r="BX688" s="55"/>
      <c r="BY688" s="55"/>
    </row>
    <row r="689" spans="2:77" ht="25.5">
      <c r="B689" s="89">
        <v>676</v>
      </c>
      <c r="C689" s="101">
        <v>402</v>
      </c>
      <c r="D689" s="101">
        <v>108</v>
      </c>
      <c r="E689" s="102">
        <v>0.51388888888888895</v>
      </c>
      <c r="F689" s="102">
        <v>0.54027777777777775</v>
      </c>
      <c r="G689" s="103" t="s">
        <v>24</v>
      </c>
      <c r="H689" s="93" t="s">
        <v>549</v>
      </c>
      <c r="I689" s="101">
        <v>18</v>
      </c>
      <c r="J689" s="104">
        <v>30</v>
      </c>
      <c r="K689" s="98">
        <v>13</v>
      </c>
      <c r="L689" s="109" t="s">
        <v>730</v>
      </c>
      <c r="M689" s="87" t="s">
        <v>876</v>
      </c>
      <c r="N689" s="87">
        <v>30</v>
      </c>
      <c r="O689" s="87" t="s">
        <v>1930</v>
      </c>
      <c r="P689" s="87">
        <v>36</v>
      </c>
      <c r="R689" s="87"/>
      <c r="S689" s="26">
        <v>1</v>
      </c>
      <c r="T689" s="26" t="s">
        <v>1309</v>
      </c>
      <c r="U689" s="26" t="s">
        <v>1439</v>
      </c>
      <c r="V689" s="26" t="s">
        <v>1440</v>
      </c>
      <c r="W689" s="63">
        <v>44562</v>
      </c>
      <c r="X689" s="63">
        <v>44815</v>
      </c>
      <c r="Y689" s="63">
        <v>45101</v>
      </c>
      <c r="Z689" s="63">
        <v>45169</v>
      </c>
      <c r="AA689" s="17" t="s">
        <v>1104</v>
      </c>
      <c r="AB689" s="23"/>
      <c r="AC689" s="23" t="s">
        <v>731</v>
      </c>
      <c r="AD689" s="23"/>
      <c r="AE689" s="23"/>
      <c r="AF689" s="23"/>
      <c r="AG689" s="23"/>
      <c r="AH689" s="23"/>
      <c r="AI689" s="23"/>
      <c r="AJ689" s="23"/>
      <c r="AK689" s="23"/>
      <c r="AL689" s="23" t="s">
        <v>731</v>
      </c>
      <c r="AM689" s="23"/>
      <c r="AN689" s="23"/>
      <c r="AO689" s="23"/>
      <c r="AP689" s="23"/>
      <c r="AQ689" s="23"/>
      <c r="AR689" s="23"/>
      <c r="AS689" s="23"/>
      <c r="AT689" s="23"/>
      <c r="AU689" s="23"/>
      <c r="AY689" s="20" t="s">
        <v>730</v>
      </c>
      <c r="AZ689" s="20"/>
      <c r="BB689" s="45">
        <v>1</v>
      </c>
      <c r="BD689" s="41"/>
      <c r="BG689" s="18"/>
      <c r="BH689" s="18">
        <v>2</v>
      </c>
      <c r="BI689" s="18">
        <v>0</v>
      </c>
      <c r="BJ689" s="18">
        <v>0</v>
      </c>
      <c r="BK689" s="18">
        <v>0</v>
      </c>
      <c r="BL689" s="18">
        <v>0</v>
      </c>
      <c r="BM689" s="55">
        <f>SUM(AV689:AX689)+SUM(BC689:BD689)+SUM(BE689:BF689)+BG689</f>
        <v>0</v>
      </c>
      <c r="BN689" s="27" t="s">
        <v>1104</v>
      </c>
      <c r="BO689" s="27">
        <v>2</v>
      </c>
      <c r="BP689" s="27"/>
      <c r="BQ689" s="77">
        <v>0</v>
      </c>
      <c r="BR689" s="77"/>
      <c r="BS689" s="77">
        <v>0</v>
      </c>
      <c r="BT689" s="77"/>
      <c r="BU689" s="77">
        <v>0</v>
      </c>
      <c r="BV689" s="77"/>
      <c r="BW689" s="77">
        <v>0</v>
      </c>
      <c r="BX689" s="77"/>
      <c r="BY689" s="55">
        <v>350</v>
      </c>
    </row>
    <row r="690" spans="2:77" ht="25.5">
      <c r="B690" s="89">
        <v>677</v>
      </c>
      <c r="C690" s="101">
        <v>402</v>
      </c>
      <c r="D690" s="101">
        <v>113</v>
      </c>
      <c r="E690" s="102">
        <v>0.56944444444444442</v>
      </c>
      <c r="F690" s="102">
        <v>0.59583333333333333</v>
      </c>
      <c r="G690" s="103" t="s">
        <v>15</v>
      </c>
      <c r="H690" s="93" t="s">
        <v>549</v>
      </c>
      <c r="I690" s="101">
        <v>18</v>
      </c>
      <c r="J690" s="104">
        <v>30</v>
      </c>
      <c r="K690" s="98">
        <v>13</v>
      </c>
      <c r="L690" s="109" t="s">
        <v>730</v>
      </c>
      <c r="M690" s="87" t="s">
        <v>876</v>
      </c>
      <c r="N690" s="87">
        <v>30</v>
      </c>
      <c r="O690" s="87" t="s">
        <v>1930</v>
      </c>
      <c r="P690" s="87">
        <v>36</v>
      </c>
      <c r="R690" s="87"/>
      <c r="S690" s="26" t="s">
        <v>1439</v>
      </c>
      <c r="T690" s="26" t="s">
        <v>1440</v>
      </c>
      <c r="U690" s="26">
        <v>1</v>
      </c>
      <c r="V690" s="26" t="s">
        <v>1312</v>
      </c>
      <c r="W690" s="63">
        <v>44562</v>
      </c>
      <c r="X690" s="63">
        <v>44815</v>
      </c>
      <c r="Y690" s="63">
        <v>45101</v>
      </c>
      <c r="Z690" s="63">
        <v>45169</v>
      </c>
      <c r="AA690" s="17" t="s">
        <v>1104</v>
      </c>
      <c r="AB690" s="23"/>
      <c r="AC690" s="23" t="s">
        <v>731</v>
      </c>
      <c r="AD690" s="23"/>
      <c r="AE690" s="23"/>
      <c r="AF690" s="23"/>
      <c r="AG690" s="23"/>
      <c r="AH690" s="23"/>
      <c r="AI690" s="23"/>
      <c r="AJ690" s="23"/>
      <c r="AK690" s="23"/>
      <c r="AL690" s="23" t="s">
        <v>731</v>
      </c>
      <c r="AM690" s="23"/>
      <c r="AN690" s="23"/>
      <c r="AO690" s="23"/>
      <c r="AP690" s="23"/>
      <c r="AQ690" s="23"/>
      <c r="AR690" s="23"/>
      <c r="AS690" s="23"/>
      <c r="AT690" s="23"/>
      <c r="AU690" s="23"/>
      <c r="AY690" s="20" t="s">
        <v>730</v>
      </c>
      <c r="AZ690" s="20"/>
      <c r="BB690" s="45">
        <v>1</v>
      </c>
      <c r="BD690" s="41"/>
      <c r="BG690" s="18"/>
      <c r="BH690" s="18">
        <v>2</v>
      </c>
      <c r="BI690" s="18">
        <v>0</v>
      </c>
      <c r="BJ690" s="18">
        <v>0</v>
      </c>
      <c r="BK690" s="18">
        <v>0</v>
      </c>
      <c r="BL690" s="18">
        <v>0</v>
      </c>
      <c r="BM690" s="55">
        <f>SUM(AV690:AX690)+SUM(BC690:BD690)+SUM(BE690:BF690)+BG690</f>
        <v>0</v>
      </c>
      <c r="BN690" s="55"/>
      <c r="BO690" s="55"/>
      <c r="BP690" s="55"/>
      <c r="BQ690" s="55"/>
      <c r="BR690" s="55"/>
      <c r="BS690" s="55"/>
      <c r="BT690" s="55"/>
      <c r="BU690" s="55"/>
      <c r="BV690" s="55"/>
      <c r="BW690" s="55"/>
      <c r="BX690" s="55"/>
      <c r="BY690" s="55"/>
    </row>
    <row r="691" spans="2:77" ht="45">
      <c r="B691" s="89">
        <v>678</v>
      </c>
      <c r="C691" s="101">
        <v>402</v>
      </c>
      <c r="D691" s="101">
        <v>639</v>
      </c>
      <c r="E691" s="102">
        <v>0.64930555555555558</v>
      </c>
      <c r="F691" s="108">
        <v>0.70347222222222217</v>
      </c>
      <c r="G691" s="103" t="s">
        <v>647</v>
      </c>
      <c r="H691" s="93" t="s">
        <v>103</v>
      </c>
      <c r="I691" s="101">
        <v>38.5</v>
      </c>
      <c r="J691" s="104">
        <v>50</v>
      </c>
      <c r="K691" s="98">
        <v>174</v>
      </c>
      <c r="L691" s="109" t="s">
        <v>758</v>
      </c>
      <c r="M691" s="87" t="s">
        <v>1261</v>
      </c>
      <c r="N691" s="87">
        <v>57</v>
      </c>
      <c r="O691" s="227" t="s">
        <v>2092</v>
      </c>
      <c r="P691" s="227">
        <v>55</v>
      </c>
      <c r="Q691" s="228" t="s">
        <v>2093</v>
      </c>
      <c r="R691" s="229" t="s">
        <v>2094</v>
      </c>
      <c r="S691" s="26">
        <v>1</v>
      </c>
      <c r="T691" s="26" t="s">
        <v>1309</v>
      </c>
      <c r="U691" s="26">
        <v>4070</v>
      </c>
      <c r="V691" s="26" t="s">
        <v>1433</v>
      </c>
      <c r="W691" s="62">
        <v>44816</v>
      </c>
      <c r="X691" s="62">
        <v>45086</v>
      </c>
      <c r="Y691" s="62"/>
      <c r="Z691" s="62"/>
      <c r="AA691" s="22" t="s">
        <v>1102</v>
      </c>
      <c r="AB691" s="23"/>
      <c r="AC691" s="23"/>
      <c r="AD691" s="23"/>
      <c r="AE691" s="23" t="s">
        <v>731</v>
      </c>
      <c r="AF691" s="23" t="s">
        <v>731</v>
      </c>
      <c r="AG691" s="23" t="s">
        <v>731</v>
      </c>
      <c r="AH691" s="23" t="s">
        <v>731</v>
      </c>
      <c r="AI691" s="23" t="s">
        <v>731</v>
      </c>
      <c r="AJ691" s="23" t="s">
        <v>731</v>
      </c>
      <c r="AK691" s="23"/>
      <c r="AL691" s="23"/>
      <c r="AM691" s="23"/>
      <c r="AN691" s="23"/>
      <c r="AO691" s="23"/>
      <c r="AP691" s="23"/>
      <c r="AQ691" s="23"/>
      <c r="AR691" s="23"/>
      <c r="AS691" s="23"/>
      <c r="AT691" s="23"/>
      <c r="AU691" s="23"/>
      <c r="AV691" s="44">
        <v>10.5</v>
      </c>
      <c r="AW691" s="44">
        <f>(1.9*35)</f>
        <v>66.5</v>
      </c>
      <c r="BB691" s="43">
        <v>2</v>
      </c>
      <c r="BC691" s="44"/>
      <c r="BD691" s="44"/>
      <c r="BE691" s="41">
        <f>IF(AND((AW691/I691)&lt;2,BB691=1),(I691*2)-AW691,0)</f>
        <v>0</v>
      </c>
      <c r="BF691" s="41">
        <f>IF(AND((AW691/I691)&lt;3,BB691=2),(I691*3)-(AW691+AV691),0)</f>
        <v>38.5</v>
      </c>
      <c r="BG691" s="18"/>
      <c r="BH691" s="18">
        <v>15</v>
      </c>
      <c r="BI691" s="18">
        <v>20</v>
      </c>
      <c r="BJ691" s="18">
        <v>21</v>
      </c>
      <c r="BK691" s="18">
        <v>15</v>
      </c>
      <c r="BL691" s="18">
        <v>17</v>
      </c>
      <c r="BM691" s="55">
        <f>SUM(AV691:AX691)+SUM(BC691:BD691)+SUM(BE691:BF691)+BG691</f>
        <v>115.5</v>
      </c>
      <c r="BN691" s="55"/>
      <c r="BO691" s="55"/>
      <c r="BP691" s="55"/>
      <c r="BQ691" s="55"/>
      <c r="BR691" s="55"/>
      <c r="BS691" s="55"/>
      <c r="BT691" s="55"/>
      <c r="BU691" s="55"/>
      <c r="BV691" s="55"/>
      <c r="BW691" s="55"/>
      <c r="BX691" s="55"/>
      <c r="BY691" s="55"/>
    </row>
    <row r="692" spans="2:77" ht="25.5">
      <c r="B692" s="89">
        <v>679</v>
      </c>
      <c r="C692" s="101">
        <v>403</v>
      </c>
      <c r="D692" s="101">
        <v>517</v>
      </c>
      <c r="E692" s="102">
        <v>0.74652777777777779</v>
      </c>
      <c r="F692" s="102">
        <v>0.78194444444444444</v>
      </c>
      <c r="G692" s="103" t="s">
        <v>15</v>
      </c>
      <c r="H692" s="93" t="s">
        <v>549</v>
      </c>
      <c r="I692" s="101">
        <v>25</v>
      </c>
      <c r="J692" s="104">
        <v>30</v>
      </c>
      <c r="K692" s="98">
        <v>13</v>
      </c>
      <c r="L692" s="109" t="s">
        <v>730</v>
      </c>
      <c r="M692" s="87" t="s">
        <v>876</v>
      </c>
      <c r="N692" s="87">
        <v>30</v>
      </c>
      <c r="O692" s="87" t="s">
        <v>1930</v>
      </c>
      <c r="P692" s="87">
        <v>36</v>
      </c>
      <c r="R692" s="87"/>
      <c r="S692" s="26" t="s">
        <v>1439</v>
      </c>
      <c r="T692" s="26" t="s">
        <v>1440</v>
      </c>
      <c r="U692" s="26">
        <v>1</v>
      </c>
      <c r="V692" s="26" t="s">
        <v>1312</v>
      </c>
      <c r="W692" s="63">
        <v>44562</v>
      </c>
      <c r="X692" s="63">
        <v>44815</v>
      </c>
      <c r="Y692" s="63">
        <v>45101</v>
      </c>
      <c r="Z692" s="63">
        <v>45169</v>
      </c>
      <c r="AA692" s="17" t="s">
        <v>1104</v>
      </c>
      <c r="AB692" s="23"/>
      <c r="AC692" s="23" t="s">
        <v>731</v>
      </c>
      <c r="AD692" s="23"/>
      <c r="AE692" s="23"/>
      <c r="AF692" s="23"/>
      <c r="AG692" s="23"/>
      <c r="AH692" s="23"/>
      <c r="AI692" s="23"/>
      <c r="AJ692" s="23"/>
      <c r="AK692" s="23"/>
      <c r="AL692" s="23" t="s">
        <v>731</v>
      </c>
      <c r="AM692" s="23"/>
      <c r="AN692" s="23"/>
      <c r="AO692" s="23"/>
      <c r="AP692" s="23"/>
      <c r="AQ692" s="23"/>
      <c r="AR692" s="23"/>
      <c r="AS692" s="23"/>
      <c r="AT692" s="23"/>
      <c r="AU692" s="23"/>
      <c r="AY692" s="20" t="s">
        <v>730</v>
      </c>
      <c r="AZ692" s="20"/>
      <c r="BB692" s="45">
        <v>1</v>
      </c>
      <c r="BD692" s="41"/>
      <c r="BG692" s="18"/>
      <c r="BH692" s="18">
        <v>2</v>
      </c>
      <c r="BI692" s="18">
        <v>0</v>
      </c>
      <c r="BJ692" s="18">
        <v>0</v>
      </c>
      <c r="BK692" s="18">
        <v>0</v>
      </c>
      <c r="BL692" s="18">
        <v>0</v>
      </c>
      <c r="BM692" s="55">
        <f>SUM(AV692:AX692)+SUM(BC692:BD692)+SUM(BE692:BF692)+BG692</f>
        <v>0</v>
      </c>
      <c r="BN692" s="55"/>
      <c r="BO692" s="55"/>
      <c r="BP692" s="55"/>
      <c r="BQ692" s="55"/>
      <c r="BR692" s="55"/>
      <c r="BS692" s="55"/>
      <c r="BT692" s="55"/>
      <c r="BU692" s="55"/>
      <c r="BV692" s="55"/>
      <c r="BW692" s="55"/>
      <c r="BX692" s="55"/>
      <c r="BY692" s="55"/>
    </row>
    <row r="693" spans="2:77" ht="25.5">
      <c r="B693" s="89">
        <v>680</v>
      </c>
      <c r="C693" s="93">
        <v>403</v>
      </c>
      <c r="D693" s="93">
        <v>410</v>
      </c>
      <c r="E693" s="94">
        <v>0.77430555555555547</v>
      </c>
      <c r="F693" s="94">
        <v>0.81111111111111101</v>
      </c>
      <c r="G693" s="93" t="s">
        <v>501</v>
      </c>
      <c r="H693" s="93" t="s">
        <v>549</v>
      </c>
      <c r="I693" s="96">
        <v>25</v>
      </c>
      <c r="J693" s="97" t="s">
        <v>406</v>
      </c>
      <c r="K693" s="98">
        <v>13</v>
      </c>
      <c r="L693" s="109" t="s">
        <v>744</v>
      </c>
      <c r="M693" s="87" t="s">
        <v>848</v>
      </c>
      <c r="N693" s="87">
        <v>42</v>
      </c>
      <c r="O693" s="83" t="s">
        <v>1924</v>
      </c>
      <c r="P693" s="87">
        <v>45</v>
      </c>
      <c r="Q693" s="83" t="s">
        <v>1217</v>
      </c>
      <c r="R693" s="85">
        <v>48</v>
      </c>
      <c r="S693" s="26">
        <v>1</v>
      </c>
      <c r="T693" s="26" t="s">
        <v>1309</v>
      </c>
      <c r="U693" s="26" t="s">
        <v>1439</v>
      </c>
      <c r="V693" s="26" t="s">
        <v>1440</v>
      </c>
      <c r="W693" s="63">
        <v>44562</v>
      </c>
      <c r="X693" s="63">
        <v>44815</v>
      </c>
      <c r="Y693" s="63">
        <v>45101</v>
      </c>
      <c r="Z693" s="63">
        <v>45169</v>
      </c>
      <c r="AA693" s="17" t="s">
        <v>1104</v>
      </c>
      <c r="AB693" s="23"/>
      <c r="AC693" s="23" t="s">
        <v>731</v>
      </c>
      <c r="AD693" s="23"/>
      <c r="AE693" s="23"/>
      <c r="AF693" s="23"/>
      <c r="AG693" s="23"/>
      <c r="AH693" s="23"/>
      <c r="AI693" s="23"/>
      <c r="AJ693" s="23"/>
      <c r="AK693" s="23"/>
      <c r="AL693" s="23" t="s">
        <v>731</v>
      </c>
      <c r="AM693" s="23"/>
      <c r="AN693" s="23"/>
      <c r="AO693" s="23"/>
      <c r="AP693" s="23"/>
      <c r="AQ693" s="23"/>
      <c r="AR693" s="23"/>
      <c r="AS693" s="23"/>
      <c r="AT693" s="23"/>
      <c r="AU693" s="23"/>
      <c r="AV693" s="42">
        <v>75</v>
      </c>
      <c r="AY693" s="42"/>
      <c r="AZ693" s="42"/>
      <c r="BB693" s="43">
        <v>2</v>
      </c>
      <c r="BC693" s="41">
        <f>IF(AND((AV693/I693)&lt;2,BB693=1),(I693*2)-AV693,0)</f>
        <v>0</v>
      </c>
      <c r="BD693" s="41">
        <f>IF(AND((AV693/I693)&lt;3,BB693=2),(I693*3)-AV693,0)</f>
        <v>0</v>
      </c>
      <c r="BG693" s="18"/>
      <c r="BH693" s="18">
        <v>2</v>
      </c>
      <c r="BI693" s="18">
        <v>0</v>
      </c>
      <c r="BJ693" s="18">
        <v>0</v>
      </c>
      <c r="BK693" s="18">
        <v>0</v>
      </c>
      <c r="BL693" s="18">
        <v>0</v>
      </c>
      <c r="BM693" s="55">
        <f>SUM(AV693:AX693)+SUM(BC693:BD693)+SUM(BE693:BF693)+BG693</f>
        <v>75</v>
      </c>
      <c r="BN693" s="55"/>
      <c r="BO693" s="55"/>
      <c r="BP693" s="55"/>
      <c r="BQ693" s="55"/>
      <c r="BR693" s="55"/>
      <c r="BS693" s="55"/>
      <c r="BT693" s="55"/>
      <c r="BU693" s="55"/>
      <c r="BV693" s="55"/>
      <c r="BW693" s="55"/>
      <c r="BX693" s="55"/>
      <c r="BY693" s="55"/>
    </row>
    <row r="694" spans="2:77" ht="25.5">
      <c r="B694" s="89">
        <v>681</v>
      </c>
      <c r="C694" s="93">
        <v>404</v>
      </c>
      <c r="D694" s="93">
        <v>633</v>
      </c>
      <c r="E694" s="94">
        <v>0.28125</v>
      </c>
      <c r="F694" s="94">
        <v>0.28888888888888892</v>
      </c>
      <c r="G694" s="93" t="s">
        <v>174</v>
      </c>
      <c r="H694" s="93" t="s">
        <v>97</v>
      </c>
      <c r="I694" s="96">
        <v>3.5</v>
      </c>
      <c r="J694" s="97" t="s">
        <v>173</v>
      </c>
      <c r="K694" s="98">
        <v>208</v>
      </c>
      <c r="L694" s="109" t="s">
        <v>730</v>
      </c>
      <c r="M694" s="87" t="s">
        <v>877</v>
      </c>
      <c r="N694" s="87">
        <v>9</v>
      </c>
      <c r="O694" s="87" t="s">
        <v>1923</v>
      </c>
      <c r="P694" s="87">
        <v>5</v>
      </c>
      <c r="Q694" s="87" t="s">
        <v>878</v>
      </c>
      <c r="R694" s="87">
        <v>9</v>
      </c>
      <c r="S694" s="26">
        <v>4037</v>
      </c>
      <c r="T694" s="26" t="s">
        <v>1654</v>
      </c>
      <c r="U694" s="26" t="s">
        <v>1439</v>
      </c>
      <c r="V694" s="26" t="s">
        <v>1440</v>
      </c>
      <c r="W694" s="62">
        <v>44816</v>
      </c>
      <c r="X694" s="62">
        <v>45086</v>
      </c>
      <c r="Y694" s="62"/>
      <c r="Z694" s="62"/>
      <c r="AA694" s="22" t="s">
        <v>1106</v>
      </c>
      <c r="AB694" s="23"/>
      <c r="AC694" s="23"/>
      <c r="AD694" s="23"/>
      <c r="AE694" s="23" t="s">
        <v>731</v>
      </c>
      <c r="AF694" s="23" t="s">
        <v>731</v>
      </c>
      <c r="AG694" s="23" t="s">
        <v>731</v>
      </c>
      <c r="AH694" s="23" t="s">
        <v>731</v>
      </c>
      <c r="AI694" s="23" t="s">
        <v>731</v>
      </c>
      <c r="AJ694" s="23" t="s">
        <v>731</v>
      </c>
      <c r="AK694" s="23" t="s">
        <v>731</v>
      </c>
      <c r="AL694" s="23"/>
      <c r="AM694" s="23"/>
      <c r="AN694" s="23"/>
      <c r="AO694" s="23"/>
      <c r="AP694" s="23"/>
      <c r="AQ694" s="23"/>
      <c r="AR694" s="23"/>
      <c r="AS694" s="23"/>
      <c r="AT694" s="23"/>
      <c r="AU694" s="23"/>
      <c r="AV694" s="42">
        <v>10</v>
      </c>
      <c r="AY694" s="42"/>
      <c r="AZ694" s="42"/>
      <c r="BA694" s="20">
        <v>6</v>
      </c>
      <c r="BB694" s="45">
        <v>1</v>
      </c>
      <c r="BC694" s="41">
        <f>IF(AND((AV694/I694)&lt;2,BB694=1),(I694*2)-AV694,0)</f>
        <v>0</v>
      </c>
      <c r="BD694" s="41">
        <f>IF(AND((AV694/I694)&lt;3,BB694=2),(I694*3)-AV694,0)</f>
        <v>0</v>
      </c>
      <c r="BG694" s="41">
        <f>IF((AV694+AW694+AX694)&lt;20,(20-(AV694+AW694+AX694)),0)</f>
        <v>10</v>
      </c>
      <c r="BH694" s="18">
        <v>17</v>
      </c>
      <c r="BI694" s="18">
        <v>25</v>
      </c>
      <c r="BJ694" s="18">
        <v>25</v>
      </c>
      <c r="BK694" s="18">
        <v>18</v>
      </c>
      <c r="BL694" s="18">
        <v>20</v>
      </c>
      <c r="BM694" s="55">
        <f>SUM(AV694:AX694)+SUM(BC694:BD694)+SUM(BE694:BF694)+BG694</f>
        <v>20</v>
      </c>
      <c r="BN694" s="55"/>
      <c r="BO694" s="55"/>
      <c r="BP694" s="55"/>
      <c r="BQ694" s="55"/>
      <c r="BR694" s="55"/>
      <c r="BS694" s="55"/>
      <c r="BT694" s="55"/>
      <c r="BU694" s="55"/>
      <c r="BV694" s="55"/>
      <c r="BW694" s="55"/>
      <c r="BX694" s="55"/>
      <c r="BY694" s="55"/>
    </row>
    <row r="695" spans="2:77" ht="25.5">
      <c r="B695" s="89">
        <v>682</v>
      </c>
      <c r="C695" s="93">
        <v>404</v>
      </c>
      <c r="D695" s="93">
        <v>638</v>
      </c>
      <c r="E695" s="94">
        <v>0.54861111111111105</v>
      </c>
      <c r="F695" s="94">
        <v>0.55625000000000002</v>
      </c>
      <c r="G695" s="93" t="s">
        <v>310</v>
      </c>
      <c r="H695" s="93" t="s">
        <v>648</v>
      </c>
      <c r="I695" s="96">
        <v>3.5</v>
      </c>
      <c r="J695" s="97" t="s">
        <v>116</v>
      </c>
      <c r="K695" s="98">
        <v>34</v>
      </c>
      <c r="L695" s="109" t="s">
        <v>730</v>
      </c>
      <c r="M695" s="87" t="s">
        <v>877</v>
      </c>
      <c r="N695" s="87">
        <v>9</v>
      </c>
      <c r="O695" s="87" t="s">
        <v>878</v>
      </c>
      <c r="P695" s="87">
        <v>9</v>
      </c>
      <c r="Q695" s="87" t="s">
        <v>1923</v>
      </c>
      <c r="R695" s="87">
        <v>5</v>
      </c>
      <c r="S695" s="26" t="s">
        <v>1439</v>
      </c>
      <c r="T695" s="26" t="s">
        <v>1440</v>
      </c>
      <c r="U695" s="26">
        <v>4037</v>
      </c>
      <c r="V695" s="26" t="s">
        <v>1654</v>
      </c>
      <c r="W695" s="62">
        <v>44816</v>
      </c>
      <c r="X695" s="62">
        <v>45086</v>
      </c>
      <c r="Y695" s="62"/>
      <c r="Z695" s="62"/>
      <c r="AA695" s="26" t="s">
        <v>1111</v>
      </c>
      <c r="AB695" s="23"/>
      <c r="AC695" s="23"/>
      <c r="AD695" s="23"/>
      <c r="AE695" s="23" t="s">
        <v>731</v>
      </c>
      <c r="AF695" s="23"/>
      <c r="AG695" s="23"/>
      <c r="AH695" s="23"/>
      <c r="AI695" s="23"/>
      <c r="AJ695" s="23"/>
      <c r="AK695" s="23" t="s">
        <v>731</v>
      </c>
      <c r="AL695" s="23"/>
      <c r="AM695" s="23"/>
      <c r="AN695" s="23"/>
      <c r="AO695" s="23"/>
      <c r="AP695" s="23"/>
      <c r="AQ695" s="23"/>
      <c r="AR695" s="23"/>
      <c r="AS695" s="23"/>
      <c r="AT695" s="23"/>
      <c r="AU695" s="23"/>
      <c r="AV695" s="42">
        <v>6.3</v>
      </c>
      <c r="AY695" s="42"/>
      <c r="AZ695" s="42"/>
      <c r="BA695" s="20">
        <v>7</v>
      </c>
      <c r="BB695" s="45">
        <v>1</v>
      </c>
      <c r="BC695" s="44"/>
      <c r="BD695" s="44"/>
      <c r="BG695" s="18"/>
      <c r="BH695" s="18">
        <v>2</v>
      </c>
      <c r="BI695" s="18">
        <v>5</v>
      </c>
      <c r="BJ695" s="18">
        <v>4</v>
      </c>
      <c r="BK695" s="18">
        <v>3</v>
      </c>
      <c r="BL695" s="18">
        <v>3</v>
      </c>
      <c r="BM695" s="55">
        <f>SUM(AV695:AX695)+SUM(BC695:BD695)+SUM(BE695:BF695)+BG695</f>
        <v>6.3</v>
      </c>
      <c r="BN695" s="55"/>
      <c r="BO695" s="55"/>
      <c r="BP695" s="55"/>
      <c r="BQ695" s="55"/>
      <c r="BR695" s="55"/>
      <c r="BS695" s="55"/>
      <c r="BT695" s="55"/>
      <c r="BU695" s="55"/>
      <c r="BV695" s="55"/>
      <c r="BW695" s="55"/>
      <c r="BX695" s="55"/>
      <c r="BY695" s="55"/>
    </row>
    <row r="696" spans="2:77" ht="25.5">
      <c r="B696" s="89">
        <v>683</v>
      </c>
      <c r="C696" s="93">
        <v>404</v>
      </c>
      <c r="D696" s="93">
        <v>635</v>
      </c>
      <c r="E696" s="94">
        <v>0.55972222222222223</v>
      </c>
      <c r="F696" s="105">
        <v>0.56736111111111109</v>
      </c>
      <c r="G696" s="93" t="s">
        <v>174</v>
      </c>
      <c r="H696" s="93" t="s">
        <v>648</v>
      </c>
      <c r="I696" s="96">
        <v>4.5</v>
      </c>
      <c r="J696" s="97" t="s">
        <v>116</v>
      </c>
      <c r="K696" s="98">
        <v>34</v>
      </c>
      <c r="L696" s="109" t="s">
        <v>730</v>
      </c>
      <c r="M696" s="87" t="s">
        <v>877</v>
      </c>
      <c r="N696" s="87">
        <v>9</v>
      </c>
      <c r="O696" s="87" t="s">
        <v>878</v>
      </c>
      <c r="P696" s="87">
        <v>9</v>
      </c>
      <c r="Q696" s="87" t="s">
        <v>1923</v>
      </c>
      <c r="R696" s="87">
        <v>5</v>
      </c>
      <c r="S696" s="26">
        <v>4037</v>
      </c>
      <c r="T696" s="26" t="s">
        <v>1654</v>
      </c>
      <c r="U696" s="26" t="s">
        <v>1439</v>
      </c>
      <c r="V696" s="26" t="s">
        <v>1440</v>
      </c>
      <c r="W696" s="62">
        <v>44816</v>
      </c>
      <c r="X696" s="62">
        <v>45086</v>
      </c>
      <c r="Y696" s="62"/>
      <c r="Z696" s="62"/>
      <c r="AA696" s="26" t="s">
        <v>1111</v>
      </c>
      <c r="AB696" s="23"/>
      <c r="AC696" s="23"/>
      <c r="AD696" s="23"/>
      <c r="AE696" s="23" t="s">
        <v>731</v>
      </c>
      <c r="AF696" s="23"/>
      <c r="AG696" s="23"/>
      <c r="AH696" s="23"/>
      <c r="AI696" s="23"/>
      <c r="AJ696" s="23"/>
      <c r="AK696" s="23" t="s">
        <v>731</v>
      </c>
      <c r="AL696" s="23"/>
      <c r="AM696" s="23"/>
      <c r="AN696" s="23"/>
      <c r="AO696" s="23"/>
      <c r="AP696" s="23"/>
      <c r="AQ696" s="23"/>
      <c r="AR696" s="23"/>
      <c r="AS696" s="23"/>
      <c r="AT696" s="23"/>
      <c r="AU696" s="23"/>
      <c r="AV696" s="42">
        <v>6.3</v>
      </c>
      <c r="AY696" s="42"/>
      <c r="AZ696" s="42"/>
      <c r="BA696" s="20">
        <v>8</v>
      </c>
      <c r="BB696" s="45">
        <v>1</v>
      </c>
      <c r="BC696" s="44"/>
      <c r="BD696" s="44"/>
      <c r="BG696" s="18"/>
      <c r="BH696" s="18">
        <v>2</v>
      </c>
      <c r="BI696" s="18">
        <v>5</v>
      </c>
      <c r="BJ696" s="18">
        <v>4</v>
      </c>
      <c r="BK696" s="18">
        <v>3</v>
      </c>
      <c r="BL696" s="18">
        <v>3</v>
      </c>
      <c r="BM696" s="55">
        <f>SUM(AV696:AX696)+SUM(BC696:BD696)+SUM(BE696:BF696)+BG696</f>
        <v>6.3</v>
      </c>
      <c r="BN696" s="55"/>
      <c r="BO696" s="55"/>
      <c r="BP696" s="55"/>
      <c r="BQ696" s="55"/>
      <c r="BR696" s="55"/>
      <c r="BS696" s="55"/>
      <c r="BT696" s="55"/>
      <c r="BU696" s="55"/>
      <c r="BV696" s="55"/>
      <c r="BW696" s="55"/>
      <c r="BX696" s="55"/>
      <c r="BY696" s="55"/>
    </row>
    <row r="697" spans="2:77" ht="25.5">
      <c r="B697" s="89">
        <v>684</v>
      </c>
      <c r="C697" s="93">
        <v>404</v>
      </c>
      <c r="D697" s="93">
        <v>640</v>
      </c>
      <c r="E697" s="94">
        <v>0.58680555555555558</v>
      </c>
      <c r="F697" s="94">
        <v>0.59444444444444444</v>
      </c>
      <c r="G697" s="93" t="s">
        <v>310</v>
      </c>
      <c r="H697" s="93" t="s">
        <v>103</v>
      </c>
      <c r="I697" s="96">
        <v>3.5</v>
      </c>
      <c r="J697" s="97" t="s">
        <v>116</v>
      </c>
      <c r="K697" s="98">
        <v>174</v>
      </c>
      <c r="L697" s="109" t="s">
        <v>730</v>
      </c>
      <c r="M697" s="87" t="s">
        <v>877</v>
      </c>
      <c r="N697" s="87">
        <v>9</v>
      </c>
      <c r="O697" s="87" t="s">
        <v>878</v>
      </c>
      <c r="P697" s="87">
        <v>9</v>
      </c>
      <c r="Q697" s="87" t="s">
        <v>1923</v>
      </c>
      <c r="R697" s="87">
        <v>5</v>
      </c>
      <c r="S697" s="26" t="s">
        <v>1439</v>
      </c>
      <c r="T697" s="26" t="s">
        <v>1440</v>
      </c>
      <c r="U697" s="26">
        <v>4037</v>
      </c>
      <c r="V697" s="26" t="s">
        <v>1654</v>
      </c>
      <c r="W697" s="62">
        <v>44816</v>
      </c>
      <c r="X697" s="62">
        <v>45086</v>
      </c>
      <c r="Y697" s="62"/>
      <c r="Z697" s="62"/>
      <c r="AA697" s="22" t="s">
        <v>1102</v>
      </c>
      <c r="AB697" s="23"/>
      <c r="AC697" s="23"/>
      <c r="AD697" s="23"/>
      <c r="AE697" s="23" t="s">
        <v>731</v>
      </c>
      <c r="AF697" s="23" t="s">
        <v>731</v>
      </c>
      <c r="AG697" s="23" t="s">
        <v>731</v>
      </c>
      <c r="AH697" s="23" t="s">
        <v>731</v>
      </c>
      <c r="AI697" s="23" t="s">
        <v>731</v>
      </c>
      <c r="AJ697" s="23" t="s">
        <v>731</v>
      </c>
      <c r="AK697" s="23"/>
      <c r="AL697" s="23"/>
      <c r="AM697" s="23"/>
      <c r="AN697" s="23"/>
      <c r="AO697" s="23"/>
      <c r="AP697" s="23"/>
      <c r="AQ697" s="23"/>
      <c r="AR697" s="23"/>
      <c r="AS697" s="23"/>
      <c r="AT697" s="23"/>
      <c r="AU697" s="23"/>
      <c r="AV697" s="42">
        <v>6.3</v>
      </c>
      <c r="AY697" s="42"/>
      <c r="AZ697" s="42"/>
      <c r="BA697" s="20">
        <v>9</v>
      </c>
      <c r="BB697" s="45">
        <v>1</v>
      </c>
      <c r="BC697" s="44"/>
      <c r="BD697" s="44"/>
      <c r="BG697" s="18"/>
      <c r="BH697" s="18">
        <v>15</v>
      </c>
      <c r="BI697" s="18">
        <v>20</v>
      </c>
      <c r="BJ697" s="18">
        <v>21</v>
      </c>
      <c r="BK697" s="18">
        <v>15</v>
      </c>
      <c r="BL697" s="18">
        <v>17</v>
      </c>
      <c r="BM697" s="55">
        <f>SUM(AV697:AX697)+SUM(BC697:BD697)+SUM(BE697:BF697)+BG697</f>
        <v>6.3</v>
      </c>
      <c r="BN697" s="55"/>
      <c r="BO697" s="55"/>
      <c r="BP697" s="55"/>
      <c r="BQ697" s="55"/>
      <c r="BR697" s="55"/>
      <c r="BS697" s="55"/>
      <c r="BT697" s="55"/>
      <c r="BU697" s="55"/>
      <c r="BV697" s="55"/>
      <c r="BW697" s="55"/>
      <c r="BX697" s="55"/>
      <c r="BY697" s="55"/>
    </row>
    <row r="698" spans="2:77" ht="25.5">
      <c r="B698" s="89">
        <v>685</v>
      </c>
      <c r="C698" s="93">
        <v>404</v>
      </c>
      <c r="D698" s="93">
        <v>637</v>
      </c>
      <c r="E698" s="94">
        <v>0.59444444444444444</v>
      </c>
      <c r="F698" s="94">
        <v>0.6020833333333333</v>
      </c>
      <c r="G698" s="93" t="s">
        <v>174</v>
      </c>
      <c r="H698" s="93" t="s">
        <v>103</v>
      </c>
      <c r="I698" s="96">
        <v>3.5</v>
      </c>
      <c r="J698" s="97" t="s">
        <v>116</v>
      </c>
      <c r="K698" s="98">
        <v>174</v>
      </c>
      <c r="L698" s="109" t="s">
        <v>730</v>
      </c>
      <c r="M698" s="87" t="s">
        <v>877</v>
      </c>
      <c r="N698" s="87">
        <v>9</v>
      </c>
      <c r="O698" s="87" t="s">
        <v>878</v>
      </c>
      <c r="P698" s="87">
        <v>9</v>
      </c>
      <c r="Q698" s="87" t="s">
        <v>1923</v>
      </c>
      <c r="R698" s="87">
        <v>5</v>
      </c>
      <c r="S698" s="26">
        <v>4037</v>
      </c>
      <c r="T698" s="26" t="s">
        <v>1654</v>
      </c>
      <c r="U698" s="26" t="s">
        <v>1439</v>
      </c>
      <c r="V698" s="26" t="s">
        <v>1440</v>
      </c>
      <c r="W698" s="62">
        <v>44816</v>
      </c>
      <c r="X698" s="62">
        <v>45086</v>
      </c>
      <c r="Y698" s="62"/>
      <c r="Z698" s="62"/>
      <c r="AA698" s="22" t="s">
        <v>1102</v>
      </c>
      <c r="AB698" s="23"/>
      <c r="AC698" s="23"/>
      <c r="AD698" s="23"/>
      <c r="AE698" s="23" t="s">
        <v>731</v>
      </c>
      <c r="AF698" s="23" t="s">
        <v>731</v>
      </c>
      <c r="AG698" s="23" t="s">
        <v>731</v>
      </c>
      <c r="AH698" s="23" t="s">
        <v>731</v>
      </c>
      <c r="AI698" s="23" t="s">
        <v>731</v>
      </c>
      <c r="AJ698" s="23" t="s">
        <v>731</v>
      </c>
      <c r="AK698" s="23"/>
      <c r="AL698" s="23"/>
      <c r="AM698" s="23"/>
      <c r="AN698" s="23"/>
      <c r="AO698" s="23"/>
      <c r="AP698" s="23"/>
      <c r="AQ698" s="23"/>
      <c r="AR698" s="23"/>
      <c r="AS698" s="23"/>
      <c r="AT698" s="23"/>
      <c r="AU698" s="23"/>
      <c r="AV698" s="42">
        <v>6.3</v>
      </c>
      <c r="AY698" s="42"/>
      <c r="AZ698" s="42"/>
      <c r="BA698" s="20">
        <v>10</v>
      </c>
      <c r="BB698" s="45">
        <v>1</v>
      </c>
      <c r="BC698" s="44"/>
      <c r="BD698" s="44"/>
      <c r="BG698" s="18"/>
      <c r="BH698" s="18">
        <v>15</v>
      </c>
      <c r="BI698" s="18">
        <v>20</v>
      </c>
      <c r="BJ698" s="18">
        <v>21</v>
      </c>
      <c r="BK698" s="18">
        <v>15</v>
      </c>
      <c r="BL698" s="18">
        <v>17</v>
      </c>
      <c r="BM698" s="55">
        <f>SUM(AV698:AX698)+SUM(BC698:BD698)+SUM(BE698:BF698)+BG698</f>
        <v>6.3</v>
      </c>
      <c r="BN698" s="55"/>
      <c r="BO698" s="55"/>
      <c r="BP698" s="55"/>
      <c r="BQ698" s="55"/>
      <c r="BR698" s="55"/>
      <c r="BS698" s="55"/>
      <c r="BT698" s="55"/>
      <c r="BU698" s="55"/>
      <c r="BV698" s="55"/>
      <c r="BW698" s="55"/>
      <c r="BX698" s="55"/>
      <c r="BY698" s="55"/>
    </row>
    <row r="699" spans="2:77" ht="25.5">
      <c r="B699" s="89">
        <v>686</v>
      </c>
      <c r="C699" s="101">
        <v>406</v>
      </c>
      <c r="D699" s="101">
        <v>27</v>
      </c>
      <c r="E699" s="102">
        <v>0.29166666666666669</v>
      </c>
      <c r="F699" s="102">
        <v>0.32291666666666669</v>
      </c>
      <c r="G699" s="103" t="s">
        <v>85</v>
      </c>
      <c r="H699" s="93" t="s">
        <v>508</v>
      </c>
      <c r="I699" s="101">
        <v>19</v>
      </c>
      <c r="J699" s="104">
        <v>19</v>
      </c>
      <c r="K699" s="98">
        <v>12</v>
      </c>
      <c r="L699" s="109" t="s">
        <v>767</v>
      </c>
      <c r="M699" s="152" t="s">
        <v>890</v>
      </c>
      <c r="N699" s="152">
        <v>33</v>
      </c>
      <c r="O699" s="83" t="s">
        <v>1921</v>
      </c>
      <c r="P699" s="87">
        <v>34</v>
      </c>
      <c r="S699" s="26">
        <v>4497</v>
      </c>
      <c r="T699" s="26" t="s">
        <v>1655</v>
      </c>
      <c r="U699" s="26">
        <v>4400</v>
      </c>
      <c r="V699" s="26" t="s">
        <v>1652</v>
      </c>
      <c r="W699" s="63">
        <v>44562</v>
      </c>
      <c r="X699" s="63">
        <v>44815</v>
      </c>
      <c r="Y699" s="63">
        <v>45101</v>
      </c>
      <c r="Z699" s="63">
        <v>45169</v>
      </c>
      <c r="AA699" s="22" t="s">
        <v>1119</v>
      </c>
      <c r="AB699" s="23"/>
      <c r="AC699" s="23" t="s">
        <v>731</v>
      </c>
      <c r="AD699" s="23" t="s">
        <v>731</v>
      </c>
      <c r="AE699" s="23"/>
      <c r="AF699" s="23"/>
      <c r="AG699" s="23"/>
      <c r="AH699" s="23"/>
      <c r="AI699" s="23"/>
      <c r="AJ699" s="23"/>
      <c r="AK699" s="23" t="s">
        <v>731</v>
      </c>
      <c r="AL699" s="23"/>
      <c r="AM699" s="23"/>
      <c r="AN699" s="23"/>
      <c r="AO699" s="23"/>
      <c r="AP699" s="23"/>
      <c r="AQ699" s="23"/>
      <c r="AR699" s="23"/>
      <c r="AS699" s="23"/>
      <c r="AT699" s="23"/>
      <c r="AU699" s="23"/>
      <c r="AY699" s="19" t="s">
        <v>1003</v>
      </c>
      <c r="AZ699" s="20"/>
      <c r="BB699" s="45">
        <v>1</v>
      </c>
      <c r="BD699" s="41"/>
      <c r="BG699" s="18"/>
      <c r="BH699" s="18">
        <v>2</v>
      </c>
      <c r="BI699" s="18">
        <v>0</v>
      </c>
      <c r="BJ699" s="18">
        <v>0</v>
      </c>
      <c r="BK699" s="18">
        <v>0</v>
      </c>
      <c r="BL699" s="18">
        <v>0</v>
      </c>
      <c r="BM699" s="55">
        <f>SUM(AV699:AX699)+SUM(BC699:BD699)+SUM(BE699:BF699)+BG699</f>
        <v>0</v>
      </c>
      <c r="BN699" s="55" t="s">
        <v>1107</v>
      </c>
      <c r="BO699" s="77">
        <v>9</v>
      </c>
      <c r="BP699" s="77"/>
      <c r="BQ699" s="77">
        <v>0</v>
      </c>
      <c r="BR699" s="77"/>
      <c r="BS699" s="77">
        <v>0</v>
      </c>
      <c r="BT699" s="77"/>
      <c r="BU699" s="77">
        <v>0</v>
      </c>
      <c r="BV699" s="77"/>
      <c r="BW699" s="77">
        <v>0</v>
      </c>
      <c r="BX699" s="77"/>
      <c r="BY699" s="55">
        <v>165</v>
      </c>
    </row>
    <row r="700" spans="2:77" ht="25.5">
      <c r="B700" s="89">
        <v>687</v>
      </c>
      <c r="C700" s="101">
        <v>407</v>
      </c>
      <c r="D700" s="101">
        <v>74</v>
      </c>
      <c r="E700" s="102">
        <v>0.72222222222222221</v>
      </c>
      <c r="F700" s="102">
        <v>0.73958333333333337</v>
      </c>
      <c r="G700" s="103" t="s">
        <v>87</v>
      </c>
      <c r="H700" s="93" t="s">
        <v>424</v>
      </c>
      <c r="I700" s="101">
        <v>8</v>
      </c>
      <c r="J700" s="104">
        <v>30</v>
      </c>
      <c r="K700" s="98">
        <v>55</v>
      </c>
      <c r="L700" s="109" t="s">
        <v>767</v>
      </c>
      <c r="M700" s="83" t="s">
        <v>890</v>
      </c>
      <c r="N700" s="83">
        <v>33</v>
      </c>
      <c r="O700" s="83" t="s">
        <v>1921</v>
      </c>
      <c r="P700" s="87">
        <v>34</v>
      </c>
      <c r="R700" s="83"/>
      <c r="S700" s="26">
        <v>4400</v>
      </c>
      <c r="T700" s="26" t="s">
        <v>1652</v>
      </c>
      <c r="U700" s="26">
        <v>4464</v>
      </c>
      <c r="V700" s="26" t="s">
        <v>1656</v>
      </c>
      <c r="W700" s="63">
        <v>44562</v>
      </c>
      <c r="X700" s="63">
        <v>44815</v>
      </c>
      <c r="Y700" s="63">
        <v>45101</v>
      </c>
      <c r="Z700" s="63">
        <v>45169</v>
      </c>
      <c r="AA700" s="22" t="s">
        <v>1109</v>
      </c>
      <c r="AB700" s="23"/>
      <c r="AC700" s="23" t="s">
        <v>731</v>
      </c>
      <c r="AD700" s="23" t="s">
        <v>731</v>
      </c>
      <c r="AE700" s="23"/>
      <c r="AF700" s="23" t="s">
        <v>731</v>
      </c>
      <c r="AG700" s="23" t="s">
        <v>731</v>
      </c>
      <c r="AH700" s="23" t="s">
        <v>731</v>
      </c>
      <c r="AI700" s="23" t="s">
        <v>731</v>
      </c>
      <c r="AJ700" s="23" t="s">
        <v>731</v>
      </c>
      <c r="AK700" s="23"/>
      <c r="AL700" s="23"/>
      <c r="AM700" s="23"/>
      <c r="AN700" s="23"/>
      <c r="AO700" s="23"/>
      <c r="AP700" s="23"/>
      <c r="AQ700" s="23"/>
      <c r="AR700" s="23"/>
      <c r="AS700" s="23"/>
      <c r="AT700" s="23"/>
      <c r="AU700" s="23"/>
      <c r="AY700" s="19" t="s">
        <v>1003</v>
      </c>
      <c r="AZ700" s="20"/>
      <c r="BB700" s="45">
        <v>1</v>
      </c>
      <c r="BD700" s="41"/>
      <c r="BG700" s="18"/>
      <c r="BH700" s="18">
        <v>7</v>
      </c>
      <c r="BI700" s="18">
        <v>0</v>
      </c>
      <c r="BJ700" s="18">
        <v>0</v>
      </c>
      <c r="BK700" s="18">
        <v>0</v>
      </c>
      <c r="BL700" s="18">
        <v>0</v>
      </c>
      <c r="BM700" s="55">
        <f>SUM(AV700:AX700)+SUM(BC700:BD700)+SUM(BE700:BF700)+BG700</f>
        <v>0</v>
      </c>
      <c r="BN700" s="55"/>
      <c r="BO700" s="55"/>
      <c r="BP700" s="55"/>
      <c r="BQ700" s="55"/>
      <c r="BR700" s="55"/>
      <c r="BS700" s="55"/>
      <c r="BT700" s="55"/>
      <c r="BU700" s="55"/>
      <c r="BV700" s="55"/>
      <c r="BW700" s="55"/>
      <c r="BX700" s="55"/>
      <c r="BY700" s="55"/>
    </row>
    <row r="701" spans="2:77" ht="25.5">
      <c r="B701" s="89">
        <v>688</v>
      </c>
      <c r="C701" s="101">
        <v>407</v>
      </c>
      <c r="D701" s="101">
        <v>75</v>
      </c>
      <c r="E701" s="102">
        <v>0.74305555555555547</v>
      </c>
      <c r="F701" s="102">
        <v>0.75694444444444453</v>
      </c>
      <c r="G701" s="103" t="s">
        <v>86</v>
      </c>
      <c r="H701" s="93" t="s">
        <v>424</v>
      </c>
      <c r="I701" s="101">
        <v>8</v>
      </c>
      <c r="J701" s="104">
        <v>30</v>
      </c>
      <c r="K701" s="98">
        <v>55</v>
      </c>
      <c r="L701" s="109" t="s">
        <v>767</v>
      </c>
      <c r="M701" s="87" t="s">
        <v>890</v>
      </c>
      <c r="N701" s="87">
        <v>33</v>
      </c>
      <c r="O701" s="83" t="s">
        <v>1921</v>
      </c>
      <c r="P701" s="87">
        <v>34</v>
      </c>
      <c r="R701" s="87"/>
      <c r="S701" s="26">
        <v>4464</v>
      </c>
      <c r="T701" s="26" t="s">
        <v>1656</v>
      </c>
      <c r="U701" s="26">
        <v>4400</v>
      </c>
      <c r="V701" s="26" t="s">
        <v>1652</v>
      </c>
      <c r="W701" s="63">
        <v>44562</v>
      </c>
      <c r="X701" s="63">
        <v>44815</v>
      </c>
      <c r="Y701" s="63">
        <v>45101</v>
      </c>
      <c r="Z701" s="63">
        <v>45169</v>
      </c>
      <c r="AA701" s="22" t="s">
        <v>1109</v>
      </c>
      <c r="AB701" s="23"/>
      <c r="AC701" s="23" t="s">
        <v>731</v>
      </c>
      <c r="AD701" s="23" t="s">
        <v>731</v>
      </c>
      <c r="AE701" s="23"/>
      <c r="AF701" s="23" t="s">
        <v>731</v>
      </c>
      <c r="AG701" s="23" t="s">
        <v>731</v>
      </c>
      <c r="AH701" s="23" t="s">
        <v>731</v>
      </c>
      <c r="AI701" s="23" t="s">
        <v>731</v>
      </c>
      <c r="AJ701" s="23" t="s">
        <v>731</v>
      </c>
      <c r="AK701" s="23"/>
      <c r="AL701" s="23"/>
      <c r="AM701" s="23"/>
      <c r="AN701" s="23"/>
      <c r="AO701" s="23"/>
      <c r="AP701" s="23"/>
      <c r="AQ701" s="23"/>
      <c r="AR701" s="23"/>
      <c r="AS701" s="23"/>
      <c r="AT701" s="23"/>
      <c r="AU701" s="23"/>
      <c r="AY701" s="19" t="s">
        <v>1003</v>
      </c>
      <c r="AZ701" s="20"/>
      <c r="BB701" s="45">
        <v>1</v>
      </c>
      <c r="BD701" s="41"/>
      <c r="BG701" s="18"/>
      <c r="BH701" s="18">
        <v>7</v>
      </c>
      <c r="BI701" s="18">
        <v>0</v>
      </c>
      <c r="BJ701" s="18">
        <v>0</v>
      </c>
      <c r="BK701" s="18">
        <v>0</v>
      </c>
      <c r="BL701" s="18">
        <v>0</v>
      </c>
      <c r="BM701" s="55">
        <f>SUM(AV701:AX701)+SUM(BC701:BD701)+SUM(BE701:BF701)+BG701</f>
        <v>0</v>
      </c>
      <c r="BN701" s="55"/>
      <c r="BO701" s="55"/>
      <c r="BP701" s="55"/>
      <c r="BQ701" s="55"/>
      <c r="BR701" s="55"/>
      <c r="BS701" s="55"/>
      <c r="BT701" s="55"/>
      <c r="BU701" s="55"/>
      <c r="BV701" s="55"/>
      <c r="BW701" s="55"/>
      <c r="BX701" s="55"/>
      <c r="BY701" s="55"/>
    </row>
    <row r="702" spans="2:77" ht="25.5">
      <c r="B702" s="89">
        <v>689</v>
      </c>
      <c r="C702" s="101">
        <v>407</v>
      </c>
      <c r="D702" s="101">
        <v>79</v>
      </c>
      <c r="E702" s="102">
        <v>0.79513888888888884</v>
      </c>
      <c r="F702" s="102">
        <v>0.80902777777777779</v>
      </c>
      <c r="G702" s="103" t="s">
        <v>84</v>
      </c>
      <c r="H702" s="93" t="s">
        <v>203</v>
      </c>
      <c r="I702" s="101">
        <v>8</v>
      </c>
      <c r="J702" s="104">
        <v>19</v>
      </c>
      <c r="K702" s="98">
        <v>202</v>
      </c>
      <c r="L702" s="109" t="s">
        <v>770</v>
      </c>
      <c r="M702" s="83" t="s">
        <v>829</v>
      </c>
      <c r="N702" s="83">
        <v>21</v>
      </c>
      <c r="O702" s="83" t="s">
        <v>1232</v>
      </c>
      <c r="P702" s="83">
        <v>21</v>
      </c>
      <c r="Q702" s="141"/>
      <c r="R702" s="83"/>
      <c r="S702" s="26">
        <v>4400</v>
      </c>
      <c r="T702" s="26" t="s">
        <v>1652</v>
      </c>
      <c r="U702" s="26">
        <v>4464</v>
      </c>
      <c r="V702" s="26" t="s">
        <v>1656</v>
      </c>
      <c r="W702" s="63">
        <v>44816</v>
      </c>
      <c r="X702" s="63">
        <v>45100</v>
      </c>
      <c r="Y702" s="63"/>
      <c r="Z702" s="63"/>
      <c r="AA702" s="22" t="s">
        <v>1108</v>
      </c>
      <c r="AB702" s="23" t="s">
        <v>731</v>
      </c>
      <c r="AC702" s="23"/>
      <c r="AD702" s="23" t="s">
        <v>731</v>
      </c>
      <c r="AE702" s="23"/>
      <c r="AF702" s="23" t="s">
        <v>731</v>
      </c>
      <c r="AG702" s="23" t="s">
        <v>731</v>
      </c>
      <c r="AH702" s="23" t="s">
        <v>731</v>
      </c>
      <c r="AI702" s="23" t="s">
        <v>731</v>
      </c>
      <c r="AJ702" s="23" t="s">
        <v>731</v>
      </c>
      <c r="AK702" s="23"/>
      <c r="AL702" s="23"/>
      <c r="AM702" s="23"/>
      <c r="AN702" s="23"/>
      <c r="AO702" s="23"/>
      <c r="AP702" s="23"/>
      <c r="AQ702" s="23"/>
      <c r="AR702" s="23"/>
      <c r="AS702" s="23"/>
      <c r="AT702" s="23"/>
      <c r="AU702" s="23"/>
      <c r="AW702" s="42">
        <f>1.9*8</f>
        <v>15.2</v>
      </c>
      <c r="BB702" s="45">
        <v>1</v>
      </c>
      <c r="BD702" s="41"/>
      <c r="BE702" s="41">
        <f>IF(AND((AW702/I702)&lt;2,BB702=1),(I702*2)-AW702,0)</f>
        <v>0.80000000000000071</v>
      </c>
      <c r="BF702" s="41">
        <f>IF(AND((AW702/I702)&lt;3,BB702=2),(I702*3)-AW702,0)</f>
        <v>0</v>
      </c>
      <c r="BG702" s="18"/>
      <c r="BH702" s="18">
        <v>15</v>
      </c>
      <c r="BI702" s="18">
        <v>21</v>
      </c>
      <c r="BJ702" s="18">
        <v>21</v>
      </c>
      <c r="BK702" s="18">
        <v>20</v>
      </c>
      <c r="BL702" s="18">
        <v>21</v>
      </c>
      <c r="BM702" s="55">
        <f>SUM(AV702:AX702)+SUM(BC702:BD702)+SUM(BE702:BF702)+BG702</f>
        <v>16</v>
      </c>
      <c r="BN702" s="55"/>
      <c r="BO702" s="55"/>
      <c r="BP702" s="55"/>
      <c r="BQ702" s="55"/>
      <c r="BR702" s="55"/>
      <c r="BS702" s="55"/>
      <c r="BT702" s="55"/>
      <c r="BU702" s="55"/>
      <c r="BV702" s="55"/>
      <c r="BW702" s="55"/>
      <c r="BX702" s="55"/>
      <c r="BY702" s="55"/>
    </row>
    <row r="703" spans="2:77" ht="25.5">
      <c r="B703" s="89">
        <v>690</v>
      </c>
      <c r="C703" s="101">
        <v>408</v>
      </c>
      <c r="D703" s="101">
        <v>36</v>
      </c>
      <c r="E703" s="102">
        <v>0.30902777777777779</v>
      </c>
      <c r="F703" s="102">
        <v>0.31319444444444444</v>
      </c>
      <c r="G703" s="103" t="s">
        <v>81</v>
      </c>
      <c r="H703" s="93" t="s">
        <v>97</v>
      </c>
      <c r="I703" s="101">
        <v>3</v>
      </c>
      <c r="J703" s="104">
        <v>40</v>
      </c>
      <c r="K703" s="98">
        <v>208</v>
      </c>
      <c r="L703" s="109" t="s">
        <v>768</v>
      </c>
      <c r="M703" s="87" t="s">
        <v>891</v>
      </c>
      <c r="N703" s="87">
        <v>61</v>
      </c>
      <c r="O703" s="87" t="s">
        <v>1903</v>
      </c>
      <c r="P703" s="87">
        <v>62</v>
      </c>
      <c r="Q703" s="152" t="s">
        <v>890</v>
      </c>
      <c r="R703" s="152">
        <v>33</v>
      </c>
      <c r="S703" s="26">
        <v>4400</v>
      </c>
      <c r="T703" s="26" t="s">
        <v>1652</v>
      </c>
      <c r="U703" s="26">
        <v>4410</v>
      </c>
      <c r="V703" s="26" t="s">
        <v>1657</v>
      </c>
      <c r="W703" s="62">
        <v>44816</v>
      </c>
      <c r="X703" s="62">
        <v>45086</v>
      </c>
      <c r="Y703" s="62"/>
      <c r="Z703" s="62"/>
      <c r="AA703" s="22" t="s">
        <v>1106</v>
      </c>
      <c r="AB703" s="23"/>
      <c r="AC703" s="23"/>
      <c r="AD703" s="23"/>
      <c r="AE703" s="23" t="s">
        <v>731</v>
      </c>
      <c r="AF703" s="23" t="s">
        <v>731</v>
      </c>
      <c r="AG703" s="23" t="s">
        <v>731</v>
      </c>
      <c r="AH703" s="23" t="s">
        <v>731</v>
      </c>
      <c r="AI703" s="23" t="s">
        <v>731</v>
      </c>
      <c r="AJ703" s="23" t="s">
        <v>731</v>
      </c>
      <c r="AK703" s="23" t="s">
        <v>731</v>
      </c>
      <c r="AL703" s="23"/>
      <c r="AM703" s="23"/>
      <c r="AN703" s="23"/>
      <c r="AO703" s="23"/>
      <c r="AP703" s="23"/>
      <c r="AQ703" s="23"/>
      <c r="AR703" s="23"/>
      <c r="AS703" s="23"/>
      <c r="AT703" s="23"/>
      <c r="AU703" s="23"/>
      <c r="AY703" s="19" t="s">
        <v>1002</v>
      </c>
      <c r="AZ703" s="20"/>
      <c r="BB703" s="43">
        <v>2</v>
      </c>
      <c r="BD703" s="41"/>
      <c r="BG703" s="18"/>
      <c r="BH703" s="18">
        <v>17</v>
      </c>
      <c r="BI703" s="18">
        <v>25</v>
      </c>
      <c r="BJ703" s="18">
        <v>25</v>
      </c>
      <c r="BK703" s="18">
        <v>18</v>
      </c>
      <c r="BL703" s="18">
        <v>20</v>
      </c>
      <c r="BM703" s="55">
        <f>SUM(AV703:AX703)+SUM(BC703:BD703)+SUM(BE703:BF703)+BG703</f>
        <v>0</v>
      </c>
      <c r="BN703" s="55"/>
      <c r="BO703" s="55"/>
      <c r="BP703" s="55"/>
      <c r="BQ703" s="55"/>
      <c r="BR703" s="55"/>
      <c r="BS703" s="55"/>
      <c r="BT703" s="55"/>
      <c r="BU703" s="55"/>
      <c r="BV703" s="55"/>
      <c r="BW703" s="55"/>
      <c r="BX703" s="55"/>
      <c r="BY703" s="55"/>
    </row>
    <row r="704" spans="2:77" ht="25.5">
      <c r="B704" s="89">
        <v>691</v>
      </c>
      <c r="C704" s="101">
        <v>408</v>
      </c>
      <c r="D704" s="101">
        <v>36</v>
      </c>
      <c r="E704" s="102">
        <v>0.30902777777777779</v>
      </c>
      <c r="F704" s="102">
        <v>0.31319444444444444</v>
      </c>
      <c r="G704" s="103" t="s">
        <v>81</v>
      </c>
      <c r="H704" s="93" t="s">
        <v>39</v>
      </c>
      <c r="I704" s="101">
        <v>3</v>
      </c>
      <c r="J704" s="104">
        <v>19</v>
      </c>
      <c r="K704" s="98">
        <v>29</v>
      </c>
      <c r="L704" s="109" t="s">
        <v>768</v>
      </c>
      <c r="M704" s="87" t="s">
        <v>891</v>
      </c>
      <c r="N704" s="87">
        <v>61</v>
      </c>
      <c r="O704" s="87" t="s">
        <v>1903</v>
      </c>
      <c r="P704" s="87">
        <v>62</v>
      </c>
      <c r="Q704" s="152" t="s">
        <v>890</v>
      </c>
      <c r="R704" s="152">
        <v>33</v>
      </c>
      <c r="S704" s="26">
        <v>4400</v>
      </c>
      <c r="T704" s="26" t="s">
        <v>1652</v>
      </c>
      <c r="U704" s="26">
        <v>4410</v>
      </c>
      <c r="V704" s="26" t="s">
        <v>1657</v>
      </c>
      <c r="W704" s="63">
        <v>44816</v>
      </c>
      <c r="X704" s="63">
        <v>45100</v>
      </c>
      <c r="Y704" s="63"/>
      <c r="Z704" s="63"/>
      <c r="AA704" s="22" t="s">
        <v>1110</v>
      </c>
      <c r="AB704" s="23" t="s">
        <v>731</v>
      </c>
      <c r="AC704" s="23"/>
      <c r="AD704" s="23" t="s">
        <v>731</v>
      </c>
      <c r="AE704" s="23"/>
      <c r="AF704" s="23"/>
      <c r="AG704" s="23"/>
      <c r="AH704" s="23"/>
      <c r="AI704" s="23"/>
      <c r="AJ704" s="23"/>
      <c r="AK704" s="23"/>
      <c r="AL704" s="23"/>
      <c r="AM704" s="23"/>
      <c r="AN704" s="23"/>
      <c r="AO704" s="23"/>
      <c r="AP704" s="23" t="s">
        <v>731</v>
      </c>
      <c r="AQ704" s="23" t="s">
        <v>731</v>
      </c>
      <c r="AR704" s="23" t="s">
        <v>731</v>
      </c>
      <c r="AS704" s="23" t="s">
        <v>731</v>
      </c>
      <c r="AT704" s="23" t="s">
        <v>731</v>
      </c>
      <c r="AU704" s="23" t="s">
        <v>731</v>
      </c>
      <c r="AY704" s="19" t="s">
        <v>1173</v>
      </c>
      <c r="AZ704" s="20"/>
      <c r="BB704" s="45">
        <v>1</v>
      </c>
      <c r="BD704" s="41"/>
      <c r="BG704" s="18"/>
      <c r="BH704" s="18">
        <v>0</v>
      </c>
      <c r="BI704" s="18">
        <v>1</v>
      </c>
      <c r="BJ704" s="18">
        <v>0</v>
      </c>
      <c r="BK704" s="18">
        <v>7</v>
      </c>
      <c r="BL704" s="18">
        <v>5</v>
      </c>
      <c r="BM704" s="55">
        <f>SUM(AV704:AX704)+SUM(BC704:BD704)+SUM(BE704:BF704)+BG704</f>
        <v>0</v>
      </c>
      <c r="BN704" s="55"/>
      <c r="BO704" s="55"/>
      <c r="BP704" s="55"/>
      <c r="BQ704" s="55"/>
      <c r="BR704" s="55"/>
      <c r="BS704" s="55"/>
      <c r="BT704" s="55"/>
      <c r="BU704" s="55"/>
      <c r="BV704" s="55"/>
      <c r="BW704" s="55"/>
      <c r="BX704" s="55"/>
      <c r="BY704" s="55"/>
    </row>
    <row r="705" spans="1:77" ht="25.5">
      <c r="B705" s="89">
        <v>692</v>
      </c>
      <c r="C705" s="101">
        <v>408</v>
      </c>
      <c r="D705" s="101">
        <v>41</v>
      </c>
      <c r="E705" s="102">
        <v>0.31388888888888888</v>
      </c>
      <c r="F705" s="108">
        <v>0.31805555555555554</v>
      </c>
      <c r="G705" s="103" t="s">
        <v>80</v>
      </c>
      <c r="H705" s="93" t="s">
        <v>97</v>
      </c>
      <c r="I705" s="101">
        <v>3</v>
      </c>
      <c r="J705" s="104">
        <v>40</v>
      </c>
      <c r="K705" s="98">
        <v>208</v>
      </c>
      <c r="L705" s="109" t="s">
        <v>768</v>
      </c>
      <c r="M705" s="87" t="s">
        <v>891</v>
      </c>
      <c r="N705" s="87">
        <v>61</v>
      </c>
      <c r="O705" s="87" t="s">
        <v>1903</v>
      </c>
      <c r="P705" s="87">
        <v>62</v>
      </c>
      <c r="Q705" s="152" t="s">
        <v>890</v>
      </c>
      <c r="R705" s="152">
        <v>33</v>
      </c>
      <c r="S705" s="26">
        <v>4410</v>
      </c>
      <c r="T705" s="26" t="s">
        <v>1657</v>
      </c>
      <c r="U705" s="26">
        <v>4400</v>
      </c>
      <c r="V705" s="26" t="s">
        <v>1652</v>
      </c>
      <c r="W705" s="62">
        <v>44816</v>
      </c>
      <c r="X705" s="62">
        <v>45086</v>
      </c>
      <c r="Y705" s="62"/>
      <c r="Z705" s="62"/>
      <c r="AA705" s="22" t="s">
        <v>1106</v>
      </c>
      <c r="AB705" s="23"/>
      <c r="AC705" s="23"/>
      <c r="AD705" s="23"/>
      <c r="AE705" s="23" t="s">
        <v>731</v>
      </c>
      <c r="AF705" s="23" t="s">
        <v>731</v>
      </c>
      <c r="AG705" s="23" t="s">
        <v>731</v>
      </c>
      <c r="AH705" s="23" t="s">
        <v>731</v>
      </c>
      <c r="AI705" s="23" t="s">
        <v>731</v>
      </c>
      <c r="AJ705" s="23" t="s">
        <v>731</v>
      </c>
      <c r="AK705" s="23" t="s">
        <v>731</v>
      </c>
      <c r="AL705" s="23"/>
      <c r="AM705" s="23"/>
      <c r="AN705" s="23"/>
      <c r="AO705" s="23"/>
      <c r="AP705" s="23"/>
      <c r="AQ705" s="23"/>
      <c r="AR705" s="23"/>
      <c r="AS705" s="23"/>
      <c r="AT705" s="23"/>
      <c r="AU705" s="23"/>
      <c r="AY705" s="19" t="s">
        <v>1002</v>
      </c>
      <c r="AZ705" s="20"/>
      <c r="BB705" s="43">
        <v>2</v>
      </c>
      <c r="BD705" s="41"/>
      <c r="BG705" s="18"/>
      <c r="BH705" s="18">
        <v>17</v>
      </c>
      <c r="BI705" s="18">
        <v>25</v>
      </c>
      <c r="BJ705" s="18">
        <v>25</v>
      </c>
      <c r="BK705" s="18">
        <v>18</v>
      </c>
      <c r="BL705" s="18">
        <v>20</v>
      </c>
      <c r="BM705" s="55">
        <f>SUM(AV705:AX705)+SUM(BC705:BD705)+SUM(BE705:BF705)+BG705</f>
        <v>0</v>
      </c>
      <c r="BN705" s="55"/>
      <c r="BO705" s="55"/>
      <c r="BP705" s="55"/>
      <c r="BQ705" s="55"/>
      <c r="BR705" s="55"/>
      <c r="BS705" s="55"/>
      <c r="BT705" s="55"/>
      <c r="BU705" s="55"/>
      <c r="BV705" s="55"/>
      <c r="BW705" s="55"/>
      <c r="BX705" s="55"/>
      <c r="BY705" s="55"/>
    </row>
    <row r="706" spans="1:77" ht="25.5">
      <c r="B706" s="89">
        <v>693</v>
      </c>
      <c r="C706" s="101">
        <v>408</v>
      </c>
      <c r="D706" s="101">
        <v>41</v>
      </c>
      <c r="E706" s="102">
        <v>0.31388888888888888</v>
      </c>
      <c r="F706" s="108">
        <v>0.31805555555555554</v>
      </c>
      <c r="G706" s="103" t="s">
        <v>80</v>
      </c>
      <c r="H706" s="93" t="s">
        <v>39</v>
      </c>
      <c r="I706" s="101">
        <v>3</v>
      </c>
      <c r="J706" s="104">
        <v>19</v>
      </c>
      <c r="K706" s="98">
        <v>29</v>
      </c>
      <c r="L706" s="109" t="s">
        <v>768</v>
      </c>
      <c r="M706" s="87" t="s">
        <v>891</v>
      </c>
      <c r="N706" s="87">
        <v>61</v>
      </c>
      <c r="O706" s="87" t="s">
        <v>1903</v>
      </c>
      <c r="P706" s="87">
        <v>62</v>
      </c>
      <c r="Q706" s="152" t="s">
        <v>890</v>
      </c>
      <c r="R706" s="152">
        <v>33</v>
      </c>
      <c r="S706" s="26">
        <v>4410</v>
      </c>
      <c r="T706" s="26" t="s">
        <v>1657</v>
      </c>
      <c r="U706" s="26">
        <v>4400</v>
      </c>
      <c r="V706" s="26" t="s">
        <v>1652</v>
      </c>
      <c r="W706" s="63">
        <v>44816</v>
      </c>
      <c r="X706" s="63">
        <v>45100</v>
      </c>
      <c r="Y706" s="63"/>
      <c r="Z706" s="63"/>
      <c r="AA706" s="22" t="s">
        <v>1110</v>
      </c>
      <c r="AB706" s="23" t="s">
        <v>731</v>
      </c>
      <c r="AC706" s="23"/>
      <c r="AD706" s="23" t="s">
        <v>731</v>
      </c>
      <c r="AE706" s="23"/>
      <c r="AF706" s="23"/>
      <c r="AG706" s="23"/>
      <c r="AH706" s="23"/>
      <c r="AI706" s="23"/>
      <c r="AJ706" s="23"/>
      <c r="AK706" s="23"/>
      <c r="AL706" s="23"/>
      <c r="AM706" s="23"/>
      <c r="AN706" s="23"/>
      <c r="AO706" s="23"/>
      <c r="AP706" s="23" t="s">
        <v>731</v>
      </c>
      <c r="AQ706" s="23" t="s">
        <v>731</v>
      </c>
      <c r="AR706" s="23" t="s">
        <v>731</v>
      </c>
      <c r="AS706" s="23" t="s">
        <v>731</v>
      </c>
      <c r="AT706" s="23" t="s">
        <v>731</v>
      </c>
      <c r="AU706" s="23" t="s">
        <v>731</v>
      </c>
      <c r="AY706" s="19" t="s">
        <v>1173</v>
      </c>
      <c r="AZ706" s="20"/>
      <c r="BB706" s="45">
        <v>1</v>
      </c>
      <c r="BD706" s="41"/>
      <c r="BG706" s="18"/>
      <c r="BH706" s="18">
        <v>0</v>
      </c>
      <c r="BI706" s="18">
        <v>1</v>
      </c>
      <c r="BJ706" s="18">
        <v>0</v>
      </c>
      <c r="BK706" s="18">
        <v>7</v>
      </c>
      <c r="BL706" s="18">
        <v>5</v>
      </c>
      <c r="BM706" s="55">
        <f>SUM(AV706:AX706)+SUM(BC706:BD706)+SUM(BE706:BF706)+BG706</f>
        <v>0</v>
      </c>
      <c r="BN706" s="55"/>
      <c r="BO706" s="55"/>
      <c r="BP706" s="55"/>
      <c r="BQ706" s="55"/>
      <c r="BR706" s="55"/>
      <c r="BS706" s="55"/>
      <c r="BT706" s="55"/>
      <c r="BU706" s="55"/>
      <c r="BV706" s="55"/>
      <c r="BW706" s="55"/>
      <c r="BX706" s="55"/>
      <c r="BY706" s="55"/>
    </row>
    <row r="707" spans="1:77" ht="25.5">
      <c r="B707" s="89">
        <v>694</v>
      </c>
      <c r="C707" s="93">
        <v>409</v>
      </c>
      <c r="D707" s="93">
        <v>613</v>
      </c>
      <c r="E707" s="94">
        <v>0.3888888888888889</v>
      </c>
      <c r="F707" s="94">
        <v>0.41666666666666669</v>
      </c>
      <c r="G707" s="93" t="s">
        <v>340</v>
      </c>
      <c r="H707" s="93" t="s">
        <v>108</v>
      </c>
      <c r="I707" s="96">
        <v>20</v>
      </c>
      <c r="J707" s="97" t="s">
        <v>146</v>
      </c>
      <c r="K707" s="98">
        <v>52</v>
      </c>
      <c r="L707" s="109" t="s">
        <v>744</v>
      </c>
      <c r="M707" s="87" t="s">
        <v>850</v>
      </c>
      <c r="N707" s="87">
        <v>17</v>
      </c>
      <c r="O707" s="87" t="s">
        <v>849</v>
      </c>
      <c r="P707" s="87">
        <v>21</v>
      </c>
      <c r="Q707" s="87"/>
      <c r="R707" s="87"/>
      <c r="S707" s="26">
        <v>4442</v>
      </c>
      <c r="T707" s="26" t="s">
        <v>1658</v>
      </c>
      <c r="U707" s="26" t="s">
        <v>1650</v>
      </c>
      <c r="V707" s="26" t="s">
        <v>1651</v>
      </c>
      <c r="W707" s="62">
        <v>44805</v>
      </c>
      <c r="X707" s="62">
        <v>45169</v>
      </c>
      <c r="Y707" s="62"/>
      <c r="Z707" s="62"/>
      <c r="AA707" s="23" t="s">
        <v>1125</v>
      </c>
      <c r="AB707" s="23" t="s">
        <v>731</v>
      </c>
      <c r="AC707" s="23" t="s">
        <v>731</v>
      </c>
      <c r="AD707" s="23" t="s">
        <v>731</v>
      </c>
      <c r="AE707" s="23"/>
      <c r="AF707" s="23"/>
      <c r="AG707" s="23"/>
      <c r="AH707" s="23" t="s">
        <v>731</v>
      </c>
      <c r="AI707" s="23"/>
      <c r="AJ707" s="23"/>
      <c r="AK707" s="23"/>
      <c r="AL707" s="23"/>
      <c r="AM707" s="23"/>
      <c r="AN707" s="23"/>
      <c r="AO707" s="23"/>
      <c r="AP707" s="23"/>
      <c r="AQ707" s="23"/>
      <c r="AR707" s="23"/>
      <c r="AS707" s="23"/>
      <c r="AT707" s="23"/>
      <c r="AU707" s="23"/>
      <c r="AV707" s="42">
        <v>69.95</v>
      </c>
      <c r="AY707" s="42"/>
      <c r="AZ707" s="42"/>
      <c r="BB707" s="45">
        <v>1</v>
      </c>
      <c r="BC707" s="41">
        <f>IF(AND((AV707/I707)&lt;2,BB707=1),(I707*2)-AV707,0)</f>
        <v>0</v>
      </c>
      <c r="BD707" s="41">
        <f>IF(AND((AV707/I707)&lt;3,BB707=2),(I707*3)-AV707,0)</f>
        <v>0</v>
      </c>
      <c r="BG707" s="18"/>
      <c r="BH707" s="18">
        <v>4</v>
      </c>
      <c r="BI707" s="18">
        <v>4</v>
      </c>
      <c r="BJ707" s="18">
        <v>5</v>
      </c>
      <c r="BK707" s="18">
        <v>4</v>
      </c>
      <c r="BL707" s="18">
        <v>4</v>
      </c>
      <c r="BM707" s="55">
        <f>SUM(AV707:AX707)+SUM(BC707:BD707)+SUM(BE707:BF707)+BG707</f>
        <v>69.95</v>
      </c>
      <c r="BN707" s="55"/>
      <c r="BO707" s="55"/>
      <c r="BP707" s="55"/>
      <c r="BQ707" s="55"/>
      <c r="BR707" s="55"/>
      <c r="BS707" s="55"/>
      <c r="BT707" s="55"/>
      <c r="BU707" s="55"/>
      <c r="BV707" s="55"/>
      <c r="BW707" s="55"/>
      <c r="BX707" s="55"/>
      <c r="BY707" s="55"/>
    </row>
    <row r="708" spans="1:77" ht="25.5">
      <c r="B708" s="89">
        <v>695</v>
      </c>
      <c r="C708" s="93">
        <v>409</v>
      </c>
      <c r="D708" s="93">
        <v>612</v>
      </c>
      <c r="E708" s="94">
        <v>0.46875</v>
      </c>
      <c r="F708" s="94">
        <v>0.49652777777777773</v>
      </c>
      <c r="G708" s="93" t="s">
        <v>339</v>
      </c>
      <c r="H708" s="93" t="s">
        <v>108</v>
      </c>
      <c r="I708" s="96">
        <v>20</v>
      </c>
      <c r="J708" s="97" t="s">
        <v>146</v>
      </c>
      <c r="K708" s="98">
        <v>52</v>
      </c>
      <c r="L708" s="109" t="s">
        <v>744</v>
      </c>
      <c r="M708" s="87" t="s">
        <v>850</v>
      </c>
      <c r="N708" s="87">
        <v>17</v>
      </c>
      <c r="O708" s="87" t="s">
        <v>849</v>
      </c>
      <c r="P708" s="87">
        <v>21</v>
      </c>
      <c r="Q708" s="87"/>
      <c r="R708" s="87"/>
      <c r="S708" s="26" t="s">
        <v>1650</v>
      </c>
      <c r="T708" s="26" t="s">
        <v>1651</v>
      </c>
      <c r="U708" s="26">
        <v>4442</v>
      </c>
      <c r="V708" s="26" t="s">
        <v>1658</v>
      </c>
      <c r="W708" s="62">
        <v>44805</v>
      </c>
      <c r="X708" s="62">
        <v>45169</v>
      </c>
      <c r="Y708" s="62"/>
      <c r="Z708" s="62"/>
      <c r="AA708" s="23" t="s">
        <v>1125</v>
      </c>
      <c r="AB708" s="23" t="s">
        <v>731</v>
      </c>
      <c r="AC708" s="23" t="s">
        <v>731</v>
      </c>
      <c r="AD708" s="23" t="s">
        <v>731</v>
      </c>
      <c r="AE708" s="23"/>
      <c r="AF708" s="23"/>
      <c r="AG708" s="23"/>
      <c r="AH708" s="23" t="s">
        <v>731</v>
      </c>
      <c r="AI708" s="23"/>
      <c r="AJ708" s="23"/>
      <c r="AK708" s="23"/>
      <c r="AL708" s="23"/>
      <c r="AM708" s="23"/>
      <c r="AN708" s="23"/>
      <c r="AO708" s="23"/>
      <c r="AP708" s="23"/>
      <c r="AQ708" s="23"/>
      <c r="AR708" s="23"/>
      <c r="AS708" s="23"/>
      <c r="AT708" s="23"/>
      <c r="AU708" s="23"/>
      <c r="AV708" s="42">
        <v>69.95</v>
      </c>
      <c r="AY708" s="42"/>
      <c r="AZ708" s="42"/>
      <c r="BB708" s="45">
        <v>1</v>
      </c>
      <c r="BC708" s="41">
        <f>IF(AND((AV708/I708)&lt;2,BB708=1),(I708*2)-AV708,0)</f>
        <v>0</v>
      </c>
      <c r="BD708" s="41">
        <f>IF(AND((AV708/I708)&lt;3,BB708=2),(I708*3)-AV708,0)</f>
        <v>0</v>
      </c>
      <c r="BG708" s="18"/>
      <c r="BH708" s="18">
        <v>4</v>
      </c>
      <c r="BI708" s="18">
        <v>4</v>
      </c>
      <c r="BJ708" s="18">
        <v>5</v>
      </c>
      <c r="BK708" s="18">
        <v>4</v>
      </c>
      <c r="BL708" s="18">
        <v>4</v>
      </c>
      <c r="BM708" s="55">
        <f>SUM(AV708:AX708)+SUM(BC708:BD708)+SUM(BE708:BF708)+BG708</f>
        <v>69.95</v>
      </c>
      <c r="BN708" s="55"/>
      <c r="BO708" s="55"/>
      <c r="BP708" s="55"/>
      <c r="BQ708" s="55"/>
      <c r="BR708" s="55"/>
      <c r="BS708" s="55"/>
      <c r="BT708" s="55"/>
      <c r="BU708" s="55"/>
      <c r="BV708" s="55"/>
      <c r="BW708" s="55"/>
      <c r="BX708" s="55"/>
      <c r="BY708" s="55"/>
    </row>
    <row r="709" spans="1:77" ht="25.5">
      <c r="B709" s="89">
        <v>696</v>
      </c>
      <c r="C709" s="101">
        <v>409</v>
      </c>
      <c r="D709" s="101">
        <v>56</v>
      </c>
      <c r="E709" s="102">
        <v>0.76111111111111107</v>
      </c>
      <c r="F709" s="108">
        <v>0.77500000000000002</v>
      </c>
      <c r="G709" s="103" t="s">
        <v>83</v>
      </c>
      <c r="H709" s="93" t="s">
        <v>203</v>
      </c>
      <c r="I709" s="101">
        <v>10</v>
      </c>
      <c r="J709" s="104">
        <v>19</v>
      </c>
      <c r="K709" s="98">
        <v>202</v>
      </c>
      <c r="L709" s="109" t="s">
        <v>770</v>
      </c>
      <c r="M709" s="83" t="s">
        <v>829</v>
      </c>
      <c r="N709" s="83">
        <v>21</v>
      </c>
      <c r="O709" s="83" t="s">
        <v>1232</v>
      </c>
      <c r="P709" s="83">
        <v>21</v>
      </c>
      <c r="Q709" s="141"/>
      <c r="R709" s="83"/>
      <c r="S709" s="26">
        <v>4400</v>
      </c>
      <c r="T709" s="26" t="s">
        <v>1652</v>
      </c>
      <c r="U709" s="26">
        <v>4440</v>
      </c>
      <c r="V709" s="26" t="s">
        <v>1659</v>
      </c>
      <c r="W709" s="63">
        <v>44816</v>
      </c>
      <c r="X709" s="63">
        <v>45100</v>
      </c>
      <c r="Y709" s="63"/>
      <c r="Z709" s="63"/>
      <c r="AA709" s="22" t="s">
        <v>1108</v>
      </c>
      <c r="AB709" s="23" t="s">
        <v>731</v>
      </c>
      <c r="AC709" s="23"/>
      <c r="AD709" s="23" t="s">
        <v>731</v>
      </c>
      <c r="AE709" s="23"/>
      <c r="AF709" s="23" t="s">
        <v>731</v>
      </c>
      <c r="AG709" s="23" t="s">
        <v>731</v>
      </c>
      <c r="AH709" s="23" t="s">
        <v>731</v>
      </c>
      <c r="AI709" s="23" t="s">
        <v>731</v>
      </c>
      <c r="AJ709" s="23" t="s">
        <v>731</v>
      </c>
      <c r="AK709" s="23"/>
      <c r="AL709" s="23"/>
      <c r="AM709" s="23"/>
      <c r="AN709" s="23"/>
      <c r="AO709" s="23"/>
      <c r="AP709" s="23"/>
      <c r="AQ709" s="23"/>
      <c r="AR709" s="23"/>
      <c r="AS709" s="23"/>
      <c r="AT709" s="23"/>
      <c r="AU709" s="23"/>
      <c r="AV709" s="42"/>
      <c r="AW709" s="42">
        <f>1.9*10</f>
        <v>19</v>
      </c>
      <c r="BB709" s="45">
        <v>1</v>
      </c>
      <c r="BD709" s="41"/>
      <c r="BE709" s="41">
        <f>IF(AND((AW709/I709)&lt;2,BB709=1),(I709*2)-AW709,0)</f>
        <v>1</v>
      </c>
      <c r="BF709" s="41">
        <f>IF(AND((AW709/I709)&lt;3,BB709=2),(I709*3)-AW709,0)</f>
        <v>0</v>
      </c>
      <c r="BG709" s="18"/>
      <c r="BH709" s="18">
        <v>15</v>
      </c>
      <c r="BI709" s="18">
        <v>21</v>
      </c>
      <c r="BJ709" s="18">
        <v>21</v>
      </c>
      <c r="BK709" s="18">
        <v>20</v>
      </c>
      <c r="BL709" s="18">
        <v>21</v>
      </c>
      <c r="BM709" s="55">
        <f>SUM(AV709:AX709)+SUM(BC709:BD709)+SUM(BE709:BF709)+BG709</f>
        <v>20</v>
      </c>
      <c r="BN709" s="55"/>
      <c r="BO709" s="55"/>
      <c r="BP709" s="55"/>
      <c r="BQ709" s="55"/>
      <c r="BR709" s="55"/>
      <c r="BS709" s="55"/>
      <c r="BT709" s="55"/>
      <c r="BU709" s="55"/>
      <c r="BV709" s="55"/>
      <c r="BW709" s="55"/>
      <c r="BX709" s="55"/>
      <c r="BY709" s="55"/>
    </row>
    <row r="710" spans="1:77" ht="25.5">
      <c r="B710" s="89">
        <v>697</v>
      </c>
      <c r="C710" s="93">
        <v>409</v>
      </c>
      <c r="D710" s="93">
        <v>56</v>
      </c>
      <c r="E710" s="94">
        <v>0.76388888888888884</v>
      </c>
      <c r="F710" s="94">
        <v>0.77847222222222223</v>
      </c>
      <c r="G710" s="93" t="s">
        <v>570</v>
      </c>
      <c r="H710" s="93" t="s">
        <v>508</v>
      </c>
      <c r="I710" s="96">
        <v>10</v>
      </c>
      <c r="J710" s="127">
        <v>19</v>
      </c>
      <c r="K710" s="98">
        <v>12</v>
      </c>
      <c r="L710" s="109" t="s">
        <v>770</v>
      </c>
      <c r="M710" s="83" t="s">
        <v>829</v>
      </c>
      <c r="N710" s="83">
        <v>21</v>
      </c>
      <c r="O710" s="83" t="s">
        <v>1232</v>
      </c>
      <c r="P710" s="83">
        <v>21</v>
      </c>
      <c r="Q710" s="141"/>
      <c r="R710" s="83"/>
      <c r="S710" s="26">
        <v>4400</v>
      </c>
      <c r="T710" s="26" t="s">
        <v>1652</v>
      </c>
      <c r="U710" s="26">
        <v>4440</v>
      </c>
      <c r="V710" s="26" t="s">
        <v>1659</v>
      </c>
      <c r="W710" s="63">
        <v>44562</v>
      </c>
      <c r="X710" s="63">
        <v>44815</v>
      </c>
      <c r="Y710" s="63">
        <v>45101</v>
      </c>
      <c r="Z710" s="63">
        <v>45169</v>
      </c>
      <c r="AA710" s="22" t="s">
        <v>1119</v>
      </c>
      <c r="AB710" s="23"/>
      <c r="AC710" s="23" t="s">
        <v>731</v>
      </c>
      <c r="AD710" s="23" t="s">
        <v>731</v>
      </c>
      <c r="AE710" s="23"/>
      <c r="AF710" s="23"/>
      <c r="AG710" s="23"/>
      <c r="AH710" s="23"/>
      <c r="AI710" s="23"/>
      <c r="AJ710" s="23"/>
      <c r="AK710" s="23" t="s">
        <v>731</v>
      </c>
      <c r="AL710" s="23"/>
      <c r="AM710" s="23"/>
      <c r="AN710" s="23"/>
      <c r="AO710" s="23"/>
      <c r="AP710" s="23"/>
      <c r="AQ710" s="23"/>
      <c r="AR710" s="23"/>
      <c r="AS710" s="23"/>
      <c r="AT710" s="23"/>
      <c r="AU710" s="23"/>
      <c r="AV710" s="42">
        <v>30</v>
      </c>
      <c r="AY710" s="42"/>
      <c r="AZ710" s="42"/>
      <c r="BB710" s="45">
        <v>1</v>
      </c>
      <c r="BC710" s="41">
        <f>IF(AND((AV710/I710)&lt;2,BB710=1),(I710*2)-AV710,0)</f>
        <v>0</v>
      </c>
      <c r="BD710" s="41">
        <f>IF(AND((AV710/I710)&lt;3,BB710=2),(I710*3)-AV710,0)</f>
        <v>0</v>
      </c>
      <c r="BG710" s="18"/>
      <c r="BH710" s="18">
        <v>2</v>
      </c>
      <c r="BI710" s="18">
        <v>0</v>
      </c>
      <c r="BJ710" s="18">
        <v>0</v>
      </c>
      <c r="BK710" s="18">
        <v>0</v>
      </c>
      <c r="BL710" s="18">
        <v>0</v>
      </c>
      <c r="BM710" s="55">
        <f>SUM(AV710:AX710)+SUM(BC710:BD710)+SUM(BE710:BF710)+BG710</f>
        <v>30</v>
      </c>
      <c r="BN710" s="55"/>
      <c r="BO710" s="55"/>
      <c r="BP710" s="55"/>
      <c r="BQ710" s="55"/>
      <c r="BR710" s="55"/>
      <c r="BS710" s="55"/>
      <c r="BT710" s="55"/>
      <c r="BU710" s="55"/>
      <c r="BV710" s="55"/>
      <c r="BW710" s="55"/>
      <c r="BX710" s="55"/>
      <c r="BY710" s="55"/>
    </row>
    <row r="711" spans="1:77" ht="25.5">
      <c r="B711" s="89">
        <v>698</v>
      </c>
      <c r="C711" s="101">
        <v>409</v>
      </c>
      <c r="D711" s="121">
        <v>55</v>
      </c>
      <c r="E711" s="102">
        <v>0.77777777777777779</v>
      </c>
      <c r="F711" s="102">
        <v>0.79166666666666663</v>
      </c>
      <c r="G711" s="103" t="s">
        <v>82</v>
      </c>
      <c r="H711" s="93" t="s">
        <v>203</v>
      </c>
      <c r="I711" s="101">
        <v>10</v>
      </c>
      <c r="J711" s="104">
        <v>19</v>
      </c>
      <c r="K711" s="98">
        <v>202</v>
      </c>
      <c r="L711" s="109" t="s">
        <v>770</v>
      </c>
      <c r="M711" s="83" t="s">
        <v>829</v>
      </c>
      <c r="N711" s="83">
        <v>21</v>
      </c>
      <c r="O711" s="83" t="s">
        <v>1232</v>
      </c>
      <c r="P711" s="83">
        <v>21</v>
      </c>
      <c r="Q711" s="141"/>
      <c r="R711" s="83"/>
      <c r="S711" s="26">
        <v>4440</v>
      </c>
      <c r="T711" s="26" t="s">
        <v>1659</v>
      </c>
      <c r="U711" s="26">
        <v>4400</v>
      </c>
      <c r="V711" s="26" t="s">
        <v>1652</v>
      </c>
      <c r="W711" s="63">
        <v>44816</v>
      </c>
      <c r="X711" s="63">
        <v>45100</v>
      </c>
      <c r="Y711" s="63"/>
      <c r="Z711" s="63"/>
      <c r="AA711" s="22" t="s">
        <v>1108</v>
      </c>
      <c r="AB711" s="23" t="s">
        <v>731</v>
      </c>
      <c r="AC711" s="23"/>
      <c r="AD711" s="23" t="s">
        <v>731</v>
      </c>
      <c r="AE711" s="23"/>
      <c r="AF711" s="23" t="s">
        <v>731</v>
      </c>
      <c r="AG711" s="23" t="s">
        <v>731</v>
      </c>
      <c r="AH711" s="23" t="s">
        <v>731</v>
      </c>
      <c r="AI711" s="23" t="s">
        <v>731</v>
      </c>
      <c r="AJ711" s="23" t="s">
        <v>731</v>
      </c>
      <c r="AK711" s="23"/>
      <c r="AL711" s="23"/>
      <c r="AM711" s="23"/>
      <c r="AN711" s="23"/>
      <c r="AO711" s="23"/>
      <c r="AP711" s="23"/>
      <c r="AQ711" s="23"/>
      <c r="AR711" s="23"/>
      <c r="AS711" s="23"/>
      <c r="AT711" s="23"/>
      <c r="AU711" s="23"/>
      <c r="AW711" s="42">
        <f>1.9*10</f>
        <v>19</v>
      </c>
      <c r="BB711" s="45">
        <v>1</v>
      </c>
      <c r="BD711" s="41"/>
      <c r="BE711" s="41">
        <f>IF(AND((AW711/I711)&lt;2,BB711=1),(I711*2)-AW711,0)</f>
        <v>1</v>
      </c>
      <c r="BF711" s="41">
        <f>IF(AND((AW711/I711)&lt;3,BB711=2),(I711*3)-AW711,0)</f>
        <v>0</v>
      </c>
      <c r="BG711" s="18"/>
      <c r="BH711" s="18">
        <v>15</v>
      </c>
      <c r="BI711" s="18">
        <v>21</v>
      </c>
      <c r="BJ711" s="18">
        <v>21</v>
      </c>
      <c r="BK711" s="18">
        <v>20</v>
      </c>
      <c r="BL711" s="18">
        <v>21</v>
      </c>
      <c r="BM711" s="55">
        <f>SUM(AV711:AX711)+SUM(BC711:BD711)+SUM(BE711:BF711)+BG711</f>
        <v>20</v>
      </c>
      <c r="BN711" s="55"/>
      <c r="BO711" s="55"/>
      <c r="BP711" s="55"/>
      <c r="BQ711" s="55"/>
      <c r="BR711" s="55"/>
      <c r="BS711" s="55"/>
      <c r="BT711" s="55"/>
      <c r="BU711" s="55"/>
      <c r="BV711" s="55"/>
      <c r="BW711" s="55"/>
      <c r="BX711" s="55"/>
      <c r="BY711" s="55"/>
    </row>
    <row r="712" spans="1:77" ht="25.5">
      <c r="B712" s="89">
        <v>699</v>
      </c>
      <c r="C712" s="93">
        <v>409</v>
      </c>
      <c r="D712" s="93">
        <v>55</v>
      </c>
      <c r="E712" s="94">
        <v>0.78055555555555556</v>
      </c>
      <c r="F712" s="94">
        <v>0.7944444444444444</v>
      </c>
      <c r="G712" s="93" t="s">
        <v>571</v>
      </c>
      <c r="H712" s="93" t="s">
        <v>508</v>
      </c>
      <c r="I712" s="96">
        <v>10</v>
      </c>
      <c r="J712" s="127">
        <v>19</v>
      </c>
      <c r="K712" s="98">
        <v>12</v>
      </c>
      <c r="L712" s="109" t="s">
        <v>770</v>
      </c>
      <c r="M712" s="83" t="s">
        <v>829</v>
      </c>
      <c r="N712" s="83">
        <v>21</v>
      </c>
      <c r="O712" s="83" t="s">
        <v>1232</v>
      </c>
      <c r="P712" s="83">
        <v>21</v>
      </c>
      <c r="Q712" s="141"/>
      <c r="R712" s="83"/>
      <c r="S712" s="26">
        <v>4440</v>
      </c>
      <c r="T712" s="26" t="s">
        <v>1659</v>
      </c>
      <c r="U712" s="26">
        <v>4400</v>
      </c>
      <c r="V712" s="26" t="s">
        <v>1652</v>
      </c>
      <c r="W712" s="63">
        <v>44562</v>
      </c>
      <c r="X712" s="63">
        <v>44815</v>
      </c>
      <c r="Y712" s="63">
        <v>45101</v>
      </c>
      <c r="Z712" s="63">
        <v>45169</v>
      </c>
      <c r="AA712" s="22" t="s">
        <v>1119</v>
      </c>
      <c r="AB712" s="23"/>
      <c r="AC712" s="23" t="s">
        <v>731</v>
      </c>
      <c r="AD712" s="23" t="s">
        <v>731</v>
      </c>
      <c r="AE712" s="23"/>
      <c r="AF712" s="23"/>
      <c r="AG712" s="23"/>
      <c r="AH712" s="23"/>
      <c r="AI712" s="23"/>
      <c r="AJ712" s="23"/>
      <c r="AK712" s="23" t="s">
        <v>731</v>
      </c>
      <c r="AL712" s="23"/>
      <c r="AM712" s="23"/>
      <c r="AN712" s="23"/>
      <c r="AO712" s="23"/>
      <c r="AP712" s="23"/>
      <c r="AQ712" s="23"/>
      <c r="AR712" s="23"/>
      <c r="AS712" s="23"/>
      <c r="AT712" s="23"/>
      <c r="AU712" s="23"/>
      <c r="AV712" s="42">
        <v>30</v>
      </c>
      <c r="AY712" s="42"/>
      <c r="AZ712" s="42"/>
      <c r="BB712" s="45">
        <v>1</v>
      </c>
      <c r="BC712" s="41">
        <f>IF(AND((AV712/I712)&lt;2,BB712=1),(I712*2)-AV712,0)</f>
        <v>0</v>
      </c>
      <c r="BD712" s="41">
        <f>IF(AND((AV712/I712)&lt;3,BB712=2),(I712*3)-AV712,0)</f>
        <v>0</v>
      </c>
      <c r="BG712" s="18"/>
      <c r="BH712" s="18">
        <v>2</v>
      </c>
      <c r="BI712" s="18">
        <v>0</v>
      </c>
      <c r="BJ712" s="18">
        <v>0</v>
      </c>
      <c r="BK712" s="18">
        <v>0</v>
      </c>
      <c r="BL712" s="18">
        <v>0</v>
      </c>
      <c r="BM712" s="55">
        <f>SUM(AV712:AX712)+SUM(BC712:BD712)+SUM(BE712:BF712)+BG712</f>
        <v>30</v>
      </c>
      <c r="BN712" s="55"/>
      <c r="BO712" s="55"/>
      <c r="BP712" s="55"/>
      <c r="BQ712" s="55"/>
      <c r="BR712" s="55"/>
      <c r="BS712" s="55"/>
      <c r="BT712" s="55"/>
      <c r="BU712" s="55"/>
      <c r="BV712" s="55"/>
      <c r="BW712" s="55"/>
      <c r="BX712" s="55"/>
      <c r="BY712" s="55"/>
    </row>
    <row r="713" spans="1:77" ht="25.5">
      <c r="B713" s="89">
        <v>700</v>
      </c>
      <c r="C713" s="93">
        <v>417</v>
      </c>
      <c r="D713" s="95">
        <v>225</v>
      </c>
      <c r="E713" s="94">
        <v>0.30277777777777776</v>
      </c>
      <c r="F713" s="105">
        <v>0.31875000000000003</v>
      </c>
      <c r="G713" s="93" t="s">
        <v>419</v>
      </c>
      <c r="H713" s="93" t="s">
        <v>103</v>
      </c>
      <c r="I713" s="96">
        <v>10.5</v>
      </c>
      <c r="J713" s="97" t="s">
        <v>254</v>
      </c>
      <c r="K713" s="98">
        <v>174</v>
      </c>
      <c r="L713" s="109" t="s">
        <v>720</v>
      </c>
      <c r="M713" s="87" t="s">
        <v>864</v>
      </c>
      <c r="N713" s="87" t="s">
        <v>983</v>
      </c>
      <c r="O713" s="87" t="s">
        <v>1262</v>
      </c>
      <c r="P713" s="87">
        <v>50</v>
      </c>
      <c r="R713" s="87"/>
      <c r="S713" s="26" t="s">
        <v>1660</v>
      </c>
      <c r="T713" s="26" t="s">
        <v>1661</v>
      </c>
      <c r="U713" s="26" t="s">
        <v>1662</v>
      </c>
      <c r="V713" s="26" t="s">
        <v>1663</v>
      </c>
      <c r="W713" s="62">
        <v>44816</v>
      </c>
      <c r="X713" s="62">
        <v>45086</v>
      </c>
      <c r="Y713" s="62"/>
      <c r="Z713" s="62"/>
      <c r="AA713" s="22" t="s">
        <v>1102</v>
      </c>
      <c r="AB713" s="23"/>
      <c r="AC713" s="23"/>
      <c r="AD713" s="23"/>
      <c r="AE713" s="23" t="s">
        <v>731</v>
      </c>
      <c r="AF713" s="23" t="s">
        <v>731</v>
      </c>
      <c r="AG713" s="23" t="s">
        <v>731</v>
      </c>
      <c r="AH713" s="23" t="s">
        <v>731</v>
      </c>
      <c r="AI713" s="23" t="s">
        <v>731</v>
      </c>
      <c r="AJ713" s="23" t="s">
        <v>731</v>
      </c>
      <c r="AK713" s="23"/>
      <c r="AL713" s="23"/>
      <c r="AM713" s="23"/>
      <c r="AN713" s="23"/>
      <c r="AO713" s="23"/>
      <c r="AP713" s="23"/>
      <c r="AQ713" s="23"/>
      <c r="AR713" s="23"/>
      <c r="AS713" s="23"/>
      <c r="AT713" s="23"/>
      <c r="AU713" s="23"/>
      <c r="AV713" s="42">
        <v>217.02</v>
      </c>
      <c r="AW713" s="18"/>
      <c r="AY713" s="42"/>
      <c r="AZ713" s="42"/>
      <c r="BB713" s="43">
        <v>2</v>
      </c>
      <c r="BC713" s="41">
        <f>IF(AND((AV713/I713)&lt;2,BB713=1),(I713*2)-AV713,0)</f>
        <v>0</v>
      </c>
      <c r="BD713" s="41">
        <f>IF(AND((AV713/I713)&lt;3,BB713=2),(I713*3)-AV713,0)</f>
        <v>0</v>
      </c>
      <c r="BG713" s="18"/>
      <c r="BH713" s="18">
        <v>15</v>
      </c>
      <c r="BI713" s="18">
        <v>20</v>
      </c>
      <c r="BJ713" s="18">
        <v>21</v>
      </c>
      <c r="BK713" s="18">
        <v>15</v>
      </c>
      <c r="BL713" s="18">
        <v>17</v>
      </c>
      <c r="BM713" s="55">
        <f>SUM(AV713:AX713)+SUM(BC713:BD713)+SUM(BE713:BF713)+BG713</f>
        <v>217.02</v>
      </c>
      <c r="BN713" s="55"/>
      <c r="BO713" s="55"/>
      <c r="BP713" s="55"/>
      <c r="BQ713" s="55"/>
      <c r="BR713" s="55"/>
      <c r="BS713" s="55"/>
      <c r="BT713" s="55"/>
      <c r="BU713" s="55"/>
      <c r="BV713" s="55"/>
      <c r="BW713" s="55"/>
      <c r="BX713" s="55"/>
      <c r="BY713" s="55"/>
    </row>
    <row r="714" spans="1:77" ht="25.5">
      <c r="B714" s="89">
        <v>701</v>
      </c>
      <c r="C714" s="93">
        <v>417</v>
      </c>
      <c r="D714" s="93">
        <v>225</v>
      </c>
      <c r="E714" s="105">
        <v>0.31666666666666665</v>
      </c>
      <c r="F714" s="105">
        <v>0.32430555555555557</v>
      </c>
      <c r="G714" s="93" t="s">
        <v>319</v>
      </c>
      <c r="H714" s="93" t="s">
        <v>103</v>
      </c>
      <c r="I714" s="96">
        <v>5.5</v>
      </c>
      <c r="J714" s="97" t="s">
        <v>93</v>
      </c>
      <c r="K714" s="98">
        <v>174</v>
      </c>
      <c r="L714" s="109" t="s">
        <v>772</v>
      </c>
      <c r="M714" s="87" t="s">
        <v>867</v>
      </c>
      <c r="N714" s="87">
        <v>21</v>
      </c>
      <c r="O714" s="87" t="s">
        <v>868</v>
      </c>
      <c r="P714" s="87">
        <v>31</v>
      </c>
      <c r="Q714" s="192" t="s">
        <v>1999</v>
      </c>
      <c r="R714" s="192">
        <v>38</v>
      </c>
      <c r="S714" s="26">
        <v>4120</v>
      </c>
      <c r="T714" s="26" t="s">
        <v>1664</v>
      </c>
      <c r="U714" s="26" t="s">
        <v>1419</v>
      </c>
      <c r="V714" s="26" t="s">
        <v>1420</v>
      </c>
      <c r="W714" s="62">
        <v>44816</v>
      </c>
      <c r="X714" s="62">
        <v>45086</v>
      </c>
      <c r="Y714" s="62"/>
      <c r="Z714" s="62"/>
      <c r="AA714" s="22" t="s">
        <v>1102</v>
      </c>
      <c r="AB714" s="23"/>
      <c r="AC714" s="23"/>
      <c r="AD714" s="23"/>
      <c r="AE714" s="23" t="s">
        <v>731</v>
      </c>
      <c r="AF714" s="23" t="s">
        <v>731</v>
      </c>
      <c r="AG714" s="23" t="s">
        <v>731</v>
      </c>
      <c r="AH714" s="23" t="s">
        <v>731</v>
      </c>
      <c r="AI714" s="23" t="s">
        <v>731</v>
      </c>
      <c r="AJ714" s="23" t="s">
        <v>731</v>
      </c>
      <c r="AK714" s="23"/>
      <c r="AL714" s="23"/>
      <c r="AM714" s="23"/>
      <c r="AN714" s="23"/>
      <c r="AO714" s="23"/>
      <c r="AP714" s="23"/>
      <c r="AQ714" s="23"/>
      <c r="AR714" s="23"/>
      <c r="AS714" s="23"/>
      <c r="AT714" s="23"/>
      <c r="AU714" s="23"/>
      <c r="AV714" s="42">
        <v>9.9</v>
      </c>
      <c r="AW714" s="18"/>
      <c r="AY714" s="42"/>
      <c r="AZ714" s="42"/>
      <c r="BB714" s="45">
        <v>1</v>
      </c>
      <c r="BC714" s="41">
        <f>IF(AND((AV714/I714)&lt;2,BB714=1),(I714*2)-AV714,0)</f>
        <v>1.0999999999999996</v>
      </c>
      <c r="BD714" s="41">
        <f>IF(AND((AV714/I714)&lt;3,BB714=2),(I714*3)-AV714,0)</f>
        <v>0</v>
      </c>
      <c r="BG714" s="18"/>
      <c r="BH714" s="18">
        <v>15</v>
      </c>
      <c r="BI714" s="18">
        <v>20</v>
      </c>
      <c r="BJ714" s="18">
        <v>21</v>
      </c>
      <c r="BK714" s="18">
        <v>15</v>
      </c>
      <c r="BL714" s="18">
        <v>17</v>
      </c>
      <c r="BM714" s="55">
        <f>SUM(AV714:AX714)+SUM(BC714:BD714)+SUM(BE714:BF714)+BG714</f>
        <v>11</v>
      </c>
      <c r="BN714" s="55"/>
      <c r="BO714" s="55"/>
      <c r="BP714" s="55"/>
      <c r="BQ714" s="55"/>
      <c r="BR714" s="55"/>
      <c r="BS714" s="55"/>
      <c r="BT714" s="55"/>
      <c r="BU714" s="55"/>
      <c r="BV714" s="55"/>
      <c r="BW714" s="55"/>
      <c r="BX714" s="55"/>
      <c r="BY714" s="55"/>
    </row>
    <row r="715" spans="1:77" ht="25.5">
      <c r="B715" s="89">
        <v>702</v>
      </c>
      <c r="C715" s="93">
        <v>417</v>
      </c>
      <c r="D715" s="93">
        <v>307</v>
      </c>
      <c r="E715" s="94">
        <v>0.63888888888888895</v>
      </c>
      <c r="F715" s="94">
        <v>0.6645833333333333</v>
      </c>
      <c r="G715" s="93" t="s">
        <v>142</v>
      </c>
      <c r="H715" s="93" t="s">
        <v>103</v>
      </c>
      <c r="I715" s="96">
        <v>14.5</v>
      </c>
      <c r="J715" s="97" t="s">
        <v>269</v>
      </c>
      <c r="K715" s="98">
        <v>174</v>
      </c>
      <c r="L715" s="109" t="s">
        <v>773</v>
      </c>
      <c r="M715" s="2" t="s">
        <v>937</v>
      </c>
      <c r="N715" s="2">
        <v>23</v>
      </c>
      <c r="O715" s="87" t="s">
        <v>1905</v>
      </c>
      <c r="P715" s="87">
        <v>24</v>
      </c>
      <c r="Q715" s="87" t="s">
        <v>1942</v>
      </c>
      <c r="R715" s="84">
        <v>23</v>
      </c>
      <c r="S715" s="26">
        <v>4126</v>
      </c>
      <c r="T715" s="26" t="s">
        <v>1665</v>
      </c>
      <c r="U715" s="26" t="s">
        <v>1419</v>
      </c>
      <c r="V715" s="26" t="s">
        <v>1420</v>
      </c>
      <c r="W715" s="62">
        <v>44816</v>
      </c>
      <c r="X715" s="62">
        <v>45086</v>
      </c>
      <c r="Y715" s="62"/>
      <c r="Z715" s="62"/>
      <c r="AA715" s="22" t="s">
        <v>1102</v>
      </c>
      <c r="AB715" s="23"/>
      <c r="AC715" s="23"/>
      <c r="AD715" s="23"/>
      <c r="AE715" s="23" t="s">
        <v>731</v>
      </c>
      <c r="AF715" s="23" t="s">
        <v>731</v>
      </c>
      <c r="AG715" s="23" t="s">
        <v>731</v>
      </c>
      <c r="AH715" s="23" t="s">
        <v>731</v>
      </c>
      <c r="AI715" s="23" t="s">
        <v>731</v>
      </c>
      <c r="AJ715" s="23" t="s">
        <v>731</v>
      </c>
      <c r="AK715" s="23"/>
      <c r="AL715" s="23"/>
      <c r="AM715" s="23"/>
      <c r="AN715" s="23"/>
      <c r="AO715" s="23"/>
      <c r="AP715" s="23"/>
      <c r="AQ715" s="23"/>
      <c r="AR715" s="23"/>
      <c r="AS715" s="23"/>
      <c r="AT715" s="23"/>
      <c r="AU715" s="23"/>
      <c r="AV715" s="42">
        <v>26.1</v>
      </c>
      <c r="AW715" s="18"/>
      <c r="AY715" s="42"/>
      <c r="AZ715" s="42"/>
      <c r="BB715" s="45">
        <v>1</v>
      </c>
      <c r="BC715" s="41">
        <f>IF(AND((AV715/I715)&lt;2,BB715=1),(I715*2)-AV715,0)</f>
        <v>2.8999999999999986</v>
      </c>
      <c r="BD715" s="41">
        <f>IF(AND((AV715/I715)&lt;3,BB715=2),(I715*3)-AV715,0)</f>
        <v>0</v>
      </c>
      <c r="BG715" s="18"/>
      <c r="BH715" s="18">
        <v>15</v>
      </c>
      <c r="BI715" s="18">
        <v>20</v>
      </c>
      <c r="BJ715" s="18">
        <v>21</v>
      </c>
      <c r="BK715" s="18">
        <v>15</v>
      </c>
      <c r="BL715" s="18">
        <v>17</v>
      </c>
      <c r="BM715" s="55">
        <f>SUM(AV715:AX715)+SUM(BC715:BD715)+SUM(BE715:BF715)+BG715</f>
        <v>29</v>
      </c>
      <c r="BN715" s="55"/>
      <c r="BO715" s="55"/>
      <c r="BP715" s="55"/>
      <c r="BQ715" s="55"/>
      <c r="BR715" s="55"/>
      <c r="BS715" s="55"/>
      <c r="BT715" s="55"/>
      <c r="BU715" s="55"/>
      <c r="BV715" s="55"/>
      <c r="BW715" s="55"/>
      <c r="BX715" s="55"/>
      <c r="BY715" s="55"/>
    </row>
    <row r="716" spans="1:77" ht="25.5">
      <c r="B716" s="89">
        <v>703</v>
      </c>
      <c r="C716" s="93">
        <v>417</v>
      </c>
      <c r="D716" s="95">
        <v>256</v>
      </c>
      <c r="E716" s="94">
        <v>0.67152777777777783</v>
      </c>
      <c r="F716" s="94">
        <v>0.7006944444444444</v>
      </c>
      <c r="G716" s="93" t="s">
        <v>565</v>
      </c>
      <c r="H716" s="93" t="s">
        <v>103</v>
      </c>
      <c r="I716" s="96">
        <v>17.5</v>
      </c>
      <c r="J716" s="97" t="s">
        <v>188</v>
      </c>
      <c r="K716" s="98">
        <v>174</v>
      </c>
      <c r="L716" s="109" t="s">
        <v>772</v>
      </c>
      <c r="M716" s="87" t="s">
        <v>868</v>
      </c>
      <c r="N716" s="87">
        <v>31</v>
      </c>
      <c r="O716" s="83" t="s">
        <v>867</v>
      </c>
      <c r="P716" s="83">
        <v>21</v>
      </c>
      <c r="Q716" s="192" t="s">
        <v>1999</v>
      </c>
      <c r="R716" s="192">
        <v>38</v>
      </c>
      <c r="S716" s="26" t="s">
        <v>1419</v>
      </c>
      <c r="T716" s="26" t="s">
        <v>1420</v>
      </c>
      <c r="U716" s="26" t="s">
        <v>1666</v>
      </c>
      <c r="V716" s="26" t="s">
        <v>1667</v>
      </c>
      <c r="W716" s="62">
        <v>44816</v>
      </c>
      <c r="X716" s="62">
        <v>45086</v>
      </c>
      <c r="Y716" s="62"/>
      <c r="Z716" s="62"/>
      <c r="AA716" s="22" t="s">
        <v>1102</v>
      </c>
      <c r="AB716" s="23"/>
      <c r="AC716" s="23"/>
      <c r="AD716" s="23"/>
      <c r="AE716" s="23" t="s">
        <v>731</v>
      </c>
      <c r="AF716" s="23" t="s">
        <v>731</v>
      </c>
      <c r="AG716" s="23" t="s">
        <v>731</v>
      </c>
      <c r="AH716" s="23" t="s">
        <v>731</v>
      </c>
      <c r="AI716" s="23" t="s">
        <v>731</v>
      </c>
      <c r="AJ716" s="23" t="s">
        <v>731</v>
      </c>
      <c r="AK716" s="23"/>
      <c r="AL716" s="23"/>
      <c r="AM716" s="23"/>
      <c r="AN716" s="23"/>
      <c r="AO716" s="23"/>
      <c r="AP716" s="23"/>
      <c r="AQ716" s="23"/>
      <c r="AR716" s="23"/>
      <c r="AS716" s="23"/>
      <c r="AT716" s="23"/>
      <c r="AU716" s="23"/>
      <c r="AV716" s="42">
        <v>52.5</v>
      </c>
      <c r="AW716" s="18"/>
      <c r="AY716" s="42"/>
      <c r="AZ716" s="42"/>
      <c r="BB716" s="45">
        <v>1</v>
      </c>
      <c r="BC716" s="41">
        <f>IF(AND((AV716/I716)&lt;2,BB716=1),(I716*2)-AV716,0)</f>
        <v>0</v>
      </c>
      <c r="BD716" s="41">
        <f>IF(AND((AV716/I716)&lt;3,BB716=2),(I716*3)-AV716,0)</f>
        <v>0</v>
      </c>
      <c r="BG716" s="18"/>
      <c r="BH716" s="18">
        <v>15</v>
      </c>
      <c r="BI716" s="18">
        <v>20</v>
      </c>
      <c r="BJ716" s="18">
        <v>21</v>
      </c>
      <c r="BK716" s="18">
        <v>15</v>
      </c>
      <c r="BL716" s="18">
        <v>17</v>
      </c>
      <c r="BM716" s="55">
        <f>SUM(AV716:AX716)+SUM(BC716:BD716)+SUM(BE716:BF716)+BG716</f>
        <v>52.5</v>
      </c>
      <c r="BN716" s="55"/>
      <c r="BO716" s="55"/>
      <c r="BP716" s="55"/>
      <c r="BQ716" s="55"/>
      <c r="BR716" s="55"/>
      <c r="BS716" s="55"/>
      <c r="BT716" s="55"/>
      <c r="BU716" s="55"/>
      <c r="BV716" s="55"/>
      <c r="BW716" s="55"/>
      <c r="BX716" s="55"/>
      <c r="BY716" s="55"/>
    </row>
    <row r="717" spans="1:77" s="47" customFormat="1" ht="38.25">
      <c r="A717" s="110" t="s">
        <v>1166</v>
      </c>
      <c r="B717" s="89">
        <v>704</v>
      </c>
      <c r="C717" s="93">
        <v>418</v>
      </c>
      <c r="D717" s="95">
        <v>89</v>
      </c>
      <c r="E717" s="94">
        <v>0.25486111111111109</v>
      </c>
      <c r="F717" s="94">
        <v>0.25833333333333336</v>
      </c>
      <c r="G717" s="93" t="s">
        <v>431</v>
      </c>
      <c r="H717" s="106" t="s">
        <v>1040</v>
      </c>
      <c r="I717" s="96">
        <v>3</v>
      </c>
      <c r="J717" s="97" t="s">
        <v>167</v>
      </c>
      <c r="K717" s="111">
        <v>208</v>
      </c>
      <c r="L717" s="109" t="s">
        <v>774</v>
      </c>
      <c r="M717" s="87" t="s">
        <v>919</v>
      </c>
      <c r="N717" s="87">
        <v>9</v>
      </c>
      <c r="O717" s="87" t="s">
        <v>1906</v>
      </c>
      <c r="P717" s="87">
        <v>9</v>
      </c>
      <c r="Q717" s="2"/>
      <c r="R717" s="87"/>
      <c r="S717" s="26">
        <v>4116</v>
      </c>
      <c r="T717" s="26" t="s">
        <v>1668</v>
      </c>
      <c r="U717" s="26">
        <v>4115</v>
      </c>
      <c r="V717" s="26" t="s">
        <v>1669</v>
      </c>
      <c r="W717" s="62">
        <v>44816</v>
      </c>
      <c r="X717" s="62">
        <v>45086</v>
      </c>
      <c r="Y717" s="62"/>
      <c r="Z717" s="62"/>
      <c r="AA717" s="23" t="s">
        <v>1106</v>
      </c>
      <c r="AB717" s="23"/>
      <c r="AC717" s="23"/>
      <c r="AD717" s="23"/>
      <c r="AE717" s="23" t="s">
        <v>731</v>
      </c>
      <c r="AF717" s="23" t="s">
        <v>731</v>
      </c>
      <c r="AG717" s="23" t="s">
        <v>731</v>
      </c>
      <c r="AH717" s="23" t="s">
        <v>731</v>
      </c>
      <c r="AI717" s="23" t="s">
        <v>731</v>
      </c>
      <c r="AJ717" s="23" t="s">
        <v>731</v>
      </c>
      <c r="AK717" s="23" t="s">
        <v>731</v>
      </c>
      <c r="AL717" s="23"/>
      <c r="AM717" s="23"/>
      <c r="AN717" s="23"/>
      <c r="AO717" s="23"/>
      <c r="AP717" s="23"/>
      <c r="AQ717" s="23"/>
      <c r="AR717" s="23"/>
      <c r="AS717" s="23"/>
      <c r="AT717" s="23"/>
      <c r="AU717" s="23"/>
      <c r="AV717" s="42">
        <v>10</v>
      </c>
      <c r="AW717" s="18"/>
      <c r="AX717" s="18"/>
      <c r="AY717" s="42"/>
      <c r="AZ717" s="42"/>
      <c r="BA717" s="18"/>
      <c r="BB717" s="45">
        <v>1</v>
      </c>
      <c r="BC717" s="41">
        <f>IF(AND((AV717/I717)&lt;2,BB717=1),(I717*2)-AV717,0)</f>
        <v>0</v>
      </c>
      <c r="BD717" s="41">
        <f>IF(AND((AV717/I717)&lt;3,BB717=2),(I717*3)-AV717,0)</f>
        <v>0</v>
      </c>
      <c r="BG717" s="41">
        <f>IF((AV717+AW717+AX717)&lt;20,(20-(AV717+AW717+AX717)),0)</f>
        <v>10</v>
      </c>
      <c r="BH717" s="18">
        <v>17</v>
      </c>
      <c r="BI717" s="18">
        <v>25</v>
      </c>
      <c r="BJ717" s="18">
        <v>25</v>
      </c>
      <c r="BK717" s="18">
        <v>18</v>
      </c>
      <c r="BL717" s="18">
        <v>20</v>
      </c>
      <c r="BM717" s="55">
        <f>SUM(AV717:AX717)+SUM(BC717:BD717)+SUM(BE717:BF717)+BG717</f>
        <v>20</v>
      </c>
      <c r="BN717" s="55"/>
      <c r="BO717" s="55"/>
      <c r="BP717" s="55"/>
      <c r="BQ717" s="55"/>
      <c r="BR717" s="55"/>
      <c r="BS717" s="55"/>
      <c r="BT717" s="55"/>
      <c r="BU717" s="55"/>
      <c r="BV717" s="55"/>
      <c r="BW717" s="55"/>
      <c r="BX717" s="55"/>
      <c r="BY717" s="55"/>
    </row>
    <row r="718" spans="1:77" s="47" customFormat="1" ht="25.5">
      <c r="A718" s="2"/>
      <c r="B718" s="89">
        <v>705</v>
      </c>
      <c r="C718" s="101">
        <v>418</v>
      </c>
      <c r="D718" s="101">
        <v>169</v>
      </c>
      <c r="E718" s="102">
        <v>0.25694444444444448</v>
      </c>
      <c r="F718" s="108">
        <v>0.28125</v>
      </c>
      <c r="G718" s="103" t="s">
        <v>649</v>
      </c>
      <c r="H718" s="93" t="s">
        <v>97</v>
      </c>
      <c r="I718" s="101">
        <v>15.7</v>
      </c>
      <c r="J718" s="104">
        <v>30</v>
      </c>
      <c r="K718" s="98">
        <v>208</v>
      </c>
      <c r="L718" s="109" t="s">
        <v>772</v>
      </c>
      <c r="M718" s="87" t="s">
        <v>868</v>
      </c>
      <c r="N718" s="87">
        <v>31</v>
      </c>
      <c r="O718" s="87" t="s">
        <v>867</v>
      </c>
      <c r="P718" s="87">
        <v>21</v>
      </c>
      <c r="Q718" s="192" t="s">
        <v>1999</v>
      </c>
      <c r="R718" s="192">
        <v>38</v>
      </c>
      <c r="S718" s="26">
        <v>4143</v>
      </c>
      <c r="T718" s="26" t="s">
        <v>1670</v>
      </c>
      <c r="U718" s="26" t="s">
        <v>1419</v>
      </c>
      <c r="V718" s="26" t="s">
        <v>1420</v>
      </c>
      <c r="W718" s="62">
        <v>44816</v>
      </c>
      <c r="X718" s="62">
        <v>45086</v>
      </c>
      <c r="Y718" s="62"/>
      <c r="Z718" s="62"/>
      <c r="AA718" s="22" t="s">
        <v>1106</v>
      </c>
      <c r="AB718" s="23"/>
      <c r="AC718" s="23"/>
      <c r="AD718" s="23"/>
      <c r="AE718" s="23" t="s">
        <v>731</v>
      </c>
      <c r="AF718" s="23" t="s">
        <v>731</v>
      </c>
      <c r="AG718" s="23" t="s">
        <v>731</v>
      </c>
      <c r="AH718" s="23" t="s">
        <v>731</v>
      </c>
      <c r="AI718" s="23" t="s">
        <v>731</v>
      </c>
      <c r="AJ718" s="23" t="s">
        <v>731</v>
      </c>
      <c r="AK718" s="23" t="s">
        <v>731</v>
      </c>
      <c r="AL718" s="23"/>
      <c r="AM718" s="23"/>
      <c r="AN718" s="23"/>
      <c r="AO718" s="23"/>
      <c r="AP718" s="23"/>
      <c r="AQ718" s="23"/>
      <c r="AR718" s="23"/>
      <c r="AS718" s="23"/>
      <c r="AT718" s="23"/>
      <c r="AU718" s="23"/>
      <c r="AV718" s="41"/>
      <c r="AW718" s="41">
        <f>2.2*15.7</f>
        <v>34.54</v>
      </c>
      <c r="AX718" s="18"/>
      <c r="AY718" s="48"/>
      <c r="AZ718" s="48"/>
      <c r="BA718" s="18"/>
      <c r="BB718" s="45">
        <v>1</v>
      </c>
      <c r="BD718" s="41"/>
      <c r="BE718" s="41">
        <f>IF(AND((AW718/I718)&lt;2,BB718=1),(I718*2)-AW718,0)</f>
        <v>0</v>
      </c>
      <c r="BF718" s="41">
        <f>IF(AND((AW718/I718)&lt;3,BB718=2),(I718*3)-AW718,0)</f>
        <v>0</v>
      </c>
      <c r="BG718" s="41">
        <f>IF((AV718+AW718+AX718)&lt;20,(20-(AV718+AW718+AX718)),0)</f>
        <v>0</v>
      </c>
      <c r="BH718" s="18">
        <v>17</v>
      </c>
      <c r="BI718" s="18">
        <v>25</v>
      </c>
      <c r="BJ718" s="18">
        <v>25</v>
      </c>
      <c r="BK718" s="18">
        <v>18</v>
      </c>
      <c r="BL718" s="18">
        <v>20</v>
      </c>
      <c r="BM718" s="55">
        <f>SUM(AV718:AX718)+SUM(BC718:BD718)+SUM(BE718:BF718)+BG718</f>
        <v>34.54</v>
      </c>
      <c r="BN718" s="22" t="s">
        <v>1106</v>
      </c>
      <c r="BO718" s="55"/>
      <c r="BP718" s="55"/>
      <c r="BQ718" s="55"/>
      <c r="BR718" s="55"/>
      <c r="BS718" s="55"/>
      <c r="BT718" s="55"/>
      <c r="BU718" s="55"/>
      <c r="BV718" s="55"/>
      <c r="BW718" s="18">
        <v>20</v>
      </c>
      <c r="BX718" s="55"/>
      <c r="BY718" s="55">
        <v>12.559999999999995</v>
      </c>
    </row>
    <row r="719" spans="1:77" s="47" customFormat="1" ht="25.5">
      <c r="A719" s="2"/>
      <c r="B719" s="89">
        <v>706</v>
      </c>
      <c r="C719" s="101">
        <v>418</v>
      </c>
      <c r="D719" s="101">
        <v>169</v>
      </c>
      <c r="E719" s="102">
        <v>0.25694444444444448</v>
      </c>
      <c r="F719" s="108">
        <v>0.28125</v>
      </c>
      <c r="G719" s="103" t="s">
        <v>650</v>
      </c>
      <c r="H719" s="93" t="s">
        <v>39</v>
      </c>
      <c r="I719" s="101">
        <v>14</v>
      </c>
      <c r="J719" s="104">
        <v>19</v>
      </c>
      <c r="K719" s="98">
        <v>29</v>
      </c>
      <c r="L719" s="109" t="s">
        <v>772</v>
      </c>
      <c r="M719" s="87" t="s">
        <v>867</v>
      </c>
      <c r="N719" s="87">
        <v>21</v>
      </c>
      <c r="O719" s="87" t="s">
        <v>868</v>
      </c>
      <c r="P719" s="87">
        <v>31</v>
      </c>
      <c r="Q719" s="192" t="s">
        <v>1999</v>
      </c>
      <c r="R719" s="192">
        <v>38</v>
      </c>
      <c r="S719" s="26">
        <v>4143</v>
      </c>
      <c r="T719" s="26" t="s">
        <v>1670</v>
      </c>
      <c r="U719" s="26" t="s">
        <v>1419</v>
      </c>
      <c r="V719" s="26" t="s">
        <v>1420</v>
      </c>
      <c r="W719" s="63">
        <v>44816</v>
      </c>
      <c r="X719" s="63">
        <v>45100</v>
      </c>
      <c r="Y719" s="63"/>
      <c r="Z719" s="63"/>
      <c r="AA719" s="22" t="s">
        <v>1110</v>
      </c>
      <c r="AB719" s="23" t="s">
        <v>731</v>
      </c>
      <c r="AC719" s="23"/>
      <c r="AD719" s="23" t="s">
        <v>731</v>
      </c>
      <c r="AE719" s="23"/>
      <c r="AF719" s="23"/>
      <c r="AG719" s="23"/>
      <c r="AH719" s="23"/>
      <c r="AI719" s="23"/>
      <c r="AJ719" s="23"/>
      <c r="AK719" s="23"/>
      <c r="AL719" s="23"/>
      <c r="AM719" s="23"/>
      <c r="AN719" s="23"/>
      <c r="AO719" s="23"/>
      <c r="AP719" s="23" t="s">
        <v>731</v>
      </c>
      <c r="AQ719" s="23" t="s">
        <v>731</v>
      </c>
      <c r="AR719" s="23" t="s">
        <v>731</v>
      </c>
      <c r="AS719" s="23" t="s">
        <v>731</v>
      </c>
      <c r="AT719" s="23" t="s">
        <v>731</v>
      </c>
      <c r="AU719" s="23" t="s">
        <v>731</v>
      </c>
      <c r="AV719" s="41"/>
      <c r="AW719" s="41">
        <f>1.9*14</f>
        <v>26.599999999999998</v>
      </c>
      <c r="AX719" s="18"/>
      <c r="AY719" s="48"/>
      <c r="AZ719" s="48"/>
      <c r="BA719" s="18"/>
      <c r="BB719" s="45">
        <v>1</v>
      </c>
      <c r="BD719" s="41"/>
      <c r="BE719" s="41">
        <f>IF(AND((AW719/I719)&lt;2,BB719=1),(I719*2)-AW719,0)</f>
        <v>1.4000000000000021</v>
      </c>
      <c r="BF719" s="41">
        <f>IF(AND((AW719/I719)&lt;3,BB719=2),(I719*3)-AW719,0)</f>
        <v>0</v>
      </c>
      <c r="BG719" s="41">
        <f>IF((AV719+AW719+AX719)&lt;20,(20-(AV719+AW719+AX719)),0)</f>
        <v>0</v>
      </c>
      <c r="BH719" s="18">
        <v>0</v>
      </c>
      <c r="BI719" s="18">
        <v>1</v>
      </c>
      <c r="BJ719" s="18">
        <v>0</v>
      </c>
      <c r="BK719" s="18">
        <v>7</v>
      </c>
      <c r="BL719" s="18">
        <v>5</v>
      </c>
      <c r="BM719" s="55">
        <f>SUM(AV719:AX719)+SUM(BC719:BD719)+SUM(BE719:BF719)+BG719</f>
        <v>28</v>
      </c>
      <c r="BN719" s="55"/>
      <c r="BO719" s="55"/>
      <c r="BP719" s="55"/>
      <c r="BQ719" s="55"/>
      <c r="BR719" s="55"/>
      <c r="BS719" s="55"/>
      <c r="BT719" s="55"/>
      <c r="BU719" s="55"/>
      <c r="BV719" s="55"/>
      <c r="BW719" s="55"/>
      <c r="BX719" s="55"/>
      <c r="BY719" s="55"/>
    </row>
    <row r="720" spans="1:77" s="47" customFormat="1" ht="22.5">
      <c r="A720" s="2"/>
      <c r="B720" s="89">
        <v>707</v>
      </c>
      <c r="C720" s="101">
        <v>418</v>
      </c>
      <c r="D720" s="101">
        <v>169</v>
      </c>
      <c r="E720" s="102">
        <v>0.25694444444444448</v>
      </c>
      <c r="F720" s="108">
        <v>0.28125</v>
      </c>
      <c r="G720" s="103" t="s">
        <v>41</v>
      </c>
      <c r="H720" s="93" t="s">
        <v>1</v>
      </c>
      <c r="I720" s="101">
        <v>14</v>
      </c>
      <c r="J720" s="104">
        <v>19</v>
      </c>
      <c r="K720" s="98">
        <v>67</v>
      </c>
      <c r="L720" s="109" t="s">
        <v>772</v>
      </c>
      <c r="M720" s="87" t="s">
        <v>867</v>
      </c>
      <c r="N720" s="87">
        <v>21</v>
      </c>
      <c r="O720" s="87" t="s">
        <v>868</v>
      </c>
      <c r="P720" s="87">
        <v>31</v>
      </c>
      <c r="Q720" s="192" t="s">
        <v>1999</v>
      </c>
      <c r="R720" s="192">
        <v>38</v>
      </c>
      <c r="S720" s="26">
        <v>4143</v>
      </c>
      <c r="T720" s="26" t="s">
        <v>1670</v>
      </c>
      <c r="U720" s="26" t="s">
        <v>1419</v>
      </c>
      <c r="V720" s="26" t="s">
        <v>1420</v>
      </c>
      <c r="W720" s="63">
        <v>44562</v>
      </c>
      <c r="X720" s="63">
        <v>44815</v>
      </c>
      <c r="Y720" s="63">
        <v>45101</v>
      </c>
      <c r="Z720" s="63">
        <v>45169</v>
      </c>
      <c r="AA720" s="23" t="s">
        <v>1107</v>
      </c>
      <c r="AB720" s="23"/>
      <c r="AC720" s="23" t="s">
        <v>731</v>
      </c>
      <c r="AD720" s="23" t="s">
        <v>731</v>
      </c>
      <c r="AE720" s="23"/>
      <c r="AF720" s="23" t="s">
        <v>731</v>
      </c>
      <c r="AG720" s="23" t="s">
        <v>731</v>
      </c>
      <c r="AH720" s="23" t="s">
        <v>731</v>
      </c>
      <c r="AI720" s="23" t="s">
        <v>731</v>
      </c>
      <c r="AJ720" s="23" t="s">
        <v>731</v>
      </c>
      <c r="AK720" s="23" t="s">
        <v>731</v>
      </c>
      <c r="AL720" s="23"/>
      <c r="AM720" s="23"/>
      <c r="AN720" s="23"/>
      <c r="AO720" s="23"/>
      <c r="AP720" s="23"/>
      <c r="AQ720" s="23"/>
      <c r="AR720" s="23"/>
      <c r="AS720" s="23"/>
      <c r="AT720" s="23"/>
      <c r="AU720" s="23"/>
      <c r="AV720" s="41"/>
      <c r="AW720" s="41">
        <f>1.9*14</f>
        <v>26.599999999999998</v>
      </c>
      <c r="AX720" s="18"/>
      <c r="AY720" s="48"/>
      <c r="AZ720" s="48"/>
      <c r="BA720" s="18"/>
      <c r="BB720" s="45">
        <v>1</v>
      </c>
      <c r="BD720" s="41"/>
      <c r="BE720" s="41">
        <f>IF(AND((AW720/I720)&lt;2,BB720=1),(I720*2)-AW720,0)</f>
        <v>1.4000000000000021</v>
      </c>
      <c r="BF720" s="41">
        <f>IF(AND((AW720/I720)&lt;3,BB720=2),(I720*3)-AW720,0)</f>
        <v>0</v>
      </c>
      <c r="BG720" s="41">
        <f>IF((AV720+AW720+AX720)&lt;20,(20-(AV720+AW720+AX720)),0)</f>
        <v>0</v>
      </c>
      <c r="BH720" s="18">
        <v>9</v>
      </c>
      <c r="BI720" s="18">
        <v>0</v>
      </c>
      <c r="BJ720" s="18">
        <v>0</v>
      </c>
      <c r="BK720" s="18">
        <v>0</v>
      </c>
      <c r="BL720" s="18">
        <v>0</v>
      </c>
      <c r="BM720" s="55">
        <f>SUM(AV720:AX720)+SUM(BC720:BD720)+SUM(BE720:BF720)+BG720</f>
        <v>28</v>
      </c>
      <c r="BN720" s="55"/>
      <c r="BO720" s="55"/>
      <c r="BP720" s="55"/>
      <c r="BQ720" s="55"/>
      <c r="BR720" s="55"/>
      <c r="BS720" s="55"/>
      <c r="BT720" s="55"/>
      <c r="BU720" s="55"/>
      <c r="BV720" s="55"/>
      <c r="BW720" s="55"/>
      <c r="BX720" s="55"/>
      <c r="BY720" s="55"/>
    </row>
    <row r="721" spans="1:77" s="47" customFormat="1" ht="22.5">
      <c r="A721" s="2"/>
      <c r="B721" s="89">
        <v>708</v>
      </c>
      <c r="C721" s="93">
        <v>418</v>
      </c>
      <c r="D721" s="95">
        <v>89</v>
      </c>
      <c r="E721" s="94">
        <v>0.25833333333333336</v>
      </c>
      <c r="F721" s="94">
        <v>0.2673611111111111</v>
      </c>
      <c r="G721" s="103" t="s">
        <v>232</v>
      </c>
      <c r="H721" s="93" t="s">
        <v>18</v>
      </c>
      <c r="I721" s="96">
        <v>6</v>
      </c>
      <c r="J721" s="97" t="s">
        <v>93</v>
      </c>
      <c r="K721" s="98">
        <v>304</v>
      </c>
      <c r="L721" s="109" t="s">
        <v>774</v>
      </c>
      <c r="M721" s="87" t="s">
        <v>919</v>
      </c>
      <c r="N721" s="87">
        <v>9</v>
      </c>
      <c r="O721" s="87" t="s">
        <v>1906</v>
      </c>
      <c r="P721" s="87">
        <v>9</v>
      </c>
      <c r="Q721" s="2"/>
      <c r="R721" s="87"/>
      <c r="S721" s="26">
        <v>4115</v>
      </c>
      <c r="T721" s="26" t="s">
        <v>1669</v>
      </c>
      <c r="U721" s="26">
        <v>4113</v>
      </c>
      <c r="V721" s="26" t="s">
        <v>1671</v>
      </c>
      <c r="W721" s="62">
        <v>44805</v>
      </c>
      <c r="X721" s="62">
        <v>45169</v>
      </c>
      <c r="Y721" s="62"/>
      <c r="Z721" s="62"/>
      <c r="AA721" s="23" t="s">
        <v>1113</v>
      </c>
      <c r="AB721" s="23" t="s">
        <v>731</v>
      </c>
      <c r="AC721" s="23" t="s">
        <v>731</v>
      </c>
      <c r="AD721" s="23" t="s">
        <v>731</v>
      </c>
      <c r="AE721" s="23"/>
      <c r="AF721" s="23" t="s">
        <v>731</v>
      </c>
      <c r="AG721" s="23" t="s">
        <v>731</v>
      </c>
      <c r="AH721" s="23" t="s">
        <v>731</v>
      </c>
      <c r="AI721" s="23" t="s">
        <v>731</v>
      </c>
      <c r="AJ721" s="23" t="s">
        <v>731</v>
      </c>
      <c r="AK721" s="23" t="s">
        <v>731</v>
      </c>
      <c r="AL721" s="23"/>
      <c r="AM721" s="23"/>
      <c r="AN721" s="23"/>
      <c r="AO721" s="23"/>
      <c r="AP721" s="23"/>
      <c r="AQ721" s="23"/>
      <c r="AR721" s="23"/>
      <c r="AS721" s="23"/>
      <c r="AT721" s="23"/>
      <c r="AU721" s="23"/>
      <c r="AV721" s="42">
        <v>14.27</v>
      </c>
      <c r="AW721" s="18"/>
      <c r="AX721" s="18"/>
      <c r="AY721" s="42"/>
      <c r="AZ721" s="42"/>
      <c r="BA721" s="18"/>
      <c r="BB721" s="45">
        <v>1</v>
      </c>
      <c r="BC721" s="41">
        <f>IF(AND((AV721/I721)&lt;2,BB721=1),(I721*2)-AV721,0)</f>
        <v>0</v>
      </c>
      <c r="BD721" s="41">
        <f>IF(AND((AV721/I721)&lt;3,BB721=2),(I721*3)-AV721,0)</f>
        <v>0</v>
      </c>
      <c r="BG721" s="41">
        <f>IF((AV721+AW721+AX721)&lt;20,(20-(AV721+AW721+AX721)),0)</f>
        <v>5.73</v>
      </c>
      <c r="BH721" s="18">
        <v>26</v>
      </c>
      <c r="BI721" s="18">
        <v>26</v>
      </c>
      <c r="BJ721" s="18">
        <v>25</v>
      </c>
      <c r="BK721" s="18">
        <v>25</v>
      </c>
      <c r="BL721" s="18">
        <v>25</v>
      </c>
      <c r="BM721" s="55">
        <f>SUM(AV721:AX721)+SUM(BC721:BD721)+SUM(BE721:BF721)+BG721</f>
        <v>20</v>
      </c>
      <c r="BN721" s="55"/>
      <c r="BO721" s="55"/>
      <c r="BP721" s="55"/>
      <c r="BQ721" s="55"/>
      <c r="BR721" s="55"/>
      <c r="BS721" s="55"/>
      <c r="BT721" s="55"/>
      <c r="BU721" s="55"/>
      <c r="BV721" s="55"/>
      <c r="BW721" s="55"/>
      <c r="BX721" s="55"/>
      <c r="BY721" s="55"/>
    </row>
    <row r="722" spans="1:77" s="47" customFormat="1" ht="25.5">
      <c r="A722" s="2" t="s">
        <v>800</v>
      </c>
      <c r="B722" s="89">
        <v>709</v>
      </c>
      <c r="C722" s="93">
        <v>418</v>
      </c>
      <c r="D722" s="95"/>
      <c r="E722" s="94">
        <v>0.2902777777777778</v>
      </c>
      <c r="F722" s="94">
        <v>0.2951388888888889</v>
      </c>
      <c r="G722" s="93" t="s">
        <v>706</v>
      </c>
      <c r="H722" s="93" t="s">
        <v>103</v>
      </c>
      <c r="I722" s="96">
        <v>2.5</v>
      </c>
      <c r="J722" s="97" t="s">
        <v>700</v>
      </c>
      <c r="K722" s="98">
        <v>174</v>
      </c>
      <c r="L722" s="109" t="s">
        <v>772</v>
      </c>
      <c r="M722" s="83" t="s">
        <v>1062</v>
      </c>
      <c r="N722" s="83">
        <v>8</v>
      </c>
      <c r="O722" s="83" t="s">
        <v>867</v>
      </c>
      <c r="P722" s="83">
        <v>21</v>
      </c>
      <c r="Q722" s="83" t="s">
        <v>1263</v>
      </c>
      <c r="R722" s="85">
        <v>9</v>
      </c>
      <c r="S722" s="26" t="s">
        <v>1672</v>
      </c>
      <c r="T722" s="26" t="s">
        <v>1673</v>
      </c>
      <c r="U722" s="26">
        <v>4142</v>
      </c>
      <c r="V722" s="26" t="s">
        <v>1674</v>
      </c>
      <c r="W722" s="62">
        <v>44816</v>
      </c>
      <c r="X722" s="62">
        <v>45086</v>
      </c>
      <c r="Y722" s="62"/>
      <c r="Z722" s="62"/>
      <c r="AA722" s="22" t="s">
        <v>1102</v>
      </c>
      <c r="AB722" s="23"/>
      <c r="AC722" s="23"/>
      <c r="AD722" s="23"/>
      <c r="AE722" s="23" t="s">
        <v>731</v>
      </c>
      <c r="AF722" s="23" t="s">
        <v>731</v>
      </c>
      <c r="AG722" s="23" t="s">
        <v>731</v>
      </c>
      <c r="AH722" s="23" t="s">
        <v>731</v>
      </c>
      <c r="AI722" s="23" t="s">
        <v>731</v>
      </c>
      <c r="AJ722" s="23" t="s">
        <v>731</v>
      </c>
      <c r="AK722" s="23"/>
      <c r="AL722" s="23"/>
      <c r="AM722" s="23"/>
      <c r="AN722" s="23"/>
      <c r="AO722" s="23"/>
      <c r="AP722" s="23"/>
      <c r="AQ722" s="23"/>
      <c r="AR722" s="23"/>
      <c r="AS722" s="23"/>
      <c r="AT722" s="23"/>
      <c r="AU722" s="23"/>
      <c r="AV722" s="42"/>
      <c r="AW722" s="41"/>
      <c r="AX722" s="41">
        <f>3*I722</f>
        <v>7.5</v>
      </c>
      <c r="AY722" s="42"/>
      <c r="AZ722" s="42"/>
      <c r="BA722" s="18"/>
      <c r="BB722" s="45">
        <v>1</v>
      </c>
      <c r="BC722" s="45"/>
      <c r="BD722" s="50"/>
      <c r="BE722" s="45"/>
      <c r="BF722" s="45"/>
      <c r="BG722" s="41">
        <f>IF((AV722+AW722+AX722)&lt;20,(20-(AV722+AW722+AX722)),0)</f>
        <v>12.5</v>
      </c>
      <c r="BH722" s="18">
        <v>15</v>
      </c>
      <c r="BI722" s="18">
        <v>20</v>
      </c>
      <c r="BJ722" s="18">
        <v>21</v>
      </c>
      <c r="BK722" s="18">
        <v>15</v>
      </c>
      <c r="BL722" s="18">
        <v>17</v>
      </c>
      <c r="BM722" s="55">
        <f>SUM(AV722:AX722)+SUM(BC722:BD722)+SUM(BE722:BF722)+BG722</f>
        <v>20</v>
      </c>
      <c r="BN722" s="55"/>
      <c r="BO722" s="55"/>
      <c r="BP722" s="55"/>
      <c r="BQ722" s="55"/>
      <c r="BR722" s="55"/>
      <c r="BS722" s="55"/>
      <c r="BT722" s="55"/>
      <c r="BU722" s="55"/>
      <c r="BV722" s="55"/>
      <c r="BW722" s="55"/>
      <c r="BX722" s="55"/>
      <c r="BY722" s="55"/>
    </row>
    <row r="723" spans="1:77" s="47" customFormat="1" ht="25.5">
      <c r="A723" s="2"/>
      <c r="B723" s="89">
        <v>710</v>
      </c>
      <c r="C723" s="93">
        <v>418</v>
      </c>
      <c r="D723" s="95">
        <v>95</v>
      </c>
      <c r="E723" s="94">
        <v>0.29305555555555557</v>
      </c>
      <c r="F723" s="94">
        <v>0.30555555555555552</v>
      </c>
      <c r="G723" s="93" t="s">
        <v>695</v>
      </c>
      <c r="H723" s="93" t="s">
        <v>97</v>
      </c>
      <c r="I723" s="96">
        <v>9</v>
      </c>
      <c r="J723" s="97" t="s">
        <v>93</v>
      </c>
      <c r="K723" s="98">
        <v>208</v>
      </c>
      <c r="L723" s="109" t="s">
        <v>774</v>
      </c>
      <c r="M723" s="87" t="s">
        <v>919</v>
      </c>
      <c r="N723" s="83">
        <v>9</v>
      </c>
      <c r="O723" s="83" t="s">
        <v>1906</v>
      </c>
      <c r="P723" s="83">
        <v>9</v>
      </c>
      <c r="Q723" s="2"/>
      <c r="R723" s="83"/>
      <c r="S723" s="26">
        <v>4116</v>
      </c>
      <c r="T723" s="26" t="s">
        <v>1668</v>
      </c>
      <c r="U723" s="26">
        <v>4113</v>
      </c>
      <c r="V723" s="26" t="s">
        <v>1671</v>
      </c>
      <c r="W723" s="62">
        <v>44816</v>
      </c>
      <c r="X723" s="62">
        <v>45086</v>
      </c>
      <c r="Y723" s="62"/>
      <c r="Z723" s="62"/>
      <c r="AA723" s="22" t="s">
        <v>1106</v>
      </c>
      <c r="AB723" s="23"/>
      <c r="AC723" s="23"/>
      <c r="AD723" s="23"/>
      <c r="AE723" s="23" t="s">
        <v>731</v>
      </c>
      <c r="AF723" s="23" t="s">
        <v>731</v>
      </c>
      <c r="AG723" s="23" t="s">
        <v>731</v>
      </c>
      <c r="AH723" s="23" t="s">
        <v>731</v>
      </c>
      <c r="AI723" s="23" t="s">
        <v>731</v>
      </c>
      <c r="AJ723" s="23" t="s">
        <v>731</v>
      </c>
      <c r="AK723" s="23" t="s">
        <v>731</v>
      </c>
      <c r="AL723" s="23"/>
      <c r="AM723" s="23"/>
      <c r="AN723" s="23"/>
      <c r="AO723" s="23"/>
      <c r="AP723" s="23"/>
      <c r="AQ723" s="23"/>
      <c r="AR723" s="23"/>
      <c r="AS723" s="23"/>
      <c r="AT723" s="23"/>
      <c r="AU723" s="23"/>
      <c r="AV723" s="42">
        <v>27</v>
      </c>
      <c r="AW723" s="18"/>
      <c r="AX723" s="18"/>
      <c r="AY723" s="42"/>
      <c r="AZ723" s="42"/>
      <c r="BA723" s="18"/>
      <c r="BB723" s="45">
        <v>1</v>
      </c>
      <c r="BC723" s="41">
        <f>IF(AND((AV723/I723)&lt;2,BB723=1),(I723*2)-AV723,0)</f>
        <v>0</v>
      </c>
      <c r="BD723" s="41">
        <f>IF(AND((AV723/I723)&lt;3,BB723=2),(I723*3)-AV723,0)</f>
        <v>0</v>
      </c>
      <c r="BH723" s="18">
        <v>17</v>
      </c>
      <c r="BI723" s="18">
        <v>25</v>
      </c>
      <c r="BJ723" s="18">
        <v>25</v>
      </c>
      <c r="BK723" s="18">
        <v>18</v>
      </c>
      <c r="BL723" s="18">
        <v>20</v>
      </c>
      <c r="BM723" s="55">
        <f>SUM(AV723:AX723)+SUM(BC723:BD723)+SUM(BE723:BF723)+BG723</f>
        <v>27</v>
      </c>
      <c r="BN723" s="55"/>
      <c r="BO723" s="55"/>
      <c r="BP723" s="55"/>
      <c r="BQ723" s="55"/>
      <c r="BR723" s="55"/>
      <c r="BS723" s="55"/>
      <c r="BT723" s="55"/>
      <c r="BU723" s="55"/>
      <c r="BV723" s="55"/>
      <c r="BW723" s="55"/>
      <c r="BX723" s="55"/>
      <c r="BY723" s="55"/>
    </row>
    <row r="724" spans="1:77" s="47" customFormat="1" ht="38.25">
      <c r="A724" s="2"/>
      <c r="B724" s="89">
        <v>711</v>
      </c>
      <c r="C724" s="93">
        <v>418</v>
      </c>
      <c r="D724" s="95">
        <v>91</v>
      </c>
      <c r="E724" s="94">
        <v>0.3034722222222222</v>
      </c>
      <c r="F724" s="94">
        <v>0.32777777777777778</v>
      </c>
      <c r="G724" s="103" t="s">
        <v>594</v>
      </c>
      <c r="H724" s="93" t="s">
        <v>18</v>
      </c>
      <c r="I724" s="96">
        <f>13.5+1.8</f>
        <v>15.3</v>
      </c>
      <c r="J724" s="97" t="s">
        <v>228</v>
      </c>
      <c r="K724" s="98">
        <v>304</v>
      </c>
      <c r="L724" s="109" t="s">
        <v>774</v>
      </c>
      <c r="M724" s="87" t="s">
        <v>921</v>
      </c>
      <c r="N724" s="83">
        <v>31</v>
      </c>
      <c r="O724" s="83" t="s">
        <v>920</v>
      </c>
      <c r="P724" s="83">
        <v>20</v>
      </c>
      <c r="Q724" s="2"/>
      <c r="R724" s="83"/>
      <c r="S724" s="26">
        <v>4115</v>
      </c>
      <c r="T724" s="26" t="s">
        <v>1669</v>
      </c>
      <c r="U724" s="26" t="s">
        <v>1419</v>
      </c>
      <c r="V724" s="26" t="s">
        <v>1420</v>
      </c>
      <c r="W724" s="62">
        <v>44805</v>
      </c>
      <c r="X724" s="62">
        <v>45169</v>
      </c>
      <c r="Y724" s="62"/>
      <c r="Z724" s="62"/>
      <c r="AA724" s="23" t="s">
        <v>1113</v>
      </c>
      <c r="AB724" s="23" t="s">
        <v>731</v>
      </c>
      <c r="AC724" s="23" t="s">
        <v>731</v>
      </c>
      <c r="AD724" s="23" t="s">
        <v>731</v>
      </c>
      <c r="AE724" s="23"/>
      <c r="AF724" s="23" t="s">
        <v>731</v>
      </c>
      <c r="AG724" s="23" t="s">
        <v>731</v>
      </c>
      <c r="AH724" s="23" t="s">
        <v>731</v>
      </c>
      <c r="AI724" s="23" t="s">
        <v>731</v>
      </c>
      <c r="AJ724" s="23" t="s">
        <v>731</v>
      </c>
      <c r="AK724" s="23" t="s">
        <v>731</v>
      </c>
      <c r="AL724" s="23"/>
      <c r="AM724" s="23"/>
      <c r="AN724" s="23"/>
      <c r="AO724" s="23"/>
      <c r="AP724" s="23"/>
      <c r="AQ724" s="23"/>
      <c r="AR724" s="23"/>
      <c r="AS724" s="23"/>
      <c r="AT724" s="23"/>
      <c r="AU724" s="23"/>
      <c r="AV724" s="42">
        <v>35.35</v>
      </c>
      <c r="AW724" s="18"/>
      <c r="AX724" s="18"/>
      <c r="AY724" s="42"/>
      <c r="AZ724" s="42"/>
      <c r="BA724" s="18"/>
      <c r="BB724" s="45">
        <v>1</v>
      </c>
      <c r="BC724" s="41">
        <f>IF(AND((AV724/I724)&lt;2,BB724=1),(I724*2)-AV724,0)</f>
        <v>0</v>
      </c>
      <c r="BD724" s="41">
        <f>IF(AND((AV724/I724)&lt;3,BB724=2),(I724*3)-AV724,0)</f>
        <v>0</v>
      </c>
      <c r="BH724" s="18">
        <v>26</v>
      </c>
      <c r="BI724" s="18">
        <v>26</v>
      </c>
      <c r="BJ724" s="18">
        <v>25</v>
      </c>
      <c r="BK724" s="18">
        <v>25</v>
      </c>
      <c r="BL724" s="18">
        <v>25</v>
      </c>
      <c r="BM724" s="55">
        <f>SUM(AV724:AX724)+SUM(BC724:BD724)+SUM(BE724:BF724)+BG724</f>
        <v>35.35</v>
      </c>
      <c r="BN724" s="55"/>
      <c r="BO724" s="55"/>
      <c r="BP724" s="55"/>
      <c r="BQ724" s="55"/>
      <c r="BR724" s="55"/>
      <c r="BS724" s="55"/>
      <c r="BT724" s="55"/>
      <c r="BU724" s="55"/>
      <c r="BV724" s="55"/>
      <c r="BW724" s="55"/>
      <c r="BX724" s="55"/>
      <c r="BY724" s="55"/>
    </row>
    <row r="725" spans="1:77" s="47" customFormat="1" ht="25.5">
      <c r="A725" s="2"/>
      <c r="B725" s="89">
        <v>712</v>
      </c>
      <c r="C725" s="93">
        <v>418</v>
      </c>
      <c r="D725" s="123" t="s">
        <v>1053</v>
      </c>
      <c r="E725" s="94">
        <v>0.36805555555555558</v>
      </c>
      <c r="F725" s="94">
        <v>0.42152777777777778</v>
      </c>
      <c r="G725" s="103" t="s">
        <v>427</v>
      </c>
      <c r="H725" s="93" t="s">
        <v>428</v>
      </c>
      <c r="I725" s="96">
        <f>16+16.5</f>
        <v>32.5</v>
      </c>
      <c r="J725" s="97" t="s">
        <v>188</v>
      </c>
      <c r="K725" s="98">
        <v>58</v>
      </c>
      <c r="L725" s="109" t="s">
        <v>775</v>
      </c>
      <c r="M725" s="83" t="s">
        <v>984</v>
      </c>
      <c r="N725" s="83">
        <v>33</v>
      </c>
      <c r="O725" s="83" t="s">
        <v>1907</v>
      </c>
      <c r="P725" s="83">
        <v>55</v>
      </c>
      <c r="Q725" s="2"/>
      <c r="R725" s="83"/>
      <c r="S725" s="26" t="s">
        <v>1419</v>
      </c>
      <c r="T725" s="26" t="s">
        <v>1420</v>
      </c>
      <c r="U725" s="26" t="s">
        <v>1419</v>
      </c>
      <c r="V725" s="26" t="s">
        <v>1420</v>
      </c>
      <c r="W725" s="62">
        <v>44805</v>
      </c>
      <c r="X725" s="62">
        <v>45169</v>
      </c>
      <c r="Y725" s="62"/>
      <c r="Z725" s="62"/>
      <c r="AA725" s="23" t="s">
        <v>1115</v>
      </c>
      <c r="AB725" s="23" t="s">
        <v>731</v>
      </c>
      <c r="AC725" s="23" t="s">
        <v>731</v>
      </c>
      <c r="AD725" s="23"/>
      <c r="AE725" s="23"/>
      <c r="AF725" s="23"/>
      <c r="AG725" s="23"/>
      <c r="AH725" s="23"/>
      <c r="AI725" s="23"/>
      <c r="AJ725" s="23"/>
      <c r="AK725" s="23"/>
      <c r="AL725" s="23" t="s">
        <v>731</v>
      </c>
      <c r="AM725" s="23"/>
      <c r="AN725" s="23"/>
      <c r="AO725" s="23"/>
      <c r="AP725" s="23"/>
      <c r="AQ725" s="23"/>
      <c r="AR725" s="23"/>
      <c r="AS725" s="23"/>
      <c r="AT725" s="23"/>
      <c r="AU725" s="23"/>
      <c r="AV725" s="42">
        <v>97.5</v>
      </c>
      <c r="AW725" s="18"/>
      <c r="AX725" s="18"/>
      <c r="AY725" s="42"/>
      <c r="AZ725" s="42"/>
      <c r="BA725" s="18"/>
      <c r="BB725" s="45">
        <v>1</v>
      </c>
      <c r="BC725" s="41">
        <f>IF(AND((AV725/I725)&lt;2,BB725=1),(I725*2)-AV725,0)</f>
        <v>0</v>
      </c>
      <c r="BD725" s="41">
        <f>IF(AND((AV725/I725)&lt;3,BB725=2),(I725*3)-AV725,0)</f>
        <v>0</v>
      </c>
      <c r="BH725" s="18">
        <v>4</v>
      </c>
      <c r="BI725" s="18">
        <v>5</v>
      </c>
      <c r="BJ725" s="18">
        <v>5</v>
      </c>
      <c r="BK725" s="18">
        <v>6</v>
      </c>
      <c r="BL725" s="18">
        <v>6</v>
      </c>
      <c r="BM725" s="55">
        <f>SUM(AV725:AX725)+SUM(BC725:BD725)+SUM(BE725:BF725)+BG725</f>
        <v>97.5</v>
      </c>
      <c r="BN725" s="55"/>
      <c r="BO725" s="55"/>
      <c r="BP725" s="55"/>
      <c r="BQ725" s="55"/>
      <c r="BR725" s="55"/>
      <c r="BS725" s="55"/>
      <c r="BT725" s="55"/>
      <c r="BU725" s="55"/>
      <c r="BV725" s="55"/>
      <c r="BW725" s="55"/>
      <c r="BX725" s="55"/>
      <c r="BY725" s="55"/>
    </row>
    <row r="726" spans="1:77" s="47" customFormat="1" ht="22.5">
      <c r="A726" s="2"/>
      <c r="B726" s="89">
        <v>713</v>
      </c>
      <c r="C726" s="93">
        <v>418</v>
      </c>
      <c r="D726" s="95">
        <v>92</v>
      </c>
      <c r="E726" s="94">
        <v>0.52777777777777779</v>
      </c>
      <c r="F726" s="94">
        <v>0.55347222222222225</v>
      </c>
      <c r="G726" s="93" t="s">
        <v>229</v>
      </c>
      <c r="H726" s="93" t="s">
        <v>1</v>
      </c>
      <c r="I726" s="96">
        <v>13.5</v>
      </c>
      <c r="J726" s="97" t="s">
        <v>228</v>
      </c>
      <c r="K726" s="98">
        <v>67</v>
      </c>
      <c r="L726" s="109" t="s">
        <v>774</v>
      </c>
      <c r="M726" s="87" t="s">
        <v>921</v>
      </c>
      <c r="N726" s="83">
        <v>31</v>
      </c>
      <c r="O726" s="83" t="s">
        <v>920</v>
      </c>
      <c r="P726" s="83">
        <v>20</v>
      </c>
      <c r="Q726" s="2"/>
      <c r="R726" s="83"/>
      <c r="S726" s="26" t="s">
        <v>1419</v>
      </c>
      <c r="T726" s="26" t="s">
        <v>1420</v>
      </c>
      <c r="U726" s="26">
        <v>4115</v>
      </c>
      <c r="V726" s="26" t="s">
        <v>1669</v>
      </c>
      <c r="W726" s="63">
        <v>44562</v>
      </c>
      <c r="X726" s="63">
        <v>44815</v>
      </c>
      <c r="Y726" s="63">
        <v>45101</v>
      </c>
      <c r="Z726" s="63">
        <v>45169</v>
      </c>
      <c r="AA726" s="23" t="s">
        <v>1107</v>
      </c>
      <c r="AB726" s="23"/>
      <c r="AC726" s="23" t="s">
        <v>731</v>
      </c>
      <c r="AD726" s="23" t="s">
        <v>731</v>
      </c>
      <c r="AE726" s="23"/>
      <c r="AF726" s="23" t="s">
        <v>731</v>
      </c>
      <c r="AG726" s="23" t="s">
        <v>731</v>
      </c>
      <c r="AH726" s="23" t="s">
        <v>731</v>
      </c>
      <c r="AI726" s="23" t="s">
        <v>731</v>
      </c>
      <c r="AJ726" s="23" t="s">
        <v>731</v>
      </c>
      <c r="AK726" s="23" t="s">
        <v>731</v>
      </c>
      <c r="AL726" s="23"/>
      <c r="AM726" s="23"/>
      <c r="AN726" s="23"/>
      <c r="AO726" s="23"/>
      <c r="AP726" s="23"/>
      <c r="AQ726" s="23"/>
      <c r="AR726" s="23"/>
      <c r="AS726" s="23"/>
      <c r="AT726" s="23"/>
      <c r="AU726" s="23"/>
      <c r="AV726" s="42">
        <v>32.11</v>
      </c>
      <c r="AW726" s="18"/>
      <c r="AX726" s="18"/>
      <c r="AY726" s="42"/>
      <c r="AZ726" s="42"/>
      <c r="BA726" s="18"/>
      <c r="BB726" s="45">
        <v>1</v>
      </c>
      <c r="BC726" s="41">
        <f>IF(AND((AV726/I726)&lt;2,BB726=1),(I726*2)-AV726,0)</f>
        <v>0</v>
      </c>
      <c r="BD726" s="41">
        <f>IF(AND((AV726/I726)&lt;3,BB726=2),(I726*3)-AV726,0)</f>
        <v>0</v>
      </c>
      <c r="BH726" s="18">
        <v>9</v>
      </c>
      <c r="BI726" s="18">
        <v>0</v>
      </c>
      <c r="BJ726" s="18">
        <v>0</v>
      </c>
      <c r="BK726" s="18">
        <v>0</v>
      </c>
      <c r="BL726" s="18">
        <v>0</v>
      </c>
      <c r="BM726" s="55">
        <f>SUM(AV726:AX726)+SUM(BC726:BD726)+SUM(BE726:BF726)+BG726</f>
        <v>32.11</v>
      </c>
      <c r="BN726" s="55"/>
      <c r="BO726" s="55"/>
      <c r="BP726" s="55"/>
      <c r="BQ726" s="55"/>
      <c r="BR726" s="55"/>
      <c r="BS726" s="55"/>
      <c r="BT726" s="55"/>
      <c r="BU726" s="55"/>
      <c r="BV726" s="55"/>
      <c r="BW726" s="55"/>
      <c r="BX726" s="55"/>
      <c r="BY726" s="55"/>
    </row>
    <row r="727" spans="1:77" s="47" customFormat="1" ht="25.5">
      <c r="A727" s="2"/>
      <c r="B727" s="89">
        <v>714</v>
      </c>
      <c r="C727" s="93">
        <v>418</v>
      </c>
      <c r="D727" s="95">
        <v>92</v>
      </c>
      <c r="E727" s="94">
        <v>0.53125</v>
      </c>
      <c r="F727" s="105">
        <v>0.55555555555555558</v>
      </c>
      <c r="G727" s="93" t="s">
        <v>229</v>
      </c>
      <c r="H727" s="93" t="s">
        <v>478</v>
      </c>
      <c r="I727" s="96">
        <v>13.5</v>
      </c>
      <c r="J727" s="97" t="s">
        <v>228</v>
      </c>
      <c r="K727" s="98">
        <v>240</v>
      </c>
      <c r="L727" s="109" t="s">
        <v>774</v>
      </c>
      <c r="M727" s="87" t="s">
        <v>921</v>
      </c>
      <c r="N727" s="83">
        <v>31</v>
      </c>
      <c r="O727" s="83" t="s">
        <v>920</v>
      </c>
      <c r="P727" s="83">
        <v>20</v>
      </c>
      <c r="Q727" s="2"/>
      <c r="R727" s="83"/>
      <c r="S727" s="26" t="s">
        <v>1419</v>
      </c>
      <c r="T727" s="26" t="s">
        <v>1420</v>
      </c>
      <c r="U727" s="26">
        <v>4115</v>
      </c>
      <c r="V727" s="26" t="s">
        <v>1669</v>
      </c>
      <c r="W727" s="63">
        <v>44816</v>
      </c>
      <c r="X727" s="63">
        <v>45100</v>
      </c>
      <c r="Y727" s="63"/>
      <c r="Z727" s="63"/>
      <c r="AA727" s="26" t="s">
        <v>1112</v>
      </c>
      <c r="AB727" s="23" t="s">
        <v>731</v>
      </c>
      <c r="AC727" s="23"/>
      <c r="AD727" s="23" t="s">
        <v>731</v>
      </c>
      <c r="AE727" s="23"/>
      <c r="AF727" s="23" t="s">
        <v>731</v>
      </c>
      <c r="AG727" s="23" t="s">
        <v>731</v>
      </c>
      <c r="AH727" s="23" t="s">
        <v>731</v>
      </c>
      <c r="AI727" s="23" t="s">
        <v>731</v>
      </c>
      <c r="AJ727" s="23" t="s">
        <v>731</v>
      </c>
      <c r="AK727" s="23" t="s">
        <v>731</v>
      </c>
      <c r="AL727" s="23"/>
      <c r="AM727" s="23"/>
      <c r="AN727" s="23"/>
      <c r="AO727" s="23"/>
      <c r="AP727" s="23"/>
      <c r="AQ727" s="23"/>
      <c r="AR727" s="23"/>
      <c r="AS727" s="23"/>
      <c r="AT727" s="23"/>
      <c r="AU727" s="23"/>
      <c r="AV727" s="42">
        <v>32.11</v>
      </c>
      <c r="AW727" s="18"/>
      <c r="AX727" s="18"/>
      <c r="AY727" s="42"/>
      <c r="AZ727" s="42"/>
      <c r="BA727" s="18"/>
      <c r="BB727" s="45">
        <v>1</v>
      </c>
      <c r="BC727" s="41">
        <f>IF(AND((AV727/I727)&lt;2,BB727=1),(I727*2)-AV727,0)</f>
        <v>0</v>
      </c>
      <c r="BD727" s="41">
        <f>IF(AND((AV727/I727)&lt;3,BB727=2),(I727*3)-AV727,0)</f>
        <v>0</v>
      </c>
      <c r="BH727" s="18">
        <v>17</v>
      </c>
      <c r="BI727" s="18">
        <v>26</v>
      </c>
      <c r="BJ727" s="18">
        <v>25</v>
      </c>
      <c r="BK727" s="18">
        <v>25</v>
      </c>
      <c r="BL727" s="18">
        <v>25</v>
      </c>
      <c r="BM727" s="55">
        <f>SUM(AV727:AX727)+SUM(BC727:BD727)+SUM(BE727:BF727)+BG727</f>
        <v>32.11</v>
      </c>
      <c r="BN727" s="55"/>
      <c r="BO727" s="55"/>
      <c r="BP727" s="55"/>
      <c r="BQ727" s="55"/>
      <c r="BR727" s="55"/>
      <c r="BS727" s="55"/>
      <c r="BT727" s="55"/>
      <c r="BU727" s="55"/>
      <c r="BV727" s="55"/>
      <c r="BW727" s="55"/>
      <c r="BX727" s="55"/>
      <c r="BY727" s="55"/>
    </row>
    <row r="728" spans="1:77" s="47" customFormat="1" ht="25.5">
      <c r="A728" s="2"/>
      <c r="B728" s="89">
        <v>715</v>
      </c>
      <c r="C728" s="93">
        <v>418</v>
      </c>
      <c r="D728" s="95">
        <v>180</v>
      </c>
      <c r="E728" s="94">
        <v>0.53819444444444442</v>
      </c>
      <c r="F728" s="105">
        <v>0.5625</v>
      </c>
      <c r="G728" s="93" t="s">
        <v>321</v>
      </c>
      <c r="H728" s="93" t="s">
        <v>97</v>
      </c>
      <c r="I728" s="96">
        <v>12</v>
      </c>
      <c r="J728" s="97" t="s">
        <v>269</v>
      </c>
      <c r="K728" s="98">
        <v>208</v>
      </c>
      <c r="L728" s="109" t="s">
        <v>720</v>
      </c>
      <c r="M728" s="87" t="s">
        <v>865</v>
      </c>
      <c r="N728" s="83">
        <v>21</v>
      </c>
      <c r="O728" s="83" t="s">
        <v>862</v>
      </c>
      <c r="P728" s="83">
        <v>17</v>
      </c>
      <c r="Q728" s="2"/>
      <c r="R728" s="83"/>
      <c r="S728" s="26" t="s">
        <v>1419</v>
      </c>
      <c r="T728" s="26" t="s">
        <v>1420</v>
      </c>
      <c r="U728" s="26">
        <v>4143</v>
      </c>
      <c r="V728" s="26" t="s">
        <v>1670</v>
      </c>
      <c r="W728" s="62">
        <v>44816</v>
      </c>
      <c r="X728" s="62">
        <v>45086</v>
      </c>
      <c r="Y728" s="62"/>
      <c r="Z728" s="62"/>
      <c r="AA728" s="22" t="s">
        <v>1106</v>
      </c>
      <c r="AB728" s="23"/>
      <c r="AC728" s="23"/>
      <c r="AD728" s="23"/>
      <c r="AE728" s="23" t="s">
        <v>731</v>
      </c>
      <c r="AF728" s="23" t="s">
        <v>731</v>
      </c>
      <c r="AG728" s="23" t="s">
        <v>731</v>
      </c>
      <c r="AH728" s="23" t="s">
        <v>731</v>
      </c>
      <c r="AI728" s="23" t="s">
        <v>731</v>
      </c>
      <c r="AJ728" s="23" t="s">
        <v>731</v>
      </c>
      <c r="AK728" s="23" t="s">
        <v>731</v>
      </c>
      <c r="AL728" s="23"/>
      <c r="AM728" s="23"/>
      <c r="AN728" s="23"/>
      <c r="AO728" s="23"/>
      <c r="AP728" s="23"/>
      <c r="AQ728" s="23"/>
      <c r="AR728" s="23"/>
      <c r="AS728" s="23"/>
      <c r="AT728" s="23"/>
      <c r="AU728" s="23"/>
      <c r="AV728" s="42">
        <v>37.74</v>
      </c>
      <c r="AW728" s="18"/>
      <c r="AX728" s="18"/>
      <c r="AY728" s="42"/>
      <c r="AZ728" s="42"/>
      <c r="BA728" s="18"/>
      <c r="BB728" s="45">
        <v>1</v>
      </c>
      <c r="BC728" s="41">
        <f>IF(AND((AV728/I728)&lt;2,BB728=1),(I728*2)-AV728,0)</f>
        <v>0</v>
      </c>
      <c r="BD728" s="41">
        <f>IF(AND((AV728/I728)&lt;3,BB728=2),(I728*3)-AV728,0)</f>
        <v>0</v>
      </c>
      <c r="BH728" s="18">
        <v>17</v>
      </c>
      <c r="BI728" s="18">
        <v>25</v>
      </c>
      <c r="BJ728" s="18">
        <v>25</v>
      </c>
      <c r="BK728" s="18">
        <v>18</v>
      </c>
      <c r="BL728" s="18">
        <v>20</v>
      </c>
      <c r="BM728" s="55">
        <f>SUM(AV728:AX728)+SUM(BC728:BD728)+SUM(BE728:BF728)+BG728</f>
        <v>37.74</v>
      </c>
      <c r="BN728" s="55"/>
      <c r="BO728" s="55"/>
      <c r="BP728" s="55"/>
      <c r="BQ728" s="55"/>
      <c r="BR728" s="55"/>
      <c r="BS728" s="55"/>
      <c r="BT728" s="55"/>
      <c r="BU728" s="55"/>
      <c r="BV728" s="55"/>
      <c r="BW728" s="55"/>
      <c r="BX728" s="55"/>
      <c r="BY728" s="55"/>
    </row>
    <row r="729" spans="1:77" s="47" customFormat="1" ht="38.25">
      <c r="A729" s="2"/>
      <c r="B729" s="89">
        <v>716</v>
      </c>
      <c r="C729" s="93">
        <v>418</v>
      </c>
      <c r="D729" s="123" t="s">
        <v>1054</v>
      </c>
      <c r="E729" s="94">
        <v>0.54861111111111105</v>
      </c>
      <c r="F729" s="94">
        <v>0.6020833333333333</v>
      </c>
      <c r="G729" s="103" t="s">
        <v>629</v>
      </c>
      <c r="H729" s="93" t="s">
        <v>428</v>
      </c>
      <c r="I729" s="96">
        <f>16+16.5</f>
        <v>32.5</v>
      </c>
      <c r="J729" s="97" t="s">
        <v>188</v>
      </c>
      <c r="K729" s="98">
        <v>58</v>
      </c>
      <c r="L729" s="109" t="s">
        <v>775</v>
      </c>
      <c r="M729" s="83" t="s">
        <v>984</v>
      </c>
      <c r="N729" s="83">
        <v>33</v>
      </c>
      <c r="O729" s="87" t="s">
        <v>1907</v>
      </c>
      <c r="P729" s="87">
        <v>55</v>
      </c>
      <c r="Q729" s="2"/>
      <c r="R729" s="83"/>
      <c r="S729" s="26" t="s">
        <v>1419</v>
      </c>
      <c r="T729" s="26" t="s">
        <v>1420</v>
      </c>
      <c r="U729" s="26" t="s">
        <v>1419</v>
      </c>
      <c r="V729" s="26" t="s">
        <v>1420</v>
      </c>
      <c r="W729" s="62">
        <v>44805</v>
      </c>
      <c r="X729" s="62">
        <v>45169</v>
      </c>
      <c r="Y729" s="62"/>
      <c r="Z729" s="62"/>
      <c r="AA729" s="23" t="s">
        <v>1115</v>
      </c>
      <c r="AB729" s="23" t="s">
        <v>731</v>
      </c>
      <c r="AC729" s="23" t="s">
        <v>731</v>
      </c>
      <c r="AD729" s="23"/>
      <c r="AE729" s="23"/>
      <c r="AF729" s="23"/>
      <c r="AG729" s="23"/>
      <c r="AH729" s="23"/>
      <c r="AI729" s="23"/>
      <c r="AJ729" s="23"/>
      <c r="AK729" s="23"/>
      <c r="AL729" s="23" t="s">
        <v>731</v>
      </c>
      <c r="AM729" s="23"/>
      <c r="AN729" s="23"/>
      <c r="AO729" s="23"/>
      <c r="AP729" s="23"/>
      <c r="AQ729" s="23"/>
      <c r="AR729" s="23"/>
      <c r="AS729" s="23"/>
      <c r="AT729" s="23"/>
      <c r="AU729" s="23"/>
      <c r="AV729" s="42">
        <v>97.5</v>
      </c>
      <c r="AW729" s="18"/>
      <c r="AX729" s="18"/>
      <c r="AY729" s="42"/>
      <c r="AZ729" s="42"/>
      <c r="BA729" s="18"/>
      <c r="BB729" s="45">
        <v>1</v>
      </c>
      <c r="BC729" s="41">
        <f>IF(AND((AV729/I729)&lt;2,BB729=1),(I729*2)-AV729,0)</f>
        <v>0</v>
      </c>
      <c r="BD729" s="41">
        <f>IF(AND((AV729/I729)&lt;3,BB729=2),(I729*3)-AV729,0)</f>
        <v>0</v>
      </c>
      <c r="BH729" s="18">
        <v>4</v>
      </c>
      <c r="BI729" s="18">
        <v>5</v>
      </c>
      <c r="BJ729" s="18">
        <v>5</v>
      </c>
      <c r="BK729" s="18">
        <v>6</v>
      </c>
      <c r="BL729" s="18">
        <v>6</v>
      </c>
      <c r="BM729" s="55">
        <f>SUM(AV729:AX729)+SUM(BC729:BD729)+SUM(BE729:BF729)+BG729</f>
        <v>97.5</v>
      </c>
      <c r="BN729" s="55"/>
      <c r="BO729" s="55"/>
      <c r="BP729" s="55"/>
      <c r="BQ729" s="55"/>
      <c r="BR729" s="55"/>
      <c r="BS729" s="55"/>
      <c r="BT729" s="55"/>
      <c r="BU729" s="55"/>
      <c r="BV729" s="55"/>
      <c r="BW729" s="55"/>
      <c r="BX729" s="55"/>
      <c r="BY729" s="55"/>
    </row>
    <row r="730" spans="1:77" s="47" customFormat="1" ht="25.5">
      <c r="A730" s="2"/>
      <c r="B730" s="89">
        <v>717</v>
      </c>
      <c r="C730" s="106">
        <v>418</v>
      </c>
      <c r="D730" s="95">
        <v>456</v>
      </c>
      <c r="E730" s="94">
        <v>0.56597222222222221</v>
      </c>
      <c r="F730" s="94">
        <v>0.57500000000000007</v>
      </c>
      <c r="G730" s="93" t="s">
        <v>230</v>
      </c>
      <c r="H730" s="93" t="s">
        <v>97</v>
      </c>
      <c r="I730" s="96">
        <v>6</v>
      </c>
      <c r="J730" s="97" t="s">
        <v>93</v>
      </c>
      <c r="K730" s="98">
        <v>208</v>
      </c>
      <c r="L730" s="109" t="s">
        <v>774</v>
      </c>
      <c r="M730" s="87" t="s">
        <v>920</v>
      </c>
      <c r="N730" s="87">
        <v>20</v>
      </c>
      <c r="O730" s="87" t="s">
        <v>1906</v>
      </c>
      <c r="P730" s="87">
        <v>9</v>
      </c>
      <c r="Q730" s="2"/>
      <c r="R730" s="87"/>
      <c r="S730" s="26">
        <v>4113</v>
      </c>
      <c r="T730" s="26" t="s">
        <v>1671</v>
      </c>
      <c r="U730" s="26">
        <v>4115</v>
      </c>
      <c r="V730" s="26" t="s">
        <v>1669</v>
      </c>
      <c r="W730" s="62">
        <v>44816</v>
      </c>
      <c r="X730" s="62">
        <v>45086</v>
      </c>
      <c r="Y730" s="62"/>
      <c r="Z730" s="62"/>
      <c r="AA730" s="22" t="s">
        <v>1106</v>
      </c>
      <c r="AB730" s="23"/>
      <c r="AC730" s="23"/>
      <c r="AD730" s="23"/>
      <c r="AE730" s="23" t="s">
        <v>731</v>
      </c>
      <c r="AF730" s="23" t="s">
        <v>731</v>
      </c>
      <c r="AG730" s="23" t="s">
        <v>731</v>
      </c>
      <c r="AH730" s="23" t="s">
        <v>731</v>
      </c>
      <c r="AI730" s="23" t="s">
        <v>731</v>
      </c>
      <c r="AJ730" s="23" t="s">
        <v>731</v>
      </c>
      <c r="AK730" s="23" t="s">
        <v>731</v>
      </c>
      <c r="AL730" s="23"/>
      <c r="AM730" s="23"/>
      <c r="AN730" s="23"/>
      <c r="AO730" s="23"/>
      <c r="AP730" s="23"/>
      <c r="AQ730" s="23"/>
      <c r="AR730" s="23"/>
      <c r="AS730" s="23"/>
      <c r="AT730" s="23"/>
      <c r="AU730" s="23"/>
      <c r="AV730" s="42">
        <v>10.8</v>
      </c>
      <c r="AW730" s="18"/>
      <c r="AX730" s="18"/>
      <c r="AY730" s="42"/>
      <c r="AZ730" s="42"/>
      <c r="BA730" s="18"/>
      <c r="BB730" s="45">
        <v>1</v>
      </c>
      <c r="BC730" s="41">
        <f>IF(AND((AV730/I730)&lt;2,BB730=1),(I730*2)-AV730,0)</f>
        <v>1.1999999999999993</v>
      </c>
      <c r="BD730" s="41">
        <f>IF(AND((AV730/I730)&lt;3,BB730=2),(I730*3)-AV730,0)</f>
        <v>0</v>
      </c>
      <c r="BH730" s="18">
        <v>17</v>
      </c>
      <c r="BI730" s="18">
        <v>25</v>
      </c>
      <c r="BJ730" s="18">
        <v>25</v>
      </c>
      <c r="BK730" s="18">
        <v>18</v>
      </c>
      <c r="BL730" s="18">
        <v>20</v>
      </c>
      <c r="BM730" s="55">
        <f>SUM(AV730:AX730)+SUM(BC730:BD730)+SUM(BE730:BF730)+BG730</f>
        <v>12</v>
      </c>
      <c r="BN730" s="55"/>
      <c r="BO730" s="55"/>
      <c r="BP730" s="55"/>
      <c r="BQ730" s="55"/>
      <c r="BR730" s="55"/>
      <c r="BS730" s="55"/>
      <c r="BT730" s="55"/>
      <c r="BU730" s="55"/>
      <c r="BV730" s="55"/>
      <c r="BW730" s="55"/>
      <c r="BX730" s="55"/>
      <c r="BY730" s="55"/>
    </row>
    <row r="731" spans="1:77" s="47" customFormat="1" ht="22.5">
      <c r="A731" s="2"/>
      <c r="B731" s="89">
        <v>718</v>
      </c>
      <c r="C731" s="93">
        <v>418</v>
      </c>
      <c r="D731" s="95">
        <v>93</v>
      </c>
      <c r="E731" s="94">
        <v>0.58263888888888882</v>
      </c>
      <c r="F731" s="94">
        <v>0.59166666666666667</v>
      </c>
      <c r="G731" s="103" t="s">
        <v>231</v>
      </c>
      <c r="H731" s="93" t="s">
        <v>18</v>
      </c>
      <c r="I731" s="96">
        <v>6</v>
      </c>
      <c r="J731" s="97" t="s">
        <v>99</v>
      </c>
      <c r="K731" s="98">
        <v>304</v>
      </c>
      <c r="L731" s="109" t="s">
        <v>774</v>
      </c>
      <c r="M731" s="87" t="s">
        <v>919</v>
      </c>
      <c r="N731" s="87">
        <v>9</v>
      </c>
      <c r="O731" s="87" t="s">
        <v>1906</v>
      </c>
      <c r="P731" s="87">
        <v>9</v>
      </c>
      <c r="Q731" s="2"/>
      <c r="R731" s="87"/>
      <c r="S731" s="26">
        <v>4115</v>
      </c>
      <c r="T731" s="26" t="s">
        <v>1669</v>
      </c>
      <c r="U731" s="26">
        <v>4113</v>
      </c>
      <c r="V731" s="26" t="s">
        <v>1671</v>
      </c>
      <c r="W731" s="62">
        <v>44805</v>
      </c>
      <c r="X731" s="62">
        <v>45169</v>
      </c>
      <c r="Y731" s="62"/>
      <c r="Z731" s="62"/>
      <c r="AA731" s="23" t="s">
        <v>1113</v>
      </c>
      <c r="AB731" s="23" t="s">
        <v>731</v>
      </c>
      <c r="AC731" s="23" t="s">
        <v>731</v>
      </c>
      <c r="AD731" s="23" t="s">
        <v>731</v>
      </c>
      <c r="AE731" s="23"/>
      <c r="AF731" s="23" t="s">
        <v>731</v>
      </c>
      <c r="AG731" s="23" t="s">
        <v>731</v>
      </c>
      <c r="AH731" s="23" t="s">
        <v>731</v>
      </c>
      <c r="AI731" s="23" t="s">
        <v>731</v>
      </c>
      <c r="AJ731" s="23" t="s">
        <v>731</v>
      </c>
      <c r="AK731" s="23" t="s">
        <v>731</v>
      </c>
      <c r="AL731" s="23"/>
      <c r="AM731" s="23"/>
      <c r="AN731" s="23"/>
      <c r="AO731" s="23"/>
      <c r="AP731" s="23"/>
      <c r="AQ731" s="23"/>
      <c r="AR731" s="23"/>
      <c r="AS731" s="23"/>
      <c r="AT731" s="23"/>
      <c r="AU731" s="23"/>
      <c r="AV731" s="42">
        <v>14.27</v>
      </c>
      <c r="AW731" s="18"/>
      <c r="AX731" s="18"/>
      <c r="AY731" s="42"/>
      <c r="AZ731" s="42"/>
      <c r="BA731" s="18"/>
      <c r="BB731" s="45">
        <v>1</v>
      </c>
      <c r="BC731" s="41">
        <f>IF(AND((AV731/I731)&lt;2,BB731=1),(I731*2)-AV731,0)</f>
        <v>0</v>
      </c>
      <c r="BD731" s="41">
        <f>IF(AND((AV731/I731)&lt;3,BB731=2),(I731*3)-AV731,0)</f>
        <v>0</v>
      </c>
      <c r="BH731" s="18">
        <v>26</v>
      </c>
      <c r="BI731" s="18">
        <v>26</v>
      </c>
      <c r="BJ731" s="18">
        <v>25</v>
      </c>
      <c r="BK731" s="18">
        <v>25</v>
      </c>
      <c r="BL731" s="18">
        <v>25</v>
      </c>
      <c r="BM731" s="55">
        <f>SUM(AV731:AX731)+SUM(BC731:BD731)+SUM(BE731:BF731)+BG731</f>
        <v>14.27</v>
      </c>
      <c r="BN731" s="55"/>
      <c r="BO731" s="55"/>
      <c r="BP731" s="55"/>
      <c r="BQ731" s="55"/>
      <c r="BR731" s="55"/>
      <c r="BS731" s="55"/>
      <c r="BT731" s="55"/>
      <c r="BU731" s="55"/>
      <c r="BV731" s="55"/>
      <c r="BW731" s="55"/>
      <c r="BX731" s="55"/>
      <c r="BY731" s="55"/>
    </row>
    <row r="732" spans="1:77" s="47" customFormat="1" ht="25.5">
      <c r="A732" s="2"/>
      <c r="B732" s="89">
        <v>719</v>
      </c>
      <c r="C732" s="93">
        <v>418</v>
      </c>
      <c r="D732" s="95">
        <v>458</v>
      </c>
      <c r="E732" s="94">
        <v>0.59166666666666667</v>
      </c>
      <c r="F732" s="94">
        <v>0.60069444444444442</v>
      </c>
      <c r="G732" s="93" t="s">
        <v>230</v>
      </c>
      <c r="H732" s="93" t="s">
        <v>97</v>
      </c>
      <c r="I732" s="96">
        <v>6</v>
      </c>
      <c r="J732" s="97" t="s">
        <v>116</v>
      </c>
      <c r="K732" s="98">
        <v>208</v>
      </c>
      <c r="L732" s="109" t="s">
        <v>774</v>
      </c>
      <c r="M732" s="87" t="s">
        <v>919</v>
      </c>
      <c r="N732" s="87">
        <v>9</v>
      </c>
      <c r="O732" s="87" t="s">
        <v>1906</v>
      </c>
      <c r="P732" s="87">
        <v>9</v>
      </c>
      <c r="Q732" s="2"/>
      <c r="R732" s="87"/>
      <c r="S732" s="26">
        <v>4113</v>
      </c>
      <c r="T732" s="26" t="s">
        <v>1671</v>
      </c>
      <c r="U732" s="26">
        <v>4115</v>
      </c>
      <c r="V732" s="26" t="s">
        <v>1669</v>
      </c>
      <c r="W732" s="62">
        <v>44816</v>
      </c>
      <c r="X732" s="62">
        <v>45086</v>
      </c>
      <c r="Y732" s="62"/>
      <c r="Z732" s="62"/>
      <c r="AA732" s="22" t="s">
        <v>1106</v>
      </c>
      <c r="AB732" s="23"/>
      <c r="AC732" s="23"/>
      <c r="AD732" s="23"/>
      <c r="AE732" s="23" t="s">
        <v>731</v>
      </c>
      <c r="AF732" s="23" t="s">
        <v>731</v>
      </c>
      <c r="AG732" s="23" t="s">
        <v>731</v>
      </c>
      <c r="AH732" s="23" t="s">
        <v>731</v>
      </c>
      <c r="AI732" s="23" t="s">
        <v>731</v>
      </c>
      <c r="AJ732" s="23" t="s">
        <v>731</v>
      </c>
      <c r="AK732" s="23" t="s">
        <v>731</v>
      </c>
      <c r="AL732" s="23"/>
      <c r="AM732" s="23"/>
      <c r="AN732" s="23"/>
      <c r="AO732" s="23"/>
      <c r="AP732" s="23"/>
      <c r="AQ732" s="23"/>
      <c r="AR732" s="23"/>
      <c r="AS732" s="23"/>
      <c r="AT732" s="23"/>
      <c r="AU732" s="23"/>
      <c r="AV732" s="42">
        <v>16.649999999999999</v>
      </c>
      <c r="AW732" s="18"/>
      <c r="AX732" s="18"/>
      <c r="AY732" s="42"/>
      <c r="AZ732" s="42"/>
      <c r="BA732" s="18"/>
      <c r="BB732" s="45">
        <v>1</v>
      </c>
      <c r="BC732" s="41">
        <f>IF(AND((AV732/I732)&lt;2,BB732=1),(I732*2)-AV732,0)</f>
        <v>0</v>
      </c>
      <c r="BD732" s="41">
        <f>IF(AND((AV732/I732)&lt;3,BB732=2),(I732*3)-AV732,0)</f>
        <v>0</v>
      </c>
      <c r="BH732" s="18">
        <v>17</v>
      </c>
      <c r="BI732" s="18">
        <v>25</v>
      </c>
      <c r="BJ732" s="18">
        <v>25</v>
      </c>
      <c r="BK732" s="18">
        <v>18</v>
      </c>
      <c r="BL732" s="18">
        <v>20</v>
      </c>
      <c r="BM732" s="55">
        <f>SUM(AV732:AX732)+SUM(BC732:BD732)+SUM(BE732:BF732)+BG732</f>
        <v>16.649999999999999</v>
      </c>
      <c r="BN732" s="55"/>
      <c r="BO732" s="55"/>
      <c r="BP732" s="55"/>
      <c r="BQ732" s="55"/>
      <c r="BR732" s="55"/>
      <c r="BS732" s="55"/>
      <c r="BT732" s="55"/>
      <c r="BU732" s="55"/>
      <c r="BV732" s="55"/>
      <c r="BW732" s="55"/>
      <c r="BX732" s="55"/>
      <c r="BY732" s="55"/>
    </row>
    <row r="733" spans="1:77" ht="25.5">
      <c r="B733" s="89">
        <v>720</v>
      </c>
      <c r="C733" s="93">
        <v>418</v>
      </c>
      <c r="D733" s="95">
        <v>458</v>
      </c>
      <c r="E733" s="94">
        <v>0.60069444444444442</v>
      </c>
      <c r="F733" s="94">
        <v>0.60416666666666663</v>
      </c>
      <c r="G733" s="93" t="s">
        <v>227</v>
      </c>
      <c r="H733" s="93" t="s">
        <v>97</v>
      </c>
      <c r="I733" s="96">
        <v>3</v>
      </c>
      <c r="J733" s="97" t="s">
        <v>116</v>
      </c>
      <c r="K733" s="98">
        <v>208</v>
      </c>
      <c r="L733" s="109" t="s">
        <v>774</v>
      </c>
      <c r="M733" s="87" t="s">
        <v>919</v>
      </c>
      <c r="N733" s="87">
        <v>9</v>
      </c>
      <c r="O733" s="87" t="s">
        <v>1906</v>
      </c>
      <c r="P733" s="87">
        <v>9</v>
      </c>
      <c r="R733" s="87"/>
      <c r="S733" s="26">
        <v>4115</v>
      </c>
      <c r="T733" s="26" t="s">
        <v>1669</v>
      </c>
      <c r="U733" s="26">
        <v>4116</v>
      </c>
      <c r="V733" s="26" t="s">
        <v>1668</v>
      </c>
      <c r="W733" s="62">
        <v>44816</v>
      </c>
      <c r="X733" s="62">
        <v>45086</v>
      </c>
      <c r="Y733" s="62"/>
      <c r="Z733" s="62"/>
      <c r="AA733" s="22" t="s">
        <v>1106</v>
      </c>
      <c r="AB733" s="23"/>
      <c r="AC733" s="23"/>
      <c r="AD733" s="23"/>
      <c r="AE733" s="23" t="s">
        <v>731</v>
      </c>
      <c r="AF733" s="23" t="s">
        <v>731</v>
      </c>
      <c r="AG733" s="23" t="s">
        <v>731</v>
      </c>
      <c r="AH733" s="23" t="s">
        <v>731</v>
      </c>
      <c r="AI733" s="23" t="s">
        <v>731</v>
      </c>
      <c r="AJ733" s="23" t="s">
        <v>731</v>
      </c>
      <c r="AK733" s="23" t="s">
        <v>731</v>
      </c>
      <c r="AL733" s="23"/>
      <c r="AM733" s="23"/>
      <c r="AN733" s="23"/>
      <c r="AO733" s="23"/>
      <c r="AP733" s="23"/>
      <c r="AQ733" s="23"/>
      <c r="AR733" s="23"/>
      <c r="AS733" s="23"/>
      <c r="AT733" s="23"/>
      <c r="AU733" s="23"/>
      <c r="AV733" s="42">
        <v>8.33</v>
      </c>
      <c r="AW733" s="18"/>
      <c r="AY733" s="42"/>
      <c r="AZ733" s="42"/>
      <c r="BB733" s="45">
        <v>1</v>
      </c>
      <c r="BC733" s="41">
        <f>IF(AND((AV733/I733)&lt;2,BB733=1),(I733*2)-AV733,0)</f>
        <v>0</v>
      </c>
      <c r="BD733" s="41">
        <f>IF(AND((AV733/I733)&lt;3,BB733=2),(I733*3)-AV733,0)</f>
        <v>0</v>
      </c>
      <c r="BG733" s="18"/>
      <c r="BH733" s="18">
        <v>17</v>
      </c>
      <c r="BI733" s="18">
        <v>25</v>
      </c>
      <c r="BJ733" s="18">
        <v>25</v>
      </c>
      <c r="BK733" s="18">
        <v>18</v>
      </c>
      <c r="BL733" s="18">
        <v>20</v>
      </c>
      <c r="BM733" s="55">
        <f>SUM(AV733:AX733)+SUM(BC733:BD733)+SUM(BE733:BF733)+BG733</f>
        <v>8.33</v>
      </c>
      <c r="BN733" s="55"/>
      <c r="BO733" s="55"/>
      <c r="BP733" s="55"/>
      <c r="BQ733" s="55"/>
      <c r="BR733" s="55"/>
      <c r="BS733" s="55"/>
      <c r="BT733" s="55"/>
      <c r="BU733" s="55"/>
      <c r="BV733" s="55"/>
      <c r="BW733" s="55"/>
      <c r="BX733" s="55"/>
      <c r="BY733" s="55"/>
    </row>
    <row r="734" spans="1:77" ht="25.5">
      <c r="B734" s="89">
        <v>721</v>
      </c>
      <c r="C734" s="93">
        <v>418</v>
      </c>
      <c r="D734" s="93">
        <v>306</v>
      </c>
      <c r="E734" s="94">
        <v>0.61111111111111105</v>
      </c>
      <c r="F734" s="94">
        <v>0.63888888888888895</v>
      </c>
      <c r="G734" s="93" t="s">
        <v>141</v>
      </c>
      <c r="H734" s="93" t="s">
        <v>103</v>
      </c>
      <c r="I734" s="96">
        <v>19.5</v>
      </c>
      <c r="J734" s="97" t="s">
        <v>269</v>
      </c>
      <c r="K734" s="98">
        <v>174</v>
      </c>
      <c r="L734" s="109" t="s">
        <v>773</v>
      </c>
      <c r="M734" s="2" t="s">
        <v>937</v>
      </c>
      <c r="N734" s="2">
        <v>23</v>
      </c>
      <c r="O734" s="87" t="s">
        <v>1905</v>
      </c>
      <c r="P734" s="87">
        <v>24</v>
      </c>
      <c r="Q734" s="87" t="s">
        <v>1942</v>
      </c>
      <c r="R734" s="84">
        <v>23</v>
      </c>
      <c r="S734" s="26" t="s">
        <v>1419</v>
      </c>
      <c r="T734" s="26" t="s">
        <v>1420</v>
      </c>
      <c r="U734" s="26">
        <v>4126</v>
      </c>
      <c r="V734" s="26" t="s">
        <v>1665</v>
      </c>
      <c r="W734" s="62">
        <v>44816</v>
      </c>
      <c r="X734" s="62">
        <v>45086</v>
      </c>
      <c r="Y734" s="62"/>
      <c r="Z734" s="62"/>
      <c r="AA734" s="22" t="s">
        <v>1102</v>
      </c>
      <c r="AB734" s="23"/>
      <c r="AC734" s="23"/>
      <c r="AD734" s="23"/>
      <c r="AE734" s="23" t="s">
        <v>731</v>
      </c>
      <c r="AF734" s="23" t="s">
        <v>731</v>
      </c>
      <c r="AG734" s="23" t="s">
        <v>731</v>
      </c>
      <c r="AH734" s="23" t="s">
        <v>731</v>
      </c>
      <c r="AI734" s="23" t="s">
        <v>731</v>
      </c>
      <c r="AJ734" s="23" t="s">
        <v>731</v>
      </c>
      <c r="AK734" s="23"/>
      <c r="AL734" s="23"/>
      <c r="AM734" s="23"/>
      <c r="AN734" s="23"/>
      <c r="AO734" s="23"/>
      <c r="AP734" s="23"/>
      <c r="AQ734" s="23"/>
      <c r="AR734" s="23"/>
      <c r="AS734" s="23"/>
      <c r="AT734" s="23"/>
      <c r="AU734" s="23"/>
      <c r="AV734" s="42">
        <v>35.1</v>
      </c>
      <c r="AW734" s="18"/>
      <c r="AY734" s="42"/>
      <c r="AZ734" s="42"/>
      <c r="BB734" s="45">
        <v>1</v>
      </c>
      <c r="BC734" s="41">
        <f>IF(AND((AV734/I734)&lt;2,BB734=1),(I734*2)-AV734,0)</f>
        <v>3.8999999999999986</v>
      </c>
      <c r="BD734" s="41">
        <f>IF(AND((AV734/I734)&lt;3,BB734=2),(I734*3)-AV734,0)</f>
        <v>0</v>
      </c>
      <c r="BG734" s="18"/>
      <c r="BH734" s="18">
        <v>15</v>
      </c>
      <c r="BI734" s="18">
        <v>20</v>
      </c>
      <c r="BJ734" s="18">
        <v>21</v>
      </c>
      <c r="BK734" s="18">
        <v>15</v>
      </c>
      <c r="BL734" s="18">
        <v>17</v>
      </c>
      <c r="BM734" s="55">
        <f>SUM(AV734:AX734)+SUM(BC734:BD734)+SUM(BE734:BF734)+BG734</f>
        <v>39</v>
      </c>
      <c r="BN734" s="55"/>
      <c r="BO734" s="55"/>
      <c r="BP734" s="55"/>
      <c r="BQ734" s="55"/>
      <c r="BR734" s="55"/>
      <c r="BS734" s="55"/>
      <c r="BT734" s="55"/>
      <c r="BU734" s="55"/>
      <c r="BV734" s="55"/>
      <c r="BW734" s="55"/>
      <c r="BX734" s="55"/>
      <c r="BY734" s="55"/>
    </row>
    <row r="735" spans="1:77" ht="25.5">
      <c r="B735" s="89">
        <v>722</v>
      </c>
      <c r="C735" s="93">
        <v>418</v>
      </c>
      <c r="D735" s="95">
        <v>460</v>
      </c>
      <c r="E735" s="94">
        <v>0.625</v>
      </c>
      <c r="F735" s="94">
        <v>0.63750000000000007</v>
      </c>
      <c r="G735" s="93" t="s">
        <v>535</v>
      </c>
      <c r="H735" s="93" t="s">
        <v>103</v>
      </c>
      <c r="I735" s="96">
        <v>9</v>
      </c>
      <c r="J735" s="97" t="s">
        <v>93</v>
      </c>
      <c r="K735" s="98">
        <v>174</v>
      </c>
      <c r="L735" s="109" t="s">
        <v>774</v>
      </c>
      <c r="M735" s="83" t="s">
        <v>919</v>
      </c>
      <c r="N735" s="83">
        <v>9</v>
      </c>
      <c r="O735" s="87" t="s">
        <v>1906</v>
      </c>
      <c r="P735" s="87">
        <v>9</v>
      </c>
      <c r="R735" s="83"/>
      <c r="S735" s="26">
        <v>4113</v>
      </c>
      <c r="T735" s="26" t="s">
        <v>1671</v>
      </c>
      <c r="U735" s="26">
        <v>4116</v>
      </c>
      <c r="V735" s="26" t="s">
        <v>1668</v>
      </c>
      <c r="W735" s="62">
        <v>44816</v>
      </c>
      <c r="X735" s="62">
        <v>45086</v>
      </c>
      <c r="Y735" s="62"/>
      <c r="Z735" s="62"/>
      <c r="AA735" s="22" t="s">
        <v>1102</v>
      </c>
      <c r="AB735" s="23"/>
      <c r="AC735" s="23"/>
      <c r="AD735" s="23"/>
      <c r="AE735" s="23" t="s">
        <v>731</v>
      </c>
      <c r="AF735" s="23" t="s">
        <v>731</v>
      </c>
      <c r="AG735" s="23" t="s">
        <v>731</v>
      </c>
      <c r="AH735" s="23" t="s">
        <v>731</v>
      </c>
      <c r="AI735" s="23" t="s">
        <v>731</v>
      </c>
      <c r="AJ735" s="23" t="s">
        <v>731</v>
      </c>
      <c r="AK735" s="23"/>
      <c r="AL735" s="23"/>
      <c r="AM735" s="23"/>
      <c r="AN735" s="23"/>
      <c r="AO735" s="23"/>
      <c r="AP735" s="23"/>
      <c r="AQ735" s="23"/>
      <c r="AR735" s="23"/>
      <c r="AS735" s="23"/>
      <c r="AT735" s="23"/>
      <c r="AU735" s="23"/>
      <c r="AV735" s="42">
        <v>27</v>
      </c>
      <c r="AW735" s="18"/>
      <c r="AY735" s="42"/>
      <c r="AZ735" s="42"/>
      <c r="BB735" s="45">
        <v>1</v>
      </c>
      <c r="BC735" s="41">
        <f>IF(AND((AV735/I735)&lt;2,BB735=1),(I735*2)-AV735,0)</f>
        <v>0</v>
      </c>
      <c r="BD735" s="41">
        <f>IF(AND((AV735/I735)&lt;3,BB735=2),(I735*3)-AV735,0)</f>
        <v>0</v>
      </c>
      <c r="BG735" s="18"/>
      <c r="BH735" s="18">
        <v>15</v>
      </c>
      <c r="BI735" s="18">
        <v>20</v>
      </c>
      <c r="BJ735" s="18">
        <v>21</v>
      </c>
      <c r="BK735" s="18">
        <v>15</v>
      </c>
      <c r="BL735" s="18">
        <v>17</v>
      </c>
      <c r="BM735" s="55">
        <f>SUM(AV735:AX735)+SUM(BC735:BD735)+SUM(BE735:BF735)+BG735</f>
        <v>27</v>
      </c>
      <c r="BN735" s="55"/>
      <c r="BO735" s="55"/>
      <c r="BP735" s="55"/>
      <c r="BQ735" s="55"/>
      <c r="BR735" s="55"/>
      <c r="BS735" s="55"/>
      <c r="BT735" s="55"/>
      <c r="BU735" s="55"/>
      <c r="BV735" s="55"/>
      <c r="BW735" s="55"/>
      <c r="BX735" s="55"/>
      <c r="BY735" s="55"/>
    </row>
    <row r="736" spans="1:77" ht="25.5">
      <c r="B736" s="89">
        <v>723</v>
      </c>
      <c r="C736" s="93">
        <v>418</v>
      </c>
      <c r="D736" s="95">
        <v>272</v>
      </c>
      <c r="E736" s="94">
        <v>0.67152777777777783</v>
      </c>
      <c r="F736" s="94">
        <v>0.6958333333333333</v>
      </c>
      <c r="G736" s="93" t="s">
        <v>40</v>
      </c>
      <c r="H736" s="93" t="s">
        <v>103</v>
      </c>
      <c r="I736" s="96">
        <v>14</v>
      </c>
      <c r="J736" s="97" t="s">
        <v>93</v>
      </c>
      <c r="K736" s="98">
        <v>174</v>
      </c>
      <c r="L736" s="109" t="s">
        <v>772</v>
      </c>
      <c r="M736" s="83" t="s">
        <v>867</v>
      </c>
      <c r="N736" s="83">
        <v>21</v>
      </c>
      <c r="O736" s="87" t="s">
        <v>868</v>
      </c>
      <c r="P736" s="87">
        <v>31</v>
      </c>
      <c r="Q736" s="192" t="s">
        <v>1999</v>
      </c>
      <c r="R736" s="192">
        <v>38</v>
      </c>
      <c r="S736" s="26" t="s">
        <v>1419</v>
      </c>
      <c r="T736" s="26" t="s">
        <v>1420</v>
      </c>
      <c r="U736" s="26">
        <v>4143</v>
      </c>
      <c r="V736" s="26" t="s">
        <v>1670</v>
      </c>
      <c r="W736" s="62">
        <v>44816</v>
      </c>
      <c r="X736" s="62">
        <v>45086</v>
      </c>
      <c r="Y736" s="62"/>
      <c r="Z736" s="62"/>
      <c r="AA736" s="22" t="s">
        <v>1102</v>
      </c>
      <c r="AB736" s="23"/>
      <c r="AC736" s="23"/>
      <c r="AD736" s="23"/>
      <c r="AE736" s="23" t="s">
        <v>731</v>
      </c>
      <c r="AF736" s="23" t="s">
        <v>731</v>
      </c>
      <c r="AG736" s="23" t="s">
        <v>731</v>
      </c>
      <c r="AH736" s="23" t="s">
        <v>731</v>
      </c>
      <c r="AI736" s="23" t="s">
        <v>731</v>
      </c>
      <c r="AJ736" s="23" t="s">
        <v>731</v>
      </c>
      <c r="AK736" s="23"/>
      <c r="AL736" s="23"/>
      <c r="AM736" s="23"/>
      <c r="AN736" s="23"/>
      <c r="AO736" s="23"/>
      <c r="AP736" s="23"/>
      <c r="AQ736" s="23"/>
      <c r="AR736" s="23"/>
      <c r="AS736" s="23"/>
      <c r="AT736" s="23"/>
      <c r="AU736" s="23"/>
      <c r="AV736" s="41">
        <v>42</v>
      </c>
      <c r="AW736" s="18"/>
      <c r="AY736" s="41"/>
      <c r="AZ736" s="41"/>
      <c r="BB736" s="45">
        <v>1</v>
      </c>
      <c r="BC736" s="41">
        <f>IF(AND((AV736/I736)&lt;2,BB736=1),(I736*2)-AV736,0)</f>
        <v>0</v>
      </c>
      <c r="BD736" s="41">
        <f>IF(AND((AV736/I736)&lt;3,BB736=2),(I736*3)-AV736,0)</f>
        <v>0</v>
      </c>
      <c r="BG736" s="18"/>
      <c r="BH736" s="18">
        <v>15</v>
      </c>
      <c r="BI736" s="18">
        <v>20</v>
      </c>
      <c r="BJ736" s="18">
        <v>21</v>
      </c>
      <c r="BK736" s="18">
        <v>15</v>
      </c>
      <c r="BL736" s="18">
        <v>17</v>
      </c>
      <c r="BM736" s="55">
        <f>SUM(AV736:AX736)+SUM(BC736:BD736)+SUM(BE736:BF736)+BG736</f>
        <v>42</v>
      </c>
      <c r="BN736" s="55"/>
      <c r="BO736" s="55"/>
      <c r="BP736" s="55"/>
      <c r="BQ736" s="55"/>
      <c r="BR736" s="55"/>
      <c r="BS736" s="55"/>
      <c r="BT736" s="55"/>
      <c r="BU736" s="55"/>
      <c r="BV736" s="55"/>
      <c r="BW736" s="55"/>
      <c r="BX736" s="55"/>
      <c r="BY736" s="55"/>
    </row>
    <row r="737" spans="2:77" ht="25.5">
      <c r="B737" s="89">
        <v>724</v>
      </c>
      <c r="C737" s="93">
        <v>418</v>
      </c>
      <c r="D737" s="123" t="s">
        <v>1055</v>
      </c>
      <c r="E737" s="94">
        <v>0.73611111111111116</v>
      </c>
      <c r="F737" s="94">
        <v>0.7895833333333333</v>
      </c>
      <c r="G737" s="103" t="s">
        <v>427</v>
      </c>
      <c r="H737" s="93" t="s">
        <v>428</v>
      </c>
      <c r="I737" s="96">
        <f>16+16.5</f>
        <v>32.5</v>
      </c>
      <c r="J737" s="97" t="s">
        <v>188</v>
      </c>
      <c r="K737" s="98">
        <v>58</v>
      </c>
      <c r="L737" s="109" t="s">
        <v>775</v>
      </c>
      <c r="M737" s="83" t="s">
        <v>984</v>
      </c>
      <c r="N737" s="83">
        <v>33</v>
      </c>
      <c r="O737" s="83" t="s">
        <v>1907</v>
      </c>
      <c r="P737" s="83">
        <v>55</v>
      </c>
      <c r="R737" s="83"/>
      <c r="S737" s="26" t="s">
        <v>1419</v>
      </c>
      <c r="T737" s="26" t="s">
        <v>1420</v>
      </c>
      <c r="U737" s="26" t="s">
        <v>1419</v>
      </c>
      <c r="V737" s="26" t="s">
        <v>1420</v>
      </c>
      <c r="W737" s="62">
        <v>44805</v>
      </c>
      <c r="X737" s="62">
        <v>45169</v>
      </c>
      <c r="Y737" s="62"/>
      <c r="Z737" s="62"/>
      <c r="AA737" s="23" t="s">
        <v>1115</v>
      </c>
      <c r="AB737" s="23" t="s">
        <v>731</v>
      </c>
      <c r="AC737" s="23" t="s">
        <v>731</v>
      </c>
      <c r="AD737" s="23"/>
      <c r="AE737" s="23"/>
      <c r="AF737" s="23"/>
      <c r="AG737" s="23"/>
      <c r="AH737" s="23"/>
      <c r="AI737" s="23"/>
      <c r="AJ737" s="23"/>
      <c r="AK737" s="23"/>
      <c r="AL737" s="23" t="s">
        <v>731</v>
      </c>
      <c r="AM737" s="23"/>
      <c r="AN737" s="23"/>
      <c r="AO737" s="23"/>
      <c r="AP737" s="23"/>
      <c r="AQ737" s="23"/>
      <c r="AR737" s="23"/>
      <c r="AS737" s="23"/>
      <c r="AT737" s="23"/>
      <c r="AU737" s="23"/>
      <c r="AV737" s="42">
        <v>97.5</v>
      </c>
      <c r="AW737" s="18"/>
      <c r="AY737" s="42"/>
      <c r="AZ737" s="42"/>
      <c r="BB737" s="45">
        <v>1</v>
      </c>
      <c r="BC737" s="41">
        <f>IF(AND((AV737/I737)&lt;2,BB737=1),(I737*2)-AV737,0)</f>
        <v>0</v>
      </c>
      <c r="BD737" s="41">
        <f>IF(AND((AV737/I737)&lt;3,BB737=2),(I737*3)-AV737,0)</f>
        <v>0</v>
      </c>
      <c r="BG737" s="18"/>
      <c r="BH737" s="18">
        <v>4</v>
      </c>
      <c r="BI737" s="18">
        <v>5</v>
      </c>
      <c r="BJ737" s="18">
        <v>5</v>
      </c>
      <c r="BK737" s="18">
        <v>6</v>
      </c>
      <c r="BL737" s="18">
        <v>6</v>
      </c>
      <c r="BM737" s="55">
        <f>SUM(AV737:AX737)+SUM(BC737:BD737)+SUM(BE737:BF737)+BG737</f>
        <v>97.5</v>
      </c>
      <c r="BN737" s="55"/>
      <c r="BO737" s="55"/>
      <c r="BP737" s="55"/>
      <c r="BQ737" s="55"/>
      <c r="BR737" s="55"/>
      <c r="BS737" s="55"/>
      <c r="BT737" s="55"/>
      <c r="BU737" s="55"/>
      <c r="BV737" s="55"/>
      <c r="BW737" s="55"/>
      <c r="BX737" s="55"/>
      <c r="BY737" s="55"/>
    </row>
    <row r="738" spans="2:77" ht="25.5">
      <c r="B738" s="89">
        <v>725</v>
      </c>
      <c r="C738" s="93">
        <v>418</v>
      </c>
      <c r="D738" s="95">
        <v>168</v>
      </c>
      <c r="E738" s="94">
        <v>0.73611111111111116</v>
      </c>
      <c r="F738" s="94">
        <v>0.76041666666666663</v>
      </c>
      <c r="G738" s="93" t="s">
        <v>40</v>
      </c>
      <c r="H738" s="93" t="s">
        <v>103</v>
      </c>
      <c r="I738" s="96">
        <v>14</v>
      </c>
      <c r="J738" s="97" t="s">
        <v>93</v>
      </c>
      <c r="K738" s="98">
        <v>174</v>
      </c>
      <c r="L738" s="109" t="s">
        <v>774</v>
      </c>
      <c r="M738" s="83" t="s">
        <v>920</v>
      </c>
      <c r="N738" s="83">
        <v>20</v>
      </c>
      <c r="O738" s="83" t="s">
        <v>921</v>
      </c>
      <c r="P738" s="83">
        <v>31</v>
      </c>
      <c r="R738" s="83"/>
      <c r="S738" s="26" t="s">
        <v>1419</v>
      </c>
      <c r="T738" s="26" t="s">
        <v>1420</v>
      </c>
      <c r="U738" s="26">
        <v>4143</v>
      </c>
      <c r="V738" s="26" t="s">
        <v>1670</v>
      </c>
      <c r="W738" s="62">
        <v>44816</v>
      </c>
      <c r="X738" s="62">
        <v>45086</v>
      </c>
      <c r="Y738" s="62"/>
      <c r="Z738" s="62"/>
      <c r="AA738" s="22" t="s">
        <v>1102</v>
      </c>
      <c r="AB738" s="23"/>
      <c r="AC738" s="23"/>
      <c r="AD738" s="23"/>
      <c r="AE738" s="23" t="s">
        <v>731</v>
      </c>
      <c r="AF738" s="23" t="s">
        <v>731</v>
      </c>
      <c r="AG738" s="23" t="s">
        <v>731</v>
      </c>
      <c r="AH738" s="23" t="s">
        <v>731</v>
      </c>
      <c r="AI738" s="23" t="s">
        <v>731</v>
      </c>
      <c r="AJ738" s="23" t="s">
        <v>731</v>
      </c>
      <c r="AK738" s="23"/>
      <c r="AL738" s="23"/>
      <c r="AM738" s="23"/>
      <c r="AN738" s="23"/>
      <c r="AO738" s="23"/>
      <c r="AP738" s="23"/>
      <c r="AQ738" s="23"/>
      <c r="AR738" s="23"/>
      <c r="AS738" s="23"/>
      <c r="AT738" s="23"/>
      <c r="AU738" s="23"/>
      <c r="AV738" s="42">
        <f>((35*105)+(25.2*69))/174</f>
        <v>31.113793103448277</v>
      </c>
      <c r="AW738" s="18"/>
      <c r="AY738" s="42"/>
      <c r="AZ738" s="42"/>
      <c r="BB738" s="45">
        <v>1</v>
      </c>
      <c r="BC738" s="41">
        <f>IF(AND((AV738/I738)&lt;2,BB738=1),(I738*2)-AV738,0)</f>
        <v>0</v>
      </c>
      <c r="BD738" s="41">
        <f>IF(AND((AV738/I738)&lt;3,BB738=2),(I738*3)-AV738,0)</f>
        <v>0</v>
      </c>
      <c r="BG738" s="18"/>
      <c r="BH738" s="18">
        <v>15</v>
      </c>
      <c r="BI738" s="18">
        <v>20</v>
      </c>
      <c r="BJ738" s="18">
        <v>21</v>
      </c>
      <c r="BK738" s="18">
        <v>15</v>
      </c>
      <c r="BL738" s="18">
        <v>17</v>
      </c>
      <c r="BM738" s="55">
        <f>SUM(AV738:AX738)+SUM(BC738:BD738)+SUM(BE738:BF738)+BG738</f>
        <v>31.113793103448277</v>
      </c>
      <c r="BN738" s="55"/>
      <c r="BO738" s="55"/>
      <c r="BP738" s="55"/>
      <c r="BQ738" s="55"/>
      <c r="BR738" s="55"/>
      <c r="BS738" s="55"/>
      <c r="BT738" s="55"/>
      <c r="BU738" s="55"/>
      <c r="BV738" s="55"/>
      <c r="BW738" s="55"/>
      <c r="BX738" s="55"/>
      <c r="BY738" s="55"/>
    </row>
    <row r="739" spans="2:77" ht="22.5">
      <c r="B739" s="89">
        <v>726</v>
      </c>
      <c r="C739" s="106">
        <v>418</v>
      </c>
      <c r="D739" s="95">
        <v>94</v>
      </c>
      <c r="E739" s="94">
        <v>0.77430555555555547</v>
      </c>
      <c r="F739" s="94">
        <v>0.79513888888888884</v>
      </c>
      <c r="G739" s="103" t="s">
        <v>229</v>
      </c>
      <c r="H739" s="93" t="s">
        <v>18</v>
      </c>
      <c r="I739" s="96">
        <v>13.5</v>
      </c>
      <c r="J739" s="97" t="s">
        <v>228</v>
      </c>
      <c r="K739" s="98">
        <v>304</v>
      </c>
      <c r="L739" s="109" t="s">
        <v>774</v>
      </c>
      <c r="M739" s="83" t="s">
        <v>921</v>
      </c>
      <c r="N739" s="83">
        <v>31</v>
      </c>
      <c r="O739" s="83" t="s">
        <v>920</v>
      </c>
      <c r="P739" s="83">
        <v>20</v>
      </c>
      <c r="R739" s="83"/>
      <c r="S739" s="26" t="s">
        <v>1419</v>
      </c>
      <c r="T739" s="26" t="s">
        <v>1420</v>
      </c>
      <c r="U739" s="26">
        <v>4115</v>
      </c>
      <c r="V739" s="26" t="s">
        <v>1669</v>
      </c>
      <c r="W739" s="62">
        <v>44805</v>
      </c>
      <c r="X739" s="62">
        <v>45169</v>
      </c>
      <c r="Y739" s="62"/>
      <c r="Z739" s="62"/>
      <c r="AA739" s="23" t="s">
        <v>1113</v>
      </c>
      <c r="AB739" s="23" t="s">
        <v>731</v>
      </c>
      <c r="AC739" s="23" t="s">
        <v>731</v>
      </c>
      <c r="AD739" s="23" t="s">
        <v>731</v>
      </c>
      <c r="AE739" s="23"/>
      <c r="AF739" s="23" t="s">
        <v>731</v>
      </c>
      <c r="AG739" s="23" t="s">
        <v>731</v>
      </c>
      <c r="AH739" s="23" t="s">
        <v>731</v>
      </c>
      <c r="AI739" s="23" t="s">
        <v>731</v>
      </c>
      <c r="AJ739" s="23" t="s">
        <v>731</v>
      </c>
      <c r="AK739" s="23" t="s">
        <v>731</v>
      </c>
      <c r="AL739" s="23"/>
      <c r="AM739" s="23"/>
      <c r="AN739" s="23"/>
      <c r="AO739" s="23"/>
      <c r="AP739" s="23"/>
      <c r="AQ739" s="23"/>
      <c r="AR739" s="23"/>
      <c r="AS739" s="23"/>
      <c r="AT739" s="23"/>
      <c r="AU739" s="23"/>
      <c r="AV739" s="42">
        <v>32.11</v>
      </c>
      <c r="AW739" s="18"/>
      <c r="AY739" s="42"/>
      <c r="AZ739" s="42"/>
      <c r="BB739" s="45">
        <v>1</v>
      </c>
      <c r="BC739" s="41">
        <f>IF(AND((AV739/I739)&lt;2,BB739=1),(I739*2)-AV739,0)</f>
        <v>0</v>
      </c>
      <c r="BD739" s="41">
        <f>IF(AND((AV739/I739)&lt;3,BB739=2),(I739*3)-AV739,0)</f>
        <v>0</v>
      </c>
      <c r="BG739" s="18"/>
      <c r="BH739" s="18">
        <v>26</v>
      </c>
      <c r="BI739" s="18">
        <v>26</v>
      </c>
      <c r="BJ739" s="18">
        <v>25</v>
      </c>
      <c r="BK739" s="18">
        <v>25</v>
      </c>
      <c r="BL739" s="18">
        <v>25</v>
      </c>
      <c r="BM739" s="55">
        <f>SUM(AV739:AX739)+SUM(BC739:BD739)+SUM(BE739:BF739)+BG739</f>
        <v>32.11</v>
      </c>
      <c r="BN739" s="55"/>
      <c r="BO739" s="55"/>
      <c r="BP739" s="55"/>
      <c r="BQ739" s="55"/>
      <c r="BR739" s="55"/>
      <c r="BS739" s="55"/>
      <c r="BT739" s="55"/>
      <c r="BU739" s="55"/>
      <c r="BV739" s="55"/>
      <c r="BW739" s="55"/>
      <c r="BX739" s="55"/>
      <c r="BY739" s="55"/>
    </row>
    <row r="740" spans="2:77" ht="22.5">
      <c r="B740" s="89">
        <v>727</v>
      </c>
      <c r="C740" s="101">
        <v>418</v>
      </c>
      <c r="D740" s="101">
        <v>184</v>
      </c>
      <c r="E740" s="102">
        <v>0.79375000000000007</v>
      </c>
      <c r="F740" s="108">
        <v>0.81805555555555554</v>
      </c>
      <c r="G740" s="103" t="s">
        <v>696</v>
      </c>
      <c r="H740" s="103" t="s">
        <v>18</v>
      </c>
      <c r="I740" s="101">
        <v>14</v>
      </c>
      <c r="J740" s="104">
        <v>19</v>
      </c>
      <c r="K740" s="98">
        <v>304</v>
      </c>
      <c r="L740" s="109" t="s">
        <v>772</v>
      </c>
      <c r="M740" s="83" t="s">
        <v>867</v>
      </c>
      <c r="N740" s="83">
        <v>21</v>
      </c>
      <c r="O740" s="83" t="s">
        <v>868</v>
      </c>
      <c r="P740" s="83">
        <v>31</v>
      </c>
      <c r="Q740" s="192" t="s">
        <v>1999</v>
      </c>
      <c r="R740" s="192">
        <v>38</v>
      </c>
      <c r="S740" s="26" t="s">
        <v>1419</v>
      </c>
      <c r="T740" s="26" t="s">
        <v>1420</v>
      </c>
      <c r="U740" s="26">
        <v>4143</v>
      </c>
      <c r="V740" s="26" t="s">
        <v>1670</v>
      </c>
      <c r="W740" s="62">
        <v>44805</v>
      </c>
      <c r="X740" s="62">
        <v>45169</v>
      </c>
      <c r="Y740" s="62"/>
      <c r="Z740" s="62"/>
      <c r="AA740" s="23" t="s">
        <v>1113</v>
      </c>
      <c r="AB740" s="23" t="s">
        <v>731</v>
      </c>
      <c r="AC740" s="23" t="s">
        <v>731</v>
      </c>
      <c r="AD740" s="23" t="s">
        <v>731</v>
      </c>
      <c r="AE740" s="23"/>
      <c r="AF740" s="23" t="s">
        <v>731</v>
      </c>
      <c r="AG740" s="23" t="s">
        <v>731</v>
      </c>
      <c r="AH740" s="23" t="s">
        <v>731</v>
      </c>
      <c r="AI740" s="23" t="s">
        <v>731</v>
      </c>
      <c r="AJ740" s="23" t="s">
        <v>731</v>
      </c>
      <c r="AK740" s="23" t="s">
        <v>731</v>
      </c>
      <c r="AL740" s="23"/>
      <c r="AM740" s="23"/>
      <c r="AN740" s="23"/>
      <c r="AO740" s="23"/>
      <c r="AP740" s="23"/>
      <c r="AQ740" s="23"/>
      <c r="AR740" s="23"/>
      <c r="AS740" s="23"/>
      <c r="AT740" s="23"/>
      <c r="AU740" s="23"/>
      <c r="AW740" s="41">
        <f>1.9*14</f>
        <v>26.599999999999998</v>
      </c>
      <c r="BB740" s="45">
        <v>1</v>
      </c>
      <c r="BD740" s="41"/>
      <c r="BE740" s="41">
        <f>IF(AND((AW740/I740)&lt;2,BB740=1),(I740*2)-AW740,0)</f>
        <v>1.4000000000000021</v>
      </c>
      <c r="BF740" s="41">
        <f>IF(AND((AW740/I740)&lt;3,BB740=2),(I740*3)-AW740,0)</f>
        <v>0</v>
      </c>
      <c r="BG740" s="18"/>
      <c r="BH740" s="18">
        <v>26</v>
      </c>
      <c r="BI740" s="18">
        <v>26</v>
      </c>
      <c r="BJ740" s="18">
        <v>25</v>
      </c>
      <c r="BK740" s="18">
        <v>25</v>
      </c>
      <c r="BL740" s="18">
        <v>25</v>
      </c>
      <c r="BM740" s="55">
        <f>SUM(AV740:AX740)+SUM(BC740:BD740)+SUM(BE740:BF740)+BG740</f>
        <v>28</v>
      </c>
      <c r="BN740" s="23" t="s">
        <v>1113</v>
      </c>
      <c r="BO740" s="55"/>
      <c r="BP740" s="55"/>
      <c r="BQ740" s="55"/>
      <c r="BR740" s="55"/>
      <c r="BS740" s="55"/>
      <c r="BT740" s="55"/>
      <c r="BU740" s="55"/>
      <c r="BV740" s="55"/>
      <c r="BW740" s="18">
        <v>25</v>
      </c>
      <c r="BX740" s="55"/>
      <c r="BY740" s="55">
        <v>14</v>
      </c>
    </row>
    <row r="741" spans="2:77" ht="25.5">
      <c r="B741" s="89">
        <v>728</v>
      </c>
      <c r="C741" s="106">
        <v>418</v>
      </c>
      <c r="D741" s="95">
        <v>94</v>
      </c>
      <c r="E741" s="94">
        <v>0.79513888888888884</v>
      </c>
      <c r="F741" s="94">
        <v>0.79999999999999993</v>
      </c>
      <c r="G741" s="93" t="s">
        <v>227</v>
      </c>
      <c r="H741" s="93" t="s">
        <v>97</v>
      </c>
      <c r="I741" s="96">
        <v>3</v>
      </c>
      <c r="J741" s="97" t="s">
        <v>116</v>
      </c>
      <c r="K741" s="98">
        <v>208</v>
      </c>
      <c r="L741" s="109" t="s">
        <v>774</v>
      </c>
      <c r="M741" s="83" t="s">
        <v>920</v>
      </c>
      <c r="N741" s="83">
        <v>20</v>
      </c>
      <c r="O741" s="83" t="s">
        <v>1906</v>
      </c>
      <c r="P741" s="83">
        <v>9</v>
      </c>
      <c r="R741" s="83"/>
      <c r="S741" s="26">
        <v>4115</v>
      </c>
      <c r="T741" s="26" t="s">
        <v>1669</v>
      </c>
      <c r="U741" s="26">
        <v>4116</v>
      </c>
      <c r="V741" s="26" t="s">
        <v>1668</v>
      </c>
      <c r="W741" s="62">
        <v>44816</v>
      </c>
      <c r="X741" s="62">
        <v>45086</v>
      </c>
      <c r="Y741" s="62"/>
      <c r="Z741" s="62"/>
      <c r="AA741" s="22" t="s">
        <v>1106</v>
      </c>
      <c r="AB741" s="23"/>
      <c r="AC741" s="23"/>
      <c r="AD741" s="23"/>
      <c r="AE741" s="23" t="s">
        <v>731</v>
      </c>
      <c r="AF741" s="23" t="s">
        <v>731</v>
      </c>
      <c r="AG741" s="23" t="s">
        <v>731</v>
      </c>
      <c r="AH741" s="23" t="s">
        <v>731</v>
      </c>
      <c r="AI741" s="23" t="s">
        <v>731</v>
      </c>
      <c r="AJ741" s="23" t="s">
        <v>731</v>
      </c>
      <c r="AK741" s="23" t="s">
        <v>731</v>
      </c>
      <c r="AL741" s="23"/>
      <c r="AM741" s="23"/>
      <c r="AN741" s="23"/>
      <c r="AO741" s="23"/>
      <c r="AP741" s="23"/>
      <c r="AQ741" s="23"/>
      <c r="AR741" s="23"/>
      <c r="AS741" s="23"/>
      <c r="AT741" s="23"/>
      <c r="AU741" s="23"/>
      <c r="AV741" s="42">
        <v>8.93</v>
      </c>
      <c r="AW741" s="18"/>
      <c r="AY741" s="42"/>
      <c r="AZ741" s="42"/>
      <c r="BB741" s="45">
        <v>1</v>
      </c>
      <c r="BC741" s="41">
        <f>IF(AND((AV741/I741)&lt;2,BB741=1),(I741*2)-AV741,0)</f>
        <v>0</v>
      </c>
      <c r="BD741" s="41">
        <f>IF(AND((AV741/I741)&lt;3,BB741=2),(I741*3)-AV741,0)</f>
        <v>0</v>
      </c>
      <c r="BG741" s="18"/>
      <c r="BH741" s="18">
        <v>17</v>
      </c>
      <c r="BI741" s="18">
        <v>25</v>
      </c>
      <c r="BJ741" s="18">
        <v>25</v>
      </c>
      <c r="BK741" s="18">
        <v>18</v>
      </c>
      <c r="BL741" s="18">
        <v>20</v>
      </c>
      <c r="BM741" s="55">
        <f>SUM(AV741:AX741)+SUM(BC741:BD741)+SUM(BE741:BF741)+BG741</f>
        <v>8.93</v>
      </c>
      <c r="BN741" s="55"/>
      <c r="BO741" s="55"/>
      <c r="BP741" s="55"/>
      <c r="BQ741" s="55"/>
      <c r="BR741" s="55"/>
      <c r="BS741" s="55"/>
      <c r="BT741" s="55"/>
      <c r="BU741" s="55"/>
      <c r="BV741" s="55"/>
      <c r="BW741" s="55"/>
      <c r="BX741" s="55"/>
      <c r="BY741" s="55"/>
    </row>
    <row r="742" spans="2:77" ht="25.5">
      <c r="B742" s="89">
        <v>729</v>
      </c>
      <c r="C742" s="93">
        <v>423</v>
      </c>
      <c r="D742" s="97">
        <v>177</v>
      </c>
      <c r="E742" s="94">
        <v>0.31874999999999998</v>
      </c>
      <c r="F742" s="94">
        <v>0.32569444444444445</v>
      </c>
      <c r="G742" s="93" t="s">
        <v>304</v>
      </c>
      <c r="H742" s="93" t="s">
        <v>103</v>
      </c>
      <c r="I742" s="96">
        <v>6</v>
      </c>
      <c r="J742" s="97" t="s">
        <v>93</v>
      </c>
      <c r="K742" s="98">
        <v>174</v>
      </c>
      <c r="L742" s="109" t="s">
        <v>727</v>
      </c>
      <c r="M742" s="83" t="s">
        <v>879</v>
      </c>
      <c r="N742" s="83">
        <v>21</v>
      </c>
      <c r="O742" s="83" t="s">
        <v>1232</v>
      </c>
      <c r="P742" s="83">
        <v>21</v>
      </c>
      <c r="R742" s="83"/>
      <c r="S742" s="26">
        <v>4210</v>
      </c>
      <c r="T742" s="26" t="s">
        <v>1675</v>
      </c>
      <c r="U742" s="26" t="s">
        <v>1419</v>
      </c>
      <c r="V742" s="26" t="s">
        <v>1420</v>
      </c>
      <c r="W742" s="62">
        <v>44816</v>
      </c>
      <c r="X742" s="62">
        <v>45086</v>
      </c>
      <c r="Y742" s="62"/>
      <c r="Z742" s="62"/>
      <c r="AA742" s="22" t="s">
        <v>1102</v>
      </c>
      <c r="AB742" s="23"/>
      <c r="AC742" s="23"/>
      <c r="AD742" s="23"/>
      <c r="AE742" s="23" t="s">
        <v>731</v>
      </c>
      <c r="AF742" s="23" t="s">
        <v>731</v>
      </c>
      <c r="AG742" s="23" t="s">
        <v>731</v>
      </c>
      <c r="AH742" s="23" t="s">
        <v>731</v>
      </c>
      <c r="AI742" s="23" t="s">
        <v>731</v>
      </c>
      <c r="AJ742" s="23" t="s">
        <v>731</v>
      </c>
      <c r="AK742" s="23"/>
      <c r="AL742" s="23"/>
      <c r="AM742" s="23"/>
      <c r="AN742" s="23"/>
      <c r="AO742" s="23"/>
      <c r="AP742" s="23"/>
      <c r="AQ742" s="23"/>
      <c r="AR742" s="23"/>
      <c r="AS742" s="23"/>
      <c r="AT742" s="23"/>
      <c r="AU742" s="23"/>
      <c r="AV742" s="42">
        <v>10.8</v>
      </c>
      <c r="AW742" s="18"/>
      <c r="AY742" s="42"/>
      <c r="AZ742" s="42"/>
      <c r="BB742" s="45">
        <v>1</v>
      </c>
      <c r="BC742" s="41">
        <f>IF(AND((AV742/I742)&lt;2,BB742=1),(I742*2)-AV742,0)</f>
        <v>1.1999999999999993</v>
      </c>
      <c r="BD742" s="41">
        <f>IF(AND((AV742/I742)&lt;3,BB742=2),(I742*3)-AV742,0)</f>
        <v>0</v>
      </c>
      <c r="BG742" s="18"/>
      <c r="BH742" s="18">
        <v>15</v>
      </c>
      <c r="BI742" s="18">
        <v>20</v>
      </c>
      <c r="BJ742" s="18">
        <v>21</v>
      </c>
      <c r="BK742" s="18">
        <v>15</v>
      </c>
      <c r="BL742" s="18">
        <v>17</v>
      </c>
      <c r="BM742" s="55">
        <f>SUM(AV742:AX742)+SUM(BC742:BD742)+SUM(BE742:BF742)+BG742</f>
        <v>12</v>
      </c>
      <c r="BN742" s="55"/>
      <c r="BO742" s="55"/>
      <c r="BP742" s="55"/>
      <c r="BQ742" s="55"/>
      <c r="BR742" s="55"/>
      <c r="BS742" s="55"/>
      <c r="BT742" s="55"/>
      <c r="BU742" s="55"/>
      <c r="BV742" s="55"/>
      <c r="BW742" s="55"/>
      <c r="BX742" s="55"/>
      <c r="BY742" s="55"/>
    </row>
    <row r="743" spans="2:77" ht="25.5">
      <c r="B743" s="89">
        <v>730</v>
      </c>
      <c r="C743" s="93">
        <v>423</v>
      </c>
      <c r="D743" s="93">
        <v>202</v>
      </c>
      <c r="E743" s="94">
        <v>0.81805555555555554</v>
      </c>
      <c r="F743" s="94">
        <v>0.83750000000000002</v>
      </c>
      <c r="G743" s="93" t="s">
        <v>140</v>
      </c>
      <c r="H743" s="93" t="s">
        <v>103</v>
      </c>
      <c r="I743" s="96">
        <v>14</v>
      </c>
      <c r="J743" s="97" t="s">
        <v>93</v>
      </c>
      <c r="K743" s="98">
        <v>174</v>
      </c>
      <c r="L743" s="109" t="s">
        <v>773</v>
      </c>
      <c r="M743" s="2" t="s">
        <v>937</v>
      </c>
      <c r="N743" s="2">
        <v>23</v>
      </c>
      <c r="O743" s="87" t="s">
        <v>1905</v>
      </c>
      <c r="P743" s="87">
        <v>24</v>
      </c>
      <c r="Q743" s="87" t="s">
        <v>1942</v>
      </c>
      <c r="R743" s="84">
        <v>23</v>
      </c>
      <c r="S743" s="26" t="s">
        <v>1419</v>
      </c>
      <c r="T743" s="26" t="s">
        <v>1420</v>
      </c>
      <c r="U743" s="26" t="s">
        <v>1676</v>
      </c>
      <c r="V743" s="26" t="s">
        <v>1677</v>
      </c>
      <c r="W743" s="62">
        <v>44816</v>
      </c>
      <c r="X743" s="62">
        <v>45086</v>
      </c>
      <c r="Y743" s="62"/>
      <c r="Z743" s="62"/>
      <c r="AA743" s="22" t="s">
        <v>1102</v>
      </c>
      <c r="AB743" s="23"/>
      <c r="AC743" s="23"/>
      <c r="AD743" s="23"/>
      <c r="AE743" s="23" t="s">
        <v>731</v>
      </c>
      <c r="AF743" s="23" t="s">
        <v>731</v>
      </c>
      <c r="AG743" s="23" t="s">
        <v>731</v>
      </c>
      <c r="AH743" s="23" t="s">
        <v>731</v>
      </c>
      <c r="AI743" s="23" t="s">
        <v>731</v>
      </c>
      <c r="AJ743" s="23" t="s">
        <v>731</v>
      </c>
      <c r="AK743" s="23"/>
      <c r="AL743" s="23"/>
      <c r="AM743" s="23"/>
      <c r="AN743" s="23"/>
      <c r="AO743" s="23"/>
      <c r="AP743" s="23"/>
      <c r="AQ743" s="23"/>
      <c r="AR743" s="23"/>
      <c r="AS743" s="23"/>
      <c r="AT743" s="23"/>
      <c r="AU743" s="23"/>
      <c r="AV743" s="42">
        <v>48.25</v>
      </c>
      <c r="AW743" s="18"/>
      <c r="AY743" s="42"/>
      <c r="AZ743" s="42"/>
      <c r="BB743" s="45">
        <v>1</v>
      </c>
      <c r="BC743" s="41">
        <f>IF(AND((AV743/I743)&lt;2,BB743=1),(I743*2)-AV743,0)</f>
        <v>0</v>
      </c>
      <c r="BD743" s="41">
        <f>IF(AND((AV743/I743)&lt;3,BB743=2),(I743*3)-AV743,0)</f>
        <v>0</v>
      </c>
      <c r="BG743" s="18"/>
      <c r="BH743" s="18">
        <v>15</v>
      </c>
      <c r="BI743" s="18">
        <v>20</v>
      </c>
      <c r="BJ743" s="18">
        <v>21</v>
      </c>
      <c r="BK743" s="18">
        <v>15</v>
      </c>
      <c r="BL743" s="18">
        <v>17</v>
      </c>
      <c r="BM743" s="55">
        <f>SUM(AV743:AX743)+SUM(BC743:BD743)+SUM(BE743:BF743)+BG743</f>
        <v>48.25</v>
      </c>
      <c r="BN743" s="55"/>
      <c r="BO743" s="55"/>
      <c r="BP743" s="55"/>
      <c r="BQ743" s="55"/>
      <c r="BR743" s="55"/>
      <c r="BS743" s="55"/>
      <c r="BT743" s="55"/>
      <c r="BU743" s="55"/>
      <c r="BV743" s="55"/>
      <c r="BW743" s="55"/>
      <c r="BX743" s="55"/>
      <c r="BY743" s="55"/>
    </row>
    <row r="744" spans="2:77" ht="45">
      <c r="B744" s="89">
        <v>731</v>
      </c>
      <c r="C744" s="93">
        <v>425</v>
      </c>
      <c r="D744" s="93">
        <v>438</v>
      </c>
      <c r="E744" s="94">
        <v>0.39930555555555558</v>
      </c>
      <c r="F744" s="94">
        <v>0.4145833333333333</v>
      </c>
      <c r="G744" s="103" t="s">
        <v>295</v>
      </c>
      <c r="H744" s="93" t="s">
        <v>293</v>
      </c>
      <c r="I744" s="96">
        <v>12.5</v>
      </c>
      <c r="J744" s="97" t="s">
        <v>99</v>
      </c>
      <c r="K744" s="98">
        <f>39+11</f>
        <v>50</v>
      </c>
      <c r="L744" s="99" t="s">
        <v>729</v>
      </c>
      <c r="M744" s="87" t="s">
        <v>793</v>
      </c>
      <c r="N744" s="87">
        <v>21</v>
      </c>
      <c r="O744" s="87" t="s">
        <v>1908</v>
      </c>
      <c r="P744" s="87">
        <v>24</v>
      </c>
      <c r="R744" s="83"/>
      <c r="S744" s="26" t="s">
        <v>1419</v>
      </c>
      <c r="T744" s="26" t="s">
        <v>1420</v>
      </c>
      <c r="U744" s="26">
        <v>4136</v>
      </c>
      <c r="V744" s="26" t="s">
        <v>1678</v>
      </c>
      <c r="W744" s="62">
        <v>44805</v>
      </c>
      <c r="X744" s="62">
        <v>45169</v>
      </c>
      <c r="Y744" s="62"/>
      <c r="Z744" s="62"/>
      <c r="AA744" s="23" t="s">
        <v>1151</v>
      </c>
      <c r="AB744" s="23" t="s">
        <v>731</v>
      </c>
      <c r="AC744" s="23" t="s">
        <v>731</v>
      </c>
      <c r="AD744" s="23" t="s">
        <v>731</v>
      </c>
      <c r="AE744" s="23"/>
      <c r="AF744" s="23"/>
      <c r="AG744" s="23"/>
      <c r="AH744" s="23"/>
      <c r="AI744" s="23" t="s">
        <v>731</v>
      </c>
      <c r="AJ744" s="23"/>
      <c r="AK744" s="23"/>
      <c r="AL744" s="23"/>
      <c r="AM744" s="23"/>
      <c r="AN744" s="23"/>
      <c r="AO744" s="23"/>
      <c r="AP744" s="23"/>
      <c r="AQ744" s="23"/>
      <c r="AR744" s="23"/>
      <c r="AS744" s="23"/>
      <c r="AT744" s="23"/>
      <c r="AU744" s="23"/>
      <c r="AV744" s="42">
        <v>17.600000000000001</v>
      </c>
      <c r="AY744" s="42"/>
      <c r="AZ744" s="42"/>
      <c r="BB744" s="45">
        <v>1</v>
      </c>
      <c r="BC744" s="41">
        <f>IF(AND((AV744/I744)&lt;2,BB744=1),(I744*2)-AV744,0)</f>
        <v>7.3999999999999986</v>
      </c>
      <c r="BD744" s="41">
        <f>IF(AND((AV744/I744)&lt;3,BB744=2),(I744*3)-AV744,0)</f>
        <v>0</v>
      </c>
      <c r="BG744" s="18"/>
      <c r="BH744" s="18">
        <v>5</v>
      </c>
      <c r="BI744" s="18">
        <v>4</v>
      </c>
      <c r="BJ744" s="18">
        <v>4</v>
      </c>
      <c r="BK744" s="18">
        <v>4</v>
      </c>
      <c r="BL744" s="18">
        <v>4</v>
      </c>
      <c r="BM744" s="55">
        <f>SUM(AV744:AX744)+SUM(BC744:BD744)+SUM(BE744:BF744)+BG744</f>
        <v>25</v>
      </c>
      <c r="BN744" s="55"/>
      <c r="BO744" s="55"/>
      <c r="BP744" s="55"/>
      <c r="BQ744" s="55"/>
      <c r="BR744" s="55"/>
      <c r="BS744" s="55"/>
      <c r="BT744" s="55"/>
      <c r="BU744" s="55"/>
      <c r="BV744" s="55"/>
      <c r="BW744" s="55"/>
      <c r="BX744" s="55"/>
      <c r="BY744" s="55"/>
    </row>
    <row r="745" spans="2:77" ht="45">
      <c r="B745" s="89">
        <v>732</v>
      </c>
      <c r="C745" s="93">
        <v>425</v>
      </c>
      <c r="D745" s="93">
        <v>465</v>
      </c>
      <c r="E745" s="94">
        <v>0.41666666666666669</v>
      </c>
      <c r="F745" s="94">
        <v>0.43194444444444446</v>
      </c>
      <c r="G745" s="103" t="s">
        <v>294</v>
      </c>
      <c r="H745" s="93" t="s">
        <v>293</v>
      </c>
      <c r="I745" s="96">
        <v>12.5</v>
      </c>
      <c r="J745" s="97" t="s">
        <v>99</v>
      </c>
      <c r="K745" s="98">
        <f>39+11</f>
        <v>50</v>
      </c>
      <c r="L745" s="99" t="s">
        <v>729</v>
      </c>
      <c r="M745" s="87" t="s">
        <v>793</v>
      </c>
      <c r="N745" s="87">
        <v>21</v>
      </c>
      <c r="O745" s="87" t="s">
        <v>1908</v>
      </c>
      <c r="P745" s="87">
        <v>24</v>
      </c>
      <c r="R745" s="87"/>
      <c r="S745" s="26">
        <v>4136</v>
      </c>
      <c r="T745" s="26" t="s">
        <v>1678</v>
      </c>
      <c r="U745" s="26" t="s">
        <v>1419</v>
      </c>
      <c r="V745" s="26" t="s">
        <v>1420</v>
      </c>
      <c r="W745" s="62">
        <v>44805</v>
      </c>
      <c r="X745" s="62">
        <v>45169</v>
      </c>
      <c r="Y745" s="62"/>
      <c r="Z745" s="62"/>
      <c r="AA745" s="23" t="s">
        <v>1151</v>
      </c>
      <c r="AB745" s="23" t="s">
        <v>731</v>
      </c>
      <c r="AC745" s="23" t="s">
        <v>731</v>
      </c>
      <c r="AD745" s="23" t="s">
        <v>731</v>
      </c>
      <c r="AE745" s="23"/>
      <c r="AF745" s="23"/>
      <c r="AG745" s="23"/>
      <c r="AH745" s="23"/>
      <c r="AI745" s="23" t="s">
        <v>731</v>
      </c>
      <c r="AJ745" s="23"/>
      <c r="AK745" s="23"/>
      <c r="AL745" s="23"/>
      <c r="AM745" s="23"/>
      <c r="AN745" s="23"/>
      <c r="AO745" s="23"/>
      <c r="AP745" s="23"/>
      <c r="AQ745" s="23"/>
      <c r="AR745" s="23"/>
      <c r="AS745" s="23"/>
      <c r="AT745" s="23"/>
      <c r="AU745" s="23"/>
      <c r="AV745" s="42">
        <v>17.600000000000001</v>
      </c>
      <c r="AY745" s="42"/>
      <c r="AZ745" s="42"/>
      <c r="BB745" s="45">
        <v>1</v>
      </c>
      <c r="BC745" s="41">
        <f>IF(AND((AV745/I745)&lt;2,BB745=1),(I745*2)-AV745,0)</f>
        <v>7.3999999999999986</v>
      </c>
      <c r="BD745" s="41">
        <f>IF(AND((AV745/I745)&lt;3,BB745=2),(I745*3)-AV745,0)</f>
        <v>0</v>
      </c>
      <c r="BG745" s="18"/>
      <c r="BH745" s="18">
        <v>5</v>
      </c>
      <c r="BI745" s="18">
        <v>4</v>
      </c>
      <c r="BJ745" s="18">
        <v>4</v>
      </c>
      <c r="BK745" s="18">
        <v>4</v>
      </c>
      <c r="BL745" s="18">
        <v>4</v>
      </c>
      <c r="BM745" s="55">
        <f>SUM(AV745:AX745)+SUM(BC745:BD745)+SUM(BE745:BF745)+BG745</f>
        <v>25</v>
      </c>
      <c r="BN745" s="55"/>
      <c r="BO745" s="55"/>
      <c r="BP745" s="55"/>
      <c r="BQ745" s="55"/>
      <c r="BR745" s="55"/>
      <c r="BS745" s="55"/>
      <c r="BT745" s="55"/>
      <c r="BU745" s="55"/>
      <c r="BV745" s="55"/>
      <c r="BW745" s="55"/>
      <c r="BX745" s="55"/>
      <c r="BY745" s="55"/>
    </row>
    <row r="746" spans="2:77" ht="45">
      <c r="B746" s="89">
        <v>733</v>
      </c>
      <c r="C746" s="93">
        <v>425</v>
      </c>
      <c r="D746" s="93">
        <v>440</v>
      </c>
      <c r="E746" s="94">
        <v>0.48958333333333331</v>
      </c>
      <c r="F746" s="94">
        <v>0.50486111111111109</v>
      </c>
      <c r="G746" s="103" t="s">
        <v>295</v>
      </c>
      <c r="H746" s="93" t="s">
        <v>293</v>
      </c>
      <c r="I746" s="96">
        <v>12.5</v>
      </c>
      <c r="J746" s="97" t="s">
        <v>99</v>
      </c>
      <c r="K746" s="98">
        <f>39+11</f>
        <v>50</v>
      </c>
      <c r="L746" s="99" t="s">
        <v>729</v>
      </c>
      <c r="M746" s="87" t="s">
        <v>793</v>
      </c>
      <c r="N746" s="87">
        <v>21</v>
      </c>
      <c r="O746" s="87" t="s">
        <v>1908</v>
      </c>
      <c r="P746" s="87">
        <v>24</v>
      </c>
      <c r="Q746" s="114"/>
      <c r="R746" s="87"/>
      <c r="S746" s="26" t="s">
        <v>1419</v>
      </c>
      <c r="T746" s="26" t="s">
        <v>1420</v>
      </c>
      <c r="U746" s="26">
        <v>4136</v>
      </c>
      <c r="V746" s="26" t="s">
        <v>1678</v>
      </c>
      <c r="W746" s="62">
        <v>44805</v>
      </c>
      <c r="X746" s="62">
        <v>45169</v>
      </c>
      <c r="Y746" s="62"/>
      <c r="Z746" s="62"/>
      <c r="AA746" s="23" t="s">
        <v>1151</v>
      </c>
      <c r="AB746" s="23" t="s">
        <v>731</v>
      </c>
      <c r="AC746" s="23" t="s">
        <v>731</v>
      </c>
      <c r="AD746" s="23" t="s">
        <v>731</v>
      </c>
      <c r="AE746" s="23"/>
      <c r="AF746" s="23"/>
      <c r="AG746" s="23"/>
      <c r="AH746" s="23"/>
      <c r="AI746" s="23" t="s">
        <v>731</v>
      </c>
      <c r="AJ746" s="25"/>
      <c r="AK746" s="25"/>
      <c r="AL746" s="25"/>
      <c r="AM746" s="25"/>
      <c r="AN746" s="25"/>
      <c r="AO746" s="25"/>
      <c r="AP746" s="23"/>
      <c r="AQ746" s="23"/>
      <c r="AR746" s="23"/>
      <c r="AS746" s="23"/>
      <c r="AT746" s="25"/>
      <c r="AU746" s="25"/>
      <c r="AV746" s="42">
        <v>17.600000000000001</v>
      </c>
      <c r="AW746" s="47"/>
      <c r="AX746" s="47"/>
      <c r="AY746" s="42"/>
      <c r="AZ746" s="42"/>
      <c r="BA746" s="47"/>
      <c r="BB746" s="45">
        <v>1</v>
      </c>
      <c r="BC746" s="41">
        <f>IF(AND((AV746/I746)&lt;2,BB746=1),(I746*2)-AV746,0)</f>
        <v>7.3999999999999986</v>
      </c>
      <c r="BD746" s="41">
        <f>IF(AND((AV746/I746)&lt;3,BB746=2),(I746*3)-AV746,0)</f>
        <v>0</v>
      </c>
      <c r="BG746" s="18"/>
      <c r="BH746" s="18">
        <v>5</v>
      </c>
      <c r="BI746" s="18">
        <v>4</v>
      </c>
      <c r="BJ746" s="18">
        <v>4</v>
      </c>
      <c r="BK746" s="18">
        <v>4</v>
      </c>
      <c r="BL746" s="18">
        <v>4</v>
      </c>
      <c r="BM746" s="55">
        <f>SUM(AV746:AX746)+SUM(BC746:BD746)+SUM(BE746:BF746)+BG746</f>
        <v>25</v>
      </c>
      <c r="BN746" s="55"/>
      <c r="BO746" s="55"/>
      <c r="BP746" s="55"/>
      <c r="BQ746" s="55"/>
      <c r="BR746" s="55"/>
      <c r="BS746" s="55"/>
      <c r="BT746" s="55"/>
      <c r="BU746" s="55"/>
      <c r="BV746" s="55"/>
      <c r="BW746" s="55"/>
      <c r="BX746" s="55"/>
      <c r="BY746" s="55"/>
    </row>
    <row r="747" spans="2:77" ht="45">
      <c r="B747" s="89">
        <v>734</v>
      </c>
      <c r="C747" s="93">
        <v>425</v>
      </c>
      <c r="D747" s="93">
        <v>467</v>
      </c>
      <c r="E747" s="94">
        <v>0.50694444444444442</v>
      </c>
      <c r="F747" s="94">
        <v>0.52222222222222225</v>
      </c>
      <c r="G747" s="103" t="s">
        <v>294</v>
      </c>
      <c r="H747" s="93" t="s">
        <v>293</v>
      </c>
      <c r="I747" s="96">
        <v>12.5</v>
      </c>
      <c r="J747" s="97" t="s">
        <v>99</v>
      </c>
      <c r="K747" s="98">
        <f>39+11</f>
        <v>50</v>
      </c>
      <c r="L747" s="99" t="s">
        <v>729</v>
      </c>
      <c r="M747" s="87" t="s">
        <v>793</v>
      </c>
      <c r="N747" s="87">
        <v>21</v>
      </c>
      <c r="O747" s="87" t="s">
        <v>1908</v>
      </c>
      <c r="P747" s="87">
        <v>24</v>
      </c>
      <c r="Q747" s="114"/>
      <c r="R747" s="87"/>
      <c r="S747" s="26">
        <v>4136</v>
      </c>
      <c r="T747" s="26" t="s">
        <v>1678</v>
      </c>
      <c r="U747" s="26" t="s">
        <v>1419</v>
      </c>
      <c r="V747" s="26" t="s">
        <v>1420</v>
      </c>
      <c r="W747" s="62">
        <v>44805</v>
      </c>
      <c r="X747" s="62">
        <v>45169</v>
      </c>
      <c r="Y747" s="62"/>
      <c r="Z747" s="62"/>
      <c r="AA747" s="23" t="s">
        <v>1151</v>
      </c>
      <c r="AB747" s="23" t="s">
        <v>731</v>
      </c>
      <c r="AC747" s="23" t="s">
        <v>731</v>
      </c>
      <c r="AD747" s="23" t="s">
        <v>731</v>
      </c>
      <c r="AE747" s="23"/>
      <c r="AF747" s="23"/>
      <c r="AG747" s="23"/>
      <c r="AH747" s="23"/>
      <c r="AI747" s="23" t="s">
        <v>731</v>
      </c>
      <c r="AJ747" s="25"/>
      <c r="AK747" s="25"/>
      <c r="AL747" s="25"/>
      <c r="AM747" s="25"/>
      <c r="AN747" s="25"/>
      <c r="AO747" s="25"/>
      <c r="AP747" s="23"/>
      <c r="AQ747" s="23"/>
      <c r="AR747" s="23"/>
      <c r="AS747" s="23"/>
      <c r="AT747" s="25"/>
      <c r="AU747" s="25"/>
      <c r="AV747" s="42">
        <v>17.600000000000001</v>
      </c>
      <c r="AW747" s="47"/>
      <c r="AX747" s="47"/>
      <c r="AY747" s="42"/>
      <c r="AZ747" s="42"/>
      <c r="BA747" s="47"/>
      <c r="BB747" s="45">
        <v>1</v>
      </c>
      <c r="BC747" s="41">
        <f>IF(AND((AV747/I747)&lt;2,BB747=1),(I747*2)-AV747,0)</f>
        <v>7.3999999999999986</v>
      </c>
      <c r="BD747" s="41">
        <f>IF(AND((AV747/I747)&lt;3,BB747=2),(I747*3)-AV747,0)</f>
        <v>0</v>
      </c>
      <c r="BG747" s="18"/>
      <c r="BH747" s="18">
        <v>5</v>
      </c>
      <c r="BI747" s="18">
        <v>4</v>
      </c>
      <c r="BJ747" s="18">
        <v>4</v>
      </c>
      <c r="BK747" s="18">
        <v>4</v>
      </c>
      <c r="BL747" s="18">
        <v>4</v>
      </c>
      <c r="BM747" s="55">
        <f>SUM(AV747:AX747)+SUM(BC747:BD747)+SUM(BE747:BF747)+BG747</f>
        <v>25</v>
      </c>
      <c r="BN747" s="55"/>
      <c r="BO747" s="55"/>
      <c r="BP747" s="55"/>
      <c r="BQ747" s="55"/>
      <c r="BR747" s="55"/>
      <c r="BS747" s="55"/>
      <c r="BT747" s="55"/>
      <c r="BU747" s="55"/>
      <c r="BV747" s="55"/>
      <c r="BW747" s="55"/>
      <c r="BX747" s="55"/>
      <c r="BY747" s="55"/>
    </row>
    <row r="748" spans="2:77" ht="25.5">
      <c r="B748" s="89">
        <v>735</v>
      </c>
      <c r="C748" s="93">
        <v>429</v>
      </c>
      <c r="D748" s="93">
        <v>19</v>
      </c>
      <c r="E748" s="94">
        <v>0.2902777777777778</v>
      </c>
      <c r="F748" s="94">
        <v>0.2951388888888889</v>
      </c>
      <c r="G748" s="93" t="s">
        <v>306</v>
      </c>
      <c r="H748" s="93" t="s">
        <v>97</v>
      </c>
      <c r="I748" s="96">
        <v>3</v>
      </c>
      <c r="J748" s="97" t="s">
        <v>93</v>
      </c>
      <c r="K748" s="98">
        <v>208</v>
      </c>
      <c r="L748" s="99" t="s">
        <v>771</v>
      </c>
      <c r="M748" s="152" t="s">
        <v>1864</v>
      </c>
      <c r="N748" s="152">
        <v>17</v>
      </c>
      <c r="O748" s="87" t="s">
        <v>930</v>
      </c>
      <c r="P748" s="87">
        <v>9</v>
      </c>
      <c r="Q748" s="114"/>
      <c r="R748" s="87"/>
      <c r="S748" s="26" t="s">
        <v>1679</v>
      </c>
      <c r="T748" s="26" t="s">
        <v>1680</v>
      </c>
      <c r="U748" s="26">
        <v>4046</v>
      </c>
      <c r="V748" s="26" t="s">
        <v>1681</v>
      </c>
      <c r="W748" s="62">
        <v>44816</v>
      </c>
      <c r="X748" s="62">
        <v>45086</v>
      </c>
      <c r="Y748" s="62"/>
      <c r="Z748" s="62"/>
      <c r="AA748" s="22" t="s">
        <v>1106</v>
      </c>
      <c r="AB748" s="25"/>
      <c r="AC748" s="25"/>
      <c r="AD748" s="25"/>
      <c r="AE748" s="23" t="s">
        <v>731</v>
      </c>
      <c r="AF748" s="23" t="s">
        <v>731</v>
      </c>
      <c r="AG748" s="23" t="s">
        <v>731</v>
      </c>
      <c r="AH748" s="23" t="s">
        <v>731</v>
      </c>
      <c r="AI748" s="23" t="s">
        <v>731</v>
      </c>
      <c r="AJ748" s="23" t="s">
        <v>731</v>
      </c>
      <c r="AK748" s="23" t="s">
        <v>731</v>
      </c>
      <c r="AL748" s="25"/>
      <c r="AM748" s="25"/>
      <c r="AN748" s="25"/>
      <c r="AO748" s="25"/>
      <c r="AP748" s="23"/>
      <c r="AQ748" s="23"/>
      <c r="AR748" s="23"/>
      <c r="AS748" s="23"/>
      <c r="AT748" s="23"/>
      <c r="AU748" s="23"/>
      <c r="AV748" s="42">
        <v>10</v>
      </c>
      <c r="AW748" s="47"/>
      <c r="AX748" s="47"/>
      <c r="AY748" s="42"/>
      <c r="AZ748" s="42"/>
      <c r="BA748" s="47"/>
      <c r="BB748" s="45">
        <v>1</v>
      </c>
      <c r="BC748" s="41">
        <f>IF(AND((AV748/I748)&lt;2,BB748=1),(I748*2)-AV748,0)</f>
        <v>0</v>
      </c>
      <c r="BD748" s="41">
        <f>IF(AND((AV748/I748)&lt;3,BB748=2),(I748*3)-AV748,0)</f>
        <v>0</v>
      </c>
      <c r="BG748" s="41">
        <f>IF((AV748+AW748+AX748)&lt;20,(20-(AV748+AW748+AX748)),0)</f>
        <v>10</v>
      </c>
      <c r="BH748" s="18">
        <v>17</v>
      </c>
      <c r="BI748" s="18">
        <v>25</v>
      </c>
      <c r="BJ748" s="18">
        <v>25</v>
      </c>
      <c r="BK748" s="18">
        <v>18</v>
      </c>
      <c r="BL748" s="18">
        <v>20</v>
      </c>
      <c r="BM748" s="55">
        <f>SUM(AV748:AX748)+SUM(BC748:BD748)+SUM(BE748:BF748)+BG748</f>
        <v>20</v>
      </c>
      <c r="BN748" s="55"/>
      <c r="BO748" s="55"/>
      <c r="BP748" s="55"/>
      <c r="BQ748" s="55"/>
      <c r="BR748" s="55"/>
      <c r="BS748" s="55"/>
      <c r="BT748" s="55"/>
      <c r="BU748" s="55"/>
      <c r="BV748" s="55"/>
      <c r="BW748" s="55"/>
      <c r="BX748" s="55"/>
      <c r="BY748" s="55"/>
    </row>
    <row r="749" spans="2:77" ht="25.5">
      <c r="B749" s="89">
        <v>736</v>
      </c>
      <c r="C749" s="93">
        <v>429</v>
      </c>
      <c r="D749" s="106">
        <v>21</v>
      </c>
      <c r="E749" s="94">
        <v>0.55208333333333337</v>
      </c>
      <c r="F749" s="94">
        <v>0.55555555555555558</v>
      </c>
      <c r="G749" s="93" t="s">
        <v>168</v>
      </c>
      <c r="H749" s="93" t="s">
        <v>103</v>
      </c>
      <c r="I749" s="96">
        <v>2</v>
      </c>
      <c r="J749" s="97" t="s">
        <v>167</v>
      </c>
      <c r="K749" s="98">
        <v>174</v>
      </c>
      <c r="L749" s="99" t="s">
        <v>771</v>
      </c>
      <c r="M749" s="152" t="s">
        <v>1864</v>
      </c>
      <c r="N749" s="152">
        <v>17</v>
      </c>
      <c r="O749" s="87" t="s">
        <v>930</v>
      </c>
      <c r="P749" s="87">
        <v>9</v>
      </c>
      <c r="Q749" s="114"/>
      <c r="R749" s="87"/>
      <c r="S749" s="26">
        <v>4048</v>
      </c>
      <c r="T749" s="26" t="s">
        <v>1682</v>
      </c>
      <c r="U749" s="26">
        <v>4046</v>
      </c>
      <c r="V749" s="26" t="s">
        <v>1681</v>
      </c>
      <c r="W749" s="62">
        <v>44816</v>
      </c>
      <c r="X749" s="62">
        <v>45086</v>
      </c>
      <c r="Y749" s="62"/>
      <c r="Z749" s="62"/>
      <c r="AA749" s="22" t="s">
        <v>1102</v>
      </c>
      <c r="AB749" s="25"/>
      <c r="AC749" s="25"/>
      <c r="AD749" s="25"/>
      <c r="AE749" s="23" t="s">
        <v>731</v>
      </c>
      <c r="AF749" s="23" t="s">
        <v>731</v>
      </c>
      <c r="AG749" s="23" t="s">
        <v>731</v>
      </c>
      <c r="AH749" s="23" t="s">
        <v>731</v>
      </c>
      <c r="AI749" s="23" t="s">
        <v>731</v>
      </c>
      <c r="AJ749" s="23" t="s">
        <v>731</v>
      </c>
      <c r="AK749" s="25"/>
      <c r="AL749" s="25"/>
      <c r="AM749" s="25"/>
      <c r="AN749" s="25"/>
      <c r="AO749" s="25"/>
      <c r="AP749" s="23"/>
      <c r="AQ749" s="23"/>
      <c r="AR749" s="23"/>
      <c r="AS749" s="23"/>
      <c r="AT749" s="23"/>
      <c r="AU749" s="25"/>
      <c r="AV749" s="42">
        <v>3.6</v>
      </c>
      <c r="AW749" s="47"/>
      <c r="AX749" s="47"/>
      <c r="AY749" s="42"/>
      <c r="AZ749" s="42"/>
      <c r="BA749" s="47"/>
      <c r="BB749" s="45">
        <v>1</v>
      </c>
      <c r="BC749" s="41">
        <f>IF(AND((AV749/I749)&lt;2,BB749=1),(I749*2)-AV749,0)</f>
        <v>0.39999999999999991</v>
      </c>
      <c r="BD749" s="41">
        <f>IF(AND((AV749/I749)&lt;3,BB749=2),(I749*3)-AV749,0)</f>
        <v>0</v>
      </c>
      <c r="BG749" s="18"/>
      <c r="BH749" s="18">
        <v>15</v>
      </c>
      <c r="BI749" s="18">
        <v>20</v>
      </c>
      <c r="BJ749" s="18">
        <v>21</v>
      </c>
      <c r="BK749" s="18">
        <v>15</v>
      </c>
      <c r="BL749" s="18">
        <v>17</v>
      </c>
      <c r="BM749" s="55">
        <f>SUM(AV749:AX749)+SUM(BC749:BD749)+SUM(BE749:BF749)+BG749</f>
        <v>4</v>
      </c>
      <c r="BN749" s="55"/>
      <c r="BO749" s="55"/>
      <c r="BP749" s="55"/>
      <c r="BQ749" s="55"/>
      <c r="BR749" s="55"/>
      <c r="BS749" s="55"/>
      <c r="BT749" s="55"/>
      <c r="BU749" s="55"/>
      <c r="BV749" s="55"/>
      <c r="BW749" s="55"/>
      <c r="BX749" s="55"/>
      <c r="BY749" s="55"/>
    </row>
    <row r="750" spans="2:77" ht="25.5">
      <c r="B750" s="89">
        <v>737</v>
      </c>
      <c r="C750" s="93">
        <v>429</v>
      </c>
      <c r="D750" s="106">
        <v>16</v>
      </c>
      <c r="E750" s="94">
        <v>0.56597222222222221</v>
      </c>
      <c r="F750" s="94">
        <v>0.56944444444444442</v>
      </c>
      <c r="G750" s="93" t="s">
        <v>169</v>
      </c>
      <c r="H750" s="93" t="s">
        <v>103</v>
      </c>
      <c r="I750" s="96">
        <v>2</v>
      </c>
      <c r="J750" s="97" t="s">
        <v>167</v>
      </c>
      <c r="K750" s="98">
        <v>174</v>
      </c>
      <c r="L750" s="99" t="s">
        <v>771</v>
      </c>
      <c r="M750" s="152" t="s">
        <v>1864</v>
      </c>
      <c r="N750" s="152">
        <v>17</v>
      </c>
      <c r="O750" s="87" t="s">
        <v>930</v>
      </c>
      <c r="P750" s="87">
        <v>9</v>
      </c>
      <c r="Q750" s="114"/>
      <c r="R750" s="87"/>
      <c r="S750" s="26">
        <v>4046</v>
      </c>
      <c r="T750" s="26" t="s">
        <v>1681</v>
      </c>
      <c r="U750" s="26">
        <v>4048</v>
      </c>
      <c r="V750" s="26" t="s">
        <v>1682</v>
      </c>
      <c r="W750" s="62">
        <v>44816</v>
      </c>
      <c r="X750" s="62">
        <v>45086</v>
      </c>
      <c r="Y750" s="62"/>
      <c r="Z750" s="62"/>
      <c r="AA750" s="22" t="s">
        <v>1102</v>
      </c>
      <c r="AB750" s="25"/>
      <c r="AC750" s="25"/>
      <c r="AD750" s="25"/>
      <c r="AE750" s="23" t="s">
        <v>731</v>
      </c>
      <c r="AF750" s="23" t="s">
        <v>731</v>
      </c>
      <c r="AG750" s="23" t="s">
        <v>731</v>
      </c>
      <c r="AH750" s="23" t="s">
        <v>731</v>
      </c>
      <c r="AI750" s="23" t="s">
        <v>731</v>
      </c>
      <c r="AJ750" s="23" t="s">
        <v>731</v>
      </c>
      <c r="AK750" s="25"/>
      <c r="AL750" s="25"/>
      <c r="AM750" s="25"/>
      <c r="AN750" s="25"/>
      <c r="AO750" s="25"/>
      <c r="AP750" s="23"/>
      <c r="AQ750" s="23"/>
      <c r="AR750" s="23"/>
      <c r="AS750" s="23"/>
      <c r="AT750" s="23"/>
      <c r="AU750" s="25"/>
      <c r="AV750" s="42">
        <v>3.6</v>
      </c>
      <c r="AW750" s="47"/>
      <c r="AX750" s="47"/>
      <c r="AY750" s="42"/>
      <c r="AZ750" s="42"/>
      <c r="BA750" s="47"/>
      <c r="BB750" s="45">
        <v>1</v>
      </c>
      <c r="BC750" s="41">
        <f>IF(AND((AV750/I750)&lt;2,BB750=1),(I750*2)-AV750,0)</f>
        <v>0.39999999999999991</v>
      </c>
      <c r="BD750" s="41">
        <f>IF(AND((AV750/I750)&lt;3,BB750=2),(I750*3)-AV750,0)</f>
        <v>0</v>
      </c>
      <c r="BG750" s="18"/>
      <c r="BH750" s="18">
        <v>15</v>
      </c>
      <c r="BI750" s="18">
        <v>20</v>
      </c>
      <c r="BJ750" s="18">
        <v>21</v>
      </c>
      <c r="BK750" s="18">
        <v>15</v>
      </c>
      <c r="BL750" s="18">
        <v>17</v>
      </c>
      <c r="BM750" s="55">
        <f>SUM(AV750:AX750)+SUM(BC750:BD750)+SUM(BE750:BF750)+BG750</f>
        <v>4</v>
      </c>
      <c r="BN750" s="55"/>
      <c r="BO750" s="55"/>
      <c r="BP750" s="55"/>
      <c r="BQ750" s="55"/>
      <c r="BR750" s="55"/>
      <c r="BS750" s="55"/>
      <c r="BT750" s="55"/>
      <c r="BU750" s="55"/>
      <c r="BV750" s="55"/>
      <c r="BW750" s="55"/>
      <c r="BX750" s="55"/>
      <c r="BY750" s="55"/>
    </row>
    <row r="751" spans="2:77" ht="25.5">
      <c r="B751" s="89">
        <v>738</v>
      </c>
      <c r="C751" s="93">
        <v>431</v>
      </c>
      <c r="D751" s="93">
        <v>1</v>
      </c>
      <c r="E751" s="94">
        <v>0.29166666666666669</v>
      </c>
      <c r="F751" s="94">
        <v>0.2986111111111111</v>
      </c>
      <c r="G751" s="93" t="s">
        <v>308</v>
      </c>
      <c r="H751" s="93" t="s">
        <v>97</v>
      </c>
      <c r="I751" s="96">
        <v>4.5</v>
      </c>
      <c r="J751" s="97" t="s">
        <v>269</v>
      </c>
      <c r="K751" s="98">
        <v>208</v>
      </c>
      <c r="L751" s="99" t="s">
        <v>730</v>
      </c>
      <c r="M751" s="87" t="s">
        <v>878</v>
      </c>
      <c r="N751" s="87">
        <v>9</v>
      </c>
      <c r="O751" s="87" t="s">
        <v>1938</v>
      </c>
      <c r="P751" s="87">
        <v>9</v>
      </c>
      <c r="Q751" s="87" t="s">
        <v>877</v>
      </c>
      <c r="R751" s="87">
        <v>9</v>
      </c>
      <c r="S751" s="26">
        <v>4030</v>
      </c>
      <c r="T751" s="26" t="s">
        <v>1683</v>
      </c>
      <c r="U751" s="26">
        <v>4025</v>
      </c>
      <c r="V751" s="26" t="s">
        <v>1684</v>
      </c>
      <c r="W751" s="62">
        <v>44816</v>
      </c>
      <c r="X751" s="62">
        <v>45086</v>
      </c>
      <c r="Y751" s="62"/>
      <c r="Z751" s="62"/>
      <c r="AA751" s="22" t="s">
        <v>1106</v>
      </c>
      <c r="AB751" s="25"/>
      <c r="AC751" s="25"/>
      <c r="AD751" s="25"/>
      <c r="AE751" s="23" t="s">
        <v>731</v>
      </c>
      <c r="AF751" s="23" t="s">
        <v>731</v>
      </c>
      <c r="AG751" s="23" t="s">
        <v>731</v>
      </c>
      <c r="AH751" s="23" t="s">
        <v>731</v>
      </c>
      <c r="AI751" s="23" t="s">
        <v>731</v>
      </c>
      <c r="AJ751" s="23" t="s">
        <v>731</v>
      </c>
      <c r="AK751" s="23" t="s">
        <v>731</v>
      </c>
      <c r="AL751" s="25"/>
      <c r="AM751" s="25"/>
      <c r="AN751" s="25"/>
      <c r="AO751" s="25"/>
      <c r="AP751" s="23"/>
      <c r="AQ751" s="23"/>
      <c r="AR751" s="23"/>
      <c r="AS751" s="23"/>
      <c r="AT751" s="23"/>
      <c r="AU751" s="23"/>
      <c r="AV751" s="42">
        <v>24.38</v>
      </c>
      <c r="AW751" s="47"/>
      <c r="AX751" s="47"/>
      <c r="AY751" s="42"/>
      <c r="AZ751" s="42"/>
      <c r="BA751" s="20">
        <v>11</v>
      </c>
      <c r="BB751" s="45">
        <v>1</v>
      </c>
      <c r="BC751" s="41">
        <f>IF(AND((AV751/I751)&lt;2,BB751=1),(I751*2)-AV751,0)</f>
        <v>0</v>
      </c>
      <c r="BD751" s="41">
        <f>IF(AND((AV751/I751)&lt;3,BB751=2),(I751*3)-AV751,0)</f>
        <v>0</v>
      </c>
      <c r="BG751" s="18"/>
      <c r="BH751" s="18">
        <v>17</v>
      </c>
      <c r="BI751" s="18">
        <v>25</v>
      </c>
      <c r="BJ751" s="18">
        <v>25</v>
      </c>
      <c r="BK751" s="18">
        <v>18</v>
      </c>
      <c r="BL751" s="18">
        <v>20</v>
      </c>
      <c r="BM751" s="55">
        <f>SUM(AV751:AX751)+SUM(BC751:BD751)+SUM(BE751:BF751)+BG751</f>
        <v>24.38</v>
      </c>
      <c r="BN751" s="55"/>
      <c r="BO751" s="55"/>
      <c r="BP751" s="55"/>
      <c r="BQ751" s="55"/>
      <c r="BR751" s="55"/>
      <c r="BS751" s="55"/>
      <c r="BT751" s="55"/>
      <c r="BU751" s="55"/>
      <c r="BV751" s="55"/>
      <c r="BW751" s="55"/>
      <c r="BX751" s="55"/>
      <c r="BY751" s="55"/>
    </row>
    <row r="752" spans="2:77" ht="25.5">
      <c r="B752" s="89">
        <v>739</v>
      </c>
      <c r="C752" s="93">
        <v>431</v>
      </c>
      <c r="D752" s="93">
        <v>4</v>
      </c>
      <c r="E752" s="94">
        <v>0.74097222222222225</v>
      </c>
      <c r="F752" s="94">
        <v>0.74861111111111101</v>
      </c>
      <c r="G752" s="93" t="s">
        <v>307</v>
      </c>
      <c r="H752" s="93" t="s">
        <v>103</v>
      </c>
      <c r="I752" s="96">
        <v>4.5</v>
      </c>
      <c r="J752" s="97" t="s">
        <v>269</v>
      </c>
      <c r="K752" s="98">
        <v>174</v>
      </c>
      <c r="L752" s="99" t="s">
        <v>730</v>
      </c>
      <c r="M752" s="87" t="s">
        <v>876</v>
      </c>
      <c r="N752" s="87">
        <v>30</v>
      </c>
      <c r="Q752" s="114"/>
      <c r="R752" s="87"/>
      <c r="S752" s="26">
        <v>4025</v>
      </c>
      <c r="T752" s="26" t="s">
        <v>1684</v>
      </c>
      <c r="U752" s="26">
        <v>4030</v>
      </c>
      <c r="V752" s="26" t="s">
        <v>1683</v>
      </c>
      <c r="W752" s="62">
        <v>44816</v>
      </c>
      <c r="X752" s="62">
        <v>45086</v>
      </c>
      <c r="Y752" s="62"/>
      <c r="Z752" s="62"/>
      <c r="AA752" s="22" t="s">
        <v>1102</v>
      </c>
      <c r="AB752" s="25"/>
      <c r="AC752" s="25"/>
      <c r="AD752" s="25"/>
      <c r="AE752" s="23" t="s">
        <v>731</v>
      </c>
      <c r="AF752" s="23" t="s">
        <v>731</v>
      </c>
      <c r="AG752" s="23" t="s">
        <v>731</v>
      </c>
      <c r="AH752" s="23" t="s">
        <v>731</v>
      </c>
      <c r="AI752" s="23" t="s">
        <v>731</v>
      </c>
      <c r="AJ752" s="23" t="s">
        <v>731</v>
      </c>
      <c r="AK752" s="25"/>
      <c r="AL752" s="25"/>
      <c r="AM752" s="25"/>
      <c r="AN752" s="25"/>
      <c r="AO752" s="25"/>
      <c r="AP752" s="23"/>
      <c r="AQ752" s="23"/>
      <c r="AR752" s="23"/>
      <c r="AS752" s="23"/>
      <c r="AT752" s="23"/>
      <c r="AU752" s="25"/>
      <c r="AV752" s="42">
        <v>22.82</v>
      </c>
      <c r="AW752" s="47"/>
      <c r="AX752" s="47"/>
      <c r="AY752" s="42"/>
      <c r="AZ752" s="42"/>
      <c r="BA752" s="20">
        <v>12</v>
      </c>
      <c r="BB752" s="45">
        <v>1</v>
      </c>
      <c r="BC752" s="41">
        <f>IF(AND((AV752/I752)&lt;2,BB752=1),(I752*2)-AV752,0)</f>
        <v>0</v>
      </c>
      <c r="BD752" s="41">
        <f>IF(AND((AV752/I752)&lt;3,BB752=2),(I752*3)-AV752,0)</f>
        <v>0</v>
      </c>
      <c r="BG752" s="18"/>
      <c r="BH752" s="18">
        <v>15</v>
      </c>
      <c r="BI752" s="18">
        <v>20</v>
      </c>
      <c r="BJ752" s="18">
        <v>21</v>
      </c>
      <c r="BK752" s="18">
        <v>15</v>
      </c>
      <c r="BL752" s="18">
        <v>17</v>
      </c>
      <c r="BM752" s="55">
        <f>SUM(AV752:AX752)+SUM(BC752:BD752)+SUM(BE752:BF752)+BG752</f>
        <v>22.82</v>
      </c>
      <c r="BN752" s="55"/>
      <c r="BO752" s="55"/>
      <c r="BP752" s="55"/>
      <c r="BQ752" s="55"/>
      <c r="BR752" s="55"/>
      <c r="BS752" s="55"/>
      <c r="BT752" s="55"/>
      <c r="BU752" s="55"/>
      <c r="BV752" s="55"/>
      <c r="BW752" s="55"/>
      <c r="BX752" s="55"/>
      <c r="BY752" s="55"/>
    </row>
    <row r="753" spans="2:77" ht="76.5">
      <c r="B753" s="89">
        <v>740</v>
      </c>
      <c r="C753" s="93">
        <v>433</v>
      </c>
      <c r="D753" s="93">
        <v>530</v>
      </c>
      <c r="E753" s="94">
        <v>0.33333333333333331</v>
      </c>
      <c r="F753" s="94">
        <v>0.36944444444444446</v>
      </c>
      <c r="G753" s="93" t="s">
        <v>703</v>
      </c>
      <c r="H753" s="93" t="s">
        <v>400</v>
      </c>
      <c r="I753" s="96">
        <v>17</v>
      </c>
      <c r="J753" s="97">
        <v>20</v>
      </c>
      <c r="K753" s="98">
        <v>22</v>
      </c>
      <c r="L753" s="99" t="s">
        <v>770</v>
      </c>
      <c r="M753" s="83" t="s">
        <v>829</v>
      </c>
      <c r="N753" s="83">
        <v>21</v>
      </c>
      <c r="O753" s="83" t="s">
        <v>1232</v>
      </c>
      <c r="P753" s="83">
        <v>21</v>
      </c>
      <c r="Q753" s="141"/>
      <c r="R753" s="83"/>
      <c r="S753" s="26">
        <v>4380</v>
      </c>
      <c r="T753" s="26" t="s">
        <v>1685</v>
      </c>
      <c r="U753" s="26" t="s">
        <v>1686</v>
      </c>
      <c r="V753" s="26" t="s">
        <v>1687</v>
      </c>
      <c r="W753" s="63">
        <v>44562</v>
      </c>
      <c r="X753" s="63">
        <v>44815</v>
      </c>
      <c r="Y753" s="63">
        <v>45101</v>
      </c>
      <c r="Z753" s="63">
        <v>45169</v>
      </c>
      <c r="AA753" s="22" t="s">
        <v>1152</v>
      </c>
      <c r="AB753" s="25"/>
      <c r="AC753" s="25" t="s">
        <v>731</v>
      </c>
      <c r="AD753" s="25" t="s">
        <v>731</v>
      </c>
      <c r="AE753" s="25"/>
      <c r="AF753" s="25" t="s">
        <v>731</v>
      </c>
      <c r="AG753" s="25"/>
      <c r="AH753" s="25" t="s">
        <v>731</v>
      </c>
      <c r="AI753" s="25"/>
      <c r="AJ753" s="25"/>
      <c r="AK753" s="25"/>
      <c r="AL753" s="25"/>
      <c r="AM753" s="25"/>
      <c r="AN753" s="25"/>
      <c r="AO753" s="25"/>
      <c r="AP753" s="25"/>
      <c r="AQ753" s="25"/>
      <c r="AR753" s="25"/>
      <c r="AS753" s="25"/>
      <c r="AT753" s="25"/>
      <c r="AU753" s="25"/>
      <c r="AV753" s="42">
        <v>50.28</v>
      </c>
      <c r="AW753" s="47"/>
      <c r="AX753" s="47"/>
      <c r="AY753" s="42"/>
      <c r="AZ753" s="42"/>
      <c r="BA753" s="47"/>
      <c r="BB753" s="45">
        <v>1</v>
      </c>
      <c r="BC753" s="41">
        <f>IF(AND((AV753/I753)&lt;2,BB753=1),(I753*2)-AV753,0)</f>
        <v>0</v>
      </c>
      <c r="BD753" s="41">
        <f>IF(AND((AV753/I753)&lt;3,BB753=2),(I753*3)-AV753,0)</f>
        <v>0</v>
      </c>
      <c r="BG753" s="18"/>
      <c r="BH753" s="18">
        <v>2</v>
      </c>
      <c r="BI753" s="18">
        <v>0</v>
      </c>
      <c r="BJ753" s="18">
        <v>0</v>
      </c>
      <c r="BK753" s="18">
        <v>0</v>
      </c>
      <c r="BL753" s="18">
        <v>0</v>
      </c>
      <c r="BM753" s="55">
        <f>SUM(AV753:AX753)+SUM(BC753:BD753)+SUM(BE753:BF753)+BG753</f>
        <v>50.28</v>
      </c>
      <c r="BN753" s="55"/>
      <c r="BO753" s="55"/>
      <c r="BP753" s="55"/>
      <c r="BQ753" s="55"/>
      <c r="BR753" s="55"/>
      <c r="BS753" s="55"/>
      <c r="BT753" s="55"/>
      <c r="BU753" s="55"/>
      <c r="BV753" s="55"/>
      <c r="BW753" s="55"/>
      <c r="BX753" s="55"/>
      <c r="BY753" s="55"/>
    </row>
    <row r="754" spans="2:77" ht="38.25">
      <c r="B754" s="89">
        <v>741</v>
      </c>
      <c r="C754" s="93">
        <v>433</v>
      </c>
      <c r="D754" s="93">
        <v>530</v>
      </c>
      <c r="E754" s="94">
        <v>0.375</v>
      </c>
      <c r="F754" s="94">
        <v>0.41111111111111115</v>
      </c>
      <c r="G754" s="93" t="s">
        <v>399</v>
      </c>
      <c r="H754" s="93" t="s">
        <v>398</v>
      </c>
      <c r="I754" s="96">
        <v>17</v>
      </c>
      <c r="J754" s="97">
        <v>20</v>
      </c>
      <c r="K754" s="98">
        <v>78</v>
      </c>
      <c r="L754" s="99" t="s">
        <v>770</v>
      </c>
      <c r="M754" s="83" t="s">
        <v>829</v>
      </c>
      <c r="N754" s="83">
        <v>21</v>
      </c>
      <c r="O754" s="83" t="s">
        <v>1232</v>
      </c>
      <c r="P754" s="83">
        <v>21</v>
      </c>
      <c r="Q754" s="141"/>
      <c r="R754" s="83"/>
      <c r="S754" s="26">
        <v>4380</v>
      </c>
      <c r="T754" s="26" t="s">
        <v>1685</v>
      </c>
      <c r="U754" s="26" t="s">
        <v>1686</v>
      </c>
      <c r="V754" s="26" t="s">
        <v>1687</v>
      </c>
      <c r="W754" s="63">
        <v>44816</v>
      </c>
      <c r="X754" s="63">
        <v>45100</v>
      </c>
      <c r="Y754" s="63"/>
      <c r="Z754" s="63"/>
      <c r="AA754" s="22" t="s">
        <v>1153</v>
      </c>
      <c r="AB754" s="25" t="s">
        <v>731</v>
      </c>
      <c r="AC754" s="25"/>
      <c r="AD754" s="25" t="s">
        <v>731</v>
      </c>
      <c r="AE754" s="25"/>
      <c r="AF754" s="25" t="s">
        <v>731</v>
      </c>
      <c r="AG754" s="25"/>
      <c r="AH754" s="25" t="s">
        <v>731</v>
      </c>
      <c r="AI754" s="25"/>
      <c r="AJ754" s="25"/>
      <c r="AK754" s="25"/>
      <c r="AL754" s="25"/>
      <c r="AM754" s="25"/>
      <c r="AN754" s="25"/>
      <c r="AO754" s="25"/>
      <c r="AP754" s="25"/>
      <c r="AQ754" s="25"/>
      <c r="AR754" s="25"/>
      <c r="AS754" s="25"/>
      <c r="AT754" s="25"/>
      <c r="AU754" s="25"/>
      <c r="AV754" s="42">
        <v>46.43</v>
      </c>
      <c r="AW754" s="47"/>
      <c r="AX754" s="47"/>
      <c r="AY754" s="42"/>
      <c r="AZ754" s="42"/>
      <c r="BA754" s="47"/>
      <c r="BB754" s="45">
        <v>1</v>
      </c>
      <c r="BC754" s="41">
        <f>IF(AND((AV754/I754)&lt;2,BB754=1),(I754*2)-AV754,0)</f>
        <v>0</v>
      </c>
      <c r="BD754" s="41">
        <f>IF(AND((AV754/I754)&lt;3,BB754=2),(I754*3)-AV754,0)</f>
        <v>0</v>
      </c>
      <c r="BG754" s="18"/>
      <c r="BH754" s="18">
        <v>6</v>
      </c>
      <c r="BI754" s="18">
        <v>9</v>
      </c>
      <c r="BJ754" s="18">
        <v>9</v>
      </c>
      <c r="BK754" s="18">
        <v>7</v>
      </c>
      <c r="BL754" s="18">
        <v>9</v>
      </c>
      <c r="BM754" s="55">
        <f>SUM(AV754:AX754)+SUM(BC754:BD754)+SUM(BE754:BF754)+BG754</f>
        <v>46.43</v>
      </c>
      <c r="BN754" s="55"/>
      <c r="BO754" s="55"/>
      <c r="BP754" s="55"/>
      <c r="BQ754" s="55"/>
      <c r="BR754" s="55"/>
      <c r="BS754" s="55"/>
      <c r="BT754" s="55"/>
      <c r="BU754" s="55"/>
      <c r="BV754" s="55"/>
      <c r="BW754" s="55"/>
      <c r="BX754" s="55"/>
      <c r="BY754" s="55"/>
    </row>
    <row r="755" spans="2:77" ht="25.5">
      <c r="B755" s="89">
        <v>742</v>
      </c>
      <c r="C755" s="93">
        <v>433</v>
      </c>
      <c r="D755" s="93">
        <v>532</v>
      </c>
      <c r="E755" s="94">
        <v>0.46875</v>
      </c>
      <c r="F755" s="105">
        <v>0.50486111111111109</v>
      </c>
      <c r="G755" s="93" t="s">
        <v>397</v>
      </c>
      <c r="H755" s="93" t="s">
        <v>396</v>
      </c>
      <c r="I755" s="96">
        <v>17</v>
      </c>
      <c r="J755" s="97">
        <v>20</v>
      </c>
      <c r="K755" s="98">
        <f>48+52</f>
        <v>100</v>
      </c>
      <c r="L755" s="99" t="s">
        <v>770</v>
      </c>
      <c r="M755" s="83" t="s">
        <v>829</v>
      </c>
      <c r="N755" s="83">
        <v>21</v>
      </c>
      <c r="O755" s="83" t="s">
        <v>1232</v>
      </c>
      <c r="P755" s="83">
        <v>21</v>
      </c>
      <c r="Q755" s="141"/>
      <c r="R755" s="83"/>
      <c r="S755" s="26" t="s">
        <v>1686</v>
      </c>
      <c r="T755" s="26" t="s">
        <v>1687</v>
      </c>
      <c r="U755" s="26">
        <v>4380</v>
      </c>
      <c r="V755" s="26" t="s">
        <v>1685</v>
      </c>
      <c r="W755" s="62">
        <v>44805</v>
      </c>
      <c r="X755" s="62">
        <v>45169</v>
      </c>
      <c r="Y755" s="62"/>
      <c r="Z755" s="62"/>
      <c r="AA755" s="22" t="s">
        <v>1815</v>
      </c>
      <c r="AB755" s="25" t="s">
        <v>731</v>
      </c>
      <c r="AC755" s="25" t="s">
        <v>731</v>
      </c>
      <c r="AD755" s="25" t="s">
        <v>731</v>
      </c>
      <c r="AE755" s="25"/>
      <c r="AF755" s="25" t="s">
        <v>731</v>
      </c>
      <c r="AG755" s="25"/>
      <c r="AH755" s="25" t="s">
        <v>731</v>
      </c>
      <c r="AI755" s="25"/>
      <c r="AJ755" s="25"/>
      <c r="AK755" s="25"/>
      <c r="AL755" s="25"/>
      <c r="AM755" s="25"/>
      <c r="AN755" s="25"/>
      <c r="AO755" s="25"/>
      <c r="AP755" s="25"/>
      <c r="AQ755" s="25"/>
      <c r="AR755" s="25"/>
      <c r="AS755" s="25"/>
      <c r="AT755" s="25"/>
      <c r="AU755" s="25"/>
      <c r="AV755" s="42">
        <v>47.23</v>
      </c>
      <c r="AW755" s="47"/>
      <c r="AX755" s="47"/>
      <c r="AY755" s="42"/>
      <c r="AZ755" s="42"/>
      <c r="BA755" s="47"/>
      <c r="BB755" s="45">
        <v>1</v>
      </c>
      <c r="BC755" s="41">
        <f>IF(AND((AV755/I755)&lt;2,BB755=1),(I755*2)-AV755,0)</f>
        <v>0</v>
      </c>
      <c r="BD755" s="41">
        <f>IF(AND((AV755/I755)&lt;3,BB755=2),(I755*3)-AV755,0)</f>
        <v>0</v>
      </c>
      <c r="BG755" s="18"/>
      <c r="BH755" s="18">
        <v>8</v>
      </c>
      <c r="BI755" s="18">
        <v>9</v>
      </c>
      <c r="BJ755" s="18">
        <v>9</v>
      </c>
      <c r="BK755" s="18">
        <v>7</v>
      </c>
      <c r="BL755" s="18">
        <v>9</v>
      </c>
      <c r="BM755" s="55">
        <f>SUM(AV755:AX755)+SUM(BC755:BD755)+SUM(BE755:BF755)+BG755</f>
        <v>47.23</v>
      </c>
      <c r="BN755" s="55"/>
      <c r="BO755" s="55"/>
      <c r="BP755" s="55"/>
      <c r="BQ755" s="55"/>
      <c r="BR755" s="55"/>
      <c r="BS755" s="55"/>
      <c r="BT755" s="55"/>
      <c r="BU755" s="55"/>
      <c r="BV755" s="55"/>
      <c r="BW755" s="55"/>
      <c r="BX755" s="55"/>
      <c r="BY755" s="55"/>
    </row>
    <row r="756" spans="2:77" ht="25.5">
      <c r="B756" s="89">
        <v>743</v>
      </c>
      <c r="C756" s="93">
        <v>504</v>
      </c>
      <c r="D756" s="93">
        <v>8</v>
      </c>
      <c r="E756" s="105">
        <v>0.72152777777777777</v>
      </c>
      <c r="F756" s="105">
        <v>0.73055555555555562</v>
      </c>
      <c r="G756" s="106" t="s">
        <v>1056</v>
      </c>
      <c r="H756" s="93" t="s">
        <v>103</v>
      </c>
      <c r="I756" s="96">
        <v>5</v>
      </c>
      <c r="J756" s="97">
        <v>16</v>
      </c>
      <c r="K756" s="98">
        <v>174</v>
      </c>
      <c r="L756" s="99" t="s">
        <v>738</v>
      </c>
      <c r="M756" s="87" t="s">
        <v>882</v>
      </c>
      <c r="N756" s="87">
        <v>21</v>
      </c>
      <c r="O756" s="87" t="s">
        <v>881</v>
      </c>
      <c r="P756" s="87">
        <v>8</v>
      </c>
      <c r="Q756" s="114"/>
      <c r="R756" s="87"/>
      <c r="S756" s="26">
        <v>5117</v>
      </c>
      <c r="T756" s="26" t="s">
        <v>1688</v>
      </c>
      <c r="U756" s="26">
        <v>5119</v>
      </c>
      <c r="V756" s="26" t="s">
        <v>1689</v>
      </c>
      <c r="W756" s="62">
        <v>44816</v>
      </c>
      <c r="X756" s="62">
        <v>45086</v>
      </c>
      <c r="Y756" s="62"/>
      <c r="Z756" s="62"/>
      <c r="AA756" s="22" t="s">
        <v>1102</v>
      </c>
      <c r="AB756" s="25"/>
      <c r="AC756" s="25"/>
      <c r="AD756" s="25"/>
      <c r="AE756" s="23" t="s">
        <v>731</v>
      </c>
      <c r="AF756" s="23" t="s">
        <v>731</v>
      </c>
      <c r="AG756" s="23" t="s">
        <v>731</v>
      </c>
      <c r="AH756" s="23" t="s">
        <v>731</v>
      </c>
      <c r="AI756" s="23" t="s">
        <v>731</v>
      </c>
      <c r="AJ756" s="23" t="s">
        <v>731</v>
      </c>
      <c r="AK756" s="25"/>
      <c r="AL756" s="25"/>
      <c r="AM756" s="25"/>
      <c r="AN756" s="25"/>
      <c r="AO756" s="25"/>
      <c r="AP756" s="23"/>
      <c r="AQ756" s="23"/>
      <c r="AR756" s="23"/>
      <c r="AS756" s="23"/>
      <c r="AT756" s="23"/>
      <c r="AU756" s="25"/>
      <c r="AV756" s="42">
        <v>48.42</v>
      </c>
      <c r="AW756" s="47"/>
      <c r="AX756" s="47"/>
      <c r="AY756" s="42"/>
      <c r="AZ756" s="42"/>
      <c r="BA756" s="47"/>
      <c r="BB756" s="45">
        <v>1</v>
      </c>
      <c r="BC756" s="41">
        <f>IF(AND((AV756/I756)&lt;2,BB756=1),(I756*2)-AV756,0)</f>
        <v>0</v>
      </c>
      <c r="BD756" s="41">
        <f>IF(AND((AV756/I756)&lt;3,BB756=2),(I756*3)-AV756,0)</f>
        <v>0</v>
      </c>
      <c r="BG756" s="18"/>
      <c r="BH756" s="18">
        <v>15</v>
      </c>
      <c r="BI756" s="18">
        <v>20</v>
      </c>
      <c r="BJ756" s="18">
        <v>21</v>
      </c>
      <c r="BK756" s="18">
        <v>15</v>
      </c>
      <c r="BL756" s="18">
        <v>17</v>
      </c>
      <c r="BM756" s="55">
        <f>SUM(AV756:AX756)+SUM(BC756:BD756)+SUM(BE756:BF756)+BG756</f>
        <v>48.42</v>
      </c>
      <c r="BN756" s="55"/>
      <c r="BO756" s="55"/>
      <c r="BP756" s="55"/>
      <c r="BQ756" s="55"/>
      <c r="BR756" s="55"/>
      <c r="BS756" s="55"/>
      <c r="BT756" s="55"/>
      <c r="BU756" s="55"/>
      <c r="BV756" s="55"/>
      <c r="BW756" s="55"/>
      <c r="BX756" s="55"/>
      <c r="BY756" s="55"/>
    </row>
    <row r="757" spans="2:77" ht="25.5">
      <c r="B757" s="89">
        <v>744</v>
      </c>
      <c r="C757" s="93">
        <v>512</v>
      </c>
      <c r="D757" s="95">
        <v>476</v>
      </c>
      <c r="E757" s="94">
        <v>0.24444444444444446</v>
      </c>
      <c r="F757" s="94">
        <v>0.2673611111111111</v>
      </c>
      <c r="G757" s="93" t="s">
        <v>465</v>
      </c>
      <c r="H757" s="93" t="s">
        <v>466</v>
      </c>
      <c r="I757" s="96">
        <v>25</v>
      </c>
      <c r="J757" s="97" t="s">
        <v>191</v>
      </c>
      <c r="K757" s="98">
        <v>36</v>
      </c>
      <c r="L757" s="99" t="s">
        <v>720</v>
      </c>
      <c r="M757" s="87" t="s">
        <v>861</v>
      </c>
      <c r="N757" s="87">
        <v>57</v>
      </c>
      <c r="O757" s="87" t="s">
        <v>1262</v>
      </c>
      <c r="P757" s="87">
        <v>50</v>
      </c>
      <c r="R757" s="87"/>
      <c r="S757" s="26" t="s">
        <v>1302</v>
      </c>
      <c r="T757" s="26" t="s">
        <v>1303</v>
      </c>
      <c r="U757" s="26" t="s">
        <v>1690</v>
      </c>
      <c r="V757" s="26" t="s">
        <v>1691</v>
      </c>
      <c r="W757" s="62">
        <v>44816</v>
      </c>
      <c r="X757" s="62">
        <v>45086</v>
      </c>
      <c r="Y757" s="62"/>
      <c r="Z757" s="62"/>
      <c r="AA757" s="23" t="s">
        <v>1123</v>
      </c>
      <c r="AB757" s="23"/>
      <c r="AC757" s="23"/>
      <c r="AD757" s="23"/>
      <c r="AE757" s="23" t="s">
        <v>731</v>
      </c>
      <c r="AF757" s="23" t="s">
        <v>731</v>
      </c>
      <c r="AG757" s="23"/>
      <c r="AH757" s="23"/>
      <c r="AI757" s="23"/>
      <c r="AJ757" s="23"/>
      <c r="AK757" s="23"/>
      <c r="AL757" s="23"/>
      <c r="AM757" s="23" t="s">
        <v>731</v>
      </c>
      <c r="AN757" s="23"/>
      <c r="AO757" s="23"/>
      <c r="AP757" s="23"/>
      <c r="AQ757" s="23"/>
      <c r="AR757" s="23"/>
      <c r="AS757" s="23"/>
      <c r="AT757" s="23"/>
      <c r="AU757" s="23"/>
      <c r="AV757" s="42">
        <v>75</v>
      </c>
      <c r="AY757" s="42"/>
      <c r="AZ757" s="42"/>
      <c r="BB757" s="43">
        <v>2</v>
      </c>
      <c r="BC757" s="41">
        <f>IF(AND((AV757/I757)&lt;2,BB757=1),(I757*2)-AV757,0)</f>
        <v>0</v>
      </c>
      <c r="BD757" s="41">
        <f>IF(AND((AV757/I757)&lt;3,BB757=2),(I757*3)-AV757,0)</f>
        <v>0</v>
      </c>
      <c r="BG757" s="41">
        <f>IF((AV757+AW757+AX757)&lt;20,(20-(AV757+AW757+AX757)),0)</f>
        <v>0</v>
      </c>
      <c r="BH757" s="18">
        <v>3</v>
      </c>
      <c r="BI757" s="18">
        <v>4</v>
      </c>
      <c r="BJ757" s="18">
        <v>5</v>
      </c>
      <c r="BK757" s="18">
        <v>4</v>
      </c>
      <c r="BL757" s="18">
        <v>4</v>
      </c>
      <c r="BM757" s="55">
        <f>SUM(AV757:AX757)+SUM(BC757:BD757)+SUM(BE757:BF757)+BG757</f>
        <v>75</v>
      </c>
      <c r="BN757" s="55"/>
      <c r="BO757" s="55"/>
      <c r="BP757" s="55"/>
      <c r="BQ757" s="55"/>
      <c r="BR757" s="55"/>
      <c r="BS757" s="55"/>
      <c r="BT757" s="55"/>
      <c r="BU757" s="55"/>
      <c r="BV757" s="55"/>
      <c r="BW757" s="55"/>
      <c r="BX757" s="55"/>
      <c r="BY757" s="55"/>
    </row>
    <row r="758" spans="2:77" ht="25.5">
      <c r="B758" s="89">
        <v>745</v>
      </c>
      <c r="C758" s="93">
        <v>512</v>
      </c>
      <c r="D758" s="95">
        <v>476</v>
      </c>
      <c r="E758" s="105">
        <v>0.2673611111111111</v>
      </c>
      <c r="F758" s="105">
        <v>0.33333333333333331</v>
      </c>
      <c r="G758" s="93" t="s">
        <v>320</v>
      </c>
      <c r="H758" s="93" t="s">
        <v>97</v>
      </c>
      <c r="I758" s="96">
        <f>63+2.8</f>
        <v>65.8</v>
      </c>
      <c r="J758" s="97" t="s">
        <v>191</v>
      </c>
      <c r="K758" s="98">
        <v>208</v>
      </c>
      <c r="L758" s="99" t="s">
        <v>720</v>
      </c>
      <c r="M758" s="87" t="s">
        <v>861</v>
      </c>
      <c r="N758" s="87">
        <v>57</v>
      </c>
      <c r="O758" s="87" t="s">
        <v>1262</v>
      </c>
      <c r="P758" s="87">
        <v>50</v>
      </c>
      <c r="R758" s="87"/>
      <c r="S758" s="26" t="s">
        <v>1690</v>
      </c>
      <c r="T758" s="26" t="s">
        <v>1692</v>
      </c>
      <c r="U758" s="26">
        <v>5015</v>
      </c>
      <c r="V758" s="26" t="s">
        <v>1693</v>
      </c>
      <c r="W758" s="62">
        <v>44816</v>
      </c>
      <c r="X758" s="62">
        <v>45086</v>
      </c>
      <c r="Y758" s="62"/>
      <c r="Z758" s="62"/>
      <c r="AA758" s="22" t="s">
        <v>1106</v>
      </c>
      <c r="AB758" s="23"/>
      <c r="AC758" s="23"/>
      <c r="AD758" s="23"/>
      <c r="AE758" s="23" t="s">
        <v>731</v>
      </c>
      <c r="AF758" s="23" t="s">
        <v>731</v>
      </c>
      <c r="AG758" s="23" t="s">
        <v>731</v>
      </c>
      <c r="AH758" s="23" t="s">
        <v>731</v>
      </c>
      <c r="AI758" s="23" t="s">
        <v>731</v>
      </c>
      <c r="AJ758" s="23" t="s">
        <v>731</v>
      </c>
      <c r="AK758" s="23" t="s">
        <v>731</v>
      </c>
      <c r="AL758" s="23"/>
      <c r="AM758" s="23"/>
      <c r="AN758" s="23"/>
      <c r="AO758" s="23"/>
      <c r="AP758" s="23"/>
      <c r="AQ758" s="23"/>
      <c r="AR758" s="23"/>
      <c r="AS758" s="23"/>
      <c r="AT758" s="23"/>
      <c r="AU758" s="23"/>
      <c r="AV758" s="42">
        <v>263.24</v>
      </c>
      <c r="AY758" s="42"/>
      <c r="AZ758" s="42"/>
      <c r="BB758" s="43">
        <v>2</v>
      </c>
      <c r="BC758" s="41">
        <f>IF(AND((AV758/I758)&lt;2,BB758=1),(I758*2)-AV758,0)</f>
        <v>0</v>
      </c>
      <c r="BD758" s="41">
        <f>IF(AND((AV758/I758)&lt;3,BB758=2),(I758*3)-AV758,0)</f>
        <v>0</v>
      </c>
      <c r="BG758" s="41">
        <f>IF((AV758+AW758+AX758)&lt;20,(20-(AV758+AW758+AX758)),0)</f>
        <v>0</v>
      </c>
      <c r="BH758" s="18">
        <v>17</v>
      </c>
      <c r="BI758" s="18">
        <v>25</v>
      </c>
      <c r="BJ758" s="18">
        <v>25</v>
      </c>
      <c r="BK758" s="18">
        <v>19</v>
      </c>
      <c r="BL758" s="18">
        <v>20</v>
      </c>
      <c r="BM758" s="55">
        <f>SUM(AV758:AX758)+SUM(BC758:BD758)+SUM(BE758:BF758)+BG758</f>
        <v>263.24</v>
      </c>
      <c r="BN758" s="55"/>
      <c r="BO758" s="55"/>
      <c r="BP758" s="55"/>
      <c r="BQ758" s="55"/>
      <c r="BR758" s="55"/>
      <c r="BS758" s="55"/>
      <c r="BT758" s="55"/>
      <c r="BU758" s="55"/>
      <c r="BV758" s="55"/>
      <c r="BW758" s="55"/>
      <c r="BX758" s="55"/>
      <c r="BY758" s="55"/>
    </row>
    <row r="759" spans="2:77" ht="25.5">
      <c r="B759" s="89">
        <v>746</v>
      </c>
      <c r="C759" s="93">
        <v>601</v>
      </c>
      <c r="D759" s="93">
        <v>695</v>
      </c>
      <c r="E759" s="94">
        <v>0.2722222222222222</v>
      </c>
      <c r="F759" s="94">
        <v>0.29375000000000001</v>
      </c>
      <c r="G759" s="93" t="s">
        <v>493</v>
      </c>
      <c r="H759" s="106" t="s">
        <v>103</v>
      </c>
      <c r="I759" s="96">
        <v>21.5</v>
      </c>
      <c r="J759" s="97" t="s">
        <v>188</v>
      </c>
      <c r="K759" s="111">
        <f>208-K760</f>
        <v>174</v>
      </c>
      <c r="L759" s="99" t="s">
        <v>1203</v>
      </c>
      <c r="M759" s="83" t="s">
        <v>856</v>
      </c>
      <c r="N759" s="83">
        <v>56</v>
      </c>
      <c r="O759" s="87" t="s">
        <v>1264</v>
      </c>
      <c r="P759" s="87">
        <v>60</v>
      </c>
      <c r="Q759" s="87" t="s">
        <v>1936</v>
      </c>
      <c r="R759" s="83">
        <v>54</v>
      </c>
      <c r="S759" s="26">
        <v>6200</v>
      </c>
      <c r="T759" s="26" t="s">
        <v>1694</v>
      </c>
      <c r="U759" s="26" t="s">
        <v>1408</v>
      </c>
      <c r="V759" s="26" t="s">
        <v>1409</v>
      </c>
      <c r="W759" s="62">
        <v>44816</v>
      </c>
      <c r="X759" s="62">
        <v>45086</v>
      </c>
      <c r="Y759" s="62"/>
      <c r="Z759" s="62"/>
      <c r="AA759" s="38" t="s">
        <v>1102</v>
      </c>
      <c r="AB759" s="23"/>
      <c r="AC759" s="23"/>
      <c r="AD759" s="23"/>
      <c r="AE759" s="23" t="s">
        <v>731</v>
      </c>
      <c r="AF759" s="23" t="s">
        <v>731</v>
      </c>
      <c r="AG759" s="23" t="s">
        <v>731</v>
      </c>
      <c r="AH759" s="23" t="s">
        <v>731</v>
      </c>
      <c r="AI759" s="23" t="s">
        <v>731</v>
      </c>
      <c r="AJ759" s="23" t="s">
        <v>731</v>
      </c>
      <c r="AK759" s="23"/>
      <c r="AL759" s="23"/>
      <c r="AM759" s="23"/>
      <c r="AN759" s="23"/>
      <c r="AO759" s="23"/>
      <c r="AP759" s="23"/>
      <c r="AQ759" s="23"/>
      <c r="AR759" s="23"/>
      <c r="AS759" s="23"/>
      <c r="AT759" s="23"/>
      <c r="AU759" s="23"/>
      <c r="AV759" s="42">
        <v>64.5</v>
      </c>
      <c r="AY759" s="42"/>
      <c r="AZ759" s="42"/>
      <c r="BB759" s="45">
        <v>1</v>
      </c>
      <c r="BC759" s="41">
        <f>IF(AND((AV759/I759)&lt;2,BB759=1),(I759*2)-AV759,0)</f>
        <v>0</v>
      </c>
      <c r="BD759" s="41">
        <f>IF(AND((AV759/I759)&lt;3,BB759=2),(I759*3)-AV759,0)</f>
        <v>0</v>
      </c>
      <c r="BG759" s="41">
        <f>IF((AV759+AW759+AX759)&lt;20,(20-(AV759+AW759+AX759)),0)</f>
        <v>0</v>
      </c>
      <c r="BH759" s="18">
        <v>15</v>
      </c>
      <c r="BI759" s="18">
        <v>20</v>
      </c>
      <c r="BJ759" s="18">
        <v>21</v>
      </c>
      <c r="BK759" s="18">
        <v>15</v>
      </c>
      <c r="BL759" s="18">
        <v>17</v>
      </c>
      <c r="BM759" s="55">
        <f>SUM(AV759:AX759)+SUM(BC759:BD759)+SUM(BE759:BF759)+BG759</f>
        <v>64.5</v>
      </c>
      <c r="BN759" s="55"/>
      <c r="BO759" s="55"/>
      <c r="BP759" s="55"/>
      <c r="BQ759" s="55"/>
      <c r="BR759" s="55"/>
      <c r="BS759" s="55"/>
      <c r="BT759" s="55"/>
      <c r="BU759" s="55"/>
      <c r="BV759" s="55"/>
      <c r="BW759" s="55"/>
      <c r="BX759" s="55"/>
      <c r="BY759" s="55"/>
    </row>
    <row r="760" spans="2:77" ht="25.5">
      <c r="B760" s="113" t="s">
        <v>1198</v>
      </c>
      <c r="C760" s="93">
        <v>601</v>
      </c>
      <c r="D760" s="93">
        <v>695</v>
      </c>
      <c r="E760" s="94">
        <v>0.2722222222222222</v>
      </c>
      <c r="F760" s="94">
        <v>0.29375000000000001</v>
      </c>
      <c r="G760" s="93" t="s">
        <v>493</v>
      </c>
      <c r="H760" s="106" t="s">
        <v>1199</v>
      </c>
      <c r="I760" s="96">
        <v>21.5</v>
      </c>
      <c r="J760" s="97" t="s">
        <v>188</v>
      </c>
      <c r="K760" s="111">
        <v>34</v>
      </c>
      <c r="L760" s="99" t="s">
        <v>734</v>
      </c>
      <c r="M760" s="83" t="s">
        <v>976</v>
      </c>
      <c r="N760" s="83">
        <v>31</v>
      </c>
      <c r="O760" s="87" t="s">
        <v>1929</v>
      </c>
      <c r="P760" s="87">
        <v>31</v>
      </c>
      <c r="Q760" s="87"/>
      <c r="R760" s="83"/>
      <c r="S760" s="26">
        <v>6200</v>
      </c>
      <c r="T760" s="26" t="s">
        <v>1694</v>
      </c>
      <c r="U760" s="26" t="s">
        <v>1408</v>
      </c>
      <c r="V760" s="26" t="s">
        <v>1409</v>
      </c>
      <c r="W760" s="62">
        <v>44816</v>
      </c>
      <c r="X760" s="62">
        <v>45086</v>
      </c>
      <c r="Y760" s="62"/>
      <c r="Z760" s="62"/>
      <c r="AA760" s="38" t="s">
        <v>1111</v>
      </c>
      <c r="AB760" s="23"/>
      <c r="AC760" s="23"/>
      <c r="AD760" s="23"/>
      <c r="AE760" s="23" t="s">
        <v>731</v>
      </c>
      <c r="AF760" s="23"/>
      <c r="AG760" s="23"/>
      <c r="AH760" s="23"/>
      <c r="AI760" s="23"/>
      <c r="AJ760" s="23"/>
      <c r="AK760" s="23" t="s">
        <v>731</v>
      </c>
      <c r="AL760" s="23"/>
      <c r="AM760" s="23"/>
      <c r="AN760" s="23"/>
      <c r="AO760" s="23"/>
      <c r="AP760" s="23"/>
      <c r="AQ760" s="23"/>
      <c r="AR760" s="23"/>
      <c r="AS760" s="23"/>
      <c r="AT760" s="23"/>
      <c r="AU760" s="23"/>
      <c r="AV760" s="42">
        <v>64.5</v>
      </c>
      <c r="AY760" s="42"/>
      <c r="AZ760" s="42"/>
      <c r="BB760" s="45">
        <v>1</v>
      </c>
      <c r="BC760" s="41">
        <f>IF(AND((AV760/I760)&lt;2,BB760=1),(I760*2)-AV760,0)</f>
        <v>0</v>
      </c>
      <c r="BD760" s="41">
        <f>IF(AND((AV760/I760)&lt;3,BB760=2),(I760*3)-AV760,0)</f>
        <v>0</v>
      </c>
      <c r="BG760" s="41">
        <f>IF((AV760+AW760+AX760)&lt;20,(20-(AV760+AW760+AX760)),0)</f>
        <v>0</v>
      </c>
      <c r="BH760" s="18">
        <v>2</v>
      </c>
      <c r="BI760" s="18">
        <v>5</v>
      </c>
      <c r="BJ760" s="18">
        <v>4</v>
      </c>
      <c r="BK760" s="18">
        <v>3</v>
      </c>
      <c r="BL760" s="18">
        <v>3</v>
      </c>
      <c r="BM760" s="55">
        <f>SUM(AV760:AX760)+SUM(BC760:BD760)+SUM(BE760:BF760)+BG760</f>
        <v>64.5</v>
      </c>
      <c r="BN760" s="55"/>
      <c r="BO760" s="55"/>
      <c r="BP760" s="55"/>
      <c r="BQ760" s="55"/>
      <c r="BR760" s="55"/>
      <c r="BS760" s="55"/>
      <c r="BT760" s="55"/>
      <c r="BU760" s="55"/>
      <c r="BV760" s="55"/>
      <c r="BW760" s="55"/>
      <c r="BX760" s="55"/>
      <c r="BY760" s="55"/>
    </row>
    <row r="761" spans="2:77" ht="25.5">
      <c r="B761" s="89">
        <v>747</v>
      </c>
      <c r="C761" s="93">
        <v>601</v>
      </c>
      <c r="D761" s="93">
        <v>616</v>
      </c>
      <c r="E761" s="94">
        <v>0.86458333333333337</v>
      </c>
      <c r="F761" s="94">
        <v>0.88680555555555562</v>
      </c>
      <c r="G761" s="93" t="s">
        <v>425</v>
      </c>
      <c r="H761" s="93" t="s">
        <v>423</v>
      </c>
      <c r="I761" s="96">
        <v>22</v>
      </c>
      <c r="J761" s="97" t="s">
        <v>93</v>
      </c>
      <c r="K761" s="98">
        <v>67</v>
      </c>
      <c r="L761" s="99" t="s">
        <v>734</v>
      </c>
      <c r="M761" s="87" t="s">
        <v>906</v>
      </c>
      <c r="N761" s="87">
        <v>24</v>
      </c>
      <c r="O761" s="87" t="s">
        <v>905</v>
      </c>
      <c r="P761" s="87">
        <v>21</v>
      </c>
      <c r="Q761" s="87" t="s">
        <v>907</v>
      </c>
      <c r="R761" s="87">
        <v>21</v>
      </c>
      <c r="S761" s="26" t="s">
        <v>1302</v>
      </c>
      <c r="T761" s="26" t="s">
        <v>1303</v>
      </c>
      <c r="U761" s="26">
        <v>6120</v>
      </c>
      <c r="V761" s="26" t="s">
        <v>1314</v>
      </c>
      <c r="W761" s="63">
        <v>44562</v>
      </c>
      <c r="X761" s="63">
        <v>44815</v>
      </c>
      <c r="Y761" s="63">
        <v>45101</v>
      </c>
      <c r="Z761" s="63">
        <v>45169</v>
      </c>
      <c r="AA761" s="23" t="s">
        <v>1107</v>
      </c>
      <c r="AB761" s="23"/>
      <c r="AC761" s="23" t="s">
        <v>731</v>
      </c>
      <c r="AD761" s="23" t="s">
        <v>731</v>
      </c>
      <c r="AE761" s="23"/>
      <c r="AF761" s="23" t="s">
        <v>731</v>
      </c>
      <c r="AG761" s="23" t="s">
        <v>731</v>
      </c>
      <c r="AH761" s="23" t="s">
        <v>731</v>
      </c>
      <c r="AI761" s="23" t="s">
        <v>731</v>
      </c>
      <c r="AJ761" s="23" t="s">
        <v>731</v>
      </c>
      <c r="AK761" s="23" t="s">
        <v>731</v>
      </c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42">
        <v>55</v>
      </c>
      <c r="AY761" s="42"/>
      <c r="AZ761" s="42"/>
      <c r="BB761" s="45">
        <v>1</v>
      </c>
      <c r="BC761" s="41">
        <f>IF(AND((AV761/I761)&lt;2,BB761=1),(I761*2)-AV761,0)</f>
        <v>0</v>
      </c>
      <c r="BD761" s="41">
        <f>IF(AND((AV761/I761)&lt;3,BB761=2),(I761*3)-AV761,0)</f>
        <v>0</v>
      </c>
      <c r="BG761" s="18"/>
      <c r="BH761" s="18">
        <v>9</v>
      </c>
      <c r="BI761" s="18">
        <v>0</v>
      </c>
      <c r="BJ761" s="18">
        <v>0</v>
      </c>
      <c r="BK761" s="18">
        <v>0</v>
      </c>
      <c r="BL761" s="18">
        <v>0</v>
      </c>
      <c r="BM761" s="55">
        <f>SUM(AV761:AX761)+SUM(BC761:BD761)+SUM(BE761:BF761)+BG761</f>
        <v>55</v>
      </c>
      <c r="BN761" s="55"/>
      <c r="BO761" s="55"/>
      <c r="BP761" s="55"/>
      <c r="BQ761" s="55"/>
      <c r="BR761" s="55"/>
      <c r="BS761" s="55"/>
      <c r="BT761" s="55"/>
      <c r="BU761" s="55"/>
      <c r="BV761" s="55"/>
      <c r="BW761" s="55"/>
      <c r="BX761" s="55"/>
      <c r="BY761" s="55"/>
    </row>
    <row r="762" spans="2:77" ht="33.75">
      <c r="B762" s="89">
        <v>748</v>
      </c>
      <c r="C762" s="93">
        <v>611</v>
      </c>
      <c r="D762" s="93">
        <v>387</v>
      </c>
      <c r="E762" s="94">
        <v>0.26041666666666669</v>
      </c>
      <c r="F762" s="94">
        <v>0.28472222222222221</v>
      </c>
      <c r="G762" s="93" t="s">
        <v>697</v>
      </c>
      <c r="H762" s="93" t="s">
        <v>97</v>
      </c>
      <c r="I762" s="96">
        <v>19.100000000000001</v>
      </c>
      <c r="J762" s="97" t="s">
        <v>101</v>
      </c>
      <c r="K762" s="98">
        <v>208</v>
      </c>
      <c r="L762" s="99" t="s">
        <v>747</v>
      </c>
      <c r="M762" s="83" t="s">
        <v>1171</v>
      </c>
      <c r="N762" s="83">
        <v>55</v>
      </c>
      <c r="O762" s="87" t="s">
        <v>1265</v>
      </c>
      <c r="P762" s="87">
        <v>55</v>
      </c>
      <c r="Q762" s="87" t="s">
        <v>1266</v>
      </c>
      <c r="R762" s="84">
        <v>46</v>
      </c>
      <c r="S762" s="26">
        <v>6133</v>
      </c>
      <c r="T762" s="26" t="s">
        <v>1695</v>
      </c>
      <c r="U762" s="26" t="s">
        <v>1498</v>
      </c>
      <c r="V762" s="26" t="s">
        <v>1499</v>
      </c>
      <c r="W762" s="62">
        <v>44816</v>
      </c>
      <c r="X762" s="62">
        <v>45086</v>
      </c>
      <c r="Y762" s="62"/>
      <c r="Z762" s="62"/>
      <c r="AA762" s="22" t="s">
        <v>1106</v>
      </c>
      <c r="AB762" s="23"/>
      <c r="AC762" s="23"/>
      <c r="AD762" s="23"/>
      <c r="AE762" s="23" t="s">
        <v>731</v>
      </c>
      <c r="AF762" s="23" t="s">
        <v>731</v>
      </c>
      <c r="AG762" s="23" t="s">
        <v>731</v>
      </c>
      <c r="AH762" s="23" t="s">
        <v>731</v>
      </c>
      <c r="AI762" s="23" t="s">
        <v>731</v>
      </c>
      <c r="AJ762" s="23" t="s">
        <v>731</v>
      </c>
      <c r="AK762" s="23" t="s">
        <v>731</v>
      </c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42">
        <f>15.3+14+14</f>
        <v>43.3</v>
      </c>
      <c r="AY762" s="42"/>
      <c r="AZ762" s="42"/>
      <c r="BB762" s="43">
        <v>2</v>
      </c>
      <c r="BC762" s="41">
        <f>IF(AND((AV762/I762)&lt;2,BB762=1),(I762*2)-AV762,0)</f>
        <v>0</v>
      </c>
      <c r="BD762" s="41">
        <f>IF(AND((AV762/I762)&lt;3,BB762=2),(I762*3)-AV762,0)</f>
        <v>14.000000000000007</v>
      </c>
      <c r="BG762" s="41">
        <f>IF((AV762+AW762+AX762)&lt;20,(20-(AV762+AW762+AX762)),0)</f>
        <v>0</v>
      </c>
      <c r="BH762" s="18">
        <v>17</v>
      </c>
      <c r="BI762" s="18">
        <v>25</v>
      </c>
      <c r="BJ762" s="18">
        <v>25</v>
      </c>
      <c r="BK762" s="18">
        <v>18</v>
      </c>
      <c r="BL762" s="18">
        <v>20</v>
      </c>
      <c r="BM762" s="55">
        <f>SUM(AV762:AX762)+SUM(BC762:BD762)+SUM(BE762:BF762)+BG762</f>
        <v>57.300000000000004</v>
      </c>
      <c r="BN762" s="55"/>
      <c r="BO762" s="55"/>
      <c r="BP762" s="55"/>
      <c r="BQ762" s="55"/>
      <c r="BR762" s="55"/>
      <c r="BS762" s="55"/>
      <c r="BT762" s="55"/>
      <c r="BU762" s="55"/>
      <c r="BV762" s="55"/>
      <c r="BW762" s="55"/>
      <c r="BX762" s="55"/>
      <c r="BY762" s="55"/>
    </row>
    <row r="763" spans="2:77" ht="25.5">
      <c r="B763" s="89">
        <v>749</v>
      </c>
      <c r="C763" s="93">
        <v>611</v>
      </c>
      <c r="D763" s="97">
        <v>71</v>
      </c>
      <c r="E763" s="94">
        <v>0.26041666666666669</v>
      </c>
      <c r="F763" s="94">
        <v>0.29791666666666666</v>
      </c>
      <c r="G763" s="93" t="s">
        <v>17</v>
      </c>
      <c r="H763" s="93" t="s">
        <v>423</v>
      </c>
      <c r="I763" s="96">
        <v>27</v>
      </c>
      <c r="J763" s="97" t="s">
        <v>93</v>
      </c>
      <c r="K763" s="98">
        <v>67</v>
      </c>
      <c r="L763" s="99" t="s">
        <v>734</v>
      </c>
      <c r="M763" s="87" t="s">
        <v>906</v>
      </c>
      <c r="N763" s="87">
        <v>24</v>
      </c>
      <c r="O763" s="87" t="s">
        <v>905</v>
      </c>
      <c r="P763" s="87">
        <v>21</v>
      </c>
      <c r="Q763" s="87" t="s">
        <v>907</v>
      </c>
      <c r="R763" s="87">
        <v>21</v>
      </c>
      <c r="S763" s="26" t="s">
        <v>1498</v>
      </c>
      <c r="T763" s="26" t="s">
        <v>1499</v>
      </c>
      <c r="U763" s="26" t="s">
        <v>1408</v>
      </c>
      <c r="V763" s="26" t="s">
        <v>1409</v>
      </c>
      <c r="W763" s="63">
        <v>44562</v>
      </c>
      <c r="X763" s="63">
        <v>44815</v>
      </c>
      <c r="Y763" s="63">
        <v>45101</v>
      </c>
      <c r="Z763" s="63">
        <v>45169</v>
      </c>
      <c r="AA763" s="23" t="s">
        <v>1107</v>
      </c>
      <c r="AB763" s="23"/>
      <c r="AC763" s="23" t="s">
        <v>731</v>
      </c>
      <c r="AD763" s="23" t="s">
        <v>731</v>
      </c>
      <c r="AE763" s="23"/>
      <c r="AF763" s="23" t="s">
        <v>731</v>
      </c>
      <c r="AG763" s="23" t="s">
        <v>731</v>
      </c>
      <c r="AH763" s="23" t="s">
        <v>731</v>
      </c>
      <c r="AI763" s="23" t="s">
        <v>731</v>
      </c>
      <c r="AJ763" s="23" t="s">
        <v>731</v>
      </c>
      <c r="AK763" s="23" t="s">
        <v>731</v>
      </c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42">
        <v>67.5</v>
      </c>
      <c r="AY763" s="42"/>
      <c r="AZ763" s="42"/>
      <c r="BB763" s="45">
        <v>1</v>
      </c>
      <c r="BC763" s="41">
        <f>IF(AND((AV763/I763)&lt;2,BB763=1),(I763*2)-AV763,0)</f>
        <v>0</v>
      </c>
      <c r="BD763" s="41">
        <f>IF(AND((AV763/I763)&lt;3,BB763=2),(I763*3)-AV763,0)</f>
        <v>0</v>
      </c>
      <c r="BG763" s="41">
        <f>IF((AV763+AW763+AX763)&lt;20,(20-(AV763+AW763+AX763)),0)</f>
        <v>0</v>
      </c>
      <c r="BH763" s="18">
        <v>9</v>
      </c>
      <c r="BI763" s="18">
        <v>0</v>
      </c>
      <c r="BJ763" s="18">
        <v>0</v>
      </c>
      <c r="BK763" s="18">
        <v>0</v>
      </c>
      <c r="BL763" s="18">
        <v>0</v>
      </c>
      <c r="BM763" s="55">
        <f>SUM(AV763:AX763)+SUM(BC763:BD763)+SUM(BE763:BF763)+BG763</f>
        <v>67.5</v>
      </c>
      <c r="BN763" s="55"/>
      <c r="BO763" s="55"/>
      <c r="BP763" s="55"/>
      <c r="BQ763" s="55"/>
      <c r="BR763" s="55"/>
      <c r="BS763" s="55"/>
      <c r="BT763" s="55"/>
      <c r="BU763" s="55"/>
      <c r="BV763" s="55"/>
      <c r="BW763" s="55"/>
      <c r="BX763" s="55"/>
      <c r="BY763" s="55"/>
    </row>
    <row r="764" spans="2:77" ht="25.5">
      <c r="B764" s="89">
        <v>750</v>
      </c>
      <c r="C764" s="93">
        <v>611</v>
      </c>
      <c r="D764" s="93">
        <v>49</v>
      </c>
      <c r="E764" s="94">
        <v>0.27291666666666664</v>
      </c>
      <c r="F764" s="94">
        <v>0.29375000000000001</v>
      </c>
      <c r="G764" s="93" t="s">
        <v>252</v>
      </c>
      <c r="H764" s="93" t="s">
        <v>251</v>
      </c>
      <c r="I764" s="96">
        <v>14</v>
      </c>
      <c r="J764" s="97" t="s">
        <v>93</v>
      </c>
      <c r="K764" s="98">
        <v>55</v>
      </c>
      <c r="L764" s="99" t="s">
        <v>735</v>
      </c>
      <c r="M764" s="2" t="s">
        <v>904</v>
      </c>
      <c r="N764" s="83">
        <v>21</v>
      </c>
      <c r="O764" s="83" t="s">
        <v>903</v>
      </c>
      <c r="P764" s="83">
        <v>24</v>
      </c>
      <c r="Q764" s="152" t="s">
        <v>2004</v>
      </c>
      <c r="R764" s="152">
        <v>42</v>
      </c>
      <c r="S764" s="26">
        <v>6136</v>
      </c>
      <c r="T764" s="26" t="s">
        <v>1696</v>
      </c>
      <c r="U764" s="26">
        <v>6120</v>
      </c>
      <c r="V764" s="26" t="s">
        <v>1314</v>
      </c>
      <c r="W764" s="63">
        <v>44562</v>
      </c>
      <c r="X764" s="63">
        <v>44815</v>
      </c>
      <c r="Y764" s="63">
        <v>45101</v>
      </c>
      <c r="Z764" s="63">
        <v>45169</v>
      </c>
      <c r="AA764" s="22" t="s">
        <v>1109</v>
      </c>
      <c r="AB764" s="23"/>
      <c r="AC764" s="23" t="s">
        <v>731</v>
      </c>
      <c r="AD764" s="23" t="s">
        <v>731</v>
      </c>
      <c r="AE764" s="23"/>
      <c r="AF764" s="23" t="s">
        <v>731</v>
      </c>
      <c r="AG764" s="23" t="s">
        <v>731</v>
      </c>
      <c r="AH764" s="23" t="s">
        <v>731</v>
      </c>
      <c r="AI764" s="23" t="s">
        <v>731</v>
      </c>
      <c r="AJ764" s="23" t="s">
        <v>731</v>
      </c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42">
        <v>0</v>
      </c>
      <c r="AY764" s="42"/>
      <c r="AZ764" s="42"/>
      <c r="BB764" s="45">
        <v>1</v>
      </c>
      <c r="BC764" s="41">
        <f>IF(AND((AV764/I764)&lt;2,BB764=1),(I764*2)-AV764,0)</f>
        <v>28</v>
      </c>
      <c r="BD764" s="41">
        <f>IF(AND((AV764/I764)&lt;3,BB764=2),(I764*3)-AV764,0)</f>
        <v>0</v>
      </c>
      <c r="BH764" s="18">
        <v>7</v>
      </c>
      <c r="BI764" s="18">
        <v>0</v>
      </c>
      <c r="BJ764" s="18">
        <v>0</v>
      </c>
      <c r="BK764" s="18">
        <v>0</v>
      </c>
      <c r="BL764" s="18">
        <v>0</v>
      </c>
      <c r="BM764" s="55">
        <f>SUM(AV764:AX764)+SUM(BC764:BD764)+SUM(BE764:BF764)+BG764</f>
        <v>28</v>
      </c>
      <c r="BN764" s="55"/>
      <c r="BO764" s="55"/>
      <c r="BP764" s="55"/>
      <c r="BQ764" s="55"/>
      <c r="BR764" s="55"/>
      <c r="BS764" s="55"/>
      <c r="BT764" s="55"/>
      <c r="BU764" s="55"/>
      <c r="BV764" s="55"/>
      <c r="BW764" s="55"/>
      <c r="BX764" s="55"/>
      <c r="BY764" s="55"/>
    </row>
    <row r="765" spans="2:77" ht="12.75">
      <c r="B765" s="89">
        <v>751</v>
      </c>
      <c r="C765" s="92">
        <v>611</v>
      </c>
      <c r="D765" s="101">
        <v>71</v>
      </c>
      <c r="E765" s="102">
        <v>0.28055555555555556</v>
      </c>
      <c r="F765" s="102">
        <v>0.30833333333333335</v>
      </c>
      <c r="G765" s="103" t="s">
        <v>402</v>
      </c>
      <c r="H765" s="103" t="s">
        <v>403</v>
      </c>
      <c r="I765" s="101">
        <v>26.5</v>
      </c>
      <c r="J765" s="104">
        <v>50</v>
      </c>
      <c r="K765" s="98">
        <v>33</v>
      </c>
      <c r="L765" s="99" t="s">
        <v>716</v>
      </c>
      <c r="M765" s="83" t="s">
        <v>892</v>
      </c>
      <c r="N765" s="83">
        <v>53</v>
      </c>
      <c r="O765" s="100" t="s">
        <v>1229</v>
      </c>
      <c r="P765" s="100">
        <v>54</v>
      </c>
      <c r="Q765" s="2" t="s">
        <v>1230</v>
      </c>
      <c r="R765" s="86">
        <v>53</v>
      </c>
      <c r="S765" s="26">
        <v>6131</v>
      </c>
      <c r="T765" s="26" t="s">
        <v>1697</v>
      </c>
      <c r="U765" s="26">
        <v>1</v>
      </c>
      <c r="V765" s="26" t="s">
        <v>1312</v>
      </c>
      <c r="W765" s="62">
        <v>44816</v>
      </c>
      <c r="X765" s="62">
        <v>45086</v>
      </c>
      <c r="Y765" s="62"/>
      <c r="Z765" s="62"/>
      <c r="AA765" s="23" t="s">
        <v>1120</v>
      </c>
      <c r="AB765" s="23"/>
      <c r="AC765" s="23"/>
      <c r="AD765" s="23"/>
      <c r="AE765" s="23" t="s">
        <v>731</v>
      </c>
      <c r="AF765" s="23" t="s">
        <v>731</v>
      </c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Y765" s="19" t="s">
        <v>716</v>
      </c>
      <c r="AZ765" s="19"/>
      <c r="BB765" s="43">
        <v>2</v>
      </c>
      <c r="BD765" s="41"/>
      <c r="BH765" s="18">
        <v>3</v>
      </c>
      <c r="BI765" s="18">
        <v>4</v>
      </c>
      <c r="BJ765" s="18">
        <v>4</v>
      </c>
      <c r="BK765" s="18">
        <v>3</v>
      </c>
      <c r="BL765" s="18">
        <v>4</v>
      </c>
      <c r="BM765" s="55">
        <f>SUM(AV765:AX765)+SUM(BC765:BD765)+SUM(BE765:BF765)+BG765</f>
        <v>0</v>
      </c>
      <c r="BN765" s="55"/>
      <c r="BO765" s="55"/>
      <c r="BP765" s="55"/>
      <c r="BQ765" s="55"/>
      <c r="BR765" s="55"/>
      <c r="BS765" s="55"/>
      <c r="BT765" s="55"/>
      <c r="BU765" s="55"/>
      <c r="BV765" s="55"/>
      <c r="BW765" s="55"/>
      <c r="BX765" s="55"/>
      <c r="BY765" s="55"/>
    </row>
    <row r="766" spans="2:77" ht="33.75">
      <c r="B766" s="89">
        <v>752</v>
      </c>
      <c r="C766" s="93">
        <v>611</v>
      </c>
      <c r="D766" s="93">
        <v>229</v>
      </c>
      <c r="E766" s="94">
        <v>0.30555555555555552</v>
      </c>
      <c r="F766" s="94">
        <v>0.30833333333333335</v>
      </c>
      <c r="G766" s="93" t="s">
        <v>509</v>
      </c>
      <c r="H766" s="93" t="s">
        <v>424</v>
      </c>
      <c r="I766" s="96">
        <v>4</v>
      </c>
      <c r="J766" s="97" t="s">
        <v>93</v>
      </c>
      <c r="K766" s="98">
        <v>55</v>
      </c>
      <c r="L766" s="99" t="s">
        <v>734</v>
      </c>
      <c r="M766" s="87" t="s">
        <v>906</v>
      </c>
      <c r="N766" s="87">
        <v>24</v>
      </c>
      <c r="O766" s="83" t="s">
        <v>905</v>
      </c>
      <c r="P766" s="83">
        <v>21</v>
      </c>
      <c r="Q766" s="83" t="s">
        <v>907</v>
      </c>
      <c r="R766" s="87">
        <v>21</v>
      </c>
      <c r="S766" s="26" t="s">
        <v>1408</v>
      </c>
      <c r="T766" s="26" t="s">
        <v>1409</v>
      </c>
      <c r="U766" s="26">
        <v>954</v>
      </c>
      <c r="V766" s="26" t="s">
        <v>1373</v>
      </c>
      <c r="W766" s="63">
        <v>44562</v>
      </c>
      <c r="X766" s="63">
        <v>44815</v>
      </c>
      <c r="Y766" s="63">
        <v>45101</v>
      </c>
      <c r="Z766" s="63">
        <v>45169</v>
      </c>
      <c r="AA766" s="22" t="s">
        <v>1109</v>
      </c>
      <c r="AB766" s="23"/>
      <c r="AC766" s="23" t="s">
        <v>731</v>
      </c>
      <c r="AD766" s="23" t="s">
        <v>731</v>
      </c>
      <c r="AE766" s="23"/>
      <c r="AF766" s="23" t="s">
        <v>731</v>
      </c>
      <c r="AG766" s="23" t="s">
        <v>731</v>
      </c>
      <c r="AH766" s="23" t="s">
        <v>731</v>
      </c>
      <c r="AI766" s="23" t="s">
        <v>731</v>
      </c>
      <c r="AJ766" s="23" t="s">
        <v>731</v>
      </c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42">
        <v>12</v>
      </c>
      <c r="AW766" s="42"/>
      <c r="AY766" s="18"/>
      <c r="AZ766" s="18"/>
      <c r="BB766" s="45">
        <v>1</v>
      </c>
      <c r="BC766" s="41">
        <f>IF(AND((AV766/I766)&lt;2,BB766=1),(I766*2)-AV766,0)</f>
        <v>0</v>
      </c>
      <c r="BD766" s="41">
        <f>IF(AND((AV766/I766)&lt;3,BB766=2),(I766*3)-AV766,0)</f>
        <v>0</v>
      </c>
      <c r="BG766" s="18"/>
      <c r="BH766" s="18">
        <v>7</v>
      </c>
      <c r="BI766" s="18">
        <v>0</v>
      </c>
      <c r="BJ766" s="18">
        <v>0</v>
      </c>
      <c r="BK766" s="18">
        <v>0</v>
      </c>
      <c r="BL766" s="18">
        <v>0</v>
      </c>
      <c r="BM766" s="55">
        <f>SUM(AV766:AX766)+SUM(BC766:BD766)+SUM(BE766:BF766)+BG766</f>
        <v>12</v>
      </c>
      <c r="BN766" s="55"/>
      <c r="BO766" s="55"/>
      <c r="BP766" s="55"/>
      <c r="BQ766" s="55"/>
      <c r="BR766" s="55"/>
      <c r="BS766" s="55"/>
      <c r="BT766" s="55"/>
      <c r="BU766" s="55"/>
      <c r="BV766" s="55"/>
      <c r="BW766" s="55"/>
      <c r="BX766" s="55"/>
      <c r="BY766" s="55"/>
    </row>
    <row r="767" spans="2:77" ht="25.5">
      <c r="B767" s="89">
        <v>753</v>
      </c>
      <c r="C767" s="93">
        <v>611</v>
      </c>
      <c r="D767" s="93">
        <v>620</v>
      </c>
      <c r="E767" s="94">
        <v>0.54166666666666663</v>
      </c>
      <c r="F767" s="94">
        <v>0.56944444444444442</v>
      </c>
      <c r="G767" s="93" t="s">
        <v>479</v>
      </c>
      <c r="H767" s="93" t="s">
        <v>97</v>
      </c>
      <c r="I767" s="96">
        <v>21</v>
      </c>
      <c r="J767" s="97" t="s">
        <v>93</v>
      </c>
      <c r="K767" s="98">
        <v>208</v>
      </c>
      <c r="L767" s="99" t="s">
        <v>747</v>
      </c>
      <c r="M767" s="87" t="s">
        <v>858</v>
      </c>
      <c r="N767" s="87">
        <v>23</v>
      </c>
      <c r="O767" s="87" t="s">
        <v>1267</v>
      </c>
      <c r="P767" s="87">
        <v>21</v>
      </c>
      <c r="Q767" s="87" t="s">
        <v>1244</v>
      </c>
      <c r="R767" s="87">
        <v>37</v>
      </c>
      <c r="S767" s="26">
        <v>6140</v>
      </c>
      <c r="T767" s="26" t="s">
        <v>1698</v>
      </c>
      <c r="U767" s="26" t="s">
        <v>1498</v>
      </c>
      <c r="V767" s="26" t="s">
        <v>1499</v>
      </c>
      <c r="W767" s="62">
        <v>44816</v>
      </c>
      <c r="X767" s="62">
        <v>45086</v>
      </c>
      <c r="Y767" s="62"/>
      <c r="Z767" s="62"/>
      <c r="AA767" s="22" t="s">
        <v>1106</v>
      </c>
      <c r="AB767" s="23"/>
      <c r="AC767" s="23"/>
      <c r="AD767" s="23"/>
      <c r="AE767" s="23" t="s">
        <v>731</v>
      </c>
      <c r="AF767" s="23" t="s">
        <v>731</v>
      </c>
      <c r="AG767" s="23" t="s">
        <v>731</v>
      </c>
      <c r="AH767" s="23" t="s">
        <v>731</v>
      </c>
      <c r="AI767" s="23" t="s">
        <v>731</v>
      </c>
      <c r="AJ767" s="23" t="s">
        <v>731</v>
      </c>
      <c r="AK767" s="23" t="s">
        <v>731</v>
      </c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42">
        <v>63</v>
      </c>
      <c r="AW767" s="42"/>
      <c r="AY767" s="18"/>
      <c r="AZ767" s="18"/>
      <c r="BB767" s="45">
        <v>1</v>
      </c>
      <c r="BC767" s="41">
        <f>IF(AND((AV767/I767)&lt;2,BB767=1),(I767*2)-AV767,0)</f>
        <v>0</v>
      </c>
      <c r="BD767" s="41">
        <f>IF(AND((AV767/I767)&lt;3,BB767=2),(I767*3)-AV767,0)</f>
        <v>0</v>
      </c>
      <c r="BG767" s="18"/>
      <c r="BH767" s="18">
        <v>17</v>
      </c>
      <c r="BI767" s="18">
        <v>25</v>
      </c>
      <c r="BJ767" s="18">
        <v>25</v>
      </c>
      <c r="BK767" s="18">
        <v>18</v>
      </c>
      <c r="BL767" s="18">
        <v>20</v>
      </c>
      <c r="BM767" s="55">
        <f>SUM(AV767:AX767)+SUM(BC767:BD767)+SUM(BE767:BF767)+BG767</f>
        <v>63</v>
      </c>
      <c r="BN767" s="55"/>
      <c r="BO767" s="55"/>
      <c r="BP767" s="55"/>
      <c r="BQ767" s="55"/>
      <c r="BR767" s="55"/>
      <c r="BS767" s="55"/>
      <c r="BT767" s="55"/>
      <c r="BU767" s="55"/>
      <c r="BV767" s="55"/>
      <c r="BW767" s="55"/>
      <c r="BX767" s="55"/>
      <c r="BY767" s="55"/>
    </row>
    <row r="768" spans="2:77" ht="25.5">
      <c r="B768" s="89">
        <v>754</v>
      </c>
      <c r="C768" s="93">
        <v>611</v>
      </c>
      <c r="D768" s="93">
        <v>60</v>
      </c>
      <c r="E768" s="94">
        <v>0.54166666666666663</v>
      </c>
      <c r="F768" s="94">
        <v>0.58472222222222225</v>
      </c>
      <c r="G768" s="93" t="s">
        <v>521</v>
      </c>
      <c r="H768" s="93" t="s">
        <v>103</v>
      </c>
      <c r="I768" s="96">
        <v>30</v>
      </c>
      <c r="J768" s="97" t="s">
        <v>522</v>
      </c>
      <c r="K768" s="98">
        <v>174</v>
      </c>
      <c r="L768" s="99" t="s">
        <v>747</v>
      </c>
      <c r="M768" s="87" t="s">
        <v>859</v>
      </c>
      <c r="N768" s="87">
        <v>55</v>
      </c>
      <c r="O768" s="87" t="s">
        <v>1243</v>
      </c>
      <c r="P768" s="87">
        <v>57</v>
      </c>
      <c r="Q768" s="87" t="s">
        <v>1244</v>
      </c>
      <c r="R768" s="87">
        <v>37</v>
      </c>
      <c r="S768" s="26" t="s">
        <v>1453</v>
      </c>
      <c r="T768" s="26" t="s">
        <v>1454</v>
      </c>
      <c r="U768" s="26" t="s">
        <v>1498</v>
      </c>
      <c r="V768" s="26" t="s">
        <v>1499</v>
      </c>
      <c r="W768" s="62">
        <v>44816</v>
      </c>
      <c r="X768" s="62">
        <v>45086</v>
      </c>
      <c r="Y768" s="62"/>
      <c r="Z768" s="62"/>
      <c r="AA768" s="22" t="s">
        <v>1102</v>
      </c>
      <c r="AB768" s="23"/>
      <c r="AC768" s="23"/>
      <c r="AD768" s="23"/>
      <c r="AE768" s="23" t="s">
        <v>731</v>
      </c>
      <c r="AF768" s="23" t="s">
        <v>731</v>
      </c>
      <c r="AG768" s="23" t="s">
        <v>731</v>
      </c>
      <c r="AH768" s="23" t="s">
        <v>731</v>
      </c>
      <c r="AI768" s="23" t="s">
        <v>731</v>
      </c>
      <c r="AJ768" s="23" t="s">
        <v>731</v>
      </c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42">
        <v>90</v>
      </c>
      <c r="AW768" s="42"/>
      <c r="AY768" s="18"/>
      <c r="AZ768" s="18"/>
      <c r="BB768" s="43">
        <v>2</v>
      </c>
      <c r="BC768" s="41">
        <f>IF(AND((AV768/I768)&lt;2,BB768=1),(I768*2)-AV768,0)</f>
        <v>0</v>
      </c>
      <c r="BD768" s="41">
        <f>IF(AND((AV768/I768)&lt;3,BB768=2),(I768*3)-AV768,0)</f>
        <v>0</v>
      </c>
      <c r="BG768" s="18"/>
      <c r="BH768" s="18">
        <v>15</v>
      </c>
      <c r="BI768" s="18">
        <v>20</v>
      </c>
      <c r="BJ768" s="18">
        <v>21</v>
      </c>
      <c r="BK768" s="18">
        <v>15</v>
      </c>
      <c r="BL768" s="18">
        <v>17</v>
      </c>
      <c r="BM768" s="55">
        <f>SUM(AV768:AX768)+SUM(BC768:BD768)+SUM(BE768:BF768)+BG768</f>
        <v>90</v>
      </c>
      <c r="BN768" s="55"/>
      <c r="BO768" s="55"/>
      <c r="BP768" s="55"/>
      <c r="BQ768" s="55"/>
      <c r="BR768" s="55"/>
      <c r="BS768" s="55"/>
      <c r="BT768" s="55"/>
      <c r="BU768" s="55"/>
      <c r="BV768" s="55"/>
      <c r="BW768" s="55"/>
      <c r="BX768" s="55"/>
      <c r="BY768" s="55"/>
    </row>
    <row r="769" spans="1:77" ht="51">
      <c r="B769" s="89">
        <v>755</v>
      </c>
      <c r="C769" s="106">
        <v>132</v>
      </c>
      <c r="D769" s="97">
        <v>641</v>
      </c>
      <c r="E769" s="94">
        <v>0.55833333333333335</v>
      </c>
      <c r="F769" s="94">
        <v>0.56180555555555556</v>
      </c>
      <c r="G769" s="93" t="s">
        <v>531</v>
      </c>
      <c r="H769" s="93" t="s">
        <v>103</v>
      </c>
      <c r="I769" s="96">
        <v>3</v>
      </c>
      <c r="J769" s="97" t="s">
        <v>254</v>
      </c>
      <c r="K769" s="98">
        <v>174</v>
      </c>
      <c r="L769" s="99" t="s">
        <v>721</v>
      </c>
      <c r="M769" s="83" t="s">
        <v>978</v>
      </c>
      <c r="N769" s="116">
        <v>46</v>
      </c>
      <c r="O769" s="83" t="s">
        <v>895</v>
      </c>
      <c r="P769" s="116">
        <v>47</v>
      </c>
      <c r="R769" s="116"/>
      <c r="S769" s="26" t="s">
        <v>1408</v>
      </c>
      <c r="T769" s="26" t="s">
        <v>1409</v>
      </c>
      <c r="U769" s="26" t="s">
        <v>1453</v>
      </c>
      <c r="V769" s="26" t="s">
        <v>1454</v>
      </c>
      <c r="W769" s="62">
        <v>44816</v>
      </c>
      <c r="X769" s="62">
        <v>45086</v>
      </c>
      <c r="Y769" s="62"/>
      <c r="Z769" s="62"/>
      <c r="AA769" s="22" t="s">
        <v>1102</v>
      </c>
      <c r="AB769" s="23"/>
      <c r="AC769" s="23"/>
      <c r="AD769" s="23"/>
      <c r="AE769" s="23" t="s">
        <v>731</v>
      </c>
      <c r="AF769" s="23" t="s">
        <v>731</v>
      </c>
      <c r="AG769" s="23" t="s">
        <v>731</v>
      </c>
      <c r="AH769" s="23" t="s">
        <v>731</v>
      </c>
      <c r="AI769" s="23" t="s">
        <v>731</v>
      </c>
      <c r="AJ769" s="23" t="s">
        <v>731</v>
      </c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42">
        <v>9</v>
      </c>
      <c r="AW769" s="42"/>
      <c r="AY769" s="18"/>
      <c r="AZ769" s="18"/>
      <c r="BB769" s="43">
        <v>2</v>
      </c>
      <c r="BC769" s="41">
        <f>IF(AND((AV769/I769)&lt;2,BB769=1),(I769*2)-AV769,0)</f>
        <v>0</v>
      </c>
      <c r="BD769" s="41">
        <f>IF(AND((AV769/I769)&lt;3,BB769=2),(I769*3)-AV769,0)</f>
        <v>0</v>
      </c>
      <c r="BG769" s="18"/>
      <c r="BH769" s="18">
        <v>15</v>
      </c>
      <c r="BI769" s="18">
        <v>20</v>
      </c>
      <c r="BJ769" s="18">
        <v>21</v>
      </c>
      <c r="BK769" s="18">
        <v>15</v>
      </c>
      <c r="BL769" s="18">
        <v>17</v>
      </c>
      <c r="BM769" s="55">
        <f>SUM(AV769:AX769)+SUM(BC769:BD769)+SUM(BE769:BF769)+BG769</f>
        <v>9</v>
      </c>
      <c r="BN769" s="55"/>
      <c r="BO769" s="55"/>
      <c r="BP769" s="55"/>
      <c r="BQ769" s="55"/>
      <c r="BR769" s="55"/>
      <c r="BS769" s="55"/>
      <c r="BT769" s="55"/>
      <c r="BU769" s="55"/>
      <c r="BV769" s="55"/>
      <c r="BW769" s="55"/>
      <c r="BX769" s="55"/>
      <c r="BY769" s="55"/>
    </row>
    <row r="770" spans="1:77" ht="25.5">
      <c r="B770" s="89">
        <v>756</v>
      </c>
      <c r="C770" s="93">
        <v>611</v>
      </c>
      <c r="D770" s="93">
        <v>577</v>
      </c>
      <c r="E770" s="94">
        <v>0.69444444444444453</v>
      </c>
      <c r="F770" s="94">
        <v>0.72569444444444453</v>
      </c>
      <c r="G770" s="93" t="s">
        <v>441</v>
      </c>
      <c r="H770" s="93" t="s">
        <v>203</v>
      </c>
      <c r="I770" s="96">
        <v>23</v>
      </c>
      <c r="J770" s="97" t="s">
        <v>101</v>
      </c>
      <c r="K770" s="98">
        <v>202</v>
      </c>
      <c r="L770" s="99" t="s">
        <v>747</v>
      </c>
      <c r="M770" s="87" t="s">
        <v>860</v>
      </c>
      <c r="N770" s="87">
        <v>46</v>
      </c>
      <c r="O770" s="87" t="s">
        <v>1267</v>
      </c>
      <c r="P770" s="87">
        <v>21</v>
      </c>
      <c r="Q770" s="87" t="s">
        <v>1244</v>
      </c>
      <c r="R770" s="87">
        <v>37</v>
      </c>
      <c r="S770" s="26" t="s">
        <v>1498</v>
      </c>
      <c r="T770" s="26" t="s">
        <v>1499</v>
      </c>
      <c r="U770" s="26">
        <v>6120</v>
      </c>
      <c r="V770" s="26" t="s">
        <v>1314</v>
      </c>
      <c r="W770" s="63">
        <v>44816</v>
      </c>
      <c r="X770" s="63">
        <v>45100</v>
      </c>
      <c r="Y770" s="63"/>
      <c r="Z770" s="63"/>
      <c r="AA770" s="22" t="s">
        <v>1108</v>
      </c>
      <c r="AB770" s="23" t="s">
        <v>731</v>
      </c>
      <c r="AC770" s="23"/>
      <c r="AD770" s="23" t="s">
        <v>731</v>
      </c>
      <c r="AE770" s="23"/>
      <c r="AF770" s="23" t="s">
        <v>731</v>
      </c>
      <c r="AG770" s="23" t="s">
        <v>731</v>
      </c>
      <c r="AH770" s="23" t="s">
        <v>731</v>
      </c>
      <c r="AI770" s="23" t="s">
        <v>731</v>
      </c>
      <c r="AJ770" s="23" t="s">
        <v>731</v>
      </c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42">
        <v>69</v>
      </c>
      <c r="AW770" s="42"/>
      <c r="AY770" s="18"/>
      <c r="AZ770" s="18"/>
      <c r="BB770" s="43">
        <v>2</v>
      </c>
      <c r="BC770" s="41">
        <f>IF(AND((AV770/I770)&lt;2,BB770=1),(I770*2)-AV770,0)</f>
        <v>0</v>
      </c>
      <c r="BD770" s="41">
        <f>IF(AND((AV770/I770)&lt;3,BB770=2),(I770*3)-AV770,0)</f>
        <v>0</v>
      </c>
      <c r="BG770" s="18"/>
      <c r="BH770" s="18">
        <v>15</v>
      </c>
      <c r="BI770" s="18">
        <v>21</v>
      </c>
      <c r="BJ770" s="18">
        <v>21</v>
      </c>
      <c r="BK770" s="18">
        <v>20</v>
      </c>
      <c r="BL770" s="18">
        <v>21</v>
      </c>
      <c r="BM770" s="55">
        <f>SUM(AV770:AX770)+SUM(BC770:BD770)+SUM(BE770:BF770)+BG770</f>
        <v>69</v>
      </c>
      <c r="BN770" s="55"/>
      <c r="BO770" s="55"/>
      <c r="BP770" s="55"/>
      <c r="BQ770" s="55"/>
      <c r="BR770" s="55"/>
      <c r="BS770" s="55"/>
      <c r="BT770" s="55"/>
      <c r="BU770" s="55"/>
      <c r="BV770" s="55"/>
      <c r="BW770" s="55"/>
      <c r="BX770" s="55"/>
      <c r="BY770" s="55"/>
    </row>
    <row r="771" spans="1:77" ht="25.5">
      <c r="B771" s="89">
        <v>757</v>
      </c>
      <c r="C771" s="101">
        <v>611</v>
      </c>
      <c r="D771" s="101">
        <v>95</v>
      </c>
      <c r="E771" s="102">
        <v>0.73611111111111116</v>
      </c>
      <c r="F771" s="102">
        <v>0.7715277777777777</v>
      </c>
      <c r="G771" s="103" t="s">
        <v>704</v>
      </c>
      <c r="H771" s="93" t="s">
        <v>103</v>
      </c>
      <c r="I771" s="101">
        <v>27</v>
      </c>
      <c r="J771" s="104">
        <v>30</v>
      </c>
      <c r="K771" s="98">
        <v>174</v>
      </c>
      <c r="L771" s="99" t="s">
        <v>747</v>
      </c>
      <c r="M771" s="87" t="s">
        <v>859</v>
      </c>
      <c r="N771" s="87">
        <v>55</v>
      </c>
      <c r="O771" s="87" t="s">
        <v>1243</v>
      </c>
      <c r="P771" s="87">
        <v>57</v>
      </c>
      <c r="Q771" s="87" t="s">
        <v>1244</v>
      </c>
      <c r="R771" s="87">
        <v>37</v>
      </c>
      <c r="S771" s="26" t="s">
        <v>1498</v>
      </c>
      <c r="T771" s="26" t="s">
        <v>1499</v>
      </c>
      <c r="U771" s="26" t="s">
        <v>1408</v>
      </c>
      <c r="V771" s="26" t="s">
        <v>1409</v>
      </c>
      <c r="W771" s="62">
        <v>44816</v>
      </c>
      <c r="X771" s="62">
        <v>45086</v>
      </c>
      <c r="Y771" s="62"/>
      <c r="Z771" s="62"/>
      <c r="AA771" s="22" t="s">
        <v>1102</v>
      </c>
      <c r="AB771" s="23"/>
      <c r="AC771" s="23"/>
      <c r="AD771" s="23"/>
      <c r="AE771" s="23" t="s">
        <v>731</v>
      </c>
      <c r="AF771" s="23" t="s">
        <v>731</v>
      </c>
      <c r="AG771" s="23" t="s">
        <v>731</v>
      </c>
      <c r="AH771" s="23" t="s">
        <v>731</v>
      </c>
      <c r="AI771" s="23" t="s">
        <v>731</v>
      </c>
      <c r="AJ771" s="23" t="s">
        <v>731</v>
      </c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W771" s="41">
        <f>2.2*27</f>
        <v>59.400000000000006</v>
      </c>
      <c r="AY771" s="18"/>
      <c r="AZ771" s="18"/>
      <c r="BB771" s="45">
        <v>1</v>
      </c>
      <c r="BD771" s="41"/>
      <c r="BE771" s="41">
        <f>IF(AND((AW771/I771)&lt;2,BB771=1),(I771*2)-AW771,0)</f>
        <v>0</v>
      </c>
      <c r="BF771" s="41">
        <f>IF(AND((AW771/I771)&lt;3,BB771=2),(I771*3)-AW771,0)</f>
        <v>0</v>
      </c>
      <c r="BG771" s="18"/>
      <c r="BH771" s="18">
        <v>15</v>
      </c>
      <c r="BI771" s="18">
        <v>20</v>
      </c>
      <c r="BJ771" s="18">
        <v>21</v>
      </c>
      <c r="BK771" s="18">
        <v>15</v>
      </c>
      <c r="BL771" s="18">
        <v>17</v>
      </c>
      <c r="BM771" s="55">
        <f>SUM(AV771:AX771)+SUM(BC771:BD771)+SUM(BE771:BF771)+BG771</f>
        <v>59.400000000000006</v>
      </c>
      <c r="BN771" s="55"/>
      <c r="BO771" s="55"/>
      <c r="BP771" s="55"/>
      <c r="BQ771" s="55"/>
      <c r="BR771" s="55"/>
      <c r="BS771" s="55"/>
      <c r="BT771" s="55"/>
      <c r="BU771" s="55"/>
      <c r="BV771" s="55"/>
      <c r="BW771" s="55"/>
      <c r="BX771" s="55"/>
      <c r="BY771" s="55"/>
    </row>
    <row r="772" spans="1:77" ht="33.75">
      <c r="B772" s="89">
        <v>758</v>
      </c>
      <c r="C772" s="101">
        <v>611</v>
      </c>
      <c r="D772" s="101">
        <v>92</v>
      </c>
      <c r="E772" s="102">
        <v>0.74722222222222223</v>
      </c>
      <c r="F772" s="108">
        <v>0.76458333333333339</v>
      </c>
      <c r="G772" s="103" t="s">
        <v>16</v>
      </c>
      <c r="H772" s="93" t="s">
        <v>103</v>
      </c>
      <c r="I772" s="101">
        <v>14</v>
      </c>
      <c r="J772" s="104">
        <v>19</v>
      </c>
      <c r="K772" s="98">
        <v>174</v>
      </c>
      <c r="L772" s="99" t="s">
        <v>747</v>
      </c>
      <c r="M772" s="87" t="s">
        <v>860</v>
      </c>
      <c r="N772" s="87">
        <v>46</v>
      </c>
      <c r="O772" s="87" t="s">
        <v>1268</v>
      </c>
      <c r="P772" s="87">
        <v>21</v>
      </c>
      <c r="Q772" s="87" t="s">
        <v>1244</v>
      </c>
      <c r="R772" s="87">
        <v>37</v>
      </c>
      <c r="S772" s="26">
        <v>6120</v>
      </c>
      <c r="T772" s="26" t="s">
        <v>1314</v>
      </c>
      <c r="U772" s="26">
        <v>6136</v>
      </c>
      <c r="V772" s="26" t="s">
        <v>1696</v>
      </c>
      <c r="W772" s="62">
        <v>44816</v>
      </c>
      <c r="X772" s="62">
        <v>45086</v>
      </c>
      <c r="Y772" s="62"/>
      <c r="Z772" s="62"/>
      <c r="AA772" s="22" t="s">
        <v>1102</v>
      </c>
      <c r="AB772" s="23"/>
      <c r="AC772" s="23"/>
      <c r="AD772" s="23"/>
      <c r="AE772" s="23" t="s">
        <v>731</v>
      </c>
      <c r="AF772" s="23" t="s">
        <v>731</v>
      </c>
      <c r="AG772" s="23" t="s">
        <v>731</v>
      </c>
      <c r="AH772" s="23" t="s">
        <v>731</v>
      </c>
      <c r="AI772" s="23" t="s">
        <v>731</v>
      </c>
      <c r="AJ772" s="23" t="s">
        <v>731</v>
      </c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W772" s="41">
        <f>1.9*14</f>
        <v>26.599999999999998</v>
      </c>
      <c r="AY772" s="18"/>
      <c r="AZ772" s="18"/>
      <c r="BB772" s="45">
        <v>1</v>
      </c>
      <c r="BD772" s="41"/>
      <c r="BE772" s="41">
        <f>IF(AND((AW772/I772)&lt;2,BB772=1),(I772*2)-AW772,0)</f>
        <v>1.4000000000000021</v>
      </c>
      <c r="BF772" s="41">
        <f>IF(AND((AW772/I772)&lt;3,BB772=2),(I772*3)-AW772,0)</f>
        <v>0</v>
      </c>
      <c r="BG772" s="18"/>
      <c r="BH772" s="18">
        <v>15</v>
      </c>
      <c r="BI772" s="18">
        <v>20</v>
      </c>
      <c r="BJ772" s="18">
        <v>21</v>
      </c>
      <c r="BK772" s="18">
        <v>15</v>
      </c>
      <c r="BL772" s="18">
        <v>17</v>
      </c>
      <c r="BM772" s="55">
        <f>SUM(AV772:AX772)+SUM(BC772:BD772)+SUM(BE772:BF772)+BG772</f>
        <v>28</v>
      </c>
      <c r="BN772" s="55"/>
      <c r="BO772" s="55"/>
      <c r="BP772" s="55"/>
      <c r="BQ772" s="55"/>
      <c r="BR772" s="55"/>
      <c r="BS772" s="55"/>
      <c r="BT772" s="55"/>
      <c r="BU772" s="55"/>
      <c r="BV772" s="55"/>
      <c r="BW772" s="55"/>
      <c r="BX772" s="55"/>
      <c r="BY772" s="55"/>
    </row>
    <row r="773" spans="1:77" ht="33.75">
      <c r="B773" s="89">
        <v>759</v>
      </c>
      <c r="C773" s="101">
        <v>611</v>
      </c>
      <c r="D773" s="101">
        <v>98</v>
      </c>
      <c r="E773" s="102">
        <v>0.78472222222222221</v>
      </c>
      <c r="F773" s="108">
        <v>0.81944444444444453</v>
      </c>
      <c r="G773" s="103" t="s">
        <v>705</v>
      </c>
      <c r="H773" s="93" t="s">
        <v>103</v>
      </c>
      <c r="I773" s="101">
        <v>27</v>
      </c>
      <c r="J773" s="104">
        <v>30</v>
      </c>
      <c r="K773" s="98">
        <v>174</v>
      </c>
      <c r="L773" s="99" t="s">
        <v>747</v>
      </c>
      <c r="M773" s="87" t="s">
        <v>860</v>
      </c>
      <c r="N773" s="87">
        <v>46</v>
      </c>
      <c r="O773" s="87" t="s">
        <v>859</v>
      </c>
      <c r="P773" s="87">
        <v>55</v>
      </c>
      <c r="Q773" s="87" t="s">
        <v>1244</v>
      </c>
      <c r="R773" s="87">
        <v>37</v>
      </c>
      <c r="S773" s="26" t="s">
        <v>1408</v>
      </c>
      <c r="T773" s="26" t="s">
        <v>1409</v>
      </c>
      <c r="U773" s="26" t="s">
        <v>1498</v>
      </c>
      <c r="V773" s="26" t="s">
        <v>1499</v>
      </c>
      <c r="W773" s="62">
        <v>44816</v>
      </c>
      <c r="X773" s="62">
        <v>45086</v>
      </c>
      <c r="Y773" s="62"/>
      <c r="Z773" s="62"/>
      <c r="AA773" s="22" t="s">
        <v>1102</v>
      </c>
      <c r="AB773" s="23"/>
      <c r="AC773" s="23"/>
      <c r="AD773" s="23"/>
      <c r="AE773" s="23" t="s">
        <v>731</v>
      </c>
      <c r="AF773" s="23" t="s">
        <v>731</v>
      </c>
      <c r="AG773" s="23" t="s">
        <v>731</v>
      </c>
      <c r="AH773" s="23" t="s">
        <v>731</v>
      </c>
      <c r="AI773" s="23" t="s">
        <v>731</v>
      </c>
      <c r="AJ773" s="23" t="s">
        <v>731</v>
      </c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W773" s="41">
        <f>2.2*27</f>
        <v>59.400000000000006</v>
      </c>
      <c r="AY773" s="18"/>
      <c r="AZ773" s="18"/>
      <c r="BB773" s="45">
        <v>1</v>
      </c>
      <c r="BD773" s="41"/>
      <c r="BE773" s="41">
        <f>IF(AND((AW773/I773)&lt;2,BB773=1),(I773*2)-AW773,0)</f>
        <v>0</v>
      </c>
      <c r="BF773" s="41">
        <f>IF(AND((AW773/I773)&lt;3,BB773=2),(I773*3)-AW773,0)</f>
        <v>0</v>
      </c>
      <c r="BG773" s="18"/>
      <c r="BH773" s="18">
        <v>15</v>
      </c>
      <c r="BI773" s="18">
        <v>20</v>
      </c>
      <c r="BJ773" s="18">
        <v>21</v>
      </c>
      <c r="BK773" s="18">
        <v>15</v>
      </c>
      <c r="BL773" s="18">
        <v>17</v>
      </c>
      <c r="BM773" s="55">
        <f>SUM(AV773:AX773)+SUM(BC773:BD773)+SUM(BE773:BF773)+BG773</f>
        <v>59.400000000000006</v>
      </c>
      <c r="BN773" s="55"/>
      <c r="BO773" s="55"/>
      <c r="BP773" s="55"/>
      <c r="BQ773" s="55"/>
      <c r="BR773" s="55"/>
      <c r="BS773" s="55"/>
      <c r="BT773" s="55"/>
      <c r="BU773" s="55"/>
      <c r="BV773" s="55"/>
      <c r="BW773" s="55"/>
      <c r="BX773" s="55"/>
      <c r="BY773" s="55"/>
    </row>
    <row r="774" spans="1:77" ht="33.75">
      <c r="B774" s="89">
        <v>760</v>
      </c>
      <c r="C774" s="101">
        <v>611</v>
      </c>
      <c r="D774" s="101">
        <v>100</v>
      </c>
      <c r="E774" s="102">
        <v>0.78819444444444453</v>
      </c>
      <c r="F774" s="108">
        <v>0.80902777777777779</v>
      </c>
      <c r="G774" s="103" t="s">
        <v>651</v>
      </c>
      <c r="H774" s="93" t="s">
        <v>203</v>
      </c>
      <c r="I774" s="101">
        <v>17</v>
      </c>
      <c r="J774" s="104">
        <v>19</v>
      </c>
      <c r="K774" s="98">
        <v>202</v>
      </c>
      <c r="L774" s="99" t="s">
        <v>735</v>
      </c>
      <c r="M774" s="83" t="s">
        <v>904</v>
      </c>
      <c r="N774" s="83">
        <v>21</v>
      </c>
      <c r="O774" s="152" t="s">
        <v>2004</v>
      </c>
      <c r="P774" s="152">
        <v>42</v>
      </c>
      <c r="Q774" s="83" t="s">
        <v>903</v>
      </c>
      <c r="R774" s="84">
        <v>24</v>
      </c>
      <c r="S774" s="26">
        <v>6120</v>
      </c>
      <c r="T774" s="26" t="s">
        <v>1314</v>
      </c>
      <c r="U774" s="26" t="s">
        <v>1699</v>
      </c>
      <c r="V774" s="26" t="s">
        <v>1700</v>
      </c>
      <c r="W774" s="63">
        <v>44816</v>
      </c>
      <c r="X774" s="63">
        <v>45100</v>
      </c>
      <c r="Y774" s="63"/>
      <c r="Z774" s="63"/>
      <c r="AA774" s="22" t="s">
        <v>1108</v>
      </c>
      <c r="AB774" s="23" t="s">
        <v>731</v>
      </c>
      <c r="AC774" s="23"/>
      <c r="AD774" s="23" t="s">
        <v>731</v>
      </c>
      <c r="AE774" s="23"/>
      <c r="AF774" s="23" t="s">
        <v>731</v>
      </c>
      <c r="AG774" s="23" t="s">
        <v>731</v>
      </c>
      <c r="AH774" s="23" t="s">
        <v>731</v>
      </c>
      <c r="AI774" s="23" t="s">
        <v>731</v>
      </c>
      <c r="AJ774" s="23" t="s">
        <v>731</v>
      </c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Y774" s="20" t="s">
        <v>735</v>
      </c>
      <c r="AZ774" s="20"/>
      <c r="BB774" s="45">
        <v>1</v>
      </c>
      <c r="BD774" s="41"/>
      <c r="BG774" s="18"/>
      <c r="BH774" s="18">
        <v>15</v>
      </c>
      <c r="BI774" s="18">
        <v>21</v>
      </c>
      <c r="BJ774" s="18">
        <v>21</v>
      </c>
      <c r="BK774" s="18">
        <v>20</v>
      </c>
      <c r="BL774" s="18">
        <v>21</v>
      </c>
      <c r="BM774" s="55">
        <f>SUM(AV774:AX774)+SUM(BC774:BD774)+SUM(BE774:BF774)+BG774</f>
        <v>0</v>
      </c>
      <c r="BN774" s="55"/>
      <c r="BO774" s="55"/>
      <c r="BP774" s="55"/>
      <c r="BQ774" s="55"/>
      <c r="BR774" s="55"/>
      <c r="BS774" s="55"/>
      <c r="BT774" s="55"/>
      <c r="BU774" s="55"/>
      <c r="BV774" s="55"/>
      <c r="BW774" s="55"/>
      <c r="BX774" s="55"/>
      <c r="BY774" s="55"/>
    </row>
    <row r="775" spans="1:77" ht="33.75">
      <c r="B775" s="89">
        <v>761</v>
      </c>
      <c r="C775" s="101">
        <v>611</v>
      </c>
      <c r="D775" s="101">
        <v>100</v>
      </c>
      <c r="E775" s="102">
        <v>0.80208333333333337</v>
      </c>
      <c r="F775" s="142">
        <v>0.82291666666666663</v>
      </c>
      <c r="G775" s="103" t="s">
        <v>651</v>
      </c>
      <c r="H775" s="103" t="s">
        <v>652</v>
      </c>
      <c r="I775" s="101">
        <v>17</v>
      </c>
      <c r="J775" s="104">
        <v>19</v>
      </c>
      <c r="K775" s="98">
        <v>38</v>
      </c>
      <c r="L775" s="99" t="s">
        <v>735</v>
      </c>
      <c r="M775" s="83" t="s">
        <v>904</v>
      </c>
      <c r="N775" s="83">
        <v>21</v>
      </c>
      <c r="O775" s="152" t="s">
        <v>2004</v>
      </c>
      <c r="P775" s="152">
        <v>42</v>
      </c>
      <c r="Q775" s="83" t="s">
        <v>903</v>
      </c>
      <c r="R775" s="84">
        <v>24</v>
      </c>
      <c r="S775" s="26">
        <v>6120</v>
      </c>
      <c r="T775" s="26" t="s">
        <v>1314</v>
      </c>
      <c r="U775" s="26" t="s">
        <v>1699</v>
      </c>
      <c r="V775" s="26" t="s">
        <v>1700</v>
      </c>
      <c r="W775" s="63">
        <v>44816</v>
      </c>
      <c r="X775" s="63">
        <v>45100</v>
      </c>
      <c r="Y775" s="63"/>
      <c r="Z775" s="63"/>
      <c r="AA775" s="26" t="s">
        <v>1127</v>
      </c>
      <c r="AB775" s="23" t="s">
        <v>731</v>
      </c>
      <c r="AC775" s="23"/>
      <c r="AD775" s="23" t="s">
        <v>731</v>
      </c>
      <c r="AE775" s="23"/>
      <c r="AF775" s="23"/>
      <c r="AG775" s="23"/>
      <c r="AH775" s="23"/>
      <c r="AI775" s="23"/>
      <c r="AJ775" s="23"/>
      <c r="AK775" s="23" t="s">
        <v>731</v>
      </c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Y775" s="20" t="s">
        <v>735</v>
      </c>
      <c r="AZ775" s="20"/>
      <c r="BB775" s="45">
        <v>1</v>
      </c>
      <c r="BD775" s="41"/>
      <c r="BG775" s="18"/>
      <c r="BH775" s="18">
        <v>2</v>
      </c>
      <c r="BI775" s="18">
        <v>5</v>
      </c>
      <c r="BJ775" s="18">
        <v>4</v>
      </c>
      <c r="BK775" s="18">
        <v>5</v>
      </c>
      <c r="BL775" s="18">
        <v>4</v>
      </c>
      <c r="BM775" s="55">
        <f>SUM(AV775:AX775)+SUM(BC775:BD775)+SUM(BE775:BF775)+BG775</f>
        <v>0</v>
      </c>
      <c r="BN775" s="55"/>
      <c r="BO775" s="55"/>
      <c r="BP775" s="55"/>
      <c r="BQ775" s="55"/>
      <c r="BR775" s="55"/>
      <c r="BS775" s="55"/>
      <c r="BT775" s="55"/>
      <c r="BU775" s="55"/>
      <c r="BV775" s="55"/>
      <c r="BW775" s="55"/>
      <c r="BX775" s="55"/>
      <c r="BY775" s="55"/>
    </row>
    <row r="776" spans="1:77" ht="25.5">
      <c r="B776" s="89">
        <v>762</v>
      </c>
      <c r="C776" s="101">
        <v>615</v>
      </c>
      <c r="D776" s="121" t="s">
        <v>1057</v>
      </c>
      <c r="E776" s="108">
        <v>0.25208333333333333</v>
      </c>
      <c r="F776" s="108">
        <v>0.27291666666666664</v>
      </c>
      <c r="G776" s="103" t="s">
        <v>48</v>
      </c>
      <c r="H776" s="93" t="s">
        <v>103</v>
      </c>
      <c r="I776" s="101">
        <f>10+3</f>
        <v>13</v>
      </c>
      <c r="J776" s="104">
        <v>19</v>
      </c>
      <c r="K776" s="98">
        <v>174</v>
      </c>
      <c r="L776" s="99" t="s">
        <v>735</v>
      </c>
      <c r="M776" s="2" t="s">
        <v>904</v>
      </c>
      <c r="N776" s="87">
        <v>21</v>
      </c>
      <c r="O776" s="87" t="s">
        <v>903</v>
      </c>
      <c r="P776" s="87">
        <v>24</v>
      </c>
      <c r="R776" s="87"/>
      <c r="S776" s="26" t="s">
        <v>1701</v>
      </c>
      <c r="T776" s="26" t="s">
        <v>1702</v>
      </c>
      <c r="U776" s="26">
        <v>6120</v>
      </c>
      <c r="V776" s="26" t="s">
        <v>1314</v>
      </c>
      <c r="W776" s="62">
        <v>44816</v>
      </c>
      <c r="X776" s="62">
        <v>45086</v>
      </c>
      <c r="Y776" s="62"/>
      <c r="Z776" s="62"/>
      <c r="AA776" s="22" t="s">
        <v>1102</v>
      </c>
      <c r="AB776" s="23"/>
      <c r="AC776" s="23"/>
      <c r="AD776" s="23"/>
      <c r="AE776" s="23" t="s">
        <v>731</v>
      </c>
      <c r="AF776" s="23" t="s">
        <v>731</v>
      </c>
      <c r="AG776" s="23" t="s">
        <v>731</v>
      </c>
      <c r="AH776" s="23" t="s">
        <v>731</v>
      </c>
      <c r="AI776" s="23" t="s">
        <v>731</v>
      </c>
      <c r="AJ776" s="23" t="s">
        <v>731</v>
      </c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Y776" s="20" t="s">
        <v>735</v>
      </c>
      <c r="AZ776" s="20"/>
      <c r="BB776" s="45">
        <v>1</v>
      </c>
      <c r="BD776" s="41"/>
      <c r="BH776" s="18">
        <v>15</v>
      </c>
      <c r="BI776" s="18">
        <v>20</v>
      </c>
      <c r="BJ776" s="18">
        <v>21</v>
      </c>
      <c r="BK776" s="18">
        <v>15</v>
      </c>
      <c r="BL776" s="18">
        <v>17</v>
      </c>
      <c r="BM776" s="55">
        <f>SUM(AV776:AX776)+SUM(BC776:BD776)+SUM(BE776:BF776)+BG776</f>
        <v>0</v>
      </c>
      <c r="BN776" s="55"/>
      <c r="BO776" s="55"/>
      <c r="BP776" s="55"/>
      <c r="BQ776" s="55"/>
      <c r="BR776" s="55"/>
      <c r="BS776" s="55"/>
      <c r="BT776" s="55"/>
      <c r="BU776" s="55"/>
      <c r="BV776" s="55"/>
      <c r="BW776" s="55"/>
      <c r="BX776" s="55"/>
      <c r="BY776" s="55"/>
    </row>
    <row r="777" spans="1:77" ht="33.75">
      <c r="A777" s="2" t="s">
        <v>1167</v>
      </c>
      <c r="B777" s="89">
        <v>763</v>
      </c>
      <c r="C777" s="93">
        <v>615</v>
      </c>
      <c r="D777" s="93">
        <v>510</v>
      </c>
      <c r="E777" s="94">
        <v>0.28541666666666665</v>
      </c>
      <c r="F777" s="94">
        <v>0.29583333333333334</v>
      </c>
      <c r="G777" s="93" t="s">
        <v>47</v>
      </c>
      <c r="H777" s="93" t="s">
        <v>508</v>
      </c>
      <c r="I777" s="120">
        <v>10</v>
      </c>
      <c r="J777" s="97" t="s">
        <v>93</v>
      </c>
      <c r="K777" s="98">
        <v>12</v>
      </c>
      <c r="L777" s="99" t="s">
        <v>735</v>
      </c>
      <c r="M777" s="2" t="s">
        <v>904</v>
      </c>
      <c r="N777" s="87">
        <v>21</v>
      </c>
      <c r="O777" s="152" t="s">
        <v>2004</v>
      </c>
      <c r="P777" s="152">
        <v>42</v>
      </c>
      <c r="Q777" s="83" t="s">
        <v>903</v>
      </c>
      <c r="R777" s="84">
        <v>24</v>
      </c>
      <c r="S777" s="26">
        <v>6120</v>
      </c>
      <c r="T777" s="26" t="s">
        <v>1314</v>
      </c>
      <c r="U777" s="26">
        <v>6127</v>
      </c>
      <c r="V777" s="26" t="s">
        <v>1703</v>
      </c>
      <c r="W777" s="63">
        <v>44562</v>
      </c>
      <c r="X777" s="63">
        <v>44815</v>
      </c>
      <c r="Y777" s="63">
        <v>45101</v>
      </c>
      <c r="Z777" s="63">
        <v>45169</v>
      </c>
      <c r="AA777" s="22" t="s">
        <v>1119</v>
      </c>
      <c r="AB777" s="23"/>
      <c r="AC777" s="23" t="s">
        <v>731</v>
      </c>
      <c r="AD777" s="23" t="s">
        <v>731</v>
      </c>
      <c r="AE777" s="23"/>
      <c r="AF777" s="23"/>
      <c r="AG777" s="23"/>
      <c r="AH777" s="23"/>
      <c r="AI777" s="23"/>
      <c r="AJ777" s="23"/>
      <c r="AK777" s="23" t="s">
        <v>731</v>
      </c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42">
        <v>25</v>
      </c>
      <c r="AW777" s="42"/>
      <c r="AY777" s="18"/>
      <c r="AZ777" s="18"/>
      <c r="BB777" s="45">
        <v>1</v>
      </c>
      <c r="BC777" s="41">
        <f>IF(AND((AV777/I777)&lt;2,BB777=1),(I777*2)-AV777,0)</f>
        <v>0</v>
      </c>
      <c r="BD777" s="41">
        <f>IF(AND((AV777/I777)&lt;3,BB777=2),(I777*3)-AV777,0)</f>
        <v>0</v>
      </c>
      <c r="BG777" s="41">
        <f>IF((AV777+AW777+AX777)&lt;20,(20-(AV777+AW777+AX777)),0)</f>
        <v>0</v>
      </c>
      <c r="BH777" s="18">
        <v>2</v>
      </c>
      <c r="BI777" s="18">
        <v>0</v>
      </c>
      <c r="BJ777" s="18">
        <v>0</v>
      </c>
      <c r="BK777" s="18">
        <v>0</v>
      </c>
      <c r="BL777" s="18">
        <v>0</v>
      </c>
      <c r="BM777" s="55">
        <f>SUM(AV777:AX777)+SUM(BC777:BD777)+SUM(BE777:BF777)+BG777</f>
        <v>25</v>
      </c>
      <c r="BN777" s="55"/>
      <c r="BO777" s="55"/>
      <c r="BP777" s="55"/>
      <c r="BQ777" s="55"/>
      <c r="BR777" s="55"/>
      <c r="BS777" s="55"/>
      <c r="BT777" s="55"/>
      <c r="BU777" s="55"/>
      <c r="BV777" s="55"/>
      <c r="BW777" s="55"/>
      <c r="BX777" s="55"/>
      <c r="BY777" s="55"/>
    </row>
    <row r="778" spans="1:77" ht="25.5">
      <c r="A778" s="2" t="s">
        <v>1167</v>
      </c>
      <c r="B778" s="89">
        <v>764</v>
      </c>
      <c r="C778" s="93">
        <v>615</v>
      </c>
      <c r="D778" s="93">
        <v>511</v>
      </c>
      <c r="E778" s="94">
        <v>0.29652777777777778</v>
      </c>
      <c r="F778" s="94">
        <v>0.31180555555555556</v>
      </c>
      <c r="G778" s="93" t="s">
        <v>46</v>
      </c>
      <c r="H778" s="93" t="s">
        <v>508</v>
      </c>
      <c r="I778" s="120">
        <v>12</v>
      </c>
      <c r="J778" s="97" t="s">
        <v>93</v>
      </c>
      <c r="K778" s="98">
        <v>12</v>
      </c>
      <c r="L778" s="99" t="s">
        <v>735</v>
      </c>
      <c r="M778" s="87" t="s">
        <v>904</v>
      </c>
      <c r="N778" s="87">
        <v>21</v>
      </c>
      <c r="O778" s="152" t="s">
        <v>2004</v>
      </c>
      <c r="P778" s="152">
        <v>42</v>
      </c>
      <c r="Q778" s="83" t="s">
        <v>903</v>
      </c>
      <c r="R778" s="84">
        <v>24</v>
      </c>
      <c r="S778" s="26">
        <v>6127</v>
      </c>
      <c r="T778" s="26" t="s">
        <v>1703</v>
      </c>
      <c r="U778" s="26">
        <v>6120</v>
      </c>
      <c r="V778" s="26" t="s">
        <v>1314</v>
      </c>
      <c r="W778" s="63">
        <v>44562</v>
      </c>
      <c r="X778" s="63">
        <v>44815</v>
      </c>
      <c r="Y778" s="63">
        <v>45101</v>
      </c>
      <c r="Z778" s="63">
        <v>45169</v>
      </c>
      <c r="AA778" s="22" t="s">
        <v>1119</v>
      </c>
      <c r="AB778" s="23"/>
      <c r="AC778" s="23" t="s">
        <v>731</v>
      </c>
      <c r="AD778" s="23" t="s">
        <v>731</v>
      </c>
      <c r="AE778" s="23"/>
      <c r="AF778" s="23"/>
      <c r="AG778" s="23"/>
      <c r="AH778" s="23"/>
      <c r="AI778" s="23"/>
      <c r="AJ778" s="23"/>
      <c r="AK778" s="23" t="s">
        <v>731</v>
      </c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42">
        <v>30</v>
      </c>
      <c r="AW778" s="42"/>
      <c r="AY778" s="18"/>
      <c r="AZ778" s="18"/>
      <c r="BB778" s="45">
        <v>1</v>
      </c>
      <c r="BC778" s="41">
        <f>IF(AND((AV778/I778)&lt;2,BB778=1),(I778*2)-AV778,0)</f>
        <v>0</v>
      </c>
      <c r="BD778" s="41">
        <f>IF(AND((AV778/I778)&lt;3,BB778=2),(I778*3)-AV778,0)</f>
        <v>0</v>
      </c>
      <c r="BG778" s="18"/>
      <c r="BH778" s="18">
        <v>2</v>
      </c>
      <c r="BI778" s="18">
        <v>0</v>
      </c>
      <c r="BJ778" s="18">
        <v>0</v>
      </c>
      <c r="BK778" s="18">
        <v>0</v>
      </c>
      <c r="BL778" s="18">
        <v>0</v>
      </c>
      <c r="BM778" s="55">
        <f>SUM(AV778:AX778)+SUM(BC778:BD778)+SUM(BE778:BF778)+BG778</f>
        <v>30</v>
      </c>
      <c r="BN778" s="55"/>
      <c r="BO778" s="55"/>
      <c r="BP778" s="55"/>
      <c r="BQ778" s="55"/>
      <c r="BR778" s="55"/>
      <c r="BS778" s="55"/>
      <c r="BT778" s="55"/>
      <c r="BU778" s="55"/>
      <c r="BV778" s="55"/>
      <c r="BW778" s="55"/>
      <c r="BX778" s="55"/>
      <c r="BY778" s="55"/>
    </row>
    <row r="779" spans="1:77" ht="33.75">
      <c r="B779" s="89">
        <v>765</v>
      </c>
      <c r="C779" s="93">
        <v>615</v>
      </c>
      <c r="D779" s="93">
        <v>546</v>
      </c>
      <c r="E779" s="94">
        <v>0.57638888888888895</v>
      </c>
      <c r="F779" s="94">
        <v>0.59027777777777779</v>
      </c>
      <c r="G779" s="93" t="s">
        <v>459</v>
      </c>
      <c r="H779" s="93" t="s">
        <v>423</v>
      </c>
      <c r="I779" s="96">
        <v>10</v>
      </c>
      <c r="J779" s="97" t="s">
        <v>93</v>
      </c>
      <c r="K779" s="98">
        <v>67</v>
      </c>
      <c r="L779" s="109" t="s">
        <v>734</v>
      </c>
      <c r="M779" s="87" t="s">
        <v>905</v>
      </c>
      <c r="N779" s="87">
        <v>21</v>
      </c>
      <c r="O779" s="83" t="s">
        <v>906</v>
      </c>
      <c r="P779" s="83">
        <v>24</v>
      </c>
      <c r="Q779" s="83" t="s">
        <v>907</v>
      </c>
      <c r="R779" s="87">
        <v>21</v>
      </c>
      <c r="S779" s="26">
        <v>6120</v>
      </c>
      <c r="T779" s="26" t="s">
        <v>1314</v>
      </c>
      <c r="U779" s="26">
        <v>6127</v>
      </c>
      <c r="V779" s="26" t="s">
        <v>1703</v>
      </c>
      <c r="W779" s="63">
        <v>44562</v>
      </c>
      <c r="X779" s="63">
        <v>44815</v>
      </c>
      <c r="Y779" s="63">
        <v>45101</v>
      </c>
      <c r="Z779" s="63">
        <v>45169</v>
      </c>
      <c r="AA779" s="23" t="s">
        <v>1107</v>
      </c>
      <c r="AB779" s="23"/>
      <c r="AC779" s="23" t="s">
        <v>731</v>
      </c>
      <c r="AD779" s="23" t="s">
        <v>731</v>
      </c>
      <c r="AE779" s="23"/>
      <c r="AF779" s="23" t="s">
        <v>731</v>
      </c>
      <c r="AG779" s="23" t="s">
        <v>731</v>
      </c>
      <c r="AH779" s="23" t="s">
        <v>731</v>
      </c>
      <c r="AI779" s="23" t="s">
        <v>731</v>
      </c>
      <c r="AJ779" s="23" t="s">
        <v>731</v>
      </c>
      <c r="AK779" s="23" t="s">
        <v>731</v>
      </c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42">
        <v>30</v>
      </c>
      <c r="AW779" s="42"/>
      <c r="AY779" s="18"/>
      <c r="AZ779" s="18"/>
      <c r="BB779" s="45">
        <v>1</v>
      </c>
      <c r="BC779" s="41">
        <f>IF(AND((AV779/I779)&lt;2,BB779=1),(I779*2)-AV779,0)</f>
        <v>0</v>
      </c>
      <c r="BD779" s="41">
        <f>IF(AND((AV779/I779)&lt;3,BB779=2),(I779*3)-AV779,0)</f>
        <v>0</v>
      </c>
      <c r="BG779" s="18"/>
      <c r="BH779" s="18">
        <v>9</v>
      </c>
      <c r="BI779" s="18">
        <v>0</v>
      </c>
      <c r="BJ779" s="18">
        <v>0</v>
      </c>
      <c r="BK779" s="18">
        <v>0</v>
      </c>
      <c r="BL779" s="18">
        <v>0</v>
      </c>
      <c r="BM779" s="55">
        <f>SUM(AV779:AX779)+SUM(BC779:BD779)+SUM(BE779:BF779)+BG779</f>
        <v>30</v>
      </c>
      <c r="BN779" s="55"/>
      <c r="BO779" s="55"/>
      <c r="BP779" s="55"/>
      <c r="BQ779" s="55"/>
      <c r="BR779" s="55"/>
      <c r="BS779" s="55"/>
      <c r="BT779" s="55"/>
      <c r="BU779" s="55"/>
      <c r="BV779" s="55"/>
      <c r="BW779" s="55"/>
      <c r="BX779" s="55"/>
      <c r="BY779" s="55"/>
    </row>
    <row r="780" spans="1:77" ht="25.5">
      <c r="A780" s="2" t="s">
        <v>1167</v>
      </c>
      <c r="B780" s="89">
        <v>766</v>
      </c>
      <c r="C780" s="106">
        <v>615</v>
      </c>
      <c r="D780" s="93">
        <v>524</v>
      </c>
      <c r="E780" s="94">
        <v>0.57847222222222217</v>
      </c>
      <c r="F780" s="94">
        <v>0.59027777777777779</v>
      </c>
      <c r="G780" s="93" t="s">
        <v>525</v>
      </c>
      <c r="H780" s="93" t="s">
        <v>103</v>
      </c>
      <c r="I780" s="120">
        <v>8</v>
      </c>
      <c r="J780" s="97" t="s">
        <v>93</v>
      </c>
      <c r="K780" s="98">
        <v>174</v>
      </c>
      <c r="L780" s="99" t="s">
        <v>735</v>
      </c>
      <c r="M780" s="87" t="s">
        <v>903</v>
      </c>
      <c r="N780" s="87">
        <v>24</v>
      </c>
      <c r="O780" s="83" t="s">
        <v>904</v>
      </c>
      <c r="P780" s="83">
        <v>21</v>
      </c>
      <c r="Q780" s="152" t="s">
        <v>2004</v>
      </c>
      <c r="R780" s="152">
        <v>42</v>
      </c>
      <c r="S780" s="26" t="s">
        <v>1704</v>
      </c>
      <c r="T780" s="26" t="s">
        <v>1705</v>
      </c>
      <c r="U780" s="26">
        <v>6127</v>
      </c>
      <c r="V780" s="26" t="s">
        <v>1703</v>
      </c>
      <c r="W780" s="62">
        <v>44816</v>
      </c>
      <c r="X780" s="62">
        <v>45086</v>
      </c>
      <c r="Y780" s="62"/>
      <c r="Z780" s="62"/>
      <c r="AA780" s="22" t="s">
        <v>1102</v>
      </c>
      <c r="AB780" s="23"/>
      <c r="AC780" s="23"/>
      <c r="AD780" s="23"/>
      <c r="AE780" s="23" t="s">
        <v>731</v>
      </c>
      <c r="AF780" s="23" t="s">
        <v>731</v>
      </c>
      <c r="AG780" s="23" t="s">
        <v>731</v>
      </c>
      <c r="AH780" s="23" t="s">
        <v>731</v>
      </c>
      <c r="AI780" s="23" t="s">
        <v>731</v>
      </c>
      <c r="AJ780" s="23" t="s">
        <v>731</v>
      </c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42">
        <v>24</v>
      </c>
      <c r="AW780" s="42"/>
      <c r="AY780" s="18"/>
      <c r="AZ780" s="18"/>
      <c r="BB780" s="45">
        <v>1</v>
      </c>
      <c r="BC780" s="41">
        <f>IF(AND((AV780/I780)&lt;2,BB780=1),(I780*2)-AV780,0)</f>
        <v>0</v>
      </c>
      <c r="BD780" s="41">
        <f>IF(AND((AV780/I780)&lt;3,BB780=2),(I780*3)-AV780,0)</f>
        <v>0</v>
      </c>
      <c r="BG780" s="18"/>
      <c r="BH780" s="18">
        <v>15</v>
      </c>
      <c r="BI780" s="18">
        <v>20</v>
      </c>
      <c r="BJ780" s="18">
        <v>21</v>
      </c>
      <c r="BK780" s="18">
        <v>15</v>
      </c>
      <c r="BL780" s="18">
        <v>17</v>
      </c>
      <c r="BM780" s="55">
        <f>SUM(AV780:AX780)+SUM(BC780:BD780)+SUM(BE780:BF780)+BG780</f>
        <v>24</v>
      </c>
      <c r="BN780" s="55"/>
      <c r="BO780" s="55"/>
      <c r="BP780" s="55"/>
      <c r="BQ780" s="55"/>
      <c r="BR780" s="55"/>
      <c r="BS780" s="55"/>
      <c r="BT780" s="55"/>
      <c r="BU780" s="55"/>
      <c r="BV780" s="55"/>
      <c r="BW780" s="55"/>
      <c r="BX780" s="55"/>
      <c r="BY780" s="55"/>
    </row>
    <row r="781" spans="1:77" ht="38.25">
      <c r="B781" s="89">
        <v>767</v>
      </c>
      <c r="C781" s="93">
        <v>615</v>
      </c>
      <c r="D781" s="93">
        <v>524</v>
      </c>
      <c r="E781" s="94">
        <v>0.59027777777777779</v>
      </c>
      <c r="F781" s="94">
        <v>0.59375</v>
      </c>
      <c r="G781" s="93" t="s">
        <v>558</v>
      </c>
      <c r="H781" s="95" t="s">
        <v>557</v>
      </c>
      <c r="I781" s="96">
        <v>2.6</v>
      </c>
      <c r="J781" s="97" t="s">
        <v>93</v>
      </c>
      <c r="K781" s="98">
        <f>33+36+36</f>
        <v>105</v>
      </c>
      <c r="L781" s="99" t="s">
        <v>735</v>
      </c>
      <c r="M781" s="83" t="s">
        <v>903</v>
      </c>
      <c r="N781" s="83">
        <v>24</v>
      </c>
      <c r="O781" s="83" t="s">
        <v>904</v>
      </c>
      <c r="P781" s="83">
        <v>21</v>
      </c>
      <c r="Q781" s="152" t="s">
        <v>2004</v>
      </c>
      <c r="R781" s="152">
        <v>42</v>
      </c>
      <c r="S781" s="26">
        <v>6127</v>
      </c>
      <c r="T781" s="26" t="s">
        <v>1703</v>
      </c>
      <c r="U781" s="26" t="s">
        <v>1701</v>
      </c>
      <c r="V781" s="26" t="s">
        <v>1702</v>
      </c>
      <c r="W781" s="62">
        <v>44816</v>
      </c>
      <c r="X781" s="62">
        <v>45086</v>
      </c>
      <c r="Y781" s="62"/>
      <c r="Z781" s="62"/>
      <c r="AA781" s="26" t="s">
        <v>1131</v>
      </c>
      <c r="AB781" s="23"/>
      <c r="AC781" s="23"/>
      <c r="AD781" s="23"/>
      <c r="AE781" s="23" t="s">
        <v>731</v>
      </c>
      <c r="AF781" s="23" t="s">
        <v>731</v>
      </c>
      <c r="AG781" s="23"/>
      <c r="AH781" s="23" t="s">
        <v>731</v>
      </c>
      <c r="AI781" s="23"/>
      <c r="AJ781" s="23" t="s">
        <v>731</v>
      </c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42">
        <v>7.8</v>
      </c>
      <c r="AW781" s="42"/>
      <c r="AY781" s="18"/>
      <c r="AZ781" s="18"/>
      <c r="BB781" s="45">
        <v>1</v>
      </c>
      <c r="BC781" s="41">
        <f>IF(AND((AV781/I781)&lt;2,BB781=1),(I781*2)-AV781,0)</f>
        <v>0</v>
      </c>
      <c r="BD781" s="41">
        <f>IF(AND((AV781/I781)&lt;3,BB781=2),(I781*3)-AV781,0)</f>
        <v>0</v>
      </c>
      <c r="BG781" s="18"/>
      <c r="BH781" s="18">
        <v>9</v>
      </c>
      <c r="BI781" s="18">
        <v>12</v>
      </c>
      <c r="BJ781" s="18">
        <v>13</v>
      </c>
      <c r="BK781" s="18">
        <v>9</v>
      </c>
      <c r="BL781" s="18">
        <v>10</v>
      </c>
      <c r="BM781" s="55">
        <f>SUM(AV781:AX781)+SUM(BC781:BD781)+SUM(BE781:BF781)+BG781</f>
        <v>7.8</v>
      </c>
      <c r="BN781" s="55"/>
      <c r="BO781" s="55"/>
      <c r="BP781" s="55"/>
      <c r="BQ781" s="55"/>
      <c r="BR781" s="55"/>
      <c r="BS781" s="55"/>
      <c r="BT781" s="55"/>
      <c r="BU781" s="55"/>
      <c r="BV781" s="55"/>
      <c r="BW781" s="55"/>
      <c r="BX781" s="55"/>
      <c r="BY781" s="55"/>
    </row>
    <row r="782" spans="1:77" ht="33.75">
      <c r="B782" s="89">
        <v>768</v>
      </c>
      <c r="C782" s="93">
        <v>615</v>
      </c>
      <c r="D782" s="93">
        <v>522</v>
      </c>
      <c r="E782" s="94">
        <v>0.71527777777777779</v>
      </c>
      <c r="F782" s="94">
        <v>0.72916666666666663</v>
      </c>
      <c r="G782" s="93" t="s">
        <v>47</v>
      </c>
      <c r="H782" s="93" t="s">
        <v>103</v>
      </c>
      <c r="I782" s="96">
        <v>10</v>
      </c>
      <c r="J782" s="97" t="s">
        <v>125</v>
      </c>
      <c r="K782" s="98">
        <v>174</v>
      </c>
      <c r="L782" s="99" t="s">
        <v>735</v>
      </c>
      <c r="M782" s="87" t="s">
        <v>903</v>
      </c>
      <c r="N782" s="87">
        <v>24</v>
      </c>
      <c r="O782" s="83" t="s">
        <v>1933</v>
      </c>
      <c r="P782" s="87">
        <v>24</v>
      </c>
      <c r="R782" s="87"/>
      <c r="S782" s="26">
        <v>6120</v>
      </c>
      <c r="T782" s="26" t="s">
        <v>1314</v>
      </c>
      <c r="U782" s="26">
        <v>6127</v>
      </c>
      <c r="V782" s="26" t="s">
        <v>1703</v>
      </c>
      <c r="W782" s="62">
        <v>44816</v>
      </c>
      <c r="X782" s="62">
        <v>45086</v>
      </c>
      <c r="Y782" s="62"/>
      <c r="Z782" s="62"/>
      <c r="AA782" s="22" t="s">
        <v>1102</v>
      </c>
      <c r="AB782" s="23"/>
      <c r="AC782" s="23"/>
      <c r="AD782" s="23"/>
      <c r="AE782" s="23" t="s">
        <v>731</v>
      </c>
      <c r="AF782" s="23" t="s">
        <v>731</v>
      </c>
      <c r="AG782" s="23" t="s">
        <v>731</v>
      </c>
      <c r="AH782" s="23" t="s">
        <v>731</v>
      </c>
      <c r="AI782" s="23" t="s">
        <v>731</v>
      </c>
      <c r="AJ782" s="23" t="s">
        <v>731</v>
      </c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42">
        <v>30</v>
      </c>
      <c r="AW782" s="42"/>
      <c r="AY782" s="18"/>
      <c r="AZ782" s="18"/>
      <c r="BB782" s="45">
        <v>1</v>
      </c>
      <c r="BC782" s="41">
        <f>IF(AND((AV782/I782)&lt;2,BB782=1),(I782*2)-AV782,0)</f>
        <v>0</v>
      </c>
      <c r="BD782" s="41">
        <f>IF(AND((AV782/I782)&lt;3,BB782=2),(I782*3)-AV782,0)</f>
        <v>0</v>
      </c>
      <c r="BG782" s="18"/>
      <c r="BH782" s="18">
        <v>15</v>
      </c>
      <c r="BI782" s="18">
        <v>20</v>
      </c>
      <c r="BJ782" s="18">
        <v>21</v>
      </c>
      <c r="BK782" s="18">
        <v>15</v>
      </c>
      <c r="BL782" s="18">
        <v>17</v>
      </c>
      <c r="BM782" s="55">
        <f>SUM(AV782:AX782)+SUM(BC782:BD782)+SUM(BE782:BF782)+BG782</f>
        <v>30</v>
      </c>
      <c r="BN782" s="55"/>
      <c r="BO782" s="55"/>
      <c r="BP782" s="55"/>
      <c r="BQ782" s="55"/>
      <c r="BR782" s="55"/>
      <c r="BS782" s="55"/>
      <c r="BT782" s="55"/>
      <c r="BU782" s="55"/>
      <c r="BV782" s="55"/>
      <c r="BW782" s="55"/>
      <c r="BX782" s="55"/>
      <c r="BY782" s="55"/>
    </row>
    <row r="783" spans="1:77" ht="33.75">
      <c r="B783" s="89">
        <v>769</v>
      </c>
      <c r="C783" s="93">
        <v>615</v>
      </c>
      <c r="D783" s="106">
        <v>520</v>
      </c>
      <c r="E783" s="105">
        <v>0.75347222222222221</v>
      </c>
      <c r="F783" s="105">
        <v>0.76736111111111116</v>
      </c>
      <c r="G783" s="93" t="s">
        <v>47</v>
      </c>
      <c r="H783" s="93" t="s">
        <v>508</v>
      </c>
      <c r="I783" s="96">
        <v>22</v>
      </c>
      <c r="J783" s="97" t="s">
        <v>93</v>
      </c>
      <c r="K783" s="98">
        <v>12</v>
      </c>
      <c r="L783" s="109" t="s">
        <v>734</v>
      </c>
      <c r="M783" s="87" t="s">
        <v>906</v>
      </c>
      <c r="N783" s="87">
        <v>24</v>
      </c>
      <c r="O783" s="83" t="s">
        <v>905</v>
      </c>
      <c r="P783" s="83">
        <v>21</v>
      </c>
      <c r="Q783" s="83"/>
      <c r="R783" s="87"/>
      <c r="S783" s="26">
        <v>6120</v>
      </c>
      <c r="T783" s="26" t="s">
        <v>1314</v>
      </c>
      <c r="U783" s="26">
        <v>6127</v>
      </c>
      <c r="V783" s="26" t="s">
        <v>1703</v>
      </c>
      <c r="W783" s="63">
        <v>44562</v>
      </c>
      <c r="X783" s="63">
        <v>44815</v>
      </c>
      <c r="Y783" s="63">
        <v>45101</v>
      </c>
      <c r="Z783" s="63">
        <v>45169</v>
      </c>
      <c r="AA783" s="22" t="s">
        <v>1119</v>
      </c>
      <c r="AB783" s="23"/>
      <c r="AC783" s="23" t="s">
        <v>731</v>
      </c>
      <c r="AD783" s="23" t="s">
        <v>731</v>
      </c>
      <c r="AE783" s="23"/>
      <c r="AF783" s="23"/>
      <c r="AG783" s="23"/>
      <c r="AH783" s="23"/>
      <c r="AI783" s="23"/>
      <c r="AJ783" s="23"/>
      <c r="AK783" s="23" t="s">
        <v>731</v>
      </c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42">
        <v>55</v>
      </c>
      <c r="AW783" s="42"/>
      <c r="AY783" s="18"/>
      <c r="AZ783" s="18"/>
      <c r="BB783" s="45">
        <v>1</v>
      </c>
      <c r="BC783" s="41">
        <f>IF(AND((AV783/I783)&lt;2,BB783=1),(I783*2)-AV783,0)</f>
        <v>0</v>
      </c>
      <c r="BD783" s="41">
        <f>IF(AND((AV783/I783)&lt;3,BB783=2),(I783*3)-AV783,0)</f>
        <v>0</v>
      </c>
      <c r="BG783" s="18"/>
      <c r="BH783" s="18">
        <v>2</v>
      </c>
      <c r="BI783" s="18">
        <v>0</v>
      </c>
      <c r="BJ783" s="18">
        <v>0</v>
      </c>
      <c r="BK783" s="18">
        <v>0</v>
      </c>
      <c r="BL783" s="18">
        <v>0</v>
      </c>
      <c r="BM783" s="55">
        <f>SUM(AV783:AX783)+SUM(BC783:BD783)+SUM(BE783:BF783)+BG783</f>
        <v>55</v>
      </c>
      <c r="BN783" s="55"/>
      <c r="BO783" s="55"/>
      <c r="BP783" s="55"/>
      <c r="BQ783" s="55"/>
      <c r="BR783" s="55"/>
      <c r="BS783" s="55"/>
      <c r="BT783" s="55"/>
      <c r="BU783" s="55"/>
      <c r="BV783" s="55"/>
      <c r="BW783" s="55"/>
      <c r="BX783" s="55"/>
      <c r="BY783" s="55"/>
    </row>
    <row r="784" spans="1:77" ht="33.75">
      <c r="B784" s="89">
        <v>770</v>
      </c>
      <c r="C784" s="101">
        <v>615</v>
      </c>
      <c r="D784" s="101">
        <v>520</v>
      </c>
      <c r="E784" s="102">
        <v>0.75347222222222221</v>
      </c>
      <c r="F784" s="102">
        <v>0.76736111111111116</v>
      </c>
      <c r="G784" s="103" t="s">
        <v>47</v>
      </c>
      <c r="H784" s="93" t="s">
        <v>478</v>
      </c>
      <c r="I784" s="101">
        <v>10</v>
      </c>
      <c r="J784" s="104">
        <v>19</v>
      </c>
      <c r="K784" s="98">
        <v>240</v>
      </c>
      <c r="L784" s="99" t="s">
        <v>735</v>
      </c>
      <c r="M784" s="83" t="s">
        <v>903</v>
      </c>
      <c r="N784" s="83">
        <v>24</v>
      </c>
      <c r="O784" s="152" t="s">
        <v>2004</v>
      </c>
      <c r="P784" s="152">
        <v>42</v>
      </c>
      <c r="R784" s="83"/>
      <c r="S784" s="26">
        <v>6120</v>
      </c>
      <c r="T784" s="26" t="s">
        <v>1314</v>
      </c>
      <c r="U784" s="26">
        <v>6127</v>
      </c>
      <c r="V784" s="26" t="s">
        <v>1703</v>
      </c>
      <c r="W784" s="63">
        <v>44816</v>
      </c>
      <c r="X784" s="63">
        <v>45100</v>
      </c>
      <c r="Y784" s="63"/>
      <c r="Z784" s="63"/>
      <c r="AA784" s="26" t="s">
        <v>1112</v>
      </c>
      <c r="AB784" s="23" t="s">
        <v>731</v>
      </c>
      <c r="AC784" s="23"/>
      <c r="AD784" s="23" t="s">
        <v>731</v>
      </c>
      <c r="AE784" s="23"/>
      <c r="AF784" s="23" t="s">
        <v>731</v>
      </c>
      <c r="AG784" s="23" t="s">
        <v>731</v>
      </c>
      <c r="AH784" s="23" t="s">
        <v>731</v>
      </c>
      <c r="AI784" s="23" t="s">
        <v>731</v>
      </c>
      <c r="AJ784" s="23" t="s">
        <v>731</v>
      </c>
      <c r="AK784" s="23" t="s">
        <v>731</v>
      </c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Y784" s="20" t="s">
        <v>735</v>
      </c>
      <c r="AZ784" s="20"/>
      <c r="BB784" s="45">
        <v>1</v>
      </c>
      <c r="BD784" s="41"/>
      <c r="BG784" s="18"/>
      <c r="BH784" s="18">
        <v>17</v>
      </c>
      <c r="BI784" s="18">
        <v>26</v>
      </c>
      <c r="BJ784" s="18">
        <v>25</v>
      </c>
      <c r="BK784" s="18">
        <v>25</v>
      </c>
      <c r="BL784" s="18">
        <v>25</v>
      </c>
      <c r="BM784" s="55">
        <f>SUM(AV784:AX784)+SUM(BC784:BD784)+SUM(BE784:BF784)+BG784</f>
        <v>0</v>
      </c>
      <c r="BN784" s="55"/>
      <c r="BO784" s="55"/>
      <c r="BP784" s="55"/>
      <c r="BQ784" s="55"/>
      <c r="BR784" s="55"/>
      <c r="BS784" s="55"/>
      <c r="BT784" s="55"/>
      <c r="BU784" s="55"/>
      <c r="BV784" s="55"/>
      <c r="BW784" s="55"/>
      <c r="BX784" s="55"/>
      <c r="BY784" s="55"/>
    </row>
    <row r="785" spans="2:77" ht="25.5">
      <c r="B785" s="89">
        <v>771</v>
      </c>
      <c r="C785" s="101">
        <v>615</v>
      </c>
      <c r="D785" s="101">
        <v>515</v>
      </c>
      <c r="E785" s="102">
        <v>0.7680555555555556</v>
      </c>
      <c r="F785" s="102">
        <v>0.78541666666666676</v>
      </c>
      <c r="G785" s="103" t="s">
        <v>46</v>
      </c>
      <c r="H785" s="93" t="s">
        <v>478</v>
      </c>
      <c r="I785" s="101">
        <v>12</v>
      </c>
      <c r="J785" s="104">
        <v>19</v>
      </c>
      <c r="K785" s="98">
        <v>240</v>
      </c>
      <c r="L785" s="99" t="s">
        <v>735</v>
      </c>
      <c r="M785" s="83" t="s">
        <v>903</v>
      </c>
      <c r="N785" s="83">
        <v>24</v>
      </c>
      <c r="O785" s="152" t="s">
        <v>2004</v>
      </c>
      <c r="P785" s="152">
        <v>42</v>
      </c>
      <c r="R785" s="83"/>
      <c r="S785" s="26">
        <v>6127</v>
      </c>
      <c r="T785" s="26" t="s">
        <v>1703</v>
      </c>
      <c r="U785" s="26">
        <v>6120</v>
      </c>
      <c r="V785" s="26" t="s">
        <v>1314</v>
      </c>
      <c r="W785" s="63">
        <v>44816</v>
      </c>
      <c r="X785" s="63">
        <v>45100</v>
      </c>
      <c r="Y785" s="63"/>
      <c r="Z785" s="63"/>
      <c r="AA785" s="26" t="s">
        <v>1112</v>
      </c>
      <c r="AB785" s="23" t="s">
        <v>731</v>
      </c>
      <c r="AC785" s="23"/>
      <c r="AD785" s="23" t="s">
        <v>731</v>
      </c>
      <c r="AE785" s="23"/>
      <c r="AF785" s="23" t="s">
        <v>731</v>
      </c>
      <c r="AG785" s="23" t="s">
        <v>731</v>
      </c>
      <c r="AH785" s="23" t="s">
        <v>731</v>
      </c>
      <c r="AI785" s="23" t="s">
        <v>731</v>
      </c>
      <c r="AJ785" s="23" t="s">
        <v>731</v>
      </c>
      <c r="AK785" s="23" t="s">
        <v>731</v>
      </c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Y785" s="20" t="s">
        <v>735</v>
      </c>
      <c r="AZ785" s="20"/>
      <c r="BB785" s="45">
        <v>1</v>
      </c>
      <c r="BD785" s="41"/>
      <c r="BG785" s="18"/>
      <c r="BH785" s="18">
        <v>17</v>
      </c>
      <c r="BI785" s="18">
        <v>26</v>
      </c>
      <c r="BJ785" s="18">
        <v>25</v>
      </c>
      <c r="BK785" s="18">
        <v>25</v>
      </c>
      <c r="BL785" s="18">
        <v>25</v>
      </c>
      <c r="BM785" s="55">
        <f>SUM(AV785:AX785)+SUM(BC785:BD785)+SUM(BE785:BF785)+BG785</f>
        <v>0</v>
      </c>
      <c r="BN785" s="55"/>
      <c r="BO785" s="55"/>
      <c r="BP785" s="55"/>
      <c r="BQ785" s="55"/>
      <c r="BR785" s="55"/>
      <c r="BS785" s="55"/>
      <c r="BT785" s="55"/>
      <c r="BU785" s="55"/>
      <c r="BV785" s="55"/>
      <c r="BW785" s="55"/>
      <c r="BX785" s="55"/>
      <c r="BY785" s="55"/>
    </row>
    <row r="786" spans="2:77" ht="25.5">
      <c r="B786" s="89">
        <v>772</v>
      </c>
      <c r="C786" s="93">
        <v>615</v>
      </c>
      <c r="D786" s="106">
        <v>517</v>
      </c>
      <c r="E786" s="94">
        <v>0.7680555555555556</v>
      </c>
      <c r="F786" s="94">
        <v>0.78541666666666676</v>
      </c>
      <c r="G786" s="93" t="s">
        <v>46</v>
      </c>
      <c r="H786" s="93" t="s">
        <v>508</v>
      </c>
      <c r="I786" s="96">
        <v>22</v>
      </c>
      <c r="J786" s="97" t="s">
        <v>93</v>
      </c>
      <c r="K786" s="98">
        <v>12</v>
      </c>
      <c r="L786" s="99" t="s">
        <v>734</v>
      </c>
      <c r="M786" s="87" t="s">
        <v>906</v>
      </c>
      <c r="N786" s="87">
        <v>24</v>
      </c>
      <c r="O786" s="83" t="s">
        <v>905</v>
      </c>
      <c r="P786" s="83">
        <v>21</v>
      </c>
      <c r="Q786" s="83"/>
      <c r="R786" s="87"/>
      <c r="S786" s="26">
        <v>6127</v>
      </c>
      <c r="T786" s="26" t="s">
        <v>1703</v>
      </c>
      <c r="U786" s="26">
        <v>6120</v>
      </c>
      <c r="V786" s="26" t="s">
        <v>1314</v>
      </c>
      <c r="W786" s="63">
        <v>44562</v>
      </c>
      <c r="X786" s="63">
        <v>44815</v>
      </c>
      <c r="Y786" s="63">
        <v>45101</v>
      </c>
      <c r="Z786" s="63">
        <v>45169</v>
      </c>
      <c r="AA786" s="22" t="s">
        <v>1119</v>
      </c>
      <c r="AB786" s="23"/>
      <c r="AC786" s="23" t="s">
        <v>731</v>
      </c>
      <c r="AD786" s="23" t="s">
        <v>731</v>
      </c>
      <c r="AE786" s="23"/>
      <c r="AF786" s="23"/>
      <c r="AG786" s="23"/>
      <c r="AH786" s="23"/>
      <c r="AI786" s="23"/>
      <c r="AJ786" s="23"/>
      <c r="AK786" s="23" t="s">
        <v>731</v>
      </c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42">
        <v>55</v>
      </c>
      <c r="AW786" s="42"/>
      <c r="AY786" s="18"/>
      <c r="AZ786" s="18"/>
      <c r="BB786" s="45">
        <v>1</v>
      </c>
      <c r="BC786" s="41">
        <f>IF(AND((AV786/I786)&lt;2,BB786=1),(I786*2)-AV786,0)</f>
        <v>0</v>
      </c>
      <c r="BD786" s="41">
        <f>IF(AND((AV786/I786)&lt;3,BB786=2),(I786*3)-AV786,0)</f>
        <v>0</v>
      </c>
      <c r="BG786" s="18"/>
      <c r="BH786" s="18">
        <v>2</v>
      </c>
      <c r="BI786" s="18">
        <v>0</v>
      </c>
      <c r="BJ786" s="18">
        <v>0</v>
      </c>
      <c r="BK786" s="18">
        <v>0</v>
      </c>
      <c r="BL786" s="18">
        <v>0</v>
      </c>
      <c r="BM786" s="55">
        <f>SUM(AV786:AX786)+SUM(BC786:BD786)+SUM(BE786:BF786)+BG786</f>
        <v>55</v>
      </c>
      <c r="BN786" s="55"/>
      <c r="BO786" s="55"/>
      <c r="BP786" s="55"/>
      <c r="BQ786" s="55"/>
      <c r="BR786" s="55"/>
      <c r="BS786" s="55"/>
      <c r="BT786" s="55"/>
      <c r="BU786" s="55"/>
      <c r="BV786" s="55"/>
      <c r="BW786" s="55"/>
      <c r="BX786" s="55"/>
      <c r="BY786" s="55"/>
    </row>
    <row r="787" spans="2:77" ht="25.5">
      <c r="B787" s="89">
        <v>773</v>
      </c>
      <c r="C787" s="93">
        <v>620</v>
      </c>
      <c r="D787" s="93">
        <v>230</v>
      </c>
      <c r="E787" s="105">
        <v>0.25972222222222224</v>
      </c>
      <c r="F787" s="94">
        <v>0.2902777777777778</v>
      </c>
      <c r="G787" s="93" t="s">
        <v>1058</v>
      </c>
      <c r="H787" s="93" t="s">
        <v>103</v>
      </c>
      <c r="I787" s="96">
        <v>18</v>
      </c>
      <c r="J787" s="97" t="s">
        <v>93</v>
      </c>
      <c r="K787" s="98">
        <v>174</v>
      </c>
      <c r="L787" s="99" t="s">
        <v>747</v>
      </c>
      <c r="M787" s="119" t="s">
        <v>858</v>
      </c>
      <c r="N787" s="87">
        <v>23</v>
      </c>
      <c r="O787" s="87" t="s">
        <v>1268</v>
      </c>
      <c r="P787" s="87">
        <v>21</v>
      </c>
      <c r="R787" s="87"/>
      <c r="S787" s="26">
        <v>6146</v>
      </c>
      <c r="T787" s="26" t="s">
        <v>1706</v>
      </c>
      <c r="U787" s="26">
        <v>6220</v>
      </c>
      <c r="V787" s="26" t="s">
        <v>1357</v>
      </c>
      <c r="W787" s="62">
        <v>44816</v>
      </c>
      <c r="X787" s="62">
        <v>45086</v>
      </c>
      <c r="Y787" s="62"/>
      <c r="Z787" s="62"/>
      <c r="AA787" s="22" t="s">
        <v>1102</v>
      </c>
      <c r="AB787" s="23"/>
      <c r="AC787" s="23"/>
      <c r="AD787" s="23"/>
      <c r="AE787" s="23" t="s">
        <v>731</v>
      </c>
      <c r="AF787" s="23" t="s">
        <v>731</v>
      </c>
      <c r="AG787" s="23" t="s">
        <v>731</v>
      </c>
      <c r="AH787" s="23" t="s">
        <v>731</v>
      </c>
      <c r="AI787" s="23" t="s">
        <v>731</v>
      </c>
      <c r="AJ787" s="23" t="s">
        <v>731</v>
      </c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42">
        <v>56.400000000000006</v>
      </c>
      <c r="AW787" s="42"/>
      <c r="AY787" s="18"/>
      <c r="AZ787" s="18"/>
      <c r="BB787" s="45">
        <v>1</v>
      </c>
      <c r="BC787" s="41">
        <f>IF(AND((AV787/I787)&lt;2,BB787=1),(I787*2)-AV787,0)</f>
        <v>0</v>
      </c>
      <c r="BD787" s="41">
        <f>IF(AND((AV787/I787)&lt;3,BB787=2),(I787*3)-AV787,0)</f>
        <v>0</v>
      </c>
      <c r="BG787" s="41">
        <f>IF((AV787+AW787+AX787)&lt;20,(20-(AV787+AW787+AX787)),0)</f>
        <v>0</v>
      </c>
      <c r="BH787" s="18">
        <v>15</v>
      </c>
      <c r="BI787" s="18">
        <v>20</v>
      </c>
      <c r="BJ787" s="18">
        <v>21</v>
      </c>
      <c r="BK787" s="18">
        <v>15</v>
      </c>
      <c r="BL787" s="18">
        <v>17</v>
      </c>
      <c r="BM787" s="55">
        <f>SUM(AV787:AX787)+SUM(BC787:BD787)+SUM(BE787:BF787)+BG787</f>
        <v>56.400000000000006</v>
      </c>
      <c r="BN787" s="55"/>
      <c r="BO787" s="55"/>
      <c r="BP787" s="55"/>
      <c r="BQ787" s="55"/>
      <c r="BR787" s="55"/>
      <c r="BS787" s="55"/>
      <c r="BT787" s="55"/>
      <c r="BU787" s="55"/>
      <c r="BV787" s="55"/>
      <c r="BW787" s="55"/>
      <c r="BX787" s="55"/>
      <c r="BY787" s="55"/>
    </row>
    <row r="788" spans="2:77" ht="25.5">
      <c r="B788" s="89">
        <v>774</v>
      </c>
      <c r="C788" s="106">
        <v>620</v>
      </c>
      <c r="D788" s="93">
        <v>223</v>
      </c>
      <c r="E788" s="94">
        <v>0.26944444444444443</v>
      </c>
      <c r="F788" s="94">
        <v>0.31527777777777777</v>
      </c>
      <c r="G788" s="93" t="s">
        <v>473</v>
      </c>
      <c r="H788" s="93" t="s">
        <v>424</v>
      </c>
      <c r="I788" s="96">
        <v>32.5</v>
      </c>
      <c r="J788" s="97" t="s">
        <v>188</v>
      </c>
      <c r="K788" s="98">
        <v>55</v>
      </c>
      <c r="L788" s="99" t="s">
        <v>734</v>
      </c>
      <c r="M788" s="87" t="s">
        <v>976</v>
      </c>
      <c r="N788" s="87">
        <v>31</v>
      </c>
      <c r="O788" s="83" t="s">
        <v>1936</v>
      </c>
      <c r="P788" s="83">
        <v>54</v>
      </c>
      <c r="R788" s="87"/>
      <c r="S788" s="26">
        <v>6220</v>
      </c>
      <c r="T788" s="26" t="s">
        <v>1357</v>
      </c>
      <c r="U788" s="26" t="s">
        <v>1408</v>
      </c>
      <c r="V788" s="26" t="s">
        <v>1409</v>
      </c>
      <c r="W788" s="63">
        <v>44562</v>
      </c>
      <c r="X788" s="63">
        <v>44815</v>
      </c>
      <c r="Y788" s="63">
        <v>45101</v>
      </c>
      <c r="Z788" s="63">
        <v>45169</v>
      </c>
      <c r="AA788" s="22" t="s">
        <v>1109</v>
      </c>
      <c r="AB788" s="23"/>
      <c r="AC788" s="23" t="s">
        <v>731</v>
      </c>
      <c r="AD788" s="23" t="s">
        <v>731</v>
      </c>
      <c r="AE788" s="23"/>
      <c r="AF788" s="23" t="s">
        <v>731</v>
      </c>
      <c r="AG788" s="23" t="s">
        <v>731</v>
      </c>
      <c r="AH788" s="23" t="s">
        <v>731</v>
      </c>
      <c r="AI788" s="23" t="s">
        <v>731</v>
      </c>
      <c r="AJ788" s="23" t="s">
        <v>731</v>
      </c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42">
        <v>97.5</v>
      </c>
      <c r="AW788" s="42"/>
      <c r="AY788" s="18"/>
      <c r="AZ788" s="18"/>
      <c r="BB788" s="45">
        <v>1</v>
      </c>
      <c r="BC788" s="41">
        <f>IF(AND((AV788/I788)&lt;2,BB788=1),(I788*2)-AV788,0)</f>
        <v>0</v>
      </c>
      <c r="BD788" s="41">
        <f>IF(AND((AV788/I788)&lt;3,BB788=2),(I788*3)-AV788,0)</f>
        <v>0</v>
      </c>
      <c r="BG788" s="41">
        <f>IF((AV788+AW788+AX788)&lt;20,(20-(AV788+AW788+AX788)),0)</f>
        <v>0</v>
      </c>
      <c r="BH788" s="18">
        <v>7</v>
      </c>
      <c r="BI788" s="18">
        <v>0</v>
      </c>
      <c r="BJ788" s="18">
        <v>0</v>
      </c>
      <c r="BK788" s="18">
        <v>0</v>
      </c>
      <c r="BL788" s="18">
        <v>0</v>
      </c>
      <c r="BM788" s="55">
        <f>SUM(AV788:AX788)+SUM(BC788:BD788)+SUM(BE788:BF788)+BG788</f>
        <v>97.5</v>
      </c>
      <c r="BN788" s="55"/>
      <c r="BO788" s="55"/>
      <c r="BP788" s="55"/>
      <c r="BQ788" s="55"/>
      <c r="BR788" s="55"/>
      <c r="BS788" s="55"/>
      <c r="BT788" s="55"/>
      <c r="BU788" s="55"/>
      <c r="BV788" s="55"/>
      <c r="BW788" s="55"/>
      <c r="BX788" s="55"/>
      <c r="BY788" s="55"/>
    </row>
    <row r="789" spans="2:77" ht="33.75">
      <c r="B789" s="89">
        <v>775</v>
      </c>
      <c r="C789" s="93">
        <v>620</v>
      </c>
      <c r="D789" s="93">
        <v>237</v>
      </c>
      <c r="E789" s="94">
        <v>0.53749999999999998</v>
      </c>
      <c r="F789" s="94">
        <v>0.54166666666666663</v>
      </c>
      <c r="G789" s="93" t="s">
        <v>179</v>
      </c>
      <c r="H789" s="93" t="s">
        <v>97</v>
      </c>
      <c r="I789" s="96">
        <v>3</v>
      </c>
      <c r="J789" s="97" t="s">
        <v>116</v>
      </c>
      <c r="K789" s="98">
        <v>208</v>
      </c>
      <c r="L789" s="99" t="s">
        <v>778</v>
      </c>
      <c r="M789" s="87" t="s">
        <v>923</v>
      </c>
      <c r="N789" s="87">
        <v>9</v>
      </c>
      <c r="O789" s="87" t="s">
        <v>924</v>
      </c>
      <c r="P789" s="87">
        <v>9</v>
      </c>
      <c r="Q789" s="87" t="s">
        <v>1269</v>
      </c>
      <c r="R789" s="84">
        <v>9</v>
      </c>
      <c r="S789" s="26">
        <v>6144</v>
      </c>
      <c r="T789" s="26" t="s">
        <v>1707</v>
      </c>
      <c r="U789" s="26">
        <v>6143</v>
      </c>
      <c r="V789" s="26" t="s">
        <v>1708</v>
      </c>
      <c r="W789" s="62">
        <v>44816</v>
      </c>
      <c r="X789" s="62">
        <v>45086</v>
      </c>
      <c r="Y789" s="62"/>
      <c r="Z789" s="62"/>
      <c r="AA789" s="22" t="s">
        <v>1106</v>
      </c>
      <c r="AB789" s="23"/>
      <c r="AC789" s="23"/>
      <c r="AD789" s="23"/>
      <c r="AE789" s="23" t="s">
        <v>731</v>
      </c>
      <c r="AF789" s="23" t="s">
        <v>731</v>
      </c>
      <c r="AG789" s="23" t="s">
        <v>731</v>
      </c>
      <c r="AH789" s="23" t="s">
        <v>731</v>
      </c>
      <c r="AI789" s="23" t="s">
        <v>731</v>
      </c>
      <c r="AJ789" s="23" t="s">
        <v>731</v>
      </c>
      <c r="AK789" s="23" t="s">
        <v>731</v>
      </c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42">
        <v>7.91</v>
      </c>
      <c r="AW789" s="42"/>
      <c r="AY789" s="18"/>
      <c r="AZ789" s="18"/>
      <c r="BB789" s="45">
        <v>1</v>
      </c>
      <c r="BC789" s="41">
        <f>IF(AND((AV789/I789)&lt;2,BB789=1),(I789*2)-AV789,0)</f>
        <v>0</v>
      </c>
      <c r="BD789" s="41">
        <f>IF(AND((AV789/I789)&lt;3,BB789=2),(I789*3)-AV789,0)</f>
        <v>0</v>
      </c>
      <c r="BG789" s="18"/>
      <c r="BH789" s="18">
        <v>17</v>
      </c>
      <c r="BI789" s="18">
        <v>25</v>
      </c>
      <c r="BJ789" s="18">
        <v>25</v>
      </c>
      <c r="BK789" s="18">
        <v>18</v>
      </c>
      <c r="BL789" s="18">
        <v>20</v>
      </c>
      <c r="BM789" s="55">
        <f>SUM(AV789:AX789)+SUM(BC789:BD789)+SUM(BE789:BF789)+BG789</f>
        <v>7.91</v>
      </c>
      <c r="BN789" s="55"/>
      <c r="BO789" s="55"/>
      <c r="BP789" s="55"/>
      <c r="BQ789" s="55"/>
      <c r="BR789" s="55"/>
      <c r="BS789" s="55"/>
      <c r="BT789" s="55"/>
      <c r="BU789" s="55"/>
      <c r="BV789" s="55"/>
      <c r="BW789" s="55"/>
      <c r="BX789" s="55"/>
      <c r="BY789" s="55"/>
    </row>
    <row r="790" spans="2:77" ht="33.75">
      <c r="B790" s="89">
        <v>776</v>
      </c>
      <c r="C790" s="93">
        <v>620</v>
      </c>
      <c r="D790" s="93">
        <v>420</v>
      </c>
      <c r="E790" s="94">
        <v>0.56111111111111112</v>
      </c>
      <c r="F790" s="94">
        <v>0.57291666666666663</v>
      </c>
      <c r="G790" s="93" t="s">
        <v>177</v>
      </c>
      <c r="H790" s="93" t="s">
        <v>97</v>
      </c>
      <c r="I790" s="96">
        <v>11.4</v>
      </c>
      <c r="J790" s="97" t="s">
        <v>116</v>
      </c>
      <c r="K790" s="98">
        <v>208</v>
      </c>
      <c r="L790" s="99" t="s">
        <v>778</v>
      </c>
      <c r="M790" s="87" t="s">
        <v>924</v>
      </c>
      <c r="N790" s="87">
        <v>9</v>
      </c>
      <c r="O790" s="87" t="s">
        <v>1269</v>
      </c>
      <c r="P790" s="87">
        <v>9</v>
      </c>
      <c r="Q790" s="87" t="s">
        <v>1270</v>
      </c>
      <c r="R790" s="84">
        <v>9</v>
      </c>
      <c r="S790" s="26">
        <v>6140</v>
      </c>
      <c r="T790" s="26" t="s">
        <v>1698</v>
      </c>
      <c r="U790" s="26">
        <v>6143</v>
      </c>
      <c r="V790" s="26" t="s">
        <v>1708</v>
      </c>
      <c r="W790" s="62">
        <v>44816</v>
      </c>
      <c r="X790" s="62">
        <v>45086</v>
      </c>
      <c r="Y790" s="62"/>
      <c r="Z790" s="62"/>
      <c r="AA790" s="22" t="s">
        <v>1106</v>
      </c>
      <c r="AB790" s="23"/>
      <c r="AC790" s="23"/>
      <c r="AD790" s="23"/>
      <c r="AE790" s="23" t="s">
        <v>731</v>
      </c>
      <c r="AF790" s="23" t="s">
        <v>731</v>
      </c>
      <c r="AG790" s="23" t="s">
        <v>731</v>
      </c>
      <c r="AH790" s="23" t="s">
        <v>731</v>
      </c>
      <c r="AI790" s="23" t="s">
        <v>731</v>
      </c>
      <c r="AJ790" s="23" t="s">
        <v>731</v>
      </c>
      <c r="AK790" s="23" t="s">
        <v>731</v>
      </c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42">
        <v>38.65</v>
      </c>
      <c r="AW790" s="42"/>
      <c r="AY790" s="18"/>
      <c r="AZ790" s="18"/>
      <c r="BB790" s="45">
        <v>1</v>
      </c>
      <c r="BC790" s="41">
        <f>IF(AND((AV790/I790)&lt;2,BB790=1),(I790*2)-AV790,0)</f>
        <v>0</v>
      </c>
      <c r="BD790" s="41">
        <f>IF(AND((AV790/I790)&lt;3,BB790=2),(I790*3)-AV790,0)</f>
        <v>0</v>
      </c>
      <c r="BG790" s="18"/>
      <c r="BH790" s="18">
        <v>17</v>
      </c>
      <c r="BI790" s="18">
        <v>25</v>
      </c>
      <c r="BJ790" s="18">
        <v>25</v>
      </c>
      <c r="BK790" s="18">
        <v>18</v>
      </c>
      <c r="BL790" s="18">
        <v>20</v>
      </c>
      <c r="BM790" s="55">
        <f>SUM(AV790:AX790)+SUM(BC790:BD790)+SUM(BE790:BF790)+BG790</f>
        <v>38.65</v>
      </c>
      <c r="BN790" s="55"/>
      <c r="BO790" s="55"/>
      <c r="BP790" s="55"/>
      <c r="BQ790" s="55"/>
      <c r="BR790" s="55"/>
      <c r="BS790" s="55"/>
      <c r="BT790" s="55"/>
      <c r="BU790" s="55"/>
      <c r="BV790" s="55"/>
      <c r="BW790" s="55"/>
      <c r="BX790" s="55"/>
      <c r="BY790" s="55"/>
    </row>
    <row r="791" spans="2:77" ht="33.75">
      <c r="B791" s="89">
        <v>777</v>
      </c>
      <c r="C791" s="93">
        <v>620</v>
      </c>
      <c r="D791" s="93">
        <v>420</v>
      </c>
      <c r="E791" s="94">
        <v>0.56111111111111112</v>
      </c>
      <c r="F791" s="94">
        <v>0.56597222222222221</v>
      </c>
      <c r="G791" s="93" t="s">
        <v>178</v>
      </c>
      <c r="H791" s="93" t="s">
        <v>97</v>
      </c>
      <c r="I791" s="96">
        <v>3.9</v>
      </c>
      <c r="J791" s="97" t="s">
        <v>116</v>
      </c>
      <c r="K791" s="98">
        <v>208</v>
      </c>
      <c r="L791" s="99" t="s">
        <v>778</v>
      </c>
      <c r="M791" s="87" t="s">
        <v>923</v>
      </c>
      <c r="N791" s="87">
        <v>9</v>
      </c>
      <c r="O791" s="87" t="s">
        <v>1269</v>
      </c>
      <c r="P791" s="87">
        <v>9</v>
      </c>
      <c r="Q791" s="87" t="s">
        <v>1270</v>
      </c>
      <c r="R791" s="84">
        <v>9</v>
      </c>
      <c r="S791" s="26">
        <v>6140</v>
      </c>
      <c r="T791" s="26" t="s">
        <v>1698</v>
      </c>
      <c r="U791" s="26">
        <v>6143</v>
      </c>
      <c r="V791" s="26" t="s">
        <v>1708</v>
      </c>
      <c r="W791" s="62">
        <v>44816</v>
      </c>
      <c r="X791" s="62">
        <v>45086</v>
      </c>
      <c r="Y791" s="62"/>
      <c r="Z791" s="62"/>
      <c r="AA791" s="22" t="s">
        <v>1106</v>
      </c>
      <c r="AB791" s="23"/>
      <c r="AC791" s="23"/>
      <c r="AD791" s="23"/>
      <c r="AE791" s="23" t="s">
        <v>731</v>
      </c>
      <c r="AF791" s="23" t="s">
        <v>731</v>
      </c>
      <c r="AG791" s="23" t="s">
        <v>731</v>
      </c>
      <c r="AH791" s="23" t="s">
        <v>731</v>
      </c>
      <c r="AI791" s="23" t="s">
        <v>731</v>
      </c>
      <c r="AJ791" s="23" t="s">
        <v>731</v>
      </c>
      <c r="AK791" s="23" t="s">
        <v>731</v>
      </c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42">
        <v>11.7</v>
      </c>
      <c r="AW791" s="42"/>
      <c r="AY791" s="18"/>
      <c r="AZ791" s="18"/>
      <c r="BB791" s="45">
        <v>1</v>
      </c>
      <c r="BC791" s="41">
        <f>IF(AND((AV791/I791)&lt;2,BB791=1),(I791*2)-AV791,0)</f>
        <v>0</v>
      </c>
      <c r="BD791" s="41">
        <f>IF(AND((AV791/I791)&lt;3,BB791=2),(I791*3)-AV791,0)</f>
        <v>0</v>
      </c>
      <c r="BG791" s="18"/>
      <c r="BH791" s="18">
        <v>17</v>
      </c>
      <c r="BI791" s="18">
        <v>25</v>
      </c>
      <c r="BJ791" s="18">
        <v>25</v>
      </c>
      <c r="BK791" s="18">
        <v>18</v>
      </c>
      <c r="BL791" s="18">
        <v>20</v>
      </c>
      <c r="BM791" s="55">
        <f>SUM(AV791:AX791)+SUM(BC791:BD791)+SUM(BE791:BF791)+BG791</f>
        <v>11.7</v>
      </c>
      <c r="BN791" s="55"/>
      <c r="BO791" s="55"/>
      <c r="BP791" s="55"/>
      <c r="BQ791" s="55"/>
      <c r="BR791" s="55"/>
      <c r="BS791" s="55"/>
      <c r="BT791" s="55"/>
      <c r="BU791" s="55"/>
      <c r="BV791" s="55"/>
      <c r="BW791" s="55"/>
      <c r="BX791" s="55"/>
      <c r="BY791" s="55"/>
    </row>
    <row r="792" spans="2:77" ht="25.5">
      <c r="B792" s="89">
        <v>778</v>
      </c>
      <c r="C792" s="93">
        <v>620</v>
      </c>
      <c r="D792" s="93">
        <v>973</v>
      </c>
      <c r="E792" s="94">
        <v>0.58194444444444449</v>
      </c>
      <c r="F792" s="94">
        <v>0.62777777777777777</v>
      </c>
      <c r="G792" s="93" t="s">
        <v>473</v>
      </c>
      <c r="H792" s="93" t="s">
        <v>508</v>
      </c>
      <c r="I792" s="96">
        <v>32.5</v>
      </c>
      <c r="J792" s="97" t="s">
        <v>188</v>
      </c>
      <c r="K792" s="98">
        <v>12</v>
      </c>
      <c r="L792" s="99" t="s">
        <v>777</v>
      </c>
      <c r="M792" s="83" t="s">
        <v>1064</v>
      </c>
      <c r="N792" s="83">
        <v>23</v>
      </c>
      <c r="O792" s="83" t="s">
        <v>872</v>
      </c>
      <c r="P792" s="83">
        <v>23</v>
      </c>
      <c r="Q792" s="83" t="s">
        <v>874</v>
      </c>
      <c r="R792" s="84">
        <v>21</v>
      </c>
      <c r="S792" s="26">
        <v>6220</v>
      </c>
      <c r="T792" s="26" t="s">
        <v>1357</v>
      </c>
      <c r="U792" s="26" t="s">
        <v>1408</v>
      </c>
      <c r="V792" s="26" t="s">
        <v>1409</v>
      </c>
      <c r="W792" s="63">
        <v>44562</v>
      </c>
      <c r="X792" s="63">
        <v>44815</v>
      </c>
      <c r="Y792" s="63">
        <v>45101</v>
      </c>
      <c r="Z792" s="63">
        <v>45169</v>
      </c>
      <c r="AA792" s="22" t="s">
        <v>1119</v>
      </c>
      <c r="AB792" s="23"/>
      <c r="AC792" s="23" t="s">
        <v>731</v>
      </c>
      <c r="AD792" s="23" t="s">
        <v>731</v>
      </c>
      <c r="AE792" s="23"/>
      <c r="AF792" s="23"/>
      <c r="AG792" s="23"/>
      <c r="AH792" s="23"/>
      <c r="AI792" s="23"/>
      <c r="AJ792" s="23"/>
      <c r="AK792" s="23" t="s">
        <v>731</v>
      </c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42">
        <v>97.5</v>
      </c>
      <c r="AW792" s="42"/>
      <c r="AY792" s="18"/>
      <c r="AZ792" s="18"/>
      <c r="BB792" s="45">
        <v>1</v>
      </c>
      <c r="BC792" s="41">
        <f>IF(AND((AV792/I792)&lt;2,BB792=1),(I792*2)-AV792,0)</f>
        <v>0</v>
      </c>
      <c r="BD792" s="41">
        <f>IF(AND((AV792/I792)&lt;3,BB792=2),(I792*3)-AV792,0)</f>
        <v>0</v>
      </c>
      <c r="BG792" s="18"/>
      <c r="BH792" s="18">
        <v>2</v>
      </c>
      <c r="BI792" s="18">
        <v>0</v>
      </c>
      <c r="BJ792" s="18">
        <v>0</v>
      </c>
      <c r="BK792" s="18">
        <v>0</v>
      </c>
      <c r="BL792" s="18">
        <v>0</v>
      </c>
      <c r="BM792" s="55">
        <f>SUM(AV792:AX792)+SUM(BC792:BD792)+SUM(BE792:BF792)+BG792</f>
        <v>97.5</v>
      </c>
      <c r="BN792" s="55"/>
      <c r="BO792" s="55"/>
      <c r="BP792" s="55"/>
      <c r="BQ792" s="55"/>
      <c r="BR792" s="55"/>
      <c r="BS792" s="55"/>
      <c r="BT792" s="55"/>
      <c r="BU792" s="55"/>
      <c r="BV792" s="55"/>
      <c r="BW792" s="55"/>
      <c r="BX792" s="55"/>
      <c r="BY792" s="55"/>
    </row>
    <row r="793" spans="2:77" ht="33.75">
      <c r="B793" s="89">
        <v>779</v>
      </c>
      <c r="C793" s="93">
        <v>620</v>
      </c>
      <c r="D793" s="93">
        <v>646</v>
      </c>
      <c r="E793" s="94">
        <v>0.58194444444444449</v>
      </c>
      <c r="F793" s="94">
        <v>0.58680555555555558</v>
      </c>
      <c r="G793" s="93" t="s">
        <v>176</v>
      </c>
      <c r="H793" s="93" t="s">
        <v>97</v>
      </c>
      <c r="I793" s="96">
        <v>3.9</v>
      </c>
      <c r="J793" s="97" t="s">
        <v>116</v>
      </c>
      <c r="K793" s="98">
        <v>208</v>
      </c>
      <c r="L793" s="99" t="s">
        <v>778</v>
      </c>
      <c r="M793" s="87" t="s">
        <v>923</v>
      </c>
      <c r="N793" s="87">
        <v>9</v>
      </c>
      <c r="O793" s="87" t="s">
        <v>924</v>
      </c>
      <c r="P793" s="87">
        <v>9</v>
      </c>
      <c r="Q793" s="87" t="s">
        <v>1269</v>
      </c>
      <c r="R793" s="84">
        <v>9</v>
      </c>
      <c r="S793" s="26">
        <v>6140</v>
      </c>
      <c r="T793" s="26" t="s">
        <v>1698</v>
      </c>
      <c r="U793" s="26" t="s">
        <v>1709</v>
      </c>
      <c r="V793" s="26" t="s">
        <v>1710</v>
      </c>
      <c r="W793" s="62">
        <v>44816</v>
      </c>
      <c r="X793" s="62">
        <v>45086</v>
      </c>
      <c r="Y793" s="62"/>
      <c r="Z793" s="62"/>
      <c r="AA793" s="22" t="s">
        <v>1106</v>
      </c>
      <c r="AB793" s="23"/>
      <c r="AC793" s="23"/>
      <c r="AD793" s="23"/>
      <c r="AE793" s="23" t="s">
        <v>731</v>
      </c>
      <c r="AF793" s="23" t="s">
        <v>731</v>
      </c>
      <c r="AG793" s="23" t="s">
        <v>731</v>
      </c>
      <c r="AH793" s="23" t="s">
        <v>731</v>
      </c>
      <c r="AI793" s="23" t="s">
        <v>731</v>
      </c>
      <c r="AJ793" s="23" t="s">
        <v>731</v>
      </c>
      <c r="AK793" s="23" t="s">
        <v>731</v>
      </c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42">
        <v>12.88</v>
      </c>
      <c r="AW793" s="42"/>
      <c r="AY793" s="18"/>
      <c r="AZ793" s="18"/>
      <c r="BB793" s="45">
        <v>1</v>
      </c>
      <c r="BC793" s="41">
        <f>IF(AND((AV793/I793)&lt;2,BB793=1),(I793*2)-AV793,0)</f>
        <v>0</v>
      </c>
      <c r="BD793" s="41">
        <f>IF(AND((AV793/I793)&lt;3,BB793=2),(I793*3)-AV793,0)</f>
        <v>0</v>
      </c>
      <c r="BG793" s="18"/>
      <c r="BH793" s="18">
        <v>17</v>
      </c>
      <c r="BI793" s="18">
        <v>25</v>
      </c>
      <c r="BJ793" s="18">
        <v>25</v>
      </c>
      <c r="BK793" s="18">
        <v>18</v>
      </c>
      <c r="BL793" s="18">
        <v>20</v>
      </c>
      <c r="BM793" s="55">
        <f>SUM(AV793:AX793)+SUM(BC793:BD793)+SUM(BE793:BF793)+BG793</f>
        <v>12.88</v>
      </c>
      <c r="BN793" s="55"/>
      <c r="BO793" s="55"/>
      <c r="BP793" s="55"/>
      <c r="BQ793" s="55"/>
      <c r="BR793" s="55"/>
      <c r="BS793" s="55"/>
      <c r="BT793" s="55"/>
      <c r="BU793" s="55"/>
      <c r="BV793" s="55"/>
      <c r="BW793" s="55"/>
      <c r="BX793" s="55"/>
      <c r="BY793" s="55"/>
    </row>
    <row r="794" spans="2:77" ht="33.75">
      <c r="B794" s="89">
        <v>780</v>
      </c>
      <c r="C794" s="93">
        <v>620</v>
      </c>
      <c r="D794" s="93">
        <v>426</v>
      </c>
      <c r="E794" s="105">
        <v>0.60625000000000007</v>
      </c>
      <c r="F794" s="105">
        <v>0.61111111111111105</v>
      </c>
      <c r="G794" s="93" t="s">
        <v>176</v>
      </c>
      <c r="H794" s="93" t="s">
        <v>97</v>
      </c>
      <c r="I794" s="96">
        <v>3.9</v>
      </c>
      <c r="J794" s="97" t="s">
        <v>116</v>
      </c>
      <c r="K794" s="98">
        <v>208</v>
      </c>
      <c r="L794" s="99" t="s">
        <v>778</v>
      </c>
      <c r="M794" s="87" t="s">
        <v>923</v>
      </c>
      <c r="N794" s="87">
        <v>9</v>
      </c>
      <c r="O794" s="87" t="s">
        <v>924</v>
      </c>
      <c r="P794" s="87">
        <v>9</v>
      </c>
      <c r="Q794" s="87" t="s">
        <v>1269</v>
      </c>
      <c r="R794" s="84">
        <v>9</v>
      </c>
      <c r="S794" s="26">
        <v>6140</v>
      </c>
      <c r="T794" s="26" t="s">
        <v>1698</v>
      </c>
      <c r="U794" s="26" t="s">
        <v>1709</v>
      </c>
      <c r="V794" s="26" t="s">
        <v>1710</v>
      </c>
      <c r="W794" s="62">
        <v>44816</v>
      </c>
      <c r="X794" s="62">
        <v>45086</v>
      </c>
      <c r="Y794" s="62"/>
      <c r="Z794" s="62"/>
      <c r="AA794" s="22" t="s">
        <v>1106</v>
      </c>
      <c r="AB794" s="23"/>
      <c r="AC794" s="23"/>
      <c r="AD794" s="23"/>
      <c r="AE794" s="23" t="s">
        <v>731</v>
      </c>
      <c r="AF794" s="23" t="s">
        <v>731</v>
      </c>
      <c r="AG794" s="23" t="s">
        <v>731</v>
      </c>
      <c r="AH794" s="23" t="s">
        <v>731</v>
      </c>
      <c r="AI794" s="23" t="s">
        <v>731</v>
      </c>
      <c r="AJ794" s="23" t="s">
        <v>731</v>
      </c>
      <c r="AK794" s="23" t="s">
        <v>731</v>
      </c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42">
        <v>12.88</v>
      </c>
      <c r="AW794" s="42"/>
      <c r="AY794" s="18"/>
      <c r="AZ794" s="18"/>
      <c r="BB794" s="45">
        <v>1</v>
      </c>
      <c r="BC794" s="41">
        <f>IF(AND((AV794/I794)&lt;2,BB794=1),(I794*2)-AV794,0)</f>
        <v>0</v>
      </c>
      <c r="BD794" s="41">
        <f>IF(AND((AV794/I794)&lt;3,BB794=2),(I794*3)-AV794,0)</f>
        <v>0</v>
      </c>
      <c r="BG794" s="18"/>
      <c r="BH794" s="18">
        <v>17</v>
      </c>
      <c r="BI794" s="18">
        <v>25</v>
      </c>
      <c r="BJ794" s="18">
        <v>25</v>
      </c>
      <c r="BK794" s="18">
        <v>18</v>
      </c>
      <c r="BL794" s="18">
        <v>20</v>
      </c>
      <c r="BM794" s="55">
        <f>SUM(AV794:AX794)+SUM(BC794:BD794)+SUM(BE794:BF794)+BG794</f>
        <v>12.88</v>
      </c>
      <c r="BN794" s="55"/>
      <c r="BO794" s="55"/>
      <c r="BP794" s="55"/>
      <c r="BQ794" s="55"/>
      <c r="BR794" s="55"/>
      <c r="BS794" s="55"/>
      <c r="BT794" s="55"/>
      <c r="BU794" s="55"/>
      <c r="BV794" s="55"/>
      <c r="BW794" s="55"/>
      <c r="BX794" s="55"/>
      <c r="BY794" s="55"/>
    </row>
    <row r="795" spans="2:77" ht="33.75">
      <c r="B795" s="89">
        <v>781</v>
      </c>
      <c r="C795" s="93">
        <v>620</v>
      </c>
      <c r="D795" s="93">
        <v>982</v>
      </c>
      <c r="E795" s="94">
        <v>0.62013888888888891</v>
      </c>
      <c r="F795" s="94">
        <v>0.66597222222222219</v>
      </c>
      <c r="G795" s="93" t="s">
        <v>471</v>
      </c>
      <c r="H795" s="93" t="s">
        <v>500</v>
      </c>
      <c r="I795" s="96">
        <v>32.5</v>
      </c>
      <c r="J795" s="97" t="s">
        <v>188</v>
      </c>
      <c r="K795" s="98">
        <v>67</v>
      </c>
      <c r="L795" s="99" t="s">
        <v>734</v>
      </c>
      <c r="M795" s="87" t="s">
        <v>976</v>
      </c>
      <c r="N795" s="87">
        <v>31</v>
      </c>
      <c r="O795" s="83" t="s">
        <v>1936</v>
      </c>
      <c r="P795" s="83">
        <v>54</v>
      </c>
      <c r="R795" s="87"/>
      <c r="S795" s="26" t="s">
        <v>1408</v>
      </c>
      <c r="T795" s="26" t="s">
        <v>1409</v>
      </c>
      <c r="U795" s="26">
        <v>6220</v>
      </c>
      <c r="V795" s="26" t="s">
        <v>1357</v>
      </c>
      <c r="W795" s="63">
        <v>44562</v>
      </c>
      <c r="X795" s="63">
        <v>44815</v>
      </c>
      <c r="Y795" s="63">
        <v>45101</v>
      </c>
      <c r="Z795" s="63">
        <v>45169</v>
      </c>
      <c r="AA795" s="23" t="s">
        <v>1107</v>
      </c>
      <c r="AB795" s="23"/>
      <c r="AC795" s="23" t="s">
        <v>731</v>
      </c>
      <c r="AD795" s="23" t="s">
        <v>731</v>
      </c>
      <c r="AE795" s="23"/>
      <c r="AF795" s="23" t="s">
        <v>731</v>
      </c>
      <c r="AG795" s="23" t="s">
        <v>731</v>
      </c>
      <c r="AH795" s="23" t="s">
        <v>731</v>
      </c>
      <c r="AI795" s="23" t="s">
        <v>731</v>
      </c>
      <c r="AJ795" s="23" t="s">
        <v>731</v>
      </c>
      <c r="AK795" s="23" t="s">
        <v>731</v>
      </c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42">
        <v>97.5</v>
      </c>
      <c r="AW795" s="42"/>
      <c r="AY795" s="18"/>
      <c r="AZ795" s="18"/>
      <c r="BB795" s="45">
        <v>1</v>
      </c>
      <c r="BC795" s="41">
        <f>IF(AND((AV795/I795)&lt;2,BB795=1),(I795*2)-AV795,0)</f>
        <v>0</v>
      </c>
      <c r="BD795" s="41">
        <f>IF(AND((AV795/I795)&lt;3,BB795=2),(I795*3)-AV795,0)</f>
        <v>0</v>
      </c>
      <c r="BG795" s="18"/>
      <c r="BH795" s="18">
        <v>9</v>
      </c>
      <c r="BI795" s="18">
        <v>0</v>
      </c>
      <c r="BJ795" s="18">
        <v>0</v>
      </c>
      <c r="BK795" s="18">
        <v>0</v>
      </c>
      <c r="BL795" s="18">
        <v>0</v>
      </c>
      <c r="BM795" s="55">
        <f>SUM(AV795:AX795)+SUM(BC795:BD795)+SUM(BE795:BF795)+BG795</f>
        <v>97.5</v>
      </c>
      <c r="BN795" s="55"/>
      <c r="BO795" s="55"/>
      <c r="BP795" s="55"/>
      <c r="BQ795" s="55"/>
      <c r="BR795" s="55"/>
      <c r="BS795" s="55"/>
      <c r="BT795" s="55"/>
      <c r="BU795" s="55"/>
      <c r="BV795" s="55"/>
      <c r="BW795" s="55"/>
      <c r="BX795" s="55"/>
      <c r="BY795" s="55"/>
    </row>
    <row r="796" spans="2:77" ht="33.75">
      <c r="B796" s="89">
        <v>782</v>
      </c>
      <c r="C796" s="93">
        <v>620</v>
      </c>
      <c r="D796" s="93">
        <v>982</v>
      </c>
      <c r="E796" s="94">
        <v>0.62013888888888891</v>
      </c>
      <c r="F796" s="94">
        <v>0.66597222222222219</v>
      </c>
      <c r="G796" s="93" t="s">
        <v>471</v>
      </c>
      <c r="H796" s="93" t="s">
        <v>478</v>
      </c>
      <c r="I796" s="96">
        <v>32.5</v>
      </c>
      <c r="J796" s="97" t="s">
        <v>188</v>
      </c>
      <c r="K796" s="98">
        <v>240</v>
      </c>
      <c r="L796" s="99" t="s">
        <v>734</v>
      </c>
      <c r="M796" s="87" t="s">
        <v>976</v>
      </c>
      <c r="N796" s="87">
        <v>31</v>
      </c>
      <c r="O796" s="83" t="s">
        <v>1936</v>
      </c>
      <c r="P796" s="83">
        <v>54</v>
      </c>
      <c r="R796" s="87"/>
      <c r="S796" s="26" t="s">
        <v>1408</v>
      </c>
      <c r="T796" s="26" t="s">
        <v>1409</v>
      </c>
      <c r="U796" s="26">
        <v>6220</v>
      </c>
      <c r="V796" s="26" t="s">
        <v>1357</v>
      </c>
      <c r="W796" s="63">
        <v>44816</v>
      </c>
      <c r="X796" s="63">
        <v>45100</v>
      </c>
      <c r="Y796" s="63"/>
      <c r="Z796" s="63"/>
      <c r="AA796" s="26" t="s">
        <v>1112</v>
      </c>
      <c r="AB796" s="23" t="s">
        <v>731</v>
      </c>
      <c r="AC796" s="23"/>
      <c r="AD796" s="23" t="s">
        <v>731</v>
      </c>
      <c r="AE796" s="23"/>
      <c r="AF796" s="23" t="s">
        <v>731</v>
      </c>
      <c r="AG796" s="23" t="s">
        <v>731</v>
      </c>
      <c r="AH796" s="23" t="s">
        <v>731</v>
      </c>
      <c r="AI796" s="23" t="s">
        <v>731</v>
      </c>
      <c r="AJ796" s="23" t="s">
        <v>731</v>
      </c>
      <c r="AK796" s="23" t="s">
        <v>731</v>
      </c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42">
        <v>97.5</v>
      </c>
      <c r="AW796" s="42"/>
      <c r="AY796" s="18"/>
      <c r="AZ796" s="18"/>
      <c r="BB796" s="45">
        <v>1</v>
      </c>
      <c r="BC796" s="41">
        <f>IF(AND((AV796/I796)&lt;2,BB796=1),(I796*2)-AV796,0)</f>
        <v>0</v>
      </c>
      <c r="BD796" s="41">
        <f>IF(AND((AV796/I796)&lt;3,BB796=2),(I796*3)-AV796,0)</f>
        <v>0</v>
      </c>
      <c r="BG796" s="18"/>
      <c r="BH796" s="18">
        <v>17</v>
      </c>
      <c r="BI796" s="18">
        <v>26</v>
      </c>
      <c r="BJ796" s="18">
        <v>25</v>
      </c>
      <c r="BK796" s="18">
        <v>25</v>
      </c>
      <c r="BL796" s="18">
        <v>25</v>
      </c>
      <c r="BM796" s="55">
        <f>SUM(AV796:AX796)+SUM(BC796:BD796)+SUM(BE796:BF796)+BG796</f>
        <v>97.5</v>
      </c>
      <c r="BN796" s="55"/>
      <c r="BO796" s="55"/>
      <c r="BP796" s="55"/>
      <c r="BQ796" s="55"/>
      <c r="BR796" s="55"/>
      <c r="BS796" s="55"/>
      <c r="BT796" s="55"/>
      <c r="BU796" s="55"/>
      <c r="BV796" s="55"/>
      <c r="BW796" s="55"/>
      <c r="BX796" s="55"/>
      <c r="BY796" s="55"/>
    </row>
    <row r="797" spans="2:77" ht="33.75">
      <c r="B797" s="89">
        <v>783</v>
      </c>
      <c r="C797" s="93">
        <v>620</v>
      </c>
      <c r="D797" s="93">
        <v>984</v>
      </c>
      <c r="E797" s="94">
        <v>0.66180555555555554</v>
      </c>
      <c r="F797" s="94">
        <v>0.69513888888888886</v>
      </c>
      <c r="G797" s="93" t="s">
        <v>529</v>
      </c>
      <c r="H797" s="93" t="s">
        <v>508</v>
      </c>
      <c r="I797" s="96">
        <v>29</v>
      </c>
      <c r="J797" s="97" t="s">
        <v>93</v>
      </c>
      <c r="K797" s="98">
        <v>12</v>
      </c>
      <c r="L797" s="99" t="s">
        <v>777</v>
      </c>
      <c r="M797" s="83" t="s">
        <v>1064</v>
      </c>
      <c r="N797" s="83">
        <v>23</v>
      </c>
      <c r="O797" s="87" t="s">
        <v>872</v>
      </c>
      <c r="P797" s="87">
        <v>23</v>
      </c>
      <c r="Q797" s="87" t="s">
        <v>874</v>
      </c>
      <c r="R797" s="84">
        <v>21</v>
      </c>
      <c r="S797" s="26" t="s">
        <v>1408</v>
      </c>
      <c r="T797" s="26" t="s">
        <v>1409</v>
      </c>
      <c r="U797" s="26">
        <v>6220</v>
      </c>
      <c r="V797" s="26" t="s">
        <v>1357</v>
      </c>
      <c r="W797" s="63">
        <v>44562</v>
      </c>
      <c r="X797" s="63">
        <v>44815</v>
      </c>
      <c r="Y797" s="63">
        <v>45101</v>
      </c>
      <c r="Z797" s="63">
        <v>45169</v>
      </c>
      <c r="AA797" s="22" t="s">
        <v>1119</v>
      </c>
      <c r="AB797" s="23"/>
      <c r="AC797" s="23" t="s">
        <v>731</v>
      </c>
      <c r="AD797" s="23" t="s">
        <v>731</v>
      </c>
      <c r="AE797" s="23"/>
      <c r="AF797" s="23"/>
      <c r="AG797" s="23"/>
      <c r="AH797" s="23"/>
      <c r="AI797" s="23"/>
      <c r="AJ797" s="23"/>
      <c r="AK797" s="23" t="s">
        <v>731</v>
      </c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42">
        <v>87</v>
      </c>
      <c r="AW797" s="42"/>
      <c r="AY797" s="18"/>
      <c r="AZ797" s="18"/>
      <c r="BB797" s="45">
        <v>1</v>
      </c>
      <c r="BC797" s="41">
        <f>IF(AND((AV797/I797)&lt;2,BB797=1),(I797*2)-AV797,0)</f>
        <v>0</v>
      </c>
      <c r="BD797" s="41">
        <f>IF(AND((AV797/I797)&lt;3,BB797=2),(I797*3)-AV797,0)</f>
        <v>0</v>
      </c>
      <c r="BG797" s="18"/>
      <c r="BH797" s="18">
        <v>2</v>
      </c>
      <c r="BI797" s="18">
        <v>0</v>
      </c>
      <c r="BJ797" s="18">
        <v>0</v>
      </c>
      <c r="BK797" s="18">
        <v>0</v>
      </c>
      <c r="BL797" s="18">
        <v>0</v>
      </c>
      <c r="BM797" s="55">
        <f>SUM(AV797:AX797)+SUM(BC797:BD797)+SUM(BE797:BF797)+BG797</f>
        <v>87</v>
      </c>
      <c r="BN797" s="55"/>
      <c r="BO797" s="55"/>
      <c r="BP797" s="55"/>
      <c r="BQ797" s="55"/>
      <c r="BR797" s="55"/>
      <c r="BS797" s="55"/>
      <c r="BT797" s="55"/>
      <c r="BU797" s="55"/>
      <c r="BV797" s="55"/>
      <c r="BW797" s="55"/>
      <c r="BX797" s="55"/>
      <c r="BY797" s="55"/>
    </row>
    <row r="798" spans="2:77" ht="25.5">
      <c r="B798" s="89">
        <v>784</v>
      </c>
      <c r="C798" s="93">
        <v>620</v>
      </c>
      <c r="D798" s="93">
        <v>979</v>
      </c>
      <c r="E798" s="94">
        <v>0.66875000000000007</v>
      </c>
      <c r="F798" s="94">
        <v>0.71458333333333324</v>
      </c>
      <c r="G798" s="93" t="s">
        <v>473</v>
      </c>
      <c r="H798" s="93" t="s">
        <v>500</v>
      </c>
      <c r="I798" s="96">
        <v>32.5</v>
      </c>
      <c r="J798" s="97" t="s">
        <v>188</v>
      </c>
      <c r="K798" s="98">
        <v>67</v>
      </c>
      <c r="L798" s="99" t="s">
        <v>734</v>
      </c>
      <c r="M798" s="87" t="s">
        <v>976</v>
      </c>
      <c r="N798" s="87">
        <v>31</v>
      </c>
      <c r="O798" s="83" t="s">
        <v>1936</v>
      </c>
      <c r="P798" s="83">
        <v>54</v>
      </c>
      <c r="R798" s="87"/>
      <c r="S798" s="26">
        <v>6220</v>
      </c>
      <c r="T798" s="26" t="s">
        <v>1357</v>
      </c>
      <c r="U798" s="26" t="s">
        <v>1408</v>
      </c>
      <c r="V798" s="26" t="s">
        <v>1409</v>
      </c>
      <c r="W798" s="63">
        <v>44562</v>
      </c>
      <c r="X798" s="63">
        <v>44815</v>
      </c>
      <c r="Y798" s="63">
        <v>45101</v>
      </c>
      <c r="Z798" s="63">
        <v>45169</v>
      </c>
      <c r="AA798" s="23" t="s">
        <v>1107</v>
      </c>
      <c r="AB798" s="23"/>
      <c r="AC798" s="23" t="s">
        <v>731</v>
      </c>
      <c r="AD798" s="23" t="s">
        <v>731</v>
      </c>
      <c r="AE798" s="23"/>
      <c r="AF798" s="23" t="s">
        <v>731</v>
      </c>
      <c r="AG798" s="23" t="s">
        <v>731</v>
      </c>
      <c r="AH798" s="23" t="s">
        <v>731</v>
      </c>
      <c r="AI798" s="23" t="s">
        <v>731</v>
      </c>
      <c r="AJ798" s="23" t="s">
        <v>731</v>
      </c>
      <c r="AK798" s="23" t="s">
        <v>731</v>
      </c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42">
        <v>97.5</v>
      </c>
      <c r="AW798" s="42"/>
      <c r="AY798" s="18"/>
      <c r="AZ798" s="18"/>
      <c r="BB798" s="45">
        <v>1</v>
      </c>
      <c r="BC798" s="41">
        <f>IF(AND((AV798/I798)&lt;2,BB798=1),(I798*2)-AV798,0)</f>
        <v>0</v>
      </c>
      <c r="BD798" s="41">
        <f>IF(AND((AV798/I798)&lt;3,BB798=2),(I798*3)-AV798,0)</f>
        <v>0</v>
      </c>
      <c r="BG798" s="18"/>
      <c r="BH798" s="18">
        <v>9</v>
      </c>
      <c r="BI798" s="18">
        <v>0</v>
      </c>
      <c r="BJ798" s="18">
        <v>0</v>
      </c>
      <c r="BK798" s="18">
        <v>0</v>
      </c>
      <c r="BL798" s="18">
        <v>0</v>
      </c>
      <c r="BM798" s="55">
        <f>SUM(AV798:AX798)+SUM(BC798:BD798)+SUM(BE798:BF798)+BG798</f>
        <v>97.5</v>
      </c>
      <c r="BN798" s="55"/>
      <c r="BO798" s="55"/>
      <c r="BP798" s="55"/>
      <c r="BQ798" s="55"/>
      <c r="BR798" s="55"/>
      <c r="BS798" s="55"/>
      <c r="BT798" s="55"/>
      <c r="BU798" s="55"/>
      <c r="BV798" s="55"/>
      <c r="BW798" s="55"/>
      <c r="BX798" s="55"/>
      <c r="BY798" s="55"/>
    </row>
    <row r="799" spans="2:77" ht="25.5">
      <c r="B799" s="89">
        <v>785</v>
      </c>
      <c r="C799" s="93">
        <v>620</v>
      </c>
      <c r="D799" s="93">
        <v>979</v>
      </c>
      <c r="E799" s="94">
        <v>0.66875000000000007</v>
      </c>
      <c r="F799" s="94">
        <v>0.71458333333333324</v>
      </c>
      <c r="G799" s="93" t="s">
        <v>473</v>
      </c>
      <c r="H799" s="93" t="s">
        <v>478</v>
      </c>
      <c r="I799" s="96">
        <v>32.5</v>
      </c>
      <c r="J799" s="97" t="s">
        <v>188</v>
      </c>
      <c r="K799" s="98">
        <v>240</v>
      </c>
      <c r="L799" s="99" t="s">
        <v>734</v>
      </c>
      <c r="M799" s="87" t="s">
        <v>976</v>
      </c>
      <c r="N799" s="87">
        <v>31</v>
      </c>
      <c r="O799" s="83" t="s">
        <v>1936</v>
      </c>
      <c r="P799" s="83">
        <v>54</v>
      </c>
      <c r="R799" s="87"/>
      <c r="S799" s="26">
        <v>6220</v>
      </c>
      <c r="T799" s="26" t="s">
        <v>1357</v>
      </c>
      <c r="U799" s="26" t="s">
        <v>1408</v>
      </c>
      <c r="V799" s="26" t="s">
        <v>1409</v>
      </c>
      <c r="W799" s="63">
        <v>44816</v>
      </c>
      <c r="X799" s="63">
        <v>45100</v>
      </c>
      <c r="Y799" s="63"/>
      <c r="Z799" s="63"/>
      <c r="AA799" s="26" t="s">
        <v>1112</v>
      </c>
      <c r="AB799" s="23" t="s">
        <v>731</v>
      </c>
      <c r="AC799" s="23"/>
      <c r="AD799" s="23" t="s">
        <v>731</v>
      </c>
      <c r="AE799" s="23"/>
      <c r="AF799" s="23" t="s">
        <v>731</v>
      </c>
      <c r="AG799" s="23" t="s">
        <v>731</v>
      </c>
      <c r="AH799" s="23" t="s">
        <v>731</v>
      </c>
      <c r="AI799" s="23" t="s">
        <v>731</v>
      </c>
      <c r="AJ799" s="23" t="s">
        <v>731</v>
      </c>
      <c r="AK799" s="23" t="s">
        <v>731</v>
      </c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42">
        <v>97.5</v>
      </c>
      <c r="AW799" s="42"/>
      <c r="AY799" s="18"/>
      <c r="AZ799" s="18"/>
      <c r="BB799" s="45">
        <v>1</v>
      </c>
      <c r="BC799" s="41">
        <f>IF(AND((AV799/I799)&lt;2,BB799=1),(I799*2)-AV799,0)</f>
        <v>0</v>
      </c>
      <c r="BD799" s="41">
        <f>IF(AND((AV799/I799)&lt;3,BB799=2),(I799*3)-AV799,0)</f>
        <v>0</v>
      </c>
      <c r="BG799" s="18"/>
      <c r="BH799" s="18">
        <v>17</v>
      </c>
      <c r="BI799" s="18">
        <v>26</v>
      </c>
      <c r="BJ799" s="18">
        <v>25</v>
      </c>
      <c r="BK799" s="18">
        <v>25</v>
      </c>
      <c r="BL799" s="18">
        <v>25</v>
      </c>
      <c r="BM799" s="55">
        <f>SUM(AV799:AX799)+SUM(BC799:BD799)+SUM(BE799:BF799)+BG799</f>
        <v>97.5</v>
      </c>
      <c r="BN799" s="55"/>
      <c r="BO799" s="55"/>
      <c r="BP799" s="55"/>
      <c r="BQ799" s="55"/>
      <c r="BR799" s="55"/>
      <c r="BS799" s="55"/>
      <c r="BT799" s="55"/>
      <c r="BU799" s="55"/>
      <c r="BV799" s="55"/>
      <c r="BW799" s="55"/>
      <c r="BX799" s="55"/>
      <c r="BY799" s="55"/>
    </row>
    <row r="800" spans="2:77" ht="25.5">
      <c r="B800" s="89">
        <v>786</v>
      </c>
      <c r="C800" s="93">
        <v>620</v>
      </c>
      <c r="D800" s="93">
        <v>226</v>
      </c>
      <c r="E800" s="94">
        <v>0.70277777777777783</v>
      </c>
      <c r="F800" s="94">
        <v>0.71458333333333324</v>
      </c>
      <c r="G800" s="93" t="s">
        <v>563</v>
      </c>
      <c r="H800" s="93" t="s">
        <v>103</v>
      </c>
      <c r="I800" s="96">
        <v>9.4</v>
      </c>
      <c r="J800" s="97" t="s">
        <v>93</v>
      </c>
      <c r="K800" s="98">
        <v>174</v>
      </c>
      <c r="L800" s="99" t="s">
        <v>735</v>
      </c>
      <c r="M800" s="83" t="s">
        <v>904</v>
      </c>
      <c r="N800" s="87">
        <v>21</v>
      </c>
      <c r="O800" s="83" t="s">
        <v>1933</v>
      </c>
      <c r="P800" s="87">
        <v>24</v>
      </c>
      <c r="R800" s="87"/>
      <c r="S800" s="26">
        <v>6140</v>
      </c>
      <c r="T800" s="26" t="s">
        <v>1698</v>
      </c>
      <c r="U800" s="26">
        <v>6143</v>
      </c>
      <c r="V800" s="26" t="s">
        <v>1708</v>
      </c>
      <c r="W800" s="62">
        <v>44816</v>
      </c>
      <c r="X800" s="62">
        <v>45086</v>
      </c>
      <c r="Y800" s="62"/>
      <c r="Z800" s="62"/>
      <c r="AA800" s="22" t="s">
        <v>1102</v>
      </c>
      <c r="AB800" s="23"/>
      <c r="AC800" s="23"/>
      <c r="AD800" s="23"/>
      <c r="AE800" s="23" t="s">
        <v>731</v>
      </c>
      <c r="AF800" s="23" t="s">
        <v>731</v>
      </c>
      <c r="AG800" s="23" t="s">
        <v>731</v>
      </c>
      <c r="AH800" s="23" t="s">
        <v>731</v>
      </c>
      <c r="AI800" s="23" t="s">
        <v>731</v>
      </c>
      <c r="AJ800" s="23" t="s">
        <v>731</v>
      </c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42">
        <v>34.200000000000003</v>
      </c>
      <c r="AW800" s="42"/>
      <c r="AY800" s="18"/>
      <c r="AZ800" s="18"/>
      <c r="BB800" s="45">
        <v>1</v>
      </c>
      <c r="BC800" s="41">
        <f>IF(AND((AV800/I800)&lt;2,BB800=1),(I800*2)-AV800,0)</f>
        <v>0</v>
      </c>
      <c r="BD800" s="41">
        <f>IF(AND((AV800/I800)&lt;3,BB800=2),(I800*3)-AV800,0)</f>
        <v>0</v>
      </c>
      <c r="BG800" s="18"/>
      <c r="BH800" s="18">
        <v>15</v>
      </c>
      <c r="BI800" s="18">
        <v>20</v>
      </c>
      <c r="BJ800" s="18">
        <v>21</v>
      </c>
      <c r="BK800" s="18">
        <v>15</v>
      </c>
      <c r="BL800" s="18">
        <v>17</v>
      </c>
      <c r="BM800" s="55">
        <f>SUM(AV800:AX800)+SUM(BC800:BD800)+SUM(BE800:BF800)+BG800</f>
        <v>34.200000000000003</v>
      </c>
      <c r="BN800" s="55"/>
      <c r="BO800" s="55"/>
      <c r="BP800" s="55"/>
      <c r="BQ800" s="55"/>
      <c r="BR800" s="55"/>
      <c r="BS800" s="55"/>
      <c r="BT800" s="55"/>
      <c r="BU800" s="55"/>
      <c r="BV800" s="55"/>
      <c r="BW800" s="55"/>
      <c r="BX800" s="55"/>
      <c r="BY800" s="55"/>
    </row>
    <row r="801" spans="2:77" ht="33.75">
      <c r="B801" s="89">
        <v>787</v>
      </c>
      <c r="C801" s="93">
        <v>620</v>
      </c>
      <c r="D801" s="93">
        <v>228</v>
      </c>
      <c r="E801" s="94">
        <v>0.74305555555555547</v>
      </c>
      <c r="F801" s="105">
        <v>0.77222222222222225</v>
      </c>
      <c r="G801" s="93" t="s">
        <v>472</v>
      </c>
      <c r="H801" s="93" t="s">
        <v>475</v>
      </c>
      <c r="I801" s="96">
        <v>26</v>
      </c>
      <c r="J801" s="97" t="s">
        <v>188</v>
      </c>
      <c r="K801" s="98">
        <v>38</v>
      </c>
      <c r="L801" s="99" t="s">
        <v>734</v>
      </c>
      <c r="M801" s="87" t="s">
        <v>976</v>
      </c>
      <c r="N801" s="87">
        <v>31</v>
      </c>
      <c r="O801" s="83" t="s">
        <v>1936</v>
      </c>
      <c r="P801" s="83">
        <v>54</v>
      </c>
      <c r="R801" s="87"/>
      <c r="S801" s="26">
        <v>6120</v>
      </c>
      <c r="T801" s="26" t="s">
        <v>1314</v>
      </c>
      <c r="U801" s="26">
        <v>6220</v>
      </c>
      <c r="V801" s="26" t="s">
        <v>1357</v>
      </c>
      <c r="W801" s="63">
        <v>44816</v>
      </c>
      <c r="X801" s="63">
        <v>45100</v>
      </c>
      <c r="Y801" s="63"/>
      <c r="Z801" s="63"/>
      <c r="AA801" s="23" t="s">
        <v>1127</v>
      </c>
      <c r="AB801" s="23" t="s">
        <v>731</v>
      </c>
      <c r="AC801" s="23"/>
      <c r="AD801" s="23" t="s">
        <v>731</v>
      </c>
      <c r="AE801" s="23"/>
      <c r="AF801" s="23"/>
      <c r="AG801" s="23"/>
      <c r="AH801" s="23"/>
      <c r="AI801" s="23"/>
      <c r="AJ801" s="23"/>
      <c r="AK801" s="23" t="s">
        <v>731</v>
      </c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42">
        <v>78</v>
      </c>
      <c r="AW801" s="42"/>
      <c r="AY801" s="18"/>
      <c r="AZ801" s="18"/>
      <c r="BB801" s="45">
        <v>1</v>
      </c>
      <c r="BC801" s="41">
        <f>IF(AND((AV801/I801)&lt;2,BB801=1),(I801*2)-AV801,0)</f>
        <v>0</v>
      </c>
      <c r="BD801" s="41">
        <f>IF(AND((AV801/I801)&lt;3,BB801=2),(I801*3)-AV801,0)</f>
        <v>0</v>
      </c>
      <c r="BG801" s="18"/>
      <c r="BH801" s="18">
        <v>2</v>
      </c>
      <c r="BI801" s="18">
        <v>5</v>
      </c>
      <c r="BJ801" s="18">
        <v>4</v>
      </c>
      <c r="BK801" s="18">
        <v>5</v>
      </c>
      <c r="BL801" s="18">
        <v>4</v>
      </c>
      <c r="BM801" s="55">
        <f>SUM(AV801:AX801)+SUM(BC801:BD801)+SUM(BE801:BF801)+BG801</f>
        <v>78</v>
      </c>
      <c r="BN801" s="55"/>
      <c r="BO801" s="55"/>
      <c r="BP801" s="55"/>
      <c r="BQ801" s="55"/>
      <c r="BR801" s="55"/>
      <c r="BS801" s="55"/>
      <c r="BT801" s="55"/>
      <c r="BU801" s="55"/>
      <c r="BV801" s="55"/>
      <c r="BW801" s="55"/>
      <c r="BX801" s="55"/>
      <c r="BY801" s="55"/>
    </row>
    <row r="802" spans="2:77" ht="33.75">
      <c r="B802" s="89">
        <v>788</v>
      </c>
      <c r="C802" s="93">
        <v>620</v>
      </c>
      <c r="D802" s="93">
        <v>228</v>
      </c>
      <c r="E802" s="94">
        <v>0.74305555555555547</v>
      </c>
      <c r="F802" s="94">
        <v>0.77013888888888893</v>
      </c>
      <c r="G802" s="93" t="s">
        <v>507</v>
      </c>
      <c r="H802" s="93" t="s">
        <v>508</v>
      </c>
      <c r="I802" s="96">
        <v>26</v>
      </c>
      <c r="J802" s="97" t="s">
        <v>188</v>
      </c>
      <c r="K802" s="98">
        <v>12</v>
      </c>
      <c r="L802" s="99" t="s">
        <v>734</v>
      </c>
      <c r="M802" s="87" t="s">
        <v>976</v>
      </c>
      <c r="N802" s="87">
        <v>31</v>
      </c>
      <c r="O802" s="83" t="s">
        <v>1936</v>
      </c>
      <c r="P802" s="83">
        <v>54</v>
      </c>
      <c r="R802" s="87"/>
      <c r="S802" s="26">
        <v>6120</v>
      </c>
      <c r="T802" s="26" t="s">
        <v>1314</v>
      </c>
      <c r="U802" s="26">
        <v>6220</v>
      </c>
      <c r="V802" s="26" t="s">
        <v>1357</v>
      </c>
      <c r="W802" s="63">
        <v>44562</v>
      </c>
      <c r="X802" s="63">
        <v>44815</v>
      </c>
      <c r="Y802" s="63">
        <v>45101</v>
      </c>
      <c r="Z802" s="63">
        <v>45169</v>
      </c>
      <c r="AA802" s="22" t="s">
        <v>1119</v>
      </c>
      <c r="AB802" s="23"/>
      <c r="AC802" s="23" t="s">
        <v>731</v>
      </c>
      <c r="AD802" s="23" t="s">
        <v>731</v>
      </c>
      <c r="AE802" s="23"/>
      <c r="AF802" s="23"/>
      <c r="AG802" s="23"/>
      <c r="AH802" s="23"/>
      <c r="AI802" s="23"/>
      <c r="AJ802" s="23"/>
      <c r="AK802" s="23" t="s">
        <v>731</v>
      </c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42">
        <v>78</v>
      </c>
      <c r="AW802" s="42"/>
      <c r="AY802" s="18"/>
      <c r="AZ802" s="18"/>
      <c r="BB802" s="45">
        <v>1</v>
      </c>
      <c r="BC802" s="41">
        <f>IF(AND((AV802/I802)&lt;2,BB802=1),(I802*2)-AV802,0)</f>
        <v>0</v>
      </c>
      <c r="BD802" s="41">
        <f>IF(AND((AV802/I802)&lt;3,BB802=2),(I802*3)-AV802,0)</f>
        <v>0</v>
      </c>
      <c r="BG802" s="18"/>
      <c r="BH802" s="18">
        <v>2</v>
      </c>
      <c r="BI802" s="18">
        <v>0</v>
      </c>
      <c r="BJ802" s="18">
        <v>0</v>
      </c>
      <c r="BK802" s="18">
        <v>0</v>
      </c>
      <c r="BL802" s="18">
        <v>0</v>
      </c>
      <c r="BM802" s="55">
        <f>SUM(AV802:AX802)+SUM(BC802:BD802)+SUM(BE802:BF802)+BG802</f>
        <v>78</v>
      </c>
      <c r="BN802" s="55"/>
      <c r="BO802" s="55"/>
      <c r="BP802" s="55"/>
      <c r="BQ802" s="55"/>
      <c r="BR802" s="55"/>
      <c r="BS802" s="55"/>
      <c r="BT802" s="55"/>
      <c r="BU802" s="55"/>
      <c r="BV802" s="55"/>
      <c r="BW802" s="55"/>
      <c r="BX802" s="55"/>
      <c r="BY802" s="55"/>
    </row>
    <row r="803" spans="2:77" ht="33.75">
      <c r="B803" s="89">
        <v>789</v>
      </c>
      <c r="C803" s="93">
        <v>620</v>
      </c>
      <c r="D803" s="93">
        <v>988</v>
      </c>
      <c r="E803" s="94">
        <v>0.77222222222222225</v>
      </c>
      <c r="F803" s="94">
        <v>0.79652777777777783</v>
      </c>
      <c r="G803" s="93" t="s">
        <v>526</v>
      </c>
      <c r="H803" s="93" t="s">
        <v>478</v>
      </c>
      <c r="I803" s="96">
        <v>16</v>
      </c>
      <c r="J803" s="97" t="s">
        <v>93</v>
      </c>
      <c r="K803" s="98">
        <v>240</v>
      </c>
      <c r="L803" s="99" t="s">
        <v>734</v>
      </c>
      <c r="M803" s="87" t="s">
        <v>905</v>
      </c>
      <c r="N803" s="87">
        <v>21</v>
      </c>
      <c r="O803" s="83" t="s">
        <v>976</v>
      </c>
      <c r="P803" s="83">
        <v>31</v>
      </c>
      <c r="Q803" s="87" t="s">
        <v>1936</v>
      </c>
      <c r="R803" s="83">
        <v>54</v>
      </c>
      <c r="S803" s="26">
        <v>6120</v>
      </c>
      <c r="T803" s="26" t="s">
        <v>1314</v>
      </c>
      <c r="U803" s="26">
        <v>6147</v>
      </c>
      <c r="V803" s="26" t="s">
        <v>1711</v>
      </c>
      <c r="W803" s="63">
        <v>44816</v>
      </c>
      <c r="X803" s="63">
        <v>45100</v>
      </c>
      <c r="Y803" s="63"/>
      <c r="Z803" s="63"/>
      <c r="AA803" s="26" t="s">
        <v>1112</v>
      </c>
      <c r="AB803" s="23" t="s">
        <v>731</v>
      </c>
      <c r="AC803" s="23"/>
      <c r="AD803" s="23" t="s">
        <v>731</v>
      </c>
      <c r="AE803" s="23"/>
      <c r="AF803" s="23" t="s">
        <v>731</v>
      </c>
      <c r="AG803" s="23" t="s">
        <v>731</v>
      </c>
      <c r="AH803" s="23" t="s">
        <v>731</v>
      </c>
      <c r="AI803" s="23" t="s">
        <v>731</v>
      </c>
      <c r="AJ803" s="23" t="s">
        <v>731</v>
      </c>
      <c r="AK803" s="23" t="s">
        <v>731</v>
      </c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42">
        <v>48</v>
      </c>
      <c r="AW803" s="42"/>
      <c r="AY803" s="18"/>
      <c r="AZ803" s="18"/>
      <c r="BB803" s="45">
        <v>1</v>
      </c>
      <c r="BC803" s="41">
        <f>IF(AND((AV803/I803)&lt;2,BB803=1),(I803*2)-AV803,0)</f>
        <v>0</v>
      </c>
      <c r="BD803" s="41">
        <f>IF(AND((AV803/I803)&lt;3,BB803=2),(I803*3)-AV803,0)</f>
        <v>0</v>
      </c>
      <c r="BG803" s="18"/>
      <c r="BH803" s="18">
        <v>17</v>
      </c>
      <c r="BI803" s="18">
        <v>26</v>
      </c>
      <c r="BJ803" s="18">
        <v>25</v>
      </c>
      <c r="BK803" s="18">
        <v>25</v>
      </c>
      <c r="BL803" s="18">
        <v>25</v>
      </c>
      <c r="BM803" s="55">
        <f>SUM(AV803:AX803)+SUM(BC803:BD803)+SUM(BE803:BF803)+BG803</f>
        <v>48</v>
      </c>
      <c r="BN803" s="55"/>
      <c r="BO803" s="55"/>
      <c r="BP803" s="55"/>
      <c r="BQ803" s="55"/>
      <c r="BR803" s="55"/>
      <c r="BS803" s="55"/>
      <c r="BT803" s="55"/>
      <c r="BU803" s="55"/>
      <c r="BV803" s="55"/>
      <c r="BW803" s="55"/>
      <c r="BX803" s="55"/>
      <c r="BY803" s="55"/>
    </row>
    <row r="804" spans="2:77" ht="33.75">
      <c r="B804" s="89">
        <v>790</v>
      </c>
      <c r="C804" s="93">
        <v>620</v>
      </c>
      <c r="D804" s="93">
        <v>988</v>
      </c>
      <c r="E804" s="94">
        <v>0.77430555555555547</v>
      </c>
      <c r="F804" s="94">
        <v>0.79861111111111116</v>
      </c>
      <c r="G804" s="93" t="s">
        <v>506</v>
      </c>
      <c r="H804" s="93" t="s">
        <v>500</v>
      </c>
      <c r="I804" s="96">
        <v>16</v>
      </c>
      <c r="J804" s="97" t="s">
        <v>93</v>
      </c>
      <c r="K804" s="98">
        <v>67</v>
      </c>
      <c r="L804" s="99" t="s">
        <v>734</v>
      </c>
      <c r="M804" s="87" t="s">
        <v>907</v>
      </c>
      <c r="N804" s="87">
        <v>21</v>
      </c>
      <c r="O804" s="83" t="s">
        <v>905</v>
      </c>
      <c r="P804" s="83">
        <v>21</v>
      </c>
      <c r="R804" s="87"/>
      <c r="S804" s="26">
        <v>6120</v>
      </c>
      <c r="T804" s="26" t="s">
        <v>1314</v>
      </c>
      <c r="U804" s="26">
        <v>6147</v>
      </c>
      <c r="V804" s="26" t="s">
        <v>1711</v>
      </c>
      <c r="W804" s="63">
        <v>44562</v>
      </c>
      <c r="X804" s="63">
        <v>44815</v>
      </c>
      <c r="Y804" s="63">
        <v>45101</v>
      </c>
      <c r="Z804" s="63">
        <v>45169</v>
      </c>
      <c r="AA804" s="23" t="s">
        <v>1107</v>
      </c>
      <c r="AB804" s="23"/>
      <c r="AC804" s="23" t="s">
        <v>731</v>
      </c>
      <c r="AD804" s="23" t="s">
        <v>731</v>
      </c>
      <c r="AE804" s="23"/>
      <c r="AF804" s="23" t="s">
        <v>731</v>
      </c>
      <c r="AG804" s="23" t="s">
        <v>731</v>
      </c>
      <c r="AH804" s="23" t="s">
        <v>731</v>
      </c>
      <c r="AI804" s="23" t="s">
        <v>731</v>
      </c>
      <c r="AJ804" s="23" t="s">
        <v>731</v>
      </c>
      <c r="AK804" s="23" t="s">
        <v>731</v>
      </c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42">
        <v>48</v>
      </c>
      <c r="AW804" s="42"/>
      <c r="AY804" s="18"/>
      <c r="AZ804" s="18"/>
      <c r="BB804" s="45">
        <v>1</v>
      </c>
      <c r="BC804" s="41">
        <f>IF(AND((AV804/I804)&lt;2,BB804=1),(I804*2)-AV804,0)</f>
        <v>0</v>
      </c>
      <c r="BD804" s="41">
        <f>IF(AND((AV804/I804)&lt;3,BB804=2),(I804*3)-AV804,0)</f>
        <v>0</v>
      </c>
      <c r="BG804" s="18"/>
      <c r="BH804" s="18">
        <v>9</v>
      </c>
      <c r="BI804" s="18">
        <v>0</v>
      </c>
      <c r="BJ804" s="18">
        <v>0</v>
      </c>
      <c r="BK804" s="18">
        <v>0</v>
      </c>
      <c r="BL804" s="18">
        <v>0</v>
      </c>
      <c r="BM804" s="55">
        <f>SUM(AV804:AX804)+SUM(BC804:BD804)+SUM(BE804:BF804)+BG804</f>
        <v>48</v>
      </c>
      <c r="BN804" s="55"/>
      <c r="BO804" s="55"/>
      <c r="BP804" s="55"/>
      <c r="BQ804" s="55"/>
      <c r="BR804" s="55"/>
      <c r="BS804" s="55"/>
      <c r="BT804" s="55"/>
      <c r="BU804" s="55"/>
      <c r="BV804" s="55"/>
      <c r="BW804" s="55"/>
      <c r="BX804" s="55"/>
      <c r="BY804" s="55"/>
    </row>
    <row r="805" spans="2:77" ht="25.5">
      <c r="B805" s="89">
        <v>791</v>
      </c>
      <c r="C805" s="93">
        <v>620</v>
      </c>
      <c r="D805" s="93">
        <v>983</v>
      </c>
      <c r="E805" s="94">
        <v>0.79513888888888884</v>
      </c>
      <c r="F805" s="94">
        <v>0.84027777777777779</v>
      </c>
      <c r="G805" s="93" t="s">
        <v>473</v>
      </c>
      <c r="H805" s="93" t="s">
        <v>508</v>
      </c>
      <c r="I805" s="96">
        <v>32.5</v>
      </c>
      <c r="J805" s="97" t="s">
        <v>188</v>
      </c>
      <c r="K805" s="98">
        <v>12</v>
      </c>
      <c r="L805" s="99" t="s">
        <v>734</v>
      </c>
      <c r="M805" s="87" t="s">
        <v>976</v>
      </c>
      <c r="N805" s="87">
        <v>31</v>
      </c>
      <c r="O805" s="83" t="s">
        <v>1936</v>
      </c>
      <c r="P805" s="83">
        <v>54</v>
      </c>
      <c r="R805" s="87"/>
      <c r="S805" s="26">
        <v>6220</v>
      </c>
      <c r="T805" s="26" t="s">
        <v>1357</v>
      </c>
      <c r="U805" s="26" t="s">
        <v>1408</v>
      </c>
      <c r="V805" s="26" t="s">
        <v>1409</v>
      </c>
      <c r="W805" s="63">
        <v>44562</v>
      </c>
      <c r="X805" s="63">
        <v>44815</v>
      </c>
      <c r="Y805" s="63">
        <v>45101</v>
      </c>
      <c r="Z805" s="63">
        <v>45169</v>
      </c>
      <c r="AA805" s="22" t="s">
        <v>1119</v>
      </c>
      <c r="AB805" s="23"/>
      <c r="AC805" s="23" t="s">
        <v>731</v>
      </c>
      <c r="AD805" s="23" t="s">
        <v>731</v>
      </c>
      <c r="AE805" s="23"/>
      <c r="AF805" s="23"/>
      <c r="AG805" s="23"/>
      <c r="AH805" s="23"/>
      <c r="AI805" s="23"/>
      <c r="AJ805" s="23"/>
      <c r="AK805" s="23" t="s">
        <v>731</v>
      </c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42">
        <v>97.5</v>
      </c>
      <c r="AW805" s="42"/>
      <c r="AY805" s="18"/>
      <c r="AZ805" s="18"/>
      <c r="BB805" s="45">
        <v>1</v>
      </c>
      <c r="BC805" s="41">
        <f>IF(AND((AV805/I805)&lt;2,BB805=1),(I805*2)-AV805,0)</f>
        <v>0</v>
      </c>
      <c r="BD805" s="41">
        <f>IF(AND((AV805/I805)&lt;3,BB805=2),(I805*3)-AV805,0)</f>
        <v>0</v>
      </c>
      <c r="BG805" s="18"/>
      <c r="BH805" s="18">
        <v>2</v>
      </c>
      <c r="BI805" s="18">
        <v>0</v>
      </c>
      <c r="BJ805" s="18">
        <v>0</v>
      </c>
      <c r="BK805" s="18">
        <v>0</v>
      </c>
      <c r="BL805" s="18">
        <v>0</v>
      </c>
      <c r="BM805" s="55">
        <f>SUM(AV805:AX805)+SUM(BC805:BD805)+SUM(BE805:BF805)+BG805</f>
        <v>97.5</v>
      </c>
      <c r="BN805" s="55"/>
      <c r="BO805" s="55"/>
      <c r="BP805" s="55"/>
      <c r="BQ805" s="55"/>
      <c r="BR805" s="55"/>
      <c r="BS805" s="55"/>
      <c r="BT805" s="55"/>
      <c r="BU805" s="55"/>
      <c r="BV805" s="55"/>
      <c r="BW805" s="55"/>
      <c r="BX805" s="55"/>
      <c r="BY805" s="55"/>
    </row>
    <row r="806" spans="2:77" ht="25.5">
      <c r="B806" s="89">
        <v>792</v>
      </c>
      <c r="C806" s="93">
        <v>620</v>
      </c>
      <c r="D806" s="93">
        <v>983</v>
      </c>
      <c r="E806" s="94">
        <v>0.79513888888888884</v>
      </c>
      <c r="F806" s="94">
        <v>0.84097222222222223</v>
      </c>
      <c r="G806" s="93" t="s">
        <v>473</v>
      </c>
      <c r="H806" s="93" t="s">
        <v>97</v>
      </c>
      <c r="I806" s="96">
        <v>32.5</v>
      </c>
      <c r="J806" s="97" t="s">
        <v>188</v>
      </c>
      <c r="K806" s="98">
        <v>208</v>
      </c>
      <c r="L806" s="99" t="s">
        <v>734</v>
      </c>
      <c r="M806" s="87" t="s">
        <v>905</v>
      </c>
      <c r="N806" s="87">
        <v>21</v>
      </c>
      <c r="O806" s="87" t="s">
        <v>976</v>
      </c>
      <c r="P806" s="87">
        <v>31</v>
      </c>
      <c r="Q806" s="87" t="s">
        <v>907</v>
      </c>
      <c r="R806" s="87">
        <v>21</v>
      </c>
      <c r="S806" s="26">
        <v>6220</v>
      </c>
      <c r="T806" s="26" t="s">
        <v>1357</v>
      </c>
      <c r="U806" s="26" t="s">
        <v>1408</v>
      </c>
      <c r="V806" s="26" t="s">
        <v>1409</v>
      </c>
      <c r="W806" s="62">
        <v>44816</v>
      </c>
      <c r="X806" s="62">
        <v>45086</v>
      </c>
      <c r="Y806" s="62"/>
      <c r="Z806" s="62"/>
      <c r="AA806" s="22" t="s">
        <v>1106</v>
      </c>
      <c r="AB806" s="23"/>
      <c r="AC806" s="23"/>
      <c r="AD806" s="23"/>
      <c r="AE806" s="23" t="s">
        <v>731</v>
      </c>
      <c r="AF806" s="23" t="s">
        <v>731</v>
      </c>
      <c r="AG806" s="23" t="s">
        <v>731</v>
      </c>
      <c r="AH806" s="23" t="s">
        <v>731</v>
      </c>
      <c r="AI806" s="23" t="s">
        <v>731</v>
      </c>
      <c r="AJ806" s="23" t="s">
        <v>731</v>
      </c>
      <c r="AK806" s="23" t="s">
        <v>731</v>
      </c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42">
        <v>97.5</v>
      </c>
      <c r="AW806" s="42"/>
      <c r="AY806" s="18"/>
      <c r="AZ806" s="18"/>
      <c r="BB806" s="45">
        <v>1</v>
      </c>
      <c r="BC806" s="41">
        <f>IF(AND((AV806/I806)&lt;2,BB806=1),(I806*2)-AV806,0)</f>
        <v>0</v>
      </c>
      <c r="BD806" s="41">
        <f>IF(AND((AV806/I806)&lt;3,BB806=2),(I806*3)-AV806,0)</f>
        <v>0</v>
      </c>
      <c r="BG806" s="18"/>
      <c r="BH806" s="18">
        <v>17</v>
      </c>
      <c r="BI806" s="18">
        <v>25</v>
      </c>
      <c r="BJ806" s="18">
        <v>25</v>
      </c>
      <c r="BK806" s="18">
        <v>18</v>
      </c>
      <c r="BL806" s="18">
        <v>20</v>
      </c>
      <c r="BM806" s="55">
        <f>SUM(AV806:AX806)+SUM(BC806:BD806)+SUM(BE806:BF806)+BG806</f>
        <v>97.5</v>
      </c>
      <c r="BN806" s="55"/>
      <c r="BO806" s="55"/>
      <c r="BP806" s="55"/>
      <c r="BQ806" s="55"/>
      <c r="BR806" s="55"/>
      <c r="BS806" s="55"/>
      <c r="BT806" s="55"/>
      <c r="BU806" s="55"/>
      <c r="BV806" s="55"/>
      <c r="BW806" s="55"/>
      <c r="BX806" s="55"/>
      <c r="BY806" s="55"/>
    </row>
    <row r="807" spans="2:77" ht="33.75">
      <c r="B807" s="89">
        <v>793</v>
      </c>
      <c r="C807" s="93">
        <v>620</v>
      </c>
      <c r="D807" s="93">
        <v>214</v>
      </c>
      <c r="E807" s="94">
        <v>0.87013888888888891</v>
      </c>
      <c r="F807" s="94">
        <v>0.90347222222222223</v>
      </c>
      <c r="G807" s="93" t="s">
        <v>529</v>
      </c>
      <c r="H807" s="93" t="s">
        <v>103</v>
      </c>
      <c r="I807" s="96">
        <v>29</v>
      </c>
      <c r="J807" s="97" t="s">
        <v>146</v>
      </c>
      <c r="K807" s="98">
        <v>174</v>
      </c>
      <c r="L807" s="99" t="s">
        <v>734</v>
      </c>
      <c r="M807" s="87" t="s">
        <v>905</v>
      </c>
      <c r="N807" s="87">
        <v>21</v>
      </c>
      <c r="O807" s="87" t="s">
        <v>976</v>
      </c>
      <c r="P807" s="87">
        <v>31</v>
      </c>
      <c r="Q807" s="87" t="s">
        <v>907</v>
      </c>
      <c r="R807" s="87">
        <v>21</v>
      </c>
      <c r="S807" s="26" t="s">
        <v>1408</v>
      </c>
      <c r="T807" s="26" t="s">
        <v>1409</v>
      </c>
      <c r="U807" s="26">
        <v>6220</v>
      </c>
      <c r="V807" s="26" t="s">
        <v>1357</v>
      </c>
      <c r="W807" s="62">
        <v>44816</v>
      </c>
      <c r="X807" s="62">
        <v>45086</v>
      </c>
      <c r="Y807" s="62"/>
      <c r="Z807" s="62"/>
      <c r="AA807" s="22" t="s">
        <v>1102</v>
      </c>
      <c r="AB807" s="23"/>
      <c r="AC807" s="23"/>
      <c r="AD807" s="23"/>
      <c r="AE807" s="23" t="s">
        <v>731</v>
      </c>
      <c r="AF807" s="23" t="s">
        <v>731</v>
      </c>
      <c r="AG807" s="23" t="s">
        <v>731</v>
      </c>
      <c r="AH807" s="23" t="s">
        <v>731</v>
      </c>
      <c r="AI807" s="23" t="s">
        <v>731</v>
      </c>
      <c r="AJ807" s="23" t="s">
        <v>731</v>
      </c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42">
        <v>87</v>
      </c>
      <c r="AW807" s="42"/>
      <c r="AY807" s="18"/>
      <c r="AZ807" s="18"/>
      <c r="BB807" s="45">
        <v>1</v>
      </c>
      <c r="BC807" s="41">
        <f>IF(AND((AV807/I807)&lt;2,BB807=1),(I807*2)-AV807,0)</f>
        <v>0</v>
      </c>
      <c r="BD807" s="41">
        <f>IF(AND((AV807/I807)&lt;3,BB807=2),(I807*3)-AV807,0)</f>
        <v>0</v>
      </c>
      <c r="BG807" s="18"/>
      <c r="BH807" s="18">
        <v>15</v>
      </c>
      <c r="BI807" s="18">
        <v>20</v>
      </c>
      <c r="BJ807" s="18">
        <v>21</v>
      </c>
      <c r="BK807" s="18">
        <v>15</v>
      </c>
      <c r="BL807" s="18">
        <v>17</v>
      </c>
      <c r="BM807" s="55">
        <f>SUM(AV807:AX807)+SUM(BC807:BD807)+SUM(BE807:BF807)+BG807</f>
        <v>87</v>
      </c>
      <c r="BN807" s="55"/>
      <c r="BO807" s="55"/>
      <c r="BP807" s="55"/>
      <c r="BQ807" s="55"/>
      <c r="BR807" s="55"/>
      <c r="BS807" s="55"/>
      <c r="BT807" s="55"/>
      <c r="BU807" s="55"/>
      <c r="BV807" s="55"/>
      <c r="BW807" s="55"/>
      <c r="BX807" s="55"/>
      <c r="BY807" s="55"/>
    </row>
    <row r="808" spans="2:77" ht="33.75">
      <c r="B808" s="89">
        <v>794</v>
      </c>
      <c r="C808" s="93">
        <v>621</v>
      </c>
      <c r="D808" s="106" t="s">
        <v>1059</v>
      </c>
      <c r="E808" s="94">
        <v>0.29930555555555555</v>
      </c>
      <c r="F808" s="94">
        <v>0.32083333333333336</v>
      </c>
      <c r="G808" s="103" t="s">
        <v>407</v>
      </c>
      <c r="H808" s="93" t="s">
        <v>103</v>
      </c>
      <c r="I808" s="96">
        <v>15</v>
      </c>
      <c r="J808" s="97" t="s">
        <v>111</v>
      </c>
      <c r="K808" s="98">
        <v>174</v>
      </c>
      <c r="L808" s="99" t="s">
        <v>776</v>
      </c>
      <c r="M808" s="87" t="s">
        <v>856</v>
      </c>
      <c r="N808" s="87">
        <v>57</v>
      </c>
      <c r="O808" s="143" t="s">
        <v>1271</v>
      </c>
      <c r="P808" s="143" t="s">
        <v>1272</v>
      </c>
      <c r="Q808" s="87" t="s">
        <v>1273</v>
      </c>
      <c r="R808" s="87">
        <v>31</v>
      </c>
      <c r="S808" s="26">
        <v>6120</v>
      </c>
      <c r="T808" s="26" t="s">
        <v>1314</v>
      </c>
      <c r="U808" s="26" t="s">
        <v>1712</v>
      </c>
      <c r="V808" s="26" t="s">
        <v>1713</v>
      </c>
      <c r="W808" s="62">
        <v>44816</v>
      </c>
      <c r="X808" s="62">
        <v>45086</v>
      </c>
      <c r="Y808" s="62"/>
      <c r="Z808" s="62"/>
      <c r="AA808" s="22" t="s">
        <v>1102</v>
      </c>
      <c r="AB808" s="23"/>
      <c r="AC808" s="23"/>
      <c r="AD808" s="23"/>
      <c r="AE808" s="23" t="s">
        <v>731</v>
      </c>
      <c r="AF808" s="23" t="s">
        <v>731</v>
      </c>
      <c r="AG808" s="23" t="s">
        <v>731</v>
      </c>
      <c r="AH808" s="23" t="s">
        <v>731</v>
      </c>
      <c r="AI808" s="23" t="s">
        <v>731</v>
      </c>
      <c r="AJ808" s="23" t="s">
        <v>731</v>
      </c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42">
        <v>218.07</v>
      </c>
      <c r="AW808" s="42"/>
      <c r="BB808" s="43">
        <v>2</v>
      </c>
      <c r="BC808" s="41">
        <f>IF(AND((AV808/I808)&lt;2,BB808=1),(I808*2)-AV808,0)</f>
        <v>0</v>
      </c>
      <c r="BD808" s="41">
        <f>IF(AND((AV808/I808)&lt;3,BB808=2),(I808*3)-AV808,0)</f>
        <v>0</v>
      </c>
      <c r="BG808" s="18"/>
      <c r="BH808" s="18">
        <v>15</v>
      </c>
      <c r="BI808" s="18">
        <v>20</v>
      </c>
      <c r="BJ808" s="18">
        <v>21</v>
      </c>
      <c r="BK808" s="18">
        <v>15</v>
      </c>
      <c r="BL808" s="18">
        <v>17</v>
      </c>
      <c r="BM808" s="55">
        <f>SUM(AV808:AX808)+SUM(BC808:BD808)+SUM(BE808:BF808)+BG808</f>
        <v>218.07</v>
      </c>
      <c r="BN808" s="55"/>
      <c r="BO808" s="55"/>
      <c r="BP808" s="55"/>
      <c r="BQ808" s="55"/>
      <c r="BR808" s="55"/>
      <c r="BS808" s="55"/>
      <c r="BT808" s="55"/>
      <c r="BU808" s="55"/>
      <c r="BV808" s="55"/>
      <c r="BW808" s="55"/>
      <c r="BX808" s="55"/>
      <c r="BY808" s="55"/>
    </row>
    <row r="809" spans="2:77" ht="25.5">
      <c r="B809" s="89">
        <v>795</v>
      </c>
      <c r="C809" s="93">
        <v>621</v>
      </c>
      <c r="D809" s="93">
        <v>968</v>
      </c>
      <c r="E809" s="94">
        <v>0.41319444444444442</v>
      </c>
      <c r="F809" s="94">
        <v>0.42986111111111108</v>
      </c>
      <c r="G809" s="93" t="s">
        <v>476</v>
      </c>
      <c r="H809" s="93" t="s">
        <v>478</v>
      </c>
      <c r="I809" s="96">
        <v>13.2</v>
      </c>
      <c r="J809" s="97" t="s">
        <v>93</v>
      </c>
      <c r="K809" s="98">
        <v>240</v>
      </c>
      <c r="L809" s="99" t="s">
        <v>735</v>
      </c>
      <c r="M809" s="83" t="s">
        <v>904</v>
      </c>
      <c r="N809" s="83">
        <v>21</v>
      </c>
      <c r="O809" s="152" t="s">
        <v>2004</v>
      </c>
      <c r="P809" s="152">
        <v>42</v>
      </c>
      <c r="Q809" s="83" t="s">
        <v>903</v>
      </c>
      <c r="R809" s="84">
        <v>24</v>
      </c>
      <c r="S809" s="26" t="s">
        <v>1352</v>
      </c>
      <c r="T809" s="26" t="s">
        <v>1353</v>
      </c>
      <c r="U809" s="26">
        <v>6120</v>
      </c>
      <c r="V809" s="26" t="s">
        <v>1314</v>
      </c>
      <c r="W809" s="63">
        <v>44816</v>
      </c>
      <c r="X809" s="63">
        <v>45100</v>
      </c>
      <c r="Y809" s="63"/>
      <c r="Z809" s="63"/>
      <c r="AA809" s="26" t="s">
        <v>1112</v>
      </c>
      <c r="AB809" s="23" t="s">
        <v>731</v>
      </c>
      <c r="AC809" s="23"/>
      <c r="AD809" s="23" t="s">
        <v>731</v>
      </c>
      <c r="AE809" s="23"/>
      <c r="AF809" s="23" t="s">
        <v>731</v>
      </c>
      <c r="AG809" s="23" t="s">
        <v>731</v>
      </c>
      <c r="AH809" s="23" t="s">
        <v>731</v>
      </c>
      <c r="AI809" s="23" t="s">
        <v>731</v>
      </c>
      <c r="AJ809" s="23" t="s">
        <v>731</v>
      </c>
      <c r="AK809" s="23" t="s">
        <v>731</v>
      </c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42">
        <v>39.6</v>
      </c>
      <c r="AW809" s="42"/>
      <c r="AY809" s="18"/>
      <c r="AZ809" s="18"/>
      <c r="BB809" s="45">
        <v>1</v>
      </c>
      <c r="BC809" s="41">
        <f>IF(AND((AV809/I809)&lt;2,BB809=1),(I809*2)-AV809,0)</f>
        <v>0</v>
      </c>
      <c r="BD809" s="41">
        <f>IF(AND((AV809/I809)&lt;3,BB809=2),(I809*3)-AV809,0)</f>
        <v>0</v>
      </c>
      <c r="BG809" s="18"/>
      <c r="BH809" s="18">
        <v>17</v>
      </c>
      <c r="BI809" s="18">
        <v>26</v>
      </c>
      <c r="BJ809" s="18">
        <v>25</v>
      </c>
      <c r="BK809" s="18">
        <v>25</v>
      </c>
      <c r="BL809" s="18">
        <v>25</v>
      </c>
      <c r="BM809" s="55">
        <f>SUM(AV809:AX809)+SUM(BC809:BD809)+SUM(BE809:BF809)+BG809</f>
        <v>39.6</v>
      </c>
      <c r="BN809" s="55"/>
      <c r="BO809" s="55"/>
      <c r="BP809" s="55"/>
      <c r="BQ809" s="55"/>
      <c r="BR809" s="55"/>
      <c r="BS809" s="55"/>
      <c r="BT809" s="55"/>
      <c r="BU809" s="55"/>
      <c r="BV809" s="55"/>
      <c r="BW809" s="55"/>
      <c r="BX809" s="55"/>
      <c r="BY809" s="55"/>
    </row>
    <row r="810" spans="2:77" ht="33.75">
      <c r="B810" s="89">
        <v>796</v>
      </c>
      <c r="C810" s="93">
        <v>621</v>
      </c>
      <c r="D810" s="93">
        <v>989</v>
      </c>
      <c r="E810" s="94">
        <v>0.47916666666666669</v>
      </c>
      <c r="F810" s="94">
        <v>0.49236111111111108</v>
      </c>
      <c r="G810" s="93" t="s">
        <v>477</v>
      </c>
      <c r="H810" s="93" t="s">
        <v>478</v>
      </c>
      <c r="I810" s="96">
        <v>11.3</v>
      </c>
      <c r="J810" s="97" t="s">
        <v>93</v>
      </c>
      <c r="K810" s="98">
        <v>240</v>
      </c>
      <c r="L810" s="99" t="s">
        <v>735</v>
      </c>
      <c r="M810" s="83" t="s">
        <v>904</v>
      </c>
      <c r="N810" s="83">
        <v>21</v>
      </c>
      <c r="O810" s="152" t="s">
        <v>2004</v>
      </c>
      <c r="P810" s="152">
        <v>42</v>
      </c>
      <c r="Q810" s="83" t="s">
        <v>903</v>
      </c>
      <c r="R810" s="84">
        <v>24</v>
      </c>
      <c r="S810" s="26">
        <v>6120</v>
      </c>
      <c r="T810" s="26" t="s">
        <v>1314</v>
      </c>
      <c r="U810" s="26" t="s">
        <v>1352</v>
      </c>
      <c r="V810" s="26" t="s">
        <v>1353</v>
      </c>
      <c r="W810" s="63">
        <v>44816</v>
      </c>
      <c r="X810" s="63">
        <v>45100</v>
      </c>
      <c r="Y810" s="63"/>
      <c r="Z810" s="63"/>
      <c r="AA810" s="26" t="s">
        <v>1112</v>
      </c>
      <c r="AB810" s="23" t="s">
        <v>731</v>
      </c>
      <c r="AC810" s="23"/>
      <c r="AD810" s="23" t="s">
        <v>731</v>
      </c>
      <c r="AE810" s="23"/>
      <c r="AF810" s="23" t="s">
        <v>731</v>
      </c>
      <c r="AG810" s="23" t="s">
        <v>731</v>
      </c>
      <c r="AH810" s="23" t="s">
        <v>731</v>
      </c>
      <c r="AI810" s="23" t="s">
        <v>731</v>
      </c>
      <c r="AJ810" s="23" t="s">
        <v>731</v>
      </c>
      <c r="AK810" s="23" t="s">
        <v>731</v>
      </c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42">
        <v>33.9</v>
      </c>
      <c r="AW810" s="42"/>
      <c r="AY810" s="18"/>
      <c r="AZ810" s="18"/>
      <c r="BB810" s="45">
        <v>1</v>
      </c>
      <c r="BC810" s="41">
        <f>IF(AND((AV810/I810)&lt;2,BB810=1),(I810*2)-AV810,0)</f>
        <v>0</v>
      </c>
      <c r="BD810" s="41">
        <f>IF(AND((AV810/I810)&lt;3,BB810=2),(I810*3)-AV810,0)</f>
        <v>0</v>
      </c>
      <c r="BG810" s="18"/>
      <c r="BH810" s="18">
        <v>17</v>
      </c>
      <c r="BI810" s="18">
        <v>26</v>
      </c>
      <c r="BJ810" s="18">
        <v>25</v>
      </c>
      <c r="BK810" s="18">
        <v>25</v>
      </c>
      <c r="BL810" s="18">
        <v>25</v>
      </c>
      <c r="BM810" s="55">
        <f>SUM(AV810:AX810)+SUM(BC810:BD810)+SUM(BE810:BF810)+BG810</f>
        <v>33.9</v>
      </c>
      <c r="BN810" s="55"/>
      <c r="BO810" s="55"/>
      <c r="BP810" s="55"/>
      <c r="BQ810" s="55"/>
      <c r="BR810" s="55"/>
      <c r="BS810" s="55"/>
      <c r="BT810" s="55"/>
      <c r="BU810" s="55"/>
      <c r="BV810" s="55"/>
      <c r="BW810" s="55"/>
      <c r="BX810" s="55"/>
      <c r="BY810" s="55"/>
    </row>
    <row r="811" spans="2:77" ht="33.75">
      <c r="B811" s="89">
        <v>797</v>
      </c>
      <c r="C811" s="93">
        <v>621</v>
      </c>
      <c r="D811" s="93">
        <v>991</v>
      </c>
      <c r="E811" s="94">
        <v>0.72569444444444453</v>
      </c>
      <c r="F811" s="94">
        <v>0.73888888888888893</v>
      </c>
      <c r="G811" s="93" t="s">
        <v>477</v>
      </c>
      <c r="H811" s="93" t="s">
        <v>500</v>
      </c>
      <c r="I811" s="96">
        <v>11.3</v>
      </c>
      <c r="J811" s="97" t="s">
        <v>93</v>
      </c>
      <c r="K811" s="98">
        <v>67</v>
      </c>
      <c r="L811" s="99" t="s">
        <v>735</v>
      </c>
      <c r="M811" s="83" t="s">
        <v>904</v>
      </c>
      <c r="N811" s="83">
        <v>21</v>
      </c>
      <c r="O811" s="152" t="s">
        <v>2004</v>
      </c>
      <c r="P811" s="152">
        <v>42</v>
      </c>
      <c r="R811" s="83"/>
      <c r="S811" s="26">
        <v>6120</v>
      </c>
      <c r="T811" s="26" t="s">
        <v>1314</v>
      </c>
      <c r="U811" s="26" t="s">
        <v>1352</v>
      </c>
      <c r="V811" s="26" t="s">
        <v>1353</v>
      </c>
      <c r="W811" s="63">
        <v>44562</v>
      </c>
      <c r="X811" s="63">
        <v>44815</v>
      </c>
      <c r="Y811" s="63">
        <v>45101</v>
      </c>
      <c r="Z811" s="63">
        <v>45169</v>
      </c>
      <c r="AA811" s="23" t="s">
        <v>1107</v>
      </c>
      <c r="AB811" s="23"/>
      <c r="AC811" s="23" t="s">
        <v>731</v>
      </c>
      <c r="AD811" s="23" t="s">
        <v>731</v>
      </c>
      <c r="AE811" s="23"/>
      <c r="AF811" s="23" t="s">
        <v>731</v>
      </c>
      <c r="AG811" s="23" t="s">
        <v>731</v>
      </c>
      <c r="AH811" s="23" t="s">
        <v>731</v>
      </c>
      <c r="AI811" s="23" t="s">
        <v>731</v>
      </c>
      <c r="AJ811" s="23" t="s">
        <v>731</v>
      </c>
      <c r="AK811" s="23" t="s">
        <v>731</v>
      </c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42">
        <v>33.9</v>
      </c>
      <c r="AW811" s="42"/>
      <c r="AY811" s="18"/>
      <c r="AZ811" s="18"/>
      <c r="BB811" s="45">
        <v>1</v>
      </c>
      <c r="BC811" s="41">
        <f>IF(AND((AV811/I811)&lt;2,BB811=1),(I811*2)-AV811,0)</f>
        <v>0</v>
      </c>
      <c r="BD811" s="41">
        <f>IF(AND((AV811/I811)&lt;3,BB811=2),(I811*3)-AV811,0)</f>
        <v>0</v>
      </c>
      <c r="BG811" s="18"/>
      <c r="BH811" s="18">
        <v>9</v>
      </c>
      <c r="BI811" s="18">
        <v>0</v>
      </c>
      <c r="BJ811" s="18">
        <v>0</v>
      </c>
      <c r="BK811" s="18">
        <v>0</v>
      </c>
      <c r="BL811" s="18">
        <v>0</v>
      </c>
      <c r="BM811" s="55">
        <f>SUM(AV811:AX811)+SUM(BC811:BD811)+SUM(BE811:BF811)+BG811</f>
        <v>33.9</v>
      </c>
      <c r="BN811" s="55"/>
      <c r="BO811" s="55"/>
      <c r="BP811" s="55"/>
      <c r="BQ811" s="55"/>
      <c r="BR811" s="55"/>
      <c r="BS811" s="55"/>
      <c r="BT811" s="55"/>
      <c r="BU811" s="55"/>
      <c r="BV811" s="55"/>
      <c r="BW811" s="55"/>
      <c r="BX811" s="55"/>
      <c r="BY811" s="55"/>
    </row>
    <row r="812" spans="2:77" ht="25.5">
      <c r="B812" s="89">
        <v>798</v>
      </c>
      <c r="C812" s="101">
        <v>623</v>
      </c>
      <c r="D812" s="101">
        <v>256</v>
      </c>
      <c r="E812" s="102">
        <v>0.72222222222222221</v>
      </c>
      <c r="F812" s="102">
        <v>0.74097222222222225</v>
      </c>
      <c r="G812" s="103" t="s">
        <v>61</v>
      </c>
      <c r="H812" s="93" t="s">
        <v>478</v>
      </c>
      <c r="I812" s="101">
        <v>12</v>
      </c>
      <c r="J812" s="104">
        <v>19</v>
      </c>
      <c r="K812" s="98">
        <v>240</v>
      </c>
      <c r="L812" s="99" t="s">
        <v>776</v>
      </c>
      <c r="M812" s="87" t="s">
        <v>857</v>
      </c>
      <c r="N812" s="87">
        <v>21</v>
      </c>
      <c r="O812" s="87" t="s">
        <v>1273</v>
      </c>
      <c r="P812" s="87">
        <v>31</v>
      </c>
      <c r="R812" s="87"/>
      <c r="S812" s="26">
        <v>6220</v>
      </c>
      <c r="T812" s="26" t="s">
        <v>1357</v>
      </c>
      <c r="U812" s="26">
        <v>6216</v>
      </c>
      <c r="V812" s="26" t="s">
        <v>1714</v>
      </c>
      <c r="W812" s="63">
        <v>44816</v>
      </c>
      <c r="X812" s="63">
        <v>45100</v>
      </c>
      <c r="Y812" s="63"/>
      <c r="Z812" s="63"/>
      <c r="AA812" s="26" t="s">
        <v>1112</v>
      </c>
      <c r="AB812" s="23" t="s">
        <v>731</v>
      </c>
      <c r="AC812" s="23"/>
      <c r="AD812" s="23" t="s">
        <v>731</v>
      </c>
      <c r="AE812" s="23"/>
      <c r="AF812" s="23" t="s">
        <v>731</v>
      </c>
      <c r="AG812" s="23" t="s">
        <v>731</v>
      </c>
      <c r="AH812" s="23" t="s">
        <v>731</v>
      </c>
      <c r="AI812" s="23" t="s">
        <v>731</v>
      </c>
      <c r="AJ812" s="23" t="s">
        <v>731</v>
      </c>
      <c r="AK812" s="23" t="s">
        <v>731</v>
      </c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Y812" s="21" t="s">
        <v>776</v>
      </c>
      <c r="AZ812" s="21"/>
      <c r="BB812" s="45">
        <v>1</v>
      </c>
      <c r="BD812" s="41"/>
      <c r="BG812" s="18"/>
      <c r="BH812" s="18">
        <v>17</v>
      </c>
      <c r="BI812" s="18">
        <v>26</v>
      </c>
      <c r="BJ812" s="18">
        <v>25</v>
      </c>
      <c r="BK812" s="18">
        <v>25</v>
      </c>
      <c r="BL812" s="18">
        <v>25</v>
      </c>
      <c r="BM812" s="55">
        <f>SUM(AV812:AX812)+SUM(BC812:BD812)+SUM(BE812:BF812)+BG812</f>
        <v>0</v>
      </c>
      <c r="BN812" s="55" t="s">
        <v>1838</v>
      </c>
      <c r="BO812" s="77">
        <v>1</v>
      </c>
      <c r="BP812" s="77"/>
      <c r="BQ812" s="77">
        <v>1</v>
      </c>
      <c r="BR812" s="77"/>
      <c r="BS812" s="77">
        <v>1</v>
      </c>
      <c r="BT812" s="77"/>
      <c r="BU812" s="77">
        <v>1</v>
      </c>
      <c r="BV812" s="77"/>
      <c r="BW812" s="77">
        <v>1</v>
      </c>
      <c r="BX812" s="77"/>
      <c r="BY812" s="55">
        <v>2500</v>
      </c>
    </row>
    <row r="813" spans="2:77" ht="25.5">
      <c r="B813" s="89">
        <v>799</v>
      </c>
      <c r="C813" s="101">
        <v>623</v>
      </c>
      <c r="D813" s="101">
        <v>264</v>
      </c>
      <c r="E813" s="102">
        <v>0.72916666666666663</v>
      </c>
      <c r="F813" s="102">
        <v>0.74791666666666667</v>
      </c>
      <c r="G813" s="103" t="s">
        <v>57</v>
      </c>
      <c r="H813" s="93" t="s">
        <v>423</v>
      </c>
      <c r="I813" s="101">
        <v>12</v>
      </c>
      <c r="J813" s="104">
        <v>19</v>
      </c>
      <c r="K813" s="98">
        <v>67</v>
      </c>
      <c r="L813" s="99" t="s">
        <v>776</v>
      </c>
      <c r="M813" s="87" t="s">
        <v>857</v>
      </c>
      <c r="N813" s="87">
        <v>21</v>
      </c>
      <c r="O813" s="87" t="s">
        <v>1273</v>
      </c>
      <c r="P813" s="87">
        <v>31</v>
      </c>
      <c r="R813" s="87"/>
      <c r="S813" s="26">
        <v>6220</v>
      </c>
      <c r="T813" s="26" t="s">
        <v>1357</v>
      </c>
      <c r="U813" s="26">
        <v>6216</v>
      </c>
      <c r="V813" s="26" t="s">
        <v>1714</v>
      </c>
      <c r="W813" s="63">
        <v>44562</v>
      </c>
      <c r="X813" s="63">
        <v>44815</v>
      </c>
      <c r="Y813" s="63">
        <v>45101</v>
      </c>
      <c r="Z813" s="63">
        <v>45169</v>
      </c>
      <c r="AA813" s="23" t="s">
        <v>1107</v>
      </c>
      <c r="AB813" s="23"/>
      <c r="AC813" s="23" t="s">
        <v>731</v>
      </c>
      <c r="AD813" s="23" t="s">
        <v>731</v>
      </c>
      <c r="AE813" s="23"/>
      <c r="AF813" s="23" t="s">
        <v>731</v>
      </c>
      <c r="AG813" s="23" t="s">
        <v>731</v>
      </c>
      <c r="AH813" s="23" t="s">
        <v>731</v>
      </c>
      <c r="AI813" s="23" t="s">
        <v>731</v>
      </c>
      <c r="AJ813" s="23" t="s">
        <v>731</v>
      </c>
      <c r="AK813" s="23" t="s">
        <v>731</v>
      </c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W813" s="41">
        <f>1.8*12</f>
        <v>21.6</v>
      </c>
      <c r="BB813" s="45">
        <v>1</v>
      </c>
      <c r="BD813" s="41"/>
      <c r="BE813" s="44"/>
      <c r="BF813" s="44"/>
      <c r="BG813" s="18"/>
      <c r="BH813" s="18">
        <v>9</v>
      </c>
      <c r="BI813" s="18">
        <v>0</v>
      </c>
      <c r="BJ813" s="18">
        <v>0</v>
      </c>
      <c r="BK813" s="18">
        <v>0</v>
      </c>
      <c r="BL813" s="18">
        <v>0</v>
      </c>
      <c r="BM813" s="55">
        <f>SUM(AV813:AX813)+SUM(BC813:BD813)+SUM(BE813:BF813)+BG813</f>
        <v>21.6</v>
      </c>
      <c r="BN813" s="55"/>
      <c r="BO813" s="55"/>
      <c r="BP813" s="55"/>
      <c r="BQ813" s="55"/>
      <c r="BR813" s="55"/>
      <c r="BS813" s="55"/>
      <c r="BT813" s="55"/>
      <c r="BU813" s="55"/>
      <c r="BV813" s="55"/>
      <c r="BW813" s="55"/>
      <c r="BX813" s="55"/>
      <c r="BY813" s="55"/>
    </row>
    <row r="814" spans="2:77" ht="25.5">
      <c r="B814" s="89">
        <v>800</v>
      </c>
      <c r="C814" s="101">
        <v>623</v>
      </c>
      <c r="D814" s="101">
        <v>261</v>
      </c>
      <c r="E814" s="102">
        <v>0.74444444444444446</v>
      </c>
      <c r="F814" s="102">
        <v>0.75486111111111109</v>
      </c>
      <c r="G814" s="103" t="s">
        <v>60</v>
      </c>
      <c r="H814" s="93" t="s">
        <v>478</v>
      </c>
      <c r="I814" s="101">
        <v>10</v>
      </c>
      <c r="J814" s="104">
        <v>19</v>
      </c>
      <c r="K814" s="98">
        <v>240</v>
      </c>
      <c r="L814" s="99" t="s">
        <v>776</v>
      </c>
      <c r="M814" s="87" t="s">
        <v>857</v>
      </c>
      <c r="N814" s="87">
        <v>21</v>
      </c>
      <c r="O814" s="87" t="s">
        <v>1273</v>
      </c>
      <c r="P814" s="87">
        <v>31</v>
      </c>
      <c r="R814" s="87"/>
      <c r="S814" s="26">
        <v>6216</v>
      </c>
      <c r="T814" s="26" t="s">
        <v>1714</v>
      </c>
      <c r="U814" s="26">
        <v>6220</v>
      </c>
      <c r="V814" s="26" t="s">
        <v>1357</v>
      </c>
      <c r="W814" s="63">
        <v>44816</v>
      </c>
      <c r="X814" s="63">
        <v>45100</v>
      </c>
      <c r="Y814" s="63"/>
      <c r="Z814" s="63"/>
      <c r="AA814" s="26" t="s">
        <v>1112</v>
      </c>
      <c r="AB814" s="23" t="s">
        <v>731</v>
      </c>
      <c r="AC814" s="23"/>
      <c r="AD814" s="23" t="s">
        <v>731</v>
      </c>
      <c r="AE814" s="23"/>
      <c r="AF814" s="23" t="s">
        <v>731</v>
      </c>
      <c r="AG814" s="23" t="s">
        <v>731</v>
      </c>
      <c r="AH814" s="23" t="s">
        <v>731</v>
      </c>
      <c r="AI814" s="23" t="s">
        <v>731</v>
      </c>
      <c r="AJ814" s="23" t="s">
        <v>731</v>
      </c>
      <c r="AK814" s="23" t="s">
        <v>731</v>
      </c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Y814" s="21" t="s">
        <v>776</v>
      </c>
      <c r="AZ814" s="21"/>
      <c r="BB814" s="45">
        <v>1</v>
      </c>
      <c r="BD814" s="41"/>
      <c r="BG814" s="18"/>
      <c r="BH814" s="18">
        <v>17</v>
      </c>
      <c r="BI814" s="18">
        <v>26</v>
      </c>
      <c r="BJ814" s="18">
        <v>25</v>
      </c>
      <c r="BK814" s="18">
        <v>25</v>
      </c>
      <c r="BL814" s="18">
        <v>25</v>
      </c>
      <c r="BM814" s="55">
        <f>SUM(AV814:AX814)+SUM(BC814:BD814)+SUM(BE814:BF814)+BG814</f>
        <v>0</v>
      </c>
      <c r="BN814" s="55"/>
      <c r="BO814" s="55"/>
      <c r="BP814" s="55"/>
      <c r="BQ814" s="55"/>
      <c r="BR814" s="55"/>
      <c r="BS814" s="55"/>
      <c r="BT814" s="55"/>
      <c r="BU814" s="55"/>
      <c r="BV814" s="55"/>
      <c r="BW814" s="55"/>
      <c r="BX814" s="55"/>
      <c r="BY814" s="55"/>
    </row>
    <row r="815" spans="2:77" ht="25.5">
      <c r="B815" s="89">
        <v>801</v>
      </c>
      <c r="C815" s="101">
        <v>623</v>
      </c>
      <c r="D815" s="101">
        <v>261</v>
      </c>
      <c r="E815" s="108">
        <v>0.74305555555555547</v>
      </c>
      <c r="F815" s="108">
        <v>0.75347222222222221</v>
      </c>
      <c r="G815" s="103" t="s">
        <v>630</v>
      </c>
      <c r="H815" s="93" t="s">
        <v>423</v>
      </c>
      <c r="I815" s="101">
        <v>10</v>
      </c>
      <c r="J815" s="104">
        <v>19</v>
      </c>
      <c r="K815" s="98">
        <v>67</v>
      </c>
      <c r="L815" s="99" t="s">
        <v>776</v>
      </c>
      <c r="M815" s="87" t="s">
        <v>857</v>
      </c>
      <c r="N815" s="87">
        <v>21</v>
      </c>
      <c r="O815" s="87" t="s">
        <v>1273</v>
      </c>
      <c r="P815" s="87">
        <v>31</v>
      </c>
      <c r="R815" s="87"/>
      <c r="S815" s="26">
        <v>6216</v>
      </c>
      <c r="T815" s="26" t="s">
        <v>1714</v>
      </c>
      <c r="U815" s="26">
        <v>6220</v>
      </c>
      <c r="V815" s="26" t="s">
        <v>1357</v>
      </c>
      <c r="W815" s="63">
        <v>44562</v>
      </c>
      <c r="X815" s="63">
        <v>44815</v>
      </c>
      <c r="Y815" s="63">
        <v>45101</v>
      </c>
      <c r="Z815" s="63">
        <v>45169</v>
      </c>
      <c r="AA815" s="23" t="s">
        <v>1107</v>
      </c>
      <c r="AB815" s="23"/>
      <c r="AC815" s="23" t="s">
        <v>731</v>
      </c>
      <c r="AD815" s="23" t="s">
        <v>731</v>
      </c>
      <c r="AE815" s="23"/>
      <c r="AF815" s="23" t="s">
        <v>731</v>
      </c>
      <c r="AG815" s="23" t="s">
        <v>731</v>
      </c>
      <c r="AH815" s="23" t="s">
        <v>731</v>
      </c>
      <c r="AI815" s="23" t="s">
        <v>731</v>
      </c>
      <c r="AJ815" s="23" t="s">
        <v>731</v>
      </c>
      <c r="AK815" s="23" t="s">
        <v>731</v>
      </c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W815" s="41">
        <f>1.8*10</f>
        <v>18</v>
      </c>
      <c r="BB815" s="45">
        <v>1</v>
      </c>
      <c r="BD815" s="41"/>
      <c r="BE815" s="44"/>
      <c r="BF815" s="44"/>
      <c r="BG815" s="18"/>
      <c r="BH815" s="18">
        <v>9</v>
      </c>
      <c r="BI815" s="18">
        <v>0</v>
      </c>
      <c r="BJ815" s="18">
        <v>0</v>
      </c>
      <c r="BK815" s="18">
        <v>0</v>
      </c>
      <c r="BL815" s="18">
        <v>0</v>
      </c>
      <c r="BM815" s="55">
        <f>SUM(AV815:AX815)+SUM(BC815:BD815)+SUM(BE815:BF815)+BG815</f>
        <v>18</v>
      </c>
      <c r="BN815" s="55"/>
      <c r="BO815" s="55"/>
      <c r="BP815" s="55"/>
      <c r="BQ815" s="55"/>
      <c r="BR815" s="55"/>
      <c r="BS815" s="55"/>
      <c r="BT815" s="55"/>
      <c r="BU815" s="55"/>
      <c r="BV815" s="55"/>
      <c r="BW815" s="55"/>
      <c r="BX815" s="55"/>
      <c r="BY815" s="55"/>
    </row>
    <row r="816" spans="2:77" ht="25.5">
      <c r="B816" s="89">
        <v>802</v>
      </c>
      <c r="C816" s="93">
        <v>624</v>
      </c>
      <c r="D816" s="93">
        <v>272</v>
      </c>
      <c r="E816" s="94">
        <v>0.30625000000000002</v>
      </c>
      <c r="F816" s="94">
        <v>0.31041666666666667</v>
      </c>
      <c r="G816" s="93" t="s">
        <v>115</v>
      </c>
      <c r="H816" s="106" t="s">
        <v>103</v>
      </c>
      <c r="I816" s="96">
        <v>4</v>
      </c>
      <c r="J816" s="97" t="s">
        <v>101</v>
      </c>
      <c r="K816" s="111">
        <f>208-K817</f>
        <v>174</v>
      </c>
      <c r="L816" s="99" t="s">
        <v>1202</v>
      </c>
      <c r="M816" s="87" t="s">
        <v>973</v>
      </c>
      <c r="N816" s="87">
        <v>51</v>
      </c>
      <c r="O816" s="87" t="s">
        <v>974</v>
      </c>
      <c r="P816" s="87">
        <v>58</v>
      </c>
      <c r="Q816" s="87"/>
      <c r="R816" s="87"/>
      <c r="S816" s="26" t="s">
        <v>1715</v>
      </c>
      <c r="T816" s="26" t="s">
        <v>1716</v>
      </c>
      <c r="U816" s="26">
        <v>6157</v>
      </c>
      <c r="V816" s="26" t="s">
        <v>1717</v>
      </c>
      <c r="W816" s="62">
        <v>44816</v>
      </c>
      <c r="X816" s="62">
        <v>45086</v>
      </c>
      <c r="Y816" s="62"/>
      <c r="Z816" s="62"/>
      <c r="AA816" s="38" t="s">
        <v>1102</v>
      </c>
      <c r="AB816" s="23"/>
      <c r="AC816" s="23"/>
      <c r="AD816" s="23"/>
      <c r="AE816" s="23" t="s">
        <v>731</v>
      </c>
      <c r="AF816" s="23" t="s">
        <v>731</v>
      </c>
      <c r="AG816" s="23" t="s">
        <v>731</v>
      </c>
      <c r="AH816" s="23" t="s">
        <v>731</v>
      </c>
      <c r="AI816" s="23" t="s">
        <v>731</v>
      </c>
      <c r="AJ816" s="23" t="s">
        <v>731</v>
      </c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42">
        <v>30.77</v>
      </c>
      <c r="AW816" s="42"/>
      <c r="AY816" s="18"/>
      <c r="AZ816" s="18"/>
      <c r="BB816" s="43">
        <v>2</v>
      </c>
      <c r="BC816" s="41">
        <f>IF(AND((AV816/I816)&lt;2,BB816=1),(I816*2)-AV816,0)</f>
        <v>0</v>
      </c>
      <c r="BD816" s="41">
        <f>IF(AND((AV816/I816)&lt;3,BB816=2),(I816*3)-AV816,0)</f>
        <v>0</v>
      </c>
      <c r="BG816" s="18"/>
      <c r="BH816" s="18">
        <v>15</v>
      </c>
      <c r="BI816" s="18">
        <v>20</v>
      </c>
      <c r="BJ816" s="18">
        <v>21</v>
      </c>
      <c r="BK816" s="18">
        <v>15</v>
      </c>
      <c r="BL816" s="18">
        <v>17</v>
      </c>
      <c r="BM816" s="55">
        <f>SUM(AV816:AX816)+SUM(BC816:BD816)+SUM(BE816:BF816)+BG816</f>
        <v>30.77</v>
      </c>
      <c r="BN816" s="55"/>
      <c r="BO816" s="55"/>
      <c r="BP816" s="55"/>
      <c r="BQ816" s="55"/>
      <c r="BR816" s="55"/>
      <c r="BS816" s="55"/>
      <c r="BT816" s="55"/>
      <c r="BU816" s="55"/>
      <c r="BV816" s="55"/>
      <c r="BW816" s="55"/>
      <c r="BX816" s="55"/>
      <c r="BY816" s="55"/>
    </row>
    <row r="817" spans="1:77" ht="45">
      <c r="B817" s="113" t="s">
        <v>1200</v>
      </c>
      <c r="C817" s="93">
        <v>624</v>
      </c>
      <c r="D817" s="93">
        <v>272</v>
      </c>
      <c r="E817" s="94">
        <v>0.30625000000000002</v>
      </c>
      <c r="F817" s="94">
        <v>0.31041666666666667</v>
      </c>
      <c r="G817" s="93" t="s">
        <v>115</v>
      </c>
      <c r="H817" s="106" t="s">
        <v>1199</v>
      </c>
      <c r="I817" s="96">
        <v>4</v>
      </c>
      <c r="J817" s="97" t="s">
        <v>101</v>
      </c>
      <c r="K817" s="111">
        <v>34</v>
      </c>
      <c r="L817" s="99" t="s">
        <v>1204</v>
      </c>
      <c r="M817" s="87" t="s">
        <v>954</v>
      </c>
      <c r="N817" s="87">
        <v>21</v>
      </c>
      <c r="O817" s="87" t="s">
        <v>794</v>
      </c>
      <c r="P817" s="87">
        <v>21</v>
      </c>
      <c r="Q817" s="87" t="s">
        <v>1274</v>
      </c>
      <c r="R817" s="84">
        <v>24</v>
      </c>
      <c r="S817" s="26" t="s">
        <v>1715</v>
      </c>
      <c r="T817" s="26" t="s">
        <v>1716</v>
      </c>
      <c r="U817" s="26">
        <v>6157</v>
      </c>
      <c r="V817" s="26" t="s">
        <v>1717</v>
      </c>
      <c r="W817" s="62">
        <v>44816</v>
      </c>
      <c r="X817" s="62">
        <v>45086</v>
      </c>
      <c r="Y817" s="62"/>
      <c r="Z817" s="62"/>
      <c r="AA817" s="38" t="s">
        <v>1111</v>
      </c>
      <c r="AB817" s="23"/>
      <c r="AC817" s="23"/>
      <c r="AD817" s="23"/>
      <c r="AE817" s="23" t="s">
        <v>731</v>
      </c>
      <c r="AF817" s="23"/>
      <c r="AG817" s="23"/>
      <c r="AH817" s="23"/>
      <c r="AI817" s="23"/>
      <c r="AJ817" s="23"/>
      <c r="AK817" s="23" t="s">
        <v>731</v>
      </c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42">
        <v>12.46</v>
      </c>
      <c r="AW817" s="42"/>
      <c r="AY817" s="18"/>
      <c r="AZ817" s="18"/>
      <c r="BB817" s="43">
        <v>2</v>
      </c>
      <c r="BC817" s="41">
        <f>IF(AND((AV817/I817)&lt;2,BB817=1),(I817*2)-AV817,0)</f>
        <v>0</v>
      </c>
      <c r="BD817" s="41">
        <f>IF(AND((AV817/I817)&lt;3,BB817=2),(I817*3)-AV817,0)</f>
        <v>0</v>
      </c>
      <c r="BG817" s="18"/>
      <c r="BH817" s="18">
        <v>2</v>
      </c>
      <c r="BI817" s="18">
        <v>5</v>
      </c>
      <c r="BJ817" s="18">
        <v>4</v>
      </c>
      <c r="BK817" s="18">
        <v>3</v>
      </c>
      <c r="BL817" s="18">
        <v>3</v>
      </c>
      <c r="BM817" s="55">
        <f>SUM(AV817:AX817)+SUM(BC817:BD817)+SUM(BE817:BF817)+BG817</f>
        <v>12.46</v>
      </c>
      <c r="BN817" s="55"/>
      <c r="BO817" s="55"/>
      <c r="BP817" s="55"/>
      <c r="BQ817" s="55"/>
      <c r="BR817" s="55"/>
      <c r="BS817" s="55"/>
      <c r="BT817" s="55"/>
      <c r="BU817" s="55"/>
      <c r="BV817" s="55"/>
      <c r="BW817" s="55"/>
      <c r="BX817" s="55"/>
      <c r="BY817" s="55"/>
    </row>
    <row r="818" spans="1:77" ht="25.5">
      <c r="B818" s="89">
        <v>803</v>
      </c>
      <c r="C818" s="93">
        <v>624</v>
      </c>
      <c r="D818" s="93">
        <v>271</v>
      </c>
      <c r="E818" s="94">
        <v>0.31111111111111112</v>
      </c>
      <c r="F818" s="105">
        <v>0.32013888888888892</v>
      </c>
      <c r="G818" s="93" t="s">
        <v>114</v>
      </c>
      <c r="H818" s="106" t="s">
        <v>103</v>
      </c>
      <c r="I818" s="96">
        <v>3</v>
      </c>
      <c r="J818" s="97" t="s">
        <v>101</v>
      </c>
      <c r="K818" s="111">
        <f>208-K819</f>
        <v>174</v>
      </c>
      <c r="L818" s="99" t="s">
        <v>1202</v>
      </c>
      <c r="M818" s="87" t="s">
        <v>973</v>
      </c>
      <c r="N818" s="87">
        <v>51</v>
      </c>
      <c r="O818" s="87" t="s">
        <v>974</v>
      </c>
      <c r="P818" s="87">
        <v>58</v>
      </c>
      <c r="Q818" s="87"/>
      <c r="R818" s="87"/>
      <c r="S818" s="26">
        <v>6157</v>
      </c>
      <c r="T818" s="26" t="s">
        <v>1717</v>
      </c>
      <c r="U818" s="26">
        <v>6220</v>
      </c>
      <c r="V818" s="26" t="s">
        <v>1357</v>
      </c>
      <c r="W818" s="62">
        <v>44816</v>
      </c>
      <c r="X818" s="62">
        <v>45086</v>
      </c>
      <c r="Y818" s="62"/>
      <c r="Z818" s="62"/>
      <c r="AA818" s="38" t="s">
        <v>1102</v>
      </c>
      <c r="AB818" s="23"/>
      <c r="AC818" s="23"/>
      <c r="AD818" s="23"/>
      <c r="AE818" s="23" t="s">
        <v>731</v>
      </c>
      <c r="AF818" s="23" t="s">
        <v>731</v>
      </c>
      <c r="AG818" s="23" t="s">
        <v>731</v>
      </c>
      <c r="AH818" s="23" t="s">
        <v>731</v>
      </c>
      <c r="AI818" s="23" t="s">
        <v>731</v>
      </c>
      <c r="AJ818" s="23" t="s">
        <v>731</v>
      </c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42">
        <v>23.08</v>
      </c>
      <c r="AW818" s="42"/>
      <c r="AY818" s="18"/>
      <c r="AZ818" s="18"/>
      <c r="BB818" s="43">
        <v>2</v>
      </c>
      <c r="BC818" s="41">
        <f>IF(AND((AV818/I818)&lt;2,BB818=1),(I818*2)-AV818,0)</f>
        <v>0</v>
      </c>
      <c r="BD818" s="41">
        <f>IF(AND((AV818/I818)&lt;3,BB818=2),(I818*3)-AV818,0)</f>
        <v>0</v>
      </c>
      <c r="BG818" s="18"/>
      <c r="BH818" s="18">
        <v>15</v>
      </c>
      <c r="BI818" s="18">
        <v>20</v>
      </c>
      <c r="BJ818" s="18">
        <v>21</v>
      </c>
      <c r="BK818" s="18">
        <v>15</v>
      </c>
      <c r="BL818" s="18">
        <v>17</v>
      </c>
      <c r="BM818" s="55">
        <f>SUM(AV818:AX818)+SUM(BC818:BD818)+SUM(BE818:BF818)+BG818</f>
        <v>23.08</v>
      </c>
      <c r="BN818" s="55"/>
      <c r="BO818" s="55"/>
      <c r="BP818" s="55"/>
      <c r="BQ818" s="55"/>
      <c r="BR818" s="55"/>
      <c r="BS818" s="55"/>
      <c r="BT818" s="55"/>
      <c r="BU818" s="55"/>
      <c r="BV818" s="55"/>
      <c r="BW818" s="55"/>
      <c r="BX818" s="55"/>
      <c r="BY818" s="55"/>
    </row>
    <row r="819" spans="1:77" ht="45">
      <c r="B819" s="113" t="s">
        <v>1201</v>
      </c>
      <c r="C819" s="93">
        <v>624</v>
      </c>
      <c r="D819" s="93">
        <v>271</v>
      </c>
      <c r="E819" s="94">
        <v>0.31111111111111112</v>
      </c>
      <c r="F819" s="105">
        <v>0.32013888888888892</v>
      </c>
      <c r="G819" s="93" t="s">
        <v>114</v>
      </c>
      <c r="H819" s="106" t="s">
        <v>1199</v>
      </c>
      <c r="I819" s="96">
        <v>3</v>
      </c>
      <c r="J819" s="97" t="s">
        <v>101</v>
      </c>
      <c r="K819" s="111">
        <v>34</v>
      </c>
      <c r="L819" s="99" t="s">
        <v>1204</v>
      </c>
      <c r="M819" s="87" t="s">
        <v>954</v>
      </c>
      <c r="N819" s="87">
        <v>21</v>
      </c>
      <c r="O819" s="87" t="s">
        <v>794</v>
      </c>
      <c r="P819" s="87">
        <v>21</v>
      </c>
      <c r="Q819" s="87" t="s">
        <v>1274</v>
      </c>
      <c r="R819" s="84">
        <v>24</v>
      </c>
      <c r="S819" s="26">
        <v>6157</v>
      </c>
      <c r="T819" s="26" t="s">
        <v>1717</v>
      </c>
      <c r="U819" s="26">
        <v>6220</v>
      </c>
      <c r="V819" s="26" t="s">
        <v>1357</v>
      </c>
      <c r="W819" s="62">
        <v>44816</v>
      </c>
      <c r="X819" s="62">
        <v>45086</v>
      </c>
      <c r="Y819" s="62"/>
      <c r="Z819" s="62"/>
      <c r="AA819" s="38" t="s">
        <v>1111</v>
      </c>
      <c r="AB819" s="23"/>
      <c r="AC819" s="23"/>
      <c r="AD819" s="23"/>
      <c r="AE819" s="23" t="s">
        <v>731</v>
      </c>
      <c r="AF819" s="23"/>
      <c r="AG819" s="23"/>
      <c r="AH819" s="23"/>
      <c r="AI819" s="23"/>
      <c r="AJ819" s="23"/>
      <c r="AK819" s="23" t="s">
        <v>731</v>
      </c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42">
        <v>9.35</v>
      </c>
      <c r="AW819" s="42"/>
      <c r="AY819" s="18"/>
      <c r="AZ819" s="18"/>
      <c r="BB819" s="43">
        <v>2</v>
      </c>
      <c r="BC819" s="41">
        <f>IF(AND((AV819/I819)&lt;2,BB819=1),(I819*2)-AV819,0)</f>
        <v>0</v>
      </c>
      <c r="BD819" s="41">
        <f>IF(AND((AV819/I819)&lt;3,BB819=2),(I819*3)-AV819,0)</f>
        <v>0</v>
      </c>
      <c r="BG819" s="18"/>
      <c r="BH819" s="18">
        <v>2</v>
      </c>
      <c r="BI819" s="18">
        <v>5</v>
      </c>
      <c r="BJ819" s="18">
        <v>4</v>
      </c>
      <c r="BK819" s="18">
        <v>3</v>
      </c>
      <c r="BL819" s="18">
        <v>3</v>
      </c>
      <c r="BM819" s="55">
        <f>SUM(AV819:AX819)+SUM(BC819:BD819)+SUM(BE819:BF819)+BG819</f>
        <v>9.35</v>
      </c>
      <c r="BN819" s="55"/>
      <c r="BO819" s="55"/>
      <c r="BP819" s="55"/>
      <c r="BQ819" s="55"/>
      <c r="BR819" s="55"/>
      <c r="BS819" s="55"/>
      <c r="BT819" s="55"/>
      <c r="BU819" s="55"/>
      <c r="BV819" s="55"/>
      <c r="BW819" s="55"/>
      <c r="BX819" s="55"/>
      <c r="BY819" s="55"/>
    </row>
    <row r="820" spans="1:77" ht="25.5">
      <c r="B820" s="89">
        <v>804</v>
      </c>
      <c r="C820" s="101">
        <v>624</v>
      </c>
      <c r="D820" s="101">
        <v>276</v>
      </c>
      <c r="E820" s="102">
        <v>0.76388888888888884</v>
      </c>
      <c r="F820" s="102">
        <v>0.76874999999999993</v>
      </c>
      <c r="G820" s="103" t="s">
        <v>54</v>
      </c>
      <c r="H820" s="93" t="s">
        <v>423</v>
      </c>
      <c r="I820" s="101">
        <v>4</v>
      </c>
      <c r="J820" s="104">
        <v>19</v>
      </c>
      <c r="K820" s="98">
        <v>67</v>
      </c>
      <c r="L820" s="99" t="s">
        <v>777</v>
      </c>
      <c r="M820" s="87" t="s">
        <v>792</v>
      </c>
      <c r="N820" s="87">
        <v>21</v>
      </c>
      <c r="O820" s="87"/>
      <c r="P820" s="87"/>
      <c r="Q820" s="144"/>
      <c r="R820" s="87"/>
      <c r="S820" s="26">
        <v>6220</v>
      </c>
      <c r="T820" s="26" t="s">
        <v>1357</v>
      </c>
      <c r="U820" s="26">
        <v>6157</v>
      </c>
      <c r="V820" s="26" t="s">
        <v>1717</v>
      </c>
      <c r="W820" s="63">
        <v>44562</v>
      </c>
      <c r="X820" s="63">
        <v>44815</v>
      </c>
      <c r="Y820" s="63">
        <v>45101</v>
      </c>
      <c r="Z820" s="63">
        <v>45169</v>
      </c>
      <c r="AA820" s="23" t="s">
        <v>1107</v>
      </c>
      <c r="AB820" s="23"/>
      <c r="AC820" s="23" t="s">
        <v>731</v>
      </c>
      <c r="AD820" s="23" t="s">
        <v>731</v>
      </c>
      <c r="AE820" s="23"/>
      <c r="AF820" s="23" t="s">
        <v>731</v>
      </c>
      <c r="AG820" s="23" t="s">
        <v>731</v>
      </c>
      <c r="AH820" s="23" t="s">
        <v>731</v>
      </c>
      <c r="AI820" s="23" t="s">
        <v>731</v>
      </c>
      <c r="AJ820" s="23" t="s">
        <v>731</v>
      </c>
      <c r="AK820" s="23" t="s">
        <v>731</v>
      </c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W820" s="41">
        <f>1.9*4</f>
        <v>7.6</v>
      </c>
      <c r="AY820" s="18"/>
      <c r="AZ820" s="18"/>
      <c r="BB820" s="45">
        <v>1</v>
      </c>
      <c r="BD820" s="41"/>
      <c r="BE820" s="41">
        <f>IF(AND((AW820/I820)&lt;2,BB820=1),(I820*2)-AW820,0)</f>
        <v>0.40000000000000036</v>
      </c>
      <c r="BF820" s="41">
        <f>IF(AND((AW820/I820)&lt;3,BB820=2),(I820*3)-AW820,0)</f>
        <v>0</v>
      </c>
      <c r="BG820" s="18"/>
      <c r="BH820" s="18">
        <v>9</v>
      </c>
      <c r="BI820" s="18">
        <v>0</v>
      </c>
      <c r="BJ820" s="18">
        <v>0</v>
      </c>
      <c r="BK820" s="18">
        <v>0</v>
      </c>
      <c r="BL820" s="18">
        <v>0</v>
      </c>
      <c r="BM820" s="55">
        <f>SUM(AV820:AX820)+SUM(BC820:BD820)+SUM(BE820:BF820)+BG820</f>
        <v>8</v>
      </c>
      <c r="BN820" s="55"/>
      <c r="BO820" s="55"/>
      <c r="BP820" s="55"/>
      <c r="BQ820" s="55"/>
      <c r="BR820" s="55"/>
      <c r="BS820" s="55"/>
      <c r="BT820" s="55"/>
      <c r="BU820" s="55"/>
      <c r="BV820" s="55"/>
      <c r="BW820" s="55"/>
      <c r="BX820" s="55"/>
      <c r="BY820" s="55"/>
    </row>
    <row r="821" spans="1:77" ht="25.5">
      <c r="B821" s="89">
        <v>805</v>
      </c>
      <c r="C821" s="101">
        <v>624</v>
      </c>
      <c r="D821" s="101">
        <v>276</v>
      </c>
      <c r="E821" s="102">
        <v>0.76527777777777783</v>
      </c>
      <c r="F821" s="102">
        <v>0.76944444444444438</v>
      </c>
      <c r="G821" s="103" t="s">
        <v>54</v>
      </c>
      <c r="H821" s="93" t="s">
        <v>478</v>
      </c>
      <c r="I821" s="101">
        <v>4</v>
      </c>
      <c r="J821" s="104">
        <v>19</v>
      </c>
      <c r="K821" s="98">
        <v>240</v>
      </c>
      <c r="L821" s="99" t="s">
        <v>776</v>
      </c>
      <c r="M821" s="87" t="s">
        <v>857</v>
      </c>
      <c r="N821" s="87">
        <v>21</v>
      </c>
      <c r="O821" s="87" t="s">
        <v>1273</v>
      </c>
      <c r="P821" s="87">
        <v>31</v>
      </c>
      <c r="R821" s="87"/>
      <c r="S821" s="26">
        <v>6220</v>
      </c>
      <c r="T821" s="26" t="s">
        <v>1357</v>
      </c>
      <c r="U821" s="26">
        <v>6157</v>
      </c>
      <c r="V821" s="26" t="s">
        <v>1717</v>
      </c>
      <c r="W821" s="63">
        <v>44816</v>
      </c>
      <c r="X821" s="63">
        <v>45100</v>
      </c>
      <c r="Y821" s="63"/>
      <c r="Z821" s="63"/>
      <c r="AA821" s="26" t="s">
        <v>1112</v>
      </c>
      <c r="AB821" s="23" t="s">
        <v>731</v>
      </c>
      <c r="AC821" s="23"/>
      <c r="AD821" s="23" t="s">
        <v>731</v>
      </c>
      <c r="AE821" s="23"/>
      <c r="AF821" s="23" t="s">
        <v>731</v>
      </c>
      <c r="AG821" s="23" t="s">
        <v>731</v>
      </c>
      <c r="AH821" s="23" t="s">
        <v>731</v>
      </c>
      <c r="AI821" s="23" t="s">
        <v>731</v>
      </c>
      <c r="AJ821" s="23" t="s">
        <v>731</v>
      </c>
      <c r="AK821" s="23" t="s">
        <v>731</v>
      </c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Y821" s="21" t="s">
        <v>776</v>
      </c>
      <c r="AZ821" s="21"/>
      <c r="BB821" s="45">
        <v>1</v>
      </c>
      <c r="BD821" s="41"/>
      <c r="BG821" s="18"/>
      <c r="BH821" s="18">
        <v>17</v>
      </c>
      <c r="BI821" s="18">
        <v>26</v>
      </c>
      <c r="BJ821" s="18">
        <v>25</v>
      </c>
      <c r="BK821" s="18">
        <v>25</v>
      </c>
      <c r="BL821" s="18">
        <v>25</v>
      </c>
      <c r="BM821" s="55">
        <f>SUM(AV821:AX821)+SUM(BC821:BD821)+SUM(BE821:BF821)+BG821</f>
        <v>0</v>
      </c>
      <c r="BN821" s="55"/>
      <c r="BO821" s="55"/>
      <c r="BP821" s="55"/>
      <c r="BQ821" s="55"/>
      <c r="BR821" s="55"/>
      <c r="BS821" s="55"/>
      <c r="BT821" s="55"/>
      <c r="BU821" s="55"/>
      <c r="BV821" s="55"/>
      <c r="BW821" s="55"/>
      <c r="BX821" s="55"/>
      <c r="BY821" s="55"/>
    </row>
    <row r="822" spans="1:77" ht="25.5">
      <c r="B822" s="89">
        <v>806</v>
      </c>
      <c r="C822" s="101">
        <v>624</v>
      </c>
      <c r="D822" s="101">
        <v>275</v>
      </c>
      <c r="E822" s="102">
        <v>0.76944444444444438</v>
      </c>
      <c r="F822" s="102">
        <v>0.7729166666666667</v>
      </c>
      <c r="G822" s="103" t="s">
        <v>53</v>
      </c>
      <c r="H822" s="93" t="s">
        <v>478</v>
      </c>
      <c r="I822" s="101">
        <v>4</v>
      </c>
      <c r="J822" s="104">
        <v>19</v>
      </c>
      <c r="K822" s="98">
        <v>240</v>
      </c>
      <c r="L822" s="99" t="s">
        <v>776</v>
      </c>
      <c r="M822" s="87" t="s">
        <v>857</v>
      </c>
      <c r="N822" s="87">
        <v>21</v>
      </c>
      <c r="O822" s="87" t="s">
        <v>1273</v>
      </c>
      <c r="P822" s="87">
        <v>31</v>
      </c>
      <c r="R822" s="87"/>
      <c r="S822" s="26">
        <v>6157</v>
      </c>
      <c r="T822" s="26" t="s">
        <v>1717</v>
      </c>
      <c r="U822" s="26">
        <v>6220</v>
      </c>
      <c r="V822" s="26" t="s">
        <v>1357</v>
      </c>
      <c r="W822" s="63">
        <v>44816</v>
      </c>
      <c r="X822" s="63">
        <v>45100</v>
      </c>
      <c r="Y822" s="63"/>
      <c r="Z822" s="63"/>
      <c r="AA822" s="26" t="s">
        <v>1112</v>
      </c>
      <c r="AB822" s="23" t="s">
        <v>731</v>
      </c>
      <c r="AC822" s="23"/>
      <c r="AD822" s="23" t="s">
        <v>731</v>
      </c>
      <c r="AE822" s="23"/>
      <c r="AF822" s="23" t="s">
        <v>731</v>
      </c>
      <c r="AG822" s="23" t="s">
        <v>731</v>
      </c>
      <c r="AH822" s="23" t="s">
        <v>731</v>
      </c>
      <c r="AI822" s="23" t="s">
        <v>731</v>
      </c>
      <c r="AJ822" s="23" t="s">
        <v>731</v>
      </c>
      <c r="AK822" s="23" t="s">
        <v>731</v>
      </c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Y822" s="21" t="s">
        <v>776</v>
      </c>
      <c r="AZ822" s="21"/>
      <c r="BB822" s="45">
        <v>1</v>
      </c>
      <c r="BD822" s="41"/>
      <c r="BG822" s="18"/>
      <c r="BH822" s="18">
        <v>17</v>
      </c>
      <c r="BI822" s="18">
        <v>26</v>
      </c>
      <c r="BJ822" s="18">
        <v>25</v>
      </c>
      <c r="BK822" s="18">
        <v>25</v>
      </c>
      <c r="BL822" s="18">
        <v>25</v>
      </c>
      <c r="BM822" s="55">
        <f>SUM(AV822:AX822)+SUM(BC822:BD822)+SUM(BE822:BF822)+BG822</f>
        <v>0</v>
      </c>
      <c r="BN822" s="55"/>
      <c r="BO822" s="55"/>
      <c r="BP822" s="55"/>
      <c r="BQ822" s="55"/>
      <c r="BR822" s="55"/>
      <c r="BS822" s="55"/>
      <c r="BT822" s="55"/>
      <c r="BU822" s="55"/>
      <c r="BV822" s="55"/>
      <c r="BW822" s="55"/>
      <c r="BX822" s="55"/>
      <c r="BY822" s="55"/>
    </row>
    <row r="823" spans="1:77" ht="25.5">
      <c r="B823" s="89">
        <v>807</v>
      </c>
      <c r="C823" s="101">
        <v>624</v>
      </c>
      <c r="D823" s="101">
        <v>275</v>
      </c>
      <c r="E823" s="102">
        <v>0.76944444444444438</v>
      </c>
      <c r="F823" s="102">
        <v>0.77430555555555547</v>
      </c>
      <c r="G823" s="103" t="s">
        <v>53</v>
      </c>
      <c r="H823" s="93" t="s">
        <v>423</v>
      </c>
      <c r="I823" s="101">
        <v>4</v>
      </c>
      <c r="J823" s="104">
        <v>19</v>
      </c>
      <c r="K823" s="98">
        <v>67</v>
      </c>
      <c r="L823" s="99" t="s">
        <v>777</v>
      </c>
      <c r="M823" s="87" t="s">
        <v>792</v>
      </c>
      <c r="N823" s="87">
        <v>21</v>
      </c>
      <c r="O823" s="87"/>
      <c r="P823" s="87"/>
      <c r="Q823" s="144"/>
      <c r="R823" s="87"/>
      <c r="S823" s="26">
        <v>6157</v>
      </c>
      <c r="T823" s="26" t="s">
        <v>1717</v>
      </c>
      <c r="U823" s="26">
        <v>6220</v>
      </c>
      <c r="V823" s="26" t="s">
        <v>1357</v>
      </c>
      <c r="W823" s="63">
        <v>44562</v>
      </c>
      <c r="X823" s="63">
        <v>44815</v>
      </c>
      <c r="Y823" s="63">
        <v>45101</v>
      </c>
      <c r="Z823" s="63">
        <v>45169</v>
      </c>
      <c r="AA823" s="23" t="s">
        <v>1107</v>
      </c>
      <c r="AB823" s="23"/>
      <c r="AC823" s="23" t="s">
        <v>731</v>
      </c>
      <c r="AD823" s="23" t="s">
        <v>731</v>
      </c>
      <c r="AE823" s="23"/>
      <c r="AF823" s="23" t="s">
        <v>731</v>
      </c>
      <c r="AG823" s="23" t="s">
        <v>731</v>
      </c>
      <c r="AH823" s="23" t="s">
        <v>731</v>
      </c>
      <c r="AI823" s="23" t="s">
        <v>731</v>
      </c>
      <c r="AJ823" s="23" t="s">
        <v>731</v>
      </c>
      <c r="AK823" s="23" t="s">
        <v>731</v>
      </c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W823" s="41">
        <f>1.9*4</f>
        <v>7.6</v>
      </c>
      <c r="AY823" s="18"/>
      <c r="AZ823" s="18"/>
      <c r="BB823" s="45">
        <v>1</v>
      </c>
      <c r="BD823" s="41"/>
      <c r="BE823" s="41">
        <f>IF(AND((AW823/I823)&lt;2,BB823=1),(I823*2)-AW823,0)</f>
        <v>0.40000000000000036</v>
      </c>
      <c r="BF823" s="41">
        <f>IF(AND((AW823/I823)&lt;3,BB823=2),(I823*3)-AW823,0)</f>
        <v>0</v>
      </c>
      <c r="BG823" s="18"/>
      <c r="BH823" s="18">
        <v>9</v>
      </c>
      <c r="BI823" s="18">
        <v>0</v>
      </c>
      <c r="BJ823" s="18">
        <v>0</v>
      </c>
      <c r="BK823" s="18">
        <v>0</v>
      </c>
      <c r="BL823" s="18">
        <v>0</v>
      </c>
      <c r="BM823" s="55">
        <f>SUM(AV823:AX823)+SUM(BC823:BD823)+SUM(BE823:BF823)+BG823</f>
        <v>8</v>
      </c>
      <c r="BN823" s="55"/>
      <c r="BO823" s="55"/>
      <c r="BP823" s="55"/>
      <c r="BQ823" s="55"/>
      <c r="BR823" s="55"/>
      <c r="BS823" s="55"/>
      <c r="BT823" s="55"/>
      <c r="BU823" s="55"/>
      <c r="BV823" s="55"/>
      <c r="BW823" s="55"/>
      <c r="BX823" s="55"/>
      <c r="BY823" s="55"/>
    </row>
    <row r="824" spans="1:77" ht="45">
      <c r="B824" s="89">
        <v>808</v>
      </c>
      <c r="C824" s="93">
        <v>625</v>
      </c>
      <c r="D824" s="93">
        <v>583</v>
      </c>
      <c r="E824" s="94">
        <v>0.28819444444444448</v>
      </c>
      <c r="F824" s="94">
        <v>0.2951388888888889</v>
      </c>
      <c r="G824" s="93" t="s">
        <v>129</v>
      </c>
      <c r="H824" s="93" t="s">
        <v>97</v>
      </c>
      <c r="I824" s="96">
        <v>5</v>
      </c>
      <c r="J824" s="97" t="s">
        <v>127</v>
      </c>
      <c r="K824" s="98">
        <v>208</v>
      </c>
      <c r="L824" s="99" t="s">
        <v>1204</v>
      </c>
      <c r="M824" s="87" t="s">
        <v>956</v>
      </c>
      <c r="N824" s="87">
        <v>43</v>
      </c>
      <c r="O824" s="87" t="s">
        <v>1275</v>
      </c>
      <c r="P824" s="87">
        <v>54</v>
      </c>
      <c r="Q824" s="87" t="s">
        <v>1940</v>
      </c>
      <c r="R824" s="84" t="s">
        <v>1847</v>
      </c>
      <c r="S824" s="26" t="s">
        <v>1718</v>
      </c>
      <c r="T824" s="26" t="s">
        <v>1719</v>
      </c>
      <c r="U824" s="26" t="s">
        <v>1720</v>
      </c>
      <c r="V824" s="26" t="s">
        <v>1721</v>
      </c>
      <c r="W824" s="62">
        <v>44816</v>
      </c>
      <c r="X824" s="62">
        <v>45086</v>
      </c>
      <c r="Y824" s="62"/>
      <c r="Z824" s="62"/>
      <c r="AA824" s="22" t="s">
        <v>1106</v>
      </c>
      <c r="AB824" s="23"/>
      <c r="AC824" s="23"/>
      <c r="AD824" s="23"/>
      <c r="AE824" s="23" t="s">
        <v>731</v>
      </c>
      <c r="AF824" s="23" t="s">
        <v>731</v>
      </c>
      <c r="AG824" s="23" t="s">
        <v>731</v>
      </c>
      <c r="AH824" s="23" t="s">
        <v>731</v>
      </c>
      <c r="AI824" s="23" t="s">
        <v>731</v>
      </c>
      <c r="AJ824" s="23" t="s">
        <v>731</v>
      </c>
      <c r="AK824" s="23" t="s">
        <v>731</v>
      </c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42">
        <v>21.12</v>
      </c>
      <c r="AW824" s="42"/>
      <c r="AY824" s="18"/>
      <c r="AZ824" s="18"/>
      <c r="BB824" s="43">
        <v>2</v>
      </c>
      <c r="BC824" s="41">
        <f>IF(AND((AV824/I824)&lt;2,BB824=1),(I824*2)-AV824,0)</f>
        <v>0</v>
      </c>
      <c r="BD824" s="41">
        <f>IF(AND((AV824/I824)&lt;3,BB824=2),(I824*3)-AV824,0)</f>
        <v>0</v>
      </c>
      <c r="BG824" s="41">
        <f>IF((AV824+AW824+AX824)&lt;20,(20-(AV824+AW824+AX824)),0)</f>
        <v>0</v>
      </c>
      <c r="BH824" s="18">
        <v>17</v>
      </c>
      <c r="BI824" s="18">
        <v>25</v>
      </c>
      <c r="BJ824" s="18">
        <v>25</v>
      </c>
      <c r="BK824" s="18">
        <v>18</v>
      </c>
      <c r="BL824" s="18">
        <v>20</v>
      </c>
      <c r="BM824" s="55">
        <f>SUM(AV824:AX824)+SUM(BC824:BD824)+SUM(BE824:BF824)+BG824</f>
        <v>21.12</v>
      </c>
      <c r="BN824" s="55"/>
      <c r="BO824" s="55"/>
      <c r="BP824" s="55"/>
      <c r="BQ824" s="55"/>
      <c r="BR824" s="55"/>
      <c r="BS824" s="55"/>
      <c r="BT824" s="55"/>
      <c r="BU824" s="55"/>
      <c r="BV824" s="55"/>
      <c r="BW824" s="55"/>
      <c r="BX824" s="55"/>
      <c r="BY824" s="55"/>
    </row>
    <row r="825" spans="1:77" ht="45">
      <c r="B825" s="89">
        <v>809</v>
      </c>
      <c r="C825" s="93">
        <v>625</v>
      </c>
      <c r="D825" s="95">
        <v>581</v>
      </c>
      <c r="E825" s="94">
        <v>0.3</v>
      </c>
      <c r="F825" s="94">
        <v>0.30694444444444441</v>
      </c>
      <c r="G825" s="93" t="s">
        <v>128</v>
      </c>
      <c r="H825" s="93" t="s">
        <v>103</v>
      </c>
      <c r="I825" s="96">
        <f>4+1</f>
        <v>5</v>
      </c>
      <c r="J825" s="97" t="s">
        <v>127</v>
      </c>
      <c r="K825" s="98">
        <v>174</v>
      </c>
      <c r="L825" s="99" t="s">
        <v>1204</v>
      </c>
      <c r="M825" s="87" t="s">
        <v>956</v>
      </c>
      <c r="N825" s="87">
        <v>43</v>
      </c>
      <c r="O825" s="87" t="s">
        <v>1275</v>
      </c>
      <c r="P825" s="87">
        <v>54</v>
      </c>
      <c r="Q825" s="87" t="s">
        <v>1276</v>
      </c>
      <c r="R825" s="84">
        <v>55</v>
      </c>
      <c r="S825" s="26" t="s">
        <v>1718</v>
      </c>
      <c r="T825" s="26" t="s">
        <v>1719</v>
      </c>
      <c r="U825" s="26" t="s">
        <v>1720</v>
      </c>
      <c r="V825" s="26" t="s">
        <v>1721</v>
      </c>
      <c r="W825" s="62">
        <v>44816</v>
      </c>
      <c r="X825" s="62">
        <v>45086</v>
      </c>
      <c r="Y825" s="62"/>
      <c r="Z825" s="62"/>
      <c r="AA825" s="22" t="s">
        <v>1102</v>
      </c>
      <c r="AB825" s="23"/>
      <c r="AC825" s="23"/>
      <c r="AD825" s="23"/>
      <c r="AE825" s="23" t="s">
        <v>731</v>
      </c>
      <c r="AF825" s="23" t="s">
        <v>731</v>
      </c>
      <c r="AG825" s="23" t="s">
        <v>731</v>
      </c>
      <c r="AH825" s="23" t="s">
        <v>731</v>
      </c>
      <c r="AI825" s="23" t="s">
        <v>731</v>
      </c>
      <c r="AJ825" s="23" t="s">
        <v>731</v>
      </c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42">
        <v>21.12</v>
      </c>
      <c r="AW825" s="42"/>
      <c r="AY825" s="18"/>
      <c r="AZ825" s="18"/>
      <c r="BB825" s="43">
        <v>2</v>
      </c>
      <c r="BC825" s="41">
        <f>IF(AND((AV825/I825)&lt;2,BB825=1),(I825*2)-AV825,0)</f>
        <v>0</v>
      </c>
      <c r="BD825" s="41">
        <f>IF(AND((AV825/I825)&lt;3,BB825=2),(I825*3)-AV825,0)</f>
        <v>0</v>
      </c>
      <c r="BG825" s="18"/>
      <c r="BH825" s="18">
        <v>15</v>
      </c>
      <c r="BI825" s="18">
        <v>20</v>
      </c>
      <c r="BJ825" s="18">
        <v>21</v>
      </c>
      <c r="BK825" s="18">
        <v>15</v>
      </c>
      <c r="BL825" s="18">
        <v>17</v>
      </c>
      <c r="BM825" s="55">
        <f>SUM(AV825:AX825)+SUM(BC825:BD825)+SUM(BE825:BF825)+BG825</f>
        <v>21.12</v>
      </c>
      <c r="BN825" s="55"/>
      <c r="BO825" s="55"/>
      <c r="BP825" s="55"/>
      <c r="BQ825" s="55"/>
      <c r="BR825" s="55"/>
      <c r="BS825" s="55"/>
      <c r="BT825" s="55"/>
      <c r="BU825" s="55"/>
      <c r="BV825" s="55"/>
      <c r="BW825" s="55"/>
      <c r="BX825" s="55"/>
      <c r="BY825" s="55"/>
    </row>
    <row r="826" spans="1:77" ht="45">
      <c r="B826" s="89">
        <v>810</v>
      </c>
      <c r="C826" s="101">
        <v>625</v>
      </c>
      <c r="D826" s="101">
        <v>506</v>
      </c>
      <c r="E826" s="102">
        <v>0.72916666666666663</v>
      </c>
      <c r="F826" s="102">
        <v>0.75069444444444444</v>
      </c>
      <c r="G826" s="103" t="s">
        <v>63</v>
      </c>
      <c r="H826" s="93" t="s">
        <v>478</v>
      </c>
      <c r="I826" s="101">
        <v>14</v>
      </c>
      <c r="J826" s="104">
        <v>19</v>
      </c>
      <c r="K826" s="98">
        <v>240</v>
      </c>
      <c r="L826" s="99" t="s">
        <v>1204</v>
      </c>
      <c r="M826" s="87" t="s">
        <v>953</v>
      </c>
      <c r="N826" s="87">
        <v>24</v>
      </c>
      <c r="O826" s="87" t="s">
        <v>794</v>
      </c>
      <c r="P826" s="87">
        <v>21</v>
      </c>
      <c r="Q826" s="87" t="s">
        <v>954</v>
      </c>
      <c r="R826" s="84">
        <v>21</v>
      </c>
      <c r="S826" s="26" t="s">
        <v>1722</v>
      </c>
      <c r="T826" s="26" t="s">
        <v>1723</v>
      </c>
      <c r="U826" s="26">
        <v>6191</v>
      </c>
      <c r="V826" s="26" t="s">
        <v>1724</v>
      </c>
      <c r="W826" s="63">
        <v>44816</v>
      </c>
      <c r="X826" s="63">
        <v>45100</v>
      </c>
      <c r="Y826" s="63"/>
      <c r="Z826" s="63"/>
      <c r="AA826" s="26" t="s">
        <v>1112</v>
      </c>
      <c r="AB826" s="23" t="s">
        <v>731</v>
      </c>
      <c r="AC826" s="23"/>
      <c r="AD826" s="23" t="s">
        <v>731</v>
      </c>
      <c r="AE826" s="23"/>
      <c r="AF826" s="23" t="s">
        <v>731</v>
      </c>
      <c r="AG826" s="23" t="s">
        <v>731</v>
      </c>
      <c r="AH826" s="23" t="s">
        <v>731</v>
      </c>
      <c r="AI826" s="23" t="s">
        <v>731</v>
      </c>
      <c r="AJ826" s="23" t="s">
        <v>731</v>
      </c>
      <c r="AK826" s="23" t="s">
        <v>731</v>
      </c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W826" s="41">
        <f>1.9*14</f>
        <v>26.599999999999998</v>
      </c>
      <c r="AY826" s="18"/>
      <c r="AZ826" s="18"/>
      <c r="BB826" s="45">
        <v>1</v>
      </c>
      <c r="BD826" s="41"/>
      <c r="BE826" s="41">
        <f>IF(AND((AW826/I826)&lt;2,BB826=1),(I826*2)-AW826,0)</f>
        <v>1.4000000000000021</v>
      </c>
      <c r="BF826" s="41">
        <f>IF(AND((AW826/I826)&lt;3,BB826=2),(I826*3)-AW826,0)</f>
        <v>0</v>
      </c>
      <c r="BG826" s="18"/>
      <c r="BH826" s="18">
        <v>17</v>
      </c>
      <c r="BI826" s="18">
        <v>26</v>
      </c>
      <c r="BJ826" s="18">
        <v>25</v>
      </c>
      <c r="BK826" s="18">
        <v>25</v>
      </c>
      <c r="BL826" s="18">
        <v>25</v>
      </c>
      <c r="BM826" s="55">
        <f>SUM(AV826:AX826)+SUM(BC826:BD826)+SUM(BE826:BF826)+BG826</f>
        <v>28</v>
      </c>
      <c r="BN826" s="55"/>
      <c r="BO826" s="55"/>
      <c r="BP826" s="55"/>
      <c r="BQ826" s="55"/>
      <c r="BR826" s="55"/>
      <c r="BS826" s="55"/>
      <c r="BT826" s="55"/>
      <c r="BU826" s="55"/>
      <c r="BV826" s="55"/>
      <c r="BW826" s="55"/>
      <c r="BX826" s="55"/>
      <c r="BY826" s="55"/>
    </row>
    <row r="827" spans="1:77" ht="45">
      <c r="B827" s="89">
        <v>811</v>
      </c>
      <c r="C827" s="101">
        <v>625</v>
      </c>
      <c r="D827" s="101">
        <v>701</v>
      </c>
      <c r="E827" s="102">
        <v>0.75069444444444444</v>
      </c>
      <c r="F827" s="102">
        <v>0.76388888888888884</v>
      </c>
      <c r="G827" s="103" t="s">
        <v>62</v>
      </c>
      <c r="H827" s="93" t="s">
        <v>478</v>
      </c>
      <c r="I827" s="101">
        <v>14</v>
      </c>
      <c r="J827" s="104">
        <v>19</v>
      </c>
      <c r="K827" s="98">
        <v>240</v>
      </c>
      <c r="L827" s="99" t="s">
        <v>1204</v>
      </c>
      <c r="M827" s="87" t="s">
        <v>953</v>
      </c>
      <c r="N827" s="87">
        <v>24</v>
      </c>
      <c r="O827" s="87" t="s">
        <v>794</v>
      </c>
      <c r="P827" s="87">
        <v>21</v>
      </c>
      <c r="Q827" s="87" t="s">
        <v>954</v>
      </c>
      <c r="R827" s="84">
        <v>21</v>
      </c>
      <c r="S827" s="26">
        <v>6191</v>
      </c>
      <c r="T827" s="26" t="s">
        <v>1724</v>
      </c>
      <c r="U827" s="26">
        <v>6220</v>
      </c>
      <c r="V827" s="26" t="s">
        <v>1357</v>
      </c>
      <c r="W827" s="63">
        <v>44816</v>
      </c>
      <c r="X827" s="63">
        <v>45100</v>
      </c>
      <c r="Y827" s="63"/>
      <c r="Z827" s="63"/>
      <c r="AA827" s="26" t="s">
        <v>1112</v>
      </c>
      <c r="AB827" s="23" t="s">
        <v>731</v>
      </c>
      <c r="AC827" s="23"/>
      <c r="AD827" s="23" t="s">
        <v>731</v>
      </c>
      <c r="AE827" s="23"/>
      <c r="AF827" s="23" t="s">
        <v>731</v>
      </c>
      <c r="AG827" s="23" t="s">
        <v>731</v>
      </c>
      <c r="AH827" s="23" t="s">
        <v>731</v>
      </c>
      <c r="AI827" s="23" t="s">
        <v>731</v>
      </c>
      <c r="AJ827" s="23" t="s">
        <v>731</v>
      </c>
      <c r="AK827" s="23" t="s">
        <v>731</v>
      </c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W827" s="41">
        <f>1.9*14</f>
        <v>26.599999999999998</v>
      </c>
      <c r="AY827" s="18"/>
      <c r="AZ827" s="18"/>
      <c r="BB827" s="45">
        <v>1</v>
      </c>
      <c r="BD827" s="41"/>
      <c r="BE827" s="41">
        <f>IF(AND((AW827/I827)&lt;2,BB827=1),(I827*2)-AW827,0)</f>
        <v>1.4000000000000021</v>
      </c>
      <c r="BF827" s="41">
        <f>IF(AND((AW827/I827)&lt;3,BB827=2),(I827*3)-AW827,0)</f>
        <v>0</v>
      </c>
      <c r="BG827" s="18"/>
      <c r="BH827" s="18">
        <v>17</v>
      </c>
      <c r="BI827" s="18">
        <v>26</v>
      </c>
      <c r="BJ827" s="18">
        <v>25</v>
      </c>
      <c r="BK827" s="18">
        <v>25</v>
      </c>
      <c r="BL827" s="18">
        <v>25</v>
      </c>
      <c r="BM827" s="55">
        <f>SUM(AV827:AX827)+SUM(BC827:BD827)+SUM(BE827:BF827)+BG827</f>
        <v>28</v>
      </c>
      <c r="BN827" s="55"/>
      <c r="BO827" s="55"/>
      <c r="BP827" s="55"/>
      <c r="BQ827" s="55"/>
      <c r="BR827" s="55"/>
      <c r="BS827" s="55"/>
      <c r="BT827" s="55"/>
      <c r="BU827" s="55"/>
      <c r="BV827" s="55"/>
      <c r="BW827" s="55"/>
      <c r="BX827" s="55"/>
      <c r="BY827" s="55"/>
    </row>
    <row r="828" spans="1:77" s="40" customFormat="1" ht="45">
      <c r="A828" s="2"/>
      <c r="B828" s="89">
        <v>812</v>
      </c>
      <c r="C828" s="93">
        <v>627</v>
      </c>
      <c r="D828" s="93">
        <v>403</v>
      </c>
      <c r="E828" s="94">
        <v>0.25208333333333333</v>
      </c>
      <c r="F828" s="94">
        <v>0.27083333333333331</v>
      </c>
      <c r="G828" s="93" t="s">
        <v>655</v>
      </c>
      <c r="H828" s="93" t="s">
        <v>103</v>
      </c>
      <c r="I828" s="96">
        <v>12</v>
      </c>
      <c r="J828" s="97" t="s">
        <v>93</v>
      </c>
      <c r="K828" s="98">
        <v>174</v>
      </c>
      <c r="L828" s="225" t="s">
        <v>777</v>
      </c>
      <c r="M828" s="226" t="s">
        <v>792</v>
      </c>
      <c r="N828" s="226">
        <v>21</v>
      </c>
      <c r="O828" s="152" t="s">
        <v>872</v>
      </c>
      <c r="P828" s="152">
        <v>23</v>
      </c>
      <c r="Q828" s="87" t="s">
        <v>1950</v>
      </c>
      <c r="R828" s="87" t="s">
        <v>1914</v>
      </c>
      <c r="S828" s="26" t="s">
        <v>1725</v>
      </c>
      <c r="T828" s="26" t="s">
        <v>1726</v>
      </c>
      <c r="U828" s="26">
        <v>6200</v>
      </c>
      <c r="V828" s="26" t="s">
        <v>1694</v>
      </c>
      <c r="W828" s="62">
        <v>44816</v>
      </c>
      <c r="X828" s="62">
        <v>45086</v>
      </c>
      <c r="Y828" s="62"/>
      <c r="Z828" s="62"/>
      <c r="AA828" s="22" t="s">
        <v>1102</v>
      </c>
      <c r="AB828" s="23"/>
      <c r="AC828" s="23"/>
      <c r="AD828" s="23"/>
      <c r="AE828" s="23" t="s">
        <v>731</v>
      </c>
      <c r="AF828" s="23" t="s">
        <v>731</v>
      </c>
      <c r="AG828" s="23" t="s">
        <v>731</v>
      </c>
      <c r="AH828" s="23" t="s">
        <v>731</v>
      </c>
      <c r="AI828" s="23" t="s">
        <v>731</v>
      </c>
      <c r="AJ828" s="23" t="s">
        <v>731</v>
      </c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42">
        <v>10</v>
      </c>
      <c r="AW828" s="59">
        <v>38</v>
      </c>
      <c r="AX828" s="18"/>
      <c r="AY828" s="18"/>
      <c r="AZ828" s="18"/>
      <c r="BA828" s="18"/>
      <c r="BB828" s="45">
        <v>1</v>
      </c>
      <c r="BC828" s="41">
        <f>IF(AND(((AV828+AW828)/I828)&lt;2,BB828=1),(I828*2)-(AV828+AW828),0)</f>
        <v>0</v>
      </c>
      <c r="BD828" s="41">
        <f>IF(AND((AV828/I828)&lt;3,BB828=2),(I828*3)-AV828,0)</f>
        <v>0</v>
      </c>
      <c r="BG828" s="41">
        <f>IF((AV828+AW828+AX828+BC828)&lt;20,(20-(AV828+AW828+AX828)),0)</f>
        <v>0</v>
      </c>
      <c r="BH828" s="18">
        <v>15</v>
      </c>
      <c r="BI828" s="18">
        <v>20</v>
      </c>
      <c r="BJ828" s="18">
        <v>21</v>
      </c>
      <c r="BK828" s="18">
        <v>15</v>
      </c>
      <c r="BL828" s="18">
        <v>17</v>
      </c>
      <c r="BM828" s="55">
        <f>SUM(AV828:AX828)+SUM(BC828:BD828)+SUM(BE828:BF828)+BG828</f>
        <v>48</v>
      </c>
      <c r="BN828" s="55"/>
      <c r="BO828" s="55"/>
      <c r="BP828" s="55"/>
      <c r="BQ828" s="55"/>
      <c r="BR828" s="55"/>
      <c r="BS828" s="55"/>
      <c r="BT828" s="55"/>
      <c r="BU828" s="55"/>
      <c r="BV828" s="55"/>
      <c r="BW828" s="55"/>
      <c r="BX828" s="55"/>
      <c r="BY828" s="55"/>
    </row>
    <row r="829" spans="1:77" s="40" customFormat="1" ht="45">
      <c r="A829" s="2"/>
      <c r="B829" s="89">
        <v>813</v>
      </c>
      <c r="C829" s="101">
        <v>627</v>
      </c>
      <c r="D829" s="101">
        <v>403</v>
      </c>
      <c r="E829" s="108">
        <v>0.25347222222222221</v>
      </c>
      <c r="F829" s="108">
        <v>0.27083333333333331</v>
      </c>
      <c r="G829" s="103" t="s">
        <v>656</v>
      </c>
      <c r="H829" s="93" t="s">
        <v>533</v>
      </c>
      <c r="I829" s="101">
        <v>11</v>
      </c>
      <c r="J829" s="104">
        <v>19</v>
      </c>
      <c r="K829" s="98">
        <v>34</v>
      </c>
      <c r="L829" s="225" t="s">
        <v>777</v>
      </c>
      <c r="M829" s="226" t="s">
        <v>792</v>
      </c>
      <c r="N829" s="226">
        <v>21</v>
      </c>
      <c r="O829" s="152" t="s">
        <v>872</v>
      </c>
      <c r="P829" s="152">
        <v>23</v>
      </c>
      <c r="Q829" s="87" t="s">
        <v>1950</v>
      </c>
      <c r="R829" s="87" t="s">
        <v>1914</v>
      </c>
      <c r="S829" s="26">
        <v>6504</v>
      </c>
      <c r="T829" s="26" t="s">
        <v>1727</v>
      </c>
      <c r="U829" s="26">
        <v>6200</v>
      </c>
      <c r="V829" s="26" t="s">
        <v>1694</v>
      </c>
      <c r="W829" s="62">
        <v>44816</v>
      </c>
      <c r="X829" s="62">
        <v>45086</v>
      </c>
      <c r="Y829" s="62"/>
      <c r="Z829" s="62"/>
      <c r="AA829" s="23" t="s">
        <v>1111</v>
      </c>
      <c r="AB829" s="23"/>
      <c r="AC829" s="23"/>
      <c r="AD829" s="23"/>
      <c r="AE829" s="23" t="s">
        <v>731</v>
      </c>
      <c r="AF829" s="23"/>
      <c r="AG829" s="23"/>
      <c r="AH829" s="23"/>
      <c r="AI829" s="23"/>
      <c r="AJ829" s="23"/>
      <c r="AK829" s="23" t="s">
        <v>731</v>
      </c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41"/>
      <c r="AW829" s="59">
        <v>38</v>
      </c>
      <c r="AX829" s="18"/>
      <c r="AY829" s="18"/>
      <c r="AZ829" s="18"/>
      <c r="BA829" s="18"/>
      <c r="BB829" s="45">
        <v>1</v>
      </c>
      <c r="BD829" s="41"/>
      <c r="BE829" s="41">
        <f>IF(AND((AW829/I829)&lt;2,BB829=1),(I829*2)-AW829,0)</f>
        <v>0</v>
      </c>
      <c r="BF829" s="41">
        <f>IF(AND((AW829/I829)&lt;3,BB829=2),(I829*3)-AW829,0)</f>
        <v>0</v>
      </c>
      <c r="BG829" s="41">
        <f>IF((AV829+AW829+AX829)&lt;20,(20-(AV829+AW829+AX829)),0)</f>
        <v>0</v>
      </c>
      <c r="BH829" s="18">
        <v>2</v>
      </c>
      <c r="BI829" s="18">
        <v>5</v>
      </c>
      <c r="BJ829" s="18">
        <v>4</v>
      </c>
      <c r="BK829" s="18">
        <v>3</v>
      </c>
      <c r="BL829" s="18">
        <v>3</v>
      </c>
      <c r="BM829" s="55">
        <f>SUM(AV829:AX829)+SUM(BC829:BD829)+SUM(BE829:BF829)+BG829</f>
        <v>38</v>
      </c>
      <c r="BN829" s="55"/>
      <c r="BO829" s="55"/>
      <c r="BP829" s="55"/>
      <c r="BQ829" s="55"/>
      <c r="BR829" s="55"/>
      <c r="BS829" s="55"/>
      <c r="BT829" s="55"/>
      <c r="BU829" s="55"/>
      <c r="BV829" s="55"/>
      <c r="BW829" s="55"/>
      <c r="BX829" s="55"/>
      <c r="BY829" s="55"/>
    </row>
    <row r="830" spans="1:77" s="40" customFormat="1" ht="25.5">
      <c r="A830" s="2"/>
      <c r="B830" s="89">
        <v>814</v>
      </c>
      <c r="C830" s="93">
        <v>627</v>
      </c>
      <c r="D830" s="93">
        <v>243</v>
      </c>
      <c r="E830" s="94">
        <v>0.28819444444444448</v>
      </c>
      <c r="F830" s="94">
        <v>0.30625000000000002</v>
      </c>
      <c r="G830" s="93" t="s">
        <v>113</v>
      </c>
      <c r="H830" s="93" t="s">
        <v>103</v>
      </c>
      <c r="I830" s="96">
        <v>13</v>
      </c>
      <c r="J830" s="97" t="s">
        <v>111</v>
      </c>
      <c r="K830" s="98">
        <v>174</v>
      </c>
      <c r="L830" s="99" t="s">
        <v>779</v>
      </c>
      <c r="M830" s="83" t="s">
        <v>973</v>
      </c>
      <c r="N830" s="83">
        <v>51</v>
      </c>
      <c r="O830" s="87" t="s">
        <v>974</v>
      </c>
      <c r="P830" s="87">
        <v>58</v>
      </c>
      <c r="Q830" s="2"/>
      <c r="R830" s="83"/>
      <c r="S830" s="26">
        <v>6502</v>
      </c>
      <c r="T830" s="26" t="s">
        <v>1728</v>
      </c>
      <c r="U830" s="26" t="s">
        <v>1715</v>
      </c>
      <c r="V830" s="26" t="s">
        <v>1716</v>
      </c>
      <c r="W830" s="62">
        <v>44816</v>
      </c>
      <c r="X830" s="62">
        <v>45086</v>
      </c>
      <c r="Y830" s="62"/>
      <c r="Z830" s="62"/>
      <c r="AA830" s="22" t="s">
        <v>1102</v>
      </c>
      <c r="AB830" s="23"/>
      <c r="AC830" s="23"/>
      <c r="AD830" s="23"/>
      <c r="AE830" s="23" t="s">
        <v>731</v>
      </c>
      <c r="AF830" s="23" t="s">
        <v>731</v>
      </c>
      <c r="AG830" s="23" t="s">
        <v>731</v>
      </c>
      <c r="AH830" s="23" t="s">
        <v>731</v>
      </c>
      <c r="AI830" s="23" t="s">
        <v>731</v>
      </c>
      <c r="AJ830" s="23" t="s">
        <v>731</v>
      </c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42">
        <v>100</v>
      </c>
      <c r="AW830" s="42"/>
      <c r="AX830" s="18"/>
      <c r="AY830" s="18"/>
      <c r="AZ830" s="18"/>
      <c r="BA830" s="18"/>
      <c r="BB830" s="43">
        <v>2</v>
      </c>
      <c r="BC830" s="41">
        <f>IF(AND((AV830/I830)&lt;2,BB830=1),(I830*2)-AV830,0)</f>
        <v>0</v>
      </c>
      <c r="BD830" s="41">
        <f>IF(AND((AV830/I830)&lt;3,BB830=2),(I830*3)-AV830,0)</f>
        <v>0</v>
      </c>
      <c r="BG830" s="41">
        <f>IF((AV830+AW830+AX830)&lt;20,(20-(AV830+AW830+AX830)),0)</f>
        <v>0</v>
      </c>
      <c r="BH830" s="18">
        <v>15</v>
      </c>
      <c r="BI830" s="18">
        <v>20</v>
      </c>
      <c r="BJ830" s="18">
        <v>21</v>
      </c>
      <c r="BK830" s="18">
        <v>15</v>
      </c>
      <c r="BL830" s="18">
        <v>17</v>
      </c>
      <c r="BM830" s="55">
        <f>SUM(AV830:AX830)+SUM(BC830:BD830)+SUM(BE830:BF830)+BG830</f>
        <v>100</v>
      </c>
      <c r="BN830" s="55"/>
      <c r="BO830" s="55"/>
      <c r="BP830" s="55"/>
      <c r="BQ830" s="55"/>
      <c r="BR830" s="55"/>
      <c r="BS830" s="55"/>
      <c r="BT830" s="55"/>
      <c r="BU830" s="55"/>
      <c r="BV830" s="55"/>
      <c r="BW830" s="55"/>
      <c r="BX830" s="55"/>
      <c r="BY830" s="55"/>
    </row>
    <row r="831" spans="1:77" s="40" customFormat="1" ht="45">
      <c r="A831" s="2"/>
      <c r="B831" s="89">
        <v>815</v>
      </c>
      <c r="C831" s="93">
        <v>627</v>
      </c>
      <c r="D831" s="93">
        <v>778</v>
      </c>
      <c r="E831" s="94">
        <v>0.54999999999999993</v>
      </c>
      <c r="F831" s="94">
        <v>0.56736111111111109</v>
      </c>
      <c r="G831" s="93" t="s">
        <v>130</v>
      </c>
      <c r="H831" s="93" t="s">
        <v>648</v>
      </c>
      <c r="I831" s="96">
        <v>14</v>
      </c>
      <c r="J831" s="97" t="s">
        <v>127</v>
      </c>
      <c r="K831" s="98">
        <v>34</v>
      </c>
      <c r="L831" s="99" t="s">
        <v>1204</v>
      </c>
      <c r="M831" s="83" t="s">
        <v>957</v>
      </c>
      <c r="N831" s="83">
        <v>43</v>
      </c>
      <c r="O831" s="87" t="s">
        <v>1277</v>
      </c>
      <c r="P831" s="87">
        <v>24</v>
      </c>
      <c r="Q831" s="87" t="s">
        <v>1276</v>
      </c>
      <c r="R831" s="84">
        <v>55</v>
      </c>
      <c r="S831" s="26">
        <v>6200</v>
      </c>
      <c r="T831" s="26" t="s">
        <v>1694</v>
      </c>
      <c r="U831" s="26">
        <v>6504</v>
      </c>
      <c r="V831" s="26" t="s">
        <v>1727</v>
      </c>
      <c r="W831" s="62">
        <v>44816</v>
      </c>
      <c r="X831" s="62">
        <v>45086</v>
      </c>
      <c r="Y831" s="62"/>
      <c r="Z831" s="62"/>
      <c r="AA831" s="26" t="s">
        <v>1111</v>
      </c>
      <c r="AB831" s="23"/>
      <c r="AC831" s="23"/>
      <c r="AD831" s="23"/>
      <c r="AE831" s="23" t="s">
        <v>731</v>
      </c>
      <c r="AF831" s="23"/>
      <c r="AG831" s="23"/>
      <c r="AH831" s="23"/>
      <c r="AI831" s="23"/>
      <c r="AJ831" s="23"/>
      <c r="AK831" s="23" t="s">
        <v>731</v>
      </c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42">
        <v>25.2</v>
      </c>
      <c r="AW831" s="42"/>
      <c r="AX831" s="18"/>
      <c r="AY831" s="18"/>
      <c r="AZ831" s="18"/>
      <c r="BA831" s="18"/>
      <c r="BB831" s="43">
        <v>2</v>
      </c>
      <c r="BC831" s="41">
        <f>IF(AND((AV831/I831)&lt;2,BB831=1),(I831*2)-AV831,0)</f>
        <v>0</v>
      </c>
      <c r="BD831" s="41">
        <f>IF(AND((AV831/I831)&lt;3,BB831=2),(I831*3)-AV831,0)</f>
        <v>16.8</v>
      </c>
      <c r="BH831" s="18">
        <v>2</v>
      </c>
      <c r="BI831" s="18">
        <v>5</v>
      </c>
      <c r="BJ831" s="18">
        <v>4</v>
      </c>
      <c r="BK831" s="18">
        <v>3</v>
      </c>
      <c r="BL831" s="18">
        <v>3</v>
      </c>
      <c r="BM831" s="55">
        <f>SUM(AV831:AX831)+SUM(BC831:BD831)+SUM(BE831:BF831)+BG831</f>
        <v>42</v>
      </c>
      <c r="BN831" s="55"/>
      <c r="BO831" s="55"/>
      <c r="BP831" s="55"/>
      <c r="BQ831" s="55"/>
      <c r="BR831" s="55"/>
      <c r="BS831" s="55"/>
      <c r="BT831" s="55"/>
      <c r="BU831" s="55"/>
      <c r="BV831" s="55"/>
      <c r="BW831" s="55"/>
      <c r="BX831" s="55"/>
      <c r="BY831" s="55"/>
    </row>
    <row r="832" spans="1:77" s="40" customFormat="1" ht="45">
      <c r="A832" s="2"/>
      <c r="B832" s="89">
        <v>816</v>
      </c>
      <c r="C832" s="93">
        <v>627</v>
      </c>
      <c r="D832" s="93">
        <v>778</v>
      </c>
      <c r="E832" s="94">
        <v>0.55902777777777779</v>
      </c>
      <c r="F832" s="94">
        <v>0.57638888888888895</v>
      </c>
      <c r="G832" s="93" t="s">
        <v>130</v>
      </c>
      <c r="H832" s="93" t="s">
        <v>103</v>
      </c>
      <c r="I832" s="96">
        <v>14</v>
      </c>
      <c r="J832" s="97" t="s">
        <v>127</v>
      </c>
      <c r="K832" s="98">
        <v>174</v>
      </c>
      <c r="L832" s="99" t="s">
        <v>1204</v>
      </c>
      <c r="M832" s="83" t="s">
        <v>957</v>
      </c>
      <c r="N832" s="83">
        <v>43</v>
      </c>
      <c r="O832" s="87" t="s">
        <v>1275</v>
      </c>
      <c r="P832" s="87">
        <v>54</v>
      </c>
      <c r="Q832" s="87" t="s">
        <v>1276</v>
      </c>
      <c r="R832" s="84">
        <v>55</v>
      </c>
      <c r="S832" s="26">
        <v>6200</v>
      </c>
      <c r="T832" s="26" t="s">
        <v>1694</v>
      </c>
      <c r="U832" s="26">
        <v>6504</v>
      </c>
      <c r="V832" s="26" t="s">
        <v>1727</v>
      </c>
      <c r="W832" s="62">
        <v>44816</v>
      </c>
      <c r="X832" s="62">
        <v>45086</v>
      </c>
      <c r="Y832" s="62"/>
      <c r="Z832" s="62"/>
      <c r="AA832" s="22" t="s">
        <v>1102</v>
      </c>
      <c r="AB832" s="23"/>
      <c r="AC832" s="23"/>
      <c r="AD832" s="23"/>
      <c r="AE832" s="23" t="s">
        <v>731</v>
      </c>
      <c r="AF832" s="23" t="s">
        <v>731</v>
      </c>
      <c r="AG832" s="23" t="s">
        <v>731</v>
      </c>
      <c r="AH832" s="23" t="s">
        <v>731</v>
      </c>
      <c r="AI832" s="23" t="s">
        <v>731</v>
      </c>
      <c r="AJ832" s="23" t="s">
        <v>731</v>
      </c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42">
        <v>25.2</v>
      </c>
      <c r="AW832" s="42"/>
      <c r="AX832" s="18"/>
      <c r="AY832" s="18"/>
      <c r="AZ832" s="18"/>
      <c r="BA832" s="18"/>
      <c r="BB832" s="43">
        <v>2</v>
      </c>
      <c r="BC832" s="41">
        <f>IF(AND((AV832/I832)&lt;2,BB832=1),(I832*2)-AV832,0)</f>
        <v>0</v>
      </c>
      <c r="BD832" s="41">
        <f>IF(AND((AV832/I832)&lt;3,BB832=2),(I832*3)-AV832,0)</f>
        <v>16.8</v>
      </c>
      <c r="BH832" s="18">
        <v>15</v>
      </c>
      <c r="BI832" s="18">
        <v>20</v>
      </c>
      <c r="BJ832" s="18">
        <v>21</v>
      </c>
      <c r="BK832" s="18">
        <v>15</v>
      </c>
      <c r="BL832" s="18">
        <v>17</v>
      </c>
      <c r="BM832" s="55">
        <f>SUM(AV832:AX832)+SUM(BC832:BD832)+SUM(BE832:BF832)+BG832</f>
        <v>42</v>
      </c>
      <c r="BN832" s="55"/>
      <c r="BO832" s="55"/>
      <c r="BP832" s="55"/>
      <c r="BQ832" s="55"/>
      <c r="BR832" s="55"/>
      <c r="BS832" s="55"/>
      <c r="BT832" s="55"/>
      <c r="BU832" s="55"/>
      <c r="BV832" s="55"/>
      <c r="BW832" s="55"/>
      <c r="BX832" s="55"/>
      <c r="BY832" s="55"/>
    </row>
    <row r="833" spans="1:77" s="40" customFormat="1" ht="45">
      <c r="A833" s="2"/>
      <c r="B833" s="89">
        <v>817</v>
      </c>
      <c r="C833" s="93">
        <v>627</v>
      </c>
      <c r="D833" s="93">
        <v>778</v>
      </c>
      <c r="E833" s="105">
        <v>0.57638888888888895</v>
      </c>
      <c r="F833" s="105">
        <v>0.57847222222222217</v>
      </c>
      <c r="G833" s="93" t="s">
        <v>483</v>
      </c>
      <c r="H833" s="93" t="s">
        <v>658</v>
      </c>
      <c r="I833" s="96">
        <v>1</v>
      </c>
      <c r="J833" s="97" t="s">
        <v>127</v>
      </c>
      <c r="K833" s="98">
        <f>34+36+36</f>
        <v>106</v>
      </c>
      <c r="L833" s="99" t="s">
        <v>1204</v>
      </c>
      <c r="M833" s="83" t="s">
        <v>957</v>
      </c>
      <c r="N833" s="83">
        <v>43</v>
      </c>
      <c r="O833" s="87" t="s">
        <v>1275</v>
      </c>
      <c r="P833" s="87">
        <v>54</v>
      </c>
      <c r="Q833" s="87" t="s">
        <v>1276</v>
      </c>
      <c r="R833" s="84">
        <v>55</v>
      </c>
      <c r="S833" s="26">
        <v>6504</v>
      </c>
      <c r="T833" s="26" t="s">
        <v>1727</v>
      </c>
      <c r="U833" s="26" t="s">
        <v>1725</v>
      </c>
      <c r="V833" s="26" t="s">
        <v>1726</v>
      </c>
      <c r="W833" s="62">
        <v>44816</v>
      </c>
      <c r="X833" s="62">
        <v>45086</v>
      </c>
      <c r="Y833" s="62"/>
      <c r="Z833" s="62"/>
      <c r="AA833" s="24" t="s">
        <v>1154</v>
      </c>
      <c r="AB833" s="23"/>
      <c r="AC833" s="23"/>
      <c r="AD833" s="23"/>
      <c r="AE833" s="23" t="s">
        <v>731</v>
      </c>
      <c r="AF833" s="23"/>
      <c r="AG833" s="23" t="s">
        <v>731</v>
      </c>
      <c r="AH833" s="23" t="s">
        <v>731</v>
      </c>
      <c r="AI833" s="23"/>
      <c r="AJ833" s="23" t="s">
        <v>731</v>
      </c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42">
        <v>3</v>
      </c>
      <c r="AW833" s="42"/>
      <c r="AX833" s="18"/>
      <c r="AY833" s="18"/>
      <c r="AZ833" s="18"/>
      <c r="BA833" s="18"/>
      <c r="BB833" s="43">
        <v>2</v>
      </c>
      <c r="BC833" s="41">
        <f>IF(AND((AV833/I833)&lt;2,BB833=1),(I833*2)-AV833,0)</f>
        <v>0</v>
      </c>
      <c r="BD833" s="41">
        <f>IF(AND((AV833/I833)&lt;3,BB833=2),(I833*3)-AV833,0)</f>
        <v>0</v>
      </c>
      <c r="BH833" s="18">
        <v>9</v>
      </c>
      <c r="BI833" s="18">
        <v>12</v>
      </c>
      <c r="BJ833" s="18">
        <v>13</v>
      </c>
      <c r="BK833" s="40">
        <v>9</v>
      </c>
      <c r="BL833" s="40">
        <v>10</v>
      </c>
      <c r="BM833" s="55">
        <f>SUM(AV833:AX833)+SUM(BC833:BD833)+SUM(BE833:BF833)+BG833</f>
        <v>3</v>
      </c>
      <c r="BN833" s="55"/>
      <c r="BO833" s="55"/>
      <c r="BP833" s="55"/>
      <c r="BQ833" s="55"/>
      <c r="BR833" s="55"/>
      <c r="BS833" s="55"/>
      <c r="BT833" s="55"/>
      <c r="BU833" s="55"/>
      <c r="BV833" s="55"/>
      <c r="BW833" s="55"/>
      <c r="BX833" s="55"/>
      <c r="BY833" s="55"/>
    </row>
    <row r="834" spans="1:77" s="40" customFormat="1" ht="45">
      <c r="A834" s="2"/>
      <c r="B834" s="89">
        <v>818</v>
      </c>
      <c r="C834" s="93">
        <v>627</v>
      </c>
      <c r="D834" s="93">
        <v>916</v>
      </c>
      <c r="E834" s="94">
        <v>0.61805555555555558</v>
      </c>
      <c r="F834" s="94">
        <v>0.63055555555555554</v>
      </c>
      <c r="G834" s="93" t="s">
        <v>418</v>
      </c>
      <c r="H834" s="93" t="s">
        <v>103</v>
      </c>
      <c r="I834" s="96">
        <v>12</v>
      </c>
      <c r="J834" s="97" t="s">
        <v>188</v>
      </c>
      <c r="K834" s="98">
        <v>174</v>
      </c>
      <c r="L834" s="225" t="s">
        <v>777</v>
      </c>
      <c r="M834" s="226" t="s">
        <v>792</v>
      </c>
      <c r="N834" s="226">
        <v>21</v>
      </c>
      <c r="O834" s="152" t="s">
        <v>872</v>
      </c>
      <c r="P834" s="152">
        <v>23</v>
      </c>
      <c r="Q834" s="87" t="s">
        <v>1943</v>
      </c>
      <c r="R834" s="87" t="s">
        <v>1913</v>
      </c>
      <c r="S834" s="26">
        <v>6200</v>
      </c>
      <c r="T834" s="26" t="s">
        <v>1694</v>
      </c>
      <c r="U834" s="26">
        <v>6504</v>
      </c>
      <c r="V834" s="26" t="s">
        <v>1727</v>
      </c>
      <c r="W834" s="62">
        <v>44816</v>
      </c>
      <c r="X834" s="62">
        <v>45086</v>
      </c>
      <c r="Y834" s="62"/>
      <c r="Z834" s="62"/>
      <c r="AA834" s="22" t="s">
        <v>1102</v>
      </c>
      <c r="AB834" s="23"/>
      <c r="AC834" s="23"/>
      <c r="AD834" s="23"/>
      <c r="AE834" s="23" t="s">
        <v>731</v>
      </c>
      <c r="AF834" s="23" t="s">
        <v>731</v>
      </c>
      <c r="AG834" s="23" t="s">
        <v>731</v>
      </c>
      <c r="AH834" s="23" t="s">
        <v>731</v>
      </c>
      <c r="AI834" s="23" t="s">
        <v>731</v>
      </c>
      <c r="AJ834" s="23" t="s">
        <v>731</v>
      </c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42">
        <v>21.6</v>
      </c>
      <c r="AW834" s="42"/>
      <c r="AX834" s="18"/>
      <c r="AY834" s="18"/>
      <c r="AZ834" s="18"/>
      <c r="BA834" s="18"/>
      <c r="BB834" s="45">
        <v>1</v>
      </c>
      <c r="BC834" s="41">
        <f>IF(AND((AV834/I834)&lt;2,BB834=1),(I834*2)-AV834,0)</f>
        <v>2.3999999999999986</v>
      </c>
      <c r="BD834" s="41">
        <f>IF(AND((AV834/I834)&lt;3,BB834=2),(I834*3)-AV834,0)</f>
        <v>0</v>
      </c>
      <c r="BG834" s="41">
        <f>IF((AV834+AW834+AX834)&lt;20,(20-(AV834+AW834+AX834)),0)</f>
        <v>0</v>
      </c>
      <c r="BH834" s="18">
        <v>15</v>
      </c>
      <c r="BI834" s="18">
        <v>20</v>
      </c>
      <c r="BJ834" s="18">
        <v>21</v>
      </c>
      <c r="BK834" s="18">
        <v>15</v>
      </c>
      <c r="BL834" s="18">
        <v>17</v>
      </c>
      <c r="BM834" s="55">
        <f>SUM(AV834:AX834)+SUM(BC834:BD834)+SUM(BE834:BF834)+BG834</f>
        <v>24</v>
      </c>
      <c r="BN834" s="55"/>
      <c r="BO834" s="55"/>
      <c r="BP834" s="55"/>
      <c r="BQ834" s="55"/>
      <c r="BR834" s="55"/>
      <c r="BS834" s="55"/>
      <c r="BT834" s="55"/>
      <c r="BU834" s="55"/>
      <c r="BV834" s="55"/>
      <c r="BW834" s="55"/>
      <c r="BX834" s="55"/>
      <c r="BY834" s="55"/>
    </row>
    <row r="835" spans="1:77" s="40" customFormat="1" ht="25.5">
      <c r="A835" s="2"/>
      <c r="B835" s="89">
        <v>819</v>
      </c>
      <c r="C835" s="101">
        <v>627</v>
      </c>
      <c r="D835" s="101">
        <v>246</v>
      </c>
      <c r="E835" s="102">
        <v>0.71388888888888891</v>
      </c>
      <c r="F835" s="102">
        <v>0.7402777777777777</v>
      </c>
      <c r="G835" s="103" t="s">
        <v>654</v>
      </c>
      <c r="H835" s="93" t="s">
        <v>103</v>
      </c>
      <c r="I835" s="101">
        <v>14.5</v>
      </c>
      <c r="J835" s="104">
        <v>30</v>
      </c>
      <c r="K835" s="98">
        <v>174</v>
      </c>
      <c r="L835" s="99" t="s">
        <v>776</v>
      </c>
      <c r="M835" s="87" t="s">
        <v>856</v>
      </c>
      <c r="N835" s="87">
        <v>57</v>
      </c>
      <c r="O835" s="143" t="s">
        <v>1264</v>
      </c>
      <c r="P835" s="143" t="s">
        <v>1272</v>
      </c>
      <c r="Q835" s="87" t="s">
        <v>1273</v>
      </c>
      <c r="R835" s="87">
        <v>31</v>
      </c>
      <c r="S835" s="26" t="s">
        <v>1715</v>
      </c>
      <c r="T835" s="26" t="s">
        <v>1716</v>
      </c>
      <c r="U835" s="26">
        <v>6504</v>
      </c>
      <c r="V835" s="26" t="s">
        <v>1727</v>
      </c>
      <c r="W835" s="62">
        <v>44816</v>
      </c>
      <c r="X835" s="62">
        <v>45086</v>
      </c>
      <c r="Y835" s="62"/>
      <c r="Z835" s="62"/>
      <c r="AA835" s="22" t="s">
        <v>1102</v>
      </c>
      <c r="AB835" s="23"/>
      <c r="AC835" s="23"/>
      <c r="AD835" s="23"/>
      <c r="AE835" s="23" t="s">
        <v>731</v>
      </c>
      <c r="AF835" s="23" t="s">
        <v>731</v>
      </c>
      <c r="AG835" s="23" t="s">
        <v>731</v>
      </c>
      <c r="AH835" s="23" t="s">
        <v>731</v>
      </c>
      <c r="AI835" s="23" t="s">
        <v>731</v>
      </c>
      <c r="AJ835" s="23" t="s">
        <v>731</v>
      </c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41"/>
      <c r="AW835" s="41">
        <f>2.2*13</f>
        <v>28.6</v>
      </c>
      <c r="AX835" s="18"/>
      <c r="AY835" s="48"/>
      <c r="AZ835" s="48"/>
      <c r="BA835" s="18"/>
      <c r="BB835" s="45">
        <v>1</v>
      </c>
      <c r="BD835" s="41"/>
      <c r="BE835" s="44"/>
      <c r="BF835" s="44"/>
      <c r="BH835" s="18">
        <v>15</v>
      </c>
      <c r="BI835" s="18">
        <v>20</v>
      </c>
      <c r="BJ835" s="18">
        <v>21</v>
      </c>
      <c r="BK835" s="18">
        <v>15</v>
      </c>
      <c r="BL835" s="18">
        <v>17</v>
      </c>
      <c r="BM835" s="55">
        <f>SUM(AV835:AX835)+SUM(BC835:BD835)+SUM(BE835:BF835)+BG835</f>
        <v>28.6</v>
      </c>
      <c r="BN835" s="55"/>
      <c r="BO835" s="55"/>
      <c r="BP835" s="55"/>
      <c r="BQ835" s="55"/>
      <c r="BR835" s="55"/>
      <c r="BS835" s="55"/>
      <c r="BT835" s="55"/>
      <c r="BU835" s="55"/>
      <c r="BV835" s="55"/>
      <c r="BW835" s="55"/>
      <c r="BX835" s="55"/>
      <c r="BY835" s="55"/>
    </row>
    <row r="836" spans="1:77" s="40" customFormat="1" ht="25.5">
      <c r="A836" s="2"/>
      <c r="B836" s="89">
        <v>820</v>
      </c>
      <c r="C836" s="101">
        <v>627</v>
      </c>
      <c r="D836" s="101">
        <v>247</v>
      </c>
      <c r="E836" s="102">
        <v>0.74097222222222225</v>
      </c>
      <c r="F836" s="102">
        <v>0.76041666666666663</v>
      </c>
      <c r="G836" s="103" t="s">
        <v>74</v>
      </c>
      <c r="H836" s="93" t="s">
        <v>103</v>
      </c>
      <c r="I836" s="101">
        <v>12</v>
      </c>
      <c r="J836" s="104">
        <v>30</v>
      </c>
      <c r="K836" s="98">
        <v>174</v>
      </c>
      <c r="L836" s="99" t="s">
        <v>776</v>
      </c>
      <c r="M836" s="87" t="s">
        <v>856</v>
      </c>
      <c r="N836" s="87">
        <v>57</v>
      </c>
      <c r="O836" s="143" t="s">
        <v>1264</v>
      </c>
      <c r="P836" s="143" t="s">
        <v>1272</v>
      </c>
      <c r="Q836" s="87" t="s">
        <v>1273</v>
      </c>
      <c r="R836" s="87">
        <v>31</v>
      </c>
      <c r="S836" s="26">
        <v>6504</v>
      </c>
      <c r="T836" s="26" t="s">
        <v>1727</v>
      </c>
      <c r="U836" s="26">
        <v>6220</v>
      </c>
      <c r="V836" s="26" t="s">
        <v>1357</v>
      </c>
      <c r="W836" s="62">
        <v>44816</v>
      </c>
      <c r="X836" s="62">
        <v>45086</v>
      </c>
      <c r="Y836" s="62"/>
      <c r="Z836" s="62"/>
      <c r="AA836" s="22" t="s">
        <v>1102</v>
      </c>
      <c r="AB836" s="23"/>
      <c r="AC836" s="23"/>
      <c r="AD836" s="23"/>
      <c r="AE836" s="23" t="s">
        <v>731</v>
      </c>
      <c r="AF836" s="23" t="s">
        <v>731</v>
      </c>
      <c r="AG836" s="23" t="s">
        <v>731</v>
      </c>
      <c r="AH836" s="23" t="s">
        <v>731</v>
      </c>
      <c r="AI836" s="23" t="s">
        <v>731</v>
      </c>
      <c r="AJ836" s="23" t="s">
        <v>731</v>
      </c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41"/>
      <c r="AW836" s="41">
        <f>2.2*12</f>
        <v>26.400000000000002</v>
      </c>
      <c r="AX836" s="18"/>
      <c r="AY836" s="48"/>
      <c r="AZ836" s="48"/>
      <c r="BA836" s="18"/>
      <c r="BB836" s="45">
        <v>1</v>
      </c>
      <c r="BD836" s="41"/>
      <c r="BE836" s="41">
        <f>IF(AND((AW836/I836)&lt;2,BB836=1),(I836*2)-AW836,0)</f>
        <v>0</v>
      </c>
      <c r="BF836" s="41">
        <f>IF(AND((AW836/I836)&lt;3,BB836=2),(I836*3)-AW836,0)</f>
        <v>0</v>
      </c>
      <c r="BH836" s="18">
        <v>15</v>
      </c>
      <c r="BI836" s="18">
        <v>20</v>
      </c>
      <c r="BJ836" s="18">
        <v>21</v>
      </c>
      <c r="BK836" s="18">
        <v>15</v>
      </c>
      <c r="BL836" s="18">
        <v>17</v>
      </c>
      <c r="BM836" s="55">
        <f>SUM(AV836:AX836)+SUM(BC836:BD836)+SUM(BE836:BF836)+BG836</f>
        <v>26.400000000000002</v>
      </c>
      <c r="BN836" s="55"/>
      <c r="BO836" s="55"/>
      <c r="BP836" s="55"/>
      <c r="BQ836" s="55"/>
      <c r="BR836" s="55"/>
      <c r="BS836" s="55"/>
      <c r="BT836" s="55"/>
      <c r="BU836" s="55"/>
      <c r="BV836" s="55"/>
      <c r="BW836" s="55"/>
      <c r="BX836" s="55"/>
      <c r="BY836" s="55"/>
    </row>
    <row r="837" spans="1:77" s="40" customFormat="1" ht="25.5">
      <c r="A837" s="2"/>
      <c r="B837" s="89">
        <v>821</v>
      </c>
      <c r="C837" s="101">
        <v>627</v>
      </c>
      <c r="D837" s="101">
        <v>248</v>
      </c>
      <c r="E837" s="102">
        <v>0.77430555555555547</v>
      </c>
      <c r="F837" s="102">
        <v>0.7909722222222223</v>
      </c>
      <c r="G837" s="103" t="s">
        <v>657</v>
      </c>
      <c r="H837" s="93" t="s">
        <v>97</v>
      </c>
      <c r="I837" s="101">
        <v>11</v>
      </c>
      <c r="J837" s="104">
        <v>19</v>
      </c>
      <c r="K837" s="98">
        <v>208</v>
      </c>
      <c r="L837" s="99" t="s">
        <v>777</v>
      </c>
      <c r="M837" s="83" t="s">
        <v>1064</v>
      </c>
      <c r="N837" s="83">
        <v>23</v>
      </c>
      <c r="O837" s="83" t="s">
        <v>874</v>
      </c>
      <c r="P837" s="83">
        <v>21</v>
      </c>
      <c r="Q837" s="100" t="s">
        <v>1278</v>
      </c>
      <c r="R837" s="107">
        <v>29</v>
      </c>
      <c r="S837" s="26">
        <v>6200</v>
      </c>
      <c r="T837" s="26" t="s">
        <v>1694</v>
      </c>
      <c r="U837" s="26">
        <v>6504</v>
      </c>
      <c r="V837" s="26" t="s">
        <v>1727</v>
      </c>
      <c r="W837" s="62">
        <v>44816</v>
      </c>
      <c r="X837" s="62">
        <v>45086</v>
      </c>
      <c r="Y837" s="62"/>
      <c r="Z837" s="62"/>
      <c r="AA837" s="22" t="s">
        <v>1106</v>
      </c>
      <c r="AB837" s="23"/>
      <c r="AC837" s="23"/>
      <c r="AD837" s="23"/>
      <c r="AE837" s="23" t="s">
        <v>731</v>
      </c>
      <c r="AF837" s="23" t="s">
        <v>731</v>
      </c>
      <c r="AG837" s="23" t="s">
        <v>731</v>
      </c>
      <c r="AH837" s="23" t="s">
        <v>731</v>
      </c>
      <c r="AI837" s="23" t="s">
        <v>731</v>
      </c>
      <c r="AJ837" s="23" t="s">
        <v>731</v>
      </c>
      <c r="AK837" s="23" t="s">
        <v>731</v>
      </c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41"/>
      <c r="AW837" s="41">
        <f>1.9*11</f>
        <v>20.9</v>
      </c>
      <c r="AX837" s="18"/>
      <c r="AY837" s="18"/>
      <c r="AZ837" s="18"/>
      <c r="BA837" s="18"/>
      <c r="BB837" s="45">
        <v>1</v>
      </c>
      <c r="BD837" s="41"/>
      <c r="BE837" s="41">
        <f>IF(AND((AW837/I837)&lt;2,BB837=1),(I837*2)-AW837,0)</f>
        <v>1.1000000000000014</v>
      </c>
      <c r="BF837" s="41">
        <f>IF(AND((AW837/I837)&lt;3,BB837=2),(I837*3)-AW837,0)</f>
        <v>0</v>
      </c>
      <c r="BH837" s="18">
        <v>17</v>
      </c>
      <c r="BI837" s="18">
        <v>25</v>
      </c>
      <c r="BJ837" s="18">
        <v>25</v>
      </c>
      <c r="BK837" s="18">
        <v>18</v>
      </c>
      <c r="BL837" s="18">
        <v>20</v>
      </c>
      <c r="BM837" s="55">
        <f>SUM(AV837:AX837)+SUM(BC837:BD837)+SUM(BE837:BF837)+BG837</f>
        <v>22</v>
      </c>
      <c r="BN837" s="55"/>
      <c r="BO837" s="55"/>
      <c r="BP837" s="55"/>
      <c r="BQ837" s="55"/>
      <c r="BR837" s="55"/>
      <c r="BS837" s="55"/>
      <c r="BT837" s="55"/>
      <c r="BU837" s="55"/>
      <c r="BV837" s="55"/>
      <c r="BW837" s="55"/>
      <c r="BX837" s="55"/>
      <c r="BY837" s="55"/>
    </row>
    <row r="838" spans="1:77" s="40" customFormat="1" ht="25.5">
      <c r="A838" s="2"/>
      <c r="B838" s="89">
        <v>822</v>
      </c>
      <c r="C838" s="101">
        <v>627</v>
      </c>
      <c r="D838" s="101">
        <v>249</v>
      </c>
      <c r="E838" s="102">
        <v>0.79166666666666663</v>
      </c>
      <c r="F838" s="102">
        <v>0.80555555555555547</v>
      </c>
      <c r="G838" s="103" t="s">
        <v>73</v>
      </c>
      <c r="H838" s="93" t="s">
        <v>97</v>
      </c>
      <c r="I838" s="101">
        <v>7</v>
      </c>
      <c r="J838" s="104">
        <v>19</v>
      </c>
      <c r="K838" s="98">
        <v>208</v>
      </c>
      <c r="L838" s="99" t="s">
        <v>777</v>
      </c>
      <c r="M838" s="83" t="s">
        <v>1064</v>
      </c>
      <c r="N838" s="83">
        <v>23</v>
      </c>
      <c r="O838" s="83" t="s">
        <v>874</v>
      </c>
      <c r="P838" s="83">
        <v>21</v>
      </c>
      <c r="Q838" s="100" t="s">
        <v>1278</v>
      </c>
      <c r="R838" s="107">
        <v>29</v>
      </c>
      <c r="S838" s="26">
        <v>6504</v>
      </c>
      <c r="T838" s="26" t="s">
        <v>1727</v>
      </c>
      <c r="U838" s="26">
        <v>6200</v>
      </c>
      <c r="V838" s="26" t="s">
        <v>1694</v>
      </c>
      <c r="W838" s="62">
        <v>44816</v>
      </c>
      <c r="X838" s="62">
        <v>45086</v>
      </c>
      <c r="Y838" s="62"/>
      <c r="Z838" s="62"/>
      <c r="AA838" s="22" t="s">
        <v>1106</v>
      </c>
      <c r="AB838" s="23"/>
      <c r="AC838" s="23"/>
      <c r="AD838" s="23"/>
      <c r="AE838" s="23" t="s">
        <v>731</v>
      </c>
      <c r="AF838" s="23" t="s">
        <v>731</v>
      </c>
      <c r="AG838" s="23" t="s">
        <v>731</v>
      </c>
      <c r="AH838" s="23" t="s">
        <v>731</v>
      </c>
      <c r="AI838" s="23" t="s">
        <v>731</v>
      </c>
      <c r="AJ838" s="23" t="s">
        <v>731</v>
      </c>
      <c r="AK838" s="23" t="s">
        <v>731</v>
      </c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41"/>
      <c r="AW838" s="41">
        <f>1.9*7</f>
        <v>13.299999999999999</v>
      </c>
      <c r="AX838" s="18"/>
      <c r="AY838" s="18"/>
      <c r="AZ838" s="18"/>
      <c r="BA838" s="18"/>
      <c r="BB838" s="45">
        <v>1</v>
      </c>
      <c r="BD838" s="41"/>
      <c r="BE838" s="41">
        <f>IF(AND((AW838/I838)&lt;2,BB838=1),(I838*2)-AW838,0)</f>
        <v>0.70000000000000107</v>
      </c>
      <c r="BF838" s="41">
        <f>IF(AND((AW838/I838)&lt;3,BB838=2),(I838*3)-AW838,0)</f>
        <v>0</v>
      </c>
      <c r="BH838" s="18">
        <v>17</v>
      </c>
      <c r="BI838" s="18">
        <v>25</v>
      </c>
      <c r="BJ838" s="18">
        <v>25</v>
      </c>
      <c r="BK838" s="18">
        <v>18</v>
      </c>
      <c r="BL838" s="18">
        <v>20</v>
      </c>
      <c r="BM838" s="55">
        <f>SUM(AV838:AX838)+SUM(BC838:BD838)+SUM(BE838:BF838)+BG838</f>
        <v>14</v>
      </c>
      <c r="BN838" s="55"/>
      <c r="BO838" s="55"/>
      <c r="BP838" s="55"/>
      <c r="BQ838" s="55"/>
      <c r="BR838" s="55"/>
      <c r="BS838" s="55"/>
      <c r="BT838" s="55"/>
      <c r="BU838" s="55"/>
      <c r="BV838" s="55"/>
      <c r="BW838" s="55"/>
      <c r="BX838" s="55"/>
      <c r="BY838" s="55"/>
    </row>
    <row r="839" spans="1:77" s="40" customFormat="1" ht="25.5">
      <c r="A839" s="2"/>
      <c r="B839" s="89">
        <v>823</v>
      </c>
      <c r="C839" s="93">
        <v>630</v>
      </c>
      <c r="D839" s="93">
        <v>121</v>
      </c>
      <c r="E839" s="105">
        <v>0.65625</v>
      </c>
      <c r="F839" s="105">
        <v>0.68472222222222223</v>
      </c>
      <c r="G839" s="93" t="s">
        <v>496</v>
      </c>
      <c r="H839" s="93" t="s">
        <v>537</v>
      </c>
      <c r="I839" s="96">
        <v>23</v>
      </c>
      <c r="J839" s="97" t="s">
        <v>93</v>
      </c>
      <c r="K839" s="98">
        <v>36</v>
      </c>
      <c r="L839" s="99" t="s">
        <v>777</v>
      </c>
      <c r="M839" s="87" t="s">
        <v>792</v>
      </c>
      <c r="N839" s="87">
        <v>21</v>
      </c>
      <c r="O839" s="87" t="s">
        <v>874</v>
      </c>
      <c r="P839" s="87">
        <v>21</v>
      </c>
      <c r="Q839" s="145"/>
      <c r="R839" s="87"/>
      <c r="S839" s="26" t="s">
        <v>1729</v>
      </c>
      <c r="T839" s="26" t="s">
        <v>1730</v>
      </c>
      <c r="U839" s="26">
        <v>6220</v>
      </c>
      <c r="V839" s="26" t="s">
        <v>1357</v>
      </c>
      <c r="W839" s="62">
        <v>44816</v>
      </c>
      <c r="X839" s="62">
        <v>45086</v>
      </c>
      <c r="Y839" s="62"/>
      <c r="Z839" s="62"/>
      <c r="AA839" s="23" t="s">
        <v>1121</v>
      </c>
      <c r="AB839" s="17"/>
      <c r="AC839" s="17"/>
      <c r="AD839" s="17"/>
      <c r="AE839" s="23" t="s">
        <v>731</v>
      </c>
      <c r="AF839" s="23"/>
      <c r="AG839" s="23"/>
      <c r="AH839" s="23"/>
      <c r="AI839" s="23"/>
      <c r="AJ839" s="23" t="s">
        <v>731</v>
      </c>
      <c r="AK839" s="17"/>
      <c r="AL839" s="17"/>
      <c r="AM839" s="17"/>
      <c r="AN839" s="17"/>
      <c r="AO839" s="17"/>
      <c r="AP839" s="17"/>
      <c r="AQ839" s="17"/>
      <c r="AR839" s="17"/>
      <c r="AS839" s="17"/>
      <c r="AT839" s="17"/>
      <c r="AU839" s="17"/>
      <c r="AV839" s="42">
        <v>69</v>
      </c>
      <c r="AW839" s="42"/>
      <c r="BB839" s="45">
        <v>1</v>
      </c>
      <c r="BC839" s="41">
        <f>IF(AND((AV839/I839)&lt;2,BB839=1),(I839*2)-AV839,0)</f>
        <v>0</v>
      </c>
      <c r="BD839" s="41">
        <f>IF(AND((AV839/I839)&lt;3,BB839=2),(I839*3)-AV839,0)</f>
        <v>0</v>
      </c>
      <c r="BH839" s="18">
        <v>3</v>
      </c>
      <c r="BI839" s="18">
        <v>4</v>
      </c>
      <c r="BJ839" s="18">
        <v>4</v>
      </c>
      <c r="BK839" s="18">
        <v>4</v>
      </c>
      <c r="BL839" s="18">
        <v>3</v>
      </c>
      <c r="BM839" s="55">
        <f>SUM(AV839:AX839)+SUM(BC839:BD839)+SUM(BE839:BF839)+BG839</f>
        <v>69</v>
      </c>
      <c r="BN839" s="55"/>
      <c r="BO839" s="55"/>
      <c r="BP839" s="55"/>
      <c r="BQ839" s="55"/>
      <c r="BR839" s="55"/>
      <c r="BS839" s="55"/>
      <c r="BT839" s="55"/>
      <c r="BU839" s="55"/>
      <c r="BV839" s="55"/>
      <c r="BW839" s="55"/>
      <c r="BX839" s="55"/>
      <c r="BY839" s="55"/>
    </row>
    <row r="840" spans="1:77" s="40" customFormat="1" ht="25.5">
      <c r="A840" s="2"/>
      <c r="B840" s="89">
        <v>824</v>
      </c>
      <c r="C840" s="101">
        <v>630</v>
      </c>
      <c r="D840" s="101">
        <v>117</v>
      </c>
      <c r="E840" s="102">
        <v>0.72222222222222221</v>
      </c>
      <c r="F840" s="102">
        <v>0.74583333333333324</v>
      </c>
      <c r="G840" s="103" t="s">
        <v>72</v>
      </c>
      <c r="H840" s="93" t="s">
        <v>478</v>
      </c>
      <c r="I840" s="101">
        <v>17</v>
      </c>
      <c r="J840" s="104">
        <v>19</v>
      </c>
      <c r="K840" s="98">
        <v>240</v>
      </c>
      <c r="L840" s="99" t="s">
        <v>777</v>
      </c>
      <c r="M840" s="87" t="s">
        <v>874</v>
      </c>
      <c r="N840" s="87">
        <v>21</v>
      </c>
      <c r="O840" s="100" t="s">
        <v>1278</v>
      </c>
      <c r="P840" s="100">
        <v>29</v>
      </c>
      <c r="Q840" s="145"/>
      <c r="R840" s="87"/>
      <c r="S840" s="26" t="s">
        <v>1729</v>
      </c>
      <c r="T840" s="26" t="s">
        <v>1730</v>
      </c>
      <c r="U840" s="26">
        <v>6200</v>
      </c>
      <c r="V840" s="26" t="s">
        <v>1694</v>
      </c>
      <c r="W840" s="63">
        <v>44816</v>
      </c>
      <c r="X840" s="63">
        <v>45100</v>
      </c>
      <c r="Y840" s="63"/>
      <c r="Z840" s="63"/>
      <c r="AA840" s="26" t="s">
        <v>1112</v>
      </c>
      <c r="AB840" s="23" t="s">
        <v>731</v>
      </c>
      <c r="AC840" s="23"/>
      <c r="AD840" s="23" t="s">
        <v>731</v>
      </c>
      <c r="AE840" s="23"/>
      <c r="AF840" s="23" t="s">
        <v>731</v>
      </c>
      <c r="AG840" s="23" t="s">
        <v>731</v>
      </c>
      <c r="AH840" s="23" t="s">
        <v>731</v>
      </c>
      <c r="AI840" s="23" t="s">
        <v>731</v>
      </c>
      <c r="AJ840" s="23" t="s">
        <v>731</v>
      </c>
      <c r="AK840" s="23" t="s">
        <v>731</v>
      </c>
      <c r="AL840" s="17"/>
      <c r="AM840" s="17"/>
      <c r="AN840" s="17"/>
      <c r="AO840" s="17"/>
      <c r="AP840" s="23"/>
      <c r="AQ840" s="23"/>
      <c r="AR840" s="23"/>
      <c r="AS840" s="23"/>
      <c r="AT840" s="23"/>
      <c r="AU840" s="23"/>
      <c r="AV840" s="41"/>
      <c r="AW840" s="41">
        <f>1.9*17</f>
        <v>32.299999999999997</v>
      </c>
      <c r="BB840" s="45">
        <v>1</v>
      </c>
      <c r="BD840" s="41"/>
      <c r="BE840" s="41">
        <f>IF(AND((AW840/I840)&lt;2,BB840=1),(I840*2)-AW840,0)</f>
        <v>1.7000000000000028</v>
      </c>
      <c r="BF840" s="41">
        <f>IF(AND((AW840/I840)&lt;3,BB840=2),(I840*3)-AW840,0)</f>
        <v>0</v>
      </c>
      <c r="BH840" s="18">
        <v>17</v>
      </c>
      <c r="BI840" s="18">
        <v>26</v>
      </c>
      <c r="BJ840" s="18">
        <v>25</v>
      </c>
      <c r="BK840" s="18">
        <v>25</v>
      </c>
      <c r="BL840" s="18">
        <v>25</v>
      </c>
      <c r="BM840" s="55">
        <f>SUM(AV840:AX840)+SUM(BC840:BD840)+SUM(BE840:BF840)+BG840</f>
        <v>34</v>
      </c>
      <c r="BN840" s="55"/>
      <c r="BO840" s="55"/>
      <c r="BP840" s="55"/>
      <c r="BQ840" s="55"/>
      <c r="BR840" s="55"/>
      <c r="BS840" s="55"/>
      <c r="BT840" s="55"/>
      <c r="BU840" s="55"/>
      <c r="BV840" s="55"/>
      <c r="BW840" s="55"/>
      <c r="BX840" s="55"/>
      <c r="BY840" s="55"/>
    </row>
    <row r="841" spans="1:77" s="40" customFormat="1" ht="45">
      <c r="A841" s="85"/>
      <c r="B841" s="89">
        <v>825</v>
      </c>
      <c r="C841" s="93">
        <v>630</v>
      </c>
      <c r="D841" s="93">
        <v>578</v>
      </c>
      <c r="E841" s="94">
        <v>0.73749999999999993</v>
      </c>
      <c r="F841" s="94">
        <v>0.76666666666666661</v>
      </c>
      <c r="G841" s="93" t="s">
        <v>660</v>
      </c>
      <c r="H841" s="93" t="s">
        <v>103</v>
      </c>
      <c r="I841" s="96">
        <v>25.5</v>
      </c>
      <c r="J841" s="97" t="s">
        <v>127</v>
      </c>
      <c r="K841" s="98">
        <v>174</v>
      </c>
      <c r="L841" s="99" t="s">
        <v>1204</v>
      </c>
      <c r="M841" s="87" t="s">
        <v>956</v>
      </c>
      <c r="N841" s="87">
        <v>43</v>
      </c>
      <c r="O841" s="87" t="s">
        <v>1275</v>
      </c>
      <c r="P841" s="87">
        <v>54</v>
      </c>
      <c r="Q841" s="87" t="s">
        <v>1276</v>
      </c>
      <c r="R841" s="84">
        <v>55</v>
      </c>
      <c r="S841" s="26">
        <v>6200</v>
      </c>
      <c r="T841" s="26" t="s">
        <v>1694</v>
      </c>
      <c r="U841" s="26" t="s">
        <v>1729</v>
      </c>
      <c r="V841" s="26" t="s">
        <v>1730</v>
      </c>
      <c r="W841" s="62">
        <v>44816</v>
      </c>
      <c r="X841" s="62">
        <v>45086</v>
      </c>
      <c r="Y841" s="62"/>
      <c r="Z841" s="62"/>
      <c r="AA841" s="22" t="s">
        <v>1102</v>
      </c>
      <c r="AB841" s="17"/>
      <c r="AC841" s="17"/>
      <c r="AD841" s="17"/>
      <c r="AE841" s="23" t="s">
        <v>731</v>
      </c>
      <c r="AF841" s="23" t="s">
        <v>731</v>
      </c>
      <c r="AG841" s="23" t="s">
        <v>731</v>
      </c>
      <c r="AH841" s="23" t="s">
        <v>731</v>
      </c>
      <c r="AI841" s="23" t="s">
        <v>731</v>
      </c>
      <c r="AJ841" s="23" t="s">
        <v>731</v>
      </c>
      <c r="AK841" s="17"/>
      <c r="AL841" s="17"/>
      <c r="AM841" s="17"/>
      <c r="AN841" s="17"/>
      <c r="AO841" s="17"/>
      <c r="AP841" s="23"/>
      <c r="AQ841" s="23"/>
      <c r="AR841" s="23"/>
      <c r="AS841" s="23"/>
      <c r="AT841" s="23"/>
      <c r="AU841" s="17"/>
      <c r="AV841" s="42">
        <f>68.64+13.5</f>
        <v>82.14</v>
      </c>
      <c r="AW841" s="42"/>
      <c r="BB841" s="43">
        <v>2</v>
      </c>
      <c r="BC841" s="41">
        <f>IF(AND((AV841/I841)&lt;2,BB841=1),(I841*2)-AV841,0)</f>
        <v>0</v>
      </c>
      <c r="BD841" s="41">
        <f>IF(AND((AV841/I841)&lt;3,BB841=2),(I841*3)-AV841,0)</f>
        <v>0</v>
      </c>
      <c r="BH841" s="18">
        <v>15</v>
      </c>
      <c r="BI841" s="18">
        <v>20</v>
      </c>
      <c r="BJ841" s="18">
        <v>21</v>
      </c>
      <c r="BK841" s="18">
        <v>15</v>
      </c>
      <c r="BL841" s="18">
        <v>17</v>
      </c>
      <c r="BM841" s="55">
        <f>SUM(AV841:AX841)+SUM(BC841:BD841)+SUM(BE841:BF841)+BG841</f>
        <v>82.14</v>
      </c>
      <c r="BN841" s="55"/>
      <c r="BO841" s="55"/>
      <c r="BP841" s="55"/>
      <c r="BQ841" s="55"/>
      <c r="BR841" s="55"/>
      <c r="BS841" s="55"/>
      <c r="BT841" s="55"/>
      <c r="BU841" s="55"/>
      <c r="BV841" s="55"/>
      <c r="BW841" s="55"/>
      <c r="BX841" s="55"/>
      <c r="BY841" s="55"/>
    </row>
    <row r="842" spans="1:77" s="40" customFormat="1" ht="25.5">
      <c r="A842" s="83"/>
      <c r="B842" s="89">
        <v>826</v>
      </c>
      <c r="C842" s="101">
        <v>630</v>
      </c>
      <c r="D842" s="101">
        <v>116</v>
      </c>
      <c r="E842" s="102">
        <v>0.76736111111111116</v>
      </c>
      <c r="F842" s="108">
        <v>0.81111111111111101</v>
      </c>
      <c r="G842" s="103" t="s">
        <v>71</v>
      </c>
      <c r="H842" s="93" t="s">
        <v>478</v>
      </c>
      <c r="I842" s="101">
        <v>33</v>
      </c>
      <c r="J842" s="104">
        <v>30</v>
      </c>
      <c r="K842" s="98">
        <v>240</v>
      </c>
      <c r="L842" s="99" t="s">
        <v>776</v>
      </c>
      <c r="M842" s="87" t="s">
        <v>856</v>
      </c>
      <c r="N842" s="87">
        <v>57</v>
      </c>
      <c r="O842" s="143" t="s">
        <v>1264</v>
      </c>
      <c r="P842" s="143" t="s">
        <v>1272</v>
      </c>
      <c r="Q842" s="87" t="s">
        <v>1273</v>
      </c>
      <c r="R842" s="87">
        <v>31</v>
      </c>
      <c r="S842" s="26">
        <v>6220</v>
      </c>
      <c r="T842" s="26" t="s">
        <v>1357</v>
      </c>
      <c r="U842" s="26">
        <v>6630</v>
      </c>
      <c r="V842" s="26" t="s">
        <v>1731</v>
      </c>
      <c r="W842" s="63">
        <v>44816</v>
      </c>
      <c r="X842" s="63">
        <v>45100</v>
      </c>
      <c r="Y842" s="63"/>
      <c r="Z842" s="63"/>
      <c r="AA842" s="26" t="s">
        <v>1112</v>
      </c>
      <c r="AB842" s="23" t="s">
        <v>731</v>
      </c>
      <c r="AC842" s="23"/>
      <c r="AD842" s="23" t="s">
        <v>731</v>
      </c>
      <c r="AE842" s="23"/>
      <c r="AF842" s="23" t="s">
        <v>731</v>
      </c>
      <c r="AG842" s="23" t="s">
        <v>731</v>
      </c>
      <c r="AH842" s="23" t="s">
        <v>731</v>
      </c>
      <c r="AI842" s="23" t="s">
        <v>731</v>
      </c>
      <c r="AJ842" s="23" t="s">
        <v>731</v>
      </c>
      <c r="AK842" s="23" t="s">
        <v>731</v>
      </c>
      <c r="AL842" s="17"/>
      <c r="AM842" s="17"/>
      <c r="AN842" s="17"/>
      <c r="AO842" s="17"/>
      <c r="AP842" s="23"/>
      <c r="AQ842" s="23"/>
      <c r="AR842" s="23"/>
      <c r="AS842" s="23"/>
      <c r="AT842" s="23"/>
      <c r="AU842" s="23"/>
      <c r="AV842" s="41"/>
      <c r="AW842" s="41">
        <f>2.2*33</f>
        <v>72.600000000000009</v>
      </c>
      <c r="AY842" s="21"/>
      <c r="AZ842" s="53"/>
      <c r="BA842" s="40">
        <v>1</v>
      </c>
      <c r="BB842" s="45">
        <v>1</v>
      </c>
      <c r="BD842" s="41"/>
      <c r="BE842" s="41">
        <f>IF(AND((AW842/I842)&lt;2,BB842=1),(I842*2)-AW842,0)</f>
        <v>0</v>
      </c>
      <c r="BF842" s="41">
        <f>IF(AND((AW842/I842)&lt;3,BB842=2),(I842*3)-AW842,0)</f>
        <v>0</v>
      </c>
      <c r="BH842" s="18">
        <v>17</v>
      </c>
      <c r="BI842" s="18">
        <v>26</v>
      </c>
      <c r="BJ842" s="18">
        <v>25</v>
      </c>
      <c r="BK842" s="18">
        <v>25</v>
      </c>
      <c r="BL842" s="18">
        <v>25</v>
      </c>
      <c r="BM842" s="55">
        <f>SUM(AV842:AX842)+SUM(BC842:BD842)+SUM(BE842:BF842)+BG842</f>
        <v>72.600000000000009</v>
      </c>
      <c r="BN842" s="74" t="s">
        <v>1127</v>
      </c>
      <c r="BO842" s="19">
        <v>2</v>
      </c>
      <c r="BP842" s="19"/>
      <c r="BQ842" s="19">
        <v>5</v>
      </c>
      <c r="BR842" s="19"/>
      <c r="BS842" s="19">
        <v>4</v>
      </c>
      <c r="BT842" s="19"/>
      <c r="BU842" s="19">
        <v>5</v>
      </c>
      <c r="BV842" s="19"/>
      <c r="BW842" s="19">
        <v>4</v>
      </c>
      <c r="BX842" s="19"/>
      <c r="BY842" s="78">
        <v>103</v>
      </c>
    </row>
    <row r="843" spans="1:77" s="40" customFormat="1" ht="25.5">
      <c r="A843" s="83"/>
      <c r="B843" s="89">
        <v>827</v>
      </c>
      <c r="C843" s="101">
        <v>630</v>
      </c>
      <c r="D843" s="101">
        <v>119</v>
      </c>
      <c r="E843" s="108">
        <v>0.8125</v>
      </c>
      <c r="F843" s="108">
        <v>0.8256944444444444</v>
      </c>
      <c r="G843" s="103" t="s">
        <v>70</v>
      </c>
      <c r="H843" s="93" t="s">
        <v>478</v>
      </c>
      <c r="I843" s="101">
        <v>12</v>
      </c>
      <c r="J843" s="104">
        <v>30</v>
      </c>
      <c r="K843" s="98">
        <v>240</v>
      </c>
      <c r="L843" s="99" t="s">
        <v>776</v>
      </c>
      <c r="M843" s="87" t="s">
        <v>856</v>
      </c>
      <c r="N843" s="87">
        <v>57</v>
      </c>
      <c r="O843" s="143" t="s">
        <v>1264</v>
      </c>
      <c r="P843" s="143" t="s">
        <v>1272</v>
      </c>
      <c r="Q843" s="87" t="s">
        <v>1273</v>
      </c>
      <c r="R843" s="87">
        <v>31</v>
      </c>
      <c r="S843" s="26">
        <v>6630</v>
      </c>
      <c r="T843" s="26" t="s">
        <v>1731</v>
      </c>
      <c r="U843" s="26" t="s">
        <v>1729</v>
      </c>
      <c r="V843" s="26" t="s">
        <v>1730</v>
      </c>
      <c r="W843" s="63">
        <v>44816</v>
      </c>
      <c r="X843" s="63">
        <v>45100</v>
      </c>
      <c r="Y843" s="63"/>
      <c r="Z843" s="63"/>
      <c r="AA843" s="26" t="s">
        <v>1112</v>
      </c>
      <c r="AB843" s="23" t="s">
        <v>731</v>
      </c>
      <c r="AC843" s="23"/>
      <c r="AD843" s="23" t="s">
        <v>731</v>
      </c>
      <c r="AE843" s="23"/>
      <c r="AF843" s="23" t="s">
        <v>731</v>
      </c>
      <c r="AG843" s="23" t="s">
        <v>731</v>
      </c>
      <c r="AH843" s="23" t="s">
        <v>731</v>
      </c>
      <c r="AI843" s="23" t="s">
        <v>731</v>
      </c>
      <c r="AJ843" s="23" t="s">
        <v>731</v>
      </c>
      <c r="AK843" s="23" t="s">
        <v>731</v>
      </c>
      <c r="AL843" s="17"/>
      <c r="AM843" s="17"/>
      <c r="AN843" s="17"/>
      <c r="AO843" s="17"/>
      <c r="AP843" s="23"/>
      <c r="AQ843" s="23"/>
      <c r="AR843" s="23"/>
      <c r="AS843" s="23"/>
      <c r="AT843" s="23"/>
      <c r="AU843" s="23"/>
      <c r="AV843" s="41"/>
      <c r="AW843" s="41">
        <f>2.2*12</f>
        <v>26.400000000000002</v>
      </c>
      <c r="AY843" s="53"/>
      <c r="AZ843" s="53"/>
      <c r="BA843" s="40">
        <v>2</v>
      </c>
      <c r="BB843" s="45">
        <v>1</v>
      </c>
      <c r="BD843" s="41"/>
      <c r="BE843" s="41">
        <f>IF(AND((AW843/I843)&lt;2,BB843=1),(I843*2)-AW843,0)</f>
        <v>0</v>
      </c>
      <c r="BF843" s="41">
        <f>IF(AND((AW843/I843)&lt;3,BB843=2),(I843*3)-AW843,0)</f>
        <v>0</v>
      </c>
      <c r="BH843" s="18">
        <v>17</v>
      </c>
      <c r="BI843" s="18">
        <v>26</v>
      </c>
      <c r="BJ843" s="18">
        <v>25</v>
      </c>
      <c r="BK843" s="18">
        <v>25</v>
      </c>
      <c r="BL843" s="18">
        <v>25</v>
      </c>
      <c r="BM843" s="55">
        <f>SUM(AV843:AX843)+SUM(BC843:BD843)+SUM(BE843:BF843)+BG843</f>
        <v>26.400000000000002</v>
      </c>
      <c r="BN843" s="55"/>
      <c r="BO843" s="55"/>
      <c r="BP843" s="55"/>
      <c r="BQ843" s="55"/>
      <c r="BR843" s="55"/>
      <c r="BS843" s="55"/>
      <c r="BT843" s="55"/>
      <c r="BU843" s="55"/>
      <c r="BV843" s="55"/>
      <c r="BW843" s="55"/>
      <c r="BX843" s="55"/>
      <c r="BY843" s="55"/>
    </row>
    <row r="844" spans="1:77" s="40" customFormat="1" ht="25.5">
      <c r="A844" s="2"/>
      <c r="B844" s="89">
        <v>828</v>
      </c>
      <c r="C844" s="93">
        <v>630</v>
      </c>
      <c r="D844" s="93">
        <v>118</v>
      </c>
      <c r="E844" s="94">
        <v>0.81597222222222221</v>
      </c>
      <c r="F844" s="105">
        <v>0.85</v>
      </c>
      <c r="G844" s="93" t="s">
        <v>661</v>
      </c>
      <c r="H844" s="93" t="s">
        <v>203</v>
      </c>
      <c r="I844" s="96">
        <v>24</v>
      </c>
      <c r="J844" s="97" t="s">
        <v>93</v>
      </c>
      <c r="K844" s="98">
        <v>202</v>
      </c>
      <c r="L844" s="99" t="s">
        <v>777</v>
      </c>
      <c r="M844" s="83" t="s">
        <v>1064</v>
      </c>
      <c r="N844" s="83">
        <v>23</v>
      </c>
      <c r="O844" s="83" t="s">
        <v>874</v>
      </c>
      <c r="P844" s="83">
        <v>21</v>
      </c>
      <c r="Q844" s="100" t="s">
        <v>1278</v>
      </c>
      <c r="R844" s="107">
        <v>29</v>
      </c>
      <c r="S844" s="26">
        <v>6220</v>
      </c>
      <c r="T844" s="26" t="s">
        <v>1357</v>
      </c>
      <c r="U844" s="26" t="s">
        <v>1729</v>
      </c>
      <c r="V844" s="26" t="s">
        <v>1730</v>
      </c>
      <c r="W844" s="63">
        <v>44816</v>
      </c>
      <c r="X844" s="63">
        <v>45100</v>
      </c>
      <c r="Y844" s="63"/>
      <c r="Z844" s="63"/>
      <c r="AA844" s="22" t="s">
        <v>1108</v>
      </c>
      <c r="AB844" s="23" t="s">
        <v>731</v>
      </c>
      <c r="AC844" s="23"/>
      <c r="AD844" s="23" t="s">
        <v>731</v>
      </c>
      <c r="AE844" s="23"/>
      <c r="AF844" s="23" t="s">
        <v>731</v>
      </c>
      <c r="AG844" s="23" t="s">
        <v>731</v>
      </c>
      <c r="AH844" s="23" t="s">
        <v>731</v>
      </c>
      <c r="AI844" s="23" t="s">
        <v>731</v>
      </c>
      <c r="AJ844" s="23" t="s">
        <v>731</v>
      </c>
      <c r="AK844" s="17"/>
      <c r="AL844" s="17"/>
      <c r="AM844" s="17"/>
      <c r="AN844" s="17"/>
      <c r="AO844" s="23"/>
      <c r="AP844" s="23"/>
      <c r="AQ844" s="23"/>
      <c r="AR844" s="23"/>
      <c r="AS844" s="23"/>
      <c r="AT844" s="23"/>
      <c r="AU844" s="23"/>
      <c r="AV844" s="41"/>
      <c r="AW844" s="41">
        <f>1.9*23</f>
        <v>43.699999999999996</v>
      </c>
      <c r="BB844" s="45">
        <v>1</v>
      </c>
      <c r="BD844" s="41"/>
      <c r="BE844" s="41">
        <f>IF(AND((AW844/I844)&lt;2,BB844=1),(I844*2)-AW844,0)</f>
        <v>4.3000000000000043</v>
      </c>
      <c r="BF844" s="41">
        <f>IF(AND((AW844/I844)&lt;3,BB844=2),(I844*3)-AW844,0)</f>
        <v>0</v>
      </c>
      <c r="BH844" s="18">
        <v>15</v>
      </c>
      <c r="BI844" s="18">
        <v>21</v>
      </c>
      <c r="BJ844" s="18">
        <v>21</v>
      </c>
      <c r="BK844" s="18">
        <v>20</v>
      </c>
      <c r="BL844" s="18">
        <v>21</v>
      </c>
      <c r="BM844" s="55">
        <f>SUM(AV844:AX844)+SUM(BC844:BD844)+SUM(BE844:BF844)+BG844</f>
        <v>48</v>
      </c>
      <c r="BN844" s="55"/>
      <c r="BO844" s="55"/>
      <c r="BP844" s="55"/>
      <c r="BQ844" s="55"/>
      <c r="BR844" s="55"/>
      <c r="BS844" s="55"/>
      <c r="BT844" s="55"/>
      <c r="BU844" s="55"/>
      <c r="BV844" s="55"/>
      <c r="BW844" s="55"/>
      <c r="BX844" s="55"/>
      <c r="BY844" s="55"/>
    </row>
    <row r="845" spans="1:77" s="40" customFormat="1" ht="25.5">
      <c r="A845" s="2"/>
      <c r="B845" s="89">
        <v>829</v>
      </c>
      <c r="C845" s="93">
        <v>632</v>
      </c>
      <c r="D845" s="93">
        <v>153</v>
      </c>
      <c r="E845" s="94">
        <v>0.27083333333333331</v>
      </c>
      <c r="F845" s="105">
        <v>0.2951388888888889</v>
      </c>
      <c r="G845" s="93" t="s">
        <v>318</v>
      </c>
      <c r="H845" s="93" t="s">
        <v>97</v>
      </c>
      <c r="I845" s="93">
        <v>18.5</v>
      </c>
      <c r="J845" s="97" t="s">
        <v>406</v>
      </c>
      <c r="K845" s="98">
        <v>208</v>
      </c>
      <c r="L845" s="99" t="s">
        <v>777</v>
      </c>
      <c r="M845" s="87" t="s">
        <v>871</v>
      </c>
      <c r="N845" s="87">
        <v>23</v>
      </c>
      <c r="O845" s="87" t="s">
        <v>792</v>
      </c>
      <c r="P845" s="87">
        <v>21</v>
      </c>
      <c r="Q845" s="145"/>
      <c r="R845" s="87"/>
      <c r="S845" s="26">
        <v>6686</v>
      </c>
      <c r="T845" s="26" t="s">
        <v>1732</v>
      </c>
      <c r="U845" s="26">
        <v>6220</v>
      </c>
      <c r="V845" s="26" t="s">
        <v>1357</v>
      </c>
      <c r="W845" s="62">
        <v>44816</v>
      </c>
      <c r="X845" s="62">
        <v>45086</v>
      </c>
      <c r="Y845" s="62"/>
      <c r="Z845" s="62"/>
      <c r="AA845" s="22" t="s">
        <v>1106</v>
      </c>
      <c r="AB845" s="17"/>
      <c r="AC845" s="17"/>
      <c r="AD845" s="17"/>
      <c r="AE845" s="23" t="s">
        <v>731</v>
      </c>
      <c r="AF845" s="23" t="s">
        <v>731</v>
      </c>
      <c r="AG845" s="23" t="s">
        <v>731</v>
      </c>
      <c r="AH845" s="23" t="s">
        <v>731</v>
      </c>
      <c r="AI845" s="23" t="s">
        <v>731</v>
      </c>
      <c r="AJ845" s="23" t="s">
        <v>731</v>
      </c>
      <c r="AK845" s="23" t="s">
        <v>731</v>
      </c>
      <c r="AL845" s="17"/>
      <c r="AM845" s="17"/>
      <c r="AN845" s="17"/>
      <c r="AO845" s="17"/>
      <c r="AP845" s="23"/>
      <c r="AQ845" s="23"/>
      <c r="AR845" s="23"/>
      <c r="AS845" s="23"/>
      <c r="AT845" s="23"/>
      <c r="AU845" s="23"/>
      <c r="AV845" s="42">
        <f>96.49+34.92</f>
        <v>131.41</v>
      </c>
      <c r="AW845" s="42"/>
      <c r="BB845" s="43">
        <v>2</v>
      </c>
      <c r="BC845" s="41">
        <f>IF(AND((AV845/I845)&lt;2,BB845=1),(I845*2)-AV845,0)</f>
        <v>0</v>
      </c>
      <c r="BD845" s="41">
        <f>IF(AND((AV845/I845)&lt;3,BB845=2),(I845*3)-AV845,0)</f>
        <v>0</v>
      </c>
      <c r="BG845" s="41">
        <f>IF((AV845+AW845+AX845)&lt;20,(20-(AV845+AW845+AX845)),0)</f>
        <v>0</v>
      </c>
      <c r="BH845" s="18">
        <v>17</v>
      </c>
      <c r="BI845" s="18">
        <v>25</v>
      </c>
      <c r="BJ845" s="18">
        <v>25</v>
      </c>
      <c r="BK845" s="18">
        <v>18</v>
      </c>
      <c r="BL845" s="18">
        <v>20</v>
      </c>
      <c r="BM845" s="55">
        <f>SUM(AV845:AX845)+SUM(BC845:BD845)+SUM(BE845:BF845)+BG845</f>
        <v>131.41</v>
      </c>
      <c r="BN845" s="55"/>
      <c r="BO845" s="55"/>
      <c r="BP845" s="55"/>
      <c r="BQ845" s="55"/>
      <c r="BR845" s="55"/>
      <c r="BS845" s="55"/>
      <c r="BT845" s="55"/>
      <c r="BU845" s="55"/>
      <c r="BV845" s="55"/>
      <c r="BW845" s="55"/>
      <c r="BX845" s="55"/>
      <c r="BY845" s="55"/>
    </row>
    <row r="846" spans="1:77" s="40" customFormat="1" ht="25.5">
      <c r="A846" s="2"/>
      <c r="B846" s="89">
        <v>830</v>
      </c>
      <c r="C846" s="93">
        <v>632</v>
      </c>
      <c r="D846" s="93">
        <v>776</v>
      </c>
      <c r="E846" s="94">
        <v>0.28333333333333333</v>
      </c>
      <c r="F846" s="94">
        <v>0.28680555555555554</v>
      </c>
      <c r="G846" s="93" t="s">
        <v>118</v>
      </c>
      <c r="H846" s="93" t="s">
        <v>97</v>
      </c>
      <c r="I846" s="96">
        <v>2</v>
      </c>
      <c r="J846" s="97" t="s">
        <v>116</v>
      </c>
      <c r="K846" s="98">
        <v>208</v>
      </c>
      <c r="L846" s="99" t="s">
        <v>777</v>
      </c>
      <c r="M846" s="87" t="s">
        <v>873</v>
      </c>
      <c r="N846" s="87">
        <v>9</v>
      </c>
      <c r="O846" s="87" t="s">
        <v>874</v>
      </c>
      <c r="P846" s="87">
        <v>21</v>
      </c>
      <c r="Q846" s="83"/>
      <c r="R846" s="87"/>
      <c r="S846" s="26">
        <v>6579</v>
      </c>
      <c r="T846" s="26" t="s">
        <v>1733</v>
      </c>
      <c r="U846" s="26" t="s">
        <v>1729</v>
      </c>
      <c r="V846" s="26" t="s">
        <v>1730</v>
      </c>
      <c r="W846" s="62">
        <v>44816</v>
      </c>
      <c r="X846" s="62">
        <v>45086</v>
      </c>
      <c r="Y846" s="62"/>
      <c r="Z846" s="62"/>
      <c r="AA846" s="22" t="s">
        <v>1106</v>
      </c>
      <c r="AB846" s="17"/>
      <c r="AC846" s="17"/>
      <c r="AD846" s="17"/>
      <c r="AE846" s="23" t="s">
        <v>731</v>
      </c>
      <c r="AF846" s="23" t="s">
        <v>731</v>
      </c>
      <c r="AG846" s="23" t="s">
        <v>731</v>
      </c>
      <c r="AH846" s="23" t="s">
        <v>731</v>
      </c>
      <c r="AI846" s="23" t="s">
        <v>731</v>
      </c>
      <c r="AJ846" s="23" t="s">
        <v>731</v>
      </c>
      <c r="AK846" s="23" t="s">
        <v>731</v>
      </c>
      <c r="AL846" s="17"/>
      <c r="AM846" s="17"/>
      <c r="AN846" s="17"/>
      <c r="AO846" s="17"/>
      <c r="AP846" s="23"/>
      <c r="AQ846" s="23"/>
      <c r="AR846" s="23"/>
      <c r="AS846" s="23"/>
      <c r="AT846" s="23"/>
      <c r="AU846" s="23"/>
      <c r="AV846" s="42">
        <v>6.88</v>
      </c>
      <c r="AW846" s="42"/>
      <c r="BB846" s="45">
        <v>1</v>
      </c>
      <c r="BC846" s="41">
        <f>IF(AND((AV846/I846)&lt;2,BB846=1),(I846*2)-AV846,0)</f>
        <v>0</v>
      </c>
      <c r="BD846" s="41">
        <f>IF(AND((AV846/I846)&lt;3,BB846=2),(I846*3)-AV846,0)</f>
        <v>0</v>
      </c>
      <c r="BG846" s="41">
        <f>IF((AV846+AW846+AX846)&lt;20,(20-(AV846+AW846+AX846)),0)</f>
        <v>13.120000000000001</v>
      </c>
      <c r="BH846" s="18">
        <v>17</v>
      </c>
      <c r="BI846" s="18">
        <v>25</v>
      </c>
      <c r="BJ846" s="18">
        <v>25</v>
      </c>
      <c r="BK846" s="18">
        <v>18</v>
      </c>
      <c r="BL846" s="18">
        <v>20</v>
      </c>
      <c r="BM846" s="55">
        <f>SUM(AV846:AX846)+SUM(BC846:BD846)+SUM(BE846:BF846)+BG846</f>
        <v>20</v>
      </c>
      <c r="BN846" s="55"/>
      <c r="BO846" s="55"/>
      <c r="BP846" s="55"/>
      <c r="BQ846" s="55"/>
      <c r="BR846" s="55"/>
      <c r="BS846" s="55"/>
      <c r="BT846" s="55"/>
      <c r="BU846" s="55"/>
      <c r="BV846" s="55"/>
      <c r="BW846" s="55"/>
      <c r="BX846" s="55"/>
      <c r="BY846" s="55"/>
    </row>
    <row r="847" spans="1:77" s="40" customFormat="1" ht="25.5">
      <c r="A847" s="85"/>
      <c r="B847" s="89">
        <v>831</v>
      </c>
      <c r="C847" s="93">
        <v>632</v>
      </c>
      <c r="D847" s="93">
        <v>737</v>
      </c>
      <c r="E847" s="94">
        <v>0.28333333333333333</v>
      </c>
      <c r="F847" s="94">
        <v>0.2951388888888889</v>
      </c>
      <c r="G847" s="93" t="s">
        <v>317</v>
      </c>
      <c r="H847" s="93" t="s">
        <v>97</v>
      </c>
      <c r="I847" s="96">
        <v>4</v>
      </c>
      <c r="J847" s="97" t="s">
        <v>269</v>
      </c>
      <c r="K847" s="98">
        <v>208</v>
      </c>
      <c r="L847" s="99" t="s">
        <v>777</v>
      </c>
      <c r="M847" s="87" t="s">
        <v>872</v>
      </c>
      <c r="N847" s="87">
        <v>23</v>
      </c>
      <c r="O847" s="87" t="s">
        <v>871</v>
      </c>
      <c r="P847" s="87">
        <v>23</v>
      </c>
      <c r="Q847" s="87" t="s">
        <v>792</v>
      </c>
      <c r="R847" s="84">
        <v>21</v>
      </c>
      <c r="S847" s="26" t="s">
        <v>1734</v>
      </c>
      <c r="T847" s="26" t="s">
        <v>1735</v>
      </c>
      <c r="U847" s="26">
        <v>6675</v>
      </c>
      <c r="V847" s="26" t="s">
        <v>1736</v>
      </c>
      <c r="W847" s="62">
        <v>44816</v>
      </c>
      <c r="X847" s="62">
        <v>45086</v>
      </c>
      <c r="Y847" s="62"/>
      <c r="Z847" s="62"/>
      <c r="AA847" s="22" t="s">
        <v>1106</v>
      </c>
      <c r="AB847" s="17"/>
      <c r="AC847" s="17"/>
      <c r="AD847" s="17"/>
      <c r="AE847" s="23" t="s">
        <v>731</v>
      </c>
      <c r="AF847" s="23" t="s">
        <v>731</v>
      </c>
      <c r="AG847" s="23" t="s">
        <v>731</v>
      </c>
      <c r="AH847" s="23" t="s">
        <v>731</v>
      </c>
      <c r="AI847" s="23" t="s">
        <v>731</v>
      </c>
      <c r="AJ847" s="23" t="s">
        <v>731</v>
      </c>
      <c r="AK847" s="23" t="s">
        <v>731</v>
      </c>
      <c r="AL847" s="17"/>
      <c r="AM847" s="17"/>
      <c r="AN847" s="17"/>
      <c r="AO847" s="17"/>
      <c r="AP847" s="23"/>
      <c r="AQ847" s="23"/>
      <c r="AR847" s="23"/>
      <c r="AS847" s="23"/>
      <c r="AT847" s="23"/>
      <c r="AU847" s="23"/>
      <c r="AV847" s="42">
        <v>48.25</v>
      </c>
      <c r="AW847" s="42"/>
      <c r="BB847" s="45">
        <v>1</v>
      </c>
      <c r="BC847" s="41">
        <f>IF(AND((AV847/I847)&lt;2,BB847=1),(I847*2)-AV847,0)</f>
        <v>0</v>
      </c>
      <c r="BD847" s="41">
        <f>IF(AND((AV847/I847)&lt;3,BB847=2),(I847*3)-AV847,0)</f>
        <v>0</v>
      </c>
      <c r="BG847" s="41">
        <f>IF((AV847+AW847+AX847)&lt;20,(20-(AV847+AW847+AX847)),0)</f>
        <v>0</v>
      </c>
      <c r="BH847" s="18">
        <v>17</v>
      </c>
      <c r="BI847" s="18">
        <v>25</v>
      </c>
      <c r="BJ847" s="18">
        <v>25</v>
      </c>
      <c r="BK847" s="18">
        <v>18</v>
      </c>
      <c r="BL847" s="18">
        <v>20</v>
      </c>
      <c r="BM847" s="55">
        <f>SUM(AV847:AX847)+SUM(BC847:BD847)+SUM(BE847:BF847)+BG847</f>
        <v>48.25</v>
      </c>
      <c r="BN847" s="55"/>
      <c r="BO847" s="55"/>
      <c r="BP847" s="55"/>
      <c r="BQ847" s="55"/>
      <c r="BR847" s="55"/>
      <c r="BS847" s="55"/>
      <c r="BT847" s="55"/>
      <c r="BU847" s="55"/>
      <c r="BV847" s="55"/>
      <c r="BW847" s="55"/>
      <c r="BX847" s="55"/>
      <c r="BY847" s="55"/>
    </row>
    <row r="848" spans="1:77" s="40" customFormat="1" ht="25.5">
      <c r="A848" s="2"/>
      <c r="B848" s="89">
        <v>832</v>
      </c>
      <c r="C848" s="106">
        <v>637</v>
      </c>
      <c r="D848" s="93">
        <v>747</v>
      </c>
      <c r="E848" s="94">
        <v>0.29166666666666669</v>
      </c>
      <c r="F848" s="94">
        <v>0.30208333333333331</v>
      </c>
      <c r="G848" s="93" t="s">
        <v>314</v>
      </c>
      <c r="H848" s="93" t="s">
        <v>97</v>
      </c>
      <c r="I848" s="96">
        <v>9</v>
      </c>
      <c r="J848" s="97" t="s">
        <v>99</v>
      </c>
      <c r="K848" s="98">
        <v>208</v>
      </c>
      <c r="L848" s="99" t="s">
        <v>777</v>
      </c>
      <c r="M848" s="83" t="s">
        <v>1064</v>
      </c>
      <c r="N848" s="83">
        <v>23</v>
      </c>
      <c r="O848" s="83" t="s">
        <v>792</v>
      </c>
      <c r="P848" s="83">
        <v>21</v>
      </c>
      <c r="Q848" s="83"/>
      <c r="R848" s="83"/>
      <c r="S848" s="26">
        <v>6640</v>
      </c>
      <c r="T848" s="26" t="s">
        <v>1737</v>
      </c>
      <c r="U848" s="26">
        <v>6655</v>
      </c>
      <c r="V848" s="26" t="s">
        <v>1738</v>
      </c>
      <c r="W848" s="62">
        <v>44816</v>
      </c>
      <c r="X848" s="62">
        <v>45086</v>
      </c>
      <c r="Y848" s="62"/>
      <c r="Z848" s="62"/>
      <c r="AA848" s="22" t="s">
        <v>1106</v>
      </c>
      <c r="AB848" s="17"/>
      <c r="AC848" s="17"/>
      <c r="AD848" s="17"/>
      <c r="AE848" s="23" t="s">
        <v>731</v>
      </c>
      <c r="AF848" s="23" t="s">
        <v>731</v>
      </c>
      <c r="AG848" s="23" t="s">
        <v>731</v>
      </c>
      <c r="AH848" s="23" t="s">
        <v>731</v>
      </c>
      <c r="AI848" s="23" t="s">
        <v>731</v>
      </c>
      <c r="AJ848" s="23" t="s">
        <v>731</v>
      </c>
      <c r="AK848" s="23" t="s">
        <v>731</v>
      </c>
      <c r="AL848" s="17"/>
      <c r="AM848" s="17"/>
      <c r="AN848" s="17"/>
      <c r="AO848" s="17"/>
      <c r="AP848" s="23"/>
      <c r="AQ848" s="23"/>
      <c r="AR848" s="23"/>
      <c r="AS848" s="23"/>
      <c r="AT848" s="23"/>
      <c r="AU848" s="23"/>
      <c r="AV848" s="42">
        <v>16.739999999999998</v>
      </c>
      <c r="AW848" s="42"/>
      <c r="BB848" s="45">
        <v>1</v>
      </c>
      <c r="BC848" s="41">
        <f>IF(AND((AV848/I848)&lt;2,BB848=1),(I848*2)-AV848,0)</f>
        <v>1.2600000000000016</v>
      </c>
      <c r="BD848" s="41">
        <f>IF(AND((AV848/I848)&lt;3,BB848=2),(I848*3)-AV848,0)</f>
        <v>0</v>
      </c>
      <c r="BH848" s="18">
        <v>17</v>
      </c>
      <c r="BI848" s="18">
        <v>25</v>
      </c>
      <c r="BJ848" s="18">
        <v>25</v>
      </c>
      <c r="BK848" s="18">
        <v>18</v>
      </c>
      <c r="BL848" s="18">
        <v>20</v>
      </c>
      <c r="BM848" s="55">
        <f>SUM(AV848:AX848)+SUM(BC848:BD848)+SUM(BE848:BF848)+BG848</f>
        <v>18</v>
      </c>
      <c r="BN848" s="55"/>
      <c r="BO848" s="55"/>
      <c r="BP848" s="55"/>
      <c r="BQ848" s="55"/>
      <c r="BR848" s="55"/>
      <c r="BS848" s="55"/>
      <c r="BT848" s="55"/>
      <c r="BU848" s="55"/>
      <c r="BV848" s="55"/>
      <c r="BW848" s="55"/>
      <c r="BX848" s="55"/>
      <c r="BY848" s="55"/>
    </row>
    <row r="849" spans="1:77" s="40" customFormat="1" ht="25.5">
      <c r="A849" s="83"/>
      <c r="B849" s="89">
        <v>833</v>
      </c>
      <c r="C849" s="106">
        <v>632</v>
      </c>
      <c r="D849" s="93">
        <v>135</v>
      </c>
      <c r="E849" s="94">
        <v>0.3034722222222222</v>
      </c>
      <c r="F849" s="94">
        <v>0.31388888888888888</v>
      </c>
      <c r="G849" s="93" t="s">
        <v>58</v>
      </c>
      <c r="H849" s="93" t="s">
        <v>533</v>
      </c>
      <c r="I849" s="93">
        <v>7</v>
      </c>
      <c r="J849" s="97" t="s">
        <v>101</v>
      </c>
      <c r="K849" s="98">
        <v>34</v>
      </c>
      <c r="L849" s="99" t="s">
        <v>779</v>
      </c>
      <c r="M849" s="87" t="s">
        <v>973</v>
      </c>
      <c r="N849" s="87">
        <v>51</v>
      </c>
      <c r="O849" s="87" t="s">
        <v>974</v>
      </c>
      <c r="P849" s="87">
        <v>58</v>
      </c>
      <c r="Q849" s="83"/>
      <c r="R849" s="87"/>
      <c r="S849" s="26">
        <v>6660</v>
      </c>
      <c r="T849" s="26" t="s">
        <v>1739</v>
      </c>
      <c r="U849" s="26">
        <v>6220</v>
      </c>
      <c r="V849" s="26" t="s">
        <v>1357</v>
      </c>
      <c r="W849" s="62">
        <v>44816</v>
      </c>
      <c r="X849" s="62">
        <v>45086</v>
      </c>
      <c r="Y849" s="62"/>
      <c r="Z849" s="62"/>
      <c r="AA849" s="23" t="s">
        <v>1111</v>
      </c>
      <c r="AB849" s="17"/>
      <c r="AC849" s="17"/>
      <c r="AD849" s="17"/>
      <c r="AE849" s="23" t="s">
        <v>731</v>
      </c>
      <c r="AF849" s="23"/>
      <c r="AG849" s="23"/>
      <c r="AH849" s="23"/>
      <c r="AI849" s="23"/>
      <c r="AJ849" s="23"/>
      <c r="AK849" s="23" t="s">
        <v>731</v>
      </c>
      <c r="AL849" s="17"/>
      <c r="AM849" s="17"/>
      <c r="AN849" s="17"/>
      <c r="AO849" s="17"/>
      <c r="AP849" s="17"/>
      <c r="AQ849" s="17"/>
      <c r="AR849" s="17"/>
      <c r="AS849" s="17"/>
      <c r="AT849" s="17"/>
      <c r="AU849" s="17"/>
      <c r="AV849" s="42">
        <v>285.51</v>
      </c>
      <c r="AW849" s="42"/>
      <c r="BB849" s="43">
        <v>2</v>
      </c>
      <c r="BC849" s="41">
        <f>IF(AND((AV849/I849)&lt;2,BB849=1),(I849*2)-AV849,0)</f>
        <v>0</v>
      </c>
      <c r="BD849" s="41">
        <f>IF(AND((AV849/I849)&lt;3,BB849=2),(I849*3)-AV849,0)</f>
        <v>0</v>
      </c>
      <c r="BH849" s="18">
        <v>2</v>
      </c>
      <c r="BI849" s="18">
        <v>5</v>
      </c>
      <c r="BJ849" s="18">
        <v>4</v>
      </c>
      <c r="BK849" s="18">
        <v>3</v>
      </c>
      <c r="BL849" s="18">
        <v>3</v>
      </c>
      <c r="BM849" s="55">
        <f>SUM(AV849:AX849)+SUM(BC849:BD849)+SUM(BE849:BF849)+BG849</f>
        <v>285.51</v>
      </c>
      <c r="BN849" s="55"/>
      <c r="BO849" s="55"/>
      <c r="BP849" s="55"/>
      <c r="BQ849" s="55"/>
      <c r="BR849" s="55"/>
      <c r="BS849" s="55"/>
      <c r="BT849" s="55"/>
      <c r="BU849" s="55"/>
      <c r="BV849" s="55"/>
      <c r="BW849" s="55"/>
      <c r="BX849" s="55"/>
      <c r="BY849" s="55"/>
    </row>
    <row r="850" spans="1:77" s="40" customFormat="1" ht="25.5">
      <c r="A850" s="85"/>
      <c r="B850" s="89">
        <v>834</v>
      </c>
      <c r="C850" s="93">
        <v>632</v>
      </c>
      <c r="D850" s="93">
        <v>736</v>
      </c>
      <c r="E850" s="94">
        <v>0.53819444444444442</v>
      </c>
      <c r="F850" s="94">
        <v>0.55208333333333337</v>
      </c>
      <c r="G850" s="93" t="s">
        <v>316</v>
      </c>
      <c r="H850" s="93" t="s">
        <v>97</v>
      </c>
      <c r="I850" s="96">
        <v>4</v>
      </c>
      <c r="J850" s="97" t="s">
        <v>269</v>
      </c>
      <c r="K850" s="98">
        <v>208</v>
      </c>
      <c r="L850" s="99" t="s">
        <v>777</v>
      </c>
      <c r="M850" s="87" t="s">
        <v>872</v>
      </c>
      <c r="N850" s="87">
        <v>23</v>
      </c>
      <c r="O850" s="87" t="s">
        <v>871</v>
      </c>
      <c r="P850" s="87">
        <v>23</v>
      </c>
      <c r="Q850" s="83"/>
      <c r="R850" s="87"/>
      <c r="S850" s="26">
        <v>6675</v>
      </c>
      <c r="T850" s="26" t="s">
        <v>1736</v>
      </c>
      <c r="U850" s="26" t="s">
        <v>1734</v>
      </c>
      <c r="V850" s="26" t="s">
        <v>1735</v>
      </c>
      <c r="W850" s="62">
        <v>44816</v>
      </c>
      <c r="X850" s="62">
        <v>45086</v>
      </c>
      <c r="Y850" s="62"/>
      <c r="Z850" s="62"/>
      <c r="AA850" s="22" t="s">
        <v>1106</v>
      </c>
      <c r="AB850" s="17"/>
      <c r="AC850" s="17"/>
      <c r="AD850" s="17"/>
      <c r="AE850" s="23" t="s">
        <v>731</v>
      </c>
      <c r="AF850" s="23" t="s">
        <v>731</v>
      </c>
      <c r="AG850" s="23" t="s">
        <v>731</v>
      </c>
      <c r="AH850" s="23" t="s">
        <v>731</v>
      </c>
      <c r="AI850" s="23" t="s">
        <v>731</v>
      </c>
      <c r="AJ850" s="23" t="s">
        <v>731</v>
      </c>
      <c r="AK850" s="23" t="s">
        <v>731</v>
      </c>
      <c r="AL850" s="17"/>
      <c r="AM850" s="17"/>
      <c r="AN850" s="17"/>
      <c r="AO850" s="17"/>
      <c r="AP850" s="23"/>
      <c r="AQ850" s="23"/>
      <c r="AR850" s="23"/>
      <c r="AS850" s="23"/>
      <c r="AT850" s="23"/>
      <c r="AU850" s="23"/>
      <c r="AV850" s="42">
        <v>48.25</v>
      </c>
      <c r="AW850" s="42"/>
      <c r="BB850" s="45">
        <v>1</v>
      </c>
      <c r="BC850" s="41">
        <f>IF(AND((AV850/I850)&lt;2,BB850=1),(I850*2)-AV850,0)</f>
        <v>0</v>
      </c>
      <c r="BD850" s="41">
        <f>IF(AND((AV850/I850)&lt;3,BB850=2),(I850*3)-AV850,0)</f>
        <v>0</v>
      </c>
      <c r="BH850" s="18">
        <v>17</v>
      </c>
      <c r="BI850" s="18">
        <v>25</v>
      </c>
      <c r="BJ850" s="18">
        <v>25</v>
      </c>
      <c r="BK850" s="18">
        <v>18</v>
      </c>
      <c r="BL850" s="18">
        <v>20</v>
      </c>
      <c r="BM850" s="55">
        <f>SUM(AV850:AX850)+SUM(BC850:BD850)+SUM(BE850:BF850)+BG850</f>
        <v>48.25</v>
      </c>
      <c r="BN850" s="55"/>
      <c r="BO850" s="55"/>
      <c r="BP850" s="55"/>
      <c r="BQ850" s="55"/>
      <c r="BR850" s="55"/>
      <c r="BS850" s="55"/>
      <c r="BT850" s="55"/>
      <c r="BU850" s="55"/>
      <c r="BV850" s="55"/>
      <c r="BW850" s="55"/>
      <c r="BX850" s="55"/>
      <c r="BY850" s="55"/>
    </row>
    <row r="851" spans="1:77" s="40" customFormat="1" ht="25.5">
      <c r="A851" s="110" t="s">
        <v>1166</v>
      </c>
      <c r="B851" s="89">
        <v>835</v>
      </c>
      <c r="C851" s="93">
        <v>632</v>
      </c>
      <c r="D851" s="93">
        <v>777</v>
      </c>
      <c r="E851" s="94">
        <v>0.54513888888888895</v>
      </c>
      <c r="F851" s="94">
        <v>0.55208333333333337</v>
      </c>
      <c r="G851" s="93" t="s">
        <v>117</v>
      </c>
      <c r="H851" s="93" t="s">
        <v>1041</v>
      </c>
      <c r="I851" s="96">
        <v>2</v>
      </c>
      <c r="J851" s="97" t="s">
        <v>116</v>
      </c>
      <c r="K851" s="98">
        <v>34</v>
      </c>
      <c r="L851" s="99" t="s">
        <v>777</v>
      </c>
      <c r="M851" s="83" t="s">
        <v>874</v>
      </c>
      <c r="N851" s="83">
        <v>21</v>
      </c>
      <c r="O851" s="83" t="s">
        <v>1064</v>
      </c>
      <c r="P851" s="83">
        <v>23</v>
      </c>
      <c r="Q851" s="83"/>
      <c r="R851" s="83"/>
      <c r="S851" s="26" t="s">
        <v>1729</v>
      </c>
      <c r="T851" s="26" t="s">
        <v>1730</v>
      </c>
      <c r="U851" s="26">
        <v>6579</v>
      </c>
      <c r="V851" s="26" t="s">
        <v>1733</v>
      </c>
      <c r="W851" s="62">
        <v>44816</v>
      </c>
      <c r="X851" s="62">
        <v>45086</v>
      </c>
      <c r="Y851" s="62"/>
      <c r="Z851" s="62"/>
      <c r="AA851" s="27" t="s">
        <v>1117</v>
      </c>
      <c r="AB851" s="17"/>
      <c r="AC851" s="17"/>
      <c r="AD851" s="17"/>
      <c r="AE851" s="17" t="s">
        <v>731</v>
      </c>
      <c r="AF851" s="17"/>
      <c r="AG851" s="17" t="s">
        <v>731</v>
      </c>
      <c r="AH851" s="17"/>
      <c r="AI851" s="17"/>
      <c r="AJ851" s="17"/>
      <c r="AK851" s="17"/>
      <c r="AL851" s="17"/>
      <c r="AM851" s="17"/>
      <c r="AN851" s="17"/>
      <c r="AO851" s="17"/>
      <c r="AP851" s="17"/>
      <c r="AQ851" s="17"/>
      <c r="AR851" s="17"/>
      <c r="AS851" s="17"/>
      <c r="AT851" s="17"/>
      <c r="AU851" s="17"/>
      <c r="AV851" s="42">
        <f>((6*34)+(12.6*34))/68</f>
        <v>9.2999999999999989</v>
      </c>
      <c r="AW851" s="42"/>
      <c r="BB851" s="45">
        <v>1</v>
      </c>
      <c r="BC851" s="41">
        <f>IF(AND((AV851/I851)&lt;2,BB851=1),(I851*2)-AV851,0)</f>
        <v>0</v>
      </c>
      <c r="BD851" s="41">
        <f>IF(AND((AV851/I851)&lt;3,BB851=2),(I851*3)-AV851,0)</f>
        <v>0</v>
      </c>
      <c r="BH851" s="40">
        <v>3</v>
      </c>
      <c r="BI851" s="40">
        <v>4</v>
      </c>
      <c r="BJ851" s="40">
        <v>4</v>
      </c>
      <c r="BK851" s="40">
        <v>3</v>
      </c>
      <c r="BL851" s="18">
        <v>4</v>
      </c>
      <c r="BM851" s="55">
        <f>SUM(AV851:AX851)+SUM(BC851:BD851)+SUM(BE851:BF851)+BG851</f>
        <v>9.2999999999999989</v>
      </c>
      <c r="BN851" s="55"/>
      <c r="BO851" s="55"/>
      <c r="BP851" s="55"/>
      <c r="BQ851" s="55"/>
      <c r="BR851" s="55"/>
      <c r="BS851" s="55"/>
      <c r="BT851" s="55"/>
      <c r="BU851" s="55"/>
      <c r="BV851" s="55"/>
      <c r="BW851" s="55"/>
      <c r="BX851" s="55"/>
      <c r="BY851" s="55"/>
    </row>
    <row r="852" spans="1:77" s="40" customFormat="1" ht="25.5">
      <c r="A852" s="85"/>
      <c r="B852" s="89">
        <v>836</v>
      </c>
      <c r="C852" s="93">
        <v>632</v>
      </c>
      <c r="D852" s="93">
        <v>712</v>
      </c>
      <c r="E852" s="94">
        <v>0.54861111111111105</v>
      </c>
      <c r="F852" s="94">
        <v>0.57291666666666663</v>
      </c>
      <c r="G852" s="93" t="s">
        <v>112</v>
      </c>
      <c r="H852" s="93" t="s">
        <v>103</v>
      </c>
      <c r="I852" s="96">
        <v>19</v>
      </c>
      <c r="J852" s="97" t="s">
        <v>111</v>
      </c>
      <c r="K852" s="98">
        <v>174</v>
      </c>
      <c r="L852" s="99" t="s">
        <v>779</v>
      </c>
      <c r="M852" s="83" t="s">
        <v>974</v>
      </c>
      <c r="N852" s="83">
        <v>58</v>
      </c>
      <c r="O852" s="83" t="s">
        <v>973</v>
      </c>
      <c r="P852" s="83">
        <v>51</v>
      </c>
      <c r="Q852" s="83"/>
      <c r="R852" s="83"/>
      <c r="S852" s="26">
        <v>6220</v>
      </c>
      <c r="T852" s="26" t="s">
        <v>1357</v>
      </c>
      <c r="U852" s="26">
        <v>6686</v>
      </c>
      <c r="V852" s="26" t="s">
        <v>1732</v>
      </c>
      <c r="W852" s="62">
        <v>44816</v>
      </c>
      <c r="X852" s="62">
        <v>45086</v>
      </c>
      <c r="Y852" s="62"/>
      <c r="Z852" s="62"/>
      <c r="AA852" s="22" t="s">
        <v>1102</v>
      </c>
      <c r="AB852" s="17"/>
      <c r="AC852" s="17"/>
      <c r="AD852" s="17"/>
      <c r="AE852" s="23" t="s">
        <v>731</v>
      </c>
      <c r="AF852" s="23" t="s">
        <v>731</v>
      </c>
      <c r="AG852" s="23" t="s">
        <v>731</v>
      </c>
      <c r="AH852" s="23" t="s">
        <v>731</v>
      </c>
      <c r="AI852" s="23" t="s">
        <v>731</v>
      </c>
      <c r="AJ852" s="23" t="s">
        <v>731</v>
      </c>
      <c r="AK852" s="17"/>
      <c r="AL852" s="17"/>
      <c r="AM852" s="17"/>
      <c r="AN852" s="17"/>
      <c r="AO852" s="17"/>
      <c r="AP852" s="23"/>
      <c r="AQ852" s="23"/>
      <c r="AR852" s="23"/>
      <c r="AS852" s="23"/>
      <c r="AT852" s="23"/>
      <c r="AU852" s="17"/>
      <c r="AV852" s="42">
        <v>146.15</v>
      </c>
      <c r="AW852" s="42"/>
      <c r="BB852" s="43">
        <v>2</v>
      </c>
      <c r="BC852" s="41">
        <f>IF(AND((AV852/I852)&lt;2,BB852=1),(I852*2)-AV852,0)</f>
        <v>0</v>
      </c>
      <c r="BD852" s="41">
        <f>IF(AND((AV852/I852)&lt;3,BB852=2),(I852*3)-AV852,0)</f>
        <v>0</v>
      </c>
      <c r="BH852" s="18">
        <v>15</v>
      </c>
      <c r="BI852" s="18">
        <v>20</v>
      </c>
      <c r="BJ852" s="18">
        <v>21</v>
      </c>
      <c r="BK852" s="18">
        <v>15</v>
      </c>
      <c r="BL852" s="18">
        <v>17</v>
      </c>
      <c r="BM852" s="55">
        <f>SUM(AV852:AX852)+SUM(BC852:BD852)+SUM(BE852:BF852)+BG852</f>
        <v>146.15</v>
      </c>
      <c r="BN852" s="55"/>
      <c r="BO852" s="55"/>
      <c r="BP852" s="55"/>
      <c r="BQ852" s="55"/>
      <c r="BR852" s="55"/>
      <c r="BS852" s="55"/>
      <c r="BT852" s="55"/>
      <c r="BU852" s="55"/>
      <c r="BV852" s="55"/>
      <c r="BW852" s="55"/>
      <c r="BX852" s="55"/>
      <c r="BY852" s="55"/>
    </row>
    <row r="853" spans="1:77" s="40" customFormat="1" ht="25.5">
      <c r="A853" s="110" t="s">
        <v>1166</v>
      </c>
      <c r="B853" s="89">
        <v>837</v>
      </c>
      <c r="C853" s="93">
        <v>632</v>
      </c>
      <c r="D853" s="93">
        <v>780</v>
      </c>
      <c r="E853" s="94">
        <v>0.55208333333333337</v>
      </c>
      <c r="F853" s="94">
        <v>0.55902777777777779</v>
      </c>
      <c r="G853" s="106" t="s">
        <v>117</v>
      </c>
      <c r="H853" s="106" t="s">
        <v>1042</v>
      </c>
      <c r="I853" s="96">
        <v>5</v>
      </c>
      <c r="J853" s="97" t="s">
        <v>116</v>
      </c>
      <c r="K853" s="98">
        <v>34</v>
      </c>
      <c r="L853" s="99" t="s">
        <v>777</v>
      </c>
      <c r="M853" s="83" t="s">
        <v>874</v>
      </c>
      <c r="N853" s="83">
        <v>21</v>
      </c>
      <c r="O853" s="83" t="s">
        <v>1064</v>
      </c>
      <c r="P853" s="83">
        <v>23</v>
      </c>
      <c r="Q853" s="83"/>
      <c r="R853" s="83"/>
      <c r="S853" s="26" t="s">
        <v>1729</v>
      </c>
      <c r="T853" s="26" t="s">
        <v>1730</v>
      </c>
      <c r="U853" s="26">
        <v>6579</v>
      </c>
      <c r="V853" s="26" t="s">
        <v>1733</v>
      </c>
      <c r="W853" s="62">
        <v>44816</v>
      </c>
      <c r="X853" s="62">
        <v>45086</v>
      </c>
      <c r="Y853" s="62"/>
      <c r="Z853" s="62"/>
      <c r="AA853" s="27" t="s">
        <v>1155</v>
      </c>
      <c r="AB853" s="17"/>
      <c r="AC853" s="17"/>
      <c r="AD853" s="17"/>
      <c r="AE853" s="17" t="s">
        <v>731</v>
      </c>
      <c r="AF853" s="17"/>
      <c r="AG853" s="17"/>
      <c r="AH853" s="17"/>
      <c r="AI853" s="17" t="s">
        <v>731</v>
      </c>
      <c r="AJ853" s="17"/>
      <c r="AK853" s="17"/>
      <c r="AL853" s="17"/>
      <c r="AM853" s="17"/>
      <c r="AN853" s="17"/>
      <c r="AO853" s="17"/>
      <c r="AP853" s="17"/>
      <c r="AQ853" s="17"/>
      <c r="AR853" s="17"/>
      <c r="AS853" s="17"/>
      <c r="AT853" s="17"/>
      <c r="AU853" s="17"/>
      <c r="AV853" s="42">
        <f>((6*34)+(12.6*34))/68</f>
        <v>9.2999999999999989</v>
      </c>
      <c r="AW853" s="42"/>
      <c r="BB853" s="45">
        <v>1</v>
      </c>
      <c r="BC853" s="41">
        <f>IF(AND((AV853/I853)&lt;2,BB853=1),(I853*2)-AV853,0)</f>
        <v>0.70000000000000107</v>
      </c>
      <c r="BD853" s="41">
        <f>IF(AND((AV853/I853)&lt;3,BB853=2),(I853*3)-AV853,0)</f>
        <v>0</v>
      </c>
      <c r="BH853" s="40">
        <v>3</v>
      </c>
      <c r="BI853" s="40">
        <v>4</v>
      </c>
      <c r="BJ853" s="40">
        <v>4</v>
      </c>
      <c r="BK853" s="40">
        <v>3</v>
      </c>
      <c r="BL853" s="40">
        <v>3</v>
      </c>
      <c r="BM853" s="55">
        <f>SUM(AV853:AX853)+SUM(BC853:BD853)+SUM(BE853:BF853)+BG853</f>
        <v>10</v>
      </c>
      <c r="BN853" s="55"/>
      <c r="BO853" s="55"/>
      <c r="BP853" s="55"/>
      <c r="BQ853" s="55"/>
      <c r="BR853" s="55"/>
      <c r="BS853" s="55"/>
      <c r="BT853" s="55"/>
      <c r="BU853" s="55"/>
      <c r="BV853" s="55"/>
      <c r="BW853" s="55"/>
      <c r="BX853" s="55"/>
      <c r="BY853" s="55"/>
    </row>
    <row r="854" spans="1:77" s="40" customFormat="1" ht="25.5">
      <c r="A854" s="2" t="s">
        <v>800</v>
      </c>
      <c r="B854" s="89">
        <v>838</v>
      </c>
      <c r="C854" s="93">
        <v>632</v>
      </c>
      <c r="D854" s="106">
        <v>730</v>
      </c>
      <c r="E854" s="105">
        <v>0.57638888888888895</v>
      </c>
      <c r="F854" s="105">
        <v>0.58333333333333337</v>
      </c>
      <c r="G854" s="93" t="s">
        <v>316</v>
      </c>
      <c r="H854" s="93" t="s">
        <v>103</v>
      </c>
      <c r="I854" s="96">
        <v>4</v>
      </c>
      <c r="J854" s="97" t="s">
        <v>93</v>
      </c>
      <c r="K854" s="98">
        <v>174</v>
      </c>
      <c r="L854" s="99" t="s">
        <v>777</v>
      </c>
      <c r="M854" s="83" t="s">
        <v>1064</v>
      </c>
      <c r="N854" s="83">
        <v>23</v>
      </c>
      <c r="O854" s="83" t="s">
        <v>872</v>
      </c>
      <c r="P854" s="83">
        <v>23</v>
      </c>
      <c r="Q854" s="83" t="s">
        <v>1279</v>
      </c>
      <c r="R854" s="85">
        <v>9</v>
      </c>
      <c r="S854" s="26">
        <v>6675</v>
      </c>
      <c r="T854" s="26" t="s">
        <v>1736</v>
      </c>
      <c r="U854" s="26" t="s">
        <v>1740</v>
      </c>
      <c r="V854" s="26" t="s">
        <v>1741</v>
      </c>
      <c r="W854" s="62">
        <v>44816</v>
      </c>
      <c r="X854" s="62">
        <v>45086</v>
      </c>
      <c r="Y854" s="62"/>
      <c r="Z854" s="62"/>
      <c r="AA854" s="22" t="s">
        <v>1102</v>
      </c>
      <c r="AB854" s="17"/>
      <c r="AC854" s="17"/>
      <c r="AD854" s="17"/>
      <c r="AE854" s="23" t="s">
        <v>731</v>
      </c>
      <c r="AF854" s="23" t="s">
        <v>731</v>
      </c>
      <c r="AG854" s="23" t="s">
        <v>731</v>
      </c>
      <c r="AH854" s="23" t="s">
        <v>731</v>
      </c>
      <c r="AI854" s="23" t="s">
        <v>731</v>
      </c>
      <c r="AJ854" s="23" t="s">
        <v>731</v>
      </c>
      <c r="AK854" s="17"/>
      <c r="AL854" s="17"/>
      <c r="AM854" s="17"/>
      <c r="AN854" s="17"/>
      <c r="AO854" s="17"/>
      <c r="AP854" s="23"/>
      <c r="AQ854" s="23"/>
      <c r="AR854" s="23"/>
      <c r="AS854" s="23"/>
      <c r="AT854" s="23"/>
      <c r="AU854" s="17"/>
      <c r="AV854" s="42"/>
      <c r="AW854" s="41"/>
      <c r="AX854" s="41">
        <f>3*I854</f>
        <v>12</v>
      </c>
      <c r="AY854" s="42"/>
      <c r="AZ854" s="42"/>
      <c r="BA854" s="18"/>
      <c r="BB854" s="45">
        <v>1</v>
      </c>
      <c r="BC854" s="54"/>
      <c r="BD854" s="50"/>
      <c r="BE854" s="54"/>
      <c r="BF854" s="54"/>
      <c r="BH854" s="18">
        <v>15</v>
      </c>
      <c r="BI854" s="18">
        <v>20</v>
      </c>
      <c r="BJ854" s="18">
        <v>21</v>
      </c>
      <c r="BK854" s="18">
        <v>15</v>
      </c>
      <c r="BL854" s="18">
        <v>17</v>
      </c>
      <c r="BM854" s="55">
        <f>SUM(AV854:AX854)+SUM(BC854:BD854)+SUM(BE854:BF854)+BG854</f>
        <v>12</v>
      </c>
      <c r="BN854" s="55"/>
      <c r="BO854" s="55"/>
      <c r="BP854" s="55"/>
      <c r="BQ854" s="55"/>
      <c r="BR854" s="55"/>
      <c r="BS854" s="55"/>
      <c r="BT854" s="55"/>
      <c r="BU854" s="55"/>
      <c r="BV854" s="55"/>
      <c r="BW854" s="55"/>
      <c r="BX854" s="55"/>
      <c r="BY854" s="55"/>
    </row>
    <row r="855" spans="1:77" s="40" customFormat="1" ht="25.5">
      <c r="A855" s="85"/>
      <c r="B855" s="89">
        <v>839</v>
      </c>
      <c r="C855" s="101">
        <v>632</v>
      </c>
      <c r="D855" s="101">
        <v>151</v>
      </c>
      <c r="E855" s="102">
        <v>0.68541666666666667</v>
      </c>
      <c r="F855" s="102">
        <v>0.69444444444444453</v>
      </c>
      <c r="G855" s="103" t="s">
        <v>58</v>
      </c>
      <c r="H855" s="103" t="s">
        <v>659</v>
      </c>
      <c r="I855" s="101">
        <v>7</v>
      </c>
      <c r="J855" s="104">
        <v>19</v>
      </c>
      <c r="K855" s="98">
        <f>174-36</f>
        <v>138</v>
      </c>
      <c r="L855" s="99" t="s">
        <v>780</v>
      </c>
      <c r="M855" s="83" t="s">
        <v>826</v>
      </c>
      <c r="N855" s="83" t="s">
        <v>827</v>
      </c>
      <c r="O855" s="83" t="s">
        <v>825</v>
      </c>
      <c r="P855" s="83">
        <v>21</v>
      </c>
      <c r="Q855" s="87" t="s">
        <v>1280</v>
      </c>
      <c r="R855" s="84">
        <v>17</v>
      </c>
      <c r="S855" s="26">
        <v>6660</v>
      </c>
      <c r="T855" s="26" t="s">
        <v>1739</v>
      </c>
      <c r="U855" s="26">
        <v>6220</v>
      </c>
      <c r="V855" s="26" t="s">
        <v>1357</v>
      </c>
      <c r="W855" s="62">
        <v>44816</v>
      </c>
      <c r="X855" s="62">
        <v>45086</v>
      </c>
      <c r="Y855" s="62"/>
      <c r="Z855" s="62"/>
      <c r="AA855" s="24" t="s">
        <v>1105</v>
      </c>
      <c r="AB855" s="17"/>
      <c r="AC855" s="17"/>
      <c r="AD855" s="17"/>
      <c r="AE855" s="17" t="s">
        <v>731</v>
      </c>
      <c r="AF855" s="17" t="s">
        <v>731</v>
      </c>
      <c r="AG855" s="17" t="s">
        <v>731</v>
      </c>
      <c r="AH855" s="17" t="s">
        <v>731</v>
      </c>
      <c r="AI855" s="17" t="s">
        <v>731</v>
      </c>
      <c r="AJ855" s="17"/>
      <c r="AK855" s="17"/>
      <c r="AL855" s="17"/>
      <c r="AM855" s="17"/>
      <c r="AN855" s="17"/>
      <c r="AO855" s="17"/>
      <c r="AP855" s="17"/>
      <c r="AQ855" s="17"/>
      <c r="AR855" s="17"/>
      <c r="AS855" s="17"/>
      <c r="AT855" s="17"/>
      <c r="AU855" s="17"/>
      <c r="AV855" s="42"/>
      <c r="AW855" s="42"/>
      <c r="AY855" s="19" t="s">
        <v>780</v>
      </c>
      <c r="AZ855" s="19"/>
      <c r="BB855" s="45">
        <v>1</v>
      </c>
      <c r="BD855" s="41"/>
      <c r="BH855" s="18">
        <v>12</v>
      </c>
      <c r="BI855" s="18">
        <v>16</v>
      </c>
      <c r="BJ855" s="18">
        <v>17</v>
      </c>
      <c r="BK855" s="18">
        <v>12</v>
      </c>
      <c r="BL855" s="18">
        <v>14</v>
      </c>
      <c r="BM855" s="55">
        <f>SUM(AV855:AX855)+SUM(BC855:BD855)+SUM(BE855:BF855)+BG855</f>
        <v>0</v>
      </c>
      <c r="BN855" s="55" t="s">
        <v>1838</v>
      </c>
      <c r="BO855" s="76">
        <v>1</v>
      </c>
      <c r="BP855" s="76"/>
      <c r="BQ855" s="77">
        <v>1</v>
      </c>
      <c r="BR855" s="77"/>
      <c r="BS855" s="77">
        <v>1</v>
      </c>
      <c r="BT855" s="77"/>
      <c r="BU855" s="77">
        <v>1</v>
      </c>
      <c r="BV855" s="77"/>
      <c r="BW855" s="77">
        <v>1</v>
      </c>
      <c r="BX855" s="77"/>
      <c r="BY855" s="55">
        <v>3750</v>
      </c>
    </row>
    <row r="856" spans="1:77" s="40" customFormat="1" ht="25.5">
      <c r="A856" s="85"/>
      <c r="B856" s="89">
        <v>840</v>
      </c>
      <c r="C856" s="101">
        <v>632</v>
      </c>
      <c r="D856" s="101">
        <v>152</v>
      </c>
      <c r="E856" s="102">
        <v>0.6875</v>
      </c>
      <c r="F856" s="102">
        <v>0.7006944444444444</v>
      </c>
      <c r="G856" s="103" t="s">
        <v>59</v>
      </c>
      <c r="H856" s="93" t="s">
        <v>590</v>
      </c>
      <c r="I856" s="101">
        <v>7</v>
      </c>
      <c r="J856" s="104">
        <v>19</v>
      </c>
      <c r="K856" s="98">
        <v>44</v>
      </c>
      <c r="L856" s="99" t="s">
        <v>776</v>
      </c>
      <c r="M856" s="87" t="s">
        <v>857</v>
      </c>
      <c r="N856" s="87">
        <v>21</v>
      </c>
      <c r="O856" s="87" t="s">
        <v>1273</v>
      </c>
      <c r="P856" s="87">
        <v>31</v>
      </c>
      <c r="Q856" s="83"/>
      <c r="R856" s="87"/>
      <c r="S856" s="26">
        <v>6220</v>
      </c>
      <c r="T856" s="26" t="s">
        <v>1357</v>
      </c>
      <c r="U856" s="26">
        <v>6660</v>
      </c>
      <c r="V856" s="26" t="s">
        <v>1739</v>
      </c>
      <c r="W856" s="63">
        <v>44562</v>
      </c>
      <c r="X856" s="63">
        <v>44815</v>
      </c>
      <c r="Y856" s="63">
        <v>45101</v>
      </c>
      <c r="Z856" s="63">
        <v>45169</v>
      </c>
      <c r="AA856" s="27" t="s">
        <v>1142</v>
      </c>
      <c r="AB856" s="17"/>
      <c r="AC856" s="25" t="s">
        <v>731</v>
      </c>
      <c r="AD856" s="25" t="s">
        <v>731</v>
      </c>
      <c r="AE856" s="25"/>
      <c r="AF856" s="25" t="s">
        <v>731</v>
      </c>
      <c r="AG856" s="25" t="s">
        <v>731</v>
      </c>
      <c r="AH856" s="25" t="s">
        <v>731</v>
      </c>
      <c r="AI856" s="25" t="s">
        <v>731</v>
      </c>
      <c r="AJ856" s="17"/>
      <c r="AK856" s="17"/>
      <c r="AL856" s="17"/>
      <c r="AM856" s="17"/>
      <c r="AN856" s="17"/>
      <c r="AO856" s="17"/>
      <c r="AP856" s="25"/>
      <c r="AQ856" s="25"/>
      <c r="AR856" s="25"/>
      <c r="AS856" s="25"/>
      <c r="AT856" s="17"/>
      <c r="AU856" s="17"/>
      <c r="AV856" s="41"/>
      <c r="AW856" s="41"/>
      <c r="AY856" s="21" t="s">
        <v>776</v>
      </c>
      <c r="AZ856" s="21"/>
      <c r="BB856" s="45">
        <v>1</v>
      </c>
      <c r="BD856" s="41"/>
      <c r="BH856" s="18">
        <v>5</v>
      </c>
      <c r="BI856" s="18">
        <v>0</v>
      </c>
      <c r="BJ856" s="18">
        <v>0</v>
      </c>
      <c r="BK856" s="18">
        <v>0</v>
      </c>
      <c r="BL856" s="18">
        <v>0</v>
      </c>
      <c r="BM856" s="55">
        <f>SUM(AV856:AX856)+SUM(BC856:BD856)+SUM(BE856:BF856)+BG856</f>
        <v>0</v>
      </c>
      <c r="BN856" s="55"/>
      <c r="BO856" s="55"/>
      <c r="BP856" s="55"/>
      <c r="BQ856" s="55"/>
      <c r="BR856" s="55"/>
      <c r="BS856" s="55"/>
      <c r="BT856" s="55"/>
      <c r="BU856" s="55"/>
      <c r="BV856" s="55"/>
      <c r="BW856" s="55"/>
      <c r="BX856" s="55"/>
      <c r="BY856" s="55"/>
    </row>
    <row r="857" spans="1:77" s="40" customFormat="1" ht="25.5">
      <c r="A857" s="85"/>
      <c r="B857" s="89">
        <v>841</v>
      </c>
      <c r="C857" s="101">
        <v>632</v>
      </c>
      <c r="D857" s="121">
        <v>147</v>
      </c>
      <c r="E857" s="102">
        <v>0.69791666666666663</v>
      </c>
      <c r="F857" s="102">
        <v>0.70833333333333337</v>
      </c>
      <c r="G857" s="103" t="s">
        <v>58</v>
      </c>
      <c r="H857" s="93" t="s">
        <v>590</v>
      </c>
      <c r="I857" s="101">
        <v>6</v>
      </c>
      <c r="J857" s="104">
        <v>19</v>
      </c>
      <c r="K857" s="98">
        <v>44</v>
      </c>
      <c r="L857" s="99" t="s">
        <v>776</v>
      </c>
      <c r="M857" s="87" t="s">
        <v>857</v>
      </c>
      <c r="N857" s="87">
        <v>21</v>
      </c>
      <c r="O857" s="87" t="s">
        <v>1273</v>
      </c>
      <c r="P857" s="87">
        <v>31</v>
      </c>
      <c r="Q857" s="83"/>
      <c r="R857" s="87"/>
      <c r="S857" s="26">
        <v>6660</v>
      </c>
      <c r="T857" s="26" t="s">
        <v>1739</v>
      </c>
      <c r="U857" s="26">
        <v>6220</v>
      </c>
      <c r="V857" s="26" t="s">
        <v>1357</v>
      </c>
      <c r="W857" s="63">
        <v>44562</v>
      </c>
      <c r="X857" s="63">
        <v>44815</v>
      </c>
      <c r="Y857" s="63">
        <v>45101</v>
      </c>
      <c r="Z857" s="63">
        <v>45169</v>
      </c>
      <c r="AA857" s="27" t="s">
        <v>1142</v>
      </c>
      <c r="AB857" s="17"/>
      <c r="AC857" s="25" t="s">
        <v>731</v>
      </c>
      <c r="AD857" s="25" t="s">
        <v>731</v>
      </c>
      <c r="AE857" s="25"/>
      <c r="AF857" s="25" t="s">
        <v>731</v>
      </c>
      <c r="AG857" s="25" t="s">
        <v>731</v>
      </c>
      <c r="AH857" s="25" t="s">
        <v>731</v>
      </c>
      <c r="AI857" s="25" t="s">
        <v>731</v>
      </c>
      <c r="AJ857" s="17"/>
      <c r="AK857" s="17"/>
      <c r="AL857" s="17"/>
      <c r="AM857" s="17"/>
      <c r="AN857" s="17"/>
      <c r="AO857" s="17"/>
      <c r="AP857" s="25"/>
      <c r="AQ857" s="25"/>
      <c r="AR857" s="25"/>
      <c r="AS857" s="25"/>
      <c r="AT857" s="17"/>
      <c r="AU857" s="17"/>
      <c r="AV857" s="41"/>
      <c r="AW857" s="41"/>
      <c r="AY857" s="21" t="s">
        <v>776</v>
      </c>
      <c r="AZ857" s="21"/>
      <c r="BB857" s="45">
        <v>1</v>
      </c>
      <c r="BD857" s="41"/>
      <c r="BH857" s="18">
        <v>5</v>
      </c>
      <c r="BI857" s="18">
        <v>0</v>
      </c>
      <c r="BJ857" s="18">
        <v>0</v>
      </c>
      <c r="BK857" s="18">
        <v>0</v>
      </c>
      <c r="BL857" s="18">
        <v>0</v>
      </c>
      <c r="BM857" s="55">
        <f>SUM(AV857:AX857)+SUM(BC857:BD857)+SUM(BE857:BF857)+BG857</f>
        <v>0</v>
      </c>
      <c r="BN857" s="55"/>
      <c r="BO857" s="55"/>
      <c r="BP857" s="55"/>
      <c r="BQ857" s="55"/>
      <c r="BR857" s="55"/>
      <c r="BS857" s="55"/>
      <c r="BT857" s="55"/>
      <c r="BU857" s="55"/>
      <c r="BV857" s="55"/>
      <c r="BW857" s="55"/>
      <c r="BX857" s="55"/>
      <c r="BY857" s="55"/>
    </row>
    <row r="858" spans="1:77" s="40" customFormat="1" ht="22.5">
      <c r="A858" s="110" t="s">
        <v>1166</v>
      </c>
      <c r="B858" s="89">
        <v>842</v>
      </c>
      <c r="C858" s="101">
        <v>632</v>
      </c>
      <c r="D858" s="101">
        <v>147</v>
      </c>
      <c r="E858" s="102">
        <v>0.70833333333333337</v>
      </c>
      <c r="F858" s="108">
        <v>0.74097222222222225</v>
      </c>
      <c r="G858" s="103" t="s">
        <v>56</v>
      </c>
      <c r="H858" s="117" t="s">
        <v>1043</v>
      </c>
      <c r="I858" s="101">
        <v>23</v>
      </c>
      <c r="J858" s="104">
        <v>19</v>
      </c>
      <c r="K858" s="111">
        <v>240</v>
      </c>
      <c r="L858" s="99" t="s">
        <v>777</v>
      </c>
      <c r="M858" s="87" t="s">
        <v>792</v>
      </c>
      <c r="N858" s="87">
        <v>21</v>
      </c>
      <c r="O858" s="87" t="s">
        <v>872</v>
      </c>
      <c r="P858" s="87">
        <v>23</v>
      </c>
      <c r="Q858" s="145"/>
      <c r="R858" s="87"/>
      <c r="S858" s="26" t="s">
        <v>1729</v>
      </c>
      <c r="T858" s="26" t="s">
        <v>1730</v>
      </c>
      <c r="U858" s="26">
        <v>6220</v>
      </c>
      <c r="V858" s="26" t="s">
        <v>1357</v>
      </c>
      <c r="W858" s="63">
        <v>44816</v>
      </c>
      <c r="X858" s="63">
        <v>45100</v>
      </c>
      <c r="Y858" s="63"/>
      <c r="Z858" s="63"/>
      <c r="AA858" s="29" t="s">
        <v>1112</v>
      </c>
      <c r="AB858" s="23" t="s">
        <v>731</v>
      </c>
      <c r="AC858" s="23"/>
      <c r="AD858" s="23" t="s">
        <v>731</v>
      </c>
      <c r="AE858" s="23"/>
      <c r="AF858" s="23" t="s">
        <v>731</v>
      </c>
      <c r="AG858" s="23" t="s">
        <v>731</v>
      </c>
      <c r="AH858" s="23" t="s">
        <v>731</v>
      </c>
      <c r="AI858" s="23" t="s">
        <v>731</v>
      </c>
      <c r="AJ858" s="23" t="s">
        <v>731</v>
      </c>
      <c r="AK858" s="23" t="s">
        <v>731</v>
      </c>
      <c r="AL858" s="17"/>
      <c r="AM858" s="17"/>
      <c r="AN858" s="17"/>
      <c r="AO858" s="23"/>
      <c r="AP858" s="23"/>
      <c r="AQ858" s="23"/>
      <c r="AR858" s="23"/>
      <c r="AS858" s="23"/>
      <c r="AT858" s="23"/>
      <c r="AU858" s="23"/>
      <c r="AV858" s="41"/>
      <c r="AW858" s="41">
        <f>1.9*23</f>
        <v>43.699999999999996</v>
      </c>
      <c r="BB858" s="45">
        <v>1</v>
      </c>
      <c r="BD858" s="41"/>
      <c r="BE858" s="41">
        <f>IF(AND((AW858/I858)&lt;2,BB858=1),(I858*2)-AW858,0)</f>
        <v>2.3000000000000043</v>
      </c>
      <c r="BF858" s="41">
        <f>IF(AND((AW858/I858)&lt;3,BB858=2),(I858*3)-AW858,0)</f>
        <v>0</v>
      </c>
      <c r="BH858" s="18">
        <v>17</v>
      </c>
      <c r="BI858" s="18">
        <v>26</v>
      </c>
      <c r="BJ858" s="18">
        <v>25</v>
      </c>
      <c r="BK858" s="18">
        <v>25</v>
      </c>
      <c r="BL858" s="18">
        <v>25</v>
      </c>
      <c r="BM858" s="55">
        <f>SUM(AV858:AX858)+SUM(BC858:BD858)+SUM(BE858:BF858)+BG858</f>
        <v>46</v>
      </c>
      <c r="BN858" s="55"/>
      <c r="BO858" s="55"/>
      <c r="BP858" s="55"/>
      <c r="BQ858" s="55"/>
      <c r="BR858" s="55"/>
      <c r="BS858" s="55"/>
      <c r="BT858" s="55"/>
      <c r="BU858" s="55"/>
      <c r="BV858" s="55"/>
      <c r="BW858" s="55"/>
      <c r="BX858" s="55"/>
      <c r="BY858" s="55"/>
    </row>
    <row r="859" spans="1:77" s="40" customFormat="1" ht="25.5">
      <c r="A859" s="85"/>
      <c r="B859" s="89">
        <v>843</v>
      </c>
      <c r="C859" s="101">
        <v>632</v>
      </c>
      <c r="D859" s="121">
        <v>143</v>
      </c>
      <c r="E859" s="102">
        <v>0.72222222222222221</v>
      </c>
      <c r="F859" s="102">
        <v>0.75486111111111109</v>
      </c>
      <c r="G859" s="103" t="s">
        <v>56</v>
      </c>
      <c r="H859" s="103" t="s">
        <v>105</v>
      </c>
      <c r="I859" s="101">
        <v>23</v>
      </c>
      <c r="J859" s="104">
        <v>40</v>
      </c>
      <c r="K859" s="98">
        <v>67</v>
      </c>
      <c r="L859" s="99" t="s">
        <v>777</v>
      </c>
      <c r="M859" s="87" t="s">
        <v>792</v>
      </c>
      <c r="N859" s="87">
        <v>21</v>
      </c>
      <c r="O859" s="83"/>
      <c r="P859" s="83"/>
      <c r="Q859" s="145"/>
      <c r="R859" s="87"/>
      <c r="S859" s="26" t="s">
        <v>1729</v>
      </c>
      <c r="T859" s="26" t="s">
        <v>1730</v>
      </c>
      <c r="U859" s="26">
        <v>6220</v>
      </c>
      <c r="V859" s="26" t="s">
        <v>1357</v>
      </c>
      <c r="W859" s="63">
        <v>44562</v>
      </c>
      <c r="X859" s="63">
        <v>44815</v>
      </c>
      <c r="Y859" s="63">
        <v>45101</v>
      </c>
      <c r="Z859" s="63">
        <v>45169</v>
      </c>
      <c r="AA859" s="23" t="s">
        <v>1107</v>
      </c>
      <c r="AB859" s="17"/>
      <c r="AC859" s="23" t="s">
        <v>731</v>
      </c>
      <c r="AD859" s="23" t="s">
        <v>731</v>
      </c>
      <c r="AE859" s="23"/>
      <c r="AF859" s="23" t="s">
        <v>731</v>
      </c>
      <c r="AG859" s="23" t="s">
        <v>731</v>
      </c>
      <c r="AH859" s="23" t="s">
        <v>731</v>
      </c>
      <c r="AI859" s="23" t="s">
        <v>731</v>
      </c>
      <c r="AJ859" s="23" t="s">
        <v>731</v>
      </c>
      <c r="AK859" s="23" t="s">
        <v>731</v>
      </c>
      <c r="AL859" s="17"/>
      <c r="AM859" s="17"/>
      <c r="AN859" s="17"/>
      <c r="AO859" s="17"/>
      <c r="AP859" s="23"/>
      <c r="AQ859" s="23"/>
      <c r="AR859" s="23"/>
      <c r="AS859" s="23"/>
      <c r="AT859" s="23"/>
      <c r="AU859" s="23"/>
      <c r="AV859" s="41"/>
      <c r="AW859" s="41">
        <f>1.9*23</f>
        <v>43.699999999999996</v>
      </c>
      <c r="BB859" s="43">
        <v>2</v>
      </c>
      <c r="BD859" s="41"/>
      <c r="BE859" s="41">
        <f>IF(AND((AW859/I859)&lt;2,BB859=1),(I859*2)-AW859,0)</f>
        <v>0</v>
      </c>
      <c r="BF859" s="41">
        <f>IF(AND((AW859/I859)&lt;3,BB859=2),(I859*3)-AW859,0)</f>
        <v>25.300000000000004</v>
      </c>
      <c r="BH859" s="18">
        <v>9</v>
      </c>
      <c r="BI859" s="18">
        <v>0</v>
      </c>
      <c r="BJ859" s="18">
        <v>0</v>
      </c>
      <c r="BK859" s="18">
        <v>0</v>
      </c>
      <c r="BL859" s="18">
        <v>0</v>
      </c>
      <c r="BM859" s="55">
        <f>SUM(AV859:AX859)+SUM(BC859:BD859)+SUM(BE859:BF859)+BG859</f>
        <v>69</v>
      </c>
      <c r="BN859" s="55"/>
      <c r="BO859" s="55"/>
      <c r="BP859" s="55"/>
      <c r="BQ859" s="55"/>
      <c r="BR859" s="55"/>
      <c r="BS859" s="55"/>
      <c r="BT859" s="55"/>
      <c r="BU859" s="55"/>
      <c r="BV859" s="55"/>
      <c r="BW859" s="55"/>
      <c r="BX859" s="55"/>
      <c r="BY859" s="55"/>
    </row>
    <row r="860" spans="1:77" s="40" customFormat="1" ht="25.5">
      <c r="A860" s="83"/>
      <c r="B860" s="89">
        <v>844</v>
      </c>
      <c r="C860" s="93">
        <v>632</v>
      </c>
      <c r="D860" s="93">
        <v>152</v>
      </c>
      <c r="E860" s="94">
        <v>0.77916666666666667</v>
      </c>
      <c r="F860" s="94">
        <v>0.80347222222222225</v>
      </c>
      <c r="G860" s="93" t="s">
        <v>112</v>
      </c>
      <c r="H860" s="93" t="s">
        <v>478</v>
      </c>
      <c r="I860" s="93">
        <v>18.5</v>
      </c>
      <c r="J860" s="97" t="s">
        <v>101</v>
      </c>
      <c r="K860" s="98">
        <v>240</v>
      </c>
      <c r="L860" s="99" t="s">
        <v>777</v>
      </c>
      <c r="M860" s="87" t="s">
        <v>792</v>
      </c>
      <c r="N860" s="87">
        <v>21</v>
      </c>
      <c r="O860" s="83"/>
      <c r="P860" s="83"/>
      <c r="Q860" s="145"/>
      <c r="R860" s="87"/>
      <c r="S860" s="26">
        <v>6220</v>
      </c>
      <c r="T860" s="26" t="s">
        <v>1357</v>
      </c>
      <c r="U860" s="26">
        <v>6686</v>
      </c>
      <c r="V860" s="26" t="s">
        <v>1732</v>
      </c>
      <c r="W860" s="63">
        <v>44816</v>
      </c>
      <c r="X860" s="63">
        <v>45100</v>
      </c>
      <c r="Y860" s="63"/>
      <c r="Z860" s="63"/>
      <c r="AA860" s="26" t="s">
        <v>1112</v>
      </c>
      <c r="AB860" s="23" t="s">
        <v>731</v>
      </c>
      <c r="AC860" s="23"/>
      <c r="AD860" s="23" t="s">
        <v>731</v>
      </c>
      <c r="AE860" s="23"/>
      <c r="AF860" s="23" t="s">
        <v>731</v>
      </c>
      <c r="AG860" s="23" t="s">
        <v>731</v>
      </c>
      <c r="AH860" s="23" t="s">
        <v>731</v>
      </c>
      <c r="AI860" s="23" t="s">
        <v>731</v>
      </c>
      <c r="AJ860" s="23" t="s">
        <v>731</v>
      </c>
      <c r="AK860" s="23" t="s">
        <v>731</v>
      </c>
      <c r="AL860" s="17"/>
      <c r="AM860" s="17"/>
      <c r="AN860" s="17"/>
      <c r="AO860" s="17"/>
      <c r="AP860" s="23"/>
      <c r="AQ860" s="23"/>
      <c r="AR860" s="23"/>
      <c r="AS860" s="23"/>
      <c r="AT860" s="23"/>
      <c r="AU860" s="23"/>
      <c r="AV860" s="42">
        <v>94.01</v>
      </c>
      <c r="AW860" s="42"/>
      <c r="BB860" s="43">
        <v>2</v>
      </c>
      <c r="BC860" s="41">
        <f>IF(AND((AV860/I860)&lt;2,BB860=1),(I860*2)-AV860,0)</f>
        <v>0</v>
      </c>
      <c r="BD860" s="41">
        <f>IF(AND((AV860/I860)&lt;3,BB860=2),(I860*3)-AV860,0)</f>
        <v>0</v>
      </c>
      <c r="BH860" s="18">
        <v>17</v>
      </c>
      <c r="BI860" s="18">
        <v>26</v>
      </c>
      <c r="BJ860" s="18">
        <v>25</v>
      </c>
      <c r="BK860" s="18">
        <v>25</v>
      </c>
      <c r="BL860" s="18">
        <v>25</v>
      </c>
      <c r="BM860" s="55">
        <f>SUM(AV860:AX860)+SUM(BC860:BD860)+SUM(BE860:BF860)+BG860</f>
        <v>94.01</v>
      </c>
      <c r="BN860" s="55"/>
      <c r="BO860" s="55"/>
      <c r="BP860" s="55"/>
      <c r="BQ860" s="55"/>
      <c r="BR860" s="55"/>
      <c r="BS860" s="55"/>
      <c r="BT860" s="55"/>
      <c r="BU860" s="55"/>
      <c r="BV860" s="55"/>
      <c r="BW860" s="55"/>
      <c r="BX860" s="55"/>
      <c r="BY860" s="55"/>
    </row>
    <row r="861" spans="1:77" s="40" customFormat="1" ht="25.5">
      <c r="A861" s="85"/>
      <c r="B861" s="89">
        <v>845</v>
      </c>
      <c r="C861" s="101">
        <v>632</v>
      </c>
      <c r="D861" s="101">
        <v>148</v>
      </c>
      <c r="E861" s="102">
        <v>0.8125</v>
      </c>
      <c r="F861" s="108">
        <v>0.84375</v>
      </c>
      <c r="G861" s="103" t="s">
        <v>55</v>
      </c>
      <c r="H861" s="103" t="s">
        <v>105</v>
      </c>
      <c r="I861" s="101">
        <v>23</v>
      </c>
      <c r="J861" s="104">
        <v>19</v>
      </c>
      <c r="K861" s="98">
        <v>67</v>
      </c>
      <c r="L861" s="99" t="s">
        <v>777</v>
      </c>
      <c r="M861" s="87" t="s">
        <v>792</v>
      </c>
      <c r="N861" s="87">
        <v>21</v>
      </c>
      <c r="O861" s="83"/>
      <c r="P861" s="83"/>
      <c r="Q861" s="145"/>
      <c r="R861" s="87"/>
      <c r="S861" s="26">
        <v>6220</v>
      </c>
      <c r="T861" s="26" t="s">
        <v>1357</v>
      </c>
      <c r="U861" s="26" t="s">
        <v>1729</v>
      </c>
      <c r="V861" s="26" t="s">
        <v>1730</v>
      </c>
      <c r="W861" s="63">
        <v>44562</v>
      </c>
      <c r="X861" s="63">
        <v>44815</v>
      </c>
      <c r="Y861" s="63">
        <v>45101</v>
      </c>
      <c r="Z861" s="63">
        <v>45169</v>
      </c>
      <c r="AA861" s="23" t="s">
        <v>1107</v>
      </c>
      <c r="AB861" s="17"/>
      <c r="AC861" s="23" t="s">
        <v>731</v>
      </c>
      <c r="AD861" s="23" t="s">
        <v>731</v>
      </c>
      <c r="AE861" s="23"/>
      <c r="AF861" s="23" t="s">
        <v>731</v>
      </c>
      <c r="AG861" s="23" t="s">
        <v>731</v>
      </c>
      <c r="AH861" s="23" t="s">
        <v>731</v>
      </c>
      <c r="AI861" s="23" t="s">
        <v>731</v>
      </c>
      <c r="AJ861" s="23" t="s">
        <v>731</v>
      </c>
      <c r="AK861" s="23" t="s">
        <v>731</v>
      </c>
      <c r="AL861" s="17"/>
      <c r="AM861" s="17"/>
      <c r="AN861" s="17"/>
      <c r="AO861" s="17"/>
      <c r="AP861" s="23"/>
      <c r="AQ861" s="23"/>
      <c r="AR861" s="23"/>
      <c r="AS861" s="23"/>
      <c r="AT861" s="23"/>
      <c r="AU861" s="23"/>
      <c r="AV861" s="41"/>
      <c r="AW861" s="41">
        <f>1.9*23</f>
        <v>43.699999999999996</v>
      </c>
      <c r="BB861" s="45">
        <v>1</v>
      </c>
      <c r="BD861" s="41"/>
      <c r="BE861" s="41">
        <f>IF(AND((AW861/I861)&lt;2,BB861=1),(I861*2)-AW861,0)</f>
        <v>2.3000000000000043</v>
      </c>
      <c r="BF861" s="41">
        <f>IF(AND((AW861/I861)&lt;3,BB861=2),(I861*3)-AW861,0)</f>
        <v>0</v>
      </c>
      <c r="BH861" s="18">
        <v>9</v>
      </c>
      <c r="BI861" s="18">
        <v>0</v>
      </c>
      <c r="BJ861" s="18">
        <v>0</v>
      </c>
      <c r="BK861" s="18">
        <v>0</v>
      </c>
      <c r="BL861" s="18">
        <v>0</v>
      </c>
      <c r="BM861" s="55">
        <f>SUM(AV861:AX861)+SUM(BC861:BD861)+SUM(BE861:BF861)+BG861</f>
        <v>46</v>
      </c>
      <c r="BN861" s="55"/>
      <c r="BO861" s="55"/>
      <c r="BP861" s="55"/>
      <c r="BQ861" s="55"/>
      <c r="BR861" s="55"/>
      <c r="BS861" s="55"/>
      <c r="BT861" s="55"/>
      <c r="BU861" s="55"/>
      <c r="BV861" s="55"/>
      <c r="BW861" s="55"/>
      <c r="BX861" s="55"/>
      <c r="BY861" s="55"/>
    </row>
    <row r="862" spans="1:77" s="40" customFormat="1" ht="22.5">
      <c r="A862" s="110" t="s">
        <v>1166</v>
      </c>
      <c r="B862" s="89">
        <v>846</v>
      </c>
      <c r="C862" s="101">
        <v>632</v>
      </c>
      <c r="D862" s="101">
        <v>148</v>
      </c>
      <c r="E862" s="102">
        <v>0.82777777777777783</v>
      </c>
      <c r="F862" s="102">
        <v>0.85902777777777783</v>
      </c>
      <c r="G862" s="103" t="s">
        <v>55</v>
      </c>
      <c r="H862" s="117" t="s">
        <v>1043</v>
      </c>
      <c r="I862" s="101">
        <v>23</v>
      </c>
      <c r="J862" s="104">
        <v>19</v>
      </c>
      <c r="K862" s="111">
        <v>240</v>
      </c>
      <c r="L862" s="99" t="s">
        <v>777</v>
      </c>
      <c r="M862" s="87" t="s">
        <v>792</v>
      </c>
      <c r="N862" s="87">
        <v>21</v>
      </c>
      <c r="O862" s="87" t="s">
        <v>872</v>
      </c>
      <c r="P862" s="87">
        <v>23</v>
      </c>
      <c r="Q862" s="145"/>
      <c r="R862" s="87"/>
      <c r="S862" s="26">
        <v>6220</v>
      </c>
      <c r="T862" s="26" t="s">
        <v>1357</v>
      </c>
      <c r="U862" s="26" t="s">
        <v>1729</v>
      </c>
      <c r="V862" s="26" t="s">
        <v>1730</v>
      </c>
      <c r="W862" s="63">
        <v>44816</v>
      </c>
      <c r="X862" s="63">
        <v>45100</v>
      </c>
      <c r="Y862" s="63"/>
      <c r="Z862" s="63"/>
      <c r="AA862" s="29" t="s">
        <v>1112</v>
      </c>
      <c r="AB862" s="23" t="s">
        <v>731</v>
      </c>
      <c r="AC862" s="23"/>
      <c r="AD862" s="23" t="s">
        <v>731</v>
      </c>
      <c r="AE862" s="23"/>
      <c r="AF862" s="23" t="s">
        <v>731</v>
      </c>
      <c r="AG862" s="23" t="s">
        <v>731</v>
      </c>
      <c r="AH862" s="23" t="s">
        <v>731</v>
      </c>
      <c r="AI862" s="23" t="s">
        <v>731</v>
      </c>
      <c r="AJ862" s="23" t="s">
        <v>731</v>
      </c>
      <c r="AK862" s="23" t="s">
        <v>731</v>
      </c>
      <c r="AL862" s="17"/>
      <c r="AM862" s="17"/>
      <c r="AN862" s="17"/>
      <c r="AO862" s="23"/>
      <c r="AP862" s="23"/>
      <c r="AQ862" s="23"/>
      <c r="AR862" s="23"/>
      <c r="AS862" s="23"/>
      <c r="AT862" s="23"/>
      <c r="AU862" s="23"/>
      <c r="AV862" s="41">
        <f>10.8+58.11</f>
        <v>68.91</v>
      </c>
      <c r="AW862" s="41"/>
      <c r="BB862" s="45">
        <v>1</v>
      </c>
      <c r="BC862" s="41">
        <f>IF(AND((AV862/I862)&lt;2,BB862=1),(I862*2)-AV862,0)</f>
        <v>0</v>
      </c>
      <c r="BD862" s="41">
        <f>IF(AND((AV862/I862)&lt;3,BB862=2),(I862*3)-AV862,0)</f>
        <v>0</v>
      </c>
      <c r="BH862" s="18">
        <v>17</v>
      </c>
      <c r="BI862" s="18">
        <v>26</v>
      </c>
      <c r="BJ862" s="18">
        <v>25</v>
      </c>
      <c r="BK862" s="18">
        <v>25</v>
      </c>
      <c r="BL862" s="18">
        <v>25</v>
      </c>
      <c r="BM862" s="55">
        <f>SUM(AV862:AX862)+SUM(BC862:BD862)+SUM(BE862:BF862)+BG862</f>
        <v>68.91</v>
      </c>
      <c r="BN862" s="55"/>
      <c r="BO862" s="55"/>
      <c r="BP862" s="55"/>
      <c r="BQ862" s="55"/>
      <c r="BR862" s="55"/>
      <c r="BS862" s="55"/>
      <c r="BT862" s="55"/>
      <c r="BU862" s="55"/>
      <c r="BV862" s="55"/>
      <c r="BW862" s="55"/>
      <c r="BX862" s="55"/>
      <c r="BY862" s="55"/>
    </row>
    <row r="863" spans="1:77" s="40" customFormat="1" ht="45">
      <c r="A863" s="85"/>
      <c r="B863" s="89">
        <v>847</v>
      </c>
      <c r="C863" s="93">
        <v>633</v>
      </c>
      <c r="D863" s="93">
        <v>170</v>
      </c>
      <c r="E863" s="94">
        <v>0.29305555555555557</v>
      </c>
      <c r="F863" s="94">
        <v>0.3034722222222222</v>
      </c>
      <c r="G863" s="93" t="s">
        <v>126</v>
      </c>
      <c r="H863" s="93" t="s">
        <v>103</v>
      </c>
      <c r="I863" s="96">
        <v>7.5</v>
      </c>
      <c r="J863" s="97" t="s">
        <v>406</v>
      </c>
      <c r="K863" s="98">
        <v>174</v>
      </c>
      <c r="L863" s="99" t="s">
        <v>1204</v>
      </c>
      <c r="M863" s="83" t="s">
        <v>954</v>
      </c>
      <c r="N863" s="83">
        <v>21</v>
      </c>
      <c r="O863" s="83" t="s">
        <v>794</v>
      </c>
      <c r="P863" s="87">
        <v>21</v>
      </c>
      <c r="Q863" s="87" t="s">
        <v>953</v>
      </c>
      <c r="R863" s="84">
        <v>24</v>
      </c>
      <c r="S863" s="26">
        <v>6220</v>
      </c>
      <c r="T863" s="26" t="s">
        <v>1357</v>
      </c>
      <c r="U863" s="26">
        <v>6700</v>
      </c>
      <c r="V863" s="26" t="s">
        <v>1742</v>
      </c>
      <c r="W863" s="62">
        <v>44816</v>
      </c>
      <c r="X863" s="62">
        <v>45086</v>
      </c>
      <c r="Y863" s="62"/>
      <c r="Z863" s="62"/>
      <c r="AA863" s="22" t="s">
        <v>1102</v>
      </c>
      <c r="AB863" s="17"/>
      <c r="AC863" s="17"/>
      <c r="AD863" s="17"/>
      <c r="AE863" s="23" t="s">
        <v>731</v>
      </c>
      <c r="AF863" s="23" t="s">
        <v>731</v>
      </c>
      <c r="AG863" s="23" t="s">
        <v>731</v>
      </c>
      <c r="AH863" s="23" t="s">
        <v>731</v>
      </c>
      <c r="AI863" s="23" t="s">
        <v>731</v>
      </c>
      <c r="AJ863" s="23" t="s">
        <v>731</v>
      </c>
      <c r="AK863" s="17"/>
      <c r="AL863" s="17"/>
      <c r="AM863" s="17"/>
      <c r="AN863" s="17"/>
      <c r="AO863" s="17"/>
      <c r="AP863" s="23"/>
      <c r="AQ863" s="23"/>
      <c r="AR863" s="23"/>
      <c r="AS863" s="23"/>
      <c r="AT863" s="23"/>
      <c r="AU863" s="17"/>
      <c r="AV863" s="42">
        <v>10.57</v>
      </c>
      <c r="AW863" s="42"/>
      <c r="BB863" s="43">
        <v>2</v>
      </c>
      <c r="BC863" s="41">
        <f>IF(AND((AV863/I863)&lt;2,BB863=1),(I863*2)-AV863,0)</f>
        <v>0</v>
      </c>
      <c r="BD863" s="41">
        <f>IF(AND((AV863/I863)&lt;3,BB863=2),(I863*3)-AV863,0)</f>
        <v>11.93</v>
      </c>
      <c r="BH863" s="18">
        <v>15</v>
      </c>
      <c r="BI863" s="18">
        <v>20</v>
      </c>
      <c r="BJ863" s="18">
        <v>21</v>
      </c>
      <c r="BK863" s="18">
        <v>15</v>
      </c>
      <c r="BL863" s="18">
        <v>17</v>
      </c>
      <c r="BM863" s="55">
        <f>SUM(AV863:AX863)+SUM(BC863:BD863)+SUM(BE863:BF863)+BG863</f>
        <v>22.5</v>
      </c>
      <c r="BN863" s="55"/>
      <c r="BO863" s="55"/>
      <c r="BP863" s="55"/>
      <c r="BQ863" s="55"/>
      <c r="BR863" s="55"/>
      <c r="BS863" s="55"/>
      <c r="BT863" s="55"/>
      <c r="BU863" s="55"/>
      <c r="BV863" s="55"/>
      <c r="BW863" s="55"/>
      <c r="BX863" s="55"/>
      <c r="BY863" s="55"/>
    </row>
    <row r="864" spans="1:77" s="40" customFormat="1" ht="45">
      <c r="A864" s="83"/>
      <c r="B864" s="89">
        <v>848</v>
      </c>
      <c r="C864" s="93">
        <v>633</v>
      </c>
      <c r="D864" s="93">
        <v>171</v>
      </c>
      <c r="E864" s="94">
        <v>0.30416666666666664</v>
      </c>
      <c r="F864" s="94">
        <v>0.31458333333333333</v>
      </c>
      <c r="G864" s="93" t="s">
        <v>1080</v>
      </c>
      <c r="H864" s="93" t="s">
        <v>648</v>
      </c>
      <c r="I864" s="96">
        <v>7.5</v>
      </c>
      <c r="J864" s="97" t="s">
        <v>93</v>
      </c>
      <c r="K864" s="98">
        <v>34</v>
      </c>
      <c r="L864" s="99" t="s">
        <v>1204</v>
      </c>
      <c r="M864" s="83" t="s">
        <v>953</v>
      </c>
      <c r="N864" s="83">
        <v>24</v>
      </c>
      <c r="O864" s="83" t="s">
        <v>954</v>
      </c>
      <c r="P864" s="87">
        <v>21</v>
      </c>
      <c r="Q864" s="87" t="s">
        <v>794</v>
      </c>
      <c r="R864" s="84">
        <v>21</v>
      </c>
      <c r="S864" s="26">
        <v>6700</v>
      </c>
      <c r="T864" s="26" t="s">
        <v>1742</v>
      </c>
      <c r="U864" s="26">
        <v>6220</v>
      </c>
      <c r="V864" s="26" t="s">
        <v>1357</v>
      </c>
      <c r="W864" s="62">
        <v>44816</v>
      </c>
      <c r="X864" s="62">
        <v>45086</v>
      </c>
      <c r="Y864" s="62"/>
      <c r="Z864" s="62"/>
      <c r="AA864" s="26" t="s">
        <v>1111</v>
      </c>
      <c r="AB864" s="17"/>
      <c r="AC864" s="17"/>
      <c r="AD864" s="17"/>
      <c r="AE864" s="23" t="s">
        <v>731</v>
      </c>
      <c r="AF864" s="23"/>
      <c r="AG864" s="23"/>
      <c r="AH864" s="23"/>
      <c r="AI864" s="23"/>
      <c r="AJ864" s="23"/>
      <c r="AK864" s="23" t="s">
        <v>731</v>
      </c>
      <c r="AL864" s="17"/>
      <c r="AM864" s="17"/>
      <c r="AN864" s="17"/>
      <c r="AO864" s="17"/>
      <c r="AP864" s="17"/>
      <c r="AQ864" s="17"/>
      <c r="AR864" s="17"/>
      <c r="AS864" s="17"/>
      <c r="AT864" s="17"/>
      <c r="AU864" s="17"/>
      <c r="AV864" s="42">
        <v>10.57</v>
      </c>
      <c r="AW864" s="42"/>
      <c r="BB864" s="45">
        <v>1</v>
      </c>
      <c r="BC864" s="41">
        <f>IF(AND((AV864/I864)&lt;2,BB864=1),(I864*2)-AV864,0)</f>
        <v>4.43</v>
      </c>
      <c r="BD864" s="41">
        <f>IF(AND((AV864/I864)&lt;3,BB864=2),(I864*3)-AV864,0)</f>
        <v>0</v>
      </c>
      <c r="BH864" s="18">
        <v>2</v>
      </c>
      <c r="BI864" s="18">
        <v>5</v>
      </c>
      <c r="BJ864" s="18">
        <v>4</v>
      </c>
      <c r="BK864" s="18">
        <v>3</v>
      </c>
      <c r="BL864" s="18">
        <v>3</v>
      </c>
      <c r="BM864" s="55">
        <f>SUM(AV864:AX864)+SUM(BC864:BD864)+SUM(BE864:BF864)+BG864</f>
        <v>15</v>
      </c>
      <c r="BN864" s="55"/>
      <c r="BO864" s="55"/>
      <c r="BP864" s="55"/>
      <c r="BQ864" s="55"/>
      <c r="BR864" s="55"/>
      <c r="BS864" s="55"/>
      <c r="BT864" s="55"/>
      <c r="BU864" s="55"/>
      <c r="BV864" s="55"/>
      <c r="BW864" s="55"/>
      <c r="BX864" s="55"/>
      <c r="BY864" s="55"/>
    </row>
    <row r="865" spans="1:77" s="40" customFormat="1" ht="45">
      <c r="A865" s="83" t="s">
        <v>1082</v>
      </c>
      <c r="B865" s="89">
        <v>849</v>
      </c>
      <c r="C865" s="93">
        <v>633</v>
      </c>
      <c r="D865" s="93">
        <v>171</v>
      </c>
      <c r="E865" s="94">
        <v>0.30416666666666664</v>
      </c>
      <c r="F865" s="94">
        <v>0.31458333333333333</v>
      </c>
      <c r="G865" s="106" t="s">
        <v>1081</v>
      </c>
      <c r="H865" s="93" t="s">
        <v>103</v>
      </c>
      <c r="I865" s="96">
        <v>8.5</v>
      </c>
      <c r="J865" s="97" t="s">
        <v>406</v>
      </c>
      <c r="K865" s="98">
        <v>174</v>
      </c>
      <c r="L865" s="99" t="s">
        <v>1204</v>
      </c>
      <c r="M865" s="83" t="s">
        <v>1083</v>
      </c>
      <c r="N865" s="83" t="s">
        <v>1084</v>
      </c>
      <c r="O865" s="83" t="s">
        <v>794</v>
      </c>
      <c r="P865" s="83">
        <v>21</v>
      </c>
      <c r="Q865" s="83"/>
      <c r="R865" s="83"/>
      <c r="S865" s="26">
        <v>6700</v>
      </c>
      <c r="T865" s="26" t="s">
        <v>1742</v>
      </c>
      <c r="U865" s="38" t="s">
        <v>1743</v>
      </c>
      <c r="V865" s="26" t="s">
        <v>1744</v>
      </c>
      <c r="W865" s="62">
        <v>44816</v>
      </c>
      <c r="X865" s="62">
        <v>45086</v>
      </c>
      <c r="Y865" s="62"/>
      <c r="Z865" s="62"/>
      <c r="AA865" s="22" t="s">
        <v>1102</v>
      </c>
      <c r="AB865" s="17"/>
      <c r="AC865" s="17"/>
      <c r="AD865" s="17"/>
      <c r="AE865" s="23" t="s">
        <v>731</v>
      </c>
      <c r="AF865" s="23" t="s">
        <v>731</v>
      </c>
      <c r="AG865" s="23" t="s">
        <v>731</v>
      </c>
      <c r="AH865" s="23" t="s">
        <v>731</v>
      </c>
      <c r="AI865" s="23" t="s">
        <v>731</v>
      </c>
      <c r="AJ865" s="23" t="s">
        <v>731</v>
      </c>
      <c r="AK865" s="17"/>
      <c r="AL865" s="17"/>
      <c r="AM865" s="17"/>
      <c r="AN865" s="17"/>
      <c r="AO865" s="17"/>
      <c r="AP865" s="23"/>
      <c r="AQ865" s="23"/>
      <c r="AR865" s="23"/>
      <c r="AS865" s="23"/>
      <c r="AT865" s="23"/>
      <c r="AU865" s="17"/>
      <c r="AV865" s="42">
        <f>21.81+10.57</f>
        <v>32.379999999999995</v>
      </c>
      <c r="AW865" s="42"/>
      <c r="BB865" s="43">
        <v>2</v>
      </c>
      <c r="BC865" s="41">
        <f>IF(AND((AV865/I865)&lt;2,BB865=1),(I865*2)-AV865,0)</f>
        <v>0</v>
      </c>
      <c r="BD865" s="41">
        <f>IF(AND((AV865/I865)&lt;3,BB865=2),(I865*3)-AV865,0)</f>
        <v>0</v>
      </c>
      <c r="BH865" s="18">
        <v>15</v>
      </c>
      <c r="BI865" s="18">
        <v>20</v>
      </c>
      <c r="BJ865" s="18">
        <v>21</v>
      </c>
      <c r="BK865" s="18">
        <v>15</v>
      </c>
      <c r="BL865" s="18">
        <v>17</v>
      </c>
      <c r="BM865" s="55">
        <f>SUM(AV865:AX865)+SUM(BC865:BD865)+SUM(BE865:BF865)+BG865</f>
        <v>32.379999999999995</v>
      </c>
      <c r="BN865" s="55"/>
      <c r="BO865" s="55"/>
      <c r="BP865" s="55"/>
      <c r="BQ865" s="55"/>
      <c r="BR865" s="55"/>
      <c r="BS865" s="55"/>
      <c r="BT865" s="55"/>
      <c r="BU865" s="55"/>
      <c r="BV865" s="55"/>
      <c r="BW865" s="55"/>
      <c r="BX865" s="55"/>
      <c r="BY865" s="55"/>
    </row>
    <row r="866" spans="1:77" s="40" customFormat="1" ht="25.5">
      <c r="A866" s="85"/>
      <c r="B866" s="89">
        <v>850</v>
      </c>
      <c r="C866" s="93">
        <v>633</v>
      </c>
      <c r="D866" s="93">
        <v>172</v>
      </c>
      <c r="E866" s="94">
        <v>0.54861111111111105</v>
      </c>
      <c r="F866" s="94">
        <v>0.55902777777777779</v>
      </c>
      <c r="G866" s="93" t="s">
        <v>486</v>
      </c>
      <c r="H866" s="93" t="s">
        <v>103</v>
      </c>
      <c r="I866" s="96">
        <v>7</v>
      </c>
      <c r="J866" s="97" t="s">
        <v>93</v>
      </c>
      <c r="K866" s="98">
        <v>174</v>
      </c>
      <c r="L866" s="99" t="s">
        <v>780</v>
      </c>
      <c r="M866" s="83" t="s">
        <v>825</v>
      </c>
      <c r="N866" s="83">
        <v>21</v>
      </c>
      <c r="O866" s="83" t="s">
        <v>826</v>
      </c>
      <c r="P866" s="83" t="s">
        <v>827</v>
      </c>
      <c r="Q866" s="87" t="s">
        <v>1280</v>
      </c>
      <c r="R866" s="84">
        <v>17</v>
      </c>
      <c r="S866" s="26">
        <v>6220</v>
      </c>
      <c r="T866" s="26" t="s">
        <v>1357</v>
      </c>
      <c r="U866" s="26">
        <v>6700</v>
      </c>
      <c r="V866" s="26" t="s">
        <v>1742</v>
      </c>
      <c r="W866" s="62">
        <v>44816</v>
      </c>
      <c r="X866" s="62">
        <v>45086</v>
      </c>
      <c r="Y866" s="62"/>
      <c r="Z866" s="62"/>
      <c r="AA866" s="22" t="s">
        <v>1102</v>
      </c>
      <c r="AB866" s="17"/>
      <c r="AC866" s="17"/>
      <c r="AD866" s="17"/>
      <c r="AE866" s="23" t="s">
        <v>731</v>
      </c>
      <c r="AF866" s="23" t="s">
        <v>731</v>
      </c>
      <c r="AG866" s="23" t="s">
        <v>731</v>
      </c>
      <c r="AH866" s="23" t="s">
        <v>731</v>
      </c>
      <c r="AI866" s="23" t="s">
        <v>731</v>
      </c>
      <c r="AJ866" s="23" t="s">
        <v>731</v>
      </c>
      <c r="AK866" s="17"/>
      <c r="AL866" s="17"/>
      <c r="AM866" s="17"/>
      <c r="AN866" s="17"/>
      <c r="AO866" s="17"/>
      <c r="AP866" s="23"/>
      <c r="AQ866" s="23"/>
      <c r="AR866" s="23"/>
      <c r="AS866" s="23"/>
      <c r="AT866" s="23"/>
      <c r="AU866" s="17"/>
      <c r="AV866" s="42">
        <v>21</v>
      </c>
      <c r="AW866" s="42"/>
      <c r="AY866" s="19"/>
      <c r="AZ866" s="19"/>
      <c r="BB866" s="45">
        <v>1</v>
      </c>
      <c r="BC866" s="41">
        <f>IF(AND((AV866/I866)&lt;2,BB866=1),(I866*2)-AV866,0)</f>
        <v>0</v>
      </c>
      <c r="BD866" s="41">
        <f>IF(AND((AV866/I866)&lt;3,BB866=2),(I866*3)-AV866,0)</f>
        <v>0</v>
      </c>
      <c r="BH866" s="18">
        <v>15</v>
      </c>
      <c r="BI866" s="18">
        <v>20</v>
      </c>
      <c r="BJ866" s="18">
        <v>21</v>
      </c>
      <c r="BK866" s="18">
        <v>15</v>
      </c>
      <c r="BL866" s="18">
        <v>17</v>
      </c>
      <c r="BM866" s="55">
        <f>SUM(AV866:AX866)+SUM(BC866:BD866)+SUM(BE866:BF866)+BG866</f>
        <v>21</v>
      </c>
      <c r="BN866" s="55"/>
      <c r="BO866" s="55"/>
      <c r="BP866" s="55"/>
      <c r="BQ866" s="55"/>
      <c r="BR866" s="55"/>
      <c r="BS866" s="55"/>
      <c r="BT866" s="55"/>
      <c r="BU866" s="55"/>
      <c r="BV866" s="55"/>
      <c r="BW866" s="55"/>
      <c r="BX866" s="55"/>
      <c r="BY866" s="55"/>
    </row>
    <row r="867" spans="1:77" s="40" customFormat="1" ht="25.5">
      <c r="A867" s="85"/>
      <c r="B867" s="89">
        <v>851</v>
      </c>
      <c r="C867" s="93">
        <v>633</v>
      </c>
      <c r="D867" s="93">
        <v>173</v>
      </c>
      <c r="E867" s="94">
        <v>0.55902777777777779</v>
      </c>
      <c r="F867" s="94">
        <v>0.56944444444444442</v>
      </c>
      <c r="G867" s="93" t="s">
        <v>487</v>
      </c>
      <c r="H867" s="93" t="s">
        <v>103</v>
      </c>
      <c r="I867" s="96">
        <v>7</v>
      </c>
      <c r="J867" s="97" t="s">
        <v>93</v>
      </c>
      <c r="K867" s="98">
        <v>174</v>
      </c>
      <c r="L867" s="99" t="s">
        <v>780</v>
      </c>
      <c r="M867" s="83" t="s">
        <v>825</v>
      </c>
      <c r="N867" s="83">
        <v>21</v>
      </c>
      <c r="O867" s="83" t="s">
        <v>826</v>
      </c>
      <c r="P867" s="83" t="s">
        <v>827</v>
      </c>
      <c r="Q867" s="87" t="s">
        <v>1280</v>
      </c>
      <c r="R867" s="84">
        <v>17</v>
      </c>
      <c r="S867" s="26">
        <v>6700</v>
      </c>
      <c r="T867" s="26" t="s">
        <v>1742</v>
      </c>
      <c r="U867" s="26">
        <v>6220</v>
      </c>
      <c r="V867" s="26" t="s">
        <v>1357</v>
      </c>
      <c r="W867" s="62">
        <v>44816</v>
      </c>
      <c r="X867" s="62">
        <v>45086</v>
      </c>
      <c r="Y867" s="62"/>
      <c r="Z867" s="62"/>
      <c r="AA867" s="22" t="s">
        <v>1102</v>
      </c>
      <c r="AB867" s="17"/>
      <c r="AC867" s="17"/>
      <c r="AD867" s="17"/>
      <c r="AE867" s="23" t="s">
        <v>731</v>
      </c>
      <c r="AF867" s="23" t="s">
        <v>731</v>
      </c>
      <c r="AG867" s="23" t="s">
        <v>731</v>
      </c>
      <c r="AH867" s="23" t="s">
        <v>731</v>
      </c>
      <c r="AI867" s="23" t="s">
        <v>731</v>
      </c>
      <c r="AJ867" s="23" t="s">
        <v>731</v>
      </c>
      <c r="AK867" s="17"/>
      <c r="AL867" s="17"/>
      <c r="AM867" s="17"/>
      <c r="AN867" s="17"/>
      <c r="AO867" s="17"/>
      <c r="AP867" s="23"/>
      <c r="AQ867" s="23"/>
      <c r="AR867" s="23"/>
      <c r="AS867" s="23"/>
      <c r="AT867" s="23"/>
      <c r="AU867" s="17"/>
      <c r="AV867" s="42">
        <v>21</v>
      </c>
      <c r="AW867" s="42"/>
      <c r="AY867" s="19"/>
      <c r="AZ867" s="19"/>
      <c r="BB867" s="45">
        <v>1</v>
      </c>
      <c r="BC867" s="41">
        <f>IF(AND((AV867/I867)&lt;2,BB867=1),(I867*2)-AV867,0)</f>
        <v>0</v>
      </c>
      <c r="BD867" s="41">
        <f>IF(AND((AV867/I867)&lt;3,BB867=2),(I867*3)-AV867,0)</f>
        <v>0</v>
      </c>
      <c r="BH867" s="18">
        <v>15</v>
      </c>
      <c r="BI867" s="18">
        <v>20</v>
      </c>
      <c r="BJ867" s="18">
        <v>21</v>
      </c>
      <c r="BK867" s="18">
        <v>15</v>
      </c>
      <c r="BL867" s="18">
        <v>17</v>
      </c>
      <c r="BM867" s="55">
        <f>SUM(AV867:AX867)+SUM(BC867:BD867)+SUM(BE867:BF867)+BG867</f>
        <v>21</v>
      </c>
      <c r="BN867" s="55"/>
      <c r="BO867" s="55"/>
      <c r="BP867" s="55"/>
      <c r="BQ867" s="55"/>
      <c r="BR867" s="55"/>
      <c r="BS867" s="55"/>
      <c r="BT867" s="55"/>
      <c r="BU867" s="55"/>
      <c r="BV867" s="55"/>
      <c r="BW867" s="55"/>
      <c r="BX867" s="55"/>
      <c r="BY867" s="55"/>
    </row>
    <row r="868" spans="1:77" s="40" customFormat="1" ht="25.5">
      <c r="A868" s="85"/>
      <c r="B868" s="89">
        <v>852</v>
      </c>
      <c r="C868" s="101">
        <v>633</v>
      </c>
      <c r="D868" s="101">
        <v>174</v>
      </c>
      <c r="E868" s="102">
        <v>0.68402777777777779</v>
      </c>
      <c r="F868" s="102">
        <v>0.69444444444444453</v>
      </c>
      <c r="G868" s="103" t="s">
        <v>76</v>
      </c>
      <c r="H868" s="103" t="s">
        <v>20</v>
      </c>
      <c r="I868" s="101">
        <v>7</v>
      </c>
      <c r="J868" s="104">
        <v>19</v>
      </c>
      <c r="K868" s="98">
        <v>55</v>
      </c>
      <c r="L868" s="99" t="s">
        <v>780</v>
      </c>
      <c r="M868" s="83" t="s">
        <v>826</v>
      </c>
      <c r="N868" s="83" t="s">
        <v>827</v>
      </c>
      <c r="O868" s="83" t="s">
        <v>825</v>
      </c>
      <c r="P868" s="83">
        <v>21</v>
      </c>
      <c r="Q868" s="87" t="s">
        <v>1280</v>
      </c>
      <c r="R868" s="84">
        <v>17</v>
      </c>
      <c r="S868" s="26">
        <v>6220</v>
      </c>
      <c r="T868" s="26" t="s">
        <v>1357</v>
      </c>
      <c r="U868" s="26">
        <v>6700</v>
      </c>
      <c r="V868" s="26" t="s">
        <v>1742</v>
      </c>
      <c r="W868" s="63">
        <v>44562</v>
      </c>
      <c r="X868" s="63">
        <v>44815</v>
      </c>
      <c r="Y868" s="63">
        <v>45101</v>
      </c>
      <c r="Z868" s="63">
        <v>45169</v>
      </c>
      <c r="AA868" s="24" t="s">
        <v>1109</v>
      </c>
      <c r="AB868" s="17"/>
      <c r="AC868" s="17" t="s">
        <v>731</v>
      </c>
      <c r="AD868" s="17" t="s">
        <v>731</v>
      </c>
      <c r="AE868" s="17"/>
      <c r="AF868" s="17" t="s">
        <v>731</v>
      </c>
      <c r="AG868" s="17" t="s">
        <v>731</v>
      </c>
      <c r="AH868" s="17" t="s">
        <v>731</v>
      </c>
      <c r="AI868" s="17" t="s">
        <v>731</v>
      </c>
      <c r="AJ868" s="17" t="s">
        <v>731</v>
      </c>
      <c r="AK868" s="17"/>
      <c r="AL868" s="17"/>
      <c r="AM868" s="17"/>
      <c r="AN868" s="17"/>
      <c r="AO868" s="17"/>
      <c r="AP868" s="17"/>
      <c r="AQ868" s="17"/>
      <c r="AR868" s="17"/>
      <c r="AS868" s="17"/>
      <c r="AT868" s="17"/>
      <c r="AU868" s="17"/>
      <c r="AV868" s="42"/>
      <c r="AW868" s="42"/>
      <c r="AY868" s="19" t="s">
        <v>780</v>
      </c>
      <c r="AZ868" s="19"/>
      <c r="BB868" s="45">
        <v>1</v>
      </c>
      <c r="BD868" s="41"/>
      <c r="BH868" s="18">
        <v>7</v>
      </c>
      <c r="BI868" s="18">
        <v>0</v>
      </c>
      <c r="BJ868" s="18">
        <v>0</v>
      </c>
      <c r="BK868" s="18">
        <v>0</v>
      </c>
      <c r="BL868" s="18">
        <v>0</v>
      </c>
      <c r="BM868" s="55">
        <f>SUM(AV868:AX868)+SUM(BC868:BD868)+SUM(BE868:BF868)+BG868</f>
        <v>0</v>
      </c>
      <c r="BN868" s="55"/>
      <c r="BO868" s="55"/>
      <c r="BP868" s="55"/>
      <c r="BQ868" s="55"/>
      <c r="BR868" s="55"/>
      <c r="BS868" s="55"/>
      <c r="BT868" s="55"/>
      <c r="BU868" s="55"/>
      <c r="BV868" s="55"/>
      <c r="BW868" s="55"/>
      <c r="BX868" s="55"/>
      <c r="BY868" s="55"/>
    </row>
    <row r="869" spans="1:77" s="40" customFormat="1" ht="25.5">
      <c r="A869" s="85"/>
      <c r="B869" s="89">
        <v>853</v>
      </c>
      <c r="C869" s="101">
        <v>633</v>
      </c>
      <c r="D869" s="101">
        <v>175</v>
      </c>
      <c r="E869" s="102">
        <v>0.69791666666666663</v>
      </c>
      <c r="F869" s="102">
        <v>0.70763888888888893</v>
      </c>
      <c r="G869" s="103" t="s">
        <v>75</v>
      </c>
      <c r="H869" s="103" t="s">
        <v>20</v>
      </c>
      <c r="I869" s="101">
        <v>7</v>
      </c>
      <c r="J869" s="104">
        <v>19</v>
      </c>
      <c r="K869" s="98">
        <v>55</v>
      </c>
      <c r="L869" s="99" t="s">
        <v>780</v>
      </c>
      <c r="M869" s="83" t="s">
        <v>826</v>
      </c>
      <c r="N869" s="83" t="s">
        <v>827</v>
      </c>
      <c r="O869" s="83" t="s">
        <v>825</v>
      </c>
      <c r="P869" s="83">
        <v>21</v>
      </c>
      <c r="Q869" s="87" t="s">
        <v>1280</v>
      </c>
      <c r="R869" s="84">
        <v>17</v>
      </c>
      <c r="S869" s="26">
        <v>6700</v>
      </c>
      <c r="T869" s="26" t="s">
        <v>1742</v>
      </c>
      <c r="U869" s="26">
        <v>6220</v>
      </c>
      <c r="V869" s="26" t="s">
        <v>1357</v>
      </c>
      <c r="W869" s="63">
        <v>44562</v>
      </c>
      <c r="X869" s="63">
        <v>44815</v>
      </c>
      <c r="Y869" s="63">
        <v>45101</v>
      </c>
      <c r="Z869" s="63">
        <v>45169</v>
      </c>
      <c r="AA869" s="24" t="s">
        <v>1109</v>
      </c>
      <c r="AB869" s="17"/>
      <c r="AC869" s="17" t="s">
        <v>731</v>
      </c>
      <c r="AD869" s="17" t="s">
        <v>731</v>
      </c>
      <c r="AE869" s="17"/>
      <c r="AF869" s="17" t="s">
        <v>731</v>
      </c>
      <c r="AG869" s="17" t="s">
        <v>731</v>
      </c>
      <c r="AH869" s="17" t="s">
        <v>731</v>
      </c>
      <c r="AI869" s="17" t="s">
        <v>731</v>
      </c>
      <c r="AJ869" s="17" t="s">
        <v>731</v>
      </c>
      <c r="AK869" s="17"/>
      <c r="AL869" s="17"/>
      <c r="AM869" s="17"/>
      <c r="AN869" s="17"/>
      <c r="AO869" s="17"/>
      <c r="AP869" s="17"/>
      <c r="AQ869" s="17"/>
      <c r="AR869" s="17"/>
      <c r="AS869" s="17"/>
      <c r="AT869" s="17"/>
      <c r="AU869" s="17"/>
      <c r="AV869" s="42"/>
      <c r="AW869" s="42"/>
      <c r="AY869" s="19" t="s">
        <v>780</v>
      </c>
      <c r="AZ869" s="19"/>
      <c r="BB869" s="45">
        <v>1</v>
      </c>
      <c r="BD869" s="41"/>
      <c r="BH869" s="18">
        <v>7</v>
      </c>
      <c r="BI869" s="18">
        <v>0</v>
      </c>
      <c r="BJ869" s="18">
        <v>0</v>
      </c>
      <c r="BK869" s="18">
        <v>0</v>
      </c>
      <c r="BL869" s="18">
        <v>0</v>
      </c>
      <c r="BM869" s="55">
        <f>SUM(AV869:AX869)+SUM(BC869:BD869)+SUM(BE869:BF869)+BG869</f>
        <v>0</v>
      </c>
      <c r="BN869" s="55"/>
      <c r="BO869" s="55"/>
      <c r="BP869" s="55"/>
      <c r="BQ869" s="55"/>
      <c r="BR869" s="55"/>
      <c r="BS869" s="55"/>
      <c r="BT869" s="55"/>
      <c r="BU869" s="55"/>
      <c r="BV869" s="55"/>
      <c r="BW869" s="55"/>
      <c r="BX869" s="55"/>
      <c r="BY869" s="55"/>
    </row>
    <row r="870" spans="1:77" s="40" customFormat="1" ht="25.5">
      <c r="A870" s="85"/>
      <c r="B870" s="89">
        <v>854</v>
      </c>
      <c r="C870" s="101">
        <v>633</v>
      </c>
      <c r="D870" s="101">
        <v>174</v>
      </c>
      <c r="E870" s="102">
        <v>0.71527777777777779</v>
      </c>
      <c r="F870" s="108">
        <v>0.72569444444444453</v>
      </c>
      <c r="G870" s="103" t="s">
        <v>76</v>
      </c>
      <c r="H870" s="93" t="s">
        <v>97</v>
      </c>
      <c r="I870" s="101">
        <v>7</v>
      </c>
      <c r="J870" s="104">
        <v>19</v>
      </c>
      <c r="K870" s="98">
        <v>208</v>
      </c>
      <c r="L870" s="99" t="s">
        <v>780</v>
      </c>
      <c r="M870" s="83" t="s">
        <v>825</v>
      </c>
      <c r="N870" s="83">
        <v>21</v>
      </c>
      <c r="O870" s="83" t="s">
        <v>826</v>
      </c>
      <c r="P870" s="83" t="s">
        <v>827</v>
      </c>
      <c r="Q870" s="87" t="s">
        <v>1280</v>
      </c>
      <c r="R870" s="84">
        <v>17</v>
      </c>
      <c r="S870" s="26">
        <v>6220</v>
      </c>
      <c r="T870" s="26" t="s">
        <v>1357</v>
      </c>
      <c r="U870" s="26">
        <v>6700</v>
      </c>
      <c r="V870" s="26" t="s">
        <v>1742</v>
      </c>
      <c r="W870" s="62">
        <v>44816</v>
      </c>
      <c r="X870" s="62">
        <v>45086</v>
      </c>
      <c r="Y870" s="62"/>
      <c r="Z870" s="62"/>
      <c r="AA870" s="22" t="s">
        <v>1106</v>
      </c>
      <c r="AB870" s="17"/>
      <c r="AC870" s="17"/>
      <c r="AD870" s="17"/>
      <c r="AE870" s="23" t="s">
        <v>731</v>
      </c>
      <c r="AF870" s="23" t="s">
        <v>731</v>
      </c>
      <c r="AG870" s="23" t="s">
        <v>731</v>
      </c>
      <c r="AH870" s="23" t="s">
        <v>731</v>
      </c>
      <c r="AI870" s="23" t="s">
        <v>731</v>
      </c>
      <c r="AJ870" s="23" t="s">
        <v>731</v>
      </c>
      <c r="AK870" s="23" t="s">
        <v>731</v>
      </c>
      <c r="AL870" s="17"/>
      <c r="AM870" s="17"/>
      <c r="AN870" s="17"/>
      <c r="AO870" s="17"/>
      <c r="AP870" s="23"/>
      <c r="AQ870" s="23"/>
      <c r="AR870" s="23"/>
      <c r="AS870" s="23"/>
      <c r="AT870" s="23"/>
      <c r="AU870" s="23"/>
      <c r="AV870" s="42"/>
      <c r="AW870" s="42"/>
      <c r="AY870" s="19" t="s">
        <v>780</v>
      </c>
      <c r="AZ870" s="19"/>
      <c r="BB870" s="45">
        <v>1</v>
      </c>
      <c r="BD870" s="41"/>
      <c r="BH870" s="18">
        <v>17</v>
      </c>
      <c r="BI870" s="18">
        <v>25</v>
      </c>
      <c r="BJ870" s="18">
        <v>25</v>
      </c>
      <c r="BK870" s="18">
        <v>18</v>
      </c>
      <c r="BL870" s="18">
        <v>20</v>
      </c>
      <c r="BM870" s="55">
        <f>SUM(AV870:AX870)+SUM(BC870:BD870)+SUM(BE870:BF870)+BG870</f>
        <v>0</v>
      </c>
      <c r="BN870" s="55"/>
      <c r="BO870" s="55"/>
      <c r="BP870" s="55"/>
      <c r="BQ870" s="55"/>
      <c r="BR870" s="55"/>
      <c r="BS870" s="55"/>
      <c r="BT870" s="55"/>
      <c r="BU870" s="55"/>
      <c r="BV870" s="55"/>
      <c r="BW870" s="55"/>
      <c r="BX870" s="55"/>
      <c r="BY870" s="55"/>
    </row>
    <row r="871" spans="1:77" s="40" customFormat="1" ht="25.5">
      <c r="A871" s="85"/>
      <c r="B871" s="89">
        <v>855</v>
      </c>
      <c r="C871" s="101">
        <v>633</v>
      </c>
      <c r="D871" s="101">
        <v>175</v>
      </c>
      <c r="E871" s="102">
        <v>0.72638888888888886</v>
      </c>
      <c r="F871" s="102">
        <v>0.7368055555555556</v>
      </c>
      <c r="G871" s="103" t="s">
        <v>75</v>
      </c>
      <c r="H871" s="93" t="s">
        <v>97</v>
      </c>
      <c r="I871" s="101">
        <v>7</v>
      </c>
      <c r="J871" s="104">
        <v>19</v>
      </c>
      <c r="K871" s="98">
        <v>208</v>
      </c>
      <c r="L871" s="99" t="s">
        <v>780</v>
      </c>
      <c r="M871" s="83" t="s">
        <v>825</v>
      </c>
      <c r="N871" s="83">
        <v>21</v>
      </c>
      <c r="O871" s="83" t="s">
        <v>826</v>
      </c>
      <c r="P871" s="83" t="s">
        <v>827</v>
      </c>
      <c r="Q871" s="87" t="s">
        <v>1280</v>
      </c>
      <c r="R871" s="84">
        <v>17</v>
      </c>
      <c r="S871" s="26">
        <v>6700</v>
      </c>
      <c r="T871" s="26" t="s">
        <v>1742</v>
      </c>
      <c r="U871" s="26">
        <v>6220</v>
      </c>
      <c r="V871" s="26" t="s">
        <v>1357</v>
      </c>
      <c r="W871" s="62">
        <v>44816</v>
      </c>
      <c r="X871" s="62">
        <v>45086</v>
      </c>
      <c r="Y871" s="62"/>
      <c r="Z871" s="62"/>
      <c r="AA871" s="22" t="s">
        <v>1106</v>
      </c>
      <c r="AB871" s="17"/>
      <c r="AC871" s="17"/>
      <c r="AD871" s="17"/>
      <c r="AE871" s="23" t="s">
        <v>731</v>
      </c>
      <c r="AF871" s="23" t="s">
        <v>731</v>
      </c>
      <c r="AG871" s="23" t="s">
        <v>731</v>
      </c>
      <c r="AH871" s="23" t="s">
        <v>731</v>
      </c>
      <c r="AI871" s="23" t="s">
        <v>731</v>
      </c>
      <c r="AJ871" s="23" t="s">
        <v>731</v>
      </c>
      <c r="AK871" s="23" t="s">
        <v>731</v>
      </c>
      <c r="AL871" s="17"/>
      <c r="AM871" s="17"/>
      <c r="AN871" s="17"/>
      <c r="AO871" s="17"/>
      <c r="AP871" s="23"/>
      <c r="AQ871" s="23"/>
      <c r="AR871" s="23"/>
      <c r="AS871" s="23"/>
      <c r="AT871" s="23"/>
      <c r="AU871" s="23"/>
      <c r="AV871" s="42"/>
      <c r="AW871" s="42"/>
      <c r="AY871" s="19" t="s">
        <v>780</v>
      </c>
      <c r="AZ871" s="19"/>
      <c r="BB871" s="45">
        <v>1</v>
      </c>
      <c r="BD871" s="41"/>
      <c r="BH871" s="18">
        <v>17</v>
      </c>
      <c r="BI871" s="18">
        <v>25</v>
      </c>
      <c r="BJ871" s="18">
        <v>25</v>
      </c>
      <c r="BK871" s="18">
        <v>18</v>
      </c>
      <c r="BL871" s="18">
        <v>20</v>
      </c>
      <c r="BM871" s="55">
        <f>SUM(AV871:AX871)+SUM(BC871:BD871)+SUM(BE871:BF871)+BG871</f>
        <v>0</v>
      </c>
      <c r="BN871" s="55"/>
      <c r="BO871" s="55"/>
      <c r="BP871" s="55"/>
      <c r="BQ871" s="55"/>
      <c r="BR871" s="55"/>
      <c r="BS871" s="55"/>
      <c r="BT871" s="55"/>
      <c r="BU871" s="55"/>
      <c r="BV871" s="55"/>
      <c r="BW871" s="55"/>
      <c r="BX871" s="55"/>
      <c r="BY871" s="55"/>
    </row>
    <row r="872" spans="1:77" s="40" customFormat="1" ht="25.5">
      <c r="A872" s="85"/>
      <c r="B872" s="89">
        <v>856</v>
      </c>
      <c r="C872" s="101">
        <v>634</v>
      </c>
      <c r="D872" s="101">
        <v>533</v>
      </c>
      <c r="E872" s="108">
        <v>0.25208333333333333</v>
      </c>
      <c r="F872" s="108">
        <v>0.2722222222222222</v>
      </c>
      <c r="G872" s="103" t="s">
        <v>68</v>
      </c>
      <c r="H872" s="93" t="s">
        <v>478</v>
      </c>
      <c r="I872" s="101">
        <v>20</v>
      </c>
      <c r="J872" s="104">
        <v>19</v>
      </c>
      <c r="K872" s="98">
        <v>240</v>
      </c>
      <c r="L872" s="109" t="s">
        <v>780</v>
      </c>
      <c r="M872" s="83" t="s">
        <v>825</v>
      </c>
      <c r="N872" s="83">
        <v>21</v>
      </c>
      <c r="O872" s="83" t="s">
        <v>826</v>
      </c>
      <c r="P872" s="83" t="s">
        <v>827</v>
      </c>
      <c r="Q872" s="87" t="s">
        <v>1280</v>
      </c>
      <c r="R872" s="84">
        <v>17</v>
      </c>
      <c r="S872" s="26">
        <v>6765</v>
      </c>
      <c r="T872" s="26" t="s">
        <v>1745</v>
      </c>
      <c r="U872" s="26">
        <v>6220</v>
      </c>
      <c r="V872" s="26" t="s">
        <v>1357</v>
      </c>
      <c r="W872" s="63">
        <v>44816</v>
      </c>
      <c r="X872" s="63">
        <v>45100</v>
      </c>
      <c r="Y872" s="63"/>
      <c r="Z872" s="63"/>
      <c r="AA872" s="26" t="s">
        <v>1112</v>
      </c>
      <c r="AB872" s="23" t="s">
        <v>731</v>
      </c>
      <c r="AC872" s="23"/>
      <c r="AD872" s="23" t="s">
        <v>731</v>
      </c>
      <c r="AE872" s="23"/>
      <c r="AF872" s="23" t="s">
        <v>731</v>
      </c>
      <c r="AG872" s="23" t="s">
        <v>731</v>
      </c>
      <c r="AH872" s="23" t="s">
        <v>731</v>
      </c>
      <c r="AI872" s="23" t="s">
        <v>731</v>
      </c>
      <c r="AJ872" s="23" t="s">
        <v>731</v>
      </c>
      <c r="AK872" s="23" t="s">
        <v>731</v>
      </c>
      <c r="AL872" s="17"/>
      <c r="AM872" s="17"/>
      <c r="AN872" s="17"/>
      <c r="AO872" s="17"/>
      <c r="AP872" s="23"/>
      <c r="AQ872" s="23"/>
      <c r="AR872" s="23"/>
      <c r="AS872" s="23"/>
      <c r="AT872" s="23"/>
      <c r="AU872" s="23"/>
      <c r="AV872" s="42"/>
      <c r="AW872" s="42"/>
      <c r="AY872" s="19" t="s">
        <v>780</v>
      </c>
      <c r="AZ872" s="19"/>
      <c r="BB872" s="45">
        <v>1</v>
      </c>
      <c r="BD872" s="41"/>
      <c r="BG872" s="41"/>
      <c r="BH872" s="18">
        <v>17</v>
      </c>
      <c r="BI872" s="18">
        <v>26</v>
      </c>
      <c r="BJ872" s="18">
        <v>25</v>
      </c>
      <c r="BK872" s="18">
        <v>25</v>
      </c>
      <c r="BL872" s="18">
        <v>25</v>
      </c>
      <c r="BM872" s="55">
        <f>SUM(AV872:AX872)+SUM(BC872:BD872)+SUM(BE872:BF872)+BG872</f>
        <v>0</v>
      </c>
      <c r="BN872" s="55"/>
      <c r="BO872" s="55"/>
      <c r="BP872" s="55"/>
      <c r="BQ872" s="55"/>
      <c r="BR872" s="55"/>
      <c r="BS872" s="55"/>
      <c r="BT872" s="55"/>
      <c r="BU872" s="55"/>
      <c r="BV872" s="55"/>
      <c r="BW872" s="55"/>
      <c r="BX872" s="55"/>
      <c r="BY872" s="55"/>
    </row>
    <row r="873" spans="1:77" s="40" customFormat="1" ht="22.5">
      <c r="A873" s="85"/>
      <c r="B873" s="89">
        <v>857</v>
      </c>
      <c r="C873" s="101">
        <v>634</v>
      </c>
      <c r="D873" s="101">
        <v>533</v>
      </c>
      <c r="E873" s="102">
        <v>0.29444444444444445</v>
      </c>
      <c r="F873" s="102">
        <v>0.30555555555555552</v>
      </c>
      <c r="G873" s="103" t="s">
        <v>631</v>
      </c>
      <c r="H873" s="103" t="s">
        <v>1</v>
      </c>
      <c r="I873" s="101">
        <v>9</v>
      </c>
      <c r="J873" s="104">
        <v>19</v>
      </c>
      <c r="K873" s="98">
        <v>67</v>
      </c>
      <c r="L873" s="109" t="s">
        <v>780</v>
      </c>
      <c r="M873" s="83" t="s">
        <v>825</v>
      </c>
      <c r="N873" s="83">
        <v>21</v>
      </c>
      <c r="O873" s="83" t="s">
        <v>826</v>
      </c>
      <c r="P873" s="83" t="s">
        <v>827</v>
      </c>
      <c r="Q873" s="87" t="s">
        <v>1280</v>
      </c>
      <c r="R873" s="84">
        <v>17</v>
      </c>
      <c r="S873" s="26">
        <v>6755</v>
      </c>
      <c r="T873" s="26" t="s">
        <v>1356</v>
      </c>
      <c r="U873" s="26">
        <v>6715</v>
      </c>
      <c r="V873" s="26" t="s">
        <v>1746</v>
      </c>
      <c r="W873" s="63">
        <v>44562</v>
      </c>
      <c r="X873" s="63">
        <v>44815</v>
      </c>
      <c r="Y873" s="63">
        <v>45101</v>
      </c>
      <c r="Z873" s="63">
        <v>45169</v>
      </c>
      <c r="AA873" s="23" t="s">
        <v>1107</v>
      </c>
      <c r="AB873" s="17"/>
      <c r="AC873" s="23" t="s">
        <v>731</v>
      </c>
      <c r="AD873" s="23" t="s">
        <v>731</v>
      </c>
      <c r="AE873" s="23"/>
      <c r="AF873" s="23" t="s">
        <v>731</v>
      </c>
      <c r="AG873" s="23" t="s">
        <v>731</v>
      </c>
      <c r="AH873" s="23" t="s">
        <v>731</v>
      </c>
      <c r="AI873" s="23" t="s">
        <v>731</v>
      </c>
      <c r="AJ873" s="23" t="s">
        <v>731</v>
      </c>
      <c r="AK873" s="23" t="s">
        <v>731</v>
      </c>
      <c r="AL873" s="17"/>
      <c r="AM873" s="17"/>
      <c r="AN873" s="17"/>
      <c r="AO873" s="23"/>
      <c r="AP873" s="23"/>
      <c r="AQ873" s="23"/>
      <c r="AR873" s="23"/>
      <c r="AS873" s="23"/>
      <c r="AT873" s="23"/>
      <c r="AU873" s="23"/>
      <c r="AV873" s="42"/>
      <c r="AW873" s="42"/>
      <c r="AY873" s="19" t="s">
        <v>780</v>
      </c>
      <c r="AZ873" s="19"/>
      <c r="BB873" s="45">
        <v>1</v>
      </c>
      <c r="BD873" s="41"/>
      <c r="BH873" s="18">
        <v>9</v>
      </c>
      <c r="BI873" s="18">
        <v>0</v>
      </c>
      <c r="BJ873" s="18">
        <v>0</v>
      </c>
      <c r="BK873" s="18">
        <v>0</v>
      </c>
      <c r="BL873" s="18">
        <v>0</v>
      </c>
      <c r="BM873" s="55">
        <f>SUM(AV873:AX873)+SUM(BC873:BD873)+SUM(BE873:BF873)+BG873</f>
        <v>0</v>
      </c>
      <c r="BN873" s="55"/>
      <c r="BO873" s="55"/>
      <c r="BP873" s="55"/>
      <c r="BQ873" s="55"/>
      <c r="BR873" s="55"/>
      <c r="BS873" s="55"/>
      <c r="BT873" s="55"/>
      <c r="BU873" s="55"/>
      <c r="BV873" s="55"/>
      <c r="BW873" s="55"/>
      <c r="BX873" s="55"/>
      <c r="BY873" s="55"/>
    </row>
    <row r="874" spans="1:77" s="40" customFormat="1" ht="22.5">
      <c r="A874" s="85"/>
      <c r="B874" s="89">
        <v>858</v>
      </c>
      <c r="C874" s="121">
        <v>634</v>
      </c>
      <c r="D874" s="101">
        <v>541</v>
      </c>
      <c r="E874" s="102">
        <v>0.56597222222222221</v>
      </c>
      <c r="F874" s="102">
        <v>0.58819444444444446</v>
      </c>
      <c r="G874" s="103" t="s">
        <v>68</v>
      </c>
      <c r="H874" s="103" t="s">
        <v>1</v>
      </c>
      <c r="I874" s="101">
        <v>28</v>
      </c>
      <c r="J874" s="104">
        <v>19</v>
      </c>
      <c r="K874" s="98">
        <v>67</v>
      </c>
      <c r="L874" s="109" t="s">
        <v>780</v>
      </c>
      <c r="M874" s="83" t="s">
        <v>825</v>
      </c>
      <c r="N874" s="83">
        <v>21</v>
      </c>
      <c r="O874" s="83" t="s">
        <v>826</v>
      </c>
      <c r="P874" s="83" t="s">
        <v>827</v>
      </c>
      <c r="Q874" s="87" t="s">
        <v>1280</v>
      </c>
      <c r="R874" s="84">
        <v>17</v>
      </c>
      <c r="S874" s="26">
        <v>6765</v>
      </c>
      <c r="T874" s="26" t="s">
        <v>1745</v>
      </c>
      <c r="U874" s="26">
        <v>6220</v>
      </c>
      <c r="V874" s="26" t="s">
        <v>1357</v>
      </c>
      <c r="W874" s="63">
        <v>44562</v>
      </c>
      <c r="X874" s="63">
        <v>44815</v>
      </c>
      <c r="Y874" s="63">
        <v>45101</v>
      </c>
      <c r="Z874" s="63">
        <v>45169</v>
      </c>
      <c r="AA874" s="23" t="s">
        <v>1107</v>
      </c>
      <c r="AB874" s="17"/>
      <c r="AC874" s="23" t="s">
        <v>731</v>
      </c>
      <c r="AD874" s="23" t="s">
        <v>731</v>
      </c>
      <c r="AE874" s="23"/>
      <c r="AF874" s="23" t="s">
        <v>731</v>
      </c>
      <c r="AG874" s="23" t="s">
        <v>731</v>
      </c>
      <c r="AH874" s="23" t="s">
        <v>731</v>
      </c>
      <c r="AI874" s="23" t="s">
        <v>731</v>
      </c>
      <c r="AJ874" s="23" t="s">
        <v>731</v>
      </c>
      <c r="AK874" s="23" t="s">
        <v>731</v>
      </c>
      <c r="AL874" s="17"/>
      <c r="AM874" s="17"/>
      <c r="AN874" s="17"/>
      <c r="AO874" s="23"/>
      <c r="AP874" s="23"/>
      <c r="AQ874" s="23"/>
      <c r="AR874" s="23"/>
      <c r="AS874" s="23"/>
      <c r="AT874" s="23"/>
      <c r="AU874" s="23"/>
      <c r="AV874" s="42"/>
      <c r="AW874" s="42"/>
      <c r="AY874" s="19" t="s">
        <v>780</v>
      </c>
      <c r="AZ874" s="19"/>
      <c r="BB874" s="45">
        <v>1</v>
      </c>
      <c r="BD874" s="41"/>
      <c r="BH874" s="18">
        <v>9</v>
      </c>
      <c r="BI874" s="18">
        <v>0</v>
      </c>
      <c r="BJ874" s="18">
        <v>0</v>
      </c>
      <c r="BK874" s="18">
        <v>0</v>
      </c>
      <c r="BL874" s="18">
        <v>0</v>
      </c>
      <c r="BM874" s="55">
        <f>SUM(AV874:AX874)+SUM(BC874:BD874)+SUM(BE874:BF874)+BG874</f>
        <v>0</v>
      </c>
      <c r="BN874" s="55"/>
      <c r="BO874" s="55"/>
      <c r="BP874" s="55"/>
      <c r="BQ874" s="55"/>
      <c r="BR874" s="55"/>
      <c r="BS874" s="55"/>
      <c r="BT874" s="55"/>
      <c r="BU874" s="55"/>
      <c r="BV874" s="55"/>
      <c r="BW874" s="55"/>
      <c r="BX874" s="55"/>
      <c r="BY874" s="55"/>
    </row>
    <row r="875" spans="1:77" s="40" customFormat="1" ht="25.5">
      <c r="A875" s="85"/>
      <c r="B875" s="89">
        <v>859</v>
      </c>
      <c r="C875" s="101">
        <v>634</v>
      </c>
      <c r="D875" s="101">
        <v>540</v>
      </c>
      <c r="E875" s="102">
        <v>0.72569444444444453</v>
      </c>
      <c r="F875" s="102">
        <v>0.74791666666666667</v>
      </c>
      <c r="G875" s="103" t="s">
        <v>64</v>
      </c>
      <c r="H875" s="103" t="s">
        <v>105</v>
      </c>
      <c r="I875" s="101">
        <v>20</v>
      </c>
      <c r="J875" s="104">
        <v>19</v>
      </c>
      <c r="K875" s="98">
        <v>67</v>
      </c>
      <c r="L875" s="109" t="s">
        <v>780</v>
      </c>
      <c r="M875" s="83" t="s">
        <v>826</v>
      </c>
      <c r="N875" s="83" t="s">
        <v>827</v>
      </c>
      <c r="O875" s="83" t="s">
        <v>825</v>
      </c>
      <c r="P875" s="83">
        <v>21</v>
      </c>
      <c r="Q875" s="87" t="s">
        <v>1280</v>
      </c>
      <c r="R875" s="84">
        <v>17</v>
      </c>
      <c r="S875" s="26">
        <v>6220</v>
      </c>
      <c r="T875" s="26" t="s">
        <v>1357</v>
      </c>
      <c r="U875" s="26">
        <v>6755</v>
      </c>
      <c r="V875" s="26" t="s">
        <v>1356</v>
      </c>
      <c r="W875" s="63">
        <v>44562</v>
      </c>
      <c r="X875" s="63">
        <v>44815</v>
      </c>
      <c r="Y875" s="63">
        <v>45101</v>
      </c>
      <c r="Z875" s="63">
        <v>45169</v>
      </c>
      <c r="AA875" s="23" t="s">
        <v>1107</v>
      </c>
      <c r="AB875" s="17"/>
      <c r="AC875" s="23" t="s">
        <v>731</v>
      </c>
      <c r="AD875" s="23" t="s">
        <v>731</v>
      </c>
      <c r="AE875" s="23"/>
      <c r="AF875" s="23" t="s">
        <v>731</v>
      </c>
      <c r="AG875" s="23" t="s">
        <v>731</v>
      </c>
      <c r="AH875" s="23" t="s">
        <v>731</v>
      </c>
      <c r="AI875" s="23" t="s">
        <v>731</v>
      </c>
      <c r="AJ875" s="23" t="s">
        <v>731</v>
      </c>
      <c r="AK875" s="23" t="s">
        <v>731</v>
      </c>
      <c r="AL875" s="17"/>
      <c r="AM875" s="17"/>
      <c r="AN875" s="17"/>
      <c r="AO875" s="17"/>
      <c r="AP875" s="23"/>
      <c r="AQ875" s="23"/>
      <c r="AR875" s="23"/>
      <c r="AS875" s="23"/>
      <c r="AT875" s="23"/>
      <c r="AU875" s="23"/>
      <c r="AV875" s="42"/>
      <c r="AW875" s="42"/>
      <c r="AY875" s="19" t="s">
        <v>780</v>
      </c>
      <c r="AZ875" s="19"/>
      <c r="BB875" s="45">
        <v>1</v>
      </c>
      <c r="BD875" s="41"/>
      <c r="BH875" s="18">
        <v>9</v>
      </c>
      <c r="BI875" s="18">
        <v>0</v>
      </c>
      <c r="BJ875" s="18">
        <v>0</v>
      </c>
      <c r="BK875" s="18">
        <v>0</v>
      </c>
      <c r="BL875" s="18">
        <v>0</v>
      </c>
      <c r="BM875" s="55">
        <f>SUM(AV875:AX875)+SUM(BC875:BD875)+SUM(BE875:BF875)+BG875</f>
        <v>0</v>
      </c>
      <c r="BN875" s="55"/>
      <c r="BO875" s="55"/>
      <c r="BP875" s="55"/>
      <c r="BQ875" s="55"/>
      <c r="BR875" s="55"/>
      <c r="BS875" s="55"/>
      <c r="BT875" s="55"/>
      <c r="BU875" s="55"/>
      <c r="BV875" s="55"/>
      <c r="BW875" s="55"/>
      <c r="BX875" s="55"/>
      <c r="BY875" s="55"/>
    </row>
    <row r="876" spans="1:77" s="40" customFormat="1" ht="25.5">
      <c r="A876" s="85"/>
      <c r="B876" s="89">
        <v>860</v>
      </c>
      <c r="C876" s="101">
        <v>634</v>
      </c>
      <c r="D876" s="101">
        <v>540</v>
      </c>
      <c r="E876" s="102">
        <v>0.74305555555555547</v>
      </c>
      <c r="F876" s="108">
        <v>0.76666666666666661</v>
      </c>
      <c r="G876" s="103" t="s">
        <v>64</v>
      </c>
      <c r="H876" s="93" t="s">
        <v>478</v>
      </c>
      <c r="I876" s="101">
        <v>20</v>
      </c>
      <c r="J876" s="104">
        <v>19</v>
      </c>
      <c r="K876" s="98">
        <v>240</v>
      </c>
      <c r="L876" s="109" t="s">
        <v>780</v>
      </c>
      <c r="M876" s="83" t="s">
        <v>825</v>
      </c>
      <c r="N876" s="83">
        <v>21</v>
      </c>
      <c r="O876" s="83" t="s">
        <v>826</v>
      </c>
      <c r="P876" s="83" t="s">
        <v>827</v>
      </c>
      <c r="Q876" s="87" t="s">
        <v>1280</v>
      </c>
      <c r="R876" s="84">
        <v>17</v>
      </c>
      <c r="S876" s="26">
        <v>6220</v>
      </c>
      <c r="T876" s="26" t="s">
        <v>1357</v>
      </c>
      <c r="U876" s="26">
        <v>6755</v>
      </c>
      <c r="V876" s="26" t="s">
        <v>1356</v>
      </c>
      <c r="W876" s="63">
        <v>44816</v>
      </c>
      <c r="X876" s="63">
        <v>45100</v>
      </c>
      <c r="Y876" s="63"/>
      <c r="Z876" s="63"/>
      <c r="AA876" s="26" t="s">
        <v>1112</v>
      </c>
      <c r="AB876" s="23" t="s">
        <v>731</v>
      </c>
      <c r="AC876" s="23"/>
      <c r="AD876" s="23" t="s">
        <v>731</v>
      </c>
      <c r="AE876" s="23"/>
      <c r="AF876" s="23" t="s">
        <v>731</v>
      </c>
      <c r="AG876" s="23" t="s">
        <v>731</v>
      </c>
      <c r="AH876" s="23" t="s">
        <v>731</v>
      </c>
      <c r="AI876" s="23" t="s">
        <v>731</v>
      </c>
      <c r="AJ876" s="23" t="s">
        <v>731</v>
      </c>
      <c r="AK876" s="23" t="s">
        <v>731</v>
      </c>
      <c r="AL876" s="17"/>
      <c r="AM876" s="17"/>
      <c r="AN876" s="17"/>
      <c r="AO876" s="17"/>
      <c r="AP876" s="23"/>
      <c r="AQ876" s="23"/>
      <c r="AR876" s="23"/>
      <c r="AS876" s="23"/>
      <c r="AT876" s="23"/>
      <c r="AU876" s="23"/>
      <c r="AV876" s="42"/>
      <c r="AW876" s="42"/>
      <c r="AY876" s="19" t="s">
        <v>780</v>
      </c>
      <c r="AZ876" s="19"/>
      <c r="BB876" s="45">
        <v>1</v>
      </c>
      <c r="BD876" s="41"/>
      <c r="BH876" s="18">
        <v>17</v>
      </c>
      <c r="BI876" s="18">
        <v>26</v>
      </c>
      <c r="BJ876" s="18">
        <v>25</v>
      </c>
      <c r="BK876" s="18">
        <v>25</v>
      </c>
      <c r="BL876" s="18">
        <v>25</v>
      </c>
      <c r="BM876" s="55">
        <f>SUM(AV876:AX876)+SUM(BC876:BD876)+SUM(BE876:BF876)+BG876</f>
        <v>0</v>
      </c>
      <c r="BN876" s="55"/>
      <c r="BO876" s="55"/>
      <c r="BP876" s="55"/>
      <c r="BQ876" s="55"/>
      <c r="BR876" s="55"/>
      <c r="BS876" s="55"/>
      <c r="BT876" s="55"/>
      <c r="BU876" s="55"/>
      <c r="BV876" s="55"/>
      <c r="BW876" s="55"/>
      <c r="BX876" s="55"/>
      <c r="BY876" s="55"/>
    </row>
    <row r="877" spans="1:77" s="40" customFormat="1" ht="25.5">
      <c r="A877" s="83"/>
      <c r="B877" s="89">
        <v>861</v>
      </c>
      <c r="C877" s="101">
        <v>634</v>
      </c>
      <c r="D877" s="101">
        <v>538</v>
      </c>
      <c r="E877" s="108">
        <v>0.76388888888888884</v>
      </c>
      <c r="F877" s="108">
        <v>0.78333333333333333</v>
      </c>
      <c r="G877" s="103" t="s">
        <v>66</v>
      </c>
      <c r="H877" s="103" t="s">
        <v>105</v>
      </c>
      <c r="I877" s="101">
        <v>15</v>
      </c>
      <c r="J877" s="104">
        <v>19</v>
      </c>
      <c r="K877" s="98">
        <v>67</v>
      </c>
      <c r="L877" s="109" t="s">
        <v>776</v>
      </c>
      <c r="M877" s="87" t="s">
        <v>857</v>
      </c>
      <c r="N877" s="87">
        <v>21</v>
      </c>
      <c r="O877" s="87" t="s">
        <v>1273</v>
      </c>
      <c r="P877" s="87">
        <v>31</v>
      </c>
      <c r="Q877" s="83"/>
      <c r="R877" s="87"/>
      <c r="S877" s="26">
        <v>6220</v>
      </c>
      <c r="T877" s="26" t="s">
        <v>1357</v>
      </c>
      <c r="U877" s="26">
        <v>6765</v>
      </c>
      <c r="V877" s="26" t="s">
        <v>1745</v>
      </c>
      <c r="W877" s="63">
        <v>44562</v>
      </c>
      <c r="X877" s="63">
        <v>44815</v>
      </c>
      <c r="Y877" s="63">
        <v>45101</v>
      </c>
      <c r="Z877" s="63">
        <v>45169</v>
      </c>
      <c r="AA877" s="23" t="s">
        <v>1107</v>
      </c>
      <c r="AB877" s="17"/>
      <c r="AC877" s="23" t="s">
        <v>731</v>
      </c>
      <c r="AD877" s="23" t="s">
        <v>731</v>
      </c>
      <c r="AE877" s="23"/>
      <c r="AF877" s="23" t="s">
        <v>731</v>
      </c>
      <c r="AG877" s="23" t="s">
        <v>731</v>
      </c>
      <c r="AH877" s="23" t="s">
        <v>731</v>
      </c>
      <c r="AI877" s="23" t="s">
        <v>731</v>
      </c>
      <c r="AJ877" s="23" t="s">
        <v>731</v>
      </c>
      <c r="AK877" s="23" t="s">
        <v>731</v>
      </c>
      <c r="AL877" s="17"/>
      <c r="AM877" s="17"/>
      <c r="AN877" s="17"/>
      <c r="AO877" s="17"/>
      <c r="AP877" s="23"/>
      <c r="AQ877" s="23"/>
      <c r="AR877" s="23"/>
      <c r="AS877" s="23"/>
      <c r="AT877" s="23"/>
      <c r="AU877" s="23"/>
      <c r="AV877" s="41"/>
      <c r="AW877" s="41"/>
      <c r="AY877" s="21" t="s">
        <v>776</v>
      </c>
      <c r="AZ877" s="21"/>
      <c r="BB877" s="45">
        <v>1</v>
      </c>
      <c r="BD877" s="41"/>
      <c r="BH877" s="18">
        <v>9</v>
      </c>
      <c r="BI877" s="18">
        <v>0</v>
      </c>
      <c r="BJ877" s="18">
        <v>0</v>
      </c>
      <c r="BK877" s="18">
        <v>0</v>
      </c>
      <c r="BL877" s="18">
        <v>0</v>
      </c>
      <c r="BM877" s="55">
        <f>SUM(AV877:AX877)+SUM(BC877:BD877)+SUM(BE877:BF877)+BG877</f>
        <v>0</v>
      </c>
      <c r="BN877" s="55"/>
      <c r="BO877" s="55"/>
      <c r="BP877" s="55"/>
      <c r="BQ877" s="55"/>
      <c r="BR877" s="55"/>
      <c r="BS877" s="55"/>
      <c r="BT877" s="55"/>
      <c r="BU877" s="55"/>
      <c r="BV877" s="55"/>
      <c r="BW877" s="55"/>
      <c r="BX877" s="55"/>
      <c r="BY877" s="55"/>
    </row>
    <row r="878" spans="1:77" s="40" customFormat="1" ht="25.5">
      <c r="A878" s="85"/>
      <c r="B878" s="89">
        <v>862</v>
      </c>
      <c r="C878" s="101">
        <v>634</v>
      </c>
      <c r="D878" s="101">
        <v>545</v>
      </c>
      <c r="E878" s="102">
        <v>0.77430555555555547</v>
      </c>
      <c r="F878" s="108">
        <v>0.79791666666666661</v>
      </c>
      <c r="G878" s="103" t="s">
        <v>65</v>
      </c>
      <c r="H878" s="93" t="s">
        <v>478</v>
      </c>
      <c r="I878" s="101">
        <v>20</v>
      </c>
      <c r="J878" s="104">
        <v>19</v>
      </c>
      <c r="K878" s="98">
        <v>240</v>
      </c>
      <c r="L878" s="109" t="s">
        <v>780</v>
      </c>
      <c r="M878" s="83" t="s">
        <v>825</v>
      </c>
      <c r="N878" s="83">
        <v>21</v>
      </c>
      <c r="O878" s="83" t="s">
        <v>826</v>
      </c>
      <c r="P878" s="83" t="s">
        <v>827</v>
      </c>
      <c r="Q878" s="87" t="s">
        <v>1280</v>
      </c>
      <c r="R878" s="84">
        <v>17</v>
      </c>
      <c r="S878" s="26">
        <v>6755</v>
      </c>
      <c r="T878" s="26" t="s">
        <v>1356</v>
      </c>
      <c r="U878" s="26">
        <v>6220</v>
      </c>
      <c r="V878" s="26" t="s">
        <v>1357</v>
      </c>
      <c r="W878" s="63">
        <v>44816</v>
      </c>
      <c r="X878" s="63">
        <v>45100</v>
      </c>
      <c r="Y878" s="63"/>
      <c r="Z878" s="63"/>
      <c r="AA878" s="26" t="s">
        <v>1112</v>
      </c>
      <c r="AB878" s="23" t="s">
        <v>731</v>
      </c>
      <c r="AC878" s="23"/>
      <c r="AD878" s="23" t="s">
        <v>731</v>
      </c>
      <c r="AE878" s="23"/>
      <c r="AF878" s="23" t="s">
        <v>731</v>
      </c>
      <c r="AG878" s="23" t="s">
        <v>731</v>
      </c>
      <c r="AH878" s="23" t="s">
        <v>731</v>
      </c>
      <c r="AI878" s="23" t="s">
        <v>731</v>
      </c>
      <c r="AJ878" s="23" t="s">
        <v>731</v>
      </c>
      <c r="AK878" s="23" t="s">
        <v>731</v>
      </c>
      <c r="AL878" s="17"/>
      <c r="AM878" s="17"/>
      <c r="AN878" s="17"/>
      <c r="AO878" s="17"/>
      <c r="AP878" s="23"/>
      <c r="AQ878" s="23"/>
      <c r="AR878" s="23"/>
      <c r="AS878" s="23"/>
      <c r="AT878" s="23"/>
      <c r="AU878" s="23"/>
      <c r="AV878" s="42"/>
      <c r="AW878" s="42"/>
      <c r="AY878" s="19" t="s">
        <v>780</v>
      </c>
      <c r="AZ878" s="19"/>
      <c r="BB878" s="45">
        <v>1</v>
      </c>
      <c r="BD878" s="41"/>
      <c r="BH878" s="18">
        <v>17</v>
      </c>
      <c r="BI878" s="18">
        <v>26</v>
      </c>
      <c r="BJ878" s="18">
        <v>25</v>
      </c>
      <c r="BK878" s="18">
        <v>25</v>
      </c>
      <c r="BL878" s="18">
        <v>25</v>
      </c>
      <c r="BM878" s="55">
        <f>SUM(AV878:AX878)+SUM(BC878:BD878)+SUM(BE878:BF878)+BG878</f>
        <v>0</v>
      </c>
      <c r="BN878" s="55"/>
      <c r="BO878" s="55"/>
      <c r="BP878" s="55"/>
      <c r="BQ878" s="55"/>
      <c r="BR878" s="55"/>
      <c r="BS878" s="55"/>
      <c r="BT878" s="55"/>
      <c r="BU878" s="55"/>
      <c r="BV878" s="55"/>
      <c r="BW878" s="55"/>
      <c r="BX878" s="55"/>
      <c r="BY878" s="55"/>
    </row>
    <row r="879" spans="1:77" s="40" customFormat="1" ht="25.5">
      <c r="A879" s="85"/>
      <c r="B879" s="89">
        <v>863</v>
      </c>
      <c r="C879" s="101">
        <v>634</v>
      </c>
      <c r="D879" s="101">
        <v>542</v>
      </c>
      <c r="E879" s="102">
        <v>0.77569444444444446</v>
      </c>
      <c r="F879" s="102">
        <v>0.79513888888888884</v>
      </c>
      <c r="G879" s="103" t="s">
        <v>66</v>
      </c>
      <c r="H879" s="93" t="s">
        <v>478</v>
      </c>
      <c r="I879" s="101">
        <v>15</v>
      </c>
      <c r="J879" s="104">
        <v>19</v>
      </c>
      <c r="K879" s="98">
        <v>240</v>
      </c>
      <c r="L879" s="109" t="s">
        <v>776</v>
      </c>
      <c r="M879" s="87" t="s">
        <v>857</v>
      </c>
      <c r="N879" s="87">
        <v>21</v>
      </c>
      <c r="O879" s="87" t="s">
        <v>1273</v>
      </c>
      <c r="P879" s="87">
        <v>31</v>
      </c>
      <c r="Q879" s="83"/>
      <c r="R879" s="87"/>
      <c r="S879" s="26">
        <v>6220</v>
      </c>
      <c r="T879" s="26" t="s">
        <v>1357</v>
      </c>
      <c r="U879" s="26">
        <v>6765</v>
      </c>
      <c r="V879" s="26" t="s">
        <v>1745</v>
      </c>
      <c r="W879" s="63">
        <v>44816</v>
      </c>
      <c r="X879" s="63">
        <v>45100</v>
      </c>
      <c r="Y879" s="63"/>
      <c r="Z879" s="63"/>
      <c r="AA879" s="26" t="s">
        <v>1112</v>
      </c>
      <c r="AB879" s="23" t="s">
        <v>731</v>
      </c>
      <c r="AC879" s="23"/>
      <c r="AD879" s="23" t="s">
        <v>731</v>
      </c>
      <c r="AE879" s="23"/>
      <c r="AF879" s="23" t="s">
        <v>731</v>
      </c>
      <c r="AG879" s="23" t="s">
        <v>731</v>
      </c>
      <c r="AH879" s="23" t="s">
        <v>731</v>
      </c>
      <c r="AI879" s="23" t="s">
        <v>731</v>
      </c>
      <c r="AJ879" s="23" t="s">
        <v>731</v>
      </c>
      <c r="AK879" s="23" t="s">
        <v>731</v>
      </c>
      <c r="AL879" s="17"/>
      <c r="AM879" s="17"/>
      <c r="AN879" s="17"/>
      <c r="AO879" s="17"/>
      <c r="AP879" s="23"/>
      <c r="AQ879" s="23"/>
      <c r="AR879" s="23"/>
      <c r="AS879" s="23"/>
      <c r="AT879" s="23"/>
      <c r="AU879" s="23"/>
      <c r="AV879" s="41"/>
      <c r="AW879" s="41"/>
      <c r="AY879" s="21" t="s">
        <v>776</v>
      </c>
      <c r="AZ879" s="21"/>
      <c r="BB879" s="45">
        <v>1</v>
      </c>
      <c r="BD879" s="41"/>
      <c r="BH879" s="18">
        <v>17</v>
      </c>
      <c r="BI879" s="18">
        <v>26</v>
      </c>
      <c r="BJ879" s="18">
        <v>25</v>
      </c>
      <c r="BK879" s="18">
        <v>25</v>
      </c>
      <c r="BL879" s="18">
        <v>25</v>
      </c>
      <c r="BM879" s="55">
        <f>SUM(AV879:AX879)+SUM(BC879:BD879)+SUM(BE879:BF879)+BG879</f>
        <v>0</v>
      </c>
      <c r="BN879" s="55"/>
      <c r="BO879" s="55"/>
      <c r="BP879" s="55"/>
      <c r="BQ879" s="55"/>
      <c r="BR879" s="55"/>
      <c r="BS879" s="55"/>
      <c r="BT879" s="55"/>
      <c r="BU879" s="55"/>
      <c r="BV879" s="55"/>
      <c r="BW879" s="55"/>
      <c r="BX879" s="55"/>
      <c r="BY879" s="55"/>
    </row>
    <row r="880" spans="1:77" s="40" customFormat="1" ht="25.5">
      <c r="A880" s="85"/>
      <c r="B880" s="89">
        <v>864</v>
      </c>
      <c r="C880" s="101">
        <v>634</v>
      </c>
      <c r="D880" s="101">
        <v>545</v>
      </c>
      <c r="E880" s="102">
        <v>0.78125</v>
      </c>
      <c r="F880" s="102">
        <v>0.80208333333333337</v>
      </c>
      <c r="G880" s="103" t="s">
        <v>65</v>
      </c>
      <c r="H880" s="103" t="s">
        <v>105</v>
      </c>
      <c r="I880" s="101">
        <v>20</v>
      </c>
      <c r="J880" s="104">
        <v>19</v>
      </c>
      <c r="K880" s="98">
        <v>67</v>
      </c>
      <c r="L880" s="109" t="s">
        <v>780</v>
      </c>
      <c r="M880" s="83" t="s">
        <v>826</v>
      </c>
      <c r="N880" s="83" t="s">
        <v>827</v>
      </c>
      <c r="O880" s="83" t="s">
        <v>825</v>
      </c>
      <c r="P880" s="83">
        <v>21</v>
      </c>
      <c r="Q880" s="87" t="s">
        <v>1280</v>
      </c>
      <c r="R880" s="84">
        <v>17</v>
      </c>
      <c r="S880" s="26">
        <v>6755</v>
      </c>
      <c r="T880" s="26" t="s">
        <v>1356</v>
      </c>
      <c r="U880" s="26">
        <v>6220</v>
      </c>
      <c r="V880" s="26" t="s">
        <v>1357</v>
      </c>
      <c r="W880" s="63">
        <v>44562</v>
      </c>
      <c r="X880" s="63">
        <v>44815</v>
      </c>
      <c r="Y880" s="63">
        <v>45101</v>
      </c>
      <c r="Z880" s="63">
        <v>45169</v>
      </c>
      <c r="AA880" s="23" t="s">
        <v>1107</v>
      </c>
      <c r="AB880" s="17"/>
      <c r="AC880" s="23" t="s">
        <v>731</v>
      </c>
      <c r="AD880" s="23" t="s">
        <v>731</v>
      </c>
      <c r="AE880" s="23"/>
      <c r="AF880" s="23" t="s">
        <v>731</v>
      </c>
      <c r="AG880" s="23" t="s">
        <v>731</v>
      </c>
      <c r="AH880" s="23" t="s">
        <v>731</v>
      </c>
      <c r="AI880" s="23" t="s">
        <v>731</v>
      </c>
      <c r="AJ880" s="23" t="s">
        <v>731</v>
      </c>
      <c r="AK880" s="23" t="s">
        <v>731</v>
      </c>
      <c r="AL880" s="17"/>
      <c r="AM880" s="17"/>
      <c r="AN880" s="17"/>
      <c r="AO880" s="17"/>
      <c r="AP880" s="23"/>
      <c r="AQ880" s="23"/>
      <c r="AR880" s="23"/>
      <c r="AS880" s="23"/>
      <c r="AT880" s="23"/>
      <c r="AU880" s="23"/>
      <c r="AV880" s="42"/>
      <c r="AW880" s="42"/>
      <c r="AY880" s="19" t="s">
        <v>780</v>
      </c>
      <c r="AZ880" s="19"/>
      <c r="BB880" s="45">
        <v>1</v>
      </c>
      <c r="BD880" s="41"/>
      <c r="BH880" s="18">
        <v>9</v>
      </c>
      <c r="BI880" s="18">
        <v>0</v>
      </c>
      <c r="BJ880" s="18">
        <v>0</v>
      </c>
      <c r="BK880" s="18">
        <v>0</v>
      </c>
      <c r="BL880" s="18">
        <v>0</v>
      </c>
      <c r="BM880" s="55">
        <f>SUM(AV880:AX880)+SUM(BC880:BD880)+SUM(BE880:BF880)+BG880</f>
        <v>0</v>
      </c>
      <c r="BN880" s="55"/>
      <c r="BO880" s="55"/>
      <c r="BP880" s="55"/>
      <c r="BQ880" s="55"/>
      <c r="BR880" s="55"/>
      <c r="BS880" s="55"/>
      <c r="BT880" s="55"/>
      <c r="BU880" s="55"/>
      <c r="BV880" s="55"/>
      <c r="BW880" s="55"/>
      <c r="BX880" s="55"/>
      <c r="BY880" s="55"/>
    </row>
    <row r="881" spans="1:77" s="40" customFormat="1" ht="25.5">
      <c r="A881" s="85"/>
      <c r="B881" s="89">
        <v>865</v>
      </c>
      <c r="C881" s="101">
        <v>634</v>
      </c>
      <c r="D881" s="101">
        <v>547</v>
      </c>
      <c r="E881" s="102">
        <v>0.79652777777777783</v>
      </c>
      <c r="F881" s="108">
        <v>0.81666666666666676</v>
      </c>
      <c r="G881" s="103" t="s">
        <v>68</v>
      </c>
      <c r="H881" s="93" t="s">
        <v>478</v>
      </c>
      <c r="I881" s="101">
        <v>15</v>
      </c>
      <c r="J881" s="104">
        <v>19</v>
      </c>
      <c r="K881" s="98">
        <v>240</v>
      </c>
      <c r="L881" s="109" t="s">
        <v>776</v>
      </c>
      <c r="M881" s="87" t="s">
        <v>857</v>
      </c>
      <c r="N881" s="87">
        <v>21</v>
      </c>
      <c r="O881" s="87" t="s">
        <v>1273</v>
      </c>
      <c r="P881" s="87">
        <v>31</v>
      </c>
      <c r="Q881" s="83"/>
      <c r="R881" s="87"/>
      <c r="S881" s="26">
        <v>6765</v>
      </c>
      <c r="T881" s="26" t="s">
        <v>1745</v>
      </c>
      <c r="U881" s="26">
        <v>6220</v>
      </c>
      <c r="V881" s="26" t="s">
        <v>1357</v>
      </c>
      <c r="W881" s="63">
        <v>44816</v>
      </c>
      <c r="X881" s="63">
        <v>45100</v>
      </c>
      <c r="Y881" s="63"/>
      <c r="Z881" s="63"/>
      <c r="AA881" s="26" t="s">
        <v>1112</v>
      </c>
      <c r="AB881" s="23" t="s">
        <v>731</v>
      </c>
      <c r="AC881" s="23"/>
      <c r="AD881" s="23" t="s">
        <v>731</v>
      </c>
      <c r="AE881" s="23"/>
      <c r="AF881" s="23" t="s">
        <v>731</v>
      </c>
      <c r="AG881" s="23" t="s">
        <v>731</v>
      </c>
      <c r="AH881" s="23" t="s">
        <v>731</v>
      </c>
      <c r="AI881" s="23" t="s">
        <v>731</v>
      </c>
      <c r="AJ881" s="23" t="s">
        <v>731</v>
      </c>
      <c r="AK881" s="23" t="s">
        <v>731</v>
      </c>
      <c r="AL881" s="17"/>
      <c r="AM881" s="17"/>
      <c r="AN881" s="17"/>
      <c r="AO881" s="17"/>
      <c r="AP881" s="23"/>
      <c r="AQ881" s="23"/>
      <c r="AR881" s="23"/>
      <c r="AS881" s="23"/>
      <c r="AT881" s="23"/>
      <c r="AU881" s="23"/>
      <c r="AV881" s="41"/>
      <c r="AW881" s="41"/>
      <c r="AY881" s="21" t="s">
        <v>776</v>
      </c>
      <c r="AZ881" s="21"/>
      <c r="BB881" s="45">
        <v>1</v>
      </c>
      <c r="BD881" s="41"/>
      <c r="BH881" s="18">
        <v>17</v>
      </c>
      <c r="BI881" s="18">
        <v>26</v>
      </c>
      <c r="BJ881" s="18">
        <v>25</v>
      </c>
      <c r="BK881" s="18">
        <v>25</v>
      </c>
      <c r="BL881" s="18">
        <v>25</v>
      </c>
      <c r="BM881" s="55">
        <f>SUM(AV881:AX881)+SUM(BC881:BD881)+SUM(BE881:BF881)+BG881</f>
        <v>0</v>
      </c>
      <c r="BN881" s="55"/>
      <c r="BO881" s="55"/>
      <c r="BP881" s="55"/>
      <c r="BQ881" s="55"/>
      <c r="BR881" s="55"/>
      <c r="BS881" s="55"/>
      <c r="BT881" s="55"/>
      <c r="BU881" s="55"/>
      <c r="BV881" s="55"/>
      <c r="BW881" s="55"/>
      <c r="BX881" s="55"/>
      <c r="BY881" s="55"/>
    </row>
    <row r="882" spans="1:77" s="40" customFormat="1" ht="25.5">
      <c r="A882" s="85"/>
      <c r="B882" s="89">
        <v>866</v>
      </c>
      <c r="C882" s="101">
        <v>634</v>
      </c>
      <c r="D882" s="101">
        <v>547</v>
      </c>
      <c r="E882" s="102">
        <v>0.79999999999999993</v>
      </c>
      <c r="F882" s="102">
        <v>0.82013888888888886</v>
      </c>
      <c r="G882" s="103" t="s">
        <v>68</v>
      </c>
      <c r="H882" s="103" t="s">
        <v>105</v>
      </c>
      <c r="I882" s="101">
        <v>15</v>
      </c>
      <c r="J882" s="104">
        <v>19</v>
      </c>
      <c r="K882" s="98">
        <v>67</v>
      </c>
      <c r="L882" s="109" t="s">
        <v>776</v>
      </c>
      <c r="M882" s="87" t="s">
        <v>857</v>
      </c>
      <c r="N882" s="87">
        <v>21</v>
      </c>
      <c r="O882" s="87" t="s">
        <v>1273</v>
      </c>
      <c r="P882" s="87">
        <v>31</v>
      </c>
      <c r="Q882" s="83"/>
      <c r="R882" s="87"/>
      <c r="S882" s="26">
        <v>6765</v>
      </c>
      <c r="T882" s="26" t="s">
        <v>1745</v>
      </c>
      <c r="U882" s="26">
        <v>6220</v>
      </c>
      <c r="V882" s="26" t="s">
        <v>1357</v>
      </c>
      <c r="W882" s="63">
        <v>44562</v>
      </c>
      <c r="X882" s="63">
        <v>44815</v>
      </c>
      <c r="Y882" s="63">
        <v>45101</v>
      </c>
      <c r="Z882" s="63">
        <v>45169</v>
      </c>
      <c r="AA882" s="23" t="s">
        <v>1107</v>
      </c>
      <c r="AB882" s="17"/>
      <c r="AC882" s="23" t="s">
        <v>731</v>
      </c>
      <c r="AD882" s="23" t="s">
        <v>731</v>
      </c>
      <c r="AE882" s="23"/>
      <c r="AF882" s="23" t="s">
        <v>731</v>
      </c>
      <c r="AG882" s="23" t="s">
        <v>731</v>
      </c>
      <c r="AH882" s="23" t="s">
        <v>731</v>
      </c>
      <c r="AI882" s="23" t="s">
        <v>731</v>
      </c>
      <c r="AJ882" s="23" t="s">
        <v>731</v>
      </c>
      <c r="AK882" s="23" t="s">
        <v>731</v>
      </c>
      <c r="AL882" s="17"/>
      <c r="AM882" s="17"/>
      <c r="AN882" s="17"/>
      <c r="AO882" s="17"/>
      <c r="AP882" s="23"/>
      <c r="AQ882" s="23"/>
      <c r="AR882" s="23"/>
      <c r="AS882" s="23"/>
      <c r="AT882" s="23"/>
      <c r="AU882" s="23"/>
      <c r="AV882" s="41"/>
      <c r="AW882" s="41"/>
      <c r="AY882" s="21" t="s">
        <v>776</v>
      </c>
      <c r="AZ882" s="21"/>
      <c r="BB882" s="45">
        <v>1</v>
      </c>
      <c r="BD882" s="41"/>
      <c r="BH882" s="18">
        <v>9</v>
      </c>
      <c r="BI882" s="18">
        <v>0</v>
      </c>
      <c r="BJ882" s="18">
        <v>0</v>
      </c>
      <c r="BK882" s="18">
        <v>0</v>
      </c>
      <c r="BL882" s="18">
        <v>0</v>
      </c>
      <c r="BM882" s="55">
        <f>SUM(AV882:AX882)+SUM(BC882:BD882)+SUM(BE882:BF882)+BG882</f>
        <v>0</v>
      </c>
      <c r="BN882" s="55"/>
      <c r="BO882" s="55"/>
      <c r="BP882" s="55"/>
      <c r="BQ882" s="55"/>
      <c r="BR882" s="55"/>
      <c r="BS882" s="55"/>
      <c r="BT882" s="55"/>
      <c r="BU882" s="55"/>
      <c r="BV882" s="55"/>
      <c r="BW882" s="55"/>
      <c r="BX882" s="55"/>
      <c r="BY882" s="55"/>
    </row>
    <row r="883" spans="1:77" s="40" customFormat="1" ht="25.5">
      <c r="A883" s="85"/>
      <c r="B883" s="89">
        <v>867</v>
      </c>
      <c r="C883" s="101">
        <v>634</v>
      </c>
      <c r="D883" s="101">
        <v>540</v>
      </c>
      <c r="E883" s="102">
        <v>0.80902777777777779</v>
      </c>
      <c r="F883" s="102">
        <v>0.83333333333333337</v>
      </c>
      <c r="G883" s="103" t="s">
        <v>64</v>
      </c>
      <c r="H883" s="103" t="s">
        <v>105</v>
      </c>
      <c r="I883" s="101">
        <v>20</v>
      </c>
      <c r="J883" s="104">
        <v>19</v>
      </c>
      <c r="K883" s="98">
        <v>67</v>
      </c>
      <c r="L883" s="109" t="s">
        <v>780</v>
      </c>
      <c r="M883" s="83" t="s">
        <v>826</v>
      </c>
      <c r="N883" s="83" t="s">
        <v>827</v>
      </c>
      <c r="O883" s="83" t="s">
        <v>825</v>
      </c>
      <c r="P883" s="83">
        <v>21</v>
      </c>
      <c r="Q883" s="87" t="s">
        <v>1280</v>
      </c>
      <c r="R883" s="84">
        <v>17</v>
      </c>
      <c r="S883" s="26">
        <v>6220</v>
      </c>
      <c r="T883" s="26" t="s">
        <v>1357</v>
      </c>
      <c r="U883" s="26">
        <v>6755</v>
      </c>
      <c r="V883" s="26" t="s">
        <v>1356</v>
      </c>
      <c r="W883" s="63">
        <v>44562</v>
      </c>
      <c r="X883" s="63">
        <v>44815</v>
      </c>
      <c r="Y883" s="63">
        <v>45101</v>
      </c>
      <c r="Z883" s="63">
        <v>45169</v>
      </c>
      <c r="AA883" s="23" t="s">
        <v>1107</v>
      </c>
      <c r="AB883" s="17"/>
      <c r="AC883" s="23" t="s">
        <v>731</v>
      </c>
      <c r="AD883" s="23" t="s">
        <v>731</v>
      </c>
      <c r="AE883" s="23"/>
      <c r="AF883" s="23" t="s">
        <v>731</v>
      </c>
      <c r="AG883" s="23" t="s">
        <v>731</v>
      </c>
      <c r="AH883" s="23" t="s">
        <v>731</v>
      </c>
      <c r="AI883" s="23" t="s">
        <v>731</v>
      </c>
      <c r="AJ883" s="23" t="s">
        <v>731</v>
      </c>
      <c r="AK883" s="23" t="s">
        <v>731</v>
      </c>
      <c r="AL883" s="17"/>
      <c r="AM883" s="17"/>
      <c r="AN883" s="17"/>
      <c r="AO883" s="17"/>
      <c r="AP883" s="23"/>
      <c r="AQ883" s="23"/>
      <c r="AR883" s="23"/>
      <c r="AS883" s="23"/>
      <c r="AT883" s="23"/>
      <c r="AU883" s="23"/>
      <c r="AV883" s="42"/>
      <c r="AW883" s="42"/>
      <c r="AY883" s="19" t="s">
        <v>780</v>
      </c>
      <c r="AZ883" s="19"/>
      <c r="BB883" s="45">
        <v>1</v>
      </c>
      <c r="BD883" s="41"/>
      <c r="BH883" s="18">
        <v>9</v>
      </c>
      <c r="BI883" s="18">
        <v>0</v>
      </c>
      <c r="BJ883" s="18">
        <v>0</v>
      </c>
      <c r="BK883" s="18">
        <v>0</v>
      </c>
      <c r="BL883" s="18">
        <v>0</v>
      </c>
      <c r="BM883" s="55">
        <f>SUM(AV883:AX883)+SUM(BC883:BD883)+SUM(BE883:BF883)+BG883</f>
        <v>0</v>
      </c>
      <c r="BN883" s="55"/>
      <c r="BO883" s="55"/>
      <c r="BP883" s="55"/>
      <c r="BQ883" s="55"/>
      <c r="BR883" s="55"/>
      <c r="BS883" s="55"/>
      <c r="BT883" s="55"/>
      <c r="BU883" s="55"/>
      <c r="BV883" s="55"/>
      <c r="BW883" s="55"/>
      <c r="BX883" s="55"/>
      <c r="BY883" s="55"/>
    </row>
    <row r="884" spans="1:77" s="40" customFormat="1" ht="25.5">
      <c r="A884" s="85"/>
      <c r="B884" s="89">
        <v>868</v>
      </c>
      <c r="C884" s="101">
        <v>634</v>
      </c>
      <c r="D884" s="101">
        <v>546</v>
      </c>
      <c r="E884" s="102">
        <v>0.82777777777777783</v>
      </c>
      <c r="F884" s="102">
        <v>0.85138888888888886</v>
      </c>
      <c r="G884" s="103" t="s">
        <v>64</v>
      </c>
      <c r="H884" s="93" t="s">
        <v>478</v>
      </c>
      <c r="I884" s="101">
        <v>20</v>
      </c>
      <c r="J884" s="104">
        <v>19</v>
      </c>
      <c r="K884" s="98">
        <v>240</v>
      </c>
      <c r="L884" s="109" t="s">
        <v>780</v>
      </c>
      <c r="M884" s="83" t="s">
        <v>825</v>
      </c>
      <c r="N884" s="83">
        <v>21</v>
      </c>
      <c r="O884" s="83" t="s">
        <v>826</v>
      </c>
      <c r="P884" s="83" t="s">
        <v>827</v>
      </c>
      <c r="Q884" s="87" t="s">
        <v>1280</v>
      </c>
      <c r="R884" s="84">
        <v>17</v>
      </c>
      <c r="S884" s="26">
        <v>6220</v>
      </c>
      <c r="T884" s="26" t="s">
        <v>1357</v>
      </c>
      <c r="U884" s="26">
        <v>6755</v>
      </c>
      <c r="V884" s="26" t="s">
        <v>1356</v>
      </c>
      <c r="W884" s="63">
        <v>44816</v>
      </c>
      <c r="X884" s="63">
        <v>45100</v>
      </c>
      <c r="Y884" s="63"/>
      <c r="Z884" s="63"/>
      <c r="AA884" s="26" t="s">
        <v>1112</v>
      </c>
      <c r="AB884" s="23" t="s">
        <v>731</v>
      </c>
      <c r="AC884" s="23"/>
      <c r="AD884" s="23" t="s">
        <v>731</v>
      </c>
      <c r="AE884" s="23"/>
      <c r="AF884" s="23" t="s">
        <v>731</v>
      </c>
      <c r="AG884" s="23" t="s">
        <v>731</v>
      </c>
      <c r="AH884" s="23" t="s">
        <v>731</v>
      </c>
      <c r="AI884" s="23" t="s">
        <v>731</v>
      </c>
      <c r="AJ884" s="23" t="s">
        <v>731</v>
      </c>
      <c r="AK884" s="23" t="s">
        <v>731</v>
      </c>
      <c r="AL884" s="17"/>
      <c r="AM884" s="17"/>
      <c r="AN884" s="17"/>
      <c r="AO884" s="17"/>
      <c r="AP884" s="23"/>
      <c r="AQ884" s="23"/>
      <c r="AR884" s="23"/>
      <c r="AS884" s="23"/>
      <c r="AT884" s="23"/>
      <c r="AU884" s="23"/>
      <c r="AV884" s="42"/>
      <c r="AW884" s="42"/>
      <c r="AY884" s="19" t="s">
        <v>780</v>
      </c>
      <c r="AZ884" s="19"/>
      <c r="BB884" s="45">
        <v>1</v>
      </c>
      <c r="BD884" s="41"/>
      <c r="BH884" s="18">
        <v>17</v>
      </c>
      <c r="BI884" s="18">
        <v>26</v>
      </c>
      <c r="BJ884" s="18">
        <v>25</v>
      </c>
      <c r="BK884" s="18">
        <v>25</v>
      </c>
      <c r="BL884" s="18">
        <v>25</v>
      </c>
      <c r="BM884" s="55">
        <f>SUM(AV884:AX884)+SUM(BC884:BD884)+SUM(BE884:BF884)+BG884</f>
        <v>0</v>
      </c>
      <c r="BN884" s="55"/>
      <c r="BO884" s="55"/>
      <c r="BP884" s="55"/>
      <c r="BQ884" s="55"/>
      <c r="BR884" s="55"/>
      <c r="BS884" s="55"/>
      <c r="BT884" s="55"/>
      <c r="BU884" s="55"/>
      <c r="BV884" s="55"/>
      <c r="BW884" s="55"/>
      <c r="BX884" s="55"/>
      <c r="BY884" s="55"/>
    </row>
    <row r="885" spans="1:77" s="40" customFormat="1" ht="63.75">
      <c r="A885" s="2"/>
      <c r="B885" s="89">
        <v>869</v>
      </c>
      <c r="C885" s="93">
        <v>637</v>
      </c>
      <c r="D885" s="106">
        <v>745</v>
      </c>
      <c r="E885" s="105">
        <v>0.21527777777777779</v>
      </c>
      <c r="F885" s="105">
        <v>0.23194444444444443</v>
      </c>
      <c r="G885" s="106" t="s">
        <v>1044</v>
      </c>
      <c r="H885" s="93" t="s">
        <v>596</v>
      </c>
      <c r="I885" s="96">
        <v>17</v>
      </c>
      <c r="J885" s="97" t="s">
        <v>99</v>
      </c>
      <c r="K885" s="98">
        <v>152</v>
      </c>
      <c r="L885" s="99" t="s">
        <v>1204</v>
      </c>
      <c r="M885" s="87" t="s">
        <v>794</v>
      </c>
      <c r="N885" s="87">
        <v>21</v>
      </c>
      <c r="O885" s="87" t="s">
        <v>953</v>
      </c>
      <c r="P885" s="87">
        <v>24</v>
      </c>
      <c r="Q885" s="87" t="s">
        <v>954</v>
      </c>
      <c r="R885" s="84">
        <v>21</v>
      </c>
      <c r="S885" s="26">
        <v>6290</v>
      </c>
      <c r="T885" s="26" t="s">
        <v>1747</v>
      </c>
      <c r="U885" s="26" t="s">
        <v>1748</v>
      </c>
      <c r="V885" s="26" t="s">
        <v>1749</v>
      </c>
      <c r="W885" s="63">
        <v>44816</v>
      </c>
      <c r="X885" s="63">
        <v>45100</v>
      </c>
      <c r="Y885" s="63"/>
      <c r="Z885" s="63"/>
      <c r="AA885" s="22" t="s">
        <v>1832</v>
      </c>
      <c r="AB885" s="17" t="s">
        <v>731</v>
      </c>
      <c r="AC885" s="17"/>
      <c r="AD885" s="27" t="s">
        <v>731</v>
      </c>
      <c r="AE885" s="17"/>
      <c r="AF885" s="17" t="s">
        <v>731</v>
      </c>
      <c r="AG885" s="17" t="s">
        <v>731</v>
      </c>
      <c r="AH885" s="17" t="s">
        <v>731</v>
      </c>
      <c r="AI885" s="17" t="s">
        <v>731</v>
      </c>
      <c r="AJ885" s="17" t="s">
        <v>731</v>
      </c>
      <c r="AK885" s="17" t="s">
        <v>731</v>
      </c>
      <c r="AL885" s="17"/>
      <c r="AM885" s="17"/>
      <c r="AN885" s="17"/>
      <c r="AO885" s="17"/>
      <c r="AP885" s="17"/>
      <c r="AQ885" s="17"/>
      <c r="AR885" s="17"/>
      <c r="AS885" s="17"/>
      <c r="AT885" s="17"/>
      <c r="AU885" s="17"/>
      <c r="AV885" s="42">
        <v>70.430000000000007</v>
      </c>
      <c r="AW885" s="42"/>
      <c r="BB885" s="45">
        <v>1</v>
      </c>
      <c r="BC885" s="41">
        <f>IF(AND((AV885/I885)&lt;2,BB885=1),(I885*2)-AV885,0)</f>
        <v>0</v>
      </c>
      <c r="BD885" s="41">
        <f>IF(AND((AV885/I885)&lt;3,BB885=2),(I885*3)-AV885,0)</f>
        <v>0</v>
      </c>
      <c r="BG885" s="41">
        <f>IF((AV885+AW885+AX885)&lt;20,(20-(AV885+AW885+AX885)),0)</f>
        <v>0</v>
      </c>
      <c r="BH885" s="31">
        <v>0</v>
      </c>
      <c r="BI885" s="31">
        <v>0</v>
      </c>
      <c r="BJ885" s="40">
        <v>0</v>
      </c>
      <c r="BK885" s="40">
        <v>17</v>
      </c>
      <c r="BL885" s="40">
        <v>25</v>
      </c>
      <c r="BM885" s="55">
        <f>SUM(AV885:AX885)+SUM(BC885:BD885)+SUM(BE885:BF885)+BG885</f>
        <v>70.430000000000007</v>
      </c>
      <c r="BN885" s="55"/>
      <c r="BO885" s="55"/>
      <c r="BP885" s="55"/>
      <c r="BQ885" s="55"/>
      <c r="BR885" s="55"/>
      <c r="BS885" s="55"/>
      <c r="BT885" s="55"/>
      <c r="BU885" s="55"/>
      <c r="BV885" s="55"/>
      <c r="BW885" s="55"/>
      <c r="BX885" s="55"/>
      <c r="BY885" s="55"/>
    </row>
    <row r="886" spans="1:77" s="40" customFormat="1" ht="51">
      <c r="A886" s="2"/>
      <c r="B886" s="89">
        <v>870</v>
      </c>
      <c r="C886" s="93">
        <v>637</v>
      </c>
      <c r="D886" s="93">
        <v>629</v>
      </c>
      <c r="E886" s="105">
        <v>0.21527777777777779</v>
      </c>
      <c r="F886" s="105">
        <v>0.23194444444444443</v>
      </c>
      <c r="G886" s="93" t="s">
        <v>595</v>
      </c>
      <c r="H886" s="93" t="s">
        <v>814</v>
      </c>
      <c r="I886" s="96">
        <v>17</v>
      </c>
      <c r="J886" s="97" t="s">
        <v>99</v>
      </c>
      <c r="K886" s="98">
        <v>67</v>
      </c>
      <c r="L886" s="99" t="s">
        <v>1204</v>
      </c>
      <c r="M886" s="87" t="s">
        <v>794</v>
      </c>
      <c r="N886" s="87">
        <v>21</v>
      </c>
      <c r="O886" s="87" t="s">
        <v>953</v>
      </c>
      <c r="P886" s="87">
        <v>24</v>
      </c>
      <c r="Q886" s="87" t="s">
        <v>954</v>
      </c>
      <c r="R886" s="84">
        <v>21</v>
      </c>
      <c r="S886" s="26">
        <v>6290</v>
      </c>
      <c r="T886" s="26" t="s">
        <v>1747</v>
      </c>
      <c r="U886" s="26" t="s">
        <v>1748</v>
      </c>
      <c r="V886" s="26" t="s">
        <v>1749</v>
      </c>
      <c r="W886" s="63">
        <v>44562</v>
      </c>
      <c r="X886" s="63">
        <v>44815</v>
      </c>
      <c r="Y886" s="63">
        <v>45101</v>
      </c>
      <c r="Z886" s="63">
        <v>45169</v>
      </c>
      <c r="AA886" s="27" t="s">
        <v>1830</v>
      </c>
      <c r="AB886" s="17"/>
      <c r="AC886" s="17" t="s">
        <v>731</v>
      </c>
      <c r="AD886" s="27" t="s">
        <v>731</v>
      </c>
      <c r="AE886" s="17"/>
      <c r="AF886" s="17" t="s">
        <v>731</v>
      </c>
      <c r="AG886" s="17" t="s">
        <v>731</v>
      </c>
      <c r="AH886" s="17" t="s">
        <v>731</v>
      </c>
      <c r="AI886" s="17" t="s">
        <v>731</v>
      </c>
      <c r="AJ886" s="17" t="s">
        <v>731</v>
      </c>
      <c r="AK886" s="17" t="s">
        <v>731</v>
      </c>
      <c r="AL886" s="17"/>
      <c r="AM886" s="17"/>
      <c r="AN886" s="17"/>
      <c r="AO886" s="17"/>
      <c r="AP886" s="17"/>
      <c r="AQ886" s="17"/>
      <c r="AR886" s="17"/>
      <c r="AS886" s="17"/>
      <c r="AT886" s="17"/>
      <c r="AU886" s="17"/>
      <c r="AV886" s="42">
        <v>70.430000000000007</v>
      </c>
      <c r="AW886" s="42"/>
      <c r="BB886" s="45">
        <v>1</v>
      </c>
      <c r="BC886" s="41">
        <f>IF(AND((AV886/I886)&lt;2,BB886=1),(I886*2)-AV886,0)</f>
        <v>0</v>
      </c>
      <c r="BD886" s="41">
        <f>IF(AND((AV886/I886)&lt;3,BB886=2),(I886*3)-AV886,0)</f>
        <v>0</v>
      </c>
      <c r="BG886" s="41">
        <f>IF((AV886+AW886+AX886)&lt;20,(20-(AV886+AW886+AX886)),0)</f>
        <v>0</v>
      </c>
      <c r="BH886" s="31">
        <v>9</v>
      </c>
      <c r="BI886" s="18">
        <v>0</v>
      </c>
      <c r="BJ886" s="18">
        <v>0</v>
      </c>
      <c r="BK886" s="18">
        <v>0</v>
      </c>
      <c r="BL886" s="18">
        <v>0</v>
      </c>
      <c r="BM886" s="55">
        <f>SUM(AV886:AX886)+SUM(BC886:BD886)+SUM(BE886:BF886)+BG886</f>
        <v>70.430000000000007</v>
      </c>
      <c r="BN886" s="55"/>
      <c r="BO886" s="55"/>
      <c r="BP886" s="55"/>
      <c r="BQ886" s="55"/>
      <c r="BR886" s="55"/>
      <c r="BS886" s="55"/>
      <c r="BT886" s="55"/>
      <c r="BU886" s="55"/>
      <c r="BV886" s="55"/>
      <c r="BW886" s="55"/>
      <c r="BX886" s="55"/>
      <c r="BY886" s="55"/>
    </row>
    <row r="887" spans="1:77" s="40" customFormat="1" ht="63.75">
      <c r="A887" s="85"/>
      <c r="B887" s="89">
        <v>871</v>
      </c>
      <c r="C887" s="93">
        <v>637</v>
      </c>
      <c r="D887" s="106">
        <v>639</v>
      </c>
      <c r="E887" s="94">
        <v>0.2986111111111111</v>
      </c>
      <c r="F887" s="94">
        <v>0.31944444444444448</v>
      </c>
      <c r="G887" s="93" t="s">
        <v>599</v>
      </c>
      <c r="H887" s="93" t="s">
        <v>815</v>
      </c>
      <c r="I887" s="96">
        <v>17</v>
      </c>
      <c r="J887" s="97" t="s">
        <v>99</v>
      </c>
      <c r="K887" s="146">
        <v>0</v>
      </c>
      <c r="L887" s="99" t="s">
        <v>1204</v>
      </c>
      <c r="M887" s="87" t="s">
        <v>794</v>
      </c>
      <c r="N887" s="87">
        <v>21</v>
      </c>
      <c r="O887" s="87" t="s">
        <v>953</v>
      </c>
      <c r="P887" s="87">
        <v>24</v>
      </c>
      <c r="Q887" s="87" t="s">
        <v>954</v>
      </c>
      <c r="R887" s="84">
        <v>21</v>
      </c>
      <c r="S887" s="26">
        <v>6290</v>
      </c>
      <c r="T887" s="26" t="s">
        <v>1747</v>
      </c>
      <c r="U887" s="26" t="s">
        <v>1748</v>
      </c>
      <c r="V887" s="26" t="s">
        <v>1749</v>
      </c>
      <c r="W887" s="63">
        <v>44562</v>
      </c>
      <c r="X887" s="63">
        <v>44815</v>
      </c>
      <c r="Y887" s="63">
        <v>45101</v>
      </c>
      <c r="Z887" s="63">
        <v>45169</v>
      </c>
      <c r="AA887" s="27" t="s">
        <v>1833</v>
      </c>
      <c r="AB887" s="17"/>
      <c r="AC887" s="17" t="s">
        <v>731</v>
      </c>
      <c r="AD887" s="27" t="s">
        <v>731</v>
      </c>
      <c r="AE887" s="17"/>
      <c r="AF887" s="17" t="s">
        <v>731</v>
      </c>
      <c r="AG887" s="17" t="s">
        <v>731</v>
      </c>
      <c r="AH887" s="17" t="s">
        <v>731</v>
      </c>
      <c r="AI887" s="17" t="s">
        <v>731</v>
      </c>
      <c r="AJ887" s="17" t="s">
        <v>731</v>
      </c>
      <c r="AK887" s="17"/>
      <c r="AL887" s="17"/>
      <c r="AM887" s="17"/>
      <c r="AN887" s="17"/>
      <c r="AO887" s="17"/>
      <c r="AP887" s="17"/>
      <c r="AQ887" s="17"/>
      <c r="AR887" s="17"/>
      <c r="AS887" s="17"/>
      <c r="AT887" s="17"/>
      <c r="AU887" s="17"/>
      <c r="AV887" s="42">
        <v>70.430000000000007</v>
      </c>
      <c r="AW887" s="42"/>
      <c r="BB887" s="45">
        <v>1</v>
      </c>
      <c r="BC887" s="41">
        <f>IF(AND((AV887/I887)&lt;2,BB887=1),(I887*2)-AV887,0)</f>
        <v>0</v>
      </c>
      <c r="BD887" s="41">
        <f>IF(AND((AV887/I887)&lt;3,BB887=2),(I887*3)-AV887,0)</f>
        <v>0</v>
      </c>
      <c r="BH887" s="45">
        <v>0</v>
      </c>
      <c r="BI887" s="18">
        <v>0</v>
      </c>
      <c r="BJ887" s="18">
        <v>0</v>
      </c>
      <c r="BK887" s="18">
        <v>0</v>
      </c>
      <c r="BL887" s="18">
        <v>0</v>
      </c>
      <c r="BM887" s="55">
        <f>SUM(AV887:AX887)+SUM(BC887:BD887)+SUM(BE887:BF887)+BG887</f>
        <v>70.430000000000007</v>
      </c>
      <c r="BN887" s="55"/>
      <c r="BO887" s="55"/>
      <c r="BP887" s="55"/>
      <c r="BQ887" s="55"/>
      <c r="BR887" s="55"/>
      <c r="BS887" s="55"/>
      <c r="BT887" s="55"/>
      <c r="BU887" s="55"/>
      <c r="BV887" s="55"/>
      <c r="BW887" s="55"/>
      <c r="BX887" s="55"/>
      <c r="BY887" s="55"/>
    </row>
    <row r="888" spans="1:77" s="40" customFormat="1" ht="63.75">
      <c r="A888" s="2"/>
      <c r="B888" s="89">
        <v>872</v>
      </c>
      <c r="C888" s="93">
        <v>637</v>
      </c>
      <c r="D888" s="93">
        <v>629</v>
      </c>
      <c r="E888" s="105">
        <v>0.29166666666666669</v>
      </c>
      <c r="F888" s="105">
        <v>0.30833333333333335</v>
      </c>
      <c r="G888" s="93" t="s">
        <v>597</v>
      </c>
      <c r="H888" s="93" t="s">
        <v>598</v>
      </c>
      <c r="I888" s="96">
        <v>17</v>
      </c>
      <c r="J888" s="97" t="s">
        <v>99</v>
      </c>
      <c r="K888" s="98">
        <v>73</v>
      </c>
      <c r="L888" s="99" t="s">
        <v>1204</v>
      </c>
      <c r="M888" s="87" t="s">
        <v>794</v>
      </c>
      <c r="N888" s="87">
        <v>21</v>
      </c>
      <c r="O888" s="87" t="s">
        <v>953</v>
      </c>
      <c r="P888" s="87">
        <v>24</v>
      </c>
      <c r="Q888" s="87" t="s">
        <v>954</v>
      </c>
      <c r="R888" s="84">
        <v>21</v>
      </c>
      <c r="S888" s="26">
        <v>6290</v>
      </c>
      <c r="T888" s="26" t="s">
        <v>1747</v>
      </c>
      <c r="U888" s="26" t="s">
        <v>1748</v>
      </c>
      <c r="V888" s="26" t="s">
        <v>1749</v>
      </c>
      <c r="W888" s="63">
        <v>44816</v>
      </c>
      <c r="X888" s="63">
        <v>45100</v>
      </c>
      <c r="Y888" s="63"/>
      <c r="Z888" s="63"/>
      <c r="AA888" s="27" t="s">
        <v>1834</v>
      </c>
      <c r="AB888" s="17" t="s">
        <v>731</v>
      </c>
      <c r="AC888" s="17"/>
      <c r="AD888" s="27" t="s">
        <v>731</v>
      </c>
      <c r="AE888" s="17"/>
      <c r="AF888" s="17" t="s">
        <v>731</v>
      </c>
      <c r="AG888" s="17" t="s">
        <v>731</v>
      </c>
      <c r="AH888" s="17" t="s">
        <v>731</v>
      </c>
      <c r="AI888" s="17" t="s">
        <v>731</v>
      </c>
      <c r="AJ888" s="17" t="s">
        <v>731</v>
      </c>
      <c r="AK888" s="17"/>
      <c r="AL888" s="17"/>
      <c r="AM888" s="17"/>
      <c r="AN888" s="17"/>
      <c r="AO888" s="17"/>
      <c r="AP888" s="17"/>
      <c r="AQ888" s="17"/>
      <c r="AR888" s="17"/>
      <c r="AS888" s="17"/>
      <c r="AT888" s="17"/>
      <c r="AU888" s="17"/>
      <c r="AV888" s="42">
        <v>70.430000000000007</v>
      </c>
      <c r="AW888" s="42"/>
      <c r="BB888" s="45">
        <v>1</v>
      </c>
      <c r="BC888" s="41">
        <f>IF(AND((AV888/I888)&lt;2,BB888=1),(I888*2)-AV888,0)</f>
        <v>0</v>
      </c>
      <c r="BD888" s="41">
        <f>IF(AND((AV888/I888)&lt;3,BB888=2),(I888*3)-AV888,0)</f>
        <v>0</v>
      </c>
      <c r="BH888" s="31">
        <v>15</v>
      </c>
      <c r="BI888" s="19">
        <v>21</v>
      </c>
      <c r="BJ888" s="40">
        <v>21</v>
      </c>
      <c r="BK888" s="40">
        <v>6</v>
      </c>
      <c r="BL888" s="40">
        <v>0</v>
      </c>
      <c r="BM888" s="55">
        <f>SUM(AV888:AX888)+SUM(BC888:BD888)+SUM(BE888:BF888)+BG888</f>
        <v>70.430000000000007</v>
      </c>
      <c r="BN888" s="55"/>
      <c r="BO888" s="55"/>
      <c r="BP888" s="55"/>
      <c r="BQ888" s="55"/>
      <c r="BR888" s="55"/>
      <c r="BS888" s="55"/>
      <c r="BT888" s="55"/>
      <c r="BU888" s="55"/>
      <c r="BV888" s="55"/>
      <c r="BW888" s="55"/>
      <c r="BX888" s="55"/>
      <c r="BY888" s="55"/>
    </row>
    <row r="889" spans="1:77" s="40" customFormat="1" ht="25.5">
      <c r="A889" s="2"/>
      <c r="B889" s="89">
        <v>873</v>
      </c>
      <c r="C889" s="93">
        <v>637</v>
      </c>
      <c r="D889" s="93">
        <v>746</v>
      </c>
      <c r="E889" s="94">
        <v>0.53125</v>
      </c>
      <c r="F889" s="94">
        <v>0.54166666666666663</v>
      </c>
      <c r="G889" s="93" t="s">
        <v>463</v>
      </c>
      <c r="H889" s="93" t="s">
        <v>464</v>
      </c>
      <c r="I889" s="96">
        <v>9</v>
      </c>
      <c r="J889" s="97" t="s">
        <v>116</v>
      </c>
      <c r="K889" s="98">
        <f>34+34+36+34</f>
        <v>138</v>
      </c>
      <c r="L889" s="109" t="s">
        <v>781</v>
      </c>
      <c r="M889" s="87" t="s">
        <v>866</v>
      </c>
      <c r="N889" s="87">
        <v>9</v>
      </c>
      <c r="O889" s="87" t="s">
        <v>1281</v>
      </c>
      <c r="P889" s="87">
        <v>9</v>
      </c>
      <c r="Q889" s="83"/>
      <c r="R889" s="87"/>
      <c r="S889" s="26">
        <v>6655</v>
      </c>
      <c r="T889" s="26" t="s">
        <v>1738</v>
      </c>
      <c r="U889" s="26">
        <v>6640</v>
      </c>
      <c r="V889" s="26" t="s">
        <v>1737</v>
      </c>
      <c r="W889" s="62">
        <v>44816</v>
      </c>
      <c r="X889" s="62">
        <v>45086</v>
      </c>
      <c r="Y889" s="62"/>
      <c r="Z889" s="62"/>
      <c r="AA889" s="27" t="s">
        <v>1156</v>
      </c>
      <c r="AB889" s="17"/>
      <c r="AC889" s="17"/>
      <c r="AD889" s="17"/>
      <c r="AE889" s="17" t="s">
        <v>731</v>
      </c>
      <c r="AF889" s="17"/>
      <c r="AG889" s="17" t="s">
        <v>731</v>
      </c>
      <c r="AH889" s="17"/>
      <c r="AI889" s="17" t="s">
        <v>731</v>
      </c>
      <c r="AJ889" s="17" t="s">
        <v>731</v>
      </c>
      <c r="AK889" s="17" t="s">
        <v>731</v>
      </c>
      <c r="AL889" s="17"/>
      <c r="AM889" s="17"/>
      <c r="AN889" s="17"/>
      <c r="AO889" s="17"/>
      <c r="AP889" s="17"/>
      <c r="AQ889" s="17"/>
      <c r="AR889" s="17"/>
      <c r="AS889" s="17"/>
      <c r="AT889" s="17"/>
      <c r="AU889" s="17"/>
      <c r="AV889" s="42">
        <v>27</v>
      </c>
      <c r="AW889" s="42"/>
      <c r="BB889" s="45">
        <v>1</v>
      </c>
      <c r="BC889" s="41">
        <f>IF(AND((AV889/I889)&lt;2,BB889=1),(I889*2)-AV889,0)</f>
        <v>0</v>
      </c>
      <c r="BD889" s="41">
        <f>IF(AND((AV889/I889)&lt;3,BB889=2),(I889*3)-AV889,0)</f>
        <v>0</v>
      </c>
      <c r="BH889" s="40">
        <v>11</v>
      </c>
      <c r="BI889" s="40">
        <v>17</v>
      </c>
      <c r="BJ889" s="40">
        <v>16</v>
      </c>
      <c r="BK889" s="40">
        <v>12</v>
      </c>
      <c r="BL889" s="40">
        <v>13</v>
      </c>
      <c r="BM889" s="55">
        <f>SUM(AV889:AX889)+SUM(BC889:BD889)+SUM(BE889:BF889)+BG889</f>
        <v>27</v>
      </c>
      <c r="BN889" s="55"/>
      <c r="BO889" s="55"/>
      <c r="BP889" s="55"/>
      <c r="BQ889" s="55"/>
      <c r="BR889" s="55"/>
      <c r="BS889" s="55"/>
      <c r="BT889" s="55"/>
      <c r="BU889" s="55"/>
      <c r="BV889" s="55"/>
      <c r="BW889" s="55"/>
      <c r="BX889" s="55"/>
      <c r="BY889" s="55"/>
    </row>
    <row r="890" spans="1:77" s="40" customFormat="1" ht="63.75">
      <c r="A890" s="2"/>
      <c r="B890" s="89">
        <v>874</v>
      </c>
      <c r="C890" s="93">
        <v>637</v>
      </c>
      <c r="D890" s="93">
        <v>742</v>
      </c>
      <c r="E890" s="105">
        <v>0.53125</v>
      </c>
      <c r="F890" s="105">
        <v>0.5444444444444444</v>
      </c>
      <c r="G890" s="93" t="s">
        <v>600</v>
      </c>
      <c r="H890" s="93" t="s">
        <v>596</v>
      </c>
      <c r="I890" s="96">
        <v>17</v>
      </c>
      <c r="J890" s="97" t="s">
        <v>99</v>
      </c>
      <c r="K890" s="98">
        <v>152</v>
      </c>
      <c r="L890" s="99" t="s">
        <v>1204</v>
      </c>
      <c r="M890" s="87" t="s">
        <v>794</v>
      </c>
      <c r="N890" s="87">
        <v>21</v>
      </c>
      <c r="O890" s="87" t="s">
        <v>953</v>
      </c>
      <c r="P890" s="87">
        <v>24</v>
      </c>
      <c r="Q890" s="87" t="s">
        <v>954</v>
      </c>
      <c r="R890" s="84">
        <v>21</v>
      </c>
      <c r="S890" s="26" t="s">
        <v>1748</v>
      </c>
      <c r="T890" s="26" t="s">
        <v>1749</v>
      </c>
      <c r="U890" s="26">
        <v>6290</v>
      </c>
      <c r="V890" s="26" t="s">
        <v>1747</v>
      </c>
      <c r="W890" s="63">
        <v>44816</v>
      </c>
      <c r="X890" s="63">
        <v>45100</v>
      </c>
      <c r="Y890" s="63"/>
      <c r="Z890" s="63"/>
      <c r="AA890" s="22" t="s">
        <v>1832</v>
      </c>
      <c r="AB890" s="17" t="s">
        <v>731</v>
      </c>
      <c r="AC890" s="17"/>
      <c r="AD890" s="27" t="s">
        <v>731</v>
      </c>
      <c r="AE890" s="17"/>
      <c r="AF890" s="17" t="s">
        <v>731</v>
      </c>
      <c r="AG890" s="17" t="s">
        <v>731</v>
      </c>
      <c r="AH890" s="17" t="s">
        <v>731</v>
      </c>
      <c r="AI890" s="17" t="s">
        <v>731</v>
      </c>
      <c r="AJ890" s="17" t="s">
        <v>731</v>
      </c>
      <c r="AK890" s="17" t="s">
        <v>731</v>
      </c>
      <c r="AL890" s="17"/>
      <c r="AM890" s="17"/>
      <c r="AN890" s="17"/>
      <c r="AO890" s="17"/>
      <c r="AP890" s="17"/>
      <c r="AQ890" s="17"/>
      <c r="AR890" s="17"/>
      <c r="AS890" s="17"/>
      <c r="AT890" s="17"/>
      <c r="AU890" s="17"/>
      <c r="AV890" s="42">
        <v>70.430000000000007</v>
      </c>
      <c r="AW890" s="42"/>
      <c r="BB890" s="45">
        <v>1</v>
      </c>
      <c r="BC890" s="41">
        <f>IF(AND((AV890/I890)&lt;2,BB890=1),(I890*2)-AV890,0)</f>
        <v>0</v>
      </c>
      <c r="BD890" s="41">
        <f>IF(AND((AV890/I890)&lt;3,BB890=2),(I890*3)-AV890,0)</f>
        <v>0</v>
      </c>
      <c r="BH890" s="31">
        <v>0</v>
      </c>
      <c r="BI890" s="31">
        <v>0</v>
      </c>
      <c r="BJ890" s="40">
        <v>0</v>
      </c>
      <c r="BK890" s="40">
        <v>17</v>
      </c>
      <c r="BL890" s="40">
        <v>25</v>
      </c>
      <c r="BM890" s="55">
        <f>SUM(AV890:AX890)+SUM(BC890:BD890)+SUM(BE890:BF890)+BG890</f>
        <v>70.430000000000007</v>
      </c>
      <c r="BN890" s="55"/>
      <c r="BO890" s="55"/>
      <c r="BP890" s="55"/>
      <c r="BQ890" s="55"/>
      <c r="BR890" s="55"/>
      <c r="BS890" s="55"/>
      <c r="BT890" s="55"/>
      <c r="BU890" s="55"/>
      <c r="BV890" s="55"/>
      <c r="BW890" s="55"/>
      <c r="BX890" s="55"/>
      <c r="BY890" s="55"/>
    </row>
    <row r="891" spans="1:77" s="40" customFormat="1" ht="51">
      <c r="A891" s="2"/>
      <c r="B891" s="89">
        <v>875</v>
      </c>
      <c r="C891" s="93">
        <v>637</v>
      </c>
      <c r="D891" s="106">
        <v>748</v>
      </c>
      <c r="E891" s="105">
        <v>0.53125</v>
      </c>
      <c r="F891" s="105">
        <v>0.5444444444444444</v>
      </c>
      <c r="G891" s="93" t="s">
        <v>600</v>
      </c>
      <c r="H891" s="93" t="s">
        <v>814</v>
      </c>
      <c r="I891" s="96">
        <v>17</v>
      </c>
      <c r="J891" s="97" t="s">
        <v>99</v>
      </c>
      <c r="K891" s="98">
        <v>67</v>
      </c>
      <c r="L891" s="99" t="s">
        <v>1204</v>
      </c>
      <c r="M891" s="87" t="s">
        <v>794</v>
      </c>
      <c r="N891" s="87">
        <v>21</v>
      </c>
      <c r="O891" s="87" t="s">
        <v>953</v>
      </c>
      <c r="P891" s="87">
        <v>24</v>
      </c>
      <c r="Q891" s="87" t="s">
        <v>954</v>
      </c>
      <c r="R891" s="84">
        <v>21</v>
      </c>
      <c r="S891" s="26" t="s">
        <v>1748</v>
      </c>
      <c r="T891" s="26" t="s">
        <v>1749</v>
      </c>
      <c r="U891" s="26">
        <v>6290</v>
      </c>
      <c r="V891" s="26" t="s">
        <v>1747</v>
      </c>
      <c r="W891" s="63">
        <v>44562</v>
      </c>
      <c r="X891" s="63">
        <v>44815</v>
      </c>
      <c r="Y891" s="63">
        <v>45101</v>
      </c>
      <c r="Z891" s="63">
        <v>45169</v>
      </c>
      <c r="AA891" s="27" t="s">
        <v>1830</v>
      </c>
      <c r="AB891" s="17"/>
      <c r="AC891" s="17" t="s">
        <v>731</v>
      </c>
      <c r="AD891" s="27" t="s">
        <v>731</v>
      </c>
      <c r="AE891" s="17"/>
      <c r="AF891" s="17" t="s">
        <v>731</v>
      </c>
      <c r="AG891" s="17" t="s">
        <v>731</v>
      </c>
      <c r="AH891" s="17" t="s">
        <v>731</v>
      </c>
      <c r="AI891" s="17" t="s">
        <v>731</v>
      </c>
      <c r="AJ891" s="17" t="s">
        <v>731</v>
      </c>
      <c r="AK891" s="17" t="s">
        <v>731</v>
      </c>
      <c r="AL891" s="17"/>
      <c r="AM891" s="17"/>
      <c r="AN891" s="17"/>
      <c r="AO891" s="17"/>
      <c r="AP891" s="17"/>
      <c r="AQ891" s="17"/>
      <c r="AR891" s="17"/>
      <c r="AS891" s="17"/>
      <c r="AT891" s="17"/>
      <c r="AU891" s="17"/>
      <c r="AV891" s="42">
        <v>70.430000000000007</v>
      </c>
      <c r="AW891" s="42"/>
      <c r="BB891" s="45">
        <v>1</v>
      </c>
      <c r="BC891" s="41">
        <f>IF(AND((AV891/I891)&lt;2,BB891=1),(I891*2)-AV891,0)</f>
        <v>0</v>
      </c>
      <c r="BD891" s="41">
        <f>IF(AND((AV891/I891)&lt;3,BB891=2),(I891*3)-AV891,0)</f>
        <v>0</v>
      </c>
      <c r="BH891" s="31">
        <v>9</v>
      </c>
      <c r="BI891" s="18">
        <v>0</v>
      </c>
      <c r="BJ891" s="18">
        <v>0</v>
      </c>
      <c r="BK891" s="18">
        <v>0</v>
      </c>
      <c r="BL891" s="18">
        <v>0</v>
      </c>
      <c r="BM891" s="55">
        <f>SUM(AV891:AX891)+SUM(BC891:BD891)+SUM(BE891:BF891)+BG891</f>
        <v>70.430000000000007</v>
      </c>
      <c r="BN891" s="55"/>
      <c r="BO891" s="55"/>
      <c r="BP891" s="55"/>
      <c r="BQ891" s="55"/>
      <c r="BR891" s="55"/>
      <c r="BS891" s="55"/>
      <c r="BT891" s="55"/>
      <c r="BU891" s="55"/>
      <c r="BV891" s="55"/>
      <c r="BW891" s="55"/>
      <c r="BX891" s="55"/>
      <c r="BY891" s="55"/>
    </row>
    <row r="892" spans="1:77" s="40" customFormat="1" ht="25.5">
      <c r="A892" s="2"/>
      <c r="B892" s="89">
        <v>876</v>
      </c>
      <c r="C892" s="93">
        <v>637</v>
      </c>
      <c r="D892" s="93">
        <v>738</v>
      </c>
      <c r="E892" s="94">
        <v>0.55902777777777779</v>
      </c>
      <c r="F892" s="94">
        <v>0.56944444444444442</v>
      </c>
      <c r="G892" s="93" t="s">
        <v>315</v>
      </c>
      <c r="H892" s="93" t="s">
        <v>103</v>
      </c>
      <c r="I892" s="96">
        <v>9</v>
      </c>
      <c r="J892" s="97" t="s">
        <v>99</v>
      </c>
      <c r="K892" s="98">
        <v>174</v>
      </c>
      <c r="L892" s="109" t="s">
        <v>777</v>
      </c>
      <c r="M892" s="83" t="s">
        <v>1064</v>
      </c>
      <c r="N892" s="83">
        <v>23</v>
      </c>
      <c r="O892" s="83" t="s">
        <v>792</v>
      </c>
      <c r="P892" s="83">
        <v>21</v>
      </c>
      <c r="Q892" s="83" t="s">
        <v>872</v>
      </c>
      <c r="R892" s="84">
        <v>23</v>
      </c>
      <c r="S892" s="26">
        <v>6655</v>
      </c>
      <c r="T892" s="26" t="s">
        <v>1738</v>
      </c>
      <c r="U892" s="26">
        <v>6640</v>
      </c>
      <c r="V892" s="26" t="s">
        <v>1737</v>
      </c>
      <c r="W892" s="62">
        <v>44816</v>
      </c>
      <c r="X892" s="62">
        <v>45086</v>
      </c>
      <c r="Y892" s="62"/>
      <c r="Z892" s="62"/>
      <c r="AA892" s="22" t="s">
        <v>1102</v>
      </c>
      <c r="AB892" s="17"/>
      <c r="AC892" s="17"/>
      <c r="AD892" s="17"/>
      <c r="AE892" s="23" t="s">
        <v>731</v>
      </c>
      <c r="AF892" s="23" t="s">
        <v>731</v>
      </c>
      <c r="AG892" s="23" t="s">
        <v>731</v>
      </c>
      <c r="AH892" s="23" t="s">
        <v>731</v>
      </c>
      <c r="AI892" s="23" t="s">
        <v>731</v>
      </c>
      <c r="AJ892" s="23" t="s">
        <v>731</v>
      </c>
      <c r="AK892" s="17"/>
      <c r="AL892" s="17"/>
      <c r="AM892" s="17"/>
      <c r="AN892" s="17"/>
      <c r="AO892" s="17"/>
      <c r="AP892" s="23"/>
      <c r="AQ892" s="23"/>
      <c r="AR892" s="23"/>
      <c r="AS892" s="23"/>
      <c r="AT892" s="23"/>
      <c r="AU892" s="17"/>
      <c r="AV892" s="42">
        <v>16.2</v>
      </c>
      <c r="AW892" s="42"/>
      <c r="BB892" s="45">
        <v>1</v>
      </c>
      <c r="BC892" s="41">
        <f>IF(AND((AV892/I892)&lt;2,BB892=1),(I892*2)-AV892,0)</f>
        <v>1.8000000000000007</v>
      </c>
      <c r="BD892" s="41">
        <f>IF(AND((AV892/I892)&lt;3,BB892=2),(I892*3)-AV892,0)</f>
        <v>0</v>
      </c>
      <c r="BH892" s="18">
        <v>15</v>
      </c>
      <c r="BI892" s="18">
        <v>20</v>
      </c>
      <c r="BJ892" s="18">
        <v>21</v>
      </c>
      <c r="BK892" s="18">
        <v>15</v>
      </c>
      <c r="BL892" s="18">
        <v>17</v>
      </c>
      <c r="BM892" s="55">
        <f>SUM(AV892:AX892)+SUM(BC892:BD892)+SUM(BE892:BF892)+BG892</f>
        <v>18</v>
      </c>
      <c r="BN892" s="55"/>
      <c r="BO892" s="55"/>
      <c r="BP892" s="55"/>
      <c r="BQ892" s="55"/>
      <c r="BR892" s="55"/>
      <c r="BS892" s="55"/>
      <c r="BT892" s="55"/>
      <c r="BU892" s="55"/>
      <c r="BV892" s="55"/>
      <c r="BW892" s="55"/>
      <c r="BX892" s="55"/>
      <c r="BY892" s="55"/>
    </row>
    <row r="893" spans="1:77" s="40" customFormat="1" ht="25.5">
      <c r="A893" s="2"/>
      <c r="B893" s="89">
        <v>877</v>
      </c>
      <c r="C893" s="93">
        <v>637</v>
      </c>
      <c r="D893" s="95">
        <v>748</v>
      </c>
      <c r="E893" s="94">
        <v>0.72916666666666663</v>
      </c>
      <c r="F893" s="94">
        <v>0.73958333333333337</v>
      </c>
      <c r="G893" s="93" t="s">
        <v>315</v>
      </c>
      <c r="H893" s="93" t="s">
        <v>103</v>
      </c>
      <c r="I893" s="96">
        <v>9</v>
      </c>
      <c r="J893" s="97" t="s">
        <v>99</v>
      </c>
      <c r="K893" s="98">
        <v>174</v>
      </c>
      <c r="L893" s="109" t="s">
        <v>777</v>
      </c>
      <c r="M893" s="83" t="s">
        <v>1064</v>
      </c>
      <c r="N893" s="83">
        <v>23</v>
      </c>
      <c r="O893" s="83" t="s">
        <v>871</v>
      </c>
      <c r="P893" s="83">
        <v>23</v>
      </c>
      <c r="Q893" s="83" t="s">
        <v>792</v>
      </c>
      <c r="R893" s="84">
        <v>21</v>
      </c>
      <c r="S893" s="26">
        <v>6655</v>
      </c>
      <c r="T893" s="26" t="s">
        <v>1738</v>
      </c>
      <c r="U893" s="26">
        <v>6640</v>
      </c>
      <c r="V893" s="26" t="s">
        <v>1737</v>
      </c>
      <c r="W893" s="62">
        <v>44816</v>
      </c>
      <c r="X893" s="62">
        <v>45086</v>
      </c>
      <c r="Y893" s="62"/>
      <c r="Z893" s="62"/>
      <c r="AA893" s="22" t="s">
        <v>1102</v>
      </c>
      <c r="AB893" s="17"/>
      <c r="AC893" s="17"/>
      <c r="AD893" s="17"/>
      <c r="AE893" s="23" t="s">
        <v>731</v>
      </c>
      <c r="AF893" s="23" t="s">
        <v>731</v>
      </c>
      <c r="AG893" s="23" t="s">
        <v>731</v>
      </c>
      <c r="AH893" s="23" t="s">
        <v>731</v>
      </c>
      <c r="AI893" s="23" t="s">
        <v>731</v>
      </c>
      <c r="AJ893" s="23" t="s">
        <v>731</v>
      </c>
      <c r="AK893" s="17"/>
      <c r="AL893" s="17"/>
      <c r="AM893" s="17"/>
      <c r="AN893" s="17"/>
      <c r="AO893" s="17"/>
      <c r="AP893" s="23"/>
      <c r="AQ893" s="23"/>
      <c r="AR893" s="23"/>
      <c r="AS893" s="23"/>
      <c r="AT893" s="23"/>
      <c r="AU893" s="17"/>
      <c r="AV893" s="42">
        <v>53.22</v>
      </c>
      <c r="AW893" s="42"/>
      <c r="BB893" s="45">
        <v>1</v>
      </c>
      <c r="BC893" s="41">
        <f>IF(AND((AV893/I893)&lt;2,BB893=1),(I893*2)-AV893,0)</f>
        <v>0</v>
      </c>
      <c r="BD893" s="41">
        <f>IF(AND((AV893/I893)&lt;3,BB893=2),(I893*3)-AV893,0)</f>
        <v>0</v>
      </c>
      <c r="BH893" s="18">
        <v>15</v>
      </c>
      <c r="BI893" s="18">
        <v>20</v>
      </c>
      <c r="BJ893" s="18">
        <v>21</v>
      </c>
      <c r="BK893" s="18">
        <v>15</v>
      </c>
      <c r="BL893" s="18">
        <v>17</v>
      </c>
      <c r="BM893" s="55">
        <f>SUM(AV893:AX893)+SUM(BC893:BD893)+SUM(BE893:BF893)+BG893</f>
        <v>53.22</v>
      </c>
      <c r="BN893" s="55"/>
      <c r="BO893" s="55"/>
      <c r="BP893" s="55"/>
      <c r="BQ893" s="55"/>
      <c r="BR893" s="55"/>
      <c r="BS893" s="55"/>
      <c r="BT893" s="55"/>
      <c r="BU893" s="55"/>
      <c r="BV893" s="55"/>
      <c r="BW893" s="55"/>
      <c r="BX893" s="55"/>
      <c r="BY893" s="55"/>
    </row>
    <row r="894" spans="1:77" s="40" customFormat="1" ht="25.5">
      <c r="A894" s="2"/>
      <c r="B894" s="89">
        <v>878</v>
      </c>
      <c r="C894" s="93">
        <v>637</v>
      </c>
      <c r="D894" s="93">
        <v>751</v>
      </c>
      <c r="E894" s="94">
        <v>0.7402777777777777</v>
      </c>
      <c r="F894" s="94">
        <v>0.75</v>
      </c>
      <c r="G894" s="93" t="s">
        <v>314</v>
      </c>
      <c r="H894" s="93" t="s">
        <v>103</v>
      </c>
      <c r="I894" s="96">
        <v>9</v>
      </c>
      <c r="J894" s="97" t="s">
        <v>99</v>
      </c>
      <c r="K894" s="98">
        <v>174</v>
      </c>
      <c r="L894" s="109" t="s">
        <v>777</v>
      </c>
      <c r="M894" s="83" t="s">
        <v>1064</v>
      </c>
      <c r="N894" s="83">
        <v>23</v>
      </c>
      <c r="O894" s="83" t="s">
        <v>792</v>
      </c>
      <c r="P894" s="83">
        <v>21</v>
      </c>
      <c r="Q894" s="83"/>
      <c r="R894" s="83"/>
      <c r="S894" s="26">
        <v>6640</v>
      </c>
      <c r="T894" s="26" t="s">
        <v>1737</v>
      </c>
      <c r="U894" s="26">
        <v>6655</v>
      </c>
      <c r="V894" s="26" t="s">
        <v>1738</v>
      </c>
      <c r="W894" s="62">
        <v>44816</v>
      </c>
      <c r="X894" s="62">
        <v>45086</v>
      </c>
      <c r="Y894" s="62"/>
      <c r="Z894" s="62"/>
      <c r="AA894" s="22" t="s">
        <v>1102</v>
      </c>
      <c r="AB894" s="17"/>
      <c r="AC894" s="17"/>
      <c r="AD894" s="17"/>
      <c r="AE894" s="23" t="s">
        <v>731</v>
      </c>
      <c r="AF894" s="23" t="s">
        <v>731</v>
      </c>
      <c r="AG894" s="23" t="s">
        <v>731</v>
      </c>
      <c r="AH894" s="23" t="s">
        <v>731</v>
      </c>
      <c r="AI894" s="23" t="s">
        <v>731</v>
      </c>
      <c r="AJ894" s="23" t="s">
        <v>731</v>
      </c>
      <c r="AK894" s="17"/>
      <c r="AL894" s="17"/>
      <c r="AM894" s="17"/>
      <c r="AN894" s="17"/>
      <c r="AO894" s="17"/>
      <c r="AP894" s="23"/>
      <c r="AQ894" s="23"/>
      <c r="AR894" s="23"/>
      <c r="AS894" s="23"/>
      <c r="AT894" s="23"/>
      <c r="AU894" s="17"/>
      <c r="AV894" s="42">
        <v>16.739999999999998</v>
      </c>
      <c r="AW894" s="42"/>
      <c r="BB894" s="45">
        <v>1</v>
      </c>
      <c r="BC894" s="41">
        <f>IF(AND((AV894/I894)&lt;2,BB894=1),(I894*2)-AV894,0)</f>
        <v>1.2600000000000016</v>
      </c>
      <c r="BD894" s="41">
        <f>IF(AND((AV894/I894)&lt;3,BB894=2),(I894*3)-AV894,0)</f>
        <v>0</v>
      </c>
      <c r="BH894" s="18">
        <v>15</v>
      </c>
      <c r="BI894" s="18">
        <v>20</v>
      </c>
      <c r="BJ894" s="18">
        <v>21</v>
      </c>
      <c r="BK894" s="18">
        <v>15</v>
      </c>
      <c r="BL894" s="18">
        <v>17</v>
      </c>
      <c r="BM894" s="55">
        <f>SUM(AV894:AX894)+SUM(BC894:BD894)+SUM(BE894:BF894)+BG894</f>
        <v>18</v>
      </c>
      <c r="BN894" s="55"/>
      <c r="BO894" s="55"/>
      <c r="BP894" s="55"/>
      <c r="BQ894" s="55"/>
      <c r="BR894" s="55"/>
      <c r="BS894" s="55"/>
      <c r="BT894" s="55"/>
      <c r="BU894" s="55"/>
      <c r="BV894" s="55"/>
      <c r="BW894" s="55"/>
      <c r="BX894" s="55"/>
      <c r="BY894" s="55"/>
    </row>
    <row r="895" spans="1:77" s="40" customFormat="1" ht="76.5">
      <c r="A895" s="85"/>
      <c r="B895" s="89">
        <v>879</v>
      </c>
      <c r="C895" s="93">
        <v>637</v>
      </c>
      <c r="D895" s="93">
        <v>645</v>
      </c>
      <c r="E895" s="94">
        <v>0.75347222222222221</v>
      </c>
      <c r="F895" s="94">
        <v>0.76666666666666661</v>
      </c>
      <c r="G895" s="93" t="s">
        <v>601</v>
      </c>
      <c r="H895" s="93" t="s">
        <v>602</v>
      </c>
      <c r="I895" s="96">
        <v>17</v>
      </c>
      <c r="J895" s="97" t="s">
        <v>99</v>
      </c>
      <c r="K895" s="98">
        <v>73</v>
      </c>
      <c r="L895" s="99" t="s">
        <v>1204</v>
      </c>
      <c r="M895" s="87" t="s">
        <v>794</v>
      </c>
      <c r="N895" s="87">
        <v>21</v>
      </c>
      <c r="O895" s="87" t="s">
        <v>953</v>
      </c>
      <c r="P895" s="87">
        <v>24</v>
      </c>
      <c r="Q895" s="87" t="s">
        <v>954</v>
      </c>
      <c r="R895" s="84">
        <v>21</v>
      </c>
      <c r="S895" s="26" t="s">
        <v>1748</v>
      </c>
      <c r="T895" s="26" t="s">
        <v>1749</v>
      </c>
      <c r="U895" s="26">
        <v>6290</v>
      </c>
      <c r="V895" s="26" t="s">
        <v>1747</v>
      </c>
      <c r="W895" s="62">
        <v>44805</v>
      </c>
      <c r="X895" s="62">
        <v>45169</v>
      </c>
      <c r="Y895" s="62"/>
      <c r="Z895" s="62"/>
      <c r="AA895" s="22" t="s">
        <v>1831</v>
      </c>
      <c r="AB895" s="17" t="s">
        <v>731</v>
      </c>
      <c r="AC895" s="17" t="s">
        <v>731</v>
      </c>
      <c r="AD895" s="27" t="s">
        <v>731</v>
      </c>
      <c r="AE895" s="17"/>
      <c r="AF895" s="17" t="s">
        <v>731</v>
      </c>
      <c r="AG895" s="17" t="s">
        <v>731</v>
      </c>
      <c r="AH895" s="17" t="s">
        <v>731</v>
      </c>
      <c r="AI895" s="17" t="s">
        <v>731</v>
      </c>
      <c r="AJ895" s="17" t="s">
        <v>731</v>
      </c>
      <c r="AK895" s="17"/>
      <c r="AL895" s="17"/>
      <c r="AM895" s="17"/>
      <c r="AN895" s="17"/>
      <c r="AO895" s="17"/>
      <c r="AP895" s="17"/>
      <c r="AQ895" s="17"/>
      <c r="AR895" s="17"/>
      <c r="AS895" s="17"/>
      <c r="AT895" s="17"/>
      <c r="AU895" s="17"/>
      <c r="AV895" s="42">
        <v>70.430000000000007</v>
      </c>
      <c r="AW895" s="42"/>
      <c r="BB895" s="45">
        <v>1</v>
      </c>
      <c r="BC895" s="41">
        <f>IF(AND((AV895/I895)&lt;2,BB895=1),(I895*2)-AV895,0)</f>
        <v>0</v>
      </c>
      <c r="BD895" s="41">
        <f>IF(AND((AV895/I895)&lt;3,BB895=2),(I895*3)-AV895,0)</f>
        <v>0</v>
      </c>
      <c r="BH895" s="31">
        <v>15</v>
      </c>
      <c r="BI895" s="51">
        <v>21</v>
      </c>
      <c r="BJ895" s="51">
        <v>21</v>
      </c>
      <c r="BK895" s="40">
        <v>6</v>
      </c>
      <c r="BL895" s="40">
        <v>0</v>
      </c>
      <c r="BM895" s="55">
        <f>SUM(AV895:AX895)+SUM(BC895:BD895)+SUM(BE895:BF895)+BG895</f>
        <v>70.430000000000007</v>
      </c>
      <c r="BN895" s="55"/>
      <c r="BO895" s="55"/>
      <c r="BP895" s="55"/>
      <c r="BQ895" s="55"/>
      <c r="BR895" s="55"/>
      <c r="BS895" s="55"/>
      <c r="BT895" s="55"/>
      <c r="BU895" s="55"/>
      <c r="BV895" s="55"/>
      <c r="BW895" s="55"/>
      <c r="BX895" s="55"/>
      <c r="BY895" s="55"/>
    </row>
    <row r="896" spans="1:77" s="40" customFormat="1" ht="45">
      <c r="A896" s="2" t="s">
        <v>1167</v>
      </c>
      <c r="B896" s="89">
        <v>880</v>
      </c>
      <c r="C896" s="93">
        <v>640</v>
      </c>
      <c r="D896" s="93">
        <v>630</v>
      </c>
      <c r="E896" s="94">
        <v>0.58333333333333337</v>
      </c>
      <c r="F896" s="94">
        <v>0.60763888888888895</v>
      </c>
      <c r="G896" s="93" t="s">
        <v>120</v>
      </c>
      <c r="H896" s="95" t="s">
        <v>119</v>
      </c>
      <c r="I896" s="120">
        <v>18.5</v>
      </c>
      <c r="J896" s="97" t="s">
        <v>125</v>
      </c>
      <c r="K896" s="98">
        <v>36</v>
      </c>
      <c r="L896" s="99" t="s">
        <v>1204</v>
      </c>
      <c r="M896" s="87" t="s">
        <v>953</v>
      </c>
      <c r="N896" s="87">
        <v>24</v>
      </c>
      <c r="O896" s="83" t="s">
        <v>794</v>
      </c>
      <c r="P896" s="83">
        <v>21</v>
      </c>
      <c r="Q896" s="83" t="s">
        <v>954</v>
      </c>
      <c r="R896" s="84">
        <v>21</v>
      </c>
      <c r="S896" s="26">
        <v>6300</v>
      </c>
      <c r="T896" s="26" t="s">
        <v>1358</v>
      </c>
      <c r="U896" s="26">
        <v>6328</v>
      </c>
      <c r="V896" s="26" t="s">
        <v>1359</v>
      </c>
      <c r="W896" s="62">
        <v>44816</v>
      </c>
      <c r="X896" s="62">
        <v>45086</v>
      </c>
      <c r="Y896" s="62"/>
      <c r="Z896" s="62"/>
      <c r="AA896" s="23" t="s">
        <v>1121</v>
      </c>
      <c r="AB896" s="17"/>
      <c r="AC896" s="17"/>
      <c r="AD896" s="17"/>
      <c r="AE896" s="23" t="s">
        <v>731</v>
      </c>
      <c r="AF896" s="23"/>
      <c r="AG896" s="23"/>
      <c r="AH896" s="23"/>
      <c r="AI896" s="23"/>
      <c r="AJ896" s="23" t="s">
        <v>731</v>
      </c>
      <c r="AK896" s="17"/>
      <c r="AL896" s="17"/>
      <c r="AM896" s="17"/>
      <c r="AN896" s="17"/>
      <c r="AO896" s="17"/>
      <c r="AP896" s="17"/>
      <c r="AQ896" s="17"/>
      <c r="AR896" s="17"/>
      <c r="AS896" s="17"/>
      <c r="AT896" s="17"/>
      <c r="AU896" s="17"/>
      <c r="AV896" s="42">
        <v>31.5</v>
      </c>
      <c r="AW896" s="42"/>
      <c r="BB896" s="45">
        <v>1</v>
      </c>
      <c r="BC896" s="41">
        <f>IF(AND((AV896/I896)&lt;2,BB896=1),(I896*2)-AV896,0)</f>
        <v>5.5</v>
      </c>
      <c r="BD896" s="41">
        <f>IF(AND((AV896/I896)&lt;3,BB896=2),(I896*3)-AV896,0)</f>
        <v>0</v>
      </c>
      <c r="BH896" s="18">
        <v>3</v>
      </c>
      <c r="BI896" s="18">
        <v>4</v>
      </c>
      <c r="BJ896" s="18">
        <v>4</v>
      </c>
      <c r="BK896" s="18">
        <v>3</v>
      </c>
      <c r="BL896" s="18">
        <v>3</v>
      </c>
      <c r="BM896" s="55">
        <f>SUM(AV896:AX896)+SUM(BC896:BD896)+SUM(BE896:BF896)+BG896</f>
        <v>37</v>
      </c>
      <c r="BN896" s="55"/>
      <c r="BO896" s="55"/>
      <c r="BP896" s="55"/>
      <c r="BQ896" s="55"/>
      <c r="BR896" s="55"/>
      <c r="BS896" s="55"/>
      <c r="BT896" s="55"/>
      <c r="BU896" s="55"/>
      <c r="BV896" s="55"/>
      <c r="BW896" s="55"/>
      <c r="BX896" s="55"/>
      <c r="BY896" s="55"/>
    </row>
    <row r="897" spans="1:78" s="40" customFormat="1" ht="45">
      <c r="A897" s="85"/>
      <c r="B897" s="89">
        <v>881</v>
      </c>
      <c r="C897" s="93">
        <v>641</v>
      </c>
      <c r="D897" s="93">
        <v>385</v>
      </c>
      <c r="E897" s="94">
        <v>0.28125</v>
      </c>
      <c r="F897" s="94">
        <v>0.2951388888888889</v>
      </c>
      <c r="G897" s="93" t="s">
        <v>124</v>
      </c>
      <c r="H897" s="95" t="s">
        <v>123</v>
      </c>
      <c r="I897" s="96">
        <v>7.5</v>
      </c>
      <c r="J897" s="97" t="s">
        <v>116</v>
      </c>
      <c r="K897" s="98">
        <v>34</v>
      </c>
      <c r="L897" s="99" t="s">
        <v>1204</v>
      </c>
      <c r="M897" s="87" t="s">
        <v>955</v>
      </c>
      <c r="N897" s="87">
        <v>9</v>
      </c>
      <c r="O897" s="87" t="s">
        <v>794</v>
      </c>
      <c r="P897" s="87">
        <v>21</v>
      </c>
      <c r="Q897" s="87" t="s">
        <v>953</v>
      </c>
      <c r="R897" s="84">
        <v>24</v>
      </c>
      <c r="S897" s="26">
        <v>6302</v>
      </c>
      <c r="T897" s="26" t="s">
        <v>1750</v>
      </c>
      <c r="U897" s="26">
        <v>6300</v>
      </c>
      <c r="V897" s="26" t="s">
        <v>1358</v>
      </c>
      <c r="W897" s="62">
        <v>44816</v>
      </c>
      <c r="X897" s="62">
        <v>45086</v>
      </c>
      <c r="Y897" s="62"/>
      <c r="Z897" s="62"/>
      <c r="AA897" s="22" t="s">
        <v>1111</v>
      </c>
      <c r="AB897" s="17"/>
      <c r="AC897" s="17"/>
      <c r="AD897" s="17"/>
      <c r="AE897" s="23" t="s">
        <v>731</v>
      </c>
      <c r="AF897" s="23"/>
      <c r="AG897" s="23"/>
      <c r="AH897" s="23"/>
      <c r="AI897" s="23"/>
      <c r="AJ897" s="23"/>
      <c r="AK897" s="23" t="s">
        <v>731</v>
      </c>
      <c r="AL897" s="17"/>
      <c r="AM897" s="17"/>
      <c r="AN897" s="17"/>
      <c r="AO897" s="17"/>
      <c r="AP897" s="17"/>
      <c r="AQ897" s="17"/>
      <c r="AR897" s="17"/>
      <c r="AS897" s="17"/>
      <c r="AT897" s="17"/>
      <c r="AU897" s="17"/>
      <c r="AV897" s="42">
        <v>15</v>
      </c>
      <c r="AW897" s="42"/>
      <c r="BB897" s="45">
        <v>1</v>
      </c>
      <c r="BC897" s="41">
        <f>IF(AND((AV897/I897)&lt;2,BB897=1),(I897*2)-AV897,0)</f>
        <v>0</v>
      </c>
      <c r="BD897" s="41">
        <f>IF(AND((AV897/I897)&lt;3,BB897=2),(I897*3)-AV897,0)</f>
        <v>0</v>
      </c>
      <c r="BG897" s="41">
        <f>IF((AV897+AW897+AX897)&lt;20,(20-(AV897+AW897+AX897)),0)</f>
        <v>5</v>
      </c>
      <c r="BH897" s="18">
        <v>2</v>
      </c>
      <c r="BI897" s="18">
        <v>5</v>
      </c>
      <c r="BJ897" s="18">
        <v>4</v>
      </c>
      <c r="BK897" s="18">
        <v>3</v>
      </c>
      <c r="BL897" s="18">
        <v>3</v>
      </c>
      <c r="BM897" s="55">
        <f>SUM(AV897:AX897)+SUM(BC897:BD897)+SUM(BE897:BF897)+BG897</f>
        <v>20</v>
      </c>
      <c r="BN897" s="55"/>
      <c r="BO897" s="55"/>
      <c r="BP897" s="55"/>
      <c r="BQ897" s="55"/>
      <c r="BR897" s="55"/>
      <c r="BS897" s="55"/>
      <c r="BT897" s="55"/>
      <c r="BU897" s="55"/>
      <c r="BV897" s="55"/>
      <c r="BW897" s="55"/>
      <c r="BX897" s="55"/>
      <c r="BY897" s="55"/>
    </row>
    <row r="898" spans="1:78" s="40" customFormat="1" ht="45">
      <c r="A898" s="85"/>
      <c r="B898" s="89">
        <v>882</v>
      </c>
      <c r="C898" s="93">
        <v>641</v>
      </c>
      <c r="D898" s="93">
        <v>382</v>
      </c>
      <c r="E898" s="94">
        <v>0.53125</v>
      </c>
      <c r="F898" s="94">
        <v>0.54166666666666663</v>
      </c>
      <c r="G898" s="93" t="s">
        <v>122</v>
      </c>
      <c r="H898" s="93" t="s">
        <v>97</v>
      </c>
      <c r="I898" s="96">
        <v>7</v>
      </c>
      <c r="J898" s="97" t="s">
        <v>116</v>
      </c>
      <c r="K898" s="98">
        <v>208</v>
      </c>
      <c r="L898" s="99" t="s">
        <v>1204</v>
      </c>
      <c r="M898" s="87" t="s">
        <v>955</v>
      </c>
      <c r="N898" s="87">
        <v>9</v>
      </c>
      <c r="O898" s="87" t="s">
        <v>794</v>
      </c>
      <c r="P898" s="87">
        <v>21</v>
      </c>
      <c r="Q898" s="87" t="s">
        <v>953</v>
      </c>
      <c r="R898" s="84">
        <v>24</v>
      </c>
      <c r="S898" s="26">
        <v>6300</v>
      </c>
      <c r="T898" s="26" t="s">
        <v>1358</v>
      </c>
      <c r="U898" s="26">
        <v>6302</v>
      </c>
      <c r="V898" s="26" t="s">
        <v>1750</v>
      </c>
      <c r="W898" s="62">
        <v>44816</v>
      </c>
      <c r="X898" s="62">
        <v>45086</v>
      </c>
      <c r="Y898" s="62"/>
      <c r="Z898" s="62"/>
      <c r="AA898" s="22" t="s">
        <v>1106</v>
      </c>
      <c r="AB898" s="17"/>
      <c r="AC898" s="17"/>
      <c r="AD898" s="17"/>
      <c r="AE898" s="23" t="s">
        <v>731</v>
      </c>
      <c r="AF898" s="23" t="s">
        <v>731</v>
      </c>
      <c r="AG898" s="23" t="s">
        <v>731</v>
      </c>
      <c r="AH898" s="23" t="s">
        <v>731</v>
      </c>
      <c r="AI898" s="23" t="s">
        <v>731</v>
      </c>
      <c r="AJ898" s="23" t="s">
        <v>731</v>
      </c>
      <c r="AK898" s="23" t="s">
        <v>731</v>
      </c>
      <c r="AL898" s="17"/>
      <c r="AM898" s="17"/>
      <c r="AN898" s="17"/>
      <c r="AO898" s="17"/>
      <c r="AP898" s="23"/>
      <c r="AQ898" s="23"/>
      <c r="AR898" s="23"/>
      <c r="AS898" s="23"/>
      <c r="AT898" s="23"/>
      <c r="AU898" s="23"/>
      <c r="AV898" s="42">
        <v>17.739999999999998</v>
      </c>
      <c r="AW898" s="42"/>
      <c r="BB898" s="45">
        <v>1</v>
      </c>
      <c r="BC898" s="41">
        <f>IF(AND((AV898/I898)&lt;2,BB898=1),(I898*2)-AV898,0)</f>
        <v>0</v>
      </c>
      <c r="BD898" s="41">
        <f>IF(AND((AV898/I898)&lt;3,BB898=2),(I898*3)-AV898,0)</f>
        <v>0</v>
      </c>
      <c r="BH898" s="18">
        <v>17</v>
      </c>
      <c r="BI898" s="18">
        <v>25</v>
      </c>
      <c r="BJ898" s="18">
        <v>25</v>
      </c>
      <c r="BK898" s="18">
        <v>18</v>
      </c>
      <c r="BL898" s="18">
        <v>20</v>
      </c>
      <c r="BM898" s="55">
        <f>SUM(AV898:AX898)+SUM(BC898:BD898)+SUM(BE898:BF898)+BG898</f>
        <v>17.739999999999998</v>
      </c>
      <c r="BN898" s="55"/>
      <c r="BO898" s="55"/>
      <c r="BP898" s="55"/>
      <c r="BQ898" s="55"/>
      <c r="BR898" s="55"/>
      <c r="BS898" s="55"/>
      <c r="BT898" s="55"/>
      <c r="BU898" s="55"/>
      <c r="BV898" s="55"/>
      <c r="BW898" s="55"/>
      <c r="BX898" s="55"/>
      <c r="BY898" s="55"/>
    </row>
    <row r="899" spans="1:78" s="40" customFormat="1" ht="45">
      <c r="A899" s="2"/>
      <c r="B899" s="89">
        <v>883</v>
      </c>
      <c r="C899" s="93">
        <v>641</v>
      </c>
      <c r="D899" s="93">
        <v>383</v>
      </c>
      <c r="E899" s="94">
        <v>0.54166666666666663</v>
      </c>
      <c r="F899" s="105">
        <v>0.55555555555555558</v>
      </c>
      <c r="G899" s="93" t="s">
        <v>121</v>
      </c>
      <c r="H899" s="93" t="s">
        <v>97</v>
      </c>
      <c r="I899" s="96">
        <v>7</v>
      </c>
      <c r="J899" s="97" t="s">
        <v>116</v>
      </c>
      <c r="K899" s="98">
        <v>208</v>
      </c>
      <c r="L899" s="99" t="s">
        <v>1204</v>
      </c>
      <c r="M899" s="87" t="s">
        <v>955</v>
      </c>
      <c r="N899" s="87">
        <v>9</v>
      </c>
      <c r="O899" s="87" t="s">
        <v>794</v>
      </c>
      <c r="P899" s="87">
        <v>21</v>
      </c>
      <c r="Q899" s="87" t="s">
        <v>953</v>
      </c>
      <c r="R899" s="84">
        <v>24</v>
      </c>
      <c r="S899" s="26">
        <v>6302</v>
      </c>
      <c r="T899" s="26" t="s">
        <v>1750</v>
      </c>
      <c r="U899" s="26">
        <v>6300</v>
      </c>
      <c r="V899" s="26" t="s">
        <v>1358</v>
      </c>
      <c r="W899" s="62">
        <v>44816</v>
      </c>
      <c r="X899" s="62">
        <v>45086</v>
      </c>
      <c r="Y899" s="62"/>
      <c r="Z899" s="62"/>
      <c r="AA899" s="22" t="s">
        <v>1106</v>
      </c>
      <c r="AB899" s="17"/>
      <c r="AC899" s="17"/>
      <c r="AD899" s="17"/>
      <c r="AE899" s="23" t="s">
        <v>731</v>
      </c>
      <c r="AF899" s="23" t="s">
        <v>731</v>
      </c>
      <c r="AG899" s="23" t="s">
        <v>731</v>
      </c>
      <c r="AH899" s="23" t="s">
        <v>731</v>
      </c>
      <c r="AI899" s="23" t="s">
        <v>731</v>
      </c>
      <c r="AJ899" s="23" t="s">
        <v>731</v>
      </c>
      <c r="AK899" s="23" t="s">
        <v>731</v>
      </c>
      <c r="AL899" s="17"/>
      <c r="AM899" s="17"/>
      <c r="AN899" s="17"/>
      <c r="AO899" s="17"/>
      <c r="AP899" s="23"/>
      <c r="AQ899" s="23"/>
      <c r="AR899" s="23"/>
      <c r="AS899" s="23"/>
      <c r="AT899" s="23"/>
      <c r="AU899" s="23"/>
      <c r="AV899" s="42">
        <v>17.739999999999998</v>
      </c>
      <c r="AW899" s="42"/>
      <c r="BB899" s="45">
        <v>1</v>
      </c>
      <c r="BC899" s="41">
        <f>IF(AND((AV899/I899)&lt;2,BB899=1),(I899*2)-AV899,0)</f>
        <v>0</v>
      </c>
      <c r="BD899" s="41">
        <f>IF(AND((AV899/I899)&lt;3,BB899=2),(I899*3)-AV899,0)</f>
        <v>0</v>
      </c>
      <c r="BH899" s="18">
        <v>17</v>
      </c>
      <c r="BI899" s="18">
        <v>25</v>
      </c>
      <c r="BJ899" s="18">
        <v>25</v>
      </c>
      <c r="BK899" s="18">
        <v>18</v>
      </c>
      <c r="BL899" s="18">
        <v>20</v>
      </c>
      <c r="BM899" s="55">
        <f>SUM(AV899:AX899)+SUM(BC899:BD899)+SUM(BE899:BF899)+BG899</f>
        <v>17.739999999999998</v>
      </c>
      <c r="BN899" s="55"/>
      <c r="BO899" s="55"/>
      <c r="BP899" s="55"/>
      <c r="BQ899" s="55"/>
      <c r="BR899" s="55"/>
      <c r="BS899" s="55"/>
      <c r="BT899" s="55"/>
      <c r="BU899" s="55"/>
      <c r="BV899" s="55"/>
      <c r="BW899" s="55"/>
      <c r="BX899" s="55"/>
      <c r="BY899" s="55"/>
    </row>
    <row r="900" spans="1:78" s="40" customFormat="1" ht="25.5">
      <c r="A900" s="85"/>
      <c r="B900" s="89">
        <v>884</v>
      </c>
      <c r="C900" s="93">
        <v>642</v>
      </c>
      <c r="D900" s="93">
        <v>349</v>
      </c>
      <c r="E900" s="94">
        <v>0.2638888888888889</v>
      </c>
      <c r="F900" s="94">
        <v>0.29166666666666669</v>
      </c>
      <c r="G900" s="140" t="s">
        <v>554</v>
      </c>
      <c r="H900" s="93" t="s">
        <v>97</v>
      </c>
      <c r="I900" s="96">
        <v>25</v>
      </c>
      <c r="J900" s="97" t="s">
        <v>93</v>
      </c>
      <c r="K900" s="98">
        <v>208</v>
      </c>
      <c r="L900" s="109" t="s">
        <v>782</v>
      </c>
      <c r="M900" s="87" t="s">
        <v>842</v>
      </c>
      <c r="N900" s="87">
        <v>23</v>
      </c>
      <c r="O900" s="87" t="s">
        <v>1282</v>
      </c>
      <c r="P900" s="87">
        <v>9</v>
      </c>
      <c r="Q900" s="87" t="s">
        <v>1283</v>
      </c>
      <c r="R900" s="87">
        <v>8</v>
      </c>
      <c r="S900" s="26">
        <v>2470</v>
      </c>
      <c r="T900" s="26" t="s">
        <v>1751</v>
      </c>
      <c r="U900" s="26" t="s">
        <v>1752</v>
      </c>
      <c r="V900" s="26" t="s">
        <v>1753</v>
      </c>
      <c r="W900" s="62">
        <v>44816</v>
      </c>
      <c r="X900" s="62">
        <v>45086</v>
      </c>
      <c r="Y900" s="62"/>
      <c r="Z900" s="62"/>
      <c r="AA900" s="22" t="s">
        <v>1106</v>
      </c>
      <c r="AB900" s="17"/>
      <c r="AC900" s="17"/>
      <c r="AD900" s="17"/>
      <c r="AE900" s="23" t="s">
        <v>731</v>
      </c>
      <c r="AF900" s="23" t="s">
        <v>731</v>
      </c>
      <c r="AG900" s="23" t="s">
        <v>731</v>
      </c>
      <c r="AH900" s="23" t="s">
        <v>731</v>
      </c>
      <c r="AI900" s="23" t="s">
        <v>731</v>
      </c>
      <c r="AJ900" s="23" t="s">
        <v>731</v>
      </c>
      <c r="AK900" s="23" t="s">
        <v>731</v>
      </c>
      <c r="AL900" s="17"/>
      <c r="AM900" s="17"/>
      <c r="AN900" s="17"/>
      <c r="AO900" s="17"/>
      <c r="AP900" s="23"/>
      <c r="AQ900" s="23"/>
      <c r="AR900" s="23"/>
      <c r="AS900" s="23"/>
      <c r="AT900" s="23"/>
      <c r="AU900" s="23"/>
      <c r="AV900" s="42">
        <v>75</v>
      </c>
      <c r="AW900" s="42"/>
      <c r="BB900" s="45">
        <v>1</v>
      </c>
      <c r="BC900" s="41">
        <f>IF(AND((AV900/I900)&lt;2,BB900=1),(I900*2)-AV900,0)</f>
        <v>0</v>
      </c>
      <c r="BD900" s="41">
        <f>IF(AND((AV900/I900)&lt;3,BB900=2),(I900*3)-AV900,0)</f>
        <v>0</v>
      </c>
      <c r="BG900" s="41">
        <f>IF((AV900+AW900+AX900)&lt;20,(20-(AV900+AW900+AX900)),0)</f>
        <v>0</v>
      </c>
      <c r="BH900" s="18">
        <v>17</v>
      </c>
      <c r="BI900" s="18">
        <v>25</v>
      </c>
      <c r="BJ900" s="18">
        <v>25</v>
      </c>
      <c r="BK900" s="18">
        <v>18</v>
      </c>
      <c r="BL900" s="18">
        <v>20</v>
      </c>
      <c r="BM900" s="55">
        <f>SUM(AV900:AX900)+SUM(BC900:BD900)+SUM(BE900:BF900)+BG900</f>
        <v>75</v>
      </c>
      <c r="BN900" s="55"/>
      <c r="BO900" s="55"/>
      <c r="BP900" s="55"/>
      <c r="BQ900" s="55"/>
      <c r="BR900" s="55"/>
      <c r="BS900" s="55"/>
      <c r="BT900" s="55"/>
      <c r="BU900" s="55"/>
      <c r="BV900" s="55"/>
      <c r="BW900" s="55"/>
      <c r="BX900" s="55"/>
      <c r="BY900" s="55"/>
    </row>
    <row r="901" spans="1:78" s="40" customFormat="1" ht="33.75">
      <c r="A901" s="83"/>
      <c r="B901" s="89">
        <v>885</v>
      </c>
      <c r="C901" s="93">
        <v>642</v>
      </c>
      <c r="D901" s="93">
        <v>348</v>
      </c>
      <c r="E901" s="94">
        <v>0.58472222222222225</v>
      </c>
      <c r="F901" s="94">
        <v>0.61249999999999993</v>
      </c>
      <c r="G901" s="93" t="s">
        <v>491</v>
      </c>
      <c r="H901" s="93" t="s">
        <v>103</v>
      </c>
      <c r="I901" s="96">
        <v>25</v>
      </c>
      <c r="J901" s="97" t="s">
        <v>93</v>
      </c>
      <c r="K901" s="98">
        <v>174</v>
      </c>
      <c r="L901" s="109" t="s">
        <v>783</v>
      </c>
      <c r="M901" s="87" t="s">
        <v>925</v>
      </c>
      <c r="N901" s="87">
        <v>21</v>
      </c>
      <c r="O901" s="87" t="s">
        <v>926</v>
      </c>
      <c r="P901" s="87">
        <v>17</v>
      </c>
      <c r="Q901" s="83"/>
      <c r="R901" s="87"/>
      <c r="S901" s="26" t="s">
        <v>1752</v>
      </c>
      <c r="T901" s="26" t="s">
        <v>1753</v>
      </c>
      <c r="U901" s="26" t="s">
        <v>1754</v>
      </c>
      <c r="V901" s="26" t="s">
        <v>1755</v>
      </c>
      <c r="W901" s="62">
        <v>44816</v>
      </c>
      <c r="X901" s="62">
        <v>45086</v>
      </c>
      <c r="Y901" s="62"/>
      <c r="Z901" s="62"/>
      <c r="AA901" s="22" t="s">
        <v>1102</v>
      </c>
      <c r="AB901" s="17"/>
      <c r="AC901" s="17"/>
      <c r="AD901" s="17"/>
      <c r="AE901" s="23" t="s">
        <v>731</v>
      </c>
      <c r="AF901" s="23" t="s">
        <v>731</v>
      </c>
      <c r="AG901" s="23" t="s">
        <v>731</v>
      </c>
      <c r="AH901" s="23" t="s">
        <v>731</v>
      </c>
      <c r="AI901" s="23" t="s">
        <v>731</v>
      </c>
      <c r="AJ901" s="23" t="s">
        <v>731</v>
      </c>
      <c r="AK901" s="17"/>
      <c r="AL901" s="17"/>
      <c r="AM901" s="17"/>
      <c r="AN901" s="17"/>
      <c r="AO901" s="17"/>
      <c r="AP901" s="23"/>
      <c r="AQ901" s="23"/>
      <c r="AR901" s="23"/>
      <c r="AS901" s="23"/>
      <c r="AT901" s="23"/>
      <c r="AU901" s="17"/>
      <c r="AV901" s="42">
        <v>75</v>
      </c>
      <c r="AW901" s="42"/>
      <c r="BB901" s="45">
        <v>1</v>
      </c>
      <c r="BC901" s="41">
        <f>IF(AND((AV901/I901)&lt;2,BB901=1),(I901*2)-AV901,0)</f>
        <v>0</v>
      </c>
      <c r="BD901" s="41">
        <f>IF(AND((AV901/I901)&lt;3,BB901=2),(I901*3)-AV901,0)</f>
        <v>0</v>
      </c>
      <c r="BH901" s="18">
        <v>15</v>
      </c>
      <c r="BI901" s="18">
        <v>20</v>
      </c>
      <c r="BJ901" s="18">
        <v>21</v>
      </c>
      <c r="BK901" s="18">
        <v>15</v>
      </c>
      <c r="BL901" s="18">
        <v>17</v>
      </c>
      <c r="BM901" s="55">
        <f>SUM(AV901:AX901)+SUM(BC901:BD901)+SUM(BE901:BF901)+BG901</f>
        <v>75</v>
      </c>
      <c r="BN901" s="55"/>
      <c r="BO901" s="55"/>
      <c r="BP901" s="55"/>
      <c r="BQ901" s="55"/>
      <c r="BR901" s="55"/>
      <c r="BS901" s="55"/>
      <c r="BT901" s="55"/>
      <c r="BU901" s="55"/>
      <c r="BV901" s="55"/>
      <c r="BW901" s="55"/>
      <c r="BX901" s="55"/>
      <c r="BY901" s="55"/>
    </row>
    <row r="902" spans="1:78" s="40" customFormat="1" ht="25.5">
      <c r="A902" s="85"/>
      <c r="B902" s="89">
        <v>886</v>
      </c>
      <c r="C902" s="93">
        <v>643</v>
      </c>
      <c r="D902" s="93">
        <v>395</v>
      </c>
      <c r="E902" s="94">
        <v>0.27430555555555552</v>
      </c>
      <c r="F902" s="94">
        <v>0.28611111111111115</v>
      </c>
      <c r="G902" s="93" t="s">
        <v>555</v>
      </c>
      <c r="H902" s="93" t="s">
        <v>97</v>
      </c>
      <c r="I902" s="96">
        <v>9.5</v>
      </c>
      <c r="J902" s="97" t="s">
        <v>116</v>
      </c>
      <c r="K902" s="98">
        <v>208</v>
      </c>
      <c r="L902" s="109" t="s">
        <v>784</v>
      </c>
      <c r="M902" s="83" t="s">
        <v>982</v>
      </c>
      <c r="N902" s="83">
        <v>8</v>
      </c>
      <c r="O902" s="83" t="s">
        <v>1284</v>
      </c>
      <c r="P902" s="83">
        <v>5</v>
      </c>
      <c r="Q902" s="145"/>
      <c r="R902" s="83"/>
      <c r="S902" s="26" t="s">
        <v>1756</v>
      </c>
      <c r="T902" s="26" t="s">
        <v>1757</v>
      </c>
      <c r="U902" s="26">
        <v>6381</v>
      </c>
      <c r="V902" s="26" t="s">
        <v>1758</v>
      </c>
      <c r="W902" s="62">
        <v>44816</v>
      </c>
      <c r="X902" s="62">
        <v>45086</v>
      </c>
      <c r="Y902" s="62"/>
      <c r="Z902" s="62"/>
      <c r="AA902" s="22" t="s">
        <v>1106</v>
      </c>
      <c r="AB902" s="17"/>
      <c r="AC902" s="17"/>
      <c r="AD902" s="17"/>
      <c r="AE902" s="23" t="s">
        <v>731</v>
      </c>
      <c r="AF902" s="23" t="s">
        <v>731</v>
      </c>
      <c r="AG902" s="23" t="s">
        <v>731</v>
      </c>
      <c r="AH902" s="23" t="s">
        <v>731</v>
      </c>
      <c r="AI902" s="23" t="s">
        <v>731</v>
      </c>
      <c r="AJ902" s="23" t="s">
        <v>731</v>
      </c>
      <c r="AK902" s="23" t="s">
        <v>731</v>
      </c>
      <c r="AL902" s="17"/>
      <c r="AM902" s="17"/>
      <c r="AN902" s="17"/>
      <c r="AO902" s="17"/>
      <c r="AP902" s="23"/>
      <c r="AQ902" s="23"/>
      <c r="AR902" s="23"/>
      <c r="AS902" s="23"/>
      <c r="AT902" s="23"/>
      <c r="AU902" s="23"/>
      <c r="AV902" s="42">
        <v>31.95</v>
      </c>
      <c r="AW902" s="42"/>
      <c r="BB902" s="45">
        <v>1</v>
      </c>
      <c r="BC902" s="41">
        <f>IF(AND((AV902/I902)&lt;2,BB902=1),(I902*2)-AV902,0)</f>
        <v>0</v>
      </c>
      <c r="BD902" s="41">
        <f>IF(AND((AV902/I902)&lt;3,BB902=2),(I902*3)-AV902,0)</f>
        <v>0</v>
      </c>
      <c r="BG902" s="41">
        <f>IF((AV902+AW902+AX902)&lt;20,(20-(AV902+AW902+AX902)),0)</f>
        <v>0</v>
      </c>
      <c r="BH902" s="18">
        <v>17</v>
      </c>
      <c r="BI902" s="18">
        <v>25</v>
      </c>
      <c r="BJ902" s="18">
        <v>25</v>
      </c>
      <c r="BK902" s="18">
        <v>18</v>
      </c>
      <c r="BL902" s="18">
        <v>20</v>
      </c>
      <c r="BM902" s="55">
        <f>SUM(AV902:AX902)+SUM(BC902:BD902)+SUM(BE902:BF902)+BG902</f>
        <v>31.95</v>
      </c>
      <c r="BN902" s="55"/>
      <c r="BO902" s="55"/>
      <c r="BP902" s="55"/>
      <c r="BQ902" s="55"/>
      <c r="BR902" s="55"/>
      <c r="BS902" s="55"/>
      <c r="BT902" s="55"/>
      <c r="BU902" s="55"/>
      <c r="BV902" s="55"/>
      <c r="BW902" s="55"/>
      <c r="BX902" s="55"/>
      <c r="BY902" s="55"/>
    </row>
    <row r="903" spans="1:78" s="40" customFormat="1" ht="33.75">
      <c r="A903" s="2"/>
      <c r="B903" s="89">
        <v>887</v>
      </c>
      <c r="C903" s="93">
        <v>643</v>
      </c>
      <c r="D903" s="93">
        <v>390</v>
      </c>
      <c r="E903" s="94">
        <v>0.36805555555555558</v>
      </c>
      <c r="F903" s="94">
        <v>0.39930555555555558</v>
      </c>
      <c r="G903" s="93" t="s">
        <v>581</v>
      </c>
      <c r="H903" s="93" t="s">
        <v>423</v>
      </c>
      <c r="I903" s="96">
        <v>22</v>
      </c>
      <c r="J903" s="97" t="s">
        <v>99</v>
      </c>
      <c r="K903" s="98">
        <v>67</v>
      </c>
      <c r="L903" s="109" t="s">
        <v>785</v>
      </c>
      <c r="M903" s="87" t="s">
        <v>967</v>
      </c>
      <c r="N903" s="87">
        <v>24</v>
      </c>
      <c r="O903" s="87" t="s">
        <v>968</v>
      </c>
      <c r="P903" s="87">
        <v>20</v>
      </c>
      <c r="Q903" s="83"/>
      <c r="R903" s="87"/>
      <c r="S903" s="26">
        <v>6300</v>
      </c>
      <c r="T903" s="26" t="s">
        <v>1358</v>
      </c>
      <c r="U903" s="26" t="s">
        <v>1759</v>
      </c>
      <c r="V903" s="26" t="s">
        <v>1760</v>
      </c>
      <c r="W903" s="63">
        <v>44562</v>
      </c>
      <c r="X903" s="63">
        <v>44815</v>
      </c>
      <c r="Y903" s="63">
        <v>45101</v>
      </c>
      <c r="Z903" s="63">
        <v>45169</v>
      </c>
      <c r="AA903" s="23" t="s">
        <v>1107</v>
      </c>
      <c r="AB903" s="17"/>
      <c r="AC903" s="23" t="s">
        <v>731</v>
      </c>
      <c r="AD903" s="23" t="s">
        <v>731</v>
      </c>
      <c r="AE903" s="23"/>
      <c r="AF903" s="23" t="s">
        <v>731</v>
      </c>
      <c r="AG903" s="23" t="s">
        <v>731</v>
      </c>
      <c r="AH903" s="23" t="s">
        <v>731</v>
      </c>
      <c r="AI903" s="23" t="s">
        <v>731</v>
      </c>
      <c r="AJ903" s="23" t="s">
        <v>731</v>
      </c>
      <c r="AK903" s="23" t="s">
        <v>731</v>
      </c>
      <c r="AL903" s="17"/>
      <c r="AM903" s="17"/>
      <c r="AN903" s="17"/>
      <c r="AO903" s="23"/>
      <c r="AP903" s="23"/>
      <c r="AQ903" s="23"/>
      <c r="AR903" s="23"/>
      <c r="AS903" s="23"/>
      <c r="AT903" s="23"/>
      <c r="AU903" s="23"/>
      <c r="AV903" s="42">
        <f>30+36</f>
        <v>66</v>
      </c>
      <c r="AW903" s="42"/>
      <c r="BB903" s="45">
        <v>1</v>
      </c>
      <c r="BC903" s="41">
        <f>IF(AND((AV903/I903)&lt;2,BB903=1),(I903*2)-AV903,0)</f>
        <v>0</v>
      </c>
      <c r="BD903" s="41">
        <f>IF(AND((AV903/I903)&lt;3,BB903=2),(I903*3)-AV903,0)</f>
        <v>0</v>
      </c>
      <c r="BH903" s="18">
        <v>9</v>
      </c>
      <c r="BI903" s="18">
        <v>0</v>
      </c>
      <c r="BJ903" s="18">
        <v>0</v>
      </c>
      <c r="BK903" s="18">
        <v>0</v>
      </c>
      <c r="BL903" s="18">
        <v>0</v>
      </c>
      <c r="BM903" s="55">
        <f>SUM(AV903:AX903)+SUM(BC903:BD903)+SUM(BE903:BF903)+BG903</f>
        <v>66</v>
      </c>
      <c r="BN903" s="22" t="s">
        <v>2078</v>
      </c>
      <c r="BO903" s="55"/>
      <c r="BP903" s="55"/>
      <c r="BQ903" s="55"/>
      <c r="BR903" s="55"/>
      <c r="BS903" s="55"/>
      <c r="BT903" s="55"/>
      <c r="BU903" s="55"/>
      <c r="BV903" s="55"/>
      <c r="BW903" s="221">
        <v>0</v>
      </c>
      <c r="BX903" s="55"/>
      <c r="BY903" s="55">
        <v>44.700000000000045</v>
      </c>
    </row>
    <row r="904" spans="1:78" s="40" customFormat="1" ht="25.5">
      <c r="A904" s="2"/>
      <c r="B904" s="89">
        <v>888</v>
      </c>
      <c r="C904" s="93">
        <v>643</v>
      </c>
      <c r="D904" s="93">
        <v>391</v>
      </c>
      <c r="E904" s="94">
        <v>0.42222222222222222</v>
      </c>
      <c r="F904" s="94">
        <v>0.45347222222222222</v>
      </c>
      <c r="G904" s="93" t="s">
        <v>582</v>
      </c>
      <c r="H904" s="93" t="s">
        <v>423</v>
      </c>
      <c r="I904" s="96">
        <v>22</v>
      </c>
      <c r="J904" s="97" t="s">
        <v>99</v>
      </c>
      <c r="K904" s="98">
        <v>67</v>
      </c>
      <c r="L904" s="109" t="s">
        <v>785</v>
      </c>
      <c r="M904" s="87" t="s">
        <v>967</v>
      </c>
      <c r="N904" s="87">
        <v>24</v>
      </c>
      <c r="O904" s="87" t="s">
        <v>968</v>
      </c>
      <c r="P904" s="87">
        <v>20</v>
      </c>
      <c r="Q904" s="83"/>
      <c r="R904" s="87"/>
      <c r="S904" s="26" t="s">
        <v>1759</v>
      </c>
      <c r="T904" s="26" t="s">
        <v>1760</v>
      </c>
      <c r="U904" s="26">
        <v>6300</v>
      </c>
      <c r="V904" s="26" t="s">
        <v>1358</v>
      </c>
      <c r="W904" s="63">
        <v>44562</v>
      </c>
      <c r="X904" s="63">
        <v>44815</v>
      </c>
      <c r="Y904" s="63">
        <v>45101</v>
      </c>
      <c r="Z904" s="63">
        <v>45169</v>
      </c>
      <c r="AA904" s="23" t="s">
        <v>1107</v>
      </c>
      <c r="AB904" s="17"/>
      <c r="AC904" s="23" t="s">
        <v>731</v>
      </c>
      <c r="AD904" s="23" t="s">
        <v>731</v>
      </c>
      <c r="AE904" s="23"/>
      <c r="AF904" s="23" t="s">
        <v>731</v>
      </c>
      <c r="AG904" s="23" t="s">
        <v>731</v>
      </c>
      <c r="AH904" s="23" t="s">
        <v>731</v>
      </c>
      <c r="AI904" s="23" t="s">
        <v>731</v>
      </c>
      <c r="AJ904" s="23" t="s">
        <v>731</v>
      </c>
      <c r="AK904" s="23" t="s">
        <v>731</v>
      </c>
      <c r="AL904" s="17"/>
      <c r="AM904" s="17"/>
      <c r="AN904" s="17"/>
      <c r="AO904" s="23"/>
      <c r="AP904" s="23"/>
      <c r="AQ904" s="23"/>
      <c r="AR904" s="23"/>
      <c r="AS904" s="23"/>
      <c r="AT904" s="23"/>
      <c r="AU904" s="23"/>
      <c r="AV904" s="42">
        <f>30+36</f>
        <v>66</v>
      </c>
      <c r="AW904" s="42"/>
      <c r="BB904" s="45">
        <v>1</v>
      </c>
      <c r="BC904" s="41">
        <f>IF(AND((AV904/I904)&lt;2,BB904=1),(I904*2)-AV904,0)</f>
        <v>0</v>
      </c>
      <c r="BD904" s="41">
        <f>IF(AND((AV904/I904)&lt;3,BB904=2),(I904*3)-AV904,0)</f>
        <v>0</v>
      </c>
      <c r="BH904" s="18">
        <v>9</v>
      </c>
      <c r="BI904" s="18">
        <v>0</v>
      </c>
      <c r="BJ904" s="18">
        <v>0</v>
      </c>
      <c r="BK904" s="18">
        <v>0</v>
      </c>
      <c r="BL904" s="18">
        <v>0</v>
      </c>
      <c r="BM904" s="55">
        <f>SUM(AV904:AX904)+SUM(BC904:BD904)+SUM(BE904:BF904)+BG904</f>
        <v>66</v>
      </c>
      <c r="BN904" s="22" t="s">
        <v>1119</v>
      </c>
      <c r="BO904" s="55"/>
      <c r="BP904" s="55"/>
      <c r="BQ904" s="55"/>
      <c r="BR904" s="55"/>
      <c r="BS904" s="55"/>
      <c r="BT904" s="55"/>
      <c r="BU904" s="55"/>
      <c r="BV904" s="55"/>
      <c r="BW904" s="221">
        <v>0</v>
      </c>
      <c r="BX904" s="55"/>
      <c r="BY904" s="55">
        <v>89.100000000000023</v>
      </c>
    </row>
    <row r="905" spans="1:78" s="40" customFormat="1" ht="33.75">
      <c r="A905" s="85"/>
      <c r="B905" s="89">
        <v>889</v>
      </c>
      <c r="C905" s="93">
        <v>644</v>
      </c>
      <c r="D905" s="97">
        <v>311</v>
      </c>
      <c r="E905" s="94">
        <v>0.2673611111111111</v>
      </c>
      <c r="F905" s="94">
        <v>0.27986111111111112</v>
      </c>
      <c r="G905" s="93" t="s">
        <v>250</v>
      </c>
      <c r="H905" s="93" t="s">
        <v>97</v>
      </c>
      <c r="I905" s="96">
        <v>9</v>
      </c>
      <c r="J905" s="97">
        <v>16</v>
      </c>
      <c r="K905" s="98">
        <v>208</v>
      </c>
      <c r="L905" s="109" t="s">
        <v>786</v>
      </c>
      <c r="M905" s="87" t="s">
        <v>958</v>
      </c>
      <c r="N905" s="87">
        <v>17</v>
      </c>
      <c r="O905" s="87" t="s">
        <v>1285</v>
      </c>
      <c r="P905" s="87">
        <v>17</v>
      </c>
      <c r="Q905" s="87" t="s">
        <v>1286</v>
      </c>
      <c r="R905" s="87">
        <v>23</v>
      </c>
      <c r="S905" s="26">
        <v>6391</v>
      </c>
      <c r="T905" s="26" t="s">
        <v>1761</v>
      </c>
      <c r="U905" s="26">
        <v>6386</v>
      </c>
      <c r="V905" s="26" t="s">
        <v>1762</v>
      </c>
      <c r="W905" s="62">
        <v>44816</v>
      </c>
      <c r="X905" s="62">
        <v>45086</v>
      </c>
      <c r="Y905" s="62"/>
      <c r="Z905" s="62"/>
      <c r="AA905" s="22" t="s">
        <v>1106</v>
      </c>
      <c r="AB905" s="17"/>
      <c r="AC905" s="17"/>
      <c r="AD905" s="17"/>
      <c r="AE905" s="23" t="s">
        <v>731</v>
      </c>
      <c r="AF905" s="23" t="s">
        <v>731</v>
      </c>
      <c r="AG905" s="23" t="s">
        <v>731</v>
      </c>
      <c r="AH905" s="23" t="s">
        <v>731</v>
      </c>
      <c r="AI905" s="23" t="s">
        <v>731</v>
      </c>
      <c r="AJ905" s="23" t="s">
        <v>731</v>
      </c>
      <c r="AK905" s="23" t="s">
        <v>731</v>
      </c>
      <c r="AL905" s="17"/>
      <c r="AM905" s="17"/>
      <c r="AN905" s="17"/>
      <c r="AO905" s="17"/>
      <c r="AP905" s="23"/>
      <c r="AQ905" s="23"/>
      <c r="AR905" s="23"/>
      <c r="AS905" s="23"/>
      <c r="AT905" s="23"/>
      <c r="AU905" s="23"/>
      <c r="AV905" s="42">
        <v>47</v>
      </c>
      <c r="AW905" s="42"/>
      <c r="BA905" s="40">
        <v>13</v>
      </c>
      <c r="BB905" s="45">
        <v>1</v>
      </c>
      <c r="BC905" s="41">
        <f>IF(AND((AV905/I905)&lt;2,BB905=1),(I905*2)-AV905,0)</f>
        <v>0</v>
      </c>
      <c r="BD905" s="41">
        <f>IF(AND((AV905/I905)&lt;3,BB905=2),(I905*3)-AV905,0)</f>
        <v>0</v>
      </c>
      <c r="BG905" s="41">
        <f>IF((AV905+AW905+AX905)&lt;20,(20-(AV905+AW905+AX905)),0)</f>
        <v>0</v>
      </c>
      <c r="BH905" s="18">
        <v>17</v>
      </c>
      <c r="BI905" s="18">
        <v>25</v>
      </c>
      <c r="BJ905" s="18">
        <v>25</v>
      </c>
      <c r="BK905" s="18">
        <v>18</v>
      </c>
      <c r="BL905" s="18">
        <v>20</v>
      </c>
      <c r="BM905" s="55">
        <f>SUM(AV905:AX905)+SUM(BC905:BD905)+SUM(BE905:BF905)+BG905</f>
        <v>47</v>
      </c>
      <c r="BN905" s="22" t="s">
        <v>1838</v>
      </c>
      <c r="BO905" s="77">
        <v>1</v>
      </c>
      <c r="BP905" s="77"/>
      <c r="BQ905" s="77">
        <v>1</v>
      </c>
      <c r="BR905" s="77"/>
      <c r="BS905" s="77">
        <v>1</v>
      </c>
      <c r="BT905" s="77"/>
      <c r="BU905" s="77">
        <v>1</v>
      </c>
      <c r="BV905" s="77"/>
      <c r="BW905" s="77">
        <v>1</v>
      </c>
      <c r="BX905" s="77"/>
      <c r="BY905" s="55">
        <v>1049.96</v>
      </c>
      <c r="BZ905" s="55"/>
    </row>
    <row r="906" spans="1:78" s="40" customFormat="1" ht="33.75">
      <c r="A906" s="85"/>
      <c r="B906" s="89">
        <v>890</v>
      </c>
      <c r="C906" s="101">
        <v>644</v>
      </c>
      <c r="D906" s="101">
        <v>370</v>
      </c>
      <c r="E906" s="102">
        <v>0.34722222222222227</v>
      </c>
      <c r="F906" s="102">
        <v>0.35972222222222222</v>
      </c>
      <c r="G906" s="103" t="s">
        <v>43</v>
      </c>
      <c r="H906" s="103" t="s">
        <v>20</v>
      </c>
      <c r="I906" s="101">
        <v>8</v>
      </c>
      <c r="J906" s="104">
        <v>19</v>
      </c>
      <c r="K906" s="98">
        <v>55</v>
      </c>
      <c r="L906" s="109" t="s">
        <v>786</v>
      </c>
      <c r="M906" s="87" t="s">
        <v>958</v>
      </c>
      <c r="N906" s="87">
        <v>17</v>
      </c>
      <c r="O906" s="87" t="s">
        <v>1285</v>
      </c>
      <c r="P906" s="87">
        <v>17</v>
      </c>
      <c r="Q906" s="83"/>
      <c r="R906" s="87"/>
      <c r="S906" s="26">
        <v>6386</v>
      </c>
      <c r="T906" s="26" t="s">
        <v>1762</v>
      </c>
      <c r="U906" s="26">
        <v>6391</v>
      </c>
      <c r="V906" s="26" t="s">
        <v>1761</v>
      </c>
      <c r="W906" s="63">
        <v>44562</v>
      </c>
      <c r="X906" s="63">
        <v>44815</v>
      </c>
      <c r="Y906" s="63">
        <v>45101</v>
      </c>
      <c r="Z906" s="63">
        <v>45169</v>
      </c>
      <c r="AA906" s="24" t="s">
        <v>1109</v>
      </c>
      <c r="AB906" s="17"/>
      <c r="AC906" s="17" t="s">
        <v>731</v>
      </c>
      <c r="AD906" s="17" t="s">
        <v>731</v>
      </c>
      <c r="AE906" s="17"/>
      <c r="AF906" s="17" t="s">
        <v>731</v>
      </c>
      <c r="AG906" s="17" t="s">
        <v>731</v>
      </c>
      <c r="AH906" s="17" t="s">
        <v>731</v>
      </c>
      <c r="AI906" s="17" t="s">
        <v>731</v>
      </c>
      <c r="AJ906" s="17" t="s">
        <v>731</v>
      </c>
      <c r="AK906" s="17"/>
      <c r="AL906" s="17"/>
      <c r="AM906" s="17"/>
      <c r="AN906" s="17"/>
      <c r="AO906" s="17"/>
      <c r="AP906" s="17"/>
      <c r="AQ906" s="17"/>
      <c r="AR906" s="17"/>
      <c r="AS906" s="17"/>
      <c r="AT906" s="17"/>
      <c r="AU906" s="17"/>
      <c r="AV906" s="41"/>
      <c r="AW906" s="41">
        <f>3*8+3*2.05</f>
        <v>30.15</v>
      </c>
      <c r="BB906" s="45">
        <v>1</v>
      </c>
      <c r="BD906" s="41"/>
      <c r="BE906" s="41">
        <f>IF(AND((AW906/I906)&lt;2,BB906=1),(I906*2)-AW906,0)</f>
        <v>0</v>
      </c>
      <c r="BF906" s="41">
        <f>IF(AND((AW906/I906)&lt;3,BB906=2),(I906*3)-AW906,0)</f>
        <v>0</v>
      </c>
      <c r="BH906" s="18">
        <v>7</v>
      </c>
      <c r="BI906" s="18">
        <v>0</v>
      </c>
      <c r="BJ906" s="18">
        <v>0</v>
      </c>
      <c r="BK906" s="18">
        <v>0</v>
      </c>
      <c r="BL906" s="18">
        <v>0</v>
      </c>
      <c r="BM906" s="55">
        <f>SUM(AV906:AX906)+SUM(BC906:BD906)+SUM(BE906:BF906)+BG906</f>
        <v>30.15</v>
      </c>
      <c r="BN906" s="22"/>
      <c r="BO906" s="55"/>
      <c r="BP906" s="55"/>
      <c r="BQ906" s="55"/>
      <c r="BR906" s="55"/>
      <c r="BS906" s="55"/>
      <c r="BT906" s="55"/>
      <c r="BU906" s="55"/>
      <c r="BV906" s="55"/>
      <c r="BW906" s="55"/>
      <c r="BX906" s="55"/>
      <c r="BY906" s="55"/>
      <c r="BZ906" s="55"/>
    </row>
    <row r="907" spans="1:78" s="40" customFormat="1" ht="33.75">
      <c r="A907" s="2"/>
      <c r="B907" s="89">
        <v>891</v>
      </c>
      <c r="C907" s="101">
        <v>644</v>
      </c>
      <c r="D907" s="101">
        <v>371</v>
      </c>
      <c r="E907" s="102">
        <v>0.36319444444444443</v>
      </c>
      <c r="F907" s="102">
        <v>0.3756944444444445</v>
      </c>
      <c r="G907" s="103" t="s">
        <v>42</v>
      </c>
      <c r="H907" s="103" t="s">
        <v>20</v>
      </c>
      <c r="I907" s="101">
        <v>8</v>
      </c>
      <c r="J907" s="104">
        <v>19</v>
      </c>
      <c r="K907" s="98">
        <v>55</v>
      </c>
      <c r="L907" s="109" t="s">
        <v>786</v>
      </c>
      <c r="M907" s="87" t="s">
        <v>958</v>
      </c>
      <c r="N907" s="87">
        <v>17</v>
      </c>
      <c r="O907" s="87" t="s">
        <v>1285</v>
      </c>
      <c r="P907" s="87">
        <v>17</v>
      </c>
      <c r="Q907" s="83"/>
      <c r="R907" s="87"/>
      <c r="S907" s="26">
        <v>6391</v>
      </c>
      <c r="T907" s="26" t="s">
        <v>1761</v>
      </c>
      <c r="U907" s="26">
        <v>6386</v>
      </c>
      <c r="V907" s="26" t="s">
        <v>1762</v>
      </c>
      <c r="W907" s="63">
        <v>44562</v>
      </c>
      <c r="X907" s="63">
        <v>44815</v>
      </c>
      <c r="Y907" s="63">
        <v>45101</v>
      </c>
      <c r="Z907" s="63">
        <v>45169</v>
      </c>
      <c r="AA907" s="24" t="s">
        <v>1109</v>
      </c>
      <c r="AB907" s="17"/>
      <c r="AC907" s="17" t="s">
        <v>731</v>
      </c>
      <c r="AD907" s="17" t="s">
        <v>731</v>
      </c>
      <c r="AE907" s="17"/>
      <c r="AF907" s="17" t="s">
        <v>731</v>
      </c>
      <c r="AG907" s="17" t="s">
        <v>731</v>
      </c>
      <c r="AH907" s="17" t="s">
        <v>731</v>
      </c>
      <c r="AI907" s="17" t="s">
        <v>731</v>
      </c>
      <c r="AJ907" s="17" t="s">
        <v>731</v>
      </c>
      <c r="AK907" s="17"/>
      <c r="AL907" s="17"/>
      <c r="AM907" s="17"/>
      <c r="AN907" s="17"/>
      <c r="AO907" s="17"/>
      <c r="AP907" s="17"/>
      <c r="AQ907" s="17"/>
      <c r="AR907" s="17"/>
      <c r="AS907" s="17"/>
      <c r="AT907" s="17"/>
      <c r="AU907" s="17"/>
      <c r="AV907" s="41"/>
      <c r="AW907" s="41">
        <f>3*8+3*2.05</f>
        <v>30.15</v>
      </c>
      <c r="BB907" s="45">
        <v>1</v>
      </c>
      <c r="BD907" s="41"/>
      <c r="BE907" s="41">
        <f>IF(AND((AW907/I907)&lt;2,BB907=1),(I907*2)-AW907,0)</f>
        <v>0</v>
      </c>
      <c r="BF907" s="41">
        <f>IF(AND((AW907/I907)&lt;3,BB907=2),(I907*3)-AW907,0)</f>
        <v>0</v>
      </c>
      <c r="BH907" s="18">
        <v>7</v>
      </c>
      <c r="BI907" s="18">
        <v>0</v>
      </c>
      <c r="BJ907" s="18">
        <v>0</v>
      </c>
      <c r="BK907" s="18">
        <v>0</v>
      </c>
      <c r="BL907" s="18">
        <v>0</v>
      </c>
      <c r="BM907" s="55">
        <f>SUM(AV907:AX907)+SUM(BC907:BD907)+SUM(BE907:BF907)+BG907</f>
        <v>30.15</v>
      </c>
      <c r="BN907" s="22"/>
      <c r="BO907" s="55"/>
      <c r="BP907" s="55"/>
      <c r="BQ907" s="55"/>
      <c r="BR907" s="55"/>
      <c r="BS907" s="55"/>
      <c r="BT907" s="55"/>
      <c r="BU907" s="55"/>
      <c r="BV907" s="55"/>
      <c r="BW907" s="55"/>
      <c r="BX907" s="55"/>
      <c r="BY907" s="55"/>
      <c r="BZ907" s="55"/>
    </row>
    <row r="908" spans="1:78" ht="33.75">
      <c r="B908" s="89">
        <v>892</v>
      </c>
      <c r="C908" s="93">
        <v>644</v>
      </c>
      <c r="D908" s="97">
        <v>374</v>
      </c>
      <c r="E908" s="94">
        <v>0.46180555555555558</v>
      </c>
      <c r="F908" s="94">
        <v>0.47430555555555554</v>
      </c>
      <c r="G908" s="93" t="s">
        <v>664</v>
      </c>
      <c r="H908" s="93" t="s">
        <v>426</v>
      </c>
      <c r="I908" s="96">
        <v>8.1999999999999993</v>
      </c>
      <c r="J908" s="97" t="s">
        <v>125</v>
      </c>
      <c r="K908" s="98">
        <v>39</v>
      </c>
      <c r="L908" s="109" t="s">
        <v>786</v>
      </c>
      <c r="M908" s="87" t="s">
        <v>959</v>
      </c>
      <c r="N908" s="87">
        <v>9</v>
      </c>
      <c r="O908" s="87" t="s">
        <v>1287</v>
      </c>
      <c r="P908" s="87">
        <v>9</v>
      </c>
      <c r="Q908" s="87" t="s">
        <v>1286</v>
      </c>
      <c r="R908" s="87">
        <v>23</v>
      </c>
      <c r="S908" s="26">
        <v>6386</v>
      </c>
      <c r="T908" s="26" t="s">
        <v>1762</v>
      </c>
      <c r="U908" s="26">
        <v>6391</v>
      </c>
      <c r="V908" s="26" t="s">
        <v>1761</v>
      </c>
      <c r="W908" s="63">
        <v>44816</v>
      </c>
      <c r="X908" s="63">
        <v>45100</v>
      </c>
      <c r="Y908" s="63"/>
      <c r="Z908" s="63"/>
      <c r="AA908" s="26" t="s">
        <v>1143</v>
      </c>
      <c r="AB908" s="23" t="s">
        <v>731</v>
      </c>
      <c r="AC908" s="23"/>
      <c r="AD908" s="23" t="s">
        <v>731</v>
      </c>
      <c r="AE908" s="23"/>
      <c r="AF908" s="23"/>
      <c r="AG908" s="23"/>
      <c r="AH908" s="23"/>
      <c r="AI908" s="23" t="s">
        <v>731</v>
      </c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42">
        <f>9+9.6</f>
        <v>18.600000000000001</v>
      </c>
      <c r="AW908" s="42"/>
      <c r="AY908" s="18"/>
      <c r="AZ908" s="18"/>
      <c r="BA908" s="18">
        <v>14</v>
      </c>
      <c r="BB908" s="45">
        <v>1</v>
      </c>
      <c r="BC908" s="41">
        <f>IF(AND((AV908/I908)&lt;2,BB908=1),(I908*2)-AV908,0)</f>
        <v>0</v>
      </c>
      <c r="BD908" s="41">
        <f>IF(AND((AV908/I908)&lt;3,BB908=2),(I908*3)-AV908,0)</f>
        <v>0</v>
      </c>
      <c r="BG908" s="18"/>
      <c r="BH908" s="18">
        <v>3</v>
      </c>
      <c r="BI908" s="18">
        <v>4</v>
      </c>
      <c r="BJ908" s="18">
        <v>4</v>
      </c>
      <c r="BK908" s="18">
        <v>4</v>
      </c>
      <c r="BL908" s="18">
        <v>4</v>
      </c>
      <c r="BM908" s="55">
        <f>SUM(AV908:AX908)+SUM(BC908:BD908)+SUM(BE908:BF908)+BG908</f>
        <v>18.600000000000001</v>
      </c>
      <c r="BN908" s="22"/>
      <c r="BO908" s="55"/>
      <c r="BP908" s="55"/>
      <c r="BQ908" s="55"/>
      <c r="BR908" s="55"/>
      <c r="BS908" s="55"/>
      <c r="BT908" s="55"/>
      <c r="BU908" s="55"/>
      <c r="BV908" s="55"/>
      <c r="BW908" s="55"/>
      <c r="BX908" s="55"/>
      <c r="BY908" s="55"/>
      <c r="BZ908" s="55"/>
    </row>
    <row r="909" spans="1:78" ht="25.5">
      <c r="B909" s="89">
        <v>893</v>
      </c>
      <c r="C909" s="101">
        <v>644</v>
      </c>
      <c r="D909" s="101">
        <v>372</v>
      </c>
      <c r="E909" s="102">
        <v>0.47222222222222227</v>
      </c>
      <c r="F909" s="102">
        <v>0.48472222222222222</v>
      </c>
      <c r="G909" s="103" t="s">
        <v>43</v>
      </c>
      <c r="H909" s="93" t="s">
        <v>290</v>
      </c>
      <c r="I909" s="101">
        <v>8</v>
      </c>
      <c r="J909" s="104">
        <v>19</v>
      </c>
      <c r="K909" s="98">
        <v>11</v>
      </c>
      <c r="L909" s="109" t="s">
        <v>785</v>
      </c>
      <c r="M909" s="87" t="s">
        <v>967</v>
      </c>
      <c r="N909" s="87">
        <v>24</v>
      </c>
      <c r="O909" s="87" t="s">
        <v>968</v>
      </c>
      <c r="P909" s="87">
        <v>20</v>
      </c>
      <c r="R909" s="87"/>
      <c r="S909" s="26">
        <v>6386</v>
      </c>
      <c r="T909" s="26" t="s">
        <v>1762</v>
      </c>
      <c r="U909" s="26">
        <v>6391</v>
      </c>
      <c r="V909" s="26" t="s">
        <v>1761</v>
      </c>
      <c r="W909" s="63">
        <v>44562</v>
      </c>
      <c r="X909" s="63">
        <v>44815</v>
      </c>
      <c r="Y909" s="63">
        <v>45101</v>
      </c>
      <c r="Z909" s="63">
        <v>45169</v>
      </c>
      <c r="AA909" s="27" t="s">
        <v>1141</v>
      </c>
      <c r="AB909" s="23"/>
      <c r="AC909" s="23" t="s">
        <v>731</v>
      </c>
      <c r="AD909" s="23" t="s">
        <v>731</v>
      </c>
      <c r="AE909" s="23"/>
      <c r="AF909" s="23"/>
      <c r="AG909" s="23"/>
      <c r="AH909" s="23"/>
      <c r="AI909" s="23" t="s">
        <v>731</v>
      </c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W909" s="42">
        <f>1.9*8</f>
        <v>15.2</v>
      </c>
      <c r="AY909" s="18"/>
      <c r="AZ909" s="18"/>
      <c r="BB909" s="45">
        <v>1</v>
      </c>
      <c r="BD909" s="41"/>
      <c r="BE909" s="41">
        <f>IF(AND((AW909/I909)&lt;2,BB909=1),(I909*2)-AW909,0)</f>
        <v>0.80000000000000071</v>
      </c>
      <c r="BF909" s="41">
        <f>IF(AND((AW909/I909)&lt;3,BB909=2),(I909*3)-AW909,0)</f>
        <v>0</v>
      </c>
      <c r="BG909" s="18"/>
      <c r="BH909" s="18">
        <v>2</v>
      </c>
      <c r="BI909" s="18">
        <v>0</v>
      </c>
      <c r="BJ909" s="18">
        <v>0</v>
      </c>
      <c r="BK909" s="18">
        <v>0</v>
      </c>
      <c r="BL909" s="18">
        <v>0</v>
      </c>
      <c r="BM909" s="55">
        <f>SUM(AV909:AX909)+SUM(BC909:BD909)+SUM(BE909:BF909)+BG909</f>
        <v>16</v>
      </c>
      <c r="BN909" s="22" t="s">
        <v>1141</v>
      </c>
      <c r="BO909" s="55"/>
      <c r="BP909" s="55"/>
      <c r="BQ909" s="55"/>
      <c r="BR909" s="55"/>
      <c r="BS909" s="55"/>
      <c r="BT909" s="55"/>
      <c r="BU909" s="55"/>
      <c r="BV909" s="55"/>
      <c r="BW909" s="221">
        <v>0</v>
      </c>
      <c r="BX909" s="55"/>
      <c r="BY909" s="55">
        <v>14.300000000000068</v>
      </c>
    </row>
    <row r="910" spans="1:78" ht="33.75">
      <c r="B910" s="89">
        <v>894</v>
      </c>
      <c r="C910" s="93">
        <v>644</v>
      </c>
      <c r="D910" s="97">
        <v>375</v>
      </c>
      <c r="E910" s="94">
        <v>0.47430555555555554</v>
      </c>
      <c r="F910" s="94">
        <v>0.48680555555555555</v>
      </c>
      <c r="G910" s="93" t="s">
        <v>665</v>
      </c>
      <c r="H910" s="93" t="s">
        <v>426</v>
      </c>
      <c r="I910" s="96">
        <v>8.1999999999999993</v>
      </c>
      <c r="J910" s="97" t="s">
        <v>125</v>
      </c>
      <c r="K910" s="98">
        <v>39</v>
      </c>
      <c r="L910" s="109" t="s">
        <v>786</v>
      </c>
      <c r="M910" s="87" t="s">
        <v>959</v>
      </c>
      <c r="N910" s="87">
        <v>9</v>
      </c>
      <c r="O910" s="87" t="s">
        <v>1287</v>
      </c>
      <c r="P910" s="87">
        <v>9</v>
      </c>
      <c r="Q910" s="87" t="s">
        <v>1286</v>
      </c>
      <c r="R910" s="87">
        <v>23</v>
      </c>
      <c r="S910" s="26">
        <v>6391</v>
      </c>
      <c r="T910" s="26" t="s">
        <v>1761</v>
      </c>
      <c r="U910" s="26">
        <v>6386</v>
      </c>
      <c r="V910" s="26" t="s">
        <v>1762</v>
      </c>
      <c r="W910" s="63">
        <v>44816</v>
      </c>
      <c r="X910" s="63">
        <v>45100</v>
      </c>
      <c r="Y910" s="63"/>
      <c r="Z910" s="63"/>
      <c r="AA910" s="26" t="s">
        <v>1143</v>
      </c>
      <c r="AB910" s="23" t="s">
        <v>731</v>
      </c>
      <c r="AC910" s="23"/>
      <c r="AD910" s="23" t="s">
        <v>731</v>
      </c>
      <c r="AE910" s="23"/>
      <c r="AF910" s="23"/>
      <c r="AG910" s="23"/>
      <c r="AH910" s="23"/>
      <c r="AI910" s="23" t="s">
        <v>731</v>
      </c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42">
        <f>9.6+9</f>
        <v>18.600000000000001</v>
      </c>
      <c r="AW910" s="42"/>
      <c r="AY910" s="18"/>
      <c r="AZ910" s="18"/>
      <c r="BA910" s="18">
        <v>15</v>
      </c>
      <c r="BB910" s="45">
        <v>1</v>
      </c>
      <c r="BC910" s="41">
        <f>IF(AND((AV910/I910)&lt;2,BB910=1),(I910*2)-AV910,0)</f>
        <v>0</v>
      </c>
      <c r="BD910" s="41">
        <f>IF(AND((AV910/I910)&lt;3,BB910=2),(I910*3)-AV910,0)</f>
        <v>0</v>
      </c>
      <c r="BG910" s="18"/>
      <c r="BH910" s="18">
        <v>3</v>
      </c>
      <c r="BI910" s="18">
        <v>4</v>
      </c>
      <c r="BJ910" s="18">
        <v>4</v>
      </c>
      <c r="BK910" s="18">
        <v>4</v>
      </c>
      <c r="BL910" s="18">
        <v>4</v>
      </c>
      <c r="BM910" s="55">
        <f>SUM(AV910:AX910)+SUM(BC910:BD910)+SUM(BE910:BF910)+BG910</f>
        <v>18.600000000000001</v>
      </c>
      <c r="BN910" s="55"/>
      <c r="BO910" s="55"/>
      <c r="BP910" s="55"/>
      <c r="BQ910" s="55"/>
      <c r="BR910" s="55"/>
      <c r="BS910" s="55"/>
      <c r="BT910" s="55"/>
      <c r="BU910" s="55"/>
      <c r="BV910" s="55"/>
      <c r="BW910" s="55"/>
      <c r="BX910" s="55"/>
      <c r="BY910" s="55"/>
      <c r="BZ910" s="55"/>
    </row>
    <row r="911" spans="1:78" ht="25.5">
      <c r="B911" s="89">
        <v>895</v>
      </c>
      <c r="C911" s="101">
        <v>644</v>
      </c>
      <c r="D911" s="101">
        <v>373</v>
      </c>
      <c r="E911" s="102">
        <v>0.48819444444444443</v>
      </c>
      <c r="F911" s="102">
        <v>0.50069444444444444</v>
      </c>
      <c r="G911" s="103" t="s">
        <v>42</v>
      </c>
      <c r="H911" s="93" t="s">
        <v>290</v>
      </c>
      <c r="I911" s="101">
        <v>8</v>
      </c>
      <c r="J911" s="104">
        <v>19</v>
      </c>
      <c r="K911" s="98">
        <v>11</v>
      </c>
      <c r="L911" s="109" t="s">
        <v>785</v>
      </c>
      <c r="M911" s="87" t="s">
        <v>967</v>
      </c>
      <c r="N911" s="87">
        <v>24</v>
      </c>
      <c r="O911" s="87" t="s">
        <v>968</v>
      </c>
      <c r="P911" s="87">
        <v>20</v>
      </c>
      <c r="R911" s="87"/>
      <c r="S911" s="26">
        <v>6391</v>
      </c>
      <c r="T911" s="26" t="s">
        <v>1761</v>
      </c>
      <c r="U911" s="26">
        <v>6386</v>
      </c>
      <c r="V911" s="26" t="s">
        <v>1762</v>
      </c>
      <c r="W911" s="63">
        <v>44562</v>
      </c>
      <c r="X911" s="63">
        <v>44815</v>
      </c>
      <c r="Y911" s="63">
        <v>45101</v>
      </c>
      <c r="Z911" s="63">
        <v>45169</v>
      </c>
      <c r="AA911" s="27" t="s">
        <v>1141</v>
      </c>
      <c r="AB911" s="23"/>
      <c r="AC911" s="23" t="s">
        <v>731</v>
      </c>
      <c r="AD911" s="23" t="s">
        <v>731</v>
      </c>
      <c r="AE911" s="23"/>
      <c r="AF911" s="23"/>
      <c r="AG911" s="23"/>
      <c r="AH911" s="23"/>
      <c r="AI911" s="23" t="s">
        <v>731</v>
      </c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W911" s="42">
        <f>1.9*8</f>
        <v>15.2</v>
      </c>
      <c r="AY911" s="18"/>
      <c r="AZ911" s="18"/>
      <c r="BB911" s="45">
        <v>1</v>
      </c>
      <c r="BD911" s="41"/>
      <c r="BE911" s="41">
        <f>IF(AND((AW911/I911)&lt;2,BB911=1),(I911*2)-AW911,0)</f>
        <v>0.80000000000000071</v>
      </c>
      <c r="BF911" s="41">
        <f>IF(AND((AW911/I911)&lt;3,BB911=2),(I911*3)-AW911,0)</f>
        <v>0</v>
      </c>
      <c r="BG911" s="18"/>
      <c r="BH911" s="18">
        <v>2</v>
      </c>
      <c r="BI911" s="18">
        <v>0</v>
      </c>
      <c r="BJ911" s="18">
        <v>0</v>
      </c>
      <c r="BK911" s="18">
        <v>0</v>
      </c>
      <c r="BL911" s="18">
        <v>0</v>
      </c>
      <c r="BM911" s="55">
        <f>SUM(AV911:AX911)+SUM(BC911:BD911)+SUM(BE911:BF911)+BG911</f>
        <v>16</v>
      </c>
      <c r="BN911" s="55"/>
      <c r="BO911" s="55"/>
      <c r="BP911" s="55"/>
      <c r="BQ911" s="55"/>
      <c r="BR911" s="55"/>
      <c r="BS911" s="55"/>
      <c r="BT911" s="55"/>
      <c r="BU911" s="55"/>
      <c r="BV911" s="55"/>
      <c r="BX911" s="55"/>
      <c r="BY911" s="55"/>
      <c r="BZ911" s="55"/>
    </row>
    <row r="912" spans="1:78" ht="25.5">
      <c r="B912" s="89">
        <v>896</v>
      </c>
      <c r="C912" s="101">
        <v>644</v>
      </c>
      <c r="D912" s="93">
        <v>374</v>
      </c>
      <c r="E912" s="94">
        <v>0.51388888888888895</v>
      </c>
      <c r="F912" s="94">
        <v>0.52638888888888891</v>
      </c>
      <c r="G912" s="93" t="s">
        <v>43</v>
      </c>
      <c r="H912" s="93" t="s">
        <v>424</v>
      </c>
      <c r="I912" s="101">
        <v>8</v>
      </c>
      <c r="J912" s="104">
        <v>19</v>
      </c>
      <c r="K912" s="98">
        <v>55</v>
      </c>
      <c r="L912" s="109" t="s">
        <v>785</v>
      </c>
      <c r="M912" s="87" t="s">
        <v>967</v>
      </c>
      <c r="N912" s="87">
        <v>24</v>
      </c>
      <c r="O912" s="87" t="s">
        <v>968</v>
      </c>
      <c r="P912" s="87">
        <v>20</v>
      </c>
      <c r="R912" s="87"/>
      <c r="S912" s="26">
        <v>6386</v>
      </c>
      <c r="T912" s="26" t="s">
        <v>1762</v>
      </c>
      <c r="U912" s="26">
        <v>6391</v>
      </c>
      <c r="V912" s="26" t="s">
        <v>1761</v>
      </c>
      <c r="W912" s="63">
        <v>44562</v>
      </c>
      <c r="X912" s="63">
        <v>44815</v>
      </c>
      <c r="Y912" s="63">
        <v>45101</v>
      </c>
      <c r="Z912" s="63">
        <v>45169</v>
      </c>
      <c r="AA912" s="22" t="s">
        <v>1109</v>
      </c>
      <c r="AB912" s="23"/>
      <c r="AC912" s="23" t="s">
        <v>731</v>
      </c>
      <c r="AD912" s="23" t="s">
        <v>731</v>
      </c>
      <c r="AE912" s="23"/>
      <c r="AF912" s="23" t="s">
        <v>731</v>
      </c>
      <c r="AG912" s="23" t="s">
        <v>731</v>
      </c>
      <c r="AH912" s="23" t="s">
        <v>731</v>
      </c>
      <c r="AI912" s="23" t="s">
        <v>731</v>
      </c>
      <c r="AJ912" s="23" t="s">
        <v>731</v>
      </c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W912" s="42">
        <f>1.9*8</f>
        <v>15.2</v>
      </c>
      <c r="AY912" s="18"/>
      <c r="AZ912" s="18"/>
      <c r="BB912" s="45">
        <v>1</v>
      </c>
      <c r="BD912" s="41"/>
      <c r="BE912" s="41">
        <f>IF(AND((AW912/I912)&lt;2,BB912=1),(I912*2)-AW912,0)</f>
        <v>0.80000000000000071</v>
      </c>
      <c r="BF912" s="41">
        <f>IF(AND((AW912/I912)&lt;3,BB912=2),(I912*3)-AW912,0)</f>
        <v>0</v>
      </c>
      <c r="BG912" s="18"/>
      <c r="BH912" s="18">
        <v>7</v>
      </c>
      <c r="BI912" s="18">
        <v>0</v>
      </c>
      <c r="BJ912" s="18">
        <v>0</v>
      </c>
      <c r="BK912" s="18">
        <v>0</v>
      </c>
      <c r="BL912" s="18">
        <v>0</v>
      </c>
      <c r="BM912" s="55">
        <f>SUM(AV912:AX912)+SUM(BC912:BD912)+SUM(BE912:BF912)+BG912</f>
        <v>16</v>
      </c>
      <c r="BN912" s="55"/>
      <c r="BO912" s="55"/>
      <c r="BP912" s="55"/>
      <c r="BQ912" s="55"/>
      <c r="BR912" s="55"/>
      <c r="BS912" s="55"/>
      <c r="BT912" s="55"/>
      <c r="BU912" s="55"/>
      <c r="BV912" s="55"/>
      <c r="BX912" s="55"/>
      <c r="BY912" s="55"/>
      <c r="BZ912" s="55"/>
    </row>
    <row r="913" spans="2:78" ht="25.5">
      <c r="B913" s="89">
        <v>897</v>
      </c>
      <c r="C913" s="101">
        <v>644</v>
      </c>
      <c r="D913" s="93">
        <v>375</v>
      </c>
      <c r="E913" s="94">
        <v>0.52986111111111112</v>
      </c>
      <c r="F913" s="94">
        <v>0.54236111111111118</v>
      </c>
      <c r="G913" s="93" t="s">
        <v>42</v>
      </c>
      <c r="H913" s="93" t="s">
        <v>424</v>
      </c>
      <c r="I913" s="101">
        <v>8</v>
      </c>
      <c r="J913" s="104">
        <v>19</v>
      </c>
      <c r="K913" s="98">
        <v>55</v>
      </c>
      <c r="L913" s="109" t="s">
        <v>785</v>
      </c>
      <c r="M913" s="87" t="s">
        <v>967</v>
      </c>
      <c r="N913" s="87">
        <v>24</v>
      </c>
      <c r="O913" s="87" t="s">
        <v>968</v>
      </c>
      <c r="P913" s="87">
        <v>20</v>
      </c>
      <c r="R913" s="87"/>
      <c r="S913" s="26">
        <v>6391</v>
      </c>
      <c r="T913" s="26" t="s">
        <v>1761</v>
      </c>
      <c r="U913" s="26">
        <v>6386</v>
      </c>
      <c r="V913" s="26" t="s">
        <v>1762</v>
      </c>
      <c r="W913" s="63">
        <v>44562</v>
      </c>
      <c r="X913" s="63">
        <v>44815</v>
      </c>
      <c r="Y913" s="63">
        <v>45101</v>
      </c>
      <c r="Z913" s="63">
        <v>45169</v>
      </c>
      <c r="AA913" s="22" t="s">
        <v>1109</v>
      </c>
      <c r="AB913" s="23"/>
      <c r="AC913" s="23" t="s">
        <v>731</v>
      </c>
      <c r="AD913" s="23" t="s">
        <v>731</v>
      </c>
      <c r="AE913" s="23"/>
      <c r="AF913" s="23" t="s">
        <v>731</v>
      </c>
      <c r="AG913" s="23" t="s">
        <v>731</v>
      </c>
      <c r="AH913" s="23" t="s">
        <v>731</v>
      </c>
      <c r="AI913" s="23" t="s">
        <v>731</v>
      </c>
      <c r="AJ913" s="23" t="s">
        <v>731</v>
      </c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W913" s="42">
        <f>1.9*8</f>
        <v>15.2</v>
      </c>
      <c r="AY913" s="18"/>
      <c r="AZ913" s="18"/>
      <c r="BB913" s="45">
        <v>1</v>
      </c>
      <c r="BD913" s="41"/>
      <c r="BE913" s="41">
        <f>IF(AND((AW913/I913)&lt;2,BB913=1),(I913*2)-AW913,0)</f>
        <v>0.80000000000000071</v>
      </c>
      <c r="BF913" s="41">
        <f>IF(AND((AW913/I913)&lt;3,BB913=2),(I913*3)-AW913,0)</f>
        <v>0</v>
      </c>
      <c r="BG913" s="18"/>
      <c r="BH913" s="18">
        <v>7</v>
      </c>
      <c r="BI913" s="18">
        <v>0</v>
      </c>
      <c r="BJ913" s="18">
        <v>0</v>
      </c>
      <c r="BK913" s="18">
        <v>0</v>
      </c>
      <c r="BL913" s="18">
        <v>0</v>
      </c>
      <c r="BM913" s="55">
        <f>SUM(AV913:AX913)+SUM(BC913:BD913)+SUM(BE913:BF913)+BG913</f>
        <v>16</v>
      </c>
      <c r="BN913" s="55"/>
      <c r="BO913" s="55"/>
      <c r="BP913" s="55"/>
      <c r="BQ913" s="55"/>
      <c r="BR913" s="55"/>
      <c r="BS913" s="55"/>
      <c r="BT913" s="55"/>
      <c r="BU913" s="55"/>
      <c r="BV913" s="55"/>
      <c r="BX913" s="55"/>
      <c r="BY913" s="55"/>
      <c r="BZ913" s="55"/>
    </row>
    <row r="914" spans="2:78" ht="33.75">
      <c r="B914" s="89">
        <v>898</v>
      </c>
      <c r="C914" s="93">
        <v>644</v>
      </c>
      <c r="D914" s="97">
        <v>378</v>
      </c>
      <c r="E914" s="94">
        <v>0.57986111111111105</v>
      </c>
      <c r="F914" s="94">
        <v>0.59236111111111112</v>
      </c>
      <c r="G914" s="93" t="s">
        <v>447</v>
      </c>
      <c r="H914" s="93" t="s">
        <v>203</v>
      </c>
      <c r="I914" s="96">
        <v>8</v>
      </c>
      <c r="J914" s="97" t="s">
        <v>125</v>
      </c>
      <c r="K914" s="98">
        <v>202</v>
      </c>
      <c r="L914" s="109" t="s">
        <v>786</v>
      </c>
      <c r="M914" s="87" t="s">
        <v>958</v>
      </c>
      <c r="N914" s="87">
        <v>17</v>
      </c>
      <c r="O914" s="87" t="s">
        <v>1285</v>
      </c>
      <c r="P914" s="87">
        <v>17</v>
      </c>
      <c r="R914" s="87"/>
      <c r="S914" s="26">
        <v>6386</v>
      </c>
      <c r="T914" s="26" t="s">
        <v>1762</v>
      </c>
      <c r="U914" s="26">
        <v>6391</v>
      </c>
      <c r="V914" s="26" t="s">
        <v>1761</v>
      </c>
      <c r="W914" s="63">
        <v>44816</v>
      </c>
      <c r="X914" s="63">
        <v>45100</v>
      </c>
      <c r="Y914" s="63"/>
      <c r="Z914" s="63"/>
      <c r="AA914" s="22" t="s">
        <v>1108</v>
      </c>
      <c r="AB914" s="23" t="s">
        <v>731</v>
      </c>
      <c r="AC914" s="23"/>
      <c r="AD914" s="23" t="s">
        <v>731</v>
      </c>
      <c r="AE914" s="23"/>
      <c r="AF914" s="23" t="s">
        <v>731</v>
      </c>
      <c r="AG914" s="23" t="s">
        <v>731</v>
      </c>
      <c r="AH914" s="23" t="s">
        <v>731</v>
      </c>
      <c r="AI914" s="23" t="s">
        <v>731</v>
      </c>
      <c r="AJ914" s="23" t="s">
        <v>731</v>
      </c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42">
        <v>15.45</v>
      </c>
      <c r="AW914" s="42"/>
      <c r="AY914" s="18"/>
      <c r="AZ914" s="18"/>
      <c r="BA914" s="18">
        <v>16</v>
      </c>
      <c r="BB914" s="45">
        <v>1</v>
      </c>
      <c r="BC914" s="44"/>
      <c r="BD914" s="44"/>
      <c r="BG914" s="18"/>
      <c r="BH914" s="18">
        <v>15</v>
      </c>
      <c r="BI914" s="18">
        <v>21</v>
      </c>
      <c r="BJ914" s="18">
        <v>21</v>
      </c>
      <c r="BK914" s="18">
        <v>20</v>
      </c>
      <c r="BL914" s="18">
        <v>21</v>
      </c>
      <c r="BM914" s="55">
        <f>SUM(AV914:AX914)+SUM(BC914:BD914)+SUM(BE914:BF914)+BG914</f>
        <v>15.45</v>
      </c>
      <c r="BN914" s="55"/>
      <c r="BO914" s="55"/>
      <c r="BP914" s="55"/>
      <c r="BQ914" s="55"/>
      <c r="BR914" s="55"/>
      <c r="BS914" s="55"/>
      <c r="BT914" s="55"/>
      <c r="BU914" s="55"/>
      <c r="BV914" s="55"/>
      <c r="BW914" s="55"/>
      <c r="BX914" s="55"/>
      <c r="BY914" s="55"/>
      <c r="BZ914" s="55"/>
    </row>
    <row r="915" spans="2:78" ht="33.75">
      <c r="B915" s="89">
        <v>899</v>
      </c>
      <c r="C915" s="93">
        <v>644</v>
      </c>
      <c r="D915" s="97">
        <v>660</v>
      </c>
      <c r="E915" s="94">
        <v>0.76388888888888884</v>
      </c>
      <c r="F915" s="105">
        <v>0.77500000000000002</v>
      </c>
      <c r="G915" s="93" t="s">
        <v>246</v>
      </c>
      <c r="H915" s="93" t="s">
        <v>245</v>
      </c>
      <c r="I915" s="96">
        <v>6.5</v>
      </c>
      <c r="J915" s="97" t="s">
        <v>167</v>
      </c>
      <c r="K915" s="98">
        <f>174-34</f>
        <v>140</v>
      </c>
      <c r="L915" s="109" t="s">
        <v>786</v>
      </c>
      <c r="M915" s="87" t="s">
        <v>958</v>
      </c>
      <c r="N915" s="87">
        <v>17</v>
      </c>
      <c r="O915" s="87" t="s">
        <v>1285</v>
      </c>
      <c r="P915" s="87">
        <v>17</v>
      </c>
      <c r="R915" s="87"/>
      <c r="S915" s="26">
        <v>6387</v>
      </c>
      <c r="T915" s="26" t="s">
        <v>1763</v>
      </c>
      <c r="U915" s="26">
        <v>6391</v>
      </c>
      <c r="V915" s="26" t="s">
        <v>1761</v>
      </c>
      <c r="W915" s="62">
        <v>44816</v>
      </c>
      <c r="X915" s="62">
        <v>45086</v>
      </c>
      <c r="Y915" s="62"/>
      <c r="Z915" s="62"/>
      <c r="AA915" s="23" t="s">
        <v>1157</v>
      </c>
      <c r="AB915" s="23"/>
      <c r="AC915" s="23"/>
      <c r="AD915" s="23"/>
      <c r="AE915" s="23" t="s">
        <v>731</v>
      </c>
      <c r="AF915" s="23" t="s">
        <v>731</v>
      </c>
      <c r="AG915" s="23"/>
      <c r="AH915" s="23" t="s">
        <v>731</v>
      </c>
      <c r="AI915" s="23" t="s">
        <v>731</v>
      </c>
      <c r="AJ915" s="23" t="s">
        <v>731</v>
      </c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42">
        <v>31.28</v>
      </c>
      <c r="AW915" s="42"/>
      <c r="AY915" s="18"/>
      <c r="AZ915" s="18"/>
      <c r="BA915" s="18">
        <v>17</v>
      </c>
      <c r="BB915" s="45">
        <v>1</v>
      </c>
      <c r="BC915" s="41">
        <f>IF(AND((AV915/I915)&lt;2,BB915=1),(I915*2)-AV915,0)</f>
        <v>0</v>
      </c>
      <c r="BD915" s="41">
        <f>IF(AND((AV915/I915)&lt;3,BB915=2),(I915*3)-AV915,0)</f>
        <v>0</v>
      </c>
      <c r="BG915" s="18"/>
      <c r="BH915" s="18">
        <v>12</v>
      </c>
      <c r="BI915" s="18">
        <v>16</v>
      </c>
      <c r="BJ915" s="18">
        <v>17</v>
      </c>
      <c r="BK915" s="18">
        <v>12</v>
      </c>
      <c r="BL915" s="18">
        <v>13</v>
      </c>
      <c r="BM915" s="55">
        <f>SUM(AV915:AX915)+SUM(BC915:BD915)+SUM(BE915:BF915)+BG915</f>
        <v>31.28</v>
      </c>
      <c r="BN915" s="55"/>
      <c r="BO915" s="55"/>
      <c r="BP915" s="55"/>
      <c r="BQ915" s="55"/>
      <c r="BR915" s="55"/>
      <c r="BS915" s="55"/>
      <c r="BT915" s="55"/>
      <c r="BU915" s="55"/>
      <c r="BV915" s="55"/>
      <c r="BW915" s="55"/>
      <c r="BX915" s="55"/>
      <c r="BY915" s="55"/>
      <c r="BZ915" s="55"/>
    </row>
    <row r="916" spans="2:78" ht="25.5">
      <c r="B916" s="89">
        <v>900</v>
      </c>
      <c r="C916" s="93">
        <v>645</v>
      </c>
      <c r="D916" s="97">
        <v>784</v>
      </c>
      <c r="E916" s="94">
        <v>0.2638888888888889</v>
      </c>
      <c r="F916" s="94">
        <v>0.2673611111111111</v>
      </c>
      <c r="G916" s="93" t="s">
        <v>698</v>
      </c>
      <c r="H916" s="93" t="s">
        <v>242</v>
      </c>
      <c r="I916" s="96">
        <v>2.5</v>
      </c>
      <c r="J916" s="97" t="s">
        <v>116</v>
      </c>
      <c r="K916" s="98">
        <v>34</v>
      </c>
      <c r="L916" s="109" t="s">
        <v>787</v>
      </c>
      <c r="M916" s="87" t="s">
        <v>909</v>
      </c>
      <c r="N916" s="87">
        <v>9</v>
      </c>
      <c r="O916" s="87" t="s">
        <v>1288</v>
      </c>
      <c r="P916" s="87">
        <v>8</v>
      </c>
      <c r="R916" s="87"/>
      <c r="S916" s="26">
        <v>6402</v>
      </c>
      <c r="T916" s="26" t="s">
        <v>1764</v>
      </c>
      <c r="U916" s="26" t="s">
        <v>1765</v>
      </c>
      <c r="V916" s="26" t="s">
        <v>1766</v>
      </c>
      <c r="W916" s="62">
        <v>44816</v>
      </c>
      <c r="X916" s="62">
        <v>45086</v>
      </c>
      <c r="Y916" s="62"/>
      <c r="Z916" s="62"/>
      <c r="AA916" s="23" t="s">
        <v>1111</v>
      </c>
      <c r="AB916" s="23"/>
      <c r="AC916" s="23"/>
      <c r="AD916" s="23"/>
      <c r="AE916" s="23" t="s">
        <v>731</v>
      </c>
      <c r="AF916" s="23"/>
      <c r="AG916" s="23"/>
      <c r="AH916" s="23"/>
      <c r="AI916" s="23"/>
      <c r="AJ916" s="23"/>
      <c r="AK916" s="23" t="s">
        <v>731</v>
      </c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42">
        <v>8.1999999999999993</v>
      </c>
      <c r="AW916" s="42"/>
      <c r="AY916" s="18"/>
      <c r="AZ916" s="18"/>
      <c r="BB916" s="45">
        <v>1</v>
      </c>
      <c r="BC916" s="41">
        <f>IF(AND((AV916/I916)&lt;2,BB916=1),(I916*2)-AV916,0)</f>
        <v>0</v>
      </c>
      <c r="BD916" s="41">
        <f>IF(AND((AV916/I916)&lt;3,BB916=2),(I916*3)-AV916,0)</f>
        <v>0</v>
      </c>
      <c r="BG916" s="41">
        <f>IF((AV916+AW916+AX916)&lt;20,(20-(AV916+AW916+AX916)),0)</f>
        <v>11.8</v>
      </c>
      <c r="BH916" s="18">
        <v>2</v>
      </c>
      <c r="BI916" s="18">
        <v>5</v>
      </c>
      <c r="BJ916" s="18">
        <v>4</v>
      </c>
      <c r="BK916" s="18">
        <v>3</v>
      </c>
      <c r="BL916" s="18">
        <v>3</v>
      </c>
      <c r="BM916" s="55">
        <f>SUM(AV916:AX916)+SUM(BC916:BD916)+SUM(BE916:BF916)+BG916</f>
        <v>20</v>
      </c>
      <c r="BN916" s="55"/>
      <c r="BO916" s="55"/>
      <c r="BP916" s="55"/>
      <c r="BQ916" s="55"/>
      <c r="BR916" s="55"/>
      <c r="BS916" s="55"/>
      <c r="BT916" s="55"/>
      <c r="BU916" s="55"/>
      <c r="BV916" s="55"/>
      <c r="BW916" s="55"/>
      <c r="BX916" s="55"/>
      <c r="BY916" s="55"/>
      <c r="BZ916" s="55"/>
    </row>
    <row r="917" spans="2:78" ht="25.5">
      <c r="B917" s="89">
        <v>901</v>
      </c>
      <c r="C917" s="93">
        <v>645</v>
      </c>
      <c r="D917" s="97">
        <v>639</v>
      </c>
      <c r="E917" s="94">
        <v>0.26805555555555555</v>
      </c>
      <c r="F917" s="94">
        <v>0.27083333333333331</v>
      </c>
      <c r="G917" s="93" t="s">
        <v>244</v>
      </c>
      <c r="H917" s="93" t="s">
        <v>242</v>
      </c>
      <c r="I917" s="96">
        <v>2.5</v>
      </c>
      <c r="J917" s="97" t="s">
        <v>116</v>
      </c>
      <c r="K917" s="98">
        <v>34</v>
      </c>
      <c r="L917" s="109" t="s">
        <v>787</v>
      </c>
      <c r="M917" s="87" t="s">
        <v>909</v>
      </c>
      <c r="N917" s="87">
        <v>9</v>
      </c>
      <c r="O917" s="87" t="s">
        <v>1288</v>
      </c>
      <c r="P917" s="87">
        <v>8</v>
      </c>
      <c r="R917" s="87"/>
      <c r="S917" s="26" t="s">
        <v>1765</v>
      </c>
      <c r="T917" s="26" t="s">
        <v>1766</v>
      </c>
      <c r="U917" s="26">
        <v>6402</v>
      </c>
      <c r="V917" s="26" t="s">
        <v>1764</v>
      </c>
      <c r="W917" s="62">
        <v>44816</v>
      </c>
      <c r="X917" s="62">
        <v>45086</v>
      </c>
      <c r="Y917" s="62"/>
      <c r="Z917" s="62"/>
      <c r="AA917" s="23" t="s">
        <v>1111</v>
      </c>
      <c r="AB917" s="23"/>
      <c r="AC917" s="23"/>
      <c r="AD917" s="23"/>
      <c r="AE917" s="23" t="s">
        <v>731</v>
      </c>
      <c r="AF917" s="23"/>
      <c r="AG917" s="23"/>
      <c r="AH917" s="23"/>
      <c r="AI917" s="23"/>
      <c r="AJ917" s="23"/>
      <c r="AK917" s="23" t="s">
        <v>731</v>
      </c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42">
        <v>8.1999999999999993</v>
      </c>
      <c r="AW917" s="42"/>
      <c r="AY917" s="18"/>
      <c r="AZ917" s="18"/>
      <c r="BB917" s="45">
        <v>1</v>
      </c>
      <c r="BC917" s="41">
        <f>IF(AND((AV917/I917)&lt;2,BB917=1),(I917*2)-AV917,0)</f>
        <v>0</v>
      </c>
      <c r="BD917" s="41">
        <f>IF(AND((AV917/I917)&lt;3,BB917=2),(I917*3)-AV917,0)</f>
        <v>0</v>
      </c>
      <c r="BG917" s="41">
        <f>IF((AV917+AW917+AX917)&lt;20,(20-(AV917+AW917+AX917)),0)</f>
        <v>11.8</v>
      </c>
      <c r="BH917" s="18">
        <v>2</v>
      </c>
      <c r="BI917" s="18">
        <v>5</v>
      </c>
      <c r="BJ917" s="18">
        <v>4</v>
      </c>
      <c r="BK917" s="18">
        <v>3</v>
      </c>
      <c r="BL917" s="18">
        <v>3</v>
      </c>
      <c r="BM917" s="55">
        <f>SUM(AV917:AX917)+SUM(BC917:BD917)+SUM(BE917:BF917)+BG917</f>
        <v>20</v>
      </c>
      <c r="BN917" s="55"/>
      <c r="BO917" s="55"/>
      <c r="BP917" s="55"/>
      <c r="BQ917" s="55"/>
      <c r="BR917" s="55"/>
      <c r="BS917" s="55"/>
      <c r="BT917" s="55"/>
      <c r="BU917" s="55"/>
      <c r="BV917" s="55"/>
      <c r="BW917" s="55"/>
      <c r="BX917" s="55"/>
      <c r="BY917" s="55"/>
      <c r="BZ917" s="55"/>
    </row>
    <row r="918" spans="2:78" ht="25.5">
      <c r="B918" s="89">
        <v>902</v>
      </c>
      <c r="C918" s="93">
        <v>645</v>
      </c>
      <c r="D918" s="97">
        <v>784</v>
      </c>
      <c r="E918" s="94">
        <v>0.27083333333333331</v>
      </c>
      <c r="F918" s="94">
        <v>0.27430555555555552</v>
      </c>
      <c r="G918" s="93" t="s">
        <v>698</v>
      </c>
      <c r="H918" s="93" t="s">
        <v>103</v>
      </c>
      <c r="I918" s="96">
        <v>2.5</v>
      </c>
      <c r="J918" s="97" t="s">
        <v>116</v>
      </c>
      <c r="K918" s="98">
        <v>174</v>
      </c>
      <c r="L918" s="109" t="s">
        <v>787</v>
      </c>
      <c r="M918" s="87" t="s">
        <v>909</v>
      </c>
      <c r="N918" s="87">
        <v>9</v>
      </c>
      <c r="O918" s="87" t="s">
        <v>1288</v>
      </c>
      <c r="P918" s="87">
        <v>8</v>
      </c>
      <c r="R918" s="87"/>
      <c r="S918" s="26">
        <v>6402</v>
      </c>
      <c r="T918" s="26" t="s">
        <v>1764</v>
      </c>
      <c r="U918" s="26" t="s">
        <v>1765</v>
      </c>
      <c r="V918" s="26" t="s">
        <v>1766</v>
      </c>
      <c r="W918" s="62">
        <v>44816</v>
      </c>
      <c r="X918" s="62">
        <v>45086</v>
      </c>
      <c r="Y918" s="62"/>
      <c r="Z918" s="62"/>
      <c r="AA918" s="22" t="s">
        <v>1102</v>
      </c>
      <c r="AB918" s="23"/>
      <c r="AC918" s="23"/>
      <c r="AD918" s="23"/>
      <c r="AE918" s="23" t="s">
        <v>731</v>
      </c>
      <c r="AF918" s="23" t="s">
        <v>731</v>
      </c>
      <c r="AG918" s="23" t="s">
        <v>731</v>
      </c>
      <c r="AH918" s="23" t="s">
        <v>731</v>
      </c>
      <c r="AI918" s="23" t="s">
        <v>731</v>
      </c>
      <c r="AJ918" s="23" t="s">
        <v>731</v>
      </c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42">
        <v>8.1999999999999993</v>
      </c>
      <c r="AW918" s="42"/>
      <c r="AY918" s="18"/>
      <c r="AZ918" s="18"/>
      <c r="BB918" s="45">
        <v>1</v>
      </c>
      <c r="BC918" s="41">
        <f>IF(AND((AV918/I918)&lt;2,BB918=1),(I918*2)-AV918,0)</f>
        <v>0</v>
      </c>
      <c r="BD918" s="41">
        <f>IF(AND((AV918/I918)&lt;3,BB918=2),(I918*3)-AV918,0)</f>
        <v>0</v>
      </c>
      <c r="BG918" s="41">
        <f>IF((AV918+AW918+AX918)&lt;20,(20-(AV918+AW918+AX918)),0)</f>
        <v>11.8</v>
      </c>
      <c r="BH918" s="18">
        <v>15</v>
      </c>
      <c r="BI918" s="18">
        <v>20</v>
      </c>
      <c r="BJ918" s="18">
        <v>21</v>
      </c>
      <c r="BK918" s="18">
        <v>15</v>
      </c>
      <c r="BL918" s="18">
        <v>17</v>
      </c>
      <c r="BM918" s="55">
        <f>SUM(AV918:AX918)+SUM(BC918:BD918)+SUM(BE918:BF918)+BG918</f>
        <v>20</v>
      </c>
      <c r="BN918" s="55"/>
      <c r="BO918" s="55"/>
      <c r="BP918" s="55"/>
      <c r="BQ918" s="55"/>
      <c r="BR918" s="55"/>
      <c r="BS918" s="55"/>
      <c r="BT918" s="55"/>
      <c r="BU918" s="55"/>
      <c r="BV918" s="55"/>
      <c r="BW918" s="55"/>
      <c r="BX918" s="55"/>
      <c r="BY918" s="55"/>
      <c r="BZ918" s="55"/>
    </row>
    <row r="919" spans="2:78" ht="25.5">
      <c r="B919" s="89">
        <v>903</v>
      </c>
      <c r="C919" s="93">
        <v>645</v>
      </c>
      <c r="D919" s="97">
        <v>639</v>
      </c>
      <c r="E919" s="94">
        <v>0.27430555555555552</v>
      </c>
      <c r="F919" s="94">
        <v>0.27777777777777779</v>
      </c>
      <c r="G919" s="93" t="s">
        <v>244</v>
      </c>
      <c r="H919" s="93" t="s">
        <v>103</v>
      </c>
      <c r="I919" s="96">
        <v>2.5</v>
      </c>
      <c r="J919" s="97" t="s">
        <v>116</v>
      </c>
      <c r="K919" s="98">
        <v>174</v>
      </c>
      <c r="L919" s="109" t="s">
        <v>787</v>
      </c>
      <c r="M919" s="87" t="s">
        <v>909</v>
      </c>
      <c r="N919" s="87">
        <v>9</v>
      </c>
      <c r="O919" s="87" t="s">
        <v>1288</v>
      </c>
      <c r="P919" s="87">
        <v>8</v>
      </c>
      <c r="R919" s="87"/>
      <c r="S919" s="26" t="s">
        <v>1765</v>
      </c>
      <c r="T919" s="26" t="s">
        <v>1766</v>
      </c>
      <c r="U919" s="26">
        <v>6402</v>
      </c>
      <c r="V919" s="26" t="s">
        <v>1764</v>
      </c>
      <c r="W919" s="62">
        <v>44816</v>
      </c>
      <c r="X919" s="62">
        <v>45086</v>
      </c>
      <c r="Y919" s="62"/>
      <c r="Z919" s="62"/>
      <c r="AA919" s="22" t="s">
        <v>1102</v>
      </c>
      <c r="AB919" s="23"/>
      <c r="AC919" s="23"/>
      <c r="AD919" s="23"/>
      <c r="AE919" s="23" t="s">
        <v>731</v>
      </c>
      <c r="AF919" s="23" t="s">
        <v>731</v>
      </c>
      <c r="AG919" s="23" t="s">
        <v>731</v>
      </c>
      <c r="AH919" s="23" t="s">
        <v>731</v>
      </c>
      <c r="AI919" s="23" t="s">
        <v>731</v>
      </c>
      <c r="AJ919" s="23" t="s">
        <v>731</v>
      </c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42">
        <v>8.1999999999999993</v>
      </c>
      <c r="AW919" s="42"/>
      <c r="AY919" s="18"/>
      <c r="AZ919" s="18"/>
      <c r="BB919" s="45">
        <v>1</v>
      </c>
      <c r="BC919" s="41">
        <f>IF(AND((AV919/I919)&lt;2,BB919=1),(I919*2)-AV919,0)</f>
        <v>0</v>
      </c>
      <c r="BD919" s="41">
        <f>IF(AND((AV919/I919)&lt;3,BB919=2),(I919*3)-AV919,0)</f>
        <v>0</v>
      </c>
      <c r="BG919" s="41">
        <f>IF((AV919+AW919+AX919)&lt;20,(20-(AV919+AW919+AX919)),0)</f>
        <v>11.8</v>
      </c>
      <c r="BH919" s="18">
        <v>15</v>
      </c>
      <c r="BI919" s="18">
        <v>20</v>
      </c>
      <c r="BJ919" s="18">
        <v>21</v>
      </c>
      <c r="BK919" s="18">
        <v>15</v>
      </c>
      <c r="BL919" s="18">
        <v>17</v>
      </c>
      <c r="BM919" s="55">
        <f>SUM(AV919:AX919)+SUM(BC919:BD919)+SUM(BE919:BF919)+BG919</f>
        <v>20</v>
      </c>
      <c r="BN919" s="55"/>
      <c r="BO919" s="55"/>
      <c r="BP919" s="55"/>
      <c r="BQ919" s="55"/>
      <c r="BR919" s="55"/>
      <c r="BS919" s="55"/>
      <c r="BT919" s="55"/>
      <c r="BU919" s="55"/>
      <c r="BV919" s="55"/>
      <c r="BW919" s="55"/>
      <c r="BX919" s="55"/>
      <c r="BY919" s="55"/>
      <c r="BZ919" s="55"/>
    </row>
    <row r="920" spans="2:78" ht="25.5">
      <c r="B920" s="89">
        <v>904</v>
      </c>
      <c r="C920" s="93">
        <v>645</v>
      </c>
      <c r="D920" s="97">
        <v>639</v>
      </c>
      <c r="E920" s="94">
        <v>0.27430555555555552</v>
      </c>
      <c r="F920" s="94">
        <v>0.27638888888888885</v>
      </c>
      <c r="G920" s="93" t="s">
        <v>243</v>
      </c>
      <c r="H920" s="93" t="s">
        <v>242</v>
      </c>
      <c r="I920" s="96">
        <v>1.5</v>
      </c>
      <c r="J920" s="97" t="s">
        <v>116</v>
      </c>
      <c r="K920" s="98">
        <v>34</v>
      </c>
      <c r="L920" s="109" t="s">
        <v>787</v>
      </c>
      <c r="M920" s="87" t="s">
        <v>909</v>
      </c>
      <c r="N920" s="87">
        <v>9</v>
      </c>
      <c r="O920" s="87" t="s">
        <v>1288</v>
      </c>
      <c r="P920" s="87">
        <v>8</v>
      </c>
      <c r="R920" s="87"/>
      <c r="S920" s="26" t="s">
        <v>1767</v>
      </c>
      <c r="T920" s="26" t="s">
        <v>1768</v>
      </c>
      <c r="U920" s="26">
        <v>6402</v>
      </c>
      <c r="V920" s="26" t="s">
        <v>1764</v>
      </c>
      <c r="W920" s="62">
        <v>44816</v>
      </c>
      <c r="X920" s="62">
        <v>45086</v>
      </c>
      <c r="Y920" s="62"/>
      <c r="Z920" s="62"/>
      <c r="AA920" s="23" t="s">
        <v>1111</v>
      </c>
      <c r="AB920" s="23"/>
      <c r="AC920" s="23"/>
      <c r="AD920" s="23"/>
      <c r="AE920" s="23" t="s">
        <v>731</v>
      </c>
      <c r="AF920" s="23"/>
      <c r="AG920" s="23"/>
      <c r="AH920" s="23"/>
      <c r="AI920" s="23"/>
      <c r="AJ920" s="23"/>
      <c r="AK920" s="23" t="s">
        <v>731</v>
      </c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42">
        <v>10</v>
      </c>
      <c r="AW920" s="42"/>
      <c r="AY920" s="18"/>
      <c r="AZ920" s="18"/>
      <c r="BB920" s="45">
        <v>1</v>
      </c>
      <c r="BC920" s="41">
        <f>IF(AND((AV920/I920)&lt;2,BB920=1),(I920*2)-AV920,0)</f>
        <v>0</v>
      </c>
      <c r="BD920" s="41">
        <f>IF(AND((AV920/I920)&lt;3,BB920=2),(I920*3)-AV920,0)</f>
        <v>0</v>
      </c>
      <c r="BG920" s="41">
        <f>IF((AV920+AW920+AX920)&lt;20,(20-(AV920+AW920+AX920)),0)</f>
        <v>10</v>
      </c>
      <c r="BH920" s="18">
        <v>2</v>
      </c>
      <c r="BI920" s="18">
        <v>5</v>
      </c>
      <c r="BJ920" s="18">
        <v>4</v>
      </c>
      <c r="BK920" s="18">
        <v>3</v>
      </c>
      <c r="BL920" s="18">
        <v>3</v>
      </c>
      <c r="BM920" s="55">
        <f>SUM(AV920:AX920)+SUM(BC920:BD920)+SUM(BE920:BF920)+BG920</f>
        <v>20</v>
      </c>
      <c r="BN920" s="55"/>
      <c r="BO920" s="55"/>
      <c r="BP920" s="55"/>
      <c r="BQ920" s="55"/>
      <c r="BR920" s="55"/>
      <c r="BS920" s="55"/>
      <c r="BT920" s="55"/>
      <c r="BU920" s="55"/>
      <c r="BV920" s="55"/>
      <c r="BW920" s="55"/>
      <c r="BX920" s="55"/>
      <c r="BY920" s="55"/>
      <c r="BZ920" s="55"/>
    </row>
    <row r="921" spans="2:78" ht="33.75">
      <c r="B921" s="89">
        <v>905</v>
      </c>
      <c r="C921" s="93">
        <v>645</v>
      </c>
      <c r="D921" s="93">
        <v>418</v>
      </c>
      <c r="E921" s="94">
        <v>0.28819444444444448</v>
      </c>
      <c r="F921" s="94">
        <v>0.2902777777777778</v>
      </c>
      <c r="G921" s="93" t="s">
        <v>480</v>
      </c>
      <c r="H921" s="93" t="s">
        <v>97</v>
      </c>
      <c r="I921" s="96">
        <v>2</v>
      </c>
      <c r="J921" s="97" t="s">
        <v>167</v>
      </c>
      <c r="K921" s="98">
        <v>208</v>
      </c>
      <c r="L921" s="109" t="s">
        <v>783</v>
      </c>
      <c r="M921" s="87" t="s">
        <v>927</v>
      </c>
      <c r="N921" s="87">
        <v>9</v>
      </c>
      <c r="O921" s="87" t="s">
        <v>926</v>
      </c>
      <c r="P921" s="87">
        <v>17</v>
      </c>
      <c r="Q921" s="87" t="s">
        <v>928</v>
      </c>
      <c r="R921" s="84">
        <v>7</v>
      </c>
      <c r="S921" s="26" t="s">
        <v>1769</v>
      </c>
      <c r="T921" s="26" t="s">
        <v>1770</v>
      </c>
      <c r="U921" s="26">
        <v>6350</v>
      </c>
      <c r="V921" s="26" t="s">
        <v>1771</v>
      </c>
      <c r="W921" s="62">
        <v>44816</v>
      </c>
      <c r="X921" s="62">
        <v>45086</v>
      </c>
      <c r="Y921" s="62"/>
      <c r="Z921" s="62"/>
      <c r="AA921" s="22" t="s">
        <v>1106</v>
      </c>
      <c r="AB921" s="23"/>
      <c r="AC921" s="23"/>
      <c r="AD921" s="23"/>
      <c r="AE921" s="23" t="s">
        <v>731</v>
      </c>
      <c r="AF921" s="23" t="s">
        <v>731</v>
      </c>
      <c r="AG921" s="23" t="s">
        <v>731</v>
      </c>
      <c r="AH921" s="23" t="s">
        <v>731</v>
      </c>
      <c r="AI921" s="23" t="s">
        <v>731</v>
      </c>
      <c r="AJ921" s="23" t="s">
        <v>731</v>
      </c>
      <c r="AK921" s="23" t="s">
        <v>731</v>
      </c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42">
        <v>10</v>
      </c>
      <c r="AW921" s="42"/>
      <c r="AY921" s="18"/>
      <c r="AZ921" s="18"/>
      <c r="BB921" s="45">
        <v>1</v>
      </c>
      <c r="BC921" s="41">
        <f>IF(AND((AV921/I921)&lt;2,BB921=1),(I921*2)-AV921,0)</f>
        <v>0</v>
      </c>
      <c r="BD921" s="41">
        <f>IF(AND((AV921/I921)&lt;3,BB921=2),(I921*3)-AV921,0)</f>
        <v>0</v>
      </c>
      <c r="BG921" s="41">
        <f>IF((AV921+AW921+AX921)&lt;20,(20-(AV921+AW921+AX921)),0)</f>
        <v>10</v>
      </c>
      <c r="BH921" s="18">
        <v>17</v>
      </c>
      <c r="BI921" s="18">
        <v>25</v>
      </c>
      <c r="BJ921" s="18">
        <v>25</v>
      </c>
      <c r="BK921" s="18">
        <v>18</v>
      </c>
      <c r="BL921" s="18">
        <v>20</v>
      </c>
      <c r="BM921" s="55">
        <f>SUM(AV921:AX921)+SUM(BC921:BD921)+SUM(BE921:BF921)+BG921</f>
        <v>20</v>
      </c>
      <c r="BN921" s="55"/>
      <c r="BO921" s="55"/>
      <c r="BP921" s="55"/>
      <c r="BQ921" s="55"/>
      <c r="BR921" s="55"/>
      <c r="BS921" s="55"/>
      <c r="BT921" s="55"/>
      <c r="BU921" s="55"/>
      <c r="BV921" s="55"/>
      <c r="BW921" s="55"/>
      <c r="BX921" s="55"/>
      <c r="BY921" s="55"/>
      <c r="BZ921" s="55"/>
    </row>
    <row r="922" spans="2:78" ht="45">
      <c r="B922" s="89">
        <v>906</v>
      </c>
      <c r="C922" s="93">
        <v>645</v>
      </c>
      <c r="D922" s="93">
        <v>43</v>
      </c>
      <c r="E922" s="94">
        <v>0.3611111111111111</v>
      </c>
      <c r="F922" s="94">
        <v>0.36805555555555558</v>
      </c>
      <c r="G922" s="93" t="s">
        <v>575</v>
      </c>
      <c r="H922" s="93" t="s">
        <v>576</v>
      </c>
      <c r="I922" s="96">
        <v>6</v>
      </c>
      <c r="J922" s="127">
        <v>23</v>
      </c>
      <c r="K922" s="98">
        <v>4</v>
      </c>
      <c r="L922" s="99" t="s">
        <v>1204</v>
      </c>
      <c r="M922" s="87" t="s">
        <v>953</v>
      </c>
      <c r="N922" s="87">
        <v>24</v>
      </c>
      <c r="O922" s="87" t="s">
        <v>954</v>
      </c>
      <c r="P922" s="87">
        <v>21</v>
      </c>
      <c r="R922" s="87"/>
      <c r="S922" s="26" t="s">
        <v>1772</v>
      </c>
      <c r="T922" s="26" t="s">
        <v>1773</v>
      </c>
      <c r="U922" s="26">
        <v>6300</v>
      </c>
      <c r="V922" s="26" t="s">
        <v>1358</v>
      </c>
      <c r="W922" s="63">
        <v>44562</v>
      </c>
      <c r="X922" s="63">
        <v>44815</v>
      </c>
      <c r="Y922" s="63">
        <v>45101</v>
      </c>
      <c r="Z922" s="63">
        <v>45169</v>
      </c>
      <c r="AA922" s="23" t="s">
        <v>1158</v>
      </c>
      <c r="AB922" s="23"/>
      <c r="AC922" s="23" t="s">
        <v>731</v>
      </c>
      <c r="AD922" s="23" t="s">
        <v>731</v>
      </c>
      <c r="AE922" s="23"/>
      <c r="AF922" s="23"/>
      <c r="AG922" s="23"/>
      <c r="AH922" s="23" t="s">
        <v>731</v>
      </c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42">
        <v>18</v>
      </c>
      <c r="AW922" s="42"/>
      <c r="AY922" s="18"/>
      <c r="AZ922" s="18"/>
      <c r="BB922" s="45">
        <v>1</v>
      </c>
      <c r="BC922" s="41">
        <f>IF(AND((AV922/I922)&lt;2,BB922=1),(I922*2)-AV922,0)</f>
        <v>0</v>
      </c>
      <c r="BD922" s="41">
        <f>IF(AND((AV922/I922)&lt;3,BB922=2),(I922*3)-AV922,0)</f>
        <v>0</v>
      </c>
      <c r="BG922" s="18"/>
      <c r="BH922" s="18">
        <v>0</v>
      </c>
      <c r="BI922" s="18">
        <v>0</v>
      </c>
      <c r="BJ922" s="18">
        <v>0</v>
      </c>
      <c r="BK922" s="18">
        <v>0</v>
      </c>
      <c r="BL922" s="18">
        <v>0</v>
      </c>
      <c r="BM922" s="55">
        <f>SUM(AV922:AX922)+SUM(BC922:BD922)+SUM(BE922:BF922)+BG922</f>
        <v>18</v>
      </c>
      <c r="BN922" s="55"/>
      <c r="BO922" s="55"/>
      <c r="BP922" s="55"/>
      <c r="BQ922" s="55"/>
      <c r="BR922" s="55"/>
      <c r="BS922" s="55"/>
      <c r="BT922" s="55"/>
      <c r="BU922" s="55"/>
      <c r="BV922" s="55"/>
      <c r="BW922" s="55"/>
      <c r="BX922" s="55"/>
      <c r="BY922" s="55"/>
      <c r="BZ922" s="55"/>
    </row>
    <row r="923" spans="2:78" ht="38.25">
      <c r="B923" s="89">
        <v>907</v>
      </c>
      <c r="C923" s="93">
        <v>645</v>
      </c>
      <c r="D923" s="97">
        <v>739</v>
      </c>
      <c r="E923" s="94">
        <v>0.3611111111111111</v>
      </c>
      <c r="F923" s="94">
        <v>0.375</v>
      </c>
      <c r="G923" s="93" t="s">
        <v>241</v>
      </c>
      <c r="H923" s="93" t="s">
        <v>239</v>
      </c>
      <c r="I923" s="96">
        <v>9</v>
      </c>
      <c r="J923" s="97" t="s">
        <v>93</v>
      </c>
      <c r="K923" s="98">
        <v>104</v>
      </c>
      <c r="L923" s="109" t="s">
        <v>787</v>
      </c>
      <c r="M923" s="87" t="s">
        <v>910</v>
      </c>
      <c r="N923" s="87">
        <v>23</v>
      </c>
      <c r="O923" s="87" t="s">
        <v>911</v>
      </c>
      <c r="P923" s="87">
        <v>21</v>
      </c>
      <c r="Q923" s="87"/>
      <c r="R923" s="87"/>
      <c r="S923" s="26" t="s">
        <v>1774</v>
      </c>
      <c r="T923" s="26" t="s">
        <v>1775</v>
      </c>
      <c r="U923" s="26">
        <v>6405</v>
      </c>
      <c r="V923" s="26" t="s">
        <v>1776</v>
      </c>
      <c r="W923" s="62">
        <v>44805</v>
      </c>
      <c r="X923" s="62">
        <v>45169</v>
      </c>
      <c r="Y923" s="62"/>
      <c r="Z923" s="62"/>
      <c r="AA923" s="24" t="s">
        <v>1159</v>
      </c>
      <c r="AB923" s="23" t="s">
        <v>731</v>
      </c>
      <c r="AC923" s="23" t="s">
        <v>731</v>
      </c>
      <c r="AD923" s="23" t="s">
        <v>731</v>
      </c>
      <c r="AE923" s="23"/>
      <c r="AF923" s="23"/>
      <c r="AG923" s="23" t="s">
        <v>731</v>
      </c>
      <c r="AH923" s="23"/>
      <c r="AI923" s="23"/>
      <c r="AJ923" s="23" t="s">
        <v>731</v>
      </c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42">
        <v>50.17</v>
      </c>
      <c r="AW923" s="42"/>
      <c r="AY923" s="18"/>
      <c r="AZ923" s="18"/>
      <c r="BB923" s="45">
        <v>1</v>
      </c>
      <c r="BC923" s="41">
        <f>IF(AND((AV923/I923)&lt;2,BB923=1),(I923*2)-AV923,0)</f>
        <v>0</v>
      </c>
      <c r="BD923" s="41">
        <f>IF(AND((AV923/I923)&lt;3,BB923=2),(I923*3)-AV923,0)</f>
        <v>0</v>
      </c>
      <c r="BG923" s="18"/>
      <c r="BH923" s="18">
        <v>9</v>
      </c>
      <c r="BI923" s="18">
        <v>8</v>
      </c>
      <c r="BJ923" s="18">
        <v>8</v>
      </c>
      <c r="BK923" s="18">
        <v>9</v>
      </c>
      <c r="BL923" s="18">
        <v>8</v>
      </c>
      <c r="BM923" s="55">
        <f>SUM(AV923:AX923)+SUM(BC923:BD923)+SUM(BE923:BF923)+BG923</f>
        <v>50.17</v>
      </c>
      <c r="BN923" s="55"/>
      <c r="BO923" s="55"/>
      <c r="BP923" s="55"/>
      <c r="BQ923" s="55"/>
      <c r="BR923" s="55"/>
      <c r="BS923" s="55"/>
      <c r="BT923" s="55"/>
      <c r="BU923" s="55"/>
      <c r="BV923" s="55"/>
      <c r="BW923" s="55"/>
      <c r="BX923" s="55"/>
      <c r="BY923" s="55"/>
      <c r="BZ923" s="55"/>
    </row>
    <row r="924" spans="2:78" ht="38.25">
      <c r="B924" s="89">
        <v>908</v>
      </c>
      <c r="C924" s="93">
        <v>645</v>
      </c>
      <c r="D924" s="95">
        <v>741</v>
      </c>
      <c r="E924" s="94">
        <v>0.45833333333333331</v>
      </c>
      <c r="F924" s="94">
        <v>0.47222222222222227</v>
      </c>
      <c r="G924" s="93" t="s">
        <v>240</v>
      </c>
      <c r="H924" s="93" t="s">
        <v>239</v>
      </c>
      <c r="I924" s="96">
        <v>9</v>
      </c>
      <c r="J924" s="97" t="s">
        <v>93</v>
      </c>
      <c r="K924" s="98">
        <v>104</v>
      </c>
      <c r="L924" s="109" t="s">
        <v>787</v>
      </c>
      <c r="M924" s="87" t="s">
        <v>910</v>
      </c>
      <c r="N924" s="87">
        <v>23</v>
      </c>
      <c r="O924" s="87" t="s">
        <v>911</v>
      </c>
      <c r="P924" s="87">
        <v>21</v>
      </c>
      <c r="Q924" s="87"/>
      <c r="R924" s="87"/>
      <c r="S924" s="26">
        <v>6405</v>
      </c>
      <c r="T924" s="26" t="s">
        <v>1776</v>
      </c>
      <c r="U924" s="26" t="s">
        <v>1765</v>
      </c>
      <c r="V924" s="26" t="s">
        <v>1766</v>
      </c>
      <c r="W924" s="62">
        <v>44805</v>
      </c>
      <c r="X924" s="62">
        <v>45169</v>
      </c>
      <c r="Y924" s="62"/>
      <c r="Z924" s="62"/>
      <c r="AA924" s="24" t="s">
        <v>1159</v>
      </c>
      <c r="AB924" s="23" t="s">
        <v>731</v>
      </c>
      <c r="AC924" s="23" t="s">
        <v>731</v>
      </c>
      <c r="AD924" s="23" t="s">
        <v>731</v>
      </c>
      <c r="AE924" s="23"/>
      <c r="AF924" s="23"/>
      <c r="AG924" s="23" t="s">
        <v>731</v>
      </c>
      <c r="AH924" s="23"/>
      <c r="AI924" s="23"/>
      <c r="AJ924" s="23" t="s">
        <v>731</v>
      </c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42">
        <v>50.17</v>
      </c>
      <c r="AW924" s="42"/>
      <c r="AY924" s="18"/>
      <c r="AZ924" s="18"/>
      <c r="BB924" s="45">
        <v>1</v>
      </c>
      <c r="BC924" s="41">
        <f>IF(AND((AV924/I924)&lt;2,BB924=1),(I924*2)-AV924,0)</f>
        <v>0</v>
      </c>
      <c r="BD924" s="41">
        <f>IF(AND((AV924/I924)&lt;3,BB924=2),(I924*3)-AV924,0)</f>
        <v>0</v>
      </c>
      <c r="BG924" s="18"/>
      <c r="BH924" s="18">
        <v>9</v>
      </c>
      <c r="BI924" s="18">
        <v>8</v>
      </c>
      <c r="BJ924" s="18">
        <v>8</v>
      </c>
      <c r="BK924" s="18">
        <v>9</v>
      </c>
      <c r="BL924" s="18">
        <v>8</v>
      </c>
      <c r="BM924" s="55">
        <f>SUM(AV924:AX924)+SUM(BC924:BD924)+SUM(BE924:BF924)+BG924</f>
        <v>50.17</v>
      </c>
      <c r="BN924" s="55"/>
      <c r="BO924" s="55"/>
      <c r="BP924" s="55"/>
      <c r="BQ924" s="55"/>
      <c r="BR924" s="55"/>
      <c r="BS924" s="55"/>
      <c r="BT924" s="55"/>
      <c r="BU924" s="55"/>
      <c r="BV924" s="55"/>
      <c r="BW924" s="55"/>
      <c r="BX924" s="55"/>
      <c r="BY924" s="55"/>
      <c r="BZ924" s="55"/>
    </row>
    <row r="925" spans="2:78" ht="45">
      <c r="B925" s="89">
        <v>909</v>
      </c>
      <c r="C925" s="93">
        <v>645</v>
      </c>
      <c r="D925" s="93">
        <v>44</v>
      </c>
      <c r="E925" s="105">
        <v>0.51388888888888895</v>
      </c>
      <c r="F925" s="105">
        <v>0.52083333333333337</v>
      </c>
      <c r="G925" s="93" t="s">
        <v>577</v>
      </c>
      <c r="H925" s="93" t="s">
        <v>576</v>
      </c>
      <c r="I925" s="96">
        <v>6</v>
      </c>
      <c r="J925" s="127">
        <v>23</v>
      </c>
      <c r="K925" s="98">
        <v>4</v>
      </c>
      <c r="L925" s="99" t="s">
        <v>1204</v>
      </c>
      <c r="M925" s="87" t="s">
        <v>953</v>
      </c>
      <c r="N925" s="87">
        <v>24</v>
      </c>
      <c r="O925" s="87" t="s">
        <v>954</v>
      </c>
      <c r="P925" s="87">
        <v>21</v>
      </c>
      <c r="R925" s="87"/>
      <c r="S925" s="26">
        <v>6300</v>
      </c>
      <c r="T925" s="26" t="s">
        <v>1358</v>
      </c>
      <c r="U925" s="26" t="s">
        <v>1772</v>
      </c>
      <c r="V925" s="26" t="s">
        <v>1773</v>
      </c>
      <c r="W925" s="63">
        <v>44562</v>
      </c>
      <c r="X925" s="63">
        <v>44815</v>
      </c>
      <c r="Y925" s="63">
        <v>45101</v>
      </c>
      <c r="Z925" s="63">
        <v>45169</v>
      </c>
      <c r="AA925" s="23" t="s">
        <v>1158</v>
      </c>
      <c r="AB925" s="23"/>
      <c r="AC925" s="23" t="s">
        <v>731</v>
      </c>
      <c r="AD925" s="23" t="s">
        <v>731</v>
      </c>
      <c r="AE925" s="23"/>
      <c r="AF925" s="23"/>
      <c r="AG925" s="23"/>
      <c r="AH925" s="23" t="s">
        <v>731</v>
      </c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42">
        <v>18</v>
      </c>
      <c r="AW925" s="42"/>
      <c r="AY925" s="18"/>
      <c r="AZ925" s="18"/>
      <c r="BB925" s="45">
        <v>1</v>
      </c>
      <c r="BC925" s="41">
        <f>IF(AND((AV925/I925)&lt;2,BB925=1),(I925*2)-AV925,0)</f>
        <v>0</v>
      </c>
      <c r="BD925" s="41">
        <f>IF(AND((AV925/I925)&lt;3,BB925=2),(I925*3)-AV925,0)</f>
        <v>0</v>
      </c>
      <c r="BG925" s="18"/>
      <c r="BH925" s="18">
        <v>0</v>
      </c>
      <c r="BI925" s="18">
        <v>0</v>
      </c>
      <c r="BJ925" s="18">
        <v>0</v>
      </c>
      <c r="BK925" s="18">
        <v>0</v>
      </c>
      <c r="BL925" s="18">
        <v>0</v>
      </c>
      <c r="BM925" s="55">
        <f>SUM(AV925:AX925)+SUM(BC925:BD925)+SUM(BE925:BF925)+BG925</f>
        <v>18</v>
      </c>
      <c r="BN925" s="55"/>
      <c r="BO925" s="55"/>
      <c r="BP925" s="55"/>
      <c r="BQ925" s="55"/>
      <c r="BR925" s="55"/>
      <c r="BS925" s="55"/>
      <c r="BT925" s="55"/>
      <c r="BU925" s="55"/>
      <c r="BV925" s="55"/>
      <c r="BW925" s="55"/>
      <c r="BX925" s="55"/>
      <c r="BY925" s="55"/>
      <c r="BZ925" s="55"/>
    </row>
    <row r="926" spans="2:78" ht="25.5">
      <c r="B926" s="89">
        <v>910</v>
      </c>
      <c r="C926" s="93">
        <v>645</v>
      </c>
      <c r="D926" s="95">
        <v>786</v>
      </c>
      <c r="E926" s="94">
        <v>0.54583333333333328</v>
      </c>
      <c r="F926" s="94">
        <v>0.54722222222222217</v>
      </c>
      <c r="G926" s="93" t="s">
        <v>437</v>
      </c>
      <c r="H926" s="93" t="s">
        <v>97</v>
      </c>
      <c r="I926" s="96">
        <v>3</v>
      </c>
      <c r="J926" s="97" t="s">
        <v>93</v>
      </c>
      <c r="K926" s="98">
        <v>208</v>
      </c>
      <c r="L926" s="109" t="s">
        <v>787</v>
      </c>
      <c r="M926" s="87" t="s">
        <v>1029</v>
      </c>
      <c r="N926" s="87">
        <v>21</v>
      </c>
      <c r="O926" s="87" t="s">
        <v>1289</v>
      </c>
      <c r="P926" s="87">
        <v>23</v>
      </c>
      <c r="Q926" s="87"/>
      <c r="R926" s="87"/>
      <c r="S926" s="26">
        <v>6403</v>
      </c>
      <c r="T926" s="26" t="s">
        <v>1777</v>
      </c>
      <c r="U926" s="26">
        <v>6403</v>
      </c>
      <c r="V926" s="26" t="s">
        <v>1777</v>
      </c>
      <c r="W926" s="62">
        <v>44816</v>
      </c>
      <c r="X926" s="62">
        <v>45086</v>
      </c>
      <c r="Y926" s="62"/>
      <c r="Z926" s="62"/>
      <c r="AA926" s="22" t="s">
        <v>1106</v>
      </c>
      <c r="AB926" s="23"/>
      <c r="AC926" s="23"/>
      <c r="AD926" s="23"/>
      <c r="AE926" s="23" t="s">
        <v>731</v>
      </c>
      <c r="AF926" s="23" t="s">
        <v>731</v>
      </c>
      <c r="AG926" s="23" t="s">
        <v>731</v>
      </c>
      <c r="AH926" s="23" t="s">
        <v>731</v>
      </c>
      <c r="AI926" s="23" t="s">
        <v>731</v>
      </c>
      <c r="AJ926" s="23" t="s">
        <v>731</v>
      </c>
      <c r="AK926" s="23" t="s">
        <v>731</v>
      </c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42">
        <v>9</v>
      </c>
      <c r="AW926" s="42"/>
      <c r="AY926" s="18"/>
      <c r="AZ926" s="18"/>
      <c r="BB926" s="45">
        <v>1</v>
      </c>
      <c r="BC926" s="41">
        <f>IF(AND((AV926/I926)&lt;2,BB926=1),(I926*2)-AV926,0)</f>
        <v>0</v>
      </c>
      <c r="BD926" s="41">
        <f>IF(AND((AV926/I926)&lt;3,BB926=2),(I926*3)-AV926,0)</f>
        <v>0</v>
      </c>
      <c r="BG926" s="18"/>
      <c r="BH926" s="18">
        <v>17</v>
      </c>
      <c r="BI926" s="18">
        <v>25</v>
      </c>
      <c r="BJ926" s="18">
        <v>25</v>
      </c>
      <c r="BK926" s="18">
        <v>18</v>
      </c>
      <c r="BL926" s="18">
        <v>20</v>
      </c>
      <c r="BM926" s="55">
        <f>SUM(AV926:AX926)+SUM(BC926:BD926)+SUM(BE926:BF926)+BG926</f>
        <v>9</v>
      </c>
      <c r="BN926" s="55"/>
      <c r="BO926" s="55"/>
      <c r="BP926" s="55"/>
      <c r="BQ926" s="55"/>
      <c r="BR926" s="55"/>
      <c r="BS926" s="55"/>
      <c r="BT926" s="55"/>
      <c r="BU926" s="55"/>
      <c r="BV926" s="55"/>
      <c r="BW926" s="55"/>
      <c r="BX926" s="55"/>
      <c r="BY926" s="55"/>
      <c r="BZ926" s="55"/>
    </row>
    <row r="927" spans="2:78" ht="25.5">
      <c r="B927" s="89">
        <v>911</v>
      </c>
      <c r="C927" s="93">
        <v>645</v>
      </c>
      <c r="D927" s="95">
        <v>786</v>
      </c>
      <c r="E927" s="94">
        <v>0.54722222222222217</v>
      </c>
      <c r="F927" s="94">
        <v>0.55277777777777781</v>
      </c>
      <c r="G927" s="93" t="s">
        <v>435</v>
      </c>
      <c r="H927" s="93" t="s">
        <v>436</v>
      </c>
      <c r="I927" s="96">
        <v>3.1</v>
      </c>
      <c r="J927" s="97" t="s">
        <v>125</v>
      </c>
      <c r="K927" s="98">
        <f>174-33-34</f>
        <v>107</v>
      </c>
      <c r="L927" s="109" t="s">
        <v>787</v>
      </c>
      <c r="M927" s="87" t="s">
        <v>911</v>
      </c>
      <c r="N927" s="87">
        <v>21</v>
      </c>
      <c r="O927" s="87" t="s">
        <v>910</v>
      </c>
      <c r="P927" s="87">
        <v>23</v>
      </c>
      <c r="Q927" s="87" t="s">
        <v>909</v>
      </c>
      <c r="R927" s="84">
        <v>9</v>
      </c>
      <c r="S927" s="26">
        <v>6403</v>
      </c>
      <c r="T927" s="26" t="s">
        <v>1777</v>
      </c>
      <c r="U927" s="26" t="s">
        <v>1765</v>
      </c>
      <c r="V927" s="26" t="s">
        <v>1766</v>
      </c>
      <c r="W927" s="62">
        <v>44816</v>
      </c>
      <c r="X927" s="62">
        <v>45086</v>
      </c>
      <c r="Y927" s="62"/>
      <c r="Z927" s="62"/>
      <c r="AA927" s="24" t="s">
        <v>1154</v>
      </c>
      <c r="AB927" s="23"/>
      <c r="AC927" s="23"/>
      <c r="AD927" s="23"/>
      <c r="AE927" s="23" t="s">
        <v>731</v>
      </c>
      <c r="AF927" s="23"/>
      <c r="AG927" s="23" t="s">
        <v>731</v>
      </c>
      <c r="AH927" s="23" t="s">
        <v>731</v>
      </c>
      <c r="AI927" s="23"/>
      <c r="AJ927" s="23" t="s">
        <v>731</v>
      </c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42">
        <v>5.58</v>
      </c>
      <c r="AW927" s="42"/>
      <c r="AY927" s="18"/>
      <c r="AZ927" s="18"/>
      <c r="BB927" s="45">
        <v>1</v>
      </c>
      <c r="BC927" s="41">
        <f>IF(AND((AV927/I927)&lt;2,BB927=1),(I927*2)-AV927,0)</f>
        <v>0.62000000000000011</v>
      </c>
      <c r="BD927" s="41">
        <f>IF(AND((AV927/I927)&lt;3,BB927=2),(I927*3)-AV927,0)</f>
        <v>0</v>
      </c>
      <c r="BG927" s="18"/>
      <c r="BH927" s="18">
        <v>9</v>
      </c>
      <c r="BI927" s="18">
        <v>12</v>
      </c>
      <c r="BJ927" s="18">
        <v>13</v>
      </c>
      <c r="BK927" s="18">
        <v>9</v>
      </c>
      <c r="BL927" s="18">
        <v>10</v>
      </c>
      <c r="BM927" s="55">
        <f>SUM(AV927:AX927)+SUM(BC927:BD927)+SUM(BE927:BF927)+BG927</f>
        <v>6.2</v>
      </c>
      <c r="BN927" s="55"/>
      <c r="BO927" s="55"/>
      <c r="BP927" s="55"/>
      <c r="BQ927" s="55"/>
      <c r="BR927" s="55"/>
      <c r="BS927" s="55"/>
      <c r="BT927" s="55"/>
      <c r="BU927" s="55"/>
      <c r="BV927" s="55"/>
      <c r="BW927" s="55"/>
      <c r="BX927" s="55"/>
      <c r="BY927" s="55"/>
      <c r="BZ927" s="55"/>
    </row>
    <row r="928" spans="2:78" ht="33.75">
      <c r="B928" s="89">
        <v>912</v>
      </c>
      <c r="C928" s="93">
        <v>645</v>
      </c>
      <c r="D928" s="95">
        <v>682</v>
      </c>
      <c r="E928" s="94">
        <v>0.5541666666666667</v>
      </c>
      <c r="F928" s="94">
        <v>0.59861111111111109</v>
      </c>
      <c r="G928" s="93" t="s">
        <v>429</v>
      </c>
      <c r="H928" s="93" t="s">
        <v>103</v>
      </c>
      <c r="I928" s="96">
        <f>41.5+3.2</f>
        <v>44.7</v>
      </c>
      <c r="J928" s="97" t="s">
        <v>111</v>
      </c>
      <c r="K928" s="98">
        <v>174</v>
      </c>
      <c r="L928" s="109" t="s">
        <v>787</v>
      </c>
      <c r="M928" s="87" t="s">
        <v>912</v>
      </c>
      <c r="N928" s="87">
        <v>61</v>
      </c>
      <c r="O928" s="87" t="s">
        <v>1290</v>
      </c>
      <c r="P928" s="87">
        <v>45</v>
      </c>
      <c r="Q928" s="87" t="s">
        <v>1947</v>
      </c>
      <c r="R928" s="84">
        <v>58</v>
      </c>
      <c r="S928" s="26" t="s">
        <v>1778</v>
      </c>
      <c r="T928" s="26" t="s">
        <v>1779</v>
      </c>
      <c r="U928" s="26">
        <v>6407</v>
      </c>
      <c r="V928" s="26" t="s">
        <v>1780</v>
      </c>
      <c r="W928" s="62">
        <v>44816</v>
      </c>
      <c r="X928" s="62">
        <v>45086</v>
      </c>
      <c r="Y928" s="62"/>
      <c r="Z928" s="62"/>
      <c r="AA928" s="22" t="s">
        <v>1102</v>
      </c>
      <c r="AB928" s="23"/>
      <c r="AC928" s="23"/>
      <c r="AD928" s="23"/>
      <c r="AE928" s="23" t="s">
        <v>731</v>
      </c>
      <c r="AF928" s="23" t="s">
        <v>731</v>
      </c>
      <c r="AG928" s="23" t="s">
        <v>731</v>
      </c>
      <c r="AH928" s="23" t="s">
        <v>731</v>
      </c>
      <c r="AI928" s="23" t="s">
        <v>731</v>
      </c>
      <c r="AJ928" s="23" t="s">
        <v>731</v>
      </c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42">
        <v>134.1</v>
      </c>
      <c r="AW928" s="42"/>
      <c r="AY928" s="18"/>
      <c r="AZ928" s="18"/>
      <c r="BB928" s="43">
        <v>2</v>
      </c>
      <c r="BC928" s="41">
        <f>IF(AND((AV928/I928)&lt;2,BB928=1),(I928*2)-AV928,0)</f>
        <v>0</v>
      </c>
      <c r="BD928" s="41">
        <f>IF(AND((AV928/I928)&lt;3,BB928=2),(I928*3)-AV928,0)</f>
        <v>0</v>
      </c>
      <c r="BG928" s="18"/>
      <c r="BH928" s="18">
        <v>15</v>
      </c>
      <c r="BI928" s="18">
        <v>20</v>
      </c>
      <c r="BJ928" s="18">
        <v>21</v>
      </c>
      <c r="BK928" s="18">
        <v>15</v>
      </c>
      <c r="BL928" s="18">
        <v>17</v>
      </c>
      <c r="BM928" s="55">
        <f>SUM(AV928:AX928)+SUM(BC928:BD928)+SUM(BE928:BF928)+BG928</f>
        <v>134.1</v>
      </c>
      <c r="BN928" s="55"/>
      <c r="BO928" s="55"/>
      <c r="BP928" s="55"/>
      <c r="BQ928" s="55"/>
      <c r="BR928" s="55"/>
      <c r="BS928" s="55"/>
      <c r="BT928" s="55"/>
      <c r="BU928" s="55"/>
      <c r="BV928" s="55"/>
      <c r="BW928" s="55"/>
      <c r="BX928" s="55"/>
      <c r="BY928" s="55"/>
      <c r="BZ928" s="55"/>
    </row>
    <row r="929" spans="1:78" ht="33.75">
      <c r="B929" s="89">
        <v>913</v>
      </c>
      <c r="C929" s="93">
        <v>645</v>
      </c>
      <c r="D929" s="93">
        <v>314</v>
      </c>
      <c r="E929" s="94">
        <v>0.7631944444444444</v>
      </c>
      <c r="F929" s="94">
        <v>0.77986111111111101</v>
      </c>
      <c r="G929" s="93" t="s">
        <v>412</v>
      </c>
      <c r="H929" s="93" t="s">
        <v>478</v>
      </c>
      <c r="I929" s="96">
        <v>12.4</v>
      </c>
      <c r="J929" s="97" t="s">
        <v>146</v>
      </c>
      <c r="K929" s="98">
        <v>240</v>
      </c>
      <c r="L929" s="109" t="s">
        <v>783</v>
      </c>
      <c r="M929" s="87" t="s">
        <v>926</v>
      </c>
      <c r="N929" s="87">
        <v>17</v>
      </c>
      <c r="O929" s="87" t="s">
        <v>925</v>
      </c>
      <c r="P929" s="87">
        <v>21</v>
      </c>
      <c r="Q929" s="87"/>
      <c r="R929" s="87"/>
      <c r="S929" s="26">
        <v>6401</v>
      </c>
      <c r="T929" s="26" t="s">
        <v>1781</v>
      </c>
      <c r="U929" s="26">
        <v>6407</v>
      </c>
      <c r="V929" s="26" t="s">
        <v>1780</v>
      </c>
      <c r="W929" s="63">
        <v>44816</v>
      </c>
      <c r="X929" s="63">
        <v>45100</v>
      </c>
      <c r="Y929" s="63"/>
      <c r="Z929" s="63"/>
      <c r="AA929" s="26" t="s">
        <v>1112</v>
      </c>
      <c r="AB929" s="23" t="s">
        <v>731</v>
      </c>
      <c r="AC929" s="23"/>
      <c r="AD929" s="23" t="s">
        <v>731</v>
      </c>
      <c r="AE929" s="23"/>
      <c r="AF929" s="23" t="s">
        <v>731</v>
      </c>
      <c r="AG929" s="23" t="s">
        <v>731</v>
      </c>
      <c r="AH929" s="23" t="s">
        <v>731</v>
      </c>
      <c r="AI929" s="23" t="s">
        <v>731</v>
      </c>
      <c r="AJ929" s="23" t="s">
        <v>731</v>
      </c>
      <c r="AK929" s="23" t="s">
        <v>731</v>
      </c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42">
        <v>31</v>
      </c>
      <c r="AW929" s="42"/>
      <c r="AY929" s="18"/>
      <c r="AZ929" s="18"/>
      <c r="BB929" s="45">
        <v>1</v>
      </c>
      <c r="BC929" s="41">
        <f>IF(AND((AV929/I929)&lt;2,BB929=1),(I929*2)-AV929,0)</f>
        <v>0</v>
      </c>
      <c r="BD929" s="41">
        <f>IF(AND((AV929/I929)&lt;3,BB929=2),(I929*3)-AV929,0)</f>
        <v>0</v>
      </c>
      <c r="BG929" s="18"/>
      <c r="BH929" s="18">
        <v>17</v>
      </c>
      <c r="BI929" s="18">
        <v>26</v>
      </c>
      <c r="BJ929" s="18">
        <v>25</v>
      </c>
      <c r="BK929" s="18">
        <v>25</v>
      </c>
      <c r="BL929" s="18">
        <v>25</v>
      </c>
      <c r="BM929" s="55">
        <f>SUM(AV929:AX929)+SUM(BC929:BD929)+SUM(BE929:BF929)+BG929</f>
        <v>31</v>
      </c>
      <c r="BN929" s="55"/>
      <c r="BO929" s="55"/>
      <c r="BP929" s="55"/>
      <c r="BQ929" s="55"/>
      <c r="BR929" s="55"/>
      <c r="BS929" s="55"/>
      <c r="BT929" s="55"/>
      <c r="BU929" s="55"/>
      <c r="BV929" s="55"/>
      <c r="BW929" s="55"/>
      <c r="BX929" s="55"/>
      <c r="BY929" s="55"/>
      <c r="BZ929" s="55"/>
    </row>
    <row r="930" spans="1:78" ht="25.5">
      <c r="B930" s="89">
        <v>914</v>
      </c>
      <c r="C930" s="93">
        <v>645</v>
      </c>
      <c r="D930" s="93">
        <v>312</v>
      </c>
      <c r="E930" s="94">
        <v>0.78819444444444453</v>
      </c>
      <c r="F930" s="94">
        <v>0.81458333333333333</v>
      </c>
      <c r="G930" s="93" t="s">
        <v>583</v>
      </c>
      <c r="H930" s="93" t="s">
        <v>423</v>
      </c>
      <c r="I930" s="96">
        <v>19</v>
      </c>
      <c r="J930" s="97" t="s">
        <v>93</v>
      </c>
      <c r="K930" s="98">
        <v>67</v>
      </c>
      <c r="L930" s="109" t="s">
        <v>785</v>
      </c>
      <c r="M930" s="87" t="s">
        <v>967</v>
      </c>
      <c r="N930" s="87">
        <v>24</v>
      </c>
      <c r="O930" s="87" t="s">
        <v>968</v>
      </c>
      <c r="P930" s="87">
        <v>20</v>
      </c>
      <c r="R930" s="87"/>
      <c r="S930" s="26" t="s">
        <v>1782</v>
      </c>
      <c r="T930" s="26" t="s">
        <v>1783</v>
      </c>
      <c r="U930" s="26">
        <v>6407</v>
      </c>
      <c r="V930" s="26" t="s">
        <v>1780</v>
      </c>
      <c r="W930" s="63">
        <v>44562</v>
      </c>
      <c r="X930" s="63">
        <v>44815</v>
      </c>
      <c r="Y930" s="63">
        <v>45101</v>
      </c>
      <c r="Z930" s="63">
        <v>45169</v>
      </c>
      <c r="AA930" s="23" t="s">
        <v>1107</v>
      </c>
      <c r="AB930" s="23"/>
      <c r="AC930" s="23" t="s">
        <v>731</v>
      </c>
      <c r="AD930" s="23" t="s">
        <v>731</v>
      </c>
      <c r="AE930" s="23"/>
      <c r="AF930" s="23" t="s">
        <v>731</v>
      </c>
      <c r="AG930" s="23" t="s">
        <v>731</v>
      </c>
      <c r="AH930" s="23" t="s">
        <v>731</v>
      </c>
      <c r="AI930" s="23" t="s">
        <v>731</v>
      </c>
      <c r="AJ930" s="23" t="s">
        <v>731</v>
      </c>
      <c r="AK930" s="23" t="s">
        <v>731</v>
      </c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W930" s="41">
        <f>1.9*19</f>
        <v>36.1</v>
      </c>
      <c r="AY930" s="18"/>
      <c r="AZ930" s="18"/>
      <c r="BB930" s="45">
        <v>1</v>
      </c>
      <c r="BD930" s="41"/>
      <c r="BE930" s="41">
        <f>IF(AND((AW930/I930)&lt;2,BB930=1),(I930*2)-AW930,0)</f>
        <v>1.8999999999999986</v>
      </c>
      <c r="BF930" s="41">
        <f>IF(AND((AW930/I930)&lt;3,BB930=2),(I930*3)-AW930,0)</f>
        <v>0</v>
      </c>
      <c r="BG930" s="18"/>
      <c r="BH930" s="18">
        <v>9</v>
      </c>
      <c r="BI930" s="18">
        <v>0</v>
      </c>
      <c r="BJ930" s="18">
        <v>0</v>
      </c>
      <c r="BK930" s="18">
        <v>0</v>
      </c>
      <c r="BL930" s="18">
        <v>0</v>
      </c>
      <c r="BM930" s="55">
        <f>SUM(AV930:AX930)+SUM(BC930:BD930)+SUM(BE930:BF930)+BG930</f>
        <v>38</v>
      </c>
      <c r="BN930" s="55"/>
      <c r="BO930" s="55"/>
      <c r="BP930" s="55"/>
      <c r="BQ930" s="55"/>
      <c r="BR930" s="55"/>
      <c r="BS930" s="55"/>
      <c r="BT930" s="55"/>
      <c r="BU930" s="55"/>
      <c r="BV930" s="55"/>
      <c r="BX930" s="55"/>
      <c r="BY930" s="55"/>
      <c r="BZ930" s="55"/>
    </row>
    <row r="931" spans="1:78" ht="25.5">
      <c r="B931" s="89">
        <v>915</v>
      </c>
      <c r="C931" s="93">
        <v>645</v>
      </c>
      <c r="D931" s="93">
        <v>418</v>
      </c>
      <c r="E931" s="94">
        <v>0.79861111111111116</v>
      </c>
      <c r="F931" s="94">
        <v>0.83263888888888893</v>
      </c>
      <c r="G931" s="93" t="s">
        <v>411</v>
      </c>
      <c r="H931" s="93" t="s">
        <v>478</v>
      </c>
      <c r="I931" s="96">
        <v>25.7</v>
      </c>
      <c r="J931" s="97" t="s">
        <v>125</v>
      </c>
      <c r="K931" s="98">
        <v>240</v>
      </c>
      <c r="L931" s="109" t="s">
        <v>785</v>
      </c>
      <c r="M931" s="87" t="s">
        <v>968</v>
      </c>
      <c r="N931" s="87">
        <v>20</v>
      </c>
      <c r="O931" s="83" t="s">
        <v>1291</v>
      </c>
      <c r="P931" s="83">
        <v>56</v>
      </c>
      <c r="Q931" s="87" t="s">
        <v>968</v>
      </c>
      <c r="R931" s="84">
        <v>20</v>
      </c>
      <c r="S931" s="26">
        <v>6300</v>
      </c>
      <c r="T931" s="26" t="s">
        <v>1358</v>
      </c>
      <c r="U931" s="26">
        <v>6405</v>
      </c>
      <c r="V931" s="26" t="s">
        <v>1776</v>
      </c>
      <c r="W931" s="63">
        <v>44816</v>
      </c>
      <c r="X931" s="63">
        <v>45100</v>
      </c>
      <c r="Y931" s="63"/>
      <c r="Z931" s="63"/>
      <c r="AA931" s="26" t="s">
        <v>1112</v>
      </c>
      <c r="AB931" s="23" t="s">
        <v>731</v>
      </c>
      <c r="AC931" s="23"/>
      <c r="AD931" s="23" t="s">
        <v>731</v>
      </c>
      <c r="AE931" s="23"/>
      <c r="AF931" s="23" t="s">
        <v>731</v>
      </c>
      <c r="AG931" s="23" t="s">
        <v>731</v>
      </c>
      <c r="AH931" s="23" t="s">
        <v>731</v>
      </c>
      <c r="AI931" s="23" t="s">
        <v>731</v>
      </c>
      <c r="AJ931" s="23" t="s">
        <v>731</v>
      </c>
      <c r="AK931" s="23" t="s">
        <v>731</v>
      </c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41">
        <v>64.25</v>
      </c>
      <c r="AW931" s="42"/>
      <c r="AY931" s="18"/>
      <c r="AZ931" s="18"/>
      <c r="BB931" s="45">
        <v>1</v>
      </c>
      <c r="BC931" s="41">
        <f>IF(AND((AV931/I931)&lt;2,BB931=1),(I931*2)-AV931,0)</f>
        <v>0</v>
      </c>
      <c r="BD931" s="41">
        <f>IF(AND((AV931/I931)&lt;3,BB931=2),(I931*3)-AV931,0)</f>
        <v>0</v>
      </c>
      <c r="BG931" s="18"/>
      <c r="BH931" s="18">
        <v>17</v>
      </c>
      <c r="BI931" s="18">
        <v>26</v>
      </c>
      <c r="BJ931" s="18">
        <v>25</v>
      </c>
      <c r="BK931" s="18">
        <v>25</v>
      </c>
      <c r="BL931" s="18">
        <v>25</v>
      </c>
      <c r="BM931" s="55">
        <f>SUM(AV931:AX931)+SUM(BC931:BD931)+SUM(BE931:BF931)+BG931</f>
        <v>64.25</v>
      </c>
      <c r="BN931" s="22" t="s">
        <v>1127</v>
      </c>
      <c r="BO931" s="55"/>
      <c r="BP931" s="55"/>
      <c r="BQ931" s="55"/>
      <c r="BR931" s="55"/>
      <c r="BS931" s="55"/>
      <c r="BT931" s="55"/>
      <c r="BU931" s="55"/>
      <c r="BV931" s="55"/>
      <c r="BW931" s="221">
        <v>4</v>
      </c>
      <c r="BX931" s="55"/>
      <c r="BY931" s="55">
        <v>215.75</v>
      </c>
      <c r="BZ931" s="55"/>
    </row>
    <row r="932" spans="1:78" ht="33.75">
      <c r="B932" s="89">
        <v>916</v>
      </c>
      <c r="C932" s="93">
        <v>645</v>
      </c>
      <c r="D932" s="93">
        <v>419</v>
      </c>
      <c r="E932" s="94">
        <v>0.81944444444444453</v>
      </c>
      <c r="F932" s="94">
        <v>0.83611111111111114</v>
      </c>
      <c r="G932" s="93" t="s">
        <v>584</v>
      </c>
      <c r="H932" s="93" t="s">
        <v>423</v>
      </c>
      <c r="I932" s="96">
        <v>12</v>
      </c>
      <c r="J932" s="97" t="s">
        <v>93</v>
      </c>
      <c r="K932" s="98">
        <v>67</v>
      </c>
      <c r="L932" s="109" t="s">
        <v>785</v>
      </c>
      <c r="M932" s="87" t="s">
        <v>967</v>
      </c>
      <c r="N932" s="87">
        <v>24</v>
      </c>
      <c r="O932" s="83" t="s">
        <v>968</v>
      </c>
      <c r="P932" s="83">
        <v>20</v>
      </c>
      <c r="R932" s="87"/>
      <c r="S932" s="26">
        <v>6407</v>
      </c>
      <c r="T932" s="26" t="s">
        <v>1780</v>
      </c>
      <c r="U932" s="26">
        <v>6401</v>
      </c>
      <c r="V932" s="26" t="s">
        <v>1781</v>
      </c>
      <c r="W932" s="63">
        <v>44562</v>
      </c>
      <c r="X932" s="63">
        <v>44815</v>
      </c>
      <c r="Y932" s="63">
        <v>45101</v>
      </c>
      <c r="Z932" s="63">
        <v>45169</v>
      </c>
      <c r="AA932" s="23" t="s">
        <v>1107</v>
      </c>
      <c r="AB932" s="23"/>
      <c r="AC932" s="23" t="s">
        <v>731</v>
      </c>
      <c r="AD932" s="23" t="s">
        <v>731</v>
      </c>
      <c r="AE932" s="23"/>
      <c r="AF932" s="23" t="s">
        <v>731</v>
      </c>
      <c r="AG932" s="23" t="s">
        <v>731</v>
      </c>
      <c r="AH932" s="23" t="s">
        <v>731</v>
      </c>
      <c r="AI932" s="23" t="s">
        <v>731</v>
      </c>
      <c r="AJ932" s="23" t="s">
        <v>731</v>
      </c>
      <c r="AK932" s="23" t="s">
        <v>731</v>
      </c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W932" s="41">
        <f>1.9*12</f>
        <v>22.799999999999997</v>
      </c>
      <c r="AY932" s="18"/>
      <c r="AZ932" s="18"/>
      <c r="BB932" s="45">
        <v>1</v>
      </c>
      <c r="BD932" s="41"/>
      <c r="BE932" s="41">
        <f>IF(AND((AW932/I932)&lt;2,BB932=1),(I932*2)-AW932,0)</f>
        <v>1.2000000000000028</v>
      </c>
      <c r="BF932" s="41">
        <f>IF(AND((AW932/I932)&lt;3,BB932=2),(I932*3)-AW932,0)</f>
        <v>0</v>
      </c>
      <c r="BG932" s="18"/>
      <c r="BH932" s="18">
        <v>9</v>
      </c>
      <c r="BI932" s="18">
        <v>0</v>
      </c>
      <c r="BJ932" s="18">
        <v>0</v>
      </c>
      <c r="BK932" s="18">
        <v>0</v>
      </c>
      <c r="BL932" s="18">
        <v>0</v>
      </c>
      <c r="BM932" s="55">
        <f>SUM(AV932:AX932)+SUM(BC932:BD932)+SUM(BE932:BF932)+BG932</f>
        <v>24</v>
      </c>
      <c r="BN932" s="22" t="s">
        <v>1134</v>
      </c>
      <c r="BO932" s="55"/>
      <c r="BP932" s="55"/>
      <c r="BQ932" s="55"/>
      <c r="BR932" s="55"/>
      <c r="BS932" s="55"/>
      <c r="BT932" s="55"/>
      <c r="BU932" s="55"/>
      <c r="BV932" s="55"/>
      <c r="BW932" s="221">
        <v>4</v>
      </c>
      <c r="BX932" s="55"/>
      <c r="BY932" s="55">
        <v>201.75</v>
      </c>
      <c r="BZ932" s="55"/>
    </row>
    <row r="933" spans="1:78" ht="33.75">
      <c r="B933" s="89">
        <v>917</v>
      </c>
      <c r="C933" s="93">
        <v>646</v>
      </c>
      <c r="D933" s="97">
        <v>653</v>
      </c>
      <c r="E933" s="94">
        <v>0.25694444444444448</v>
      </c>
      <c r="F933" s="94">
        <v>0.2673611111111111</v>
      </c>
      <c r="G933" s="93" t="s">
        <v>249</v>
      </c>
      <c r="H933" s="93" t="s">
        <v>97</v>
      </c>
      <c r="I933" s="96">
        <v>14</v>
      </c>
      <c r="J933" s="97" t="s">
        <v>146</v>
      </c>
      <c r="K933" s="98">
        <v>208</v>
      </c>
      <c r="L933" s="109" t="s">
        <v>786</v>
      </c>
      <c r="M933" s="87" t="s">
        <v>958</v>
      </c>
      <c r="N933" s="87">
        <v>17</v>
      </c>
      <c r="O933" s="87" t="s">
        <v>1285</v>
      </c>
      <c r="P933" s="87">
        <v>17</v>
      </c>
      <c r="Q933" s="87" t="s">
        <v>1286</v>
      </c>
      <c r="R933" s="87">
        <v>23</v>
      </c>
      <c r="S933" s="26">
        <v>6410</v>
      </c>
      <c r="T933" s="26" t="s">
        <v>1784</v>
      </c>
      <c r="U933" s="26">
        <v>6408</v>
      </c>
      <c r="V933" s="26" t="s">
        <v>1785</v>
      </c>
      <c r="W933" s="62">
        <v>44816</v>
      </c>
      <c r="X933" s="62">
        <v>45086</v>
      </c>
      <c r="Y933" s="62"/>
      <c r="Z933" s="62"/>
      <c r="AA933" s="22" t="s">
        <v>1106</v>
      </c>
      <c r="AB933" s="23"/>
      <c r="AC933" s="23"/>
      <c r="AD933" s="23"/>
      <c r="AE933" s="23" t="s">
        <v>731</v>
      </c>
      <c r="AF933" s="23" t="s">
        <v>731</v>
      </c>
      <c r="AG933" s="23" t="s">
        <v>731</v>
      </c>
      <c r="AH933" s="23" t="s">
        <v>731</v>
      </c>
      <c r="AI933" s="23" t="s">
        <v>731</v>
      </c>
      <c r="AJ933" s="23" t="s">
        <v>731</v>
      </c>
      <c r="AK933" s="23" t="s">
        <v>731</v>
      </c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42">
        <v>47</v>
      </c>
      <c r="AW933" s="42"/>
      <c r="AY933" s="18"/>
      <c r="AZ933" s="18"/>
      <c r="BA933" s="18">
        <v>18</v>
      </c>
      <c r="BB933" s="45">
        <v>1</v>
      </c>
      <c r="BC933" s="41">
        <f>IF(AND((AV933/I933)&lt;2,BB933=1),(I933*2)-AV933,0)</f>
        <v>0</v>
      </c>
      <c r="BD933" s="41">
        <f>IF(AND((AV933/I933)&lt;3,BB933=2),(I933*3)-AV933,0)</f>
        <v>0</v>
      </c>
      <c r="BG933" s="41">
        <f>IF((AV933+AW933+AX933)&lt;20,(20-(AV933+AW933+AX933)),0)</f>
        <v>0</v>
      </c>
      <c r="BH933" s="18">
        <v>17</v>
      </c>
      <c r="BI933" s="18">
        <v>25</v>
      </c>
      <c r="BJ933" s="18">
        <v>25</v>
      </c>
      <c r="BK933" s="18">
        <v>18</v>
      </c>
      <c r="BL933" s="18">
        <v>20</v>
      </c>
      <c r="BM933" s="55">
        <f>SUM(AV933:AX933)+SUM(BC933:BD933)+SUM(BE933:BF933)+BG933</f>
        <v>47</v>
      </c>
      <c r="BN933" s="55"/>
      <c r="BO933" s="55"/>
      <c r="BP933" s="55"/>
      <c r="BQ933" s="55"/>
      <c r="BR933" s="55"/>
      <c r="BS933" s="55"/>
      <c r="BT933" s="55"/>
      <c r="BU933" s="55"/>
      <c r="BV933" s="55"/>
      <c r="BW933" s="55"/>
      <c r="BX933" s="55"/>
      <c r="BY933" s="55"/>
      <c r="BZ933" s="55"/>
    </row>
    <row r="934" spans="1:78" ht="33.75">
      <c r="B934" s="89">
        <v>918</v>
      </c>
      <c r="C934" s="93">
        <v>646</v>
      </c>
      <c r="D934" s="97">
        <v>682</v>
      </c>
      <c r="E934" s="94">
        <v>0.59027777777777779</v>
      </c>
      <c r="F934" s="105">
        <v>0.60486111111111118</v>
      </c>
      <c r="G934" s="93" t="s">
        <v>663</v>
      </c>
      <c r="H934" s="93" t="s">
        <v>103</v>
      </c>
      <c r="I934" s="96">
        <v>15</v>
      </c>
      <c r="J934" s="97">
        <v>16</v>
      </c>
      <c r="K934" s="98">
        <v>174</v>
      </c>
      <c r="L934" s="109" t="s">
        <v>786</v>
      </c>
      <c r="M934" s="87" t="s">
        <v>959</v>
      </c>
      <c r="N934" s="87">
        <v>9</v>
      </c>
      <c r="O934" s="87" t="s">
        <v>1285</v>
      </c>
      <c r="P934" s="87">
        <v>17</v>
      </c>
      <c r="Q934" s="87" t="s">
        <v>1287</v>
      </c>
      <c r="R934" s="84">
        <v>9</v>
      </c>
      <c r="S934" s="26" t="s">
        <v>1786</v>
      </c>
      <c r="T934" s="26" t="s">
        <v>1787</v>
      </c>
      <c r="U934" s="26">
        <v>6410</v>
      </c>
      <c r="V934" s="26" t="s">
        <v>1784</v>
      </c>
      <c r="W934" s="62">
        <v>44816</v>
      </c>
      <c r="X934" s="62">
        <v>45086</v>
      </c>
      <c r="Y934" s="62"/>
      <c r="Z934" s="62"/>
      <c r="AA934" s="22" t="s">
        <v>1102</v>
      </c>
      <c r="AB934" s="23"/>
      <c r="AC934" s="23"/>
      <c r="AD934" s="23"/>
      <c r="AE934" s="23" t="s">
        <v>731</v>
      </c>
      <c r="AF934" s="23" t="s">
        <v>731</v>
      </c>
      <c r="AG934" s="23" t="s">
        <v>731</v>
      </c>
      <c r="AH934" s="23" t="s">
        <v>731</v>
      </c>
      <c r="AI934" s="23" t="s">
        <v>731</v>
      </c>
      <c r="AJ934" s="23" t="s">
        <v>731</v>
      </c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42">
        <f>31.5+13.5</f>
        <v>45</v>
      </c>
      <c r="AW934" s="42"/>
      <c r="AY934" s="18"/>
      <c r="AZ934" s="18"/>
      <c r="BA934" s="18">
        <v>19</v>
      </c>
      <c r="BB934" s="45">
        <v>1</v>
      </c>
      <c r="BC934" s="41">
        <f>IF(AND((AV934/I934)&lt;2,BB934=1),(I934*2)-AV934,0)</f>
        <v>0</v>
      </c>
      <c r="BD934" s="41">
        <f>IF(AND((AV934/I934)&lt;3,BB934=2),(I934*3)-AV934,0)</f>
        <v>0</v>
      </c>
      <c r="BG934" s="18"/>
      <c r="BH934" s="18">
        <v>15</v>
      </c>
      <c r="BI934" s="18">
        <v>20</v>
      </c>
      <c r="BJ934" s="18">
        <v>21</v>
      </c>
      <c r="BK934" s="18">
        <v>15</v>
      </c>
      <c r="BL934" s="18">
        <v>17</v>
      </c>
      <c r="BM934" s="55">
        <f>SUM(AV934:AX934)+SUM(BC934:BD934)+SUM(BE934:BF934)+BG934</f>
        <v>45</v>
      </c>
      <c r="BN934" s="55"/>
      <c r="BO934" s="55"/>
      <c r="BP934" s="55"/>
      <c r="BQ934" s="55"/>
      <c r="BR934" s="55"/>
      <c r="BS934" s="55"/>
      <c r="BT934" s="55"/>
      <c r="BU934" s="55"/>
      <c r="BV934" s="55"/>
      <c r="BW934" s="55"/>
      <c r="BX934" s="55"/>
      <c r="BY934" s="55"/>
      <c r="BZ934" s="55"/>
    </row>
    <row r="935" spans="1:78" ht="33.75">
      <c r="B935" s="89">
        <v>919</v>
      </c>
      <c r="C935" s="93">
        <v>646</v>
      </c>
      <c r="D935" s="122">
        <v>445</v>
      </c>
      <c r="E935" s="94">
        <v>0.60763888888888895</v>
      </c>
      <c r="F935" s="94">
        <v>0.62222222222222223</v>
      </c>
      <c r="G935" s="93" t="s">
        <v>564</v>
      </c>
      <c r="H935" s="93" t="s">
        <v>103</v>
      </c>
      <c r="I935" s="96">
        <v>11</v>
      </c>
      <c r="J935" s="97">
        <v>16</v>
      </c>
      <c r="K935" s="98">
        <v>174</v>
      </c>
      <c r="L935" s="109" t="s">
        <v>786</v>
      </c>
      <c r="M935" s="87" t="s">
        <v>959</v>
      </c>
      <c r="N935" s="87">
        <v>9</v>
      </c>
      <c r="O935" s="87" t="s">
        <v>1285</v>
      </c>
      <c r="P935" s="87">
        <v>17</v>
      </c>
      <c r="Q935" s="87" t="s">
        <v>1287</v>
      </c>
      <c r="R935" s="84">
        <v>9</v>
      </c>
      <c r="S935" s="26">
        <v>6410</v>
      </c>
      <c r="T935" s="26" t="s">
        <v>1784</v>
      </c>
      <c r="U935" s="26">
        <v>6408</v>
      </c>
      <c r="V935" s="26" t="s">
        <v>1785</v>
      </c>
      <c r="W935" s="62">
        <v>44816</v>
      </c>
      <c r="X935" s="62">
        <v>45086</v>
      </c>
      <c r="Y935" s="62"/>
      <c r="Z935" s="62"/>
      <c r="AA935" s="22" t="s">
        <v>1102</v>
      </c>
      <c r="AB935" s="23"/>
      <c r="AC935" s="23"/>
      <c r="AD935" s="23"/>
      <c r="AE935" s="23" t="s">
        <v>731</v>
      </c>
      <c r="AF935" s="23" t="s">
        <v>731</v>
      </c>
      <c r="AG935" s="23" t="s">
        <v>731</v>
      </c>
      <c r="AH935" s="23" t="s">
        <v>731</v>
      </c>
      <c r="AI935" s="23" t="s">
        <v>731</v>
      </c>
      <c r="AJ935" s="23" t="s">
        <v>731</v>
      </c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42">
        <v>33</v>
      </c>
      <c r="AW935" s="42"/>
      <c r="AY935" s="18"/>
      <c r="AZ935" s="18"/>
      <c r="BA935" s="18">
        <v>20</v>
      </c>
      <c r="BB935" s="45">
        <v>1</v>
      </c>
      <c r="BC935" s="41">
        <f>IF(AND((AV935/I935)&lt;2,BB935=1),(I935*2)-AV935,0)</f>
        <v>0</v>
      </c>
      <c r="BD935" s="41">
        <f>IF(AND((AV935/I935)&lt;3,BB935=2),(I935*3)-AV935,0)</f>
        <v>0</v>
      </c>
      <c r="BG935" s="18"/>
      <c r="BH935" s="18">
        <v>15</v>
      </c>
      <c r="BI935" s="18">
        <v>20</v>
      </c>
      <c r="BJ935" s="18">
        <v>21</v>
      </c>
      <c r="BK935" s="18">
        <v>15</v>
      </c>
      <c r="BL935" s="18">
        <v>17</v>
      </c>
      <c r="BM935" s="55">
        <f>SUM(AV935:AX935)+SUM(BC935:BD935)+SUM(BE935:BF935)+BG935</f>
        <v>33</v>
      </c>
      <c r="BN935" s="55"/>
      <c r="BO935" s="55"/>
      <c r="BP935" s="55"/>
      <c r="BQ935" s="55"/>
      <c r="BR935" s="55"/>
      <c r="BS935" s="55"/>
      <c r="BT935" s="55"/>
      <c r="BU935" s="55"/>
      <c r="BV935" s="55"/>
      <c r="BW935" s="55"/>
      <c r="BX935" s="55"/>
      <c r="BY935" s="55"/>
      <c r="BZ935" s="55"/>
    </row>
    <row r="936" spans="1:78" ht="38.25">
      <c r="B936" s="89">
        <v>920</v>
      </c>
      <c r="C936" s="93">
        <v>646</v>
      </c>
      <c r="D936" s="97">
        <v>655</v>
      </c>
      <c r="E936" s="94">
        <v>0.64027777777777783</v>
      </c>
      <c r="F936" s="94">
        <v>0.68263888888888891</v>
      </c>
      <c r="G936" s="93" t="s">
        <v>248</v>
      </c>
      <c r="H936" s="93" t="s">
        <v>103</v>
      </c>
      <c r="I936" s="96">
        <v>27</v>
      </c>
      <c r="J936" s="97">
        <v>16</v>
      </c>
      <c r="K936" s="98">
        <v>174</v>
      </c>
      <c r="L936" s="109" t="s">
        <v>786</v>
      </c>
      <c r="M936" s="87" t="s">
        <v>959</v>
      </c>
      <c r="N936" s="87">
        <v>9</v>
      </c>
      <c r="O936" s="87" t="s">
        <v>1285</v>
      </c>
      <c r="P936" s="87">
        <v>17</v>
      </c>
      <c r="R936" s="87"/>
      <c r="S936" s="26">
        <v>6410</v>
      </c>
      <c r="T936" s="26" t="s">
        <v>1784</v>
      </c>
      <c r="U936" s="26" t="s">
        <v>1788</v>
      </c>
      <c r="V936" s="26" t="s">
        <v>1789</v>
      </c>
      <c r="W936" s="62">
        <v>44816</v>
      </c>
      <c r="X936" s="62">
        <v>45086</v>
      </c>
      <c r="Y936" s="62"/>
      <c r="Z936" s="62"/>
      <c r="AA936" s="22" t="s">
        <v>1102</v>
      </c>
      <c r="AB936" s="23"/>
      <c r="AC936" s="23"/>
      <c r="AD936" s="23"/>
      <c r="AE936" s="23" t="s">
        <v>731</v>
      </c>
      <c r="AF936" s="23" t="s">
        <v>731</v>
      </c>
      <c r="AG936" s="23" t="s">
        <v>731</v>
      </c>
      <c r="AH936" s="23" t="s">
        <v>731</v>
      </c>
      <c r="AI936" s="23" t="s">
        <v>731</v>
      </c>
      <c r="AJ936" s="23" t="s">
        <v>731</v>
      </c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42">
        <v>130.35</v>
      </c>
      <c r="AW936" s="42"/>
      <c r="AY936" s="18"/>
      <c r="AZ936" s="18"/>
      <c r="BA936" s="18">
        <v>21</v>
      </c>
      <c r="BB936" s="45">
        <v>1</v>
      </c>
      <c r="BC936" s="41">
        <f>IF(AND((AV936/I936)&lt;2,BB936=1),(I936*2)-AV936,0)</f>
        <v>0</v>
      </c>
      <c r="BD936" s="41">
        <f>IF(AND((AV936/I936)&lt;3,BB936=2),(I936*3)-AV936,0)</f>
        <v>0</v>
      </c>
      <c r="BG936" s="18"/>
      <c r="BH936" s="18">
        <v>15</v>
      </c>
      <c r="BI936" s="18">
        <v>20</v>
      </c>
      <c r="BJ936" s="18">
        <v>21</v>
      </c>
      <c r="BK936" s="18">
        <v>15</v>
      </c>
      <c r="BL936" s="18">
        <v>17</v>
      </c>
      <c r="BM936" s="55">
        <f>SUM(AV936:AX936)+SUM(BC936:BD936)+SUM(BE936:BF936)+BG936</f>
        <v>130.35</v>
      </c>
      <c r="BN936" s="55"/>
      <c r="BO936" s="55"/>
      <c r="BP936" s="55"/>
      <c r="BQ936" s="55"/>
      <c r="BR936" s="55"/>
      <c r="BS936" s="55"/>
      <c r="BT936" s="55"/>
      <c r="BU936" s="55"/>
      <c r="BV936" s="55"/>
      <c r="BW936" s="55"/>
      <c r="BX936" s="55"/>
      <c r="BY936" s="55"/>
      <c r="BZ936" s="55"/>
    </row>
    <row r="937" spans="1:78" ht="33.75">
      <c r="B937" s="89">
        <v>921</v>
      </c>
      <c r="C937" s="93">
        <v>646</v>
      </c>
      <c r="D937" s="97">
        <v>650</v>
      </c>
      <c r="E937" s="94">
        <v>0.67013888888888884</v>
      </c>
      <c r="F937" s="94">
        <v>0.69097222222222221</v>
      </c>
      <c r="G937" s="93" t="s">
        <v>247</v>
      </c>
      <c r="H937" s="93" t="s">
        <v>194</v>
      </c>
      <c r="I937" s="96">
        <v>17</v>
      </c>
      <c r="J937" s="97" t="s">
        <v>125</v>
      </c>
      <c r="K937" s="98">
        <f>34+34+36+33</f>
        <v>137</v>
      </c>
      <c r="L937" s="109" t="s">
        <v>786</v>
      </c>
      <c r="M937" s="87" t="s">
        <v>958</v>
      </c>
      <c r="N937" s="87">
        <v>17</v>
      </c>
      <c r="O937" s="87" t="s">
        <v>1285</v>
      </c>
      <c r="P937" s="87">
        <v>17</v>
      </c>
      <c r="R937" s="87"/>
      <c r="S937" s="26">
        <v>6395</v>
      </c>
      <c r="T937" s="26" t="s">
        <v>1790</v>
      </c>
      <c r="U937" s="26">
        <v>6410</v>
      </c>
      <c r="V937" s="26" t="s">
        <v>1784</v>
      </c>
      <c r="W937" s="62">
        <v>44816</v>
      </c>
      <c r="X937" s="62">
        <v>45086</v>
      </c>
      <c r="Y937" s="62"/>
      <c r="Z937" s="62"/>
      <c r="AA937" s="24" t="s">
        <v>1105</v>
      </c>
      <c r="AB937" s="23"/>
      <c r="AC937" s="23"/>
      <c r="AD937" s="23"/>
      <c r="AE937" s="23" t="s">
        <v>731</v>
      </c>
      <c r="AF937" s="23" t="s">
        <v>731</v>
      </c>
      <c r="AG937" s="23" t="s">
        <v>731</v>
      </c>
      <c r="AH937" s="23" t="s">
        <v>731</v>
      </c>
      <c r="AI937" s="23" t="s">
        <v>731</v>
      </c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42">
        <v>51.52</v>
      </c>
      <c r="AW937" s="42"/>
      <c r="AY937" s="18"/>
      <c r="AZ937" s="18"/>
      <c r="BA937" s="18">
        <v>22</v>
      </c>
      <c r="BB937" s="45">
        <v>1</v>
      </c>
      <c r="BC937" s="41">
        <f>IF(AND((AV937/I937)&lt;2,BB937=1),(I937*2)-AV937,0)</f>
        <v>0</v>
      </c>
      <c r="BD937" s="41">
        <f>IF(AND((AV937/I937)&lt;3,BB937=2),(I937*3)-AV937,0)</f>
        <v>0</v>
      </c>
      <c r="BG937" s="18"/>
      <c r="BH937" s="18">
        <v>12</v>
      </c>
      <c r="BI937" s="18">
        <v>16</v>
      </c>
      <c r="BJ937" s="18">
        <v>17</v>
      </c>
      <c r="BK937" s="18">
        <v>12</v>
      </c>
      <c r="BL937" s="18">
        <v>14</v>
      </c>
      <c r="BM937" s="55">
        <f>SUM(AV937:AX937)+SUM(BC937:BD937)+SUM(BE937:BF937)+BG937</f>
        <v>51.52</v>
      </c>
      <c r="BN937" s="55"/>
      <c r="BO937" s="55"/>
      <c r="BP937" s="55"/>
      <c r="BQ937" s="55"/>
      <c r="BR937" s="55"/>
      <c r="BS937" s="55"/>
      <c r="BT937" s="55"/>
      <c r="BU937" s="55"/>
      <c r="BV937" s="55"/>
      <c r="BW937" s="55"/>
      <c r="BX937" s="55"/>
      <c r="BY937" s="55"/>
      <c r="BZ937" s="55"/>
    </row>
    <row r="938" spans="1:78" ht="51">
      <c r="B938" s="89">
        <v>922</v>
      </c>
      <c r="C938" s="93">
        <v>646</v>
      </c>
      <c r="D938" s="93">
        <v>319</v>
      </c>
      <c r="E938" s="105">
        <v>0.73263888888888884</v>
      </c>
      <c r="F938" s="105">
        <v>0.74791666666666667</v>
      </c>
      <c r="G938" s="93" t="s">
        <v>603</v>
      </c>
      <c r="H938" s="93" t="s">
        <v>478</v>
      </c>
      <c r="I938" s="96">
        <v>11.5</v>
      </c>
      <c r="J938" s="97" t="s">
        <v>146</v>
      </c>
      <c r="K938" s="98">
        <v>240</v>
      </c>
      <c r="L938" s="109" t="s">
        <v>783</v>
      </c>
      <c r="M938" s="87" t="s">
        <v>926</v>
      </c>
      <c r="N938" s="87">
        <v>17</v>
      </c>
      <c r="O938" s="87" t="s">
        <v>925</v>
      </c>
      <c r="P938" s="87">
        <v>21</v>
      </c>
      <c r="Q938" s="87"/>
      <c r="R938" s="87"/>
      <c r="S938" s="26" t="s">
        <v>1786</v>
      </c>
      <c r="T938" s="26" t="s">
        <v>1787</v>
      </c>
      <c r="U938" s="26" t="s">
        <v>1782</v>
      </c>
      <c r="V938" s="26" t="s">
        <v>1783</v>
      </c>
      <c r="W938" s="63">
        <v>44816</v>
      </c>
      <c r="X938" s="63">
        <v>44902</v>
      </c>
      <c r="Y938" s="63">
        <v>45005</v>
      </c>
      <c r="Z938" s="63">
        <v>45100</v>
      </c>
      <c r="AA938" s="22" t="s">
        <v>1827</v>
      </c>
      <c r="AB938" s="23" t="s">
        <v>731</v>
      </c>
      <c r="AC938" s="23"/>
      <c r="AD938" s="23" t="s">
        <v>731</v>
      </c>
      <c r="AE938" s="23"/>
      <c r="AF938" s="23" t="s">
        <v>731</v>
      </c>
      <c r="AG938" s="23" t="s">
        <v>731</v>
      </c>
      <c r="AH938" s="23" t="s">
        <v>731</v>
      </c>
      <c r="AI938" s="23" t="s">
        <v>731</v>
      </c>
      <c r="AJ938" s="23" t="s">
        <v>731</v>
      </c>
      <c r="AK938" s="23" t="s">
        <v>731</v>
      </c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42">
        <v>28.75</v>
      </c>
      <c r="AW938" s="42"/>
      <c r="AY938" s="18"/>
      <c r="AZ938" s="18"/>
      <c r="BB938" s="45">
        <v>1</v>
      </c>
      <c r="BC938" s="41">
        <f>IF(AND((AV938/I938)&lt;2,BB938=1),(I938*2)-AV938,0)</f>
        <v>0</v>
      </c>
      <c r="BD938" s="41">
        <f>IF(AND((AV938/I938)&lt;3,BB938=2),(I938*3)-AV938,0)</f>
        <v>0</v>
      </c>
      <c r="BG938" s="18"/>
      <c r="BH938" s="18">
        <v>17</v>
      </c>
      <c r="BI938" s="18">
        <v>26</v>
      </c>
      <c r="BJ938" s="18">
        <v>25</v>
      </c>
      <c r="BK938" s="18">
        <v>6</v>
      </c>
      <c r="BL938" s="18">
        <v>0</v>
      </c>
      <c r="BM938" s="55">
        <f>SUM(AV938:AX938)+SUM(BC938:BD938)+SUM(BE938:BF938)+BG938</f>
        <v>28.75</v>
      </c>
      <c r="BN938" s="55"/>
      <c r="BO938" s="55"/>
      <c r="BP938" s="55"/>
      <c r="BQ938" s="55"/>
      <c r="BR938" s="55"/>
      <c r="BS938" s="55"/>
      <c r="BT938" s="55"/>
      <c r="BU938" s="55"/>
      <c r="BV938" s="55"/>
      <c r="BW938" s="55"/>
      <c r="BX938" s="55"/>
      <c r="BY938" s="55"/>
      <c r="BZ938" s="55"/>
    </row>
    <row r="939" spans="1:78" ht="45">
      <c r="B939" s="89">
        <v>923</v>
      </c>
      <c r="C939" s="93">
        <v>646</v>
      </c>
      <c r="D939" s="93">
        <v>406</v>
      </c>
      <c r="E939" s="94">
        <v>0.73611111111111116</v>
      </c>
      <c r="F939" s="94">
        <v>0.79513888888888884</v>
      </c>
      <c r="G939" s="93" t="s">
        <v>145</v>
      </c>
      <c r="H939" s="93" t="s">
        <v>103</v>
      </c>
      <c r="I939" s="96">
        <v>43</v>
      </c>
      <c r="J939" s="97" t="s">
        <v>93</v>
      </c>
      <c r="K939" s="98">
        <v>174</v>
      </c>
      <c r="L939" s="109" t="s">
        <v>785</v>
      </c>
      <c r="M939" s="87" t="s">
        <v>967</v>
      </c>
      <c r="N939" s="87">
        <v>24</v>
      </c>
      <c r="O939" s="83" t="s">
        <v>1291</v>
      </c>
      <c r="P939" s="83">
        <v>56</v>
      </c>
      <c r="Q939" s="87" t="s">
        <v>968</v>
      </c>
      <c r="R939" s="84">
        <v>20</v>
      </c>
      <c r="S939" s="38" t="s">
        <v>1974</v>
      </c>
      <c r="T939" s="26" t="s">
        <v>1975</v>
      </c>
      <c r="U939" s="26">
        <v>6300</v>
      </c>
      <c r="V939" s="26" t="s">
        <v>1358</v>
      </c>
      <c r="W939" s="62">
        <v>44816</v>
      </c>
      <c r="X939" s="62">
        <v>45086</v>
      </c>
      <c r="Y939" s="62"/>
      <c r="Z939" s="62"/>
      <c r="AA939" s="22" t="s">
        <v>1102</v>
      </c>
      <c r="AB939" s="23"/>
      <c r="AC939" s="23"/>
      <c r="AD939" s="23"/>
      <c r="AE939" s="23" t="s">
        <v>731</v>
      </c>
      <c r="AF939" s="23" t="s">
        <v>731</v>
      </c>
      <c r="AG939" s="23" t="s">
        <v>731</v>
      </c>
      <c r="AH939" s="23" t="s">
        <v>731</v>
      </c>
      <c r="AI939" s="23" t="s">
        <v>731</v>
      </c>
      <c r="AJ939" s="23" t="s">
        <v>731</v>
      </c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42">
        <v>135.59</v>
      </c>
      <c r="AW939" s="42"/>
      <c r="AY939" s="18"/>
      <c r="AZ939" s="18"/>
      <c r="BB939" s="45">
        <v>1</v>
      </c>
      <c r="BC939" s="41">
        <f>IF(AND((AV939/I939)&lt;2,BB939=1),(I939*2)-AV939,0)</f>
        <v>0</v>
      </c>
      <c r="BD939" s="41">
        <f>IF(AND((AV939/I939)&lt;3,BB939=2),(I939*3)-AV939,0)</f>
        <v>0</v>
      </c>
      <c r="BG939" s="18"/>
      <c r="BH939" s="18">
        <v>15</v>
      </c>
      <c r="BI939" s="18">
        <v>20</v>
      </c>
      <c r="BJ939" s="18">
        <v>21</v>
      </c>
      <c r="BK939" s="18">
        <v>15</v>
      </c>
      <c r="BL939" s="18">
        <v>17</v>
      </c>
      <c r="BM939" s="55">
        <f>SUM(AV939:AX939)+SUM(BC939:BD939)+SUM(BE939:BF939)+BG939</f>
        <v>135.59</v>
      </c>
      <c r="BN939" s="22" t="s">
        <v>1160</v>
      </c>
      <c r="BO939" s="55"/>
      <c r="BP939" s="55"/>
      <c r="BQ939" s="55"/>
      <c r="BR939" s="55"/>
      <c r="BS939" s="55"/>
      <c r="BT939" s="55"/>
      <c r="BU939" s="55"/>
      <c r="BV939" s="55"/>
      <c r="BW939" s="221">
        <v>13</v>
      </c>
      <c r="BX939" s="55"/>
      <c r="BY939" s="55">
        <v>66.16</v>
      </c>
      <c r="BZ939" s="55"/>
    </row>
    <row r="940" spans="1:78" ht="38.25">
      <c r="A940" s="110" t="s">
        <v>1166</v>
      </c>
      <c r="B940" s="89">
        <v>924</v>
      </c>
      <c r="C940" s="93">
        <v>646</v>
      </c>
      <c r="D940" s="93">
        <v>319</v>
      </c>
      <c r="E940" s="94">
        <v>0.73958333333333337</v>
      </c>
      <c r="F940" s="94">
        <v>0.74791666666666667</v>
      </c>
      <c r="G940" s="93" t="s">
        <v>604</v>
      </c>
      <c r="H940" s="106" t="s">
        <v>1067</v>
      </c>
      <c r="I940" s="96">
        <v>6</v>
      </c>
      <c r="J940" s="97" t="s">
        <v>146</v>
      </c>
      <c r="K940" s="111">
        <v>225</v>
      </c>
      <c r="L940" s="109" t="s">
        <v>783</v>
      </c>
      <c r="M940" s="87" t="s">
        <v>926</v>
      </c>
      <c r="N940" s="87">
        <v>17</v>
      </c>
      <c r="O940" s="87" t="s">
        <v>925</v>
      </c>
      <c r="P940" s="87">
        <v>21</v>
      </c>
      <c r="Q940" s="87"/>
      <c r="R940" s="87"/>
      <c r="S940" s="26">
        <v>6401</v>
      </c>
      <c r="T940" s="26" t="s">
        <v>1781</v>
      </c>
      <c r="U940" s="26" t="s">
        <v>1782</v>
      </c>
      <c r="V940" s="26" t="s">
        <v>1783</v>
      </c>
      <c r="W940" s="63">
        <v>44903</v>
      </c>
      <c r="X940" s="63">
        <v>45004</v>
      </c>
      <c r="Y940" s="63"/>
      <c r="Z940" s="63"/>
      <c r="AA940" s="23" t="s">
        <v>1826</v>
      </c>
      <c r="AB940" s="23" t="s">
        <v>731</v>
      </c>
      <c r="AC940" s="23"/>
      <c r="AD940" s="23" t="s">
        <v>731</v>
      </c>
      <c r="AE940" s="23"/>
      <c r="AF940" s="23" t="s">
        <v>731</v>
      </c>
      <c r="AG940" s="23" t="s">
        <v>731</v>
      </c>
      <c r="AH940" s="23" t="s">
        <v>731</v>
      </c>
      <c r="AI940" s="23" t="s">
        <v>731</v>
      </c>
      <c r="AJ940" s="23" t="s">
        <v>731</v>
      </c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42">
        <v>28.75</v>
      </c>
      <c r="AW940" s="42"/>
      <c r="AY940" s="18"/>
      <c r="AZ940" s="18"/>
      <c r="BB940" s="45">
        <v>1</v>
      </c>
      <c r="BC940" s="41">
        <f>IF(AND((AV940/I940)&lt;2,BB940=1),(I940*2)-AV940,0)</f>
        <v>0</v>
      </c>
      <c r="BD940" s="41">
        <f>IF(AND((AV940/I940)&lt;3,BB940=2),(I940*3)-AV940,0)</f>
        <v>0</v>
      </c>
      <c r="BG940" s="18"/>
      <c r="BH940" s="18">
        <v>0</v>
      </c>
      <c r="BI940" s="18">
        <v>0</v>
      </c>
      <c r="BJ940" s="18">
        <v>0</v>
      </c>
      <c r="BK940" s="18">
        <v>15</v>
      </c>
      <c r="BL940" s="18">
        <v>21</v>
      </c>
      <c r="BM940" s="55">
        <f>SUM(AV940:AX940)+SUM(BC940:BD940)+SUM(BE940:BF940)+BG940</f>
        <v>28.75</v>
      </c>
      <c r="BN940" s="55"/>
      <c r="BO940" s="55"/>
      <c r="BP940" s="55"/>
      <c r="BQ940" s="55"/>
      <c r="BR940" s="55"/>
      <c r="BS940" s="55"/>
      <c r="BT940" s="55"/>
      <c r="BU940" s="55"/>
      <c r="BV940" s="55"/>
      <c r="BW940" s="55"/>
      <c r="BX940" s="55"/>
      <c r="BY940" s="55"/>
      <c r="BZ940" s="55"/>
    </row>
    <row r="941" spans="1:78" ht="33.75">
      <c r="B941" s="89">
        <v>925</v>
      </c>
      <c r="C941" s="93">
        <v>646</v>
      </c>
      <c r="D941" s="97">
        <v>314</v>
      </c>
      <c r="E941" s="94">
        <v>0.76874999999999993</v>
      </c>
      <c r="F941" s="105">
        <v>0.78819444444444453</v>
      </c>
      <c r="G941" s="93" t="s">
        <v>663</v>
      </c>
      <c r="H941" s="93" t="s">
        <v>662</v>
      </c>
      <c r="I941" s="96">
        <v>15</v>
      </c>
      <c r="J941" s="97">
        <v>16</v>
      </c>
      <c r="K941" s="98">
        <f>174-33</f>
        <v>141</v>
      </c>
      <c r="L941" s="109" t="s">
        <v>786</v>
      </c>
      <c r="M941" s="87" t="s">
        <v>959</v>
      </c>
      <c r="N941" s="87">
        <v>9</v>
      </c>
      <c r="O941" s="87" t="s">
        <v>1287</v>
      </c>
      <c r="P941" s="87">
        <v>9</v>
      </c>
      <c r="R941" s="87"/>
      <c r="S941" s="26" t="s">
        <v>1786</v>
      </c>
      <c r="T941" s="26" t="s">
        <v>1787</v>
      </c>
      <c r="U941" s="26">
        <v>6410</v>
      </c>
      <c r="V941" s="26" t="s">
        <v>1784</v>
      </c>
      <c r="W941" s="62">
        <v>44816</v>
      </c>
      <c r="X941" s="62">
        <v>45086</v>
      </c>
      <c r="Y941" s="62"/>
      <c r="Z941" s="62"/>
      <c r="AA941" s="23" t="s">
        <v>1160</v>
      </c>
      <c r="AB941" s="23"/>
      <c r="AC941" s="23"/>
      <c r="AD941" s="23"/>
      <c r="AE941" s="23" t="s">
        <v>731</v>
      </c>
      <c r="AF941" s="23"/>
      <c r="AG941" s="23" t="s">
        <v>731</v>
      </c>
      <c r="AH941" s="23" t="s">
        <v>731</v>
      </c>
      <c r="AI941" s="23" t="s">
        <v>731</v>
      </c>
      <c r="AJ941" s="23" t="s">
        <v>731</v>
      </c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42">
        <v>45</v>
      </c>
      <c r="AW941" s="42"/>
      <c r="AY941" s="18"/>
      <c r="AZ941" s="18"/>
      <c r="BA941" s="18">
        <v>23</v>
      </c>
      <c r="BB941" s="45">
        <v>1</v>
      </c>
      <c r="BC941" s="41">
        <f>IF(AND((AV941/I941)&lt;2,BB941=1),(I941*2)-AV941,0)</f>
        <v>0</v>
      </c>
      <c r="BD941" s="41">
        <f>IF(AND((AV941/I941)&lt;3,BB941=2),(I941*3)-AV941,0)</f>
        <v>0</v>
      </c>
      <c r="BG941" s="18"/>
      <c r="BH941" s="18">
        <v>12</v>
      </c>
      <c r="BI941" s="18">
        <v>16</v>
      </c>
      <c r="BJ941" s="18">
        <v>17</v>
      </c>
      <c r="BK941" s="18">
        <v>12</v>
      </c>
      <c r="BL941" s="18">
        <v>13</v>
      </c>
      <c r="BM941" s="55">
        <f>SUM(AV941:AX941)+SUM(BC941:BD941)+SUM(BE941:BF941)+BG941</f>
        <v>45</v>
      </c>
      <c r="BN941" s="55"/>
      <c r="BO941" s="55"/>
      <c r="BP941" s="55"/>
      <c r="BQ941" s="55"/>
      <c r="BR941" s="55"/>
      <c r="BS941" s="55"/>
      <c r="BT941" s="55"/>
      <c r="BU941" s="55"/>
      <c r="BV941" s="55"/>
      <c r="BW941" s="55"/>
      <c r="BX941" s="55"/>
      <c r="BY941" s="55"/>
      <c r="BZ941" s="55"/>
    </row>
    <row r="942" spans="1:78" ht="63.75">
      <c r="B942" s="89">
        <v>926</v>
      </c>
      <c r="C942" s="93">
        <v>646</v>
      </c>
      <c r="D942" s="93">
        <v>314</v>
      </c>
      <c r="E942" s="94">
        <v>0.77638888888888891</v>
      </c>
      <c r="F942" s="105">
        <v>0.78194444444444444</v>
      </c>
      <c r="G942" s="93" t="s">
        <v>144</v>
      </c>
      <c r="H942" s="93" t="s">
        <v>143</v>
      </c>
      <c r="I942" s="96">
        <v>7</v>
      </c>
      <c r="J942" s="97" t="s">
        <v>116</v>
      </c>
      <c r="K942" s="98">
        <v>30</v>
      </c>
      <c r="L942" s="109" t="s">
        <v>785</v>
      </c>
      <c r="M942" s="87" t="s">
        <v>967</v>
      </c>
      <c r="N942" s="87">
        <v>24</v>
      </c>
      <c r="O942" s="83" t="s">
        <v>1291</v>
      </c>
      <c r="P942" s="83">
        <v>56</v>
      </c>
      <c r="Q942" s="87" t="s">
        <v>968</v>
      </c>
      <c r="R942" s="84">
        <v>20</v>
      </c>
      <c r="S942" s="26">
        <v>6401</v>
      </c>
      <c r="T942" s="26" t="s">
        <v>1781</v>
      </c>
      <c r="U942" s="26" t="s">
        <v>1786</v>
      </c>
      <c r="V942" s="26" t="s">
        <v>1787</v>
      </c>
      <c r="W942" s="63">
        <v>44816</v>
      </c>
      <c r="X942" s="63">
        <v>44902</v>
      </c>
      <c r="Y942" s="63">
        <v>45005</v>
      </c>
      <c r="Z942" s="63">
        <v>45100</v>
      </c>
      <c r="AA942" s="22" t="s">
        <v>1828</v>
      </c>
      <c r="AB942" s="23" t="s">
        <v>731</v>
      </c>
      <c r="AC942" s="23"/>
      <c r="AD942" s="23"/>
      <c r="AE942" s="23"/>
      <c r="AF942" s="23"/>
      <c r="AG942" s="23"/>
      <c r="AH942" s="23"/>
      <c r="AI942" s="23"/>
      <c r="AJ942" s="23"/>
      <c r="AK942" s="23"/>
      <c r="AL942" s="23" t="s">
        <v>731</v>
      </c>
      <c r="AM942" s="23"/>
      <c r="AN942" s="23"/>
      <c r="AO942" s="23"/>
      <c r="AP942" s="23"/>
      <c r="AQ942" s="23"/>
      <c r="AR942" s="23"/>
      <c r="AS942" s="23"/>
      <c r="AT942" s="23"/>
      <c r="AU942" s="23"/>
      <c r="AV942" s="42">
        <v>27.46</v>
      </c>
      <c r="AW942" s="42"/>
      <c r="AY942" s="18"/>
      <c r="AZ942" s="18"/>
      <c r="BB942" s="45">
        <v>1</v>
      </c>
      <c r="BC942" s="41">
        <f>IF(AND((AV942/I942)&lt;2,BB942=1),(I942*2)-AV942,0)</f>
        <v>0</v>
      </c>
      <c r="BD942" s="41">
        <f>IF(AND((AV942/I942)&lt;3,BB942=2),(I942*3)-AV942,0)</f>
        <v>0</v>
      </c>
      <c r="BG942" s="18"/>
      <c r="BH942" s="18">
        <v>2</v>
      </c>
      <c r="BI942" s="18">
        <v>5</v>
      </c>
      <c r="BJ942" s="18">
        <v>5</v>
      </c>
      <c r="BK942" s="18">
        <v>1</v>
      </c>
      <c r="BL942" s="18">
        <v>0</v>
      </c>
      <c r="BM942" s="55">
        <f>SUM(AV942:AX942)+SUM(BC942:BD942)+SUM(BE942:BF942)+BG942</f>
        <v>27.46</v>
      </c>
      <c r="BN942" s="22" t="s">
        <v>1828</v>
      </c>
      <c r="BO942" s="55"/>
      <c r="BP942" s="55"/>
      <c r="BQ942" s="55"/>
      <c r="BR942" s="55"/>
      <c r="BS942" s="55"/>
      <c r="BT942" s="55"/>
      <c r="BU942" s="55"/>
      <c r="BV942" s="55"/>
      <c r="BW942" s="221">
        <v>0</v>
      </c>
      <c r="BX942" s="55"/>
      <c r="BY942" s="55">
        <v>272.54000000000002</v>
      </c>
      <c r="BZ942" s="55"/>
    </row>
    <row r="943" spans="1:78" ht="33.75">
      <c r="B943" s="89">
        <v>927</v>
      </c>
      <c r="C943" s="93">
        <v>646</v>
      </c>
      <c r="D943" s="93">
        <v>418</v>
      </c>
      <c r="E943" s="94">
        <v>0.8256944444444444</v>
      </c>
      <c r="F943" s="94">
        <v>0.83124999999999993</v>
      </c>
      <c r="G943" s="93" t="s">
        <v>144</v>
      </c>
      <c r="H943" s="93" t="s">
        <v>478</v>
      </c>
      <c r="I943" s="96">
        <v>4.5</v>
      </c>
      <c r="J943" s="97" t="s">
        <v>146</v>
      </c>
      <c r="K943" s="98">
        <v>240</v>
      </c>
      <c r="L943" s="109" t="s">
        <v>783</v>
      </c>
      <c r="M943" s="87" t="s">
        <v>926</v>
      </c>
      <c r="N943" s="87">
        <v>17</v>
      </c>
      <c r="O943" s="87" t="s">
        <v>925</v>
      </c>
      <c r="P943" s="87">
        <v>21</v>
      </c>
      <c r="Q943" s="87"/>
      <c r="R943" s="87"/>
      <c r="S943" s="26">
        <v>6401</v>
      </c>
      <c r="T943" s="26" t="s">
        <v>1781</v>
      </c>
      <c r="U943" s="26" t="s">
        <v>1786</v>
      </c>
      <c r="V943" s="26" t="s">
        <v>1787</v>
      </c>
      <c r="W943" s="63">
        <v>44816</v>
      </c>
      <c r="X943" s="63">
        <v>45100</v>
      </c>
      <c r="Y943" s="63"/>
      <c r="Z943" s="63"/>
      <c r="AA943" s="26" t="s">
        <v>1112</v>
      </c>
      <c r="AB943" s="23" t="s">
        <v>731</v>
      </c>
      <c r="AC943" s="23"/>
      <c r="AD943" s="23" t="s">
        <v>731</v>
      </c>
      <c r="AE943" s="23"/>
      <c r="AF943" s="23" t="s">
        <v>731</v>
      </c>
      <c r="AG943" s="23" t="s">
        <v>731</v>
      </c>
      <c r="AH943" s="23" t="s">
        <v>731</v>
      </c>
      <c r="AI943" s="23" t="s">
        <v>731</v>
      </c>
      <c r="AJ943" s="23" t="s">
        <v>731</v>
      </c>
      <c r="AK943" s="23" t="s">
        <v>731</v>
      </c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42">
        <v>11.25</v>
      </c>
      <c r="AW943" s="42"/>
      <c r="AY943" s="18"/>
      <c r="AZ943" s="18"/>
      <c r="BB943" s="45">
        <v>1</v>
      </c>
      <c r="BC943" s="41">
        <f>IF(AND((AV943/I943)&lt;2,BB943=1),(I943*2)-AV943,0)</f>
        <v>0</v>
      </c>
      <c r="BD943" s="41">
        <f>IF(AND((AV943/I943)&lt;3,BB943=2),(I943*3)-AV943,0)</f>
        <v>0</v>
      </c>
      <c r="BG943" s="18"/>
      <c r="BH943" s="18">
        <v>17</v>
      </c>
      <c r="BI943" s="18">
        <v>26</v>
      </c>
      <c r="BJ943" s="18">
        <v>25</v>
      </c>
      <c r="BK943" s="18">
        <v>25</v>
      </c>
      <c r="BL943" s="18">
        <v>25</v>
      </c>
      <c r="BM943" s="55">
        <f>SUM(AV943:AX943)+SUM(BC943:BD943)+SUM(BE943:BF943)+BG943</f>
        <v>11.25</v>
      </c>
      <c r="BN943" s="55"/>
      <c r="BO943" s="55"/>
      <c r="BP943" s="55"/>
      <c r="BQ943" s="55"/>
      <c r="BR943" s="55"/>
      <c r="BS943" s="55"/>
      <c r="BT943" s="55"/>
      <c r="BU943" s="55"/>
      <c r="BV943" s="55"/>
      <c r="BW943" s="55"/>
      <c r="BX943" s="55"/>
      <c r="BY943" s="55"/>
    </row>
    <row r="944" spans="1:78" ht="56.25">
      <c r="B944" s="89">
        <v>928</v>
      </c>
      <c r="C944" s="106">
        <v>401</v>
      </c>
      <c r="D944" s="93">
        <v>124</v>
      </c>
      <c r="E944" s="105">
        <v>0.30277777777777776</v>
      </c>
      <c r="F944" s="105">
        <v>0.32777777777777778</v>
      </c>
      <c r="G944" s="93" t="s">
        <v>202</v>
      </c>
      <c r="H944" s="93" t="s">
        <v>97</v>
      </c>
      <c r="I944" s="96">
        <f>20+2.5</f>
        <v>22.5</v>
      </c>
      <c r="J944" s="97" t="s">
        <v>101</v>
      </c>
      <c r="K944" s="98">
        <v>208</v>
      </c>
      <c r="L944" s="99" t="s">
        <v>758</v>
      </c>
      <c r="M944" s="87" t="s">
        <v>1261</v>
      </c>
      <c r="N944" s="87">
        <v>57</v>
      </c>
      <c r="O944" s="227" t="s">
        <v>2092</v>
      </c>
      <c r="P944" s="227">
        <v>55</v>
      </c>
      <c r="R944" s="87"/>
      <c r="S944" s="26" t="s">
        <v>1791</v>
      </c>
      <c r="T944" s="26" t="s">
        <v>1792</v>
      </c>
      <c r="U944" s="26">
        <v>4400</v>
      </c>
      <c r="V944" s="26" t="s">
        <v>1652</v>
      </c>
      <c r="W944" s="62">
        <v>44816</v>
      </c>
      <c r="X944" s="62">
        <v>45086</v>
      </c>
      <c r="Y944" s="62"/>
      <c r="Z944" s="62"/>
      <c r="AA944" s="22" t="s">
        <v>1106</v>
      </c>
      <c r="AB944" s="23"/>
      <c r="AC944" s="23"/>
      <c r="AD944" s="23"/>
      <c r="AE944" s="23" t="s">
        <v>731</v>
      </c>
      <c r="AF944" s="23" t="s">
        <v>731</v>
      </c>
      <c r="AG944" s="23" t="s">
        <v>731</v>
      </c>
      <c r="AH944" s="23" t="s">
        <v>731</v>
      </c>
      <c r="AI944" s="23" t="s">
        <v>731</v>
      </c>
      <c r="AJ944" s="23" t="s">
        <v>731</v>
      </c>
      <c r="AK944" s="23" t="s">
        <v>731</v>
      </c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42">
        <v>182.5</v>
      </c>
      <c r="AW944" s="42"/>
      <c r="AY944" s="18"/>
      <c r="AZ944" s="18"/>
      <c r="BB944" s="43">
        <v>2</v>
      </c>
      <c r="BC944" s="41">
        <f>IF(AND((AV944/I944)&lt;2,BB944=1),(I944*2)-AV944,0)</f>
        <v>0</v>
      </c>
      <c r="BD944" s="41">
        <f>IF(AND((AV944/I944)&lt;3,BB944=2),(I944*3)-AV944,0)</f>
        <v>0</v>
      </c>
      <c r="BG944" s="18"/>
      <c r="BH944" s="18">
        <v>17</v>
      </c>
      <c r="BI944" s="18">
        <v>25</v>
      </c>
      <c r="BJ944" s="18">
        <v>25</v>
      </c>
      <c r="BK944" s="18">
        <v>18</v>
      </c>
      <c r="BL944" s="18">
        <v>20</v>
      </c>
      <c r="BM944" s="55">
        <f>SUM(AV944:AX944)+SUM(BC944:BD944)+SUM(BE944:BF944)+BG944</f>
        <v>182.5</v>
      </c>
      <c r="BN944" s="55"/>
      <c r="BO944" s="55"/>
      <c r="BP944" s="55"/>
      <c r="BQ944" s="55"/>
      <c r="BR944" s="55"/>
      <c r="BS944" s="55"/>
      <c r="BT944" s="55"/>
      <c r="BU944" s="55"/>
      <c r="BV944" s="55"/>
      <c r="BW944" s="55"/>
      <c r="BX944" s="55"/>
      <c r="BY944" s="55"/>
    </row>
    <row r="945" spans="1:78" ht="33.75">
      <c r="A945" s="2" t="s">
        <v>1061</v>
      </c>
      <c r="B945" s="89" t="s">
        <v>1845</v>
      </c>
      <c r="C945" s="93">
        <v>645</v>
      </c>
      <c r="D945" s="93">
        <v>307</v>
      </c>
      <c r="E945" s="94">
        <v>0.28333333333333333</v>
      </c>
      <c r="F945" s="94">
        <v>0.28819444444444448</v>
      </c>
      <c r="G945" s="93" t="s">
        <v>1060</v>
      </c>
      <c r="H945" s="93" t="s">
        <v>97</v>
      </c>
      <c r="I945" s="96">
        <v>2.8</v>
      </c>
      <c r="J945" s="97">
        <v>8</v>
      </c>
      <c r="K945" s="98">
        <v>208</v>
      </c>
      <c r="L945" s="99" t="s">
        <v>783</v>
      </c>
      <c r="M945" s="83" t="s">
        <v>928</v>
      </c>
      <c r="N945" s="83">
        <v>7</v>
      </c>
      <c r="O945" s="83" t="s">
        <v>927</v>
      </c>
      <c r="P945" s="83">
        <v>9</v>
      </c>
      <c r="Q945" s="83"/>
      <c r="S945" s="26" t="s">
        <v>1793</v>
      </c>
      <c r="T945" s="26" t="s">
        <v>1794</v>
      </c>
      <c r="U945" s="26" t="s">
        <v>1795</v>
      </c>
      <c r="V945" s="26" t="s">
        <v>1796</v>
      </c>
      <c r="W945" s="62">
        <v>44816</v>
      </c>
      <c r="X945" s="62">
        <v>45086</v>
      </c>
      <c r="Y945" s="62"/>
      <c r="Z945" s="62"/>
      <c r="AA945" s="22" t="s">
        <v>1106</v>
      </c>
      <c r="AB945" s="23"/>
      <c r="AC945" s="23"/>
      <c r="AD945" s="23"/>
      <c r="AE945" s="23" t="s">
        <v>731</v>
      </c>
      <c r="AF945" s="23" t="s">
        <v>731</v>
      </c>
      <c r="AG945" s="23" t="s">
        <v>731</v>
      </c>
      <c r="AH945" s="23" t="s">
        <v>731</v>
      </c>
      <c r="AI945" s="23" t="s">
        <v>731</v>
      </c>
      <c r="AJ945" s="23" t="s">
        <v>731</v>
      </c>
      <c r="AK945" s="23" t="s">
        <v>731</v>
      </c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42"/>
      <c r="AX945" s="41">
        <f>25/1.1</f>
        <v>22.727272727272727</v>
      </c>
      <c r="AY945" s="42"/>
      <c r="AZ945" s="42"/>
      <c r="BB945" s="45">
        <v>1</v>
      </c>
      <c r="BC945" s="45"/>
      <c r="BD945" s="45"/>
      <c r="BE945" s="45"/>
      <c r="BF945" s="45"/>
      <c r="BG945" s="50"/>
      <c r="BH945" s="18">
        <v>17</v>
      </c>
      <c r="BI945" s="18">
        <v>25</v>
      </c>
      <c r="BJ945" s="18">
        <v>25</v>
      </c>
      <c r="BK945" s="18">
        <v>18</v>
      </c>
      <c r="BL945" s="18">
        <v>20</v>
      </c>
      <c r="BM945" s="55">
        <f>SUM(AV945:AX945)+SUM(BC945:BD945)+SUM(BE945:BF945)+BG945</f>
        <v>22.727272727272727</v>
      </c>
      <c r="BN945" s="199"/>
      <c r="BO945" s="199"/>
      <c r="BP945" s="199"/>
      <c r="BQ945" s="199"/>
      <c r="BR945" s="199"/>
      <c r="BS945" s="199"/>
      <c r="BT945" s="199"/>
      <c r="BU945" s="199"/>
      <c r="BV945" s="199"/>
      <c r="BW945" s="199"/>
      <c r="BX945" s="199"/>
      <c r="BY945" s="199"/>
      <c r="BZ945" s="45"/>
    </row>
    <row r="946" spans="1:78" ht="33.75">
      <c r="A946" s="2" t="s">
        <v>1088</v>
      </c>
      <c r="B946" s="89" t="s">
        <v>1845</v>
      </c>
      <c r="C946" s="93">
        <v>101</v>
      </c>
      <c r="D946" s="93">
        <v>57</v>
      </c>
      <c r="E946" s="94">
        <v>0.70833333333333337</v>
      </c>
      <c r="F946" s="94">
        <v>0.79166666666666663</v>
      </c>
      <c r="G946" s="93" t="s">
        <v>1085</v>
      </c>
      <c r="H946" s="93" t="s">
        <v>1086</v>
      </c>
      <c r="I946" s="96">
        <v>92</v>
      </c>
      <c r="J946" s="97">
        <v>19</v>
      </c>
      <c r="K946" s="98">
        <v>18</v>
      </c>
      <c r="L946" s="99" t="s">
        <v>1087</v>
      </c>
      <c r="M946" s="83" t="s">
        <v>855</v>
      </c>
      <c r="N946" s="83">
        <v>21</v>
      </c>
      <c r="O946" s="83" t="s">
        <v>854</v>
      </c>
      <c r="P946" s="83">
        <v>24</v>
      </c>
      <c r="S946" s="26" t="s">
        <v>1797</v>
      </c>
      <c r="T946" s="26" t="s">
        <v>1798</v>
      </c>
      <c r="U946" s="26">
        <v>1</v>
      </c>
      <c r="V946" s="26" t="s">
        <v>1403</v>
      </c>
      <c r="W946" s="62">
        <v>44816</v>
      </c>
      <c r="X946" s="62">
        <v>45086</v>
      </c>
      <c r="Y946" s="62"/>
      <c r="Z946" s="62"/>
      <c r="AA946" s="23" t="s">
        <v>1161</v>
      </c>
      <c r="AB946" s="23"/>
      <c r="AC946" s="23"/>
      <c r="AD946" s="23"/>
      <c r="AE946" s="23" t="s">
        <v>731</v>
      </c>
      <c r="AF946" s="23"/>
      <c r="AG946" s="23"/>
      <c r="AH946" s="23"/>
      <c r="AI946" s="23"/>
      <c r="AJ946" s="23" t="s">
        <v>731</v>
      </c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42"/>
      <c r="AX946" s="41">
        <f>3*I946</f>
        <v>276</v>
      </c>
      <c r="AY946" s="42"/>
      <c r="AZ946" s="42"/>
      <c r="BB946" s="45">
        <v>1</v>
      </c>
      <c r="BC946" s="45"/>
      <c r="BD946" s="45"/>
      <c r="BE946" s="45"/>
      <c r="BF946" s="45"/>
      <c r="BG946" s="45"/>
      <c r="BH946" s="18">
        <v>1</v>
      </c>
      <c r="BI946" s="18">
        <v>2</v>
      </c>
      <c r="BJ946" s="18">
        <v>2</v>
      </c>
      <c r="BK946" s="18">
        <v>2</v>
      </c>
      <c r="BL946" s="18">
        <v>2</v>
      </c>
      <c r="BM946" s="55">
        <f>SUM(AV946:AX946)+SUM(BC946:BD946)+SUM(BE946:BF946)+BG946</f>
        <v>276</v>
      </c>
      <c r="BN946" s="199"/>
      <c r="BO946" s="199"/>
      <c r="BP946" s="199"/>
      <c r="BQ946" s="199"/>
      <c r="BR946" s="199"/>
      <c r="BS946" s="199"/>
      <c r="BT946" s="199"/>
      <c r="BU946" s="199"/>
      <c r="BV946" s="199"/>
      <c r="BW946" s="199"/>
      <c r="BX946" s="199"/>
      <c r="BY946" s="199"/>
      <c r="BZ946" s="45"/>
    </row>
    <row r="947" spans="1:78" ht="25.5">
      <c r="A947" s="2" t="s">
        <v>1088</v>
      </c>
      <c r="B947" s="89" t="s">
        <v>1845</v>
      </c>
      <c r="C947" s="93">
        <v>101</v>
      </c>
      <c r="D947" s="93">
        <v>57</v>
      </c>
      <c r="E947" s="94">
        <v>0.70833333333333337</v>
      </c>
      <c r="F947" s="94">
        <v>0.79166666666666663</v>
      </c>
      <c r="G947" s="93" t="s">
        <v>1085</v>
      </c>
      <c r="H947" s="93" t="s">
        <v>1086</v>
      </c>
      <c r="I947" s="96">
        <v>92</v>
      </c>
      <c r="J947" s="97">
        <v>19</v>
      </c>
      <c r="K947" s="98">
        <v>18</v>
      </c>
      <c r="L947" s="99" t="s">
        <v>1089</v>
      </c>
      <c r="M947" s="83" t="s">
        <v>1090</v>
      </c>
      <c r="N947" s="83">
        <v>21</v>
      </c>
      <c r="O947" s="83" t="s">
        <v>1292</v>
      </c>
      <c r="P947" s="83">
        <v>23</v>
      </c>
      <c r="Q947" s="83" t="s">
        <v>1293</v>
      </c>
      <c r="R947" s="84">
        <v>16</v>
      </c>
      <c r="S947" s="26" t="s">
        <v>1797</v>
      </c>
      <c r="T947" s="26" t="s">
        <v>1798</v>
      </c>
      <c r="U947" s="26">
        <v>1</v>
      </c>
      <c r="V947" s="26" t="s">
        <v>1403</v>
      </c>
      <c r="W947" s="62">
        <v>44816</v>
      </c>
      <c r="X947" s="62">
        <v>45086</v>
      </c>
      <c r="Y947" s="62"/>
      <c r="Z947" s="62"/>
      <c r="AA947" s="23" t="s">
        <v>1161</v>
      </c>
      <c r="AB947" s="23"/>
      <c r="AC947" s="23"/>
      <c r="AD947" s="23"/>
      <c r="AE947" s="23" t="s">
        <v>731</v>
      </c>
      <c r="AF947" s="23"/>
      <c r="AG947" s="23"/>
      <c r="AH947" s="23"/>
      <c r="AI947" s="23"/>
      <c r="AJ947" s="23" t="s">
        <v>731</v>
      </c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42"/>
      <c r="AX947" s="41">
        <f>3*I947</f>
        <v>276</v>
      </c>
      <c r="AY947" s="42"/>
      <c r="AZ947" s="42"/>
      <c r="BB947" s="45">
        <v>1</v>
      </c>
      <c r="BC947" s="45"/>
      <c r="BD947" s="45"/>
      <c r="BE947" s="45"/>
      <c r="BF947" s="45"/>
      <c r="BG947" s="45"/>
      <c r="BH947" s="18">
        <v>1</v>
      </c>
      <c r="BI947" s="18">
        <v>2</v>
      </c>
      <c r="BJ947" s="18">
        <v>2</v>
      </c>
      <c r="BK947" s="18">
        <v>2</v>
      </c>
      <c r="BL947" s="18">
        <v>1</v>
      </c>
      <c r="BM947" s="55">
        <f>SUM(AV947:AX947)+SUM(BC947:BD947)+SUM(BE947:BF947)+BG947</f>
        <v>276</v>
      </c>
      <c r="BN947" s="199"/>
      <c r="BO947" s="199"/>
      <c r="BP947" s="199"/>
      <c r="BQ947" s="199"/>
      <c r="BR947" s="199"/>
      <c r="BS947" s="199"/>
      <c r="BT947" s="199"/>
      <c r="BU947" s="199"/>
      <c r="BV947" s="199"/>
      <c r="BW947" s="199"/>
      <c r="BX947" s="199"/>
      <c r="BY947" s="199"/>
      <c r="BZ947" s="45"/>
    </row>
    <row r="948" spans="1:78" ht="51">
      <c r="A948" s="2" t="s">
        <v>1088</v>
      </c>
      <c r="B948" s="89" t="s">
        <v>1845</v>
      </c>
      <c r="C948" s="93">
        <v>101</v>
      </c>
      <c r="D948" s="93">
        <v>50</v>
      </c>
      <c r="E948" s="94">
        <v>0.76250000000000007</v>
      </c>
      <c r="F948" s="94">
        <v>0.84583333333333333</v>
      </c>
      <c r="G948" s="93" t="s">
        <v>1091</v>
      </c>
      <c r="H948" s="93" t="s">
        <v>1092</v>
      </c>
      <c r="I948" s="96">
        <v>92</v>
      </c>
      <c r="J948" s="97">
        <v>19</v>
      </c>
      <c r="K948" s="98">
        <v>18</v>
      </c>
      <c r="L948" s="99" t="s">
        <v>1087</v>
      </c>
      <c r="M948" s="83" t="s">
        <v>855</v>
      </c>
      <c r="N948" s="83">
        <v>21</v>
      </c>
      <c r="O948" s="83" t="s">
        <v>854</v>
      </c>
      <c r="P948" s="83">
        <v>24</v>
      </c>
      <c r="S948" s="26">
        <v>1</v>
      </c>
      <c r="T948" s="26" t="s">
        <v>1403</v>
      </c>
      <c r="U948" s="26" t="s">
        <v>1799</v>
      </c>
      <c r="V948" s="26" t="s">
        <v>1800</v>
      </c>
      <c r="W948" s="62">
        <v>44816</v>
      </c>
      <c r="X948" s="62">
        <v>45086</v>
      </c>
      <c r="Y948" s="62"/>
      <c r="Z948" s="62"/>
      <c r="AA948" s="23" t="s">
        <v>1162</v>
      </c>
      <c r="AB948" s="23"/>
      <c r="AC948" s="23"/>
      <c r="AD948" s="23"/>
      <c r="AE948" s="23" t="s">
        <v>731</v>
      </c>
      <c r="AF948" s="23"/>
      <c r="AG948" s="23"/>
      <c r="AH948" s="23"/>
      <c r="AI948" s="23"/>
      <c r="AJ948" s="23"/>
      <c r="AK948" s="23"/>
      <c r="AL948" s="23" t="s">
        <v>731</v>
      </c>
      <c r="AM948" s="23"/>
      <c r="AN948" s="23"/>
      <c r="AO948" s="23"/>
      <c r="AP948" s="23"/>
      <c r="AQ948" s="23"/>
      <c r="AR948" s="23"/>
      <c r="AS948" s="23"/>
      <c r="AT948" s="23"/>
      <c r="AU948" s="23"/>
      <c r="AV948" s="42"/>
      <c r="AX948" s="41">
        <f>3*I948</f>
        <v>276</v>
      </c>
      <c r="AY948" s="42"/>
      <c r="AZ948" s="42"/>
      <c r="BB948" s="45">
        <v>1</v>
      </c>
      <c r="BC948" s="45"/>
      <c r="BD948" s="45"/>
      <c r="BE948" s="45"/>
      <c r="BF948" s="45"/>
      <c r="BG948" s="45"/>
      <c r="BH948" s="18">
        <v>1</v>
      </c>
      <c r="BI948" s="18">
        <v>2</v>
      </c>
      <c r="BJ948" s="18">
        <v>2</v>
      </c>
      <c r="BK948" s="18">
        <v>2</v>
      </c>
      <c r="BL948" s="18">
        <v>2</v>
      </c>
      <c r="BM948" s="55">
        <f>SUM(AV948:AX948)+SUM(BC948:BD948)+SUM(BE948:BF948)+BG948</f>
        <v>276</v>
      </c>
      <c r="BN948" s="199"/>
      <c r="BO948" s="199"/>
      <c r="BP948" s="199"/>
      <c r="BQ948" s="199"/>
      <c r="BR948" s="199"/>
      <c r="BS948" s="199"/>
      <c r="BT948" s="199"/>
      <c r="BU948" s="199"/>
      <c r="BV948" s="199"/>
      <c r="BW948" s="199"/>
      <c r="BX948" s="199"/>
      <c r="BY948" s="199"/>
      <c r="BZ948" s="45"/>
    </row>
    <row r="949" spans="1:78" ht="51">
      <c r="A949" s="2" t="s">
        <v>1088</v>
      </c>
      <c r="B949" s="89" t="s">
        <v>1845</v>
      </c>
      <c r="C949" s="93">
        <v>101</v>
      </c>
      <c r="D949" s="93">
        <v>50</v>
      </c>
      <c r="E949" s="94">
        <v>0.76250000000000007</v>
      </c>
      <c r="F949" s="94">
        <v>0.84583333333333333</v>
      </c>
      <c r="G949" s="93" t="s">
        <v>1091</v>
      </c>
      <c r="H949" s="93" t="s">
        <v>1092</v>
      </c>
      <c r="I949" s="96">
        <v>92</v>
      </c>
      <c r="J949" s="97">
        <v>19</v>
      </c>
      <c r="K949" s="98">
        <v>18</v>
      </c>
      <c r="L949" s="99" t="s">
        <v>1089</v>
      </c>
      <c r="M949" s="83" t="s">
        <v>1090</v>
      </c>
      <c r="N949" s="83">
        <v>21</v>
      </c>
      <c r="O949" s="83" t="s">
        <v>1292</v>
      </c>
      <c r="P949" s="83">
        <v>23</v>
      </c>
      <c r="Q949" s="83" t="s">
        <v>1293</v>
      </c>
      <c r="R949" s="84">
        <v>16</v>
      </c>
      <c r="S949" s="26">
        <v>1</v>
      </c>
      <c r="T949" s="26" t="s">
        <v>1403</v>
      </c>
      <c r="U949" s="26" t="s">
        <v>1799</v>
      </c>
      <c r="V949" s="26" t="s">
        <v>1800</v>
      </c>
      <c r="W949" s="62">
        <v>44816</v>
      </c>
      <c r="X949" s="62">
        <v>45086</v>
      </c>
      <c r="Y949" s="62"/>
      <c r="Z949" s="62"/>
      <c r="AA949" s="23" t="s">
        <v>1162</v>
      </c>
      <c r="AB949" s="23"/>
      <c r="AC949" s="23"/>
      <c r="AD949" s="23"/>
      <c r="AE949" s="23" t="s">
        <v>731</v>
      </c>
      <c r="AF949" s="23"/>
      <c r="AG949" s="23"/>
      <c r="AH949" s="23"/>
      <c r="AI949" s="23"/>
      <c r="AJ949" s="23"/>
      <c r="AK949" s="23"/>
      <c r="AL949" s="23" t="s">
        <v>731</v>
      </c>
      <c r="AM949" s="23"/>
      <c r="AN949" s="23"/>
      <c r="AO949" s="23"/>
      <c r="AP949" s="23"/>
      <c r="AQ949" s="23"/>
      <c r="AR949" s="23"/>
      <c r="AS949" s="23"/>
      <c r="AT949" s="23"/>
      <c r="AU949" s="23"/>
      <c r="AV949" s="42"/>
      <c r="AX949" s="41">
        <f>3*I949</f>
        <v>276</v>
      </c>
      <c r="AY949" s="42"/>
      <c r="AZ949" s="42"/>
      <c r="BB949" s="45">
        <v>1</v>
      </c>
      <c r="BC949" s="45"/>
      <c r="BD949" s="45"/>
      <c r="BE949" s="45"/>
      <c r="BF949" s="45"/>
      <c r="BG949" s="45"/>
      <c r="BH949" s="18">
        <v>1</v>
      </c>
      <c r="BI949" s="18">
        <v>2</v>
      </c>
      <c r="BJ949" s="18">
        <v>3</v>
      </c>
      <c r="BK949" s="18">
        <v>1</v>
      </c>
      <c r="BL949" s="18">
        <v>2</v>
      </c>
      <c r="BM949" s="55">
        <f>SUM(AV949:AX949)+SUM(BC949:BD949)+SUM(BE949:BF949)+BG949</f>
        <v>276</v>
      </c>
      <c r="BN949" s="199"/>
      <c r="BO949" s="199"/>
      <c r="BP949" s="199"/>
      <c r="BQ949" s="199"/>
      <c r="BR949" s="199"/>
      <c r="BS949" s="199"/>
      <c r="BT949" s="199"/>
      <c r="BU949" s="199"/>
      <c r="BV949" s="199"/>
      <c r="BW949" s="199"/>
      <c r="BX949" s="199"/>
      <c r="BY949" s="199"/>
      <c r="BZ949" s="45"/>
    </row>
    <row r="950" spans="1:78" ht="38.25">
      <c r="A950" s="2" t="s">
        <v>1994</v>
      </c>
      <c r="B950" s="89" t="s">
        <v>1845</v>
      </c>
      <c r="C950" s="93">
        <v>620</v>
      </c>
      <c r="D950" s="93">
        <v>230</v>
      </c>
      <c r="E950" s="105">
        <v>0.25972222222222224</v>
      </c>
      <c r="F950" s="94">
        <v>0.2902777777777778</v>
      </c>
      <c r="G950" s="93" t="s">
        <v>1995</v>
      </c>
      <c r="H950" s="93" t="s">
        <v>103</v>
      </c>
      <c r="I950" s="96">
        <f>21.6-18</f>
        <v>3.6000000000000014</v>
      </c>
      <c r="J950" s="97" t="s">
        <v>93</v>
      </c>
      <c r="K950" s="98">
        <v>174</v>
      </c>
      <c r="L950" s="99" t="s">
        <v>747</v>
      </c>
      <c r="M950" s="119" t="s">
        <v>858</v>
      </c>
      <c r="N950" s="87">
        <v>23</v>
      </c>
      <c r="O950" s="87" t="s">
        <v>1268</v>
      </c>
      <c r="P950" s="87">
        <v>21</v>
      </c>
      <c r="R950" s="87"/>
      <c r="S950" s="26">
        <v>6144</v>
      </c>
      <c r="T950" s="26" t="s">
        <v>1707</v>
      </c>
      <c r="U950" s="26">
        <v>6146</v>
      </c>
      <c r="V950" s="26" t="s">
        <v>1706</v>
      </c>
      <c r="W950" s="62">
        <v>44816</v>
      </c>
      <c r="X950" s="62">
        <v>45086</v>
      </c>
      <c r="Y950" s="62"/>
      <c r="Z950" s="62"/>
      <c r="AA950" s="22" t="s">
        <v>1102</v>
      </c>
      <c r="AB950" s="23"/>
      <c r="AC950" s="23"/>
      <c r="AD950" s="23"/>
      <c r="AE950" s="23" t="s">
        <v>731</v>
      </c>
      <c r="AF950" s="23" t="s">
        <v>731</v>
      </c>
      <c r="AG950" s="23" t="s">
        <v>731</v>
      </c>
      <c r="AH950" s="23" t="s">
        <v>731</v>
      </c>
      <c r="AI950" s="23" t="s">
        <v>731</v>
      </c>
      <c r="AJ950" s="23" t="s">
        <v>731</v>
      </c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42"/>
      <c r="AX950" s="41">
        <f>3*I950</f>
        <v>10.800000000000004</v>
      </c>
      <c r="AY950" s="42"/>
      <c r="AZ950" s="42"/>
      <c r="BB950" s="45">
        <v>1</v>
      </c>
      <c r="BC950" s="45"/>
      <c r="BD950" s="45"/>
      <c r="BE950" s="45"/>
      <c r="BF950" s="45"/>
      <c r="BG950" s="45"/>
      <c r="BH950" s="18">
        <v>0</v>
      </c>
      <c r="BI950" s="18">
        <v>0</v>
      </c>
      <c r="BJ950" s="18">
        <v>56</v>
      </c>
      <c r="BK950" s="18">
        <v>15</v>
      </c>
      <c r="BL950" s="18">
        <v>17</v>
      </c>
      <c r="BM950" s="55">
        <f>SUM(AV950:AX950)+SUM(BC950:BD950)+SUM(BE950:BF950)+BG950</f>
        <v>10.800000000000004</v>
      </c>
      <c r="BN950" s="199"/>
      <c r="BO950" s="199"/>
      <c r="BP950" s="199"/>
      <c r="BQ950" s="199"/>
      <c r="BR950" s="199"/>
      <c r="BS950" s="199"/>
      <c r="BT950" s="199"/>
      <c r="BU950" s="199"/>
      <c r="BV950" s="199"/>
      <c r="BW950" s="199"/>
      <c r="BX950" s="199"/>
      <c r="BY950" s="199"/>
      <c r="BZ950" s="45"/>
    </row>
    <row r="951" spans="1:78" ht="45">
      <c r="A951" s="156" t="s">
        <v>1860</v>
      </c>
      <c r="B951" s="157" t="s">
        <v>1845</v>
      </c>
      <c r="C951" s="158">
        <v>211</v>
      </c>
      <c r="D951" s="158">
        <v>8</v>
      </c>
      <c r="E951" s="160">
        <v>0.26944444444444443</v>
      </c>
      <c r="F951" s="160">
        <v>0.28472222222222221</v>
      </c>
      <c r="G951" s="158" t="s">
        <v>1095</v>
      </c>
      <c r="H951" s="158" t="s">
        <v>103</v>
      </c>
      <c r="I951" s="158">
        <v>1.3</v>
      </c>
      <c r="J951" s="162" t="s">
        <v>99</v>
      </c>
      <c r="K951" s="163">
        <v>15</v>
      </c>
      <c r="L951" s="164" t="s">
        <v>749</v>
      </c>
      <c r="M951" s="179" t="s">
        <v>870</v>
      </c>
      <c r="N951" s="179">
        <v>23</v>
      </c>
      <c r="O951" s="179" t="s">
        <v>1245</v>
      </c>
      <c r="P951" s="179">
        <v>9</v>
      </c>
      <c r="Q951" s="156"/>
      <c r="R951" s="156"/>
      <c r="S951" s="170" t="s">
        <v>1508</v>
      </c>
      <c r="T951" s="170" t="s">
        <v>1509</v>
      </c>
      <c r="U951" s="170" t="s">
        <v>1510</v>
      </c>
      <c r="V951" s="170" t="s">
        <v>1511</v>
      </c>
      <c r="W951" s="180">
        <v>44816</v>
      </c>
      <c r="X951" s="180">
        <v>44834</v>
      </c>
      <c r="Y951" s="180"/>
      <c r="Z951" s="180"/>
      <c r="AA951" s="170" t="s">
        <v>1102</v>
      </c>
      <c r="AB951" s="181"/>
      <c r="AC951" s="181"/>
      <c r="AD951" s="181"/>
      <c r="AE951" s="181" t="s">
        <v>731</v>
      </c>
      <c r="AF951" s="181" t="s">
        <v>731</v>
      </c>
      <c r="AG951" s="181" t="s">
        <v>731</v>
      </c>
      <c r="AH951" s="181" t="s">
        <v>731</v>
      </c>
      <c r="AI951" s="181" t="s">
        <v>731</v>
      </c>
      <c r="AJ951" s="181" t="s">
        <v>731</v>
      </c>
      <c r="AK951" s="181"/>
      <c r="AL951" s="181"/>
      <c r="AM951" s="181"/>
      <c r="AN951" s="181"/>
      <c r="AO951" s="181"/>
      <c r="AP951" s="181"/>
      <c r="AQ951" s="181"/>
      <c r="AR951" s="181"/>
      <c r="AS951" s="181"/>
      <c r="AT951" s="181"/>
      <c r="AU951" s="181"/>
      <c r="AV951" s="168"/>
      <c r="AW951" s="168"/>
      <c r="AX951" s="168">
        <f>3*I951</f>
        <v>3.9000000000000004</v>
      </c>
      <c r="AY951" s="168"/>
      <c r="AZ951" s="168"/>
      <c r="BA951" s="166"/>
      <c r="BB951" s="166">
        <v>1</v>
      </c>
      <c r="BC951" s="166"/>
      <c r="BD951" s="166"/>
      <c r="BE951" s="166"/>
      <c r="BF951" s="166"/>
      <c r="BG951" s="168"/>
      <c r="BH951" s="166">
        <v>15</v>
      </c>
      <c r="BI951" s="166">
        <v>0</v>
      </c>
      <c r="BJ951" s="205">
        <v>0</v>
      </c>
      <c r="BK951" s="205">
        <v>0</v>
      </c>
      <c r="BL951" s="166">
        <v>0</v>
      </c>
      <c r="BM951" s="167">
        <f>SUM(AV951:AX951)+SUM(BC951:BD951)+SUM(BE951:BF951)+BG951</f>
        <v>3.9000000000000004</v>
      </c>
      <c r="BN951" s="167"/>
      <c r="BO951" s="167"/>
      <c r="BP951" s="167"/>
      <c r="BQ951" s="167"/>
      <c r="BR951" s="167"/>
      <c r="BS951" s="167"/>
      <c r="BT951" s="167"/>
      <c r="BU951" s="167"/>
      <c r="BV951" s="167"/>
      <c r="BW951" s="167"/>
      <c r="BX951" s="167"/>
      <c r="BY951" s="167"/>
      <c r="BZ951" s="166"/>
    </row>
    <row r="952" spans="1:78" ht="38.25">
      <c r="A952" s="2" t="s">
        <v>1842</v>
      </c>
      <c r="B952" s="89" t="s">
        <v>1845</v>
      </c>
      <c r="C952" s="93">
        <v>336</v>
      </c>
      <c r="D952" s="97">
        <v>794</v>
      </c>
      <c r="E952" s="94">
        <v>0.59027777777777779</v>
      </c>
      <c r="F952" s="94">
        <v>0.60416666666666663</v>
      </c>
      <c r="G952" s="93" t="s">
        <v>1098</v>
      </c>
      <c r="H952" s="93" t="s">
        <v>97</v>
      </c>
      <c r="I952" s="96">
        <v>1.8</v>
      </c>
      <c r="J952" s="97" t="s">
        <v>116</v>
      </c>
      <c r="K952" s="98">
        <v>208</v>
      </c>
      <c r="L952" s="99" t="s">
        <v>766</v>
      </c>
      <c r="M952" s="87" t="s">
        <v>916</v>
      </c>
      <c r="N952" s="87">
        <v>9</v>
      </c>
      <c r="O952" s="87" t="s">
        <v>1258</v>
      </c>
      <c r="P952" s="87">
        <v>9</v>
      </c>
      <c r="Q952" s="87" t="s">
        <v>1259</v>
      </c>
      <c r="R952" s="84">
        <v>9</v>
      </c>
      <c r="S952" s="26" t="s">
        <v>1635</v>
      </c>
      <c r="T952" s="26" t="s">
        <v>1636</v>
      </c>
      <c r="U952" s="26" t="s">
        <v>1646</v>
      </c>
      <c r="V952" s="26" t="s">
        <v>1647</v>
      </c>
      <c r="W952" s="62">
        <v>44816</v>
      </c>
      <c r="X952" s="62">
        <v>45086</v>
      </c>
      <c r="Y952" s="62"/>
      <c r="Z952" s="62"/>
      <c r="AA952" s="22" t="s">
        <v>1106</v>
      </c>
      <c r="AB952" s="23"/>
      <c r="AC952" s="23"/>
      <c r="AD952" s="23"/>
      <c r="AE952" s="23" t="s">
        <v>731</v>
      </c>
      <c r="AF952" s="23" t="s">
        <v>731</v>
      </c>
      <c r="AG952" s="23" t="s">
        <v>731</v>
      </c>
      <c r="AH952" s="23" t="s">
        <v>731</v>
      </c>
      <c r="AI952" s="23" t="s">
        <v>731</v>
      </c>
      <c r="AJ952" s="23" t="s">
        <v>731</v>
      </c>
      <c r="AK952" s="23" t="s">
        <v>731</v>
      </c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42"/>
      <c r="AX952" s="41">
        <f>3*I952</f>
        <v>5.4</v>
      </c>
      <c r="AY952" s="42"/>
      <c r="AZ952" s="42"/>
      <c r="BB952" s="45">
        <v>1</v>
      </c>
      <c r="BC952" s="45"/>
      <c r="BD952" s="45"/>
      <c r="BE952" s="45"/>
      <c r="BF952" s="45"/>
      <c r="BG952" s="45"/>
      <c r="BH952" s="18">
        <v>17</v>
      </c>
      <c r="BI952" s="18">
        <v>25</v>
      </c>
      <c r="BJ952" s="18">
        <v>25</v>
      </c>
      <c r="BK952" s="18">
        <v>18</v>
      </c>
      <c r="BL952" s="18">
        <v>20</v>
      </c>
      <c r="BM952" s="55">
        <f>SUM(AV952:AX952)+SUM(BC952:BD952)+SUM(BE952:BF952)+BG952</f>
        <v>5.4</v>
      </c>
      <c r="BN952" s="199"/>
      <c r="BO952" s="199"/>
      <c r="BP952" s="199"/>
      <c r="BQ952" s="199"/>
      <c r="BR952" s="199"/>
      <c r="BS952" s="199"/>
      <c r="BT952" s="199"/>
      <c r="BU952" s="199"/>
      <c r="BV952" s="199"/>
      <c r="BW952" s="199"/>
      <c r="BX952" s="199"/>
      <c r="BY952" s="199"/>
      <c r="BZ952" s="45"/>
    </row>
    <row r="953" spans="1:78" ht="33.75">
      <c r="A953" s="2" t="s">
        <v>1843</v>
      </c>
      <c r="B953" s="89" t="s">
        <v>1845</v>
      </c>
      <c r="C953" s="93">
        <v>215</v>
      </c>
      <c r="D953" s="95">
        <v>127</v>
      </c>
      <c r="E953" s="140">
        <v>0.28541666666666665</v>
      </c>
      <c r="F953" s="140">
        <v>0.29166666666666669</v>
      </c>
      <c r="G953" s="126" t="s">
        <v>1172</v>
      </c>
      <c r="H953" s="139" t="s">
        <v>103</v>
      </c>
      <c r="I953" s="124">
        <f>29.7-26.5</f>
        <v>3.1999999999999993</v>
      </c>
      <c r="J953" s="97" t="s">
        <v>101</v>
      </c>
      <c r="K953" s="98">
        <v>174</v>
      </c>
      <c r="L953" s="99" t="s">
        <v>748</v>
      </c>
      <c r="M953" s="87" t="s">
        <v>832</v>
      </c>
      <c r="N953" s="87">
        <v>57</v>
      </c>
      <c r="O953" s="87" t="s">
        <v>1932</v>
      </c>
      <c r="P953" s="87">
        <v>60</v>
      </c>
      <c r="Q953" s="83" t="s">
        <v>1939</v>
      </c>
      <c r="R953" s="83">
        <v>57</v>
      </c>
      <c r="S953" s="26" t="s">
        <v>1803</v>
      </c>
      <c r="T953" s="26" t="s">
        <v>1804</v>
      </c>
      <c r="U953" s="26" t="s">
        <v>1545</v>
      </c>
      <c r="V953" s="26" t="s">
        <v>1546</v>
      </c>
      <c r="W953" s="62">
        <v>44816</v>
      </c>
      <c r="X953" s="62">
        <v>45086</v>
      </c>
      <c r="Y953" s="62"/>
      <c r="Z953" s="62"/>
      <c r="AA953" s="22" t="s">
        <v>1102</v>
      </c>
      <c r="AB953" s="23"/>
      <c r="AC953" s="23"/>
      <c r="AD953" s="23"/>
      <c r="AE953" s="23" t="s">
        <v>731</v>
      </c>
      <c r="AF953" s="23" t="s">
        <v>731</v>
      </c>
      <c r="AG953" s="23" t="s">
        <v>731</v>
      </c>
      <c r="AH953" s="23" t="s">
        <v>731</v>
      </c>
      <c r="AI953" s="23" t="s">
        <v>731</v>
      </c>
      <c r="AJ953" s="23" t="s">
        <v>731</v>
      </c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42"/>
      <c r="AX953" s="41">
        <f>3*I953</f>
        <v>9.5999999999999979</v>
      </c>
      <c r="AY953" s="42"/>
      <c r="AZ953" s="42"/>
      <c r="BB953" s="43">
        <v>2</v>
      </c>
      <c r="BC953" s="45"/>
      <c r="BD953" s="45"/>
      <c r="BE953" s="45"/>
      <c r="BF953" s="45"/>
      <c r="BG953" s="50"/>
      <c r="BH953" s="18">
        <v>15</v>
      </c>
      <c r="BI953" s="18">
        <v>20</v>
      </c>
      <c r="BJ953" s="18">
        <v>21</v>
      </c>
      <c r="BK953" s="18">
        <v>15</v>
      </c>
      <c r="BL953" s="18">
        <v>17</v>
      </c>
      <c r="BM953" s="55">
        <f>SUM(AV953:AX953)+SUM(BC953:BD953)+SUM(BE953:BF953)+BG953</f>
        <v>9.5999999999999979</v>
      </c>
      <c r="BN953" s="199"/>
      <c r="BO953" s="199"/>
      <c r="BP953" s="199"/>
      <c r="BQ953" s="199"/>
      <c r="BR953" s="199"/>
      <c r="BS953" s="199"/>
      <c r="BT953" s="199"/>
      <c r="BU953" s="199"/>
      <c r="BV953" s="199"/>
      <c r="BW953" s="199"/>
      <c r="BX953" s="199"/>
      <c r="BY953" s="199"/>
      <c r="BZ953" s="45"/>
    </row>
    <row r="954" spans="1:78" ht="45">
      <c r="A954" s="2" t="s">
        <v>1094</v>
      </c>
      <c r="B954" s="89" t="s">
        <v>1845</v>
      </c>
      <c r="C954" s="93">
        <v>102</v>
      </c>
      <c r="D954" s="93">
        <v>145</v>
      </c>
      <c r="E954" s="94">
        <v>0.59097222222222223</v>
      </c>
      <c r="F954" s="94">
        <v>0.60277777777777775</v>
      </c>
      <c r="G954" s="93" t="s">
        <v>666</v>
      </c>
      <c r="H954" s="93" t="s">
        <v>1093</v>
      </c>
      <c r="I954" s="96">
        <v>8</v>
      </c>
      <c r="J954" s="97" t="s">
        <v>167</v>
      </c>
      <c r="K954" s="98">
        <f>103-6</f>
        <v>97</v>
      </c>
      <c r="L954" s="99" t="s">
        <v>724</v>
      </c>
      <c r="M954" s="87" t="s">
        <v>835</v>
      </c>
      <c r="N954" s="87">
        <v>9</v>
      </c>
      <c r="O954" s="87" t="s">
        <v>1231</v>
      </c>
      <c r="P954" s="87">
        <v>9</v>
      </c>
      <c r="Q954" s="87"/>
      <c r="R954" s="87"/>
      <c r="S954" s="26">
        <v>1084</v>
      </c>
      <c r="T954" s="26" t="s">
        <v>1801</v>
      </c>
      <c r="U954" s="26">
        <v>1082</v>
      </c>
      <c r="V954" s="26" t="s">
        <v>1802</v>
      </c>
      <c r="W954" s="62">
        <v>44830</v>
      </c>
      <c r="X954" s="62">
        <v>45086</v>
      </c>
      <c r="Y954" s="62"/>
      <c r="Z954" s="62"/>
      <c r="AA954" s="26" t="s">
        <v>1163</v>
      </c>
      <c r="AB954" s="23"/>
      <c r="AC954" s="23"/>
      <c r="AD954" s="23"/>
      <c r="AE954" s="23" t="s">
        <v>731</v>
      </c>
      <c r="AF954" s="23" t="s">
        <v>731</v>
      </c>
      <c r="AG954" s="23"/>
      <c r="AH954" s="23"/>
      <c r="AI954" s="23" t="s">
        <v>731</v>
      </c>
      <c r="AJ954" s="23" t="s">
        <v>731</v>
      </c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42"/>
      <c r="AX954" s="41">
        <v>45</v>
      </c>
      <c r="AY954" s="42"/>
      <c r="AZ954" s="42"/>
      <c r="BB954" s="45">
        <v>1</v>
      </c>
      <c r="BC954" s="50"/>
      <c r="BD954" s="50"/>
      <c r="BE954" s="45"/>
      <c r="BF954" s="45"/>
      <c r="BG954" s="45"/>
      <c r="BH954" s="201">
        <v>3</v>
      </c>
      <c r="BI954" s="18">
        <v>12</v>
      </c>
      <c r="BJ954" s="18">
        <v>12</v>
      </c>
      <c r="BK954" s="18">
        <v>9</v>
      </c>
      <c r="BL954" s="18">
        <v>10</v>
      </c>
      <c r="BM954" s="55">
        <f>SUM(AV954:AX954)+SUM(BC954:BD954)+SUM(BE954:BF954)+BG954</f>
        <v>45</v>
      </c>
      <c r="BN954" s="199"/>
      <c r="BO954" s="199"/>
      <c r="BP954" s="199"/>
      <c r="BQ954" s="199"/>
      <c r="BR954" s="199"/>
      <c r="BS954" s="199"/>
      <c r="BT954" s="199"/>
      <c r="BU954" s="199"/>
      <c r="BV954" s="199"/>
      <c r="BW954" s="199"/>
      <c r="BX954" s="199"/>
      <c r="BY954" s="199"/>
      <c r="BZ954" s="45"/>
    </row>
    <row r="955" spans="1:78" ht="45">
      <c r="A955" s="156" t="s">
        <v>1992</v>
      </c>
      <c r="B955" s="157" t="s">
        <v>1845</v>
      </c>
      <c r="C955" s="158">
        <v>625</v>
      </c>
      <c r="D955" s="159">
        <v>581</v>
      </c>
      <c r="E955" s="160">
        <v>0.29791666666666666</v>
      </c>
      <c r="F955" s="160">
        <v>0.3</v>
      </c>
      <c r="G955" s="158" t="s">
        <v>1207</v>
      </c>
      <c r="H955" s="158" t="s">
        <v>103</v>
      </c>
      <c r="I955" s="161">
        <v>1</v>
      </c>
      <c r="J955" s="162" t="s">
        <v>127</v>
      </c>
      <c r="K955" s="169">
        <v>35</v>
      </c>
      <c r="L955" s="164" t="s">
        <v>1204</v>
      </c>
      <c r="M955" s="179" t="s">
        <v>956</v>
      </c>
      <c r="N955" s="179">
        <v>43</v>
      </c>
      <c r="O955" s="179" t="s">
        <v>1275</v>
      </c>
      <c r="P955" s="179">
        <v>54</v>
      </c>
      <c r="Q955" s="179" t="s">
        <v>1276</v>
      </c>
      <c r="R955" s="183">
        <v>55</v>
      </c>
      <c r="S955" s="170" t="s">
        <v>1718</v>
      </c>
      <c r="T955" s="170" t="s">
        <v>1719</v>
      </c>
      <c r="U955" s="170" t="s">
        <v>1718</v>
      </c>
      <c r="V955" s="170" t="s">
        <v>1719</v>
      </c>
      <c r="W955" s="180">
        <v>44831</v>
      </c>
      <c r="X955" s="180">
        <v>44865</v>
      </c>
      <c r="Y955" s="180"/>
      <c r="Z955" s="180"/>
      <c r="AA955" s="170" t="s">
        <v>1102</v>
      </c>
      <c r="AB955" s="181"/>
      <c r="AC955" s="181"/>
      <c r="AD955" s="181"/>
      <c r="AE955" s="181" t="s">
        <v>731</v>
      </c>
      <c r="AF955" s="181" t="s">
        <v>731</v>
      </c>
      <c r="AG955" s="181" t="s">
        <v>731</v>
      </c>
      <c r="AH955" s="181" t="s">
        <v>731</v>
      </c>
      <c r="AI955" s="181" t="s">
        <v>731</v>
      </c>
      <c r="AJ955" s="181" t="s">
        <v>731</v>
      </c>
      <c r="AK955" s="181"/>
      <c r="AL955" s="181"/>
      <c r="AM955" s="181"/>
      <c r="AN955" s="181"/>
      <c r="AO955" s="181"/>
      <c r="AP955" s="181"/>
      <c r="AQ955" s="181"/>
      <c r="AR955" s="181"/>
      <c r="AS955" s="181"/>
      <c r="AT955" s="181"/>
      <c r="AU955" s="181"/>
      <c r="AV955" s="168"/>
      <c r="AW955" s="168"/>
      <c r="AX955" s="168">
        <f>3*I955</f>
        <v>3</v>
      </c>
      <c r="AY955" s="166"/>
      <c r="AZ955" s="166"/>
      <c r="BA955" s="166"/>
      <c r="BB955" s="166">
        <v>2</v>
      </c>
      <c r="BC955" s="166"/>
      <c r="BD955" s="166"/>
      <c r="BE955" s="166"/>
      <c r="BF955" s="166"/>
      <c r="BG955" s="168"/>
      <c r="BH955" s="201">
        <v>4</v>
      </c>
      <c r="BI955" s="166">
        <v>20</v>
      </c>
      <c r="BJ955" s="166">
        <v>0</v>
      </c>
      <c r="BK955" s="166">
        <v>0</v>
      </c>
      <c r="BL955" s="166"/>
      <c r="BM955" s="167">
        <f>SUM(AV955:AX955)+SUM(BC955:BD955)+SUM(BE955:BF955)+BG955</f>
        <v>3</v>
      </c>
      <c r="BN955" s="167"/>
      <c r="BO955" s="167"/>
      <c r="BP955" s="167"/>
      <c r="BQ955" s="167"/>
      <c r="BR955" s="167"/>
      <c r="BS955" s="167"/>
      <c r="BT955" s="167"/>
      <c r="BU955" s="167"/>
      <c r="BV955" s="167"/>
      <c r="BW955" s="167"/>
      <c r="BX955" s="167"/>
      <c r="BY955" s="167"/>
      <c r="BZ955" s="166"/>
    </row>
    <row r="956" spans="1:78" ht="45">
      <c r="A956" s="2" t="s">
        <v>1987</v>
      </c>
      <c r="B956" s="89" t="s">
        <v>1845</v>
      </c>
      <c r="C956" s="93">
        <v>625</v>
      </c>
      <c r="D956" s="95">
        <v>581</v>
      </c>
      <c r="E956" s="105">
        <v>0.29791666666666666</v>
      </c>
      <c r="F956" s="94">
        <v>0.3</v>
      </c>
      <c r="G956" s="93" t="s">
        <v>1207</v>
      </c>
      <c r="H956" s="93" t="s">
        <v>103</v>
      </c>
      <c r="I956" s="96">
        <v>1.5</v>
      </c>
      <c r="J956" s="97" t="s">
        <v>127</v>
      </c>
      <c r="K956" s="98">
        <v>174</v>
      </c>
      <c r="L956" s="99" t="s">
        <v>1204</v>
      </c>
      <c r="M956" s="87" t="s">
        <v>956</v>
      </c>
      <c r="N956" s="87">
        <v>43</v>
      </c>
      <c r="O956" s="87" t="s">
        <v>1275</v>
      </c>
      <c r="P956" s="87">
        <v>54</v>
      </c>
      <c r="Q956" s="87" t="s">
        <v>1276</v>
      </c>
      <c r="R956" s="84">
        <v>55</v>
      </c>
      <c r="S956" s="26" t="s">
        <v>1718</v>
      </c>
      <c r="T956" s="26" t="s">
        <v>1719</v>
      </c>
      <c r="U956" s="26" t="s">
        <v>1718</v>
      </c>
      <c r="V956" s="26" t="s">
        <v>1719</v>
      </c>
      <c r="W956" s="62">
        <v>44867</v>
      </c>
      <c r="X956" s="62">
        <v>45086</v>
      </c>
      <c r="Y956" s="62"/>
      <c r="Z956" s="62"/>
      <c r="AA956" s="22" t="s">
        <v>1102</v>
      </c>
      <c r="AB956" s="23"/>
      <c r="AC956" s="23"/>
      <c r="AD956" s="23"/>
      <c r="AE956" s="23" t="s">
        <v>731</v>
      </c>
      <c r="AF956" s="23" t="s">
        <v>731</v>
      </c>
      <c r="AG956" s="23" t="s">
        <v>731</v>
      </c>
      <c r="AH956" s="23" t="s">
        <v>731</v>
      </c>
      <c r="AI956" s="23" t="s">
        <v>731</v>
      </c>
      <c r="AJ956" s="23" t="s">
        <v>731</v>
      </c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42"/>
      <c r="AW956" s="42"/>
      <c r="AX956" s="41">
        <f>3*I956</f>
        <v>4.5</v>
      </c>
      <c r="AY956" s="18"/>
      <c r="AZ956" s="18"/>
      <c r="BB956" s="43">
        <v>2</v>
      </c>
      <c r="BC956" s="45"/>
      <c r="BD956" s="45"/>
      <c r="BE956" s="45"/>
      <c r="BF956" s="45"/>
      <c r="BG956" s="50"/>
      <c r="BH956" s="18">
        <v>0</v>
      </c>
      <c r="BI956" s="18">
        <v>0</v>
      </c>
      <c r="BJ956" s="18">
        <v>21</v>
      </c>
      <c r="BK956" s="18">
        <v>15</v>
      </c>
      <c r="BL956" s="18">
        <v>17</v>
      </c>
      <c r="BM956" s="55">
        <f>SUM(AV956:AX956)+SUM(BC956:BD956)+SUM(BE956:BF956)+BG956</f>
        <v>4.5</v>
      </c>
      <c r="BN956" s="199"/>
      <c r="BO956" s="199"/>
      <c r="BP956" s="199"/>
      <c r="BQ956" s="199"/>
      <c r="BR956" s="199"/>
      <c r="BS956" s="199"/>
      <c r="BT956" s="199"/>
      <c r="BU956" s="199"/>
      <c r="BV956" s="199"/>
      <c r="BW956" s="199"/>
      <c r="BX956" s="199"/>
      <c r="BY956" s="199"/>
      <c r="BZ956" s="45"/>
    </row>
    <row r="957" spans="1:78" ht="25.5">
      <c r="A957" s="2" t="s">
        <v>1097</v>
      </c>
      <c r="B957" s="89" t="s">
        <v>1845</v>
      </c>
      <c r="C957" s="93">
        <v>210</v>
      </c>
      <c r="D957" s="97">
        <v>458</v>
      </c>
      <c r="E957" s="94">
        <v>0.6875</v>
      </c>
      <c r="F957" s="94">
        <v>0.70763888888888893</v>
      </c>
      <c r="G957" s="93" t="s">
        <v>277</v>
      </c>
      <c r="H957" s="93" t="s">
        <v>1096</v>
      </c>
      <c r="I957" s="96">
        <v>11</v>
      </c>
      <c r="J957" s="97">
        <v>44</v>
      </c>
      <c r="K957" s="98">
        <f>36-2</f>
        <v>34</v>
      </c>
      <c r="L957" s="99" t="s">
        <v>741</v>
      </c>
      <c r="M957" s="87" t="s">
        <v>969</v>
      </c>
      <c r="N957" s="87">
        <v>29</v>
      </c>
      <c r="O957" s="87" t="s">
        <v>798</v>
      </c>
      <c r="P957" s="87">
        <v>29</v>
      </c>
      <c r="Q957" s="87" t="s">
        <v>972</v>
      </c>
      <c r="R957" s="85">
        <v>25</v>
      </c>
      <c r="S957" s="26">
        <v>2180</v>
      </c>
      <c r="T957" s="26" t="s">
        <v>1456</v>
      </c>
      <c r="U957" s="26">
        <v>2208</v>
      </c>
      <c r="V957" s="26" t="s">
        <v>1502</v>
      </c>
      <c r="W957" s="62">
        <v>44832</v>
      </c>
      <c r="X957" s="62">
        <v>45086</v>
      </c>
      <c r="Y957" s="62"/>
      <c r="Z957" s="62"/>
      <c r="AA957" s="26" t="s">
        <v>1164</v>
      </c>
      <c r="AB957" s="23"/>
      <c r="AC957" s="23"/>
      <c r="AD957" s="23"/>
      <c r="AE957" s="23" t="s">
        <v>731</v>
      </c>
      <c r="AF957" s="23"/>
      <c r="AG957" s="23"/>
      <c r="AH957" s="23" t="s">
        <v>731</v>
      </c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42"/>
      <c r="AX957" s="41">
        <f>3*I957</f>
        <v>33</v>
      </c>
      <c r="AY957" s="42"/>
      <c r="AZ957" s="42"/>
      <c r="BB957" s="43">
        <v>2</v>
      </c>
      <c r="BC957" s="45"/>
      <c r="BD957" s="45"/>
      <c r="BE957" s="45"/>
      <c r="BF957" s="45"/>
      <c r="BG957" s="45"/>
      <c r="BH957" s="202">
        <v>1</v>
      </c>
      <c r="BI957" s="18">
        <v>4</v>
      </c>
      <c r="BJ957" s="18">
        <v>5</v>
      </c>
      <c r="BK957" s="18">
        <v>3</v>
      </c>
      <c r="BL957" s="18">
        <v>3</v>
      </c>
      <c r="BM957" s="55">
        <f>SUM(AV957:AX957)+SUM(BC957:BD957)+SUM(BE957:BF957)+BG957</f>
        <v>33</v>
      </c>
      <c r="BN957" s="199"/>
      <c r="BO957" s="199"/>
      <c r="BP957" s="199"/>
      <c r="BQ957" s="199"/>
      <c r="BR957" s="199"/>
      <c r="BS957" s="199"/>
      <c r="BT957" s="199"/>
      <c r="BU957" s="199"/>
      <c r="BV957" s="199"/>
      <c r="BW957" s="199"/>
      <c r="BX957" s="199"/>
      <c r="BY957" s="199"/>
      <c r="BZ957" s="45"/>
    </row>
    <row r="958" spans="1:78" ht="38.25">
      <c r="A958" s="2" t="s">
        <v>1856</v>
      </c>
      <c r="B958" s="89" t="s">
        <v>1845</v>
      </c>
      <c r="C958" s="93">
        <v>102</v>
      </c>
      <c r="D958" s="97">
        <v>185</v>
      </c>
      <c r="E958" s="94">
        <v>0.65972222222222221</v>
      </c>
      <c r="F958" s="94">
        <v>0.72291666666666676</v>
      </c>
      <c r="G958" s="93" t="s">
        <v>1853</v>
      </c>
      <c r="H958" s="93" t="s">
        <v>194</v>
      </c>
      <c r="I958" s="96">
        <v>3.5</v>
      </c>
      <c r="J958" s="97" t="s">
        <v>254</v>
      </c>
      <c r="K958" s="98">
        <f>34+34+36+33-12</f>
        <v>125</v>
      </c>
      <c r="L958" s="109" t="s">
        <v>721</v>
      </c>
      <c r="M958" s="83" t="s">
        <v>978</v>
      </c>
      <c r="N958" s="116">
        <v>46</v>
      </c>
      <c r="O958" s="83" t="s">
        <v>895</v>
      </c>
      <c r="P958" s="116">
        <v>47</v>
      </c>
      <c r="S958" s="26" t="s">
        <v>1854</v>
      </c>
      <c r="T958" s="26" t="s">
        <v>1855</v>
      </c>
      <c r="U958" s="26" t="s">
        <v>1854</v>
      </c>
      <c r="V958" s="26" t="s">
        <v>1855</v>
      </c>
      <c r="W958" s="62">
        <v>44837</v>
      </c>
      <c r="X958" s="62">
        <v>45086</v>
      </c>
      <c r="Y958" s="62"/>
      <c r="Z958" s="62"/>
      <c r="AA958" s="24" t="s">
        <v>1105</v>
      </c>
      <c r="AB958" s="23"/>
      <c r="AC958" s="23"/>
      <c r="AD958" s="23"/>
      <c r="AE958" s="23" t="s">
        <v>731</v>
      </c>
      <c r="AF958" s="23" t="s">
        <v>731</v>
      </c>
      <c r="AG958" s="23" t="s">
        <v>731</v>
      </c>
      <c r="AH958" s="23" t="s">
        <v>731</v>
      </c>
      <c r="AI958" s="23" t="s">
        <v>731</v>
      </c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42"/>
      <c r="AW958" s="18"/>
      <c r="AX958" s="41">
        <f>3*I958</f>
        <v>10.5</v>
      </c>
      <c r="AY958" s="42"/>
      <c r="AZ958" s="42"/>
      <c r="BB958" s="43">
        <v>2</v>
      </c>
      <c r="BC958" s="45"/>
      <c r="BD958" s="45"/>
      <c r="BE958" s="45"/>
      <c r="BF958" s="45"/>
      <c r="BG958" s="50"/>
      <c r="BH958" s="18">
        <v>0</v>
      </c>
      <c r="BI958" s="18">
        <v>16</v>
      </c>
      <c r="BJ958" s="18">
        <v>17</v>
      </c>
      <c r="BK958" s="18">
        <v>12</v>
      </c>
      <c r="BL958" s="18">
        <v>14</v>
      </c>
      <c r="BM958" s="55">
        <f>SUM(AV958:AX958)+SUM(BC958:BD958)+SUM(BE958:BF958)+BG958</f>
        <v>10.5</v>
      </c>
      <c r="BN958" s="199"/>
      <c r="BO958" s="199"/>
      <c r="BP958" s="199"/>
      <c r="BQ958" s="199"/>
      <c r="BR958" s="199"/>
      <c r="BS958" s="199"/>
      <c r="BT958" s="199"/>
      <c r="BU958" s="199"/>
      <c r="BV958" s="199"/>
      <c r="BW958" s="199"/>
      <c r="BX958" s="199"/>
      <c r="BY958" s="199"/>
      <c r="BZ958" s="45"/>
    </row>
    <row r="959" spans="1:78" ht="25.5">
      <c r="A959" s="2" t="s">
        <v>1844</v>
      </c>
      <c r="B959" s="89" t="s">
        <v>1845</v>
      </c>
      <c r="C959" s="93">
        <v>645</v>
      </c>
      <c r="D959" s="95">
        <v>682</v>
      </c>
      <c r="E959" s="94">
        <v>0.5541666666666667</v>
      </c>
      <c r="F959" s="94">
        <v>0.58333333333333337</v>
      </c>
      <c r="G959" s="93" t="s">
        <v>1294</v>
      </c>
      <c r="H959" s="93" t="s">
        <v>1180</v>
      </c>
      <c r="I959" s="96">
        <v>31.5</v>
      </c>
      <c r="J959" s="97" t="s">
        <v>111</v>
      </c>
      <c r="K959" s="98">
        <v>54</v>
      </c>
      <c r="L959" s="99" t="s">
        <v>784</v>
      </c>
      <c r="M959" s="2" t="s">
        <v>1295</v>
      </c>
      <c r="N959" s="2">
        <v>21</v>
      </c>
      <c r="O959" s="2" t="s">
        <v>1296</v>
      </c>
      <c r="P959" s="2">
        <v>31</v>
      </c>
      <c r="Q959" s="2" t="s">
        <v>1297</v>
      </c>
      <c r="R959" s="2">
        <v>57</v>
      </c>
      <c r="S959" s="26" t="s">
        <v>1778</v>
      </c>
      <c r="T959" s="26" t="s">
        <v>1779</v>
      </c>
      <c r="U959" s="26">
        <v>6401</v>
      </c>
      <c r="V959" s="26" t="s">
        <v>1805</v>
      </c>
      <c r="W959" s="62">
        <v>44845</v>
      </c>
      <c r="X959" s="62">
        <v>45086</v>
      </c>
      <c r="Y959" s="62"/>
      <c r="Z959" s="62"/>
      <c r="AA959" s="22" t="s">
        <v>1122</v>
      </c>
      <c r="AB959" s="23"/>
      <c r="AC959" s="23"/>
      <c r="AD959" s="23"/>
      <c r="AE959" s="23" t="s">
        <v>731</v>
      </c>
      <c r="AF959" s="23"/>
      <c r="AG959" s="23" t="s">
        <v>731</v>
      </c>
      <c r="AH959" s="23"/>
      <c r="AI959" s="23" t="s">
        <v>731</v>
      </c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42"/>
      <c r="AW959" s="42"/>
      <c r="AX959" s="41">
        <f>3*I959</f>
        <v>94.5</v>
      </c>
      <c r="AY959" s="18"/>
      <c r="AZ959" s="18"/>
      <c r="BB959" s="43"/>
      <c r="BC959" s="45"/>
      <c r="BD959" s="45"/>
      <c r="BE959" s="45"/>
      <c r="BF959" s="45"/>
      <c r="BG959" s="50"/>
      <c r="BH959" s="18">
        <v>0</v>
      </c>
      <c r="BI959" s="204">
        <v>6</v>
      </c>
      <c r="BJ959" s="18">
        <v>8</v>
      </c>
      <c r="BK959" s="18">
        <v>6</v>
      </c>
      <c r="BL959" s="18">
        <v>7</v>
      </c>
      <c r="BM959" s="55">
        <f>SUM(AV959:AX959)+SUM(BC959:BD959)+SUM(BE959:BF959)+BG959</f>
        <v>94.5</v>
      </c>
      <c r="BN959" s="199"/>
      <c r="BO959" s="199"/>
      <c r="BP959" s="199"/>
      <c r="BQ959" s="199"/>
      <c r="BR959" s="199"/>
      <c r="BS959" s="199"/>
      <c r="BT959" s="199"/>
      <c r="BU959" s="199"/>
      <c r="BV959" s="199"/>
      <c r="BW959" s="199"/>
      <c r="BX959" s="199"/>
      <c r="BY959" s="199"/>
      <c r="BZ959" s="45"/>
    </row>
    <row r="960" spans="1:78" ht="25.5">
      <c r="A960" s="2" t="s">
        <v>1861</v>
      </c>
      <c r="B960" s="89" t="s">
        <v>1845</v>
      </c>
      <c r="C960" s="93">
        <v>101</v>
      </c>
      <c r="D960" s="93">
        <v>656</v>
      </c>
      <c r="E960" s="94">
        <v>0.29375000000000001</v>
      </c>
      <c r="F960" s="94">
        <v>0.2986111111111111</v>
      </c>
      <c r="G960" s="93" t="s">
        <v>1862</v>
      </c>
      <c r="H960" s="93" t="s">
        <v>97</v>
      </c>
      <c r="I960" s="96">
        <v>2.1</v>
      </c>
      <c r="J960" s="97" t="s">
        <v>125</v>
      </c>
      <c r="K960" s="98">
        <f>208-17-9</f>
        <v>182</v>
      </c>
      <c r="L960" s="109" t="s">
        <v>718</v>
      </c>
      <c r="M960" s="87" t="s">
        <v>1070</v>
      </c>
      <c r="N960" s="87">
        <v>17</v>
      </c>
      <c r="O960" s="87" t="s">
        <v>1927</v>
      </c>
      <c r="P960" s="87">
        <v>24</v>
      </c>
      <c r="Q960" s="83" t="s">
        <v>1949</v>
      </c>
      <c r="R960" s="84">
        <v>9</v>
      </c>
      <c r="S960" s="45"/>
      <c r="T960" s="26" t="s">
        <v>1863</v>
      </c>
      <c r="U960" s="26" t="s">
        <v>1360</v>
      </c>
      <c r="V960" s="26" t="s">
        <v>1361</v>
      </c>
      <c r="W960" s="62">
        <v>44846</v>
      </c>
      <c r="X960" s="62">
        <v>45086</v>
      </c>
      <c r="AA960" s="22" t="s">
        <v>1106</v>
      </c>
      <c r="AB960" s="23"/>
      <c r="AC960" s="23"/>
      <c r="AD960" s="23"/>
      <c r="AE960" s="23" t="s">
        <v>731</v>
      </c>
      <c r="AF960" s="23" t="s">
        <v>731</v>
      </c>
      <c r="AG960" s="23" t="s">
        <v>731</v>
      </c>
      <c r="AH960" s="23" t="s">
        <v>731</v>
      </c>
      <c r="AI960" s="23" t="s">
        <v>731</v>
      </c>
      <c r="AJ960" s="23" t="s">
        <v>731</v>
      </c>
      <c r="AK960" s="23" t="s">
        <v>731</v>
      </c>
      <c r="AX960" s="41">
        <f>3*I960</f>
        <v>6.3000000000000007</v>
      </c>
      <c r="AY960" s="18"/>
      <c r="AZ960" s="18"/>
      <c r="BB960" s="45">
        <v>1</v>
      </c>
      <c r="BC960" s="50"/>
      <c r="BD960" s="50"/>
      <c r="BE960" s="45"/>
      <c r="BF960" s="45"/>
      <c r="BG960" s="45"/>
      <c r="BH960" s="18">
        <v>0</v>
      </c>
      <c r="BI960" s="18">
        <v>16</v>
      </c>
      <c r="BJ960" s="18">
        <v>25</v>
      </c>
      <c r="BK960" s="18">
        <v>18</v>
      </c>
      <c r="BL960" s="18">
        <v>20</v>
      </c>
      <c r="BM960" s="55">
        <f>SUM(AV960:AX960)+SUM(BC960:BD960)+SUM(BE960:BF960)+BG960</f>
        <v>6.3000000000000007</v>
      </c>
      <c r="BN960" s="199"/>
      <c r="BO960" s="199"/>
      <c r="BP960" s="199"/>
      <c r="BQ960" s="199"/>
      <c r="BR960" s="199"/>
      <c r="BS960" s="199"/>
      <c r="BT960" s="199"/>
      <c r="BU960" s="199"/>
      <c r="BV960" s="199"/>
      <c r="BW960" s="199"/>
      <c r="BX960" s="199"/>
      <c r="BY960" s="199"/>
      <c r="BZ960" s="45"/>
    </row>
    <row r="961" spans="1:78" ht="25.5">
      <c r="A961" s="156" t="s">
        <v>2019</v>
      </c>
      <c r="B961" s="157" t="s">
        <v>1845</v>
      </c>
      <c r="C961" s="158">
        <v>615</v>
      </c>
      <c r="D961" s="158">
        <v>524</v>
      </c>
      <c r="E961" s="160">
        <v>0.57847222222222217</v>
      </c>
      <c r="F961" s="160">
        <v>0.59375</v>
      </c>
      <c r="G961" s="158" t="s">
        <v>2020</v>
      </c>
      <c r="H961" s="158" t="s">
        <v>1131</v>
      </c>
      <c r="I961" s="161">
        <v>6</v>
      </c>
      <c r="J961" s="162">
        <v>19</v>
      </c>
      <c r="K961" s="169">
        <v>10</v>
      </c>
      <c r="L961" s="164" t="s">
        <v>735</v>
      </c>
      <c r="M961" s="179" t="s">
        <v>903</v>
      </c>
      <c r="N961" s="179">
        <v>24</v>
      </c>
      <c r="O961" s="179" t="s">
        <v>904</v>
      </c>
      <c r="P961" s="179">
        <v>21</v>
      </c>
      <c r="Q961" s="179"/>
      <c r="R961" s="183"/>
      <c r="S961" s="170" t="s">
        <v>1704</v>
      </c>
      <c r="T961" s="170" t="s">
        <v>1705</v>
      </c>
      <c r="U961" s="170" t="s">
        <v>1701</v>
      </c>
      <c r="V961" s="170" t="s">
        <v>1702</v>
      </c>
      <c r="W961" s="180">
        <v>44882</v>
      </c>
      <c r="X961" s="180">
        <v>44904</v>
      </c>
      <c r="Y961" s="166"/>
      <c r="Z961" s="166"/>
      <c r="AA961" s="170" t="s">
        <v>1131</v>
      </c>
      <c r="AB961" s="181"/>
      <c r="AC961" s="181"/>
      <c r="AD961" s="181"/>
      <c r="AE961" s="181"/>
      <c r="AF961" s="181"/>
      <c r="AG961" s="181"/>
      <c r="AH961" s="181"/>
      <c r="AI961" s="181"/>
      <c r="AJ961" s="181"/>
      <c r="AK961" s="181"/>
      <c r="AL961" s="166"/>
      <c r="AM961" s="166"/>
      <c r="AN961" s="166"/>
      <c r="AO961" s="166"/>
      <c r="AP961" s="166"/>
      <c r="AQ961" s="166"/>
      <c r="AR961" s="166"/>
      <c r="AS961" s="166"/>
      <c r="AT961" s="166"/>
      <c r="AU961" s="166"/>
      <c r="AV961" s="168"/>
      <c r="AW961" s="168"/>
      <c r="AX961" s="168"/>
      <c r="AY961" s="166"/>
      <c r="AZ961" s="166"/>
      <c r="BA961" s="166"/>
      <c r="BB961" s="166"/>
      <c r="BC961" s="168"/>
      <c r="BD961" s="168"/>
      <c r="BE961" s="166"/>
      <c r="BF961" s="166"/>
      <c r="BG961" s="166"/>
      <c r="BH961" s="166"/>
      <c r="BI961" s="166"/>
      <c r="BJ961" s="166">
        <v>6</v>
      </c>
      <c r="BK961" s="166">
        <v>4</v>
      </c>
      <c r="BL961" s="166"/>
      <c r="BM961" s="167">
        <f>3*I961</f>
        <v>18</v>
      </c>
      <c r="BN961" s="167"/>
      <c r="BO961" s="167"/>
      <c r="BP961" s="167"/>
      <c r="BQ961" s="167"/>
      <c r="BR961" s="167"/>
      <c r="BS961" s="167"/>
      <c r="BT961" s="167"/>
      <c r="BU961" s="167"/>
      <c r="BV961" s="167"/>
      <c r="BW961" s="167"/>
      <c r="BX961" s="167"/>
      <c r="BY961" s="167"/>
      <c r="BZ961" s="166"/>
    </row>
    <row r="962" spans="1:78" ht="25.5">
      <c r="A962" s="156" t="s">
        <v>2019</v>
      </c>
      <c r="B962" s="157" t="s">
        <v>1845</v>
      </c>
      <c r="C962" s="158">
        <v>615</v>
      </c>
      <c r="D962" s="158">
        <v>524</v>
      </c>
      <c r="E962" s="160">
        <v>0.57847222222222217</v>
      </c>
      <c r="F962" s="160">
        <v>0.59027777777777779</v>
      </c>
      <c r="G962" s="158" t="s">
        <v>525</v>
      </c>
      <c r="H962" s="158" t="s">
        <v>1122</v>
      </c>
      <c r="I962" s="161">
        <v>8.6</v>
      </c>
      <c r="J962" s="162">
        <v>19</v>
      </c>
      <c r="K962" s="169">
        <v>6</v>
      </c>
      <c r="L962" s="164" t="s">
        <v>735</v>
      </c>
      <c r="M962" s="179" t="s">
        <v>903</v>
      </c>
      <c r="N962" s="179">
        <v>24</v>
      </c>
      <c r="O962" s="179" t="s">
        <v>904</v>
      </c>
      <c r="P962" s="179">
        <v>21</v>
      </c>
      <c r="Q962" s="179"/>
      <c r="R962" s="183"/>
      <c r="S962" s="170" t="s">
        <v>1704</v>
      </c>
      <c r="T962" s="170" t="s">
        <v>1705</v>
      </c>
      <c r="U962" s="170">
        <v>6127</v>
      </c>
      <c r="V962" s="170" t="s">
        <v>1703</v>
      </c>
      <c r="W962" s="180">
        <v>44882</v>
      </c>
      <c r="X962" s="180">
        <v>44904</v>
      </c>
      <c r="Y962" s="166"/>
      <c r="Z962" s="166"/>
      <c r="AA962" s="170" t="s">
        <v>1122</v>
      </c>
      <c r="AB962" s="181"/>
      <c r="AC962" s="181"/>
      <c r="AD962" s="181"/>
      <c r="AE962" s="181"/>
      <c r="AF962" s="181"/>
      <c r="AG962" s="181"/>
      <c r="AH962" s="181"/>
      <c r="AI962" s="181"/>
      <c r="AJ962" s="181"/>
      <c r="AK962" s="181"/>
      <c r="AL962" s="166"/>
      <c r="AM962" s="166"/>
      <c r="AN962" s="166"/>
      <c r="AO962" s="166"/>
      <c r="AP962" s="166"/>
      <c r="AQ962" s="166"/>
      <c r="AR962" s="166"/>
      <c r="AS962" s="166"/>
      <c r="AT962" s="166"/>
      <c r="AU962" s="166"/>
      <c r="AV962" s="168"/>
      <c r="AW962" s="168"/>
      <c r="AX962" s="168"/>
      <c r="AY962" s="166"/>
      <c r="AZ962" s="166"/>
      <c r="BA962" s="166"/>
      <c r="BB962" s="166"/>
      <c r="BC962" s="168"/>
      <c r="BD962" s="168"/>
      <c r="BE962" s="166"/>
      <c r="BF962" s="166"/>
      <c r="BG962" s="166"/>
      <c r="BH962" s="166"/>
      <c r="BI962" s="166"/>
      <c r="BJ962" s="166">
        <v>4</v>
      </c>
      <c r="BK962" s="166">
        <v>2</v>
      </c>
      <c r="BL962" s="166"/>
      <c r="BM962" s="167">
        <f>3*I962</f>
        <v>25.799999999999997</v>
      </c>
      <c r="BN962" s="167"/>
      <c r="BO962" s="167"/>
      <c r="BP962" s="167"/>
      <c r="BQ962" s="167"/>
      <c r="BR962" s="167"/>
      <c r="BS962" s="167"/>
      <c r="BT962" s="167"/>
      <c r="BU962" s="167"/>
      <c r="BV962" s="167"/>
      <c r="BW962" s="167"/>
      <c r="BX962" s="167"/>
      <c r="BY962" s="167"/>
      <c r="BZ962" s="166"/>
    </row>
    <row r="963" spans="1:78" ht="33.75">
      <c r="A963" s="156" t="s">
        <v>2019</v>
      </c>
      <c r="B963" s="157" t="s">
        <v>1845</v>
      </c>
      <c r="C963" s="158">
        <v>615</v>
      </c>
      <c r="D963" s="158">
        <v>522</v>
      </c>
      <c r="E963" s="160">
        <v>0.71527777777777779</v>
      </c>
      <c r="F963" s="160">
        <v>0.72916666666666663</v>
      </c>
      <c r="G963" s="158" t="s">
        <v>47</v>
      </c>
      <c r="H963" s="158" t="s">
        <v>103</v>
      </c>
      <c r="I963" s="161">
        <v>7.7</v>
      </c>
      <c r="J963" s="162">
        <v>19</v>
      </c>
      <c r="K963" s="169">
        <v>16</v>
      </c>
      <c r="L963" s="164" t="s">
        <v>735</v>
      </c>
      <c r="M963" s="179" t="s">
        <v>903</v>
      </c>
      <c r="N963" s="179">
        <v>24</v>
      </c>
      <c r="O963" s="179" t="s">
        <v>1933</v>
      </c>
      <c r="P963" s="179">
        <v>24</v>
      </c>
      <c r="Q963" s="179"/>
      <c r="R963" s="183"/>
      <c r="S963" s="170">
        <v>6120</v>
      </c>
      <c r="T963" s="170" t="s">
        <v>1314</v>
      </c>
      <c r="U963" s="170">
        <v>6127</v>
      </c>
      <c r="V963" s="170" t="s">
        <v>1703</v>
      </c>
      <c r="W963" s="180">
        <v>44882</v>
      </c>
      <c r="X963" s="180">
        <v>44904</v>
      </c>
      <c r="Y963" s="166"/>
      <c r="Z963" s="166"/>
      <c r="AA963" s="170" t="s">
        <v>1102</v>
      </c>
      <c r="AB963" s="181"/>
      <c r="AC963" s="181"/>
      <c r="AD963" s="181"/>
      <c r="AE963" s="181"/>
      <c r="AF963" s="181"/>
      <c r="AG963" s="181"/>
      <c r="AH963" s="181"/>
      <c r="AI963" s="181"/>
      <c r="AJ963" s="181"/>
      <c r="AK963" s="181"/>
      <c r="AL963" s="166"/>
      <c r="AM963" s="166"/>
      <c r="AN963" s="166"/>
      <c r="AO963" s="166"/>
      <c r="AP963" s="166"/>
      <c r="AQ963" s="166"/>
      <c r="AR963" s="166"/>
      <c r="AS963" s="166"/>
      <c r="AT963" s="166"/>
      <c r="AU963" s="166"/>
      <c r="AV963" s="168"/>
      <c r="AW963" s="168"/>
      <c r="AX963" s="168"/>
      <c r="AY963" s="166"/>
      <c r="AZ963" s="166"/>
      <c r="BA963" s="166"/>
      <c r="BB963" s="166"/>
      <c r="BC963" s="168"/>
      <c r="BD963" s="168"/>
      <c r="BE963" s="166"/>
      <c r="BF963" s="166"/>
      <c r="BG963" s="166"/>
      <c r="BH963" s="166"/>
      <c r="BI963" s="166"/>
      <c r="BJ963" s="166">
        <v>10</v>
      </c>
      <c r="BK963" s="166">
        <v>6</v>
      </c>
      <c r="BL963" s="166"/>
      <c r="BM963" s="167">
        <f>3*I963</f>
        <v>23.1</v>
      </c>
      <c r="BN963" s="167"/>
      <c r="BO963" s="167"/>
      <c r="BP963" s="167"/>
      <c r="BQ963" s="167"/>
      <c r="BR963" s="167"/>
      <c r="BS963" s="167"/>
      <c r="BT963" s="167"/>
      <c r="BU963" s="167"/>
      <c r="BV963" s="167"/>
      <c r="BW963" s="167"/>
      <c r="BX963" s="167"/>
      <c r="BY963" s="167"/>
      <c r="BZ963" s="166"/>
    </row>
    <row r="964" spans="1:78" ht="33.75">
      <c r="A964" s="156" t="s">
        <v>2019</v>
      </c>
      <c r="B964" s="157" t="s">
        <v>1845</v>
      </c>
      <c r="C964" s="171">
        <v>615</v>
      </c>
      <c r="D964" s="171">
        <v>520</v>
      </c>
      <c r="E964" s="172">
        <v>0.75347222222222221</v>
      </c>
      <c r="F964" s="172">
        <v>0.78541666666666676</v>
      </c>
      <c r="G964" s="173" t="s">
        <v>2021</v>
      </c>
      <c r="H964" s="158" t="s">
        <v>478</v>
      </c>
      <c r="I964" s="161">
        <v>5.2</v>
      </c>
      <c r="J964" s="162">
        <v>19</v>
      </c>
      <c r="K964" s="169">
        <v>19</v>
      </c>
      <c r="L964" s="164" t="s">
        <v>735</v>
      </c>
      <c r="M964" s="179" t="s">
        <v>903</v>
      </c>
      <c r="N964" s="179">
        <v>24</v>
      </c>
      <c r="O964" s="179" t="s">
        <v>2004</v>
      </c>
      <c r="P964" s="179">
        <v>42</v>
      </c>
      <c r="Q964" s="179"/>
      <c r="R964" s="183"/>
      <c r="S964" s="170">
        <v>6120</v>
      </c>
      <c r="T964" s="170" t="s">
        <v>1314</v>
      </c>
      <c r="U964" s="170">
        <v>6120</v>
      </c>
      <c r="V964" s="170" t="s">
        <v>1314</v>
      </c>
      <c r="W964" s="180">
        <v>44882</v>
      </c>
      <c r="X964" s="180">
        <v>44904</v>
      </c>
      <c r="Y964" s="166"/>
      <c r="Z964" s="166"/>
      <c r="AA964" s="203" t="s">
        <v>1112</v>
      </c>
      <c r="AB964" s="181"/>
      <c r="AC964" s="181"/>
      <c r="AD964" s="181"/>
      <c r="AE964" s="181"/>
      <c r="AF964" s="181"/>
      <c r="AG964" s="181"/>
      <c r="AH964" s="181"/>
      <c r="AI964" s="181"/>
      <c r="AJ964" s="181"/>
      <c r="AK964" s="181"/>
      <c r="AL964" s="166"/>
      <c r="AM964" s="166"/>
      <c r="AN964" s="166"/>
      <c r="AO964" s="166"/>
      <c r="AP964" s="166"/>
      <c r="AQ964" s="166"/>
      <c r="AR964" s="166"/>
      <c r="AS964" s="166"/>
      <c r="AT964" s="166"/>
      <c r="AU964" s="166"/>
      <c r="AV964" s="168"/>
      <c r="AW964" s="168"/>
      <c r="AX964" s="168"/>
      <c r="AY964" s="166"/>
      <c r="AZ964" s="166"/>
      <c r="BA964" s="166"/>
      <c r="BB964" s="166"/>
      <c r="BC964" s="168"/>
      <c r="BD964" s="168"/>
      <c r="BE964" s="166"/>
      <c r="BF964" s="166"/>
      <c r="BG964" s="166"/>
      <c r="BH964" s="166"/>
      <c r="BI964" s="166"/>
      <c r="BJ964" s="166">
        <v>12</v>
      </c>
      <c r="BK964" s="166">
        <v>7</v>
      </c>
      <c r="BL964" s="166"/>
      <c r="BM964" s="167">
        <f>3*I964</f>
        <v>15.600000000000001</v>
      </c>
      <c r="BN964" s="167"/>
      <c r="BO964" s="167"/>
      <c r="BP964" s="167"/>
      <c r="BQ964" s="167"/>
      <c r="BR964" s="167"/>
      <c r="BS964" s="167"/>
      <c r="BT964" s="167"/>
      <c r="BU964" s="167"/>
      <c r="BV964" s="167"/>
      <c r="BW964" s="167"/>
      <c r="BX964" s="167"/>
      <c r="BY964" s="167"/>
      <c r="BZ964" s="166"/>
    </row>
    <row r="965" spans="1:78" ht="25.5">
      <c r="A965" s="2" t="s">
        <v>1976</v>
      </c>
      <c r="B965" s="89" t="s">
        <v>1845</v>
      </c>
      <c r="C965" s="93">
        <v>634</v>
      </c>
      <c r="D965" s="93">
        <v>548</v>
      </c>
      <c r="E965" s="94">
        <v>0.58194444444444449</v>
      </c>
      <c r="F965" s="94">
        <v>0.60972222222222217</v>
      </c>
      <c r="G965" s="93" t="s">
        <v>1977</v>
      </c>
      <c r="H965" s="93" t="s">
        <v>103</v>
      </c>
      <c r="I965" s="96">
        <v>20</v>
      </c>
      <c r="J965" s="97">
        <v>19</v>
      </c>
      <c r="K965" s="98">
        <v>144</v>
      </c>
      <c r="L965" s="109" t="s">
        <v>780</v>
      </c>
      <c r="M965" s="83" t="s">
        <v>825</v>
      </c>
      <c r="N965" s="83">
        <v>21</v>
      </c>
      <c r="O965" s="83" t="s">
        <v>826</v>
      </c>
      <c r="P965" s="83" t="s">
        <v>827</v>
      </c>
      <c r="Q965" s="87" t="s">
        <v>1280</v>
      </c>
      <c r="R965" s="84">
        <v>17</v>
      </c>
      <c r="S965" s="22">
        <v>6220</v>
      </c>
      <c r="T965" s="22" t="s">
        <v>1978</v>
      </c>
      <c r="U965" s="22">
        <v>6755</v>
      </c>
      <c r="V965" s="26" t="s">
        <v>1979</v>
      </c>
      <c r="W965" s="62">
        <v>44886</v>
      </c>
      <c r="X965" s="62">
        <v>45086</v>
      </c>
      <c r="AA965" s="22" t="s">
        <v>1102</v>
      </c>
      <c r="AB965" s="23"/>
      <c r="AC965" s="23"/>
      <c r="AD965" s="23"/>
      <c r="AE965" s="23" t="s">
        <v>731</v>
      </c>
      <c r="AF965" s="23" t="s">
        <v>731</v>
      </c>
      <c r="AG965" s="23" t="s">
        <v>731</v>
      </c>
      <c r="AH965" s="23" t="s">
        <v>731</v>
      </c>
      <c r="AI965" s="23" t="s">
        <v>731</v>
      </c>
      <c r="AJ965" s="23" t="s">
        <v>731</v>
      </c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W965" s="18"/>
      <c r="AX965" s="41">
        <f>3*I965</f>
        <v>60</v>
      </c>
      <c r="AY965" s="18"/>
      <c r="AZ965" s="18"/>
      <c r="BB965" s="45">
        <v>1</v>
      </c>
      <c r="BC965" s="50"/>
      <c r="BD965" s="50"/>
      <c r="BE965" s="45"/>
      <c r="BF965" s="45"/>
      <c r="BG965" s="45"/>
      <c r="BH965" s="18">
        <v>0</v>
      </c>
      <c r="BI965" s="18">
        <v>0</v>
      </c>
      <c r="BJ965" s="18">
        <v>8</v>
      </c>
      <c r="BK965" s="18">
        <v>15</v>
      </c>
      <c r="BL965" s="18">
        <v>17</v>
      </c>
      <c r="BM965" s="55">
        <f>SUM(AV965:AX965)+SUM(BC965:BD965)+SUM(BE965:BF965)+BG965</f>
        <v>60</v>
      </c>
      <c r="BN965" s="199"/>
      <c r="BO965" s="199"/>
      <c r="BP965" s="199"/>
      <c r="BQ965" s="199"/>
      <c r="BR965" s="199"/>
      <c r="BS965" s="199"/>
      <c r="BT965" s="199"/>
      <c r="BU965" s="199"/>
      <c r="BV965" s="199"/>
      <c r="BW965" s="199"/>
      <c r="BX965" s="199"/>
      <c r="BY965" s="199"/>
      <c r="BZ965" s="45"/>
    </row>
    <row r="966" spans="1:78" ht="27" customHeight="1">
      <c r="A966" s="2" t="s">
        <v>1953</v>
      </c>
      <c r="B966" s="89" t="s">
        <v>1845</v>
      </c>
      <c r="C966" s="93">
        <v>205</v>
      </c>
      <c r="D966" s="95">
        <v>368</v>
      </c>
      <c r="E966" s="94">
        <v>0.71875</v>
      </c>
      <c r="F966" s="94">
        <v>0.73055555555555562</v>
      </c>
      <c r="G966" s="93" t="s">
        <v>495</v>
      </c>
      <c r="H966" s="93" t="s">
        <v>1067</v>
      </c>
      <c r="I966" s="96">
        <v>9</v>
      </c>
      <c r="J966" s="97" t="s">
        <v>93</v>
      </c>
      <c r="K966" s="98">
        <v>143</v>
      </c>
      <c r="L966" s="99" t="s">
        <v>740</v>
      </c>
      <c r="M966" s="83" t="s">
        <v>947</v>
      </c>
      <c r="N966" s="83">
        <v>17</v>
      </c>
      <c r="O966" s="83" t="s">
        <v>1883</v>
      </c>
      <c r="P966" s="83">
        <v>37</v>
      </c>
      <c r="Q966" s="83"/>
      <c r="R966" s="83"/>
      <c r="S966" s="22">
        <v>2120</v>
      </c>
      <c r="T966" s="22" t="s">
        <v>1474</v>
      </c>
      <c r="U966" s="22" t="s">
        <v>1470</v>
      </c>
      <c r="V966" s="22" t="s">
        <v>1471</v>
      </c>
      <c r="W966" s="63">
        <v>44895</v>
      </c>
      <c r="X966" s="63">
        <v>45100</v>
      </c>
      <c r="Y966" s="63"/>
      <c r="Z966" s="63"/>
      <c r="AA966" s="22" t="s">
        <v>1108</v>
      </c>
      <c r="AB966" s="23" t="s">
        <v>731</v>
      </c>
      <c r="AC966" s="23"/>
      <c r="AD966" s="23" t="s">
        <v>731</v>
      </c>
      <c r="AE966" s="23"/>
      <c r="AF966" s="23" t="s">
        <v>731</v>
      </c>
      <c r="AG966" s="23" t="s">
        <v>731</v>
      </c>
      <c r="AH966" s="23" t="s">
        <v>731</v>
      </c>
      <c r="AI966" s="23" t="s">
        <v>731</v>
      </c>
      <c r="AJ966" s="23" t="s">
        <v>731</v>
      </c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W966" s="18"/>
      <c r="AX966" s="41">
        <f>3*I966</f>
        <v>27</v>
      </c>
      <c r="AY966" s="18"/>
      <c r="AZ966" s="18"/>
      <c r="BB966" s="45">
        <v>1</v>
      </c>
      <c r="BC966" s="50"/>
      <c r="BD966" s="50"/>
      <c r="BE966" s="45"/>
      <c r="BF966" s="45"/>
      <c r="BG966" s="45"/>
      <c r="BH966" s="18">
        <v>0</v>
      </c>
      <c r="BI966" s="18">
        <v>0</v>
      </c>
      <c r="BJ966" s="18">
        <v>1</v>
      </c>
      <c r="BK966" s="18">
        <v>20</v>
      </c>
      <c r="BL966" s="18">
        <v>21</v>
      </c>
      <c r="BM966" s="55">
        <f>SUM(AV966:AX966)+SUM(BC966:BD966)+SUM(BE966:BF966)+BG966</f>
        <v>27</v>
      </c>
      <c r="BN966" s="199"/>
      <c r="BO966" s="199"/>
      <c r="BP966" s="199"/>
      <c r="BQ966" s="199"/>
      <c r="BR966" s="199"/>
      <c r="BS966" s="199"/>
      <c r="BT966" s="199"/>
      <c r="BU966" s="199"/>
      <c r="BV966" s="199"/>
      <c r="BW966" s="199"/>
      <c r="BX966" s="199"/>
      <c r="BY966" s="199"/>
      <c r="BZ966" s="45"/>
    </row>
    <row r="967" spans="1:78" ht="27" customHeight="1">
      <c r="A967" s="2" t="s">
        <v>1953</v>
      </c>
      <c r="B967" s="89" t="s">
        <v>1845</v>
      </c>
      <c r="C967" s="93">
        <v>205</v>
      </c>
      <c r="D967" s="95">
        <v>366</v>
      </c>
      <c r="E967" s="94">
        <v>0.70277777777777783</v>
      </c>
      <c r="F967" s="94">
        <v>0.70624999999999993</v>
      </c>
      <c r="G967" s="93" t="s">
        <v>187</v>
      </c>
      <c r="H967" s="93" t="s">
        <v>1952</v>
      </c>
      <c r="I967" s="96">
        <v>4</v>
      </c>
      <c r="J967" s="97" t="s">
        <v>93</v>
      </c>
      <c r="K967" s="98">
        <v>120</v>
      </c>
      <c r="L967" s="99" t="s">
        <v>740</v>
      </c>
      <c r="M967" s="83" t="s">
        <v>947</v>
      </c>
      <c r="N967" s="83">
        <v>17</v>
      </c>
      <c r="O967" s="83" t="s">
        <v>1883</v>
      </c>
      <c r="P967" s="83">
        <v>37</v>
      </c>
      <c r="Q967" s="83"/>
      <c r="R967" s="83"/>
      <c r="S967" s="22">
        <v>2120</v>
      </c>
      <c r="T967" s="22" t="s">
        <v>1474</v>
      </c>
      <c r="U967" s="22">
        <v>2122</v>
      </c>
      <c r="V967" s="22" t="s">
        <v>1954</v>
      </c>
      <c r="W967" s="62">
        <v>44895</v>
      </c>
      <c r="X967" s="63">
        <v>45086</v>
      </c>
      <c r="Y967" s="63"/>
      <c r="Z967" s="63"/>
      <c r="AA967" s="22" t="s">
        <v>1106</v>
      </c>
      <c r="AB967" s="23"/>
      <c r="AC967" s="23"/>
      <c r="AD967" s="23"/>
      <c r="AE967" s="23" t="s">
        <v>731</v>
      </c>
      <c r="AF967" s="23" t="s">
        <v>731</v>
      </c>
      <c r="AG967" s="23" t="s">
        <v>731</v>
      </c>
      <c r="AH967" s="23" t="s">
        <v>731</v>
      </c>
      <c r="AI967" s="23" t="s">
        <v>731</v>
      </c>
      <c r="AJ967" s="23" t="s">
        <v>731</v>
      </c>
      <c r="AK967" s="23" t="s">
        <v>731</v>
      </c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W967" s="18"/>
      <c r="AX967" s="41">
        <f>3*I967</f>
        <v>12</v>
      </c>
      <c r="AY967" s="18"/>
      <c r="AZ967" s="18"/>
      <c r="BB967" s="45">
        <v>1</v>
      </c>
      <c r="BC967" s="50"/>
      <c r="BD967" s="50"/>
      <c r="BE967" s="45"/>
      <c r="BF967" s="45"/>
      <c r="BG967" s="45"/>
      <c r="BH967" s="18">
        <v>0</v>
      </c>
      <c r="BI967" s="18">
        <v>0</v>
      </c>
      <c r="BJ967" s="18">
        <v>1</v>
      </c>
      <c r="BK967" s="18">
        <v>18</v>
      </c>
      <c r="BL967" s="18">
        <v>20</v>
      </c>
      <c r="BM967" s="55">
        <f>SUM(AV967:AX967)+SUM(BC967:BD967)+SUM(BE967:BF967)+BG967</f>
        <v>12</v>
      </c>
      <c r="BN967" s="199"/>
      <c r="BO967" s="199"/>
      <c r="BP967" s="199"/>
      <c r="BQ967" s="199"/>
      <c r="BR967" s="199"/>
      <c r="BS967" s="199"/>
      <c r="BT967" s="199"/>
      <c r="BU967" s="199"/>
      <c r="BV967" s="199"/>
      <c r="BW967" s="199"/>
      <c r="BX967" s="199"/>
      <c r="BY967" s="199"/>
      <c r="BZ967" s="45"/>
    </row>
    <row r="968" spans="1:78" ht="25.5">
      <c r="A968" s="2" t="s">
        <v>1965</v>
      </c>
      <c r="B968" s="89" t="s">
        <v>1845</v>
      </c>
      <c r="C968" s="93" t="s">
        <v>1966</v>
      </c>
      <c r="D968" s="95">
        <v>645</v>
      </c>
      <c r="E968" s="94">
        <v>0.32083333333333336</v>
      </c>
      <c r="F968" s="94">
        <v>0.34375</v>
      </c>
      <c r="G968" s="93" t="s">
        <v>1967</v>
      </c>
      <c r="H968" s="93" t="s">
        <v>103</v>
      </c>
      <c r="I968" s="96">
        <v>22</v>
      </c>
      <c r="J968" s="97">
        <v>24</v>
      </c>
      <c r="K968" s="98">
        <f>174-35</f>
        <v>139</v>
      </c>
      <c r="L968" s="99" t="s">
        <v>1959</v>
      </c>
      <c r="M968" s="83" t="s">
        <v>1964</v>
      </c>
      <c r="N968" s="83">
        <v>23</v>
      </c>
      <c r="O968" s="83" t="s">
        <v>1963</v>
      </c>
      <c r="P968" s="83">
        <v>22</v>
      </c>
      <c r="Q968" s="18"/>
      <c r="R968" s="18"/>
      <c r="S968" s="26">
        <v>1078</v>
      </c>
      <c r="T968" s="26" t="s">
        <v>1370</v>
      </c>
      <c r="U968" s="22" t="s">
        <v>1425</v>
      </c>
      <c r="V968" s="22" t="s">
        <v>1426</v>
      </c>
      <c r="W968" s="62">
        <v>44893</v>
      </c>
      <c r="X968" s="63">
        <v>45086</v>
      </c>
      <c r="Y968" s="63"/>
      <c r="Z968" s="63"/>
      <c r="AA968" s="22" t="s">
        <v>1102</v>
      </c>
      <c r="AB968" s="23"/>
      <c r="AC968" s="23"/>
      <c r="AD968" s="23"/>
      <c r="AE968" s="23" t="s">
        <v>731</v>
      </c>
      <c r="AF968" s="23" t="s">
        <v>731</v>
      </c>
      <c r="AG968" s="23" t="s">
        <v>731</v>
      </c>
      <c r="AH968" s="23" t="s">
        <v>731</v>
      </c>
      <c r="AI968" s="23" t="s">
        <v>731</v>
      </c>
      <c r="AJ968" s="23" t="s">
        <v>731</v>
      </c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W968" s="18"/>
      <c r="AX968" s="41">
        <f>3*I968</f>
        <v>66</v>
      </c>
      <c r="AY968" s="18"/>
      <c r="AZ968" s="18"/>
      <c r="BB968" s="45">
        <v>1</v>
      </c>
      <c r="BC968" s="50"/>
      <c r="BD968" s="50"/>
      <c r="BE968" s="45"/>
      <c r="BF968" s="45"/>
      <c r="BG968" s="45"/>
      <c r="BH968" s="18">
        <v>0</v>
      </c>
      <c r="BI968" s="18">
        <v>0</v>
      </c>
      <c r="BJ968" s="18">
        <v>3</v>
      </c>
      <c r="BK968" s="18">
        <v>15</v>
      </c>
      <c r="BL968" s="18">
        <v>17</v>
      </c>
      <c r="BM968" s="55">
        <f>SUM(AV968:AX968)+SUM(BC968:BD968)+SUM(BE968:BF968)+BG968</f>
        <v>66</v>
      </c>
      <c r="BN968" s="199"/>
      <c r="BO968" s="199"/>
      <c r="BP968" s="199"/>
      <c r="BQ968" s="199"/>
      <c r="BR968" s="199"/>
      <c r="BS968" s="199"/>
      <c r="BT968" s="199"/>
      <c r="BU968" s="199"/>
      <c r="BV968" s="199"/>
      <c r="BW968" s="199"/>
      <c r="BX968" s="199"/>
      <c r="BY968" s="199"/>
      <c r="BZ968" s="45"/>
    </row>
    <row r="969" spans="1:78" ht="39.75" customHeight="1">
      <c r="A969" s="2" t="s">
        <v>1965</v>
      </c>
      <c r="B969" s="89" t="s">
        <v>1845</v>
      </c>
      <c r="C969" s="93">
        <v>646</v>
      </c>
      <c r="D969" s="95">
        <v>406</v>
      </c>
      <c r="E969" s="94">
        <v>0.66666666666666663</v>
      </c>
      <c r="F969" s="94">
        <v>0.69861111111111107</v>
      </c>
      <c r="G969" s="93" t="s">
        <v>1973</v>
      </c>
      <c r="H969" s="93" t="s">
        <v>1970</v>
      </c>
      <c r="I969" s="96">
        <v>22</v>
      </c>
      <c r="J969" s="97">
        <v>19</v>
      </c>
      <c r="K969" s="98">
        <v>23</v>
      </c>
      <c r="L969" s="99" t="s">
        <v>785</v>
      </c>
      <c r="M969" s="87" t="s">
        <v>967</v>
      </c>
      <c r="N969" s="87">
        <v>24</v>
      </c>
      <c r="O969" s="83" t="s">
        <v>1291</v>
      </c>
      <c r="P969" s="83">
        <v>56</v>
      </c>
      <c r="Q969" s="87" t="s">
        <v>968</v>
      </c>
      <c r="R969" s="84">
        <v>20</v>
      </c>
      <c r="S969" s="38" t="s">
        <v>1974</v>
      </c>
      <c r="T969" s="26" t="s">
        <v>1975</v>
      </c>
      <c r="U969" s="22" t="s">
        <v>1971</v>
      </c>
      <c r="V969" s="22" t="s">
        <v>1972</v>
      </c>
      <c r="W969" s="62">
        <v>44893</v>
      </c>
      <c r="X969" s="63">
        <v>45086</v>
      </c>
      <c r="Y969" s="63"/>
      <c r="Z969" s="63"/>
      <c r="AA969" s="22" t="s">
        <v>1120</v>
      </c>
      <c r="AB969" s="23"/>
      <c r="AC969" s="23"/>
      <c r="AD969" s="23"/>
      <c r="AE969" s="23" t="s">
        <v>731</v>
      </c>
      <c r="AF969" s="23" t="s">
        <v>731</v>
      </c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W969" s="18"/>
      <c r="AX969" s="41">
        <f>3*I969</f>
        <v>66</v>
      </c>
      <c r="AY969" s="18"/>
      <c r="AZ969" s="18"/>
      <c r="BB969" s="45">
        <v>1</v>
      </c>
      <c r="BC969" s="50"/>
      <c r="BD969" s="50"/>
      <c r="BE969" s="45"/>
      <c r="BF969" s="45"/>
      <c r="BG969" s="45"/>
      <c r="BH969" s="18">
        <v>0</v>
      </c>
      <c r="BI969" s="18">
        <v>0</v>
      </c>
      <c r="BJ969" s="18">
        <v>1</v>
      </c>
      <c r="BK969" s="18">
        <v>3</v>
      </c>
      <c r="BL969" s="18">
        <v>4</v>
      </c>
      <c r="BM969" s="55">
        <f>SUM(AV969:AX969)+SUM(BC969:BD969)+SUM(BE969:BF969)+BG969</f>
        <v>66</v>
      </c>
      <c r="BN969" s="22" t="s">
        <v>1120</v>
      </c>
      <c r="BO969" s="55"/>
      <c r="BP969" s="55"/>
      <c r="BQ969" s="55"/>
      <c r="BR969" s="55"/>
      <c r="BS969" s="55"/>
      <c r="BT969" s="55"/>
      <c r="BU969" s="55"/>
      <c r="BV969" s="55"/>
      <c r="BW969" s="221">
        <v>4</v>
      </c>
      <c r="BX969" s="55"/>
      <c r="BY969" s="55">
        <v>0.15999999999996817</v>
      </c>
    </row>
    <row r="970" spans="1:78" ht="33.75">
      <c r="A970" s="2" t="s">
        <v>1968</v>
      </c>
      <c r="B970" s="89" t="s">
        <v>1845</v>
      </c>
      <c r="C970" s="93">
        <v>644</v>
      </c>
      <c r="D970" s="97">
        <v>660</v>
      </c>
      <c r="E970" s="94">
        <v>0.76388888888888884</v>
      </c>
      <c r="F970" s="105">
        <v>0.77500000000000002</v>
      </c>
      <c r="G970" s="93" t="s">
        <v>246</v>
      </c>
      <c r="H970" s="93" t="s">
        <v>1969</v>
      </c>
      <c r="I970" s="96">
        <v>6.5</v>
      </c>
      <c r="J970" s="97" t="s">
        <v>167</v>
      </c>
      <c r="K970" s="98">
        <v>23</v>
      </c>
      <c r="L970" s="109" t="s">
        <v>786</v>
      </c>
      <c r="M970" s="87" t="s">
        <v>958</v>
      </c>
      <c r="N970" s="87">
        <v>17</v>
      </c>
      <c r="O970" s="87" t="s">
        <v>1285</v>
      </c>
      <c r="P970" s="87">
        <v>17</v>
      </c>
      <c r="R970" s="87"/>
      <c r="S970" s="26">
        <v>6387</v>
      </c>
      <c r="T970" s="26" t="s">
        <v>1763</v>
      </c>
      <c r="U970" s="26">
        <v>6391</v>
      </c>
      <c r="V970" s="26" t="s">
        <v>1761</v>
      </c>
      <c r="W970" s="62">
        <v>44894</v>
      </c>
      <c r="X970" s="62">
        <v>45086</v>
      </c>
      <c r="Y970" s="62"/>
      <c r="Z970" s="62"/>
      <c r="AA970" s="23" t="s">
        <v>1117</v>
      </c>
      <c r="AB970" s="23"/>
      <c r="AC970" s="23"/>
      <c r="AD970" s="23"/>
      <c r="AE970" s="23" t="s">
        <v>731</v>
      </c>
      <c r="AF970" s="23"/>
      <c r="AG970" s="23" t="s">
        <v>731</v>
      </c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42"/>
      <c r="AW970" s="42"/>
      <c r="AX970" s="41">
        <f>3*I970</f>
        <v>19.5</v>
      </c>
      <c r="AY970" s="18"/>
      <c r="AZ970" s="18"/>
      <c r="BB970" s="45">
        <v>1</v>
      </c>
      <c r="BC970" s="50"/>
      <c r="BD970" s="50"/>
      <c r="BE970" s="45"/>
      <c r="BF970" s="45"/>
      <c r="BG970" s="45"/>
      <c r="BH970" s="18">
        <v>0</v>
      </c>
      <c r="BI970" s="18">
        <v>0</v>
      </c>
      <c r="BJ970" s="18">
        <v>1</v>
      </c>
      <c r="BK970" s="18">
        <v>3</v>
      </c>
      <c r="BL970" s="18">
        <v>4</v>
      </c>
      <c r="BM970" s="55">
        <f>SUM(AV970:AX970)+SUM(BC970:BD970)+SUM(BE970:BF970)+BG970</f>
        <v>19.5</v>
      </c>
      <c r="BN970" s="199"/>
      <c r="BO970" s="199"/>
      <c r="BP970" s="199"/>
      <c r="BQ970" s="199"/>
      <c r="BR970" s="199"/>
      <c r="BS970" s="199"/>
      <c r="BT970" s="199"/>
      <c r="BU970" s="199"/>
      <c r="BV970" s="199"/>
      <c r="BW970" s="199"/>
      <c r="BX970" s="199"/>
      <c r="BY970" s="199"/>
      <c r="BZ970" s="45"/>
    </row>
    <row r="971" spans="1:78" ht="25.5">
      <c r="A971" s="2" t="s">
        <v>1953</v>
      </c>
      <c r="B971" s="89" t="s">
        <v>1845</v>
      </c>
      <c r="C971" s="93">
        <v>103</v>
      </c>
      <c r="D971" s="95">
        <v>203</v>
      </c>
      <c r="E971" s="94">
        <v>0.60416666666666663</v>
      </c>
      <c r="F971" s="94">
        <v>0.6166666666666667</v>
      </c>
      <c r="G971" s="93" t="s">
        <v>1957</v>
      </c>
      <c r="H971" s="93" t="s">
        <v>1958</v>
      </c>
      <c r="I971" s="96">
        <v>12.5</v>
      </c>
      <c r="J971" s="97">
        <v>19</v>
      </c>
      <c r="K971" s="98">
        <v>48</v>
      </c>
      <c r="L971" s="99" t="s">
        <v>1959</v>
      </c>
      <c r="M971" s="83" t="s">
        <v>1963</v>
      </c>
      <c r="N971" s="83">
        <v>22</v>
      </c>
      <c r="O971" s="83" t="s">
        <v>1964</v>
      </c>
      <c r="P971" s="83">
        <v>23</v>
      </c>
      <c r="Q971" s="83"/>
      <c r="R971" s="83"/>
      <c r="S971" s="22" t="s">
        <v>1961</v>
      </c>
      <c r="T971" s="22" t="s">
        <v>1960</v>
      </c>
      <c r="U971" s="22">
        <v>1122</v>
      </c>
      <c r="V971" s="22" t="s">
        <v>1962</v>
      </c>
      <c r="W971" s="62">
        <v>44895</v>
      </c>
      <c r="X971" s="63">
        <v>45086</v>
      </c>
      <c r="Y971" s="63"/>
      <c r="Z971" s="63"/>
      <c r="AA971" s="22" t="s">
        <v>1116</v>
      </c>
      <c r="AB971" s="23"/>
      <c r="AC971" s="23"/>
      <c r="AD971" s="23"/>
      <c r="AE971" s="23" t="s">
        <v>731</v>
      </c>
      <c r="AF971" s="23"/>
      <c r="AG971" s="23" t="s">
        <v>731</v>
      </c>
      <c r="AH971" s="23" t="s">
        <v>731</v>
      </c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W971" s="18"/>
      <c r="AX971" s="41">
        <f>3*I971</f>
        <v>37.5</v>
      </c>
      <c r="AY971" s="18"/>
      <c r="AZ971" s="18"/>
      <c r="BB971" s="45">
        <v>1</v>
      </c>
      <c r="BC971" s="50"/>
      <c r="BD971" s="50"/>
      <c r="BE971" s="45"/>
      <c r="BF971" s="45"/>
      <c r="BG971" s="45"/>
      <c r="BH971" s="18">
        <v>0</v>
      </c>
      <c r="BI971" s="18">
        <v>0</v>
      </c>
      <c r="BJ971" s="18">
        <v>1</v>
      </c>
      <c r="BK971" s="18">
        <v>6</v>
      </c>
      <c r="BL971" s="18">
        <v>7</v>
      </c>
      <c r="BM971" s="55">
        <f>SUM(AV971:AX971)+SUM(BC971:BD971)+SUM(BE971:BF971)+BG971</f>
        <v>37.5</v>
      </c>
      <c r="BN971" s="199"/>
      <c r="BO971" s="199"/>
      <c r="BP971" s="199"/>
      <c r="BQ971" s="199"/>
      <c r="BR971" s="199"/>
      <c r="BS971" s="199"/>
      <c r="BT971" s="199"/>
      <c r="BU971" s="199"/>
      <c r="BV971" s="199"/>
      <c r="BW971" s="199"/>
      <c r="BX971" s="199"/>
      <c r="BY971" s="199"/>
      <c r="BZ971" s="45"/>
    </row>
    <row r="972" spans="1:78" ht="33.75">
      <c r="A972" s="2" t="s">
        <v>2089</v>
      </c>
      <c r="B972" s="89" t="s">
        <v>1845</v>
      </c>
      <c r="C972" s="121">
        <v>334</v>
      </c>
      <c r="D972" s="121">
        <v>401</v>
      </c>
      <c r="E972" s="108">
        <v>0.69236111111111109</v>
      </c>
      <c r="F972" s="108">
        <v>0.69861111111111107</v>
      </c>
      <c r="G972" s="117" t="s">
        <v>29</v>
      </c>
      <c r="H972" s="93" t="s">
        <v>242</v>
      </c>
      <c r="I972" s="121">
        <v>4</v>
      </c>
      <c r="J972" s="104">
        <v>19</v>
      </c>
      <c r="K972" s="98">
        <v>34</v>
      </c>
      <c r="L972" s="109" t="s">
        <v>762</v>
      </c>
      <c r="M972" s="83" t="s">
        <v>948</v>
      </c>
      <c r="N972" s="83">
        <v>22</v>
      </c>
      <c r="O972" s="87" t="s">
        <v>1902</v>
      </c>
      <c r="P972" s="87">
        <v>29</v>
      </c>
      <c r="Q972" s="2" t="s">
        <v>1257</v>
      </c>
      <c r="R972" s="83">
        <v>21</v>
      </c>
      <c r="S972" s="26" t="s">
        <v>1637</v>
      </c>
      <c r="T972" s="26" t="s">
        <v>1638</v>
      </c>
      <c r="U972" s="26" t="s">
        <v>1635</v>
      </c>
      <c r="V972" s="26" t="s">
        <v>1636</v>
      </c>
      <c r="W972" s="62">
        <v>44870</v>
      </c>
      <c r="X972" s="62">
        <v>45086</v>
      </c>
      <c r="Y972" s="62"/>
      <c r="Z972" s="62"/>
      <c r="AA972" s="23" t="s">
        <v>1111</v>
      </c>
      <c r="AB972" s="23"/>
      <c r="AC972" s="23"/>
      <c r="AD972" s="23"/>
      <c r="AE972" s="23" t="s">
        <v>731</v>
      </c>
      <c r="AF972" s="23"/>
      <c r="AG972" s="23"/>
      <c r="AH972" s="23"/>
      <c r="AI972" s="23"/>
      <c r="AJ972" s="23"/>
      <c r="AK972" s="23" t="s">
        <v>731</v>
      </c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W972" s="18"/>
      <c r="AY972" s="20" t="s">
        <v>1006</v>
      </c>
      <c r="AZ972" s="20"/>
      <c r="BA972" s="18">
        <v>35</v>
      </c>
      <c r="BB972" s="45">
        <v>1</v>
      </c>
      <c r="BC972" s="45"/>
      <c r="BD972" s="50"/>
      <c r="BE972" s="45"/>
      <c r="BF972" s="45"/>
      <c r="BG972" s="45"/>
      <c r="BH972" s="18">
        <v>0</v>
      </c>
      <c r="BI972" s="18">
        <v>0</v>
      </c>
      <c r="BJ972" s="18">
        <v>4</v>
      </c>
      <c r="BK972" s="18">
        <v>3</v>
      </c>
      <c r="BL972" s="18">
        <v>3</v>
      </c>
      <c r="BM972" s="55">
        <f>SUM(AV972:AX972)+SUM(BC972:BD972)+SUM(BE972:BF972)+BG972</f>
        <v>0</v>
      </c>
      <c r="BN972" s="199"/>
      <c r="BO972" s="199"/>
      <c r="BP972" s="199"/>
      <c r="BQ972" s="199"/>
      <c r="BR972" s="199"/>
      <c r="BS972" s="199"/>
      <c r="BT972" s="199"/>
      <c r="BU972" s="199"/>
      <c r="BV972" s="199"/>
      <c r="BW972" s="199"/>
      <c r="BX972" s="199"/>
      <c r="BY972" s="199"/>
      <c r="BZ972" s="45"/>
    </row>
    <row r="973" spans="1:78" ht="25.5">
      <c r="A973" s="2" t="s">
        <v>1982</v>
      </c>
      <c r="B973" s="89" t="s">
        <v>1845</v>
      </c>
      <c r="C973" s="93">
        <v>611</v>
      </c>
      <c r="D973" s="93">
        <v>757</v>
      </c>
      <c r="E973" s="94">
        <v>0.30208333333333331</v>
      </c>
      <c r="F973" s="94">
        <v>0.31944444444444448</v>
      </c>
      <c r="G973" s="93" t="s">
        <v>1984</v>
      </c>
      <c r="H973" s="93" t="s">
        <v>103</v>
      </c>
      <c r="I973" s="120">
        <v>13.5</v>
      </c>
      <c r="J973" s="97" t="s">
        <v>165</v>
      </c>
      <c r="K973" s="98">
        <v>174</v>
      </c>
      <c r="L973" s="99" t="s">
        <v>2013</v>
      </c>
      <c r="M973" s="193" t="s">
        <v>2033</v>
      </c>
      <c r="N973" s="193">
        <v>57</v>
      </c>
      <c r="O973" s="83" t="s">
        <v>2034</v>
      </c>
      <c r="P973" s="21">
        <v>57</v>
      </c>
      <c r="Q973" s="19" t="s">
        <v>1981</v>
      </c>
      <c r="R973" s="19">
        <v>57</v>
      </c>
      <c r="S973" s="22">
        <v>6136</v>
      </c>
      <c r="T973" s="22" t="s">
        <v>1985</v>
      </c>
      <c r="U973" s="26">
        <v>6120</v>
      </c>
      <c r="V973" s="26" t="s">
        <v>1314</v>
      </c>
      <c r="W973" s="62">
        <v>44867</v>
      </c>
      <c r="X973" s="62">
        <v>45086</v>
      </c>
      <c r="Y973" s="62"/>
      <c r="Z973" s="62"/>
      <c r="AA973" s="22" t="s">
        <v>1102</v>
      </c>
      <c r="AB973" s="23"/>
      <c r="AC973" s="23"/>
      <c r="AD973" s="23"/>
      <c r="AE973" s="23" t="s">
        <v>731</v>
      </c>
      <c r="AF973" s="23" t="s">
        <v>731</v>
      </c>
      <c r="AG973" s="23" t="s">
        <v>731</v>
      </c>
      <c r="AH973" s="23" t="s">
        <v>731</v>
      </c>
      <c r="AI973" s="23" t="s">
        <v>731</v>
      </c>
      <c r="AJ973" s="23" t="s">
        <v>731</v>
      </c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41">
        <v>153.79</v>
      </c>
      <c r="AW973" s="18"/>
      <c r="AY973" s="41"/>
      <c r="AZ973" s="41"/>
      <c r="BB973" s="45">
        <v>2</v>
      </c>
      <c r="BC973" s="50"/>
      <c r="BD973" s="50"/>
      <c r="BE973" s="45"/>
      <c r="BF973" s="45"/>
      <c r="BG973" s="50"/>
      <c r="BH973" s="18">
        <v>0</v>
      </c>
      <c r="BI973" s="18">
        <v>0</v>
      </c>
      <c r="BJ973" s="18">
        <v>21</v>
      </c>
      <c r="BK973" s="18">
        <v>15</v>
      </c>
      <c r="BL973" s="18">
        <v>17</v>
      </c>
      <c r="BM973" s="55">
        <f>SUM(AV973:AX973)+SUM(BC973:BD973)+SUM(BE973:BF973)+BG973</f>
        <v>153.79</v>
      </c>
      <c r="BN973" s="199"/>
      <c r="BO973" s="199"/>
      <c r="BP973" s="199"/>
      <c r="BQ973" s="199"/>
      <c r="BR973" s="199"/>
      <c r="BS973" s="199"/>
      <c r="BT973" s="199"/>
      <c r="BU973" s="199"/>
      <c r="BV973" s="199"/>
      <c r="BW973" s="199"/>
      <c r="BX973" s="199"/>
      <c r="BY973" s="199"/>
      <c r="BZ973" s="45"/>
    </row>
    <row r="974" spans="1:78" ht="45">
      <c r="A974" s="2" t="s">
        <v>2047</v>
      </c>
      <c r="B974" s="89" t="s">
        <v>1845</v>
      </c>
      <c r="C974" s="93">
        <v>303</v>
      </c>
      <c r="D974" s="93">
        <v>544</v>
      </c>
      <c r="E974" s="94">
        <v>0.59444444444444444</v>
      </c>
      <c r="F974" s="94">
        <v>0.59722222222222221</v>
      </c>
      <c r="G974" s="93" t="s">
        <v>2048</v>
      </c>
      <c r="H974" s="93" t="s">
        <v>97</v>
      </c>
      <c r="I974" s="96">
        <v>3.2</v>
      </c>
      <c r="J974" s="97">
        <v>14</v>
      </c>
      <c r="K974" s="98">
        <f>208-91</f>
        <v>117</v>
      </c>
      <c r="L974" s="99" t="s">
        <v>755</v>
      </c>
      <c r="M974" s="87" t="s">
        <v>830</v>
      </c>
      <c r="N974" s="87">
        <v>15</v>
      </c>
      <c r="O974" s="83" t="s">
        <v>1890</v>
      </c>
      <c r="P974" s="83">
        <v>9</v>
      </c>
      <c r="Q974" s="87" t="s">
        <v>1253</v>
      </c>
      <c r="R974" s="84">
        <v>9</v>
      </c>
      <c r="S974" s="22">
        <v>3890</v>
      </c>
      <c r="T974" s="22" t="s">
        <v>2051</v>
      </c>
      <c r="U974" s="38" t="s">
        <v>2049</v>
      </c>
      <c r="V974" s="26" t="s">
        <v>2050</v>
      </c>
      <c r="W974" s="62">
        <v>44942</v>
      </c>
      <c r="X974" s="62">
        <v>45086</v>
      </c>
      <c r="Y974" s="62"/>
      <c r="Z974" s="62"/>
      <c r="AA974" s="22" t="s">
        <v>1106</v>
      </c>
      <c r="AB974" s="23"/>
      <c r="AC974" s="23"/>
      <c r="AD974" s="23"/>
      <c r="AE974" s="23" t="s">
        <v>731</v>
      </c>
      <c r="AF974" s="23" t="s">
        <v>731</v>
      </c>
      <c r="AG974" s="23" t="s">
        <v>731</v>
      </c>
      <c r="AH974" s="23" t="s">
        <v>731</v>
      </c>
      <c r="AI974" s="23" t="s">
        <v>731</v>
      </c>
      <c r="AJ974" s="23" t="s">
        <v>731</v>
      </c>
      <c r="AK974" s="23" t="s">
        <v>731</v>
      </c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42"/>
      <c r="AW974" s="18"/>
      <c r="AX974" s="41">
        <f>3*I974</f>
        <v>9.6000000000000014</v>
      </c>
      <c r="AY974" s="42"/>
      <c r="AZ974" s="42"/>
      <c r="BB974" s="45">
        <v>1</v>
      </c>
      <c r="BC974" s="50"/>
      <c r="BD974" s="50"/>
      <c r="BE974" s="45"/>
      <c r="BF974" s="45"/>
      <c r="BG974" s="50"/>
      <c r="BH974" s="18">
        <v>0</v>
      </c>
      <c r="BI974" s="18">
        <v>0</v>
      </c>
      <c r="BJ974" s="18">
        <v>0</v>
      </c>
      <c r="BK974" s="18">
        <v>0</v>
      </c>
      <c r="BL974" s="18">
        <v>14</v>
      </c>
      <c r="BM974" s="55">
        <f>SUM(AV974:AX974)+SUM(BC974:BD974)+SUM(BE974:BF974)+BG974</f>
        <v>9.6000000000000014</v>
      </c>
      <c r="BN974" s="199"/>
      <c r="BO974" s="199"/>
      <c r="BP974" s="199"/>
      <c r="BQ974" s="199"/>
      <c r="BR974" s="199"/>
      <c r="BS974" s="199"/>
      <c r="BT974" s="199"/>
      <c r="BU974" s="199"/>
      <c r="BV974" s="199"/>
      <c r="BW974" s="199"/>
      <c r="BX974" s="199"/>
      <c r="BY974" s="199"/>
      <c r="BZ974" s="45"/>
    </row>
    <row r="975" spans="1:78" ht="45">
      <c r="A975" s="2" t="s">
        <v>2054</v>
      </c>
      <c r="B975" s="89" t="s">
        <v>1845</v>
      </c>
      <c r="C975" s="93">
        <v>302</v>
      </c>
      <c r="D975" s="93">
        <v>149</v>
      </c>
      <c r="E975" s="94">
        <v>0.35972222222222222</v>
      </c>
      <c r="F975" s="94">
        <v>0.3743055555555555</v>
      </c>
      <c r="G975" s="93" t="s">
        <v>2052</v>
      </c>
      <c r="H975" s="93" t="s">
        <v>449</v>
      </c>
      <c r="I975" s="96">
        <v>3.3</v>
      </c>
      <c r="J975" s="97" t="s">
        <v>93</v>
      </c>
      <c r="K975" s="98">
        <f>47-22</f>
        <v>25</v>
      </c>
      <c r="L975" s="99" t="s">
        <v>2013</v>
      </c>
      <c r="M975" s="193" t="s">
        <v>2012</v>
      </c>
      <c r="N975" s="193">
        <v>23</v>
      </c>
      <c r="O975" s="83" t="s">
        <v>2010</v>
      </c>
      <c r="P975" s="83">
        <v>24</v>
      </c>
      <c r="Q975" s="83" t="s">
        <v>2011</v>
      </c>
      <c r="R975" s="83">
        <v>23</v>
      </c>
      <c r="S975" s="26">
        <v>3690</v>
      </c>
      <c r="T975" s="26" t="s">
        <v>1576</v>
      </c>
      <c r="U975" s="38" t="s">
        <v>2063</v>
      </c>
      <c r="V975" s="26" t="s">
        <v>2064</v>
      </c>
      <c r="W975" s="63">
        <v>44945</v>
      </c>
      <c r="X975" s="63">
        <v>45100</v>
      </c>
      <c r="Y975" s="63"/>
      <c r="Z975" s="63"/>
      <c r="AA975" s="23" t="s">
        <v>1103</v>
      </c>
      <c r="AB975" s="23" t="s">
        <v>731</v>
      </c>
      <c r="AC975" s="23"/>
      <c r="AD975" s="23"/>
      <c r="AE975" s="23"/>
      <c r="AF975" s="23"/>
      <c r="AG975" s="23"/>
      <c r="AH975" s="23"/>
      <c r="AI975" s="23"/>
      <c r="AJ975" s="23"/>
      <c r="AK975" s="23"/>
      <c r="AL975" s="23" t="s">
        <v>731</v>
      </c>
      <c r="AM975" s="23"/>
      <c r="AN975" s="23"/>
      <c r="AO975" s="23"/>
      <c r="AP975" s="23"/>
      <c r="AQ975" s="23"/>
      <c r="AR975" s="23"/>
      <c r="AS975" s="23"/>
      <c r="AT975" s="23"/>
      <c r="AU975" s="23"/>
      <c r="AV975" s="42"/>
      <c r="AX975" s="41">
        <f>3*I975</f>
        <v>9.8999999999999986</v>
      </c>
      <c r="AY975" s="42"/>
      <c r="AZ975" s="42"/>
      <c r="BB975" s="45">
        <v>1</v>
      </c>
      <c r="BC975" s="50"/>
      <c r="BD975" s="50"/>
      <c r="BE975" s="45"/>
      <c r="BF975" s="45"/>
      <c r="BG975" s="50"/>
      <c r="BH975" s="18">
        <v>0</v>
      </c>
      <c r="BI975" s="18">
        <v>0</v>
      </c>
      <c r="BJ975" s="18">
        <v>0</v>
      </c>
      <c r="BK975" s="18">
        <v>0</v>
      </c>
      <c r="BL975" s="77">
        <v>2</v>
      </c>
      <c r="BM975" s="55">
        <f>SUM(AV975:AX975)+SUM(BC975:BD975)+SUM(BE975:BF975)+BG975</f>
        <v>9.8999999999999986</v>
      </c>
      <c r="BN975" s="199"/>
      <c r="BO975" s="199"/>
      <c r="BP975" s="199"/>
      <c r="BQ975" s="199"/>
      <c r="BR975" s="199"/>
      <c r="BS975" s="199"/>
      <c r="BT975" s="199"/>
      <c r="BU975" s="199"/>
      <c r="BV975" s="199"/>
      <c r="BW975" s="199"/>
      <c r="BX975" s="199"/>
      <c r="BY975" s="199"/>
      <c r="BZ975" s="45"/>
    </row>
    <row r="976" spans="1:78" ht="45">
      <c r="A976" s="2" t="s">
        <v>2055</v>
      </c>
      <c r="B976" s="89" t="s">
        <v>1845</v>
      </c>
      <c r="C976" s="93">
        <v>302</v>
      </c>
      <c r="D976" s="93">
        <v>154</v>
      </c>
      <c r="E976" s="94">
        <v>0.5</v>
      </c>
      <c r="F976" s="94">
        <v>0.51458333333333328</v>
      </c>
      <c r="G976" s="93" t="s">
        <v>2053</v>
      </c>
      <c r="H976" s="93" t="s">
        <v>478</v>
      </c>
      <c r="I976" s="96">
        <v>3.3</v>
      </c>
      <c r="J976" s="97" t="s">
        <v>156</v>
      </c>
      <c r="K976" s="98">
        <f>240-107</f>
        <v>133</v>
      </c>
      <c r="L976" s="99" t="s">
        <v>2013</v>
      </c>
      <c r="M976" s="193" t="s">
        <v>2012</v>
      </c>
      <c r="N976" s="193">
        <v>23</v>
      </c>
      <c r="O976" s="83" t="s">
        <v>2010</v>
      </c>
      <c r="P976" s="83">
        <v>24</v>
      </c>
      <c r="Q976" s="83" t="s">
        <v>2014</v>
      </c>
      <c r="R976" s="83" t="s">
        <v>2015</v>
      </c>
      <c r="S976" s="38" t="s">
        <v>2063</v>
      </c>
      <c r="T976" s="26" t="s">
        <v>2064</v>
      </c>
      <c r="U976" s="26">
        <v>3690</v>
      </c>
      <c r="V976" s="26" t="s">
        <v>1576</v>
      </c>
      <c r="W976" s="63">
        <v>44945</v>
      </c>
      <c r="X976" s="63">
        <v>45100</v>
      </c>
      <c r="Y976" s="63"/>
      <c r="Z976" s="63"/>
      <c r="AA976" s="26" t="s">
        <v>1112</v>
      </c>
      <c r="AB976" s="23" t="s">
        <v>731</v>
      </c>
      <c r="AC976" s="23"/>
      <c r="AD976" s="23" t="s">
        <v>731</v>
      </c>
      <c r="AE976" s="23"/>
      <c r="AF976" s="23" t="s">
        <v>731</v>
      </c>
      <c r="AG976" s="23" t="s">
        <v>731</v>
      </c>
      <c r="AH976" s="23" t="s">
        <v>731</v>
      </c>
      <c r="AI976" s="23" t="s">
        <v>731</v>
      </c>
      <c r="AJ976" s="23" t="s">
        <v>731</v>
      </c>
      <c r="AK976" s="23" t="s">
        <v>731</v>
      </c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42"/>
      <c r="AX976" s="41">
        <f>3*I976</f>
        <v>9.8999999999999986</v>
      </c>
      <c r="AY976" s="42"/>
      <c r="AZ976" s="42"/>
      <c r="BB976" s="45">
        <v>1</v>
      </c>
      <c r="BC976" s="50"/>
      <c r="BD976" s="50"/>
      <c r="BE976" s="45"/>
      <c r="BF976" s="45"/>
      <c r="BG976" s="50"/>
      <c r="BH976" s="18">
        <v>0</v>
      </c>
      <c r="BI976" s="18">
        <v>0</v>
      </c>
      <c r="BJ976" s="18">
        <v>0</v>
      </c>
      <c r="BK976" s="18">
        <v>0</v>
      </c>
      <c r="BL976" s="77">
        <v>11</v>
      </c>
      <c r="BM976" s="55">
        <f>SUM(AV976:AX976)+SUM(BC976:BD976)+SUM(BE976:BF976)+BG976</f>
        <v>9.8999999999999986</v>
      </c>
      <c r="BN976" s="199"/>
      <c r="BO976" s="199"/>
      <c r="BP976" s="199"/>
      <c r="BQ976" s="199"/>
      <c r="BR976" s="199"/>
      <c r="BS976" s="199"/>
      <c r="BT976" s="199"/>
      <c r="BU976" s="199"/>
      <c r="BV976" s="199"/>
      <c r="BW976" s="199"/>
      <c r="BX976" s="199"/>
      <c r="BY976" s="199"/>
      <c r="BZ976" s="45"/>
    </row>
    <row r="977" spans="1:78" ht="45">
      <c r="A977" s="2" t="s">
        <v>2056</v>
      </c>
      <c r="B977" s="89" t="s">
        <v>1845</v>
      </c>
      <c r="C977" s="93">
        <v>302</v>
      </c>
      <c r="D977" s="93">
        <v>537</v>
      </c>
      <c r="E977" s="94">
        <v>0.52708333333333335</v>
      </c>
      <c r="F977" s="94">
        <v>0.54166666666666663</v>
      </c>
      <c r="G977" s="93" t="s">
        <v>2052</v>
      </c>
      <c r="H977" s="93" t="s">
        <v>478</v>
      </c>
      <c r="I977" s="96">
        <v>3.3</v>
      </c>
      <c r="J977" s="97" t="s">
        <v>156</v>
      </c>
      <c r="K977" s="98">
        <f>240-107</f>
        <v>133</v>
      </c>
      <c r="L977" s="99" t="s">
        <v>2013</v>
      </c>
      <c r="M977" s="193" t="s">
        <v>2012</v>
      </c>
      <c r="N977" s="193">
        <v>23</v>
      </c>
      <c r="O977" s="83" t="s">
        <v>2010</v>
      </c>
      <c r="P977" s="83">
        <v>24</v>
      </c>
      <c r="Q977" s="83" t="s">
        <v>2014</v>
      </c>
      <c r="R977" s="83" t="s">
        <v>2015</v>
      </c>
      <c r="S977" s="26">
        <v>3690</v>
      </c>
      <c r="T977" s="26" t="s">
        <v>1576</v>
      </c>
      <c r="U977" s="38" t="s">
        <v>2063</v>
      </c>
      <c r="V977" s="26" t="s">
        <v>2064</v>
      </c>
      <c r="W977" s="63">
        <v>44945</v>
      </c>
      <c r="X977" s="63">
        <v>45100</v>
      </c>
      <c r="Y977" s="63"/>
      <c r="Z977" s="63"/>
      <c r="AA977" s="26" t="s">
        <v>1112</v>
      </c>
      <c r="AB977" s="23" t="s">
        <v>731</v>
      </c>
      <c r="AC977" s="23"/>
      <c r="AD977" s="23" t="s">
        <v>731</v>
      </c>
      <c r="AE977" s="23"/>
      <c r="AF977" s="23" t="s">
        <v>731</v>
      </c>
      <c r="AG977" s="23" t="s">
        <v>731</v>
      </c>
      <c r="AH977" s="23" t="s">
        <v>731</v>
      </c>
      <c r="AI977" s="23" t="s">
        <v>731</v>
      </c>
      <c r="AJ977" s="23" t="s">
        <v>731</v>
      </c>
      <c r="AK977" s="23" t="s">
        <v>731</v>
      </c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42"/>
      <c r="AX977" s="41">
        <f>3*I977</f>
        <v>9.8999999999999986</v>
      </c>
      <c r="AY977" s="42"/>
      <c r="AZ977" s="42"/>
      <c r="BB977" s="45">
        <v>1</v>
      </c>
      <c r="BC977" s="50"/>
      <c r="BD977" s="50"/>
      <c r="BE977" s="45"/>
      <c r="BF977" s="45"/>
      <c r="BG977" s="50"/>
      <c r="BH977" s="18">
        <v>0</v>
      </c>
      <c r="BI977" s="18">
        <v>0</v>
      </c>
      <c r="BJ977" s="18">
        <v>0</v>
      </c>
      <c r="BK977" s="18">
        <v>0</v>
      </c>
      <c r="BL977" s="77">
        <v>11</v>
      </c>
      <c r="BM977" s="55">
        <f>SUM(AV977:AX977)+SUM(BC977:BD977)+SUM(BE977:BF977)+BG977</f>
        <v>9.8999999999999986</v>
      </c>
      <c r="BN977" s="199"/>
      <c r="BO977" s="199"/>
      <c r="BP977" s="199"/>
      <c r="BQ977" s="199"/>
      <c r="BR977" s="199"/>
      <c r="BS977" s="199"/>
      <c r="BT977" s="199"/>
      <c r="BU977" s="199"/>
      <c r="BV977" s="199"/>
      <c r="BW977" s="199"/>
      <c r="BX977" s="199"/>
      <c r="BY977" s="199"/>
      <c r="BZ977" s="45"/>
    </row>
    <row r="978" spans="1:78" ht="45">
      <c r="A978" s="2" t="s">
        <v>2057</v>
      </c>
      <c r="B978" s="89" t="s">
        <v>1845</v>
      </c>
      <c r="C978" s="93">
        <v>302</v>
      </c>
      <c r="D978" s="93">
        <v>156</v>
      </c>
      <c r="E978" s="94">
        <v>0.53402777777777777</v>
      </c>
      <c r="F978" s="94">
        <v>0.54861111111111105</v>
      </c>
      <c r="G978" s="93" t="s">
        <v>2053</v>
      </c>
      <c r="H978" s="93" t="s">
        <v>443</v>
      </c>
      <c r="I978" s="96">
        <v>3.3</v>
      </c>
      <c r="J978" s="97" t="s">
        <v>156</v>
      </c>
      <c r="K978" s="98">
        <f>47-22</f>
        <v>25</v>
      </c>
      <c r="L978" s="99" t="s">
        <v>2013</v>
      </c>
      <c r="M978" s="193" t="s">
        <v>2012</v>
      </c>
      <c r="N978" s="193">
        <v>23</v>
      </c>
      <c r="O978" s="83" t="s">
        <v>2010</v>
      </c>
      <c r="P978" s="83">
        <v>24</v>
      </c>
      <c r="Q978" s="83" t="s">
        <v>2011</v>
      </c>
      <c r="R978" s="83">
        <v>23</v>
      </c>
      <c r="S978" s="38" t="s">
        <v>2063</v>
      </c>
      <c r="T978" s="26" t="s">
        <v>2064</v>
      </c>
      <c r="U978" s="26">
        <v>3690</v>
      </c>
      <c r="V978" s="26" t="s">
        <v>1576</v>
      </c>
      <c r="W978" s="63">
        <v>44945</v>
      </c>
      <c r="X978" s="63">
        <v>45100</v>
      </c>
      <c r="Y978" s="63"/>
      <c r="Z978" s="63"/>
      <c r="AA978" s="27" t="s">
        <v>1103</v>
      </c>
      <c r="AB978" s="23" t="s">
        <v>731</v>
      </c>
      <c r="AC978" s="23"/>
      <c r="AD978" s="23"/>
      <c r="AE978" s="23"/>
      <c r="AF978" s="23"/>
      <c r="AG978" s="23"/>
      <c r="AH978" s="23"/>
      <c r="AI978" s="23"/>
      <c r="AJ978" s="23"/>
      <c r="AK978" s="23"/>
      <c r="AL978" s="23" t="s">
        <v>731</v>
      </c>
      <c r="AM978" s="25"/>
      <c r="AN978" s="25"/>
      <c r="AO978" s="25"/>
      <c r="AP978" s="23"/>
      <c r="AQ978" s="23"/>
      <c r="AR978" s="23"/>
      <c r="AS978" s="23"/>
      <c r="AT978" s="23"/>
      <c r="AU978" s="23"/>
      <c r="AV978" s="42"/>
      <c r="AW978" s="47"/>
      <c r="AX978" s="41">
        <f>3*I978</f>
        <v>9.8999999999999986</v>
      </c>
      <c r="AY978" s="42"/>
      <c r="AZ978" s="42"/>
      <c r="BA978" s="47"/>
      <c r="BB978" s="45">
        <v>1</v>
      </c>
      <c r="BC978" s="50"/>
      <c r="BD978" s="50"/>
      <c r="BE978" s="45"/>
      <c r="BF978" s="45"/>
      <c r="BG978" s="50"/>
      <c r="BH978" s="18">
        <v>0</v>
      </c>
      <c r="BI978" s="18">
        <v>0</v>
      </c>
      <c r="BJ978" s="18">
        <v>0</v>
      </c>
      <c r="BK978" s="18">
        <v>0</v>
      </c>
      <c r="BL978" s="77">
        <v>2</v>
      </c>
      <c r="BM978" s="55">
        <f>SUM(AV978:AX978)+SUM(BC978:BD978)+SUM(BE978:BF978)+BG978</f>
        <v>9.8999999999999986</v>
      </c>
      <c r="BN978" s="199"/>
      <c r="BO978" s="199"/>
      <c r="BP978" s="199"/>
      <c r="BQ978" s="199"/>
      <c r="BR978" s="199"/>
      <c r="BS978" s="199"/>
      <c r="BT978" s="199"/>
      <c r="BU978" s="199"/>
      <c r="BV978" s="199"/>
      <c r="BW978" s="199"/>
      <c r="BX978" s="199"/>
      <c r="BY978" s="199"/>
      <c r="BZ978" s="45"/>
    </row>
    <row r="979" spans="1:78" ht="45">
      <c r="A979" s="2" t="s">
        <v>2058</v>
      </c>
      <c r="B979" s="89" t="s">
        <v>1845</v>
      </c>
      <c r="C979" s="93">
        <v>302</v>
      </c>
      <c r="D979" s="93">
        <v>421</v>
      </c>
      <c r="E979" s="94">
        <v>0.57152777777777775</v>
      </c>
      <c r="F979" s="94">
        <v>0.58611111111111114</v>
      </c>
      <c r="G979" s="93" t="s">
        <v>2052</v>
      </c>
      <c r="H979" s="93" t="s">
        <v>443</v>
      </c>
      <c r="I979" s="96">
        <v>3.3</v>
      </c>
      <c r="J979" s="97" t="s">
        <v>156</v>
      </c>
      <c r="K979" s="98">
        <f>47-22</f>
        <v>25</v>
      </c>
      <c r="L979" s="99" t="s">
        <v>2013</v>
      </c>
      <c r="M979" s="193" t="s">
        <v>2012</v>
      </c>
      <c r="N979" s="193">
        <v>23</v>
      </c>
      <c r="O979" s="83" t="s">
        <v>2010</v>
      </c>
      <c r="P979" s="83">
        <v>24</v>
      </c>
      <c r="Q979" s="83" t="s">
        <v>2011</v>
      </c>
      <c r="R979" s="83">
        <v>23</v>
      </c>
      <c r="S979" s="26">
        <v>3690</v>
      </c>
      <c r="T979" s="26" t="s">
        <v>1576</v>
      </c>
      <c r="U979" s="38" t="s">
        <v>2063</v>
      </c>
      <c r="V979" s="26" t="s">
        <v>2064</v>
      </c>
      <c r="W979" s="63">
        <v>44945</v>
      </c>
      <c r="X979" s="63">
        <v>45100</v>
      </c>
      <c r="Y979" s="63"/>
      <c r="Z979" s="63"/>
      <c r="AA979" s="27" t="s">
        <v>1103</v>
      </c>
      <c r="AB979" s="23" t="s">
        <v>731</v>
      </c>
      <c r="AC979" s="23"/>
      <c r="AD979" s="23"/>
      <c r="AE979" s="23"/>
      <c r="AF979" s="23"/>
      <c r="AG979" s="23"/>
      <c r="AH979" s="23"/>
      <c r="AI979" s="23"/>
      <c r="AJ979" s="23"/>
      <c r="AK979" s="23"/>
      <c r="AL979" s="23" t="s">
        <v>731</v>
      </c>
      <c r="AM979" s="25"/>
      <c r="AN979" s="25"/>
      <c r="AO979" s="25"/>
      <c r="AP979" s="23"/>
      <c r="AQ979" s="23"/>
      <c r="AR979" s="23"/>
      <c r="AS979" s="23"/>
      <c r="AT979" s="23"/>
      <c r="AU979" s="23"/>
      <c r="AV979" s="42"/>
      <c r="AW979" s="47"/>
      <c r="AX979" s="41">
        <f>3*I979</f>
        <v>9.8999999999999986</v>
      </c>
      <c r="AY979" s="42"/>
      <c r="AZ979" s="42"/>
      <c r="BA979" s="47"/>
      <c r="BB979" s="45">
        <v>1</v>
      </c>
      <c r="BC979" s="50"/>
      <c r="BD979" s="50"/>
      <c r="BE979" s="45"/>
      <c r="BF979" s="45"/>
      <c r="BG979" s="50"/>
      <c r="BH979" s="18">
        <v>0</v>
      </c>
      <c r="BI979" s="18">
        <v>0</v>
      </c>
      <c r="BJ979" s="18">
        <v>0</v>
      </c>
      <c r="BK979" s="18">
        <v>0</v>
      </c>
      <c r="BL979" s="77">
        <v>2</v>
      </c>
      <c r="BM979" s="55">
        <f>SUM(AV979:AX979)+SUM(BC979:BD979)+SUM(BE979:BF979)+BG979</f>
        <v>9.8999999999999986</v>
      </c>
      <c r="BN979" s="199"/>
      <c r="BO979" s="199"/>
      <c r="BP979" s="199"/>
      <c r="BQ979" s="199"/>
      <c r="BR979" s="199"/>
      <c r="BS979" s="199"/>
      <c r="BT979" s="199"/>
      <c r="BU979" s="199"/>
      <c r="BV979" s="199"/>
      <c r="BW979" s="199"/>
      <c r="BX979" s="199"/>
      <c r="BY979" s="199"/>
      <c r="BZ979" s="45"/>
    </row>
    <row r="980" spans="1:78" ht="45">
      <c r="A980" s="2" t="s">
        <v>2059</v>
      </c>
      <c r="B980" s="89" t="s">
        <v>1845</v>
      </c>
      <c r="C980" s="93">
        <v>302</v>
      </c>
      <c r="D980" s="93">
        <v>440</v>
      </c>
      <c r="E980" s="94">
        <v>0.74652777777777779</v>
      </c>
      <c r="F980" s="94">
        <v>0.76111111111111107</v>
      </c>
      <c r="G980" s="93" t="s">
        <v>2053</v>
      </c>
      <c r="H980" s="93" t="s">
        <v>443</v>
      </c>
      <c r="I980" s="96">
        <v>3.3</v>
      </c>
      <c r="J980" s="97" t="s">
        <v>156</v>
      </c>
      <c r="K980" s="98">
        <f>47-22</f>
        <v>25</v>
      </c>
      <c r="L980" s="99" t="s">
        <v>2013</v>
      </c>
      <c r="M980" s="193" t="s">
        <v>2012</v>
      </c>
      <c r="N980" s="193">
        <v>23</v>
      </c>
      <c r="O980" s="83" t="s">
        <v>2010</v>
      </c>
      <c r="P980" s="83">
        <v>24</v>
      </c>
      <c r="Q980" s="83" t="s">
        <v>2011</v>
      </c>
      <c r="R980" s="83">
        <v>23</v>
      </c>
      <c r="S980" s="38" t="s">
        <v>2063</v>
      </c>
      <c r="T980" s="26" t="s">
        <v>2064</v>
      </c>
      <c r="U980" s="26">
        <v>3690</v>
      </c>
      <c r="V980" s="26" t="s">
        <v>1576</v>
      </c>
      <c r="W980" s="63">
        <v>44945</v>
      </c>
      <c r="X980" s="63">
        <v>45100</v>
      </c>
      <c r="Y980" s="63"/>
      <c r="Z980" s="63"/>
      <c r="AA980" s="27" t="s">
        <v>1103</v>
      </c>
      <c r="AB980" s="23" t="s">
        <v>731</v>
      </c>
      <c r="AC980" s="23"/>
      <c r="AD980" s="23"/>
      <c r="AE980" s="23"/>
      <c r="AF980" s="23"/>
      <c r="AG980" s="23"/>
      <c r="AH980" s="23"/>
      <c r="AI980" s="23"/>
      <c r="AJ980" s="23"/>
      <c r="AK980" s="23"/>
      <c r="AL980" s="23" t="s">
        <v>731</v>
      </c>
      <c r="AM980" s="25"/>
      <c r="AN980" s="25"/>
      <c r="AO980" s="25"/>
      <c r="AP980" s="23"/>
      <c r="AQ980" s="23"/>
      <c r="AR980" s="23"/>
      <c r="AS980" s="23"/>
      <c r="AT980" s="23"/>
      <c r="AU980" s="23"/>
      <c r="AV980" s="42"/>
      <c r="AW980" s="47"/>
      <c r="AX980" s="41">
        <f>3*I980</f>
        <v>9.8999999999999986</v>
      </c>
      <c r="AY980" s="42"/>
      <c r="AZ980" s="42"/>
      <c r="BA980" s="47"/>
      <c r="BB980" s="45">
        <v>1</v>
      </c>
      <c r="BC980" s="50"/>
      <c r="BD980" s="50"/>
      <c r="BE980" s="45"/>
      <c r="BF980" s="45"/>
      <c r="BG980" s="50"/>
      <c r="BH980" s="18">
        <v>0</v>
      </c>
      <c r="BI980" s="18">
        <v>0</v>
      </c>
      <c r="BJ980" s="18">
        <v>0</v>
      </c>
      <c r="BK980" s="18">
        <v>0</v>
      </c>
      <c r="BL980" s="77">
        <v>2</v>
      </c>
      <c r="BM980" s="55">
        <f>SUM(AV980:AX980)+SUM(BC980:BD980)+SUM(BE980:BF980)+BG980</f>
        <v>9.8999999999999986</v>
      </c>
      <c r="BN980" s="199"/>
      <c r="BO980" s="199"/>
      <c r="BP980" s="199"/>
      <c r="BQ980" s="199"/>
      <c r="BR980" s="199"/>
      <c r="BS980" s="199"/>
      <c r="BT980" s="199"/>
      <c r="BU980" s="199"/>
      <c r="BV980" s="199"/>
      <c r="BW980" s="199"/>
      <c r="BX980" s="199"/>
      <c r="BY980" s="199"/>
      <c r="BZ980" s="45"/>
    </row>
    <row r="981" spans="1:78" s="47" customFormat="1" ht="45">
      <c r="A981" s="2" t="s">
        <v>2060</v>
      </c>
      <c r="B981" s="89" t="s">
        <v>1845</v>
      </c>
      <c r="C981" s="93">
        <v>302</v>
      </c>
      <c r="D981" s="93">
        <v>167</v>
      </c>
      <c r="E981" s="94">
        <v>0.7729166666666667</v>
      </c>
      <c r="F981" s="94">
        <v>0.78749999999999998</v>
      </c>
      <c r="G981" s="93" t="s">
        <v>2052</v>
      </c>
      <c r="H981" s="93" t="s">
        <v>443</v>
      </c>
      <c r="I981" s="96">
        <v>3.3</v>
      </c>
      <c r="J981" s="97" t="s">
        <v>156</v>
      </c>
      <c r="K981" s="98">
        <f>47-22</f>
        <v>25</v>
      </c>
      <c r="L981" s="99" t="s">
        <v>2013</v>
      </c>
      <c r="M981" s="193" t="s">
        <v>2012</v>
      </c>
      <c r="N981" s="193">
        <v>23</v>
      </c>
      <c r="O981" s="83" t="s">
        <v>2010</v>
      </c>
      <c r="P981" s="83">
        <v>24</v>
      </c>
      <c r="Q981" s="83" t="s">
        <v>2011</v>
      </c>
      <c r="R981" s="83">
        <v>23</v>
      </c>
      <c r="S981" s="26">
        <v>3690</v>
      </c>
      <c r="T981" s="26" t="s">
        <v>1576</v>
      </c>
      <c r="U981" s="38" t="s">
        <v>2063</v>
      </c>
      <c r="V981" s="26" t="s">
        <v>2064</v>
      </c>
      <c r="W981" s="63">
        <v>44945</v>
      </c>
      <c r="X981" s="63">
        <v>45100</v>
      </c>
      <c r="Y981" s="63"/>
      <c r="Z981" s="63"/>
      <c r="AA981" s="27" t="s">
        <v>1103</v>
      </c>
      <c r="AB981" s="23" t="s">
        <v>731</v>
      </c>
      <c r="AC981" s="23"/>
      <c r="AD981" s="23"/>
      <c r="AE981" s="23"/>
      <c r="AF981" s="23"/>
      <c r="AG981" s="23"/>
      <c r="AH981" s="23"/>
      <c r="AI981" s="23"/>
      <c r="AJ981" s="23"/>
      <c r="AK981" s="23"/>
      <c r="AL981" s="23" t="s">
        <v>731</v>
      </c>
      <c r="AM981" s="25"/>
      <c r="AN981" s="25"/>
      <c r="AO981" s="25"/>
      <c r="AP981" s="23"/>
      <c r="AQ981" s="23"/>
      <c r="AR981" s="23"/>
      <c r="AS981" s="23"/>
      <c r="AT981" s="23"/>
      <c r="AU981" s="23"/>
      <c r="AV981" s="42"/>
      <c r="AX981" s="41">
        <f>3*I981</f>
        <v>9.8999999999999986</v>
      </c>
      <c r="AY981" s="42"/>
      <c r="AZ981" s="42"/>
      <c r="BB981" s="45">
        <v>1</v>
      </c>
      <c r="BC981" s="50"/>
      <c r="BD981" s="50"/>
      <c r="BE981" s="45"/>
      <c r="BF981" s="45"/>
      <c r="BG981" s="50"/>
      <c r="BH981" s="18">
        <v>0</v>
      </c>
      <c r="BI981" s="18">
        <v>0</v>
      </c>
      <c r="BJ981" s="18">
        <v>0</v>
      </c>
      <c r="BK981" s="18">
        <v>0</v>
      </c>
      <c r="BL981" s="77">
        <v>2</v>
      </c>
      <c r="BM981" s="55">
        <f>SUM(AV981:AX981)+SUM(BC981:BD981)+SUM(BE981:BF981)+BG981</f>
        <v>9.8999999999999986</v>
      </c>
      <c r="BN981" s="199"/>
      <c r="BO981" s="199"/>
      <c r="BP981" s="199"/>
      <c r="BQ981" s="199"/>
      <c r="BR981" s="199"/>
      <c r="BS981" s="199"/>
      <c r="BT981" s="199"/>
      <c r="BU981" s="199"/>
      <c r="BV981" s="199"/>
      <c r="BW981" s="199"/>
      <c r="BX981" s="199"/>
      <c r="BY981" s="199"/>
      <c r="BZ981" s="45"/>
    </row>
    <row r="982" spans="1:78" s="47" customFormat="1" ht="45">
      <c r="A982" s="2" t="s">
        <v>2061</v>
      </c>
      <c r="B982" s="89" t="s">
        <v>1845</v>
      </c>
      <c r="C982" s="93">
        <v>302</v>
      </c>
      <c r="D982" s="93">
        <v>238</v>
      </c>
      <c r="E982" s="94">
        <v>0.87430555555555556</v>
      </c>
      <c r="F982" s="94">
        <v>0.88888888888888884</v>
      </c>
      <c r="G982" s="93" t="s">
        <v>2053</v>
      </c>
      <c r="H982" s="93" t="s">
        <v>203</v>
      </c>
      <c r="I982" s="96">
        <v>3.3</v>
      </c>
      <c r="J982" s="97" t="s">
        <v>93</v>
      </c>
      <c r="K982" s="98">
        <f>202-89</f>
        <v>113</v>
      </c>
      <c r="L982" s="99" t="s">
        <v>2013</v>
      </c>
      <c r="M982" s="193" t="s">
        <v>2012</v>
      </c>
      <c r="N982" s="193">
        <v>23</v>
      </c>
      <c r="O982" s="83" t="s">
        <v>2016</v>
      </c>
      <c r="P982" s="83">
        <v>20</v>
      </c>
      <c r="Q982" s="83" t="s">
        <v>2011</v>
      </c>
      <c r="R982" s="83"/>
      <c r="S982" s="38" t="s">
        <v>2063</v>
      </c>
      <c r="T982" s="26" t="s">
        <v>2064</v>
      </c>
      <c r="U982" s="26">
        <v>3690</v>
      </c>
      <c r="V982" s="26" t="s">
        <v>1576</v>
      </c>
      <c r="W982" s="63">
        <v>44945</v>
      </c>
      <c r="X982" s="63">
        <v>45100</v>
      </c>
      <c r="Y982" s="63"/>
      <c r="Z982" s="63"/>
      <c r="AA982" s="22" t="s">
        <v>1108</v>
      </c>
      <c r="AB982" s="23" t="s">
        <v>731</v>
      </c>
      <c r="AC982" s="23"/>
      <c r="AD982" s="23" t="s">
        <v>731</v>
      </c>
      <c r="AE982" s="23"/>
      <c r="AF982" s="23" t="s">
        <v>731</v>
      </c>
      <c r="AG982" s="23" t="s">
        <v>731</v>
      </c>
      <c r="AH982" s="23" t="s">
        <v>731</v>
      </c>
      <c r="AI982" s="23" t="s">
        <v>731</v>
      </c>
      <c r="AJ982" s="23" t="s">
        <v>731</v>
      </c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42"/>
      <c r="AW982" s="18"/>
      <c r="AX982" s="41">
        <f>3*I982</f>
        <v>9.8999999999999986</v>
      </c>
      <c r="AY982" s="42"/>
      <c r="AZ982" s="42"/>
      <c r="BA982" s="18"/>
      <c r="BB982" s="45">
        <v>1</v>
      </c>
      <c r="BC982" s="50"/>
      <c r="BD982" s="50"/>
      <c r="BE982" s="45"/>
      <c r="BF982" s="45"/>
      <c r="BG982" s="50"/>
      <c r="BH982" s="18">
        <v>0</v>
      </c>
      <c r="BI982" s="18">
        <v>0</v>
      </c>
      <c r="BJ982" s="18">
        <v>0</v>
      </c>
      <c r="BK982" s="18">
        <v>0</v>
      </c>
      <c r="BL982" s="77">
        <v>9</v>
      </c>
      <c r="BM982" s="55">
        <f>SUM(AV982:AX982)+SUM(BC982:BD982)+SUM(BE982:BF982)+BG982</f>
        <v>9.8999999999999986</v>
      </c>
      <c r="BN982" s="199"/>
      <c r="BO982" s="199"/>
      <c r="BP982" s="199"/>
      <c r="BQ982" s="199"/>
      <c r="BR982" s="199"/>
      <c r="BS982" s="199"/>
      <c r="BT982" s="199"/>
      <c r="BU982" s="199"/>
      <c r="BV982" s="199"/>
      <c r="BW982" s="199"/>
      <c r="BX982" s="199"/>
      <c r="BY982" s="199"/>
      <c r="BZ982" s="45"/>
    </row>
    <row r="983" spans="1:78" s="47" customFormat="1" ht="45">
      <c r="A983" s="2" t="s">
        <v>2062</v>
      </c>
      <c r="B983" s="89" t="s">
        <v>1845</v>
      </c>
      <c r="C983" s="93">
        <v>302</v>
      </c>
      <c r="D983" s="93">
        <v>238</v>
      </c>
      <c r="E983" s="94">
        <v>0.93680555555555556</v>
      </c>
      <c r="F983" s="94">
        <v>0.95138888888888884</v>
      </c>
      <c r="G983" s="93" t="s">
        <v>2053</v>
      </c>
      <c r="H983" s="93" t="s">
        <v>161</v>
      </c>
      <c r="I983" s="96">
        <v>3.3</v>
      </c>
      <c r="J983" s="97" t="s">
        <v>93</v>
      </c>
      <c r="K983" s="98">
        <f>38-18</f>
        <v>20</v>
      </c>
      <c r="L983" s="99" t="s">
        <v>2013</v>
      </c>
      <c r="M983" s="193" t="s">
        <v>2012</v>
      </c>
      <c r="N983" s="193">
        <v>23</v>
      </c>
      <c r="O983" s="83" t="s">
        <v>2016</v>
      </c>
      <c r="P983" s="83">
        <v>20</v>
      </c>
      <c r="Q983" s="83" t="s">
        <v>2011</v>
      </c>
      <c r="R983" s="83"/>
      <c r="S983" s="38" t="s">
        <v>2063</v>
      </c>
      <c r="T983" s="26" t="s">
        <v>2064</v>
      </c>
      <c r="U983" s="26">
        <v>3690</v>
      </c>
      <c r="V983" s="26" t="s">
        <v>1576</v>
      </c>
      <c r="W983" s="63">
        <v>44945</v>
      </c>
      <c r="X983" s="63">
        <v>45100</v>
      </c>
      <c r="Y983" s="63"/>
      <c r="Z983" s="63"/>
      <c r="AA983" s="22" t="s">
        <v>1127</v>
      </c>
      <c r="AB983" s="23" t="s">
        <v>731</v>
      </c>
      <c r="AC983" s="23"/>
      <c r="AD983" s="23" t="s">
        <v>731</v>
      </c>
      <c r="AE983" s="23"/>
      <c r="AF983" s="23"/>
      <c r="AG983" s="23"/>
      <c r="AH983" s="23"/>
      <c r="AI983" s="23"/>
      <c r="AJ983" s="23"/>
      <c r="AK983" s="23" t="s">
        <v>731</v>
      </c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42"/>
      <c r="AW983" s="18"/>
      <c r="AX983" s="41">
        <f>3*I983</f>
        <v>9.8999999999999986</v>
      </c>
      <c r="AY983" s="42"/>
      <c r="AZ983" s="42"/>
      <c r="BA983" s="18"/>
      <c r="BB983" s="45">
        <v>1</v>
      </c>
      <c r="BC983" s="50"/>
      <c r="BD983" s="50"/>
      <c r="BE983" s="45"/>
      <c r="BF983" s="45"/>
      <c r="BG983" s="50"/>
      <c r="BH983" s="18">
        <v>0</v>
      </c>
      <c r="BI983" s="18">
        <v>0</v>
      </c>
      <c r="BJ983" s="18">
        <v>0</v>
      </c>
      <c r="BK983" s="18">
        <v>0</v>
      </c>
      <c r="BL983" s="77">
        <v>2</v>
      </c>
      <c r="BM983" s="55">
        <f>SUM(AV983:AX983)+SUM(BC983:BD983)+SUM(BE983:BF983)+BG983</f>
        <v>9.8999999999999986</v>
      </c>
      <c r="BN983" s="199"/>
      <c r="BO983" s="199"/>
      <c r="BP983" s="199"/>
      <c r="BQ983" s="199"/>
      <c r="BR983" s="199"/>
      <c r="BS983" s="199"/>
      <c r="BT983" s="199"/>
      <c r="BU983" s="199"/>
      <c r="BV983" s="199"/>
      <c r="BW983" s="199"/>
      <c r="BX983" s="199"/>
      <c r="BY983" s="199"/>
      <c r="BZ983" s="45"/>
    </row>
    <row r="984" spans="1:78" ht="25.5">
      <c r="A984" s="2" t="s">
        <v>2025</v>
      </c>
      <c r="B984" s="89" t="s">
        <v>1845</v>
      </c>
      <c r="C984" s="93">
        <v>332</v>
      </c>
      <c r="D984" s="93">
        <v>223</v>
      </c>
      <c r="E984" s="94">
        <v>0.32777777777777778</v>
      </c>
      <c r="F984" s="94">
        <v>0.36874999999999997</v>
      </c>
      <c r="G984" s="93" t="s">
        <v>2029</v>
      </c>
      <c r="H984" s="93" t="s">
        <v>103</v>
      </c>
      <c r="I984" s="120">
        <v>27</v>
      </c>
      <c r="J984" s="97">
        <v>50</v>
      </c>
      <c r="K984" s="98">
        <v>40</v>
      </c>
      <c r="L984" s="99" t="s">
        <v>740</v>
      </c>
      <c r="M984" s="152" t="s">
        <v>942</v>
      </c>
      <c r="N984" s="152">
        <v>55</v>
      </c>
      <c r="O984" s="152" t="s">
        <v>1220</v>
      </c>
      <c r="P984" s="152">
        <v>54</v>
      </c>
      <c r="Q984" s="152" t="s">
        <v>945</v>
      </c>
      <c r="R984" s="152">
        <v>57</v>
      </c>
      <c r="S984" s="22">
        <v>3520</v>
      </c>
      <c r="T984" s="22" t="s">
        <v>2026</v>
      </c>
      <c r="U984" s="26" t="s">
        <v>2027</v>
      </c>
      <c r="V984" s="26" t="s">
        <v>2028</v>
      </c>
      <c r="W984" s="62">
        <v>44945</v>
      </c>
      <c r="X984" s="206">
        <v>45004</v>
      </c>
      <c r="Y984" s="62"/>
      <c r="Z984" s="62"/>
      <c r="AA984" s="22" t="s">
        <v>1102</v>
      </c>
      <c r="AB984" s="23"/>
      <c r="AC984" s="23"/>
      <c r="AD984" s="23"/>
      <c r="AE984" s="23" t="s">
        <v>731</v>
      </c>
      <c r="AF984" s="23" t="s">
        <v>731</v>
      </c>
      <c r="AG984" s="23" t="s">
        <v>731</v>
      </c>
      <c r="AH984" s="23" t="s">
        <v>731</v>
      </c>
      <c r="AI984" s="23" t="s">
        <v>731</v>
      </c>
      <c r="AJ984" s="23" t="s">
        <v>731</v>
      </c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W984" s="18"/>
      <c r="AX984" s="41">
        <f>3*I984</f>
        <v>81</v>
      </c>
      <c r="AY984" s="41"/>
      <c r="AZ984" s="41"/>
      <c r="BB984" s="45">
        <v>2</v>
      </c>
      <c r="BC984" s="50"/>
      <c r="BD984" s="50"/>
      <c r="BE984" s="45"/>
      <c r="BF984" s="45"/>
      <c r="BG984" s="50"/>
      <c r="BH984" s="18">
        <v>0</v>
      </c>
      <c r="BI984" s="18">
        <v>0</v>
      </c>
      <c r="BJ984" s="18">
        <v>0</v>
      </c>
      <c r="BK984" s="18">
        <v>0</v>
      </c>
      <c r="BL984" s="184">
        <v>9</v>
      </c>
      <c r="BM984" s="55">
        <f>SUM(AV984:AX984)+SUM(BC984:BD984)+SUM(BE984:BF984)+BG984</f>
        <v>81</v>
      </c>
      <c r="BN984" s="199"/>
      <c r="BO984" s="199"/>
      <c r="BP984" s="199"/>
      <c r="BQ984" s="199"/>
      <c r="BR984" s="199"/>
      <c r="BS984" s="199"/>
      <c r="BT984" s="199"/>
      <c r="BU984" s="199"/>
      <c r="BV984" s="199"/>
      <c r="BW984" s="199"/>
      <c r="BX984" s="199"/>
      <c r="BY984" s="199"/>
      <c r="BZ984" s="45"/>
    </row>
    <row r="985" spans="1:78" ht="25.5">
      <c r="A985" s="2" t="s">
        <v>2025</v>
      </c>
      <c r="B985" s="89" t="s">
        <v>1845</v>
      </c>
      <c r="C985" s="93">
        <v>301</v>
      </c>
      <c r="D985" s="93">
        <v>241</v>
      </c>
      <c r="E985" s="94">
        <v>0.37083333333333335</v>
      </c>
      <c r="F985" s="94">
        <v>0.40416666666666662</v>
      </c>
      <c r="G985" s="93" t="s">
        <v>2032</v>
      </c>
      <c r="H985" s="93" t="s">
        <v>103</v>
      </c>
      <c r="I985" s="120">
        <v>27</v>
      </c>
      <c r="J985" s="97">
        <v>50</v>
      </c>
      <c r="K985" s="98">
        <v>40</v>
      </c>
      <c r="L985" s="99" t="s">
        <v>740</v>
      </c>
      <c r="M985" s="152" t="s">
        <v>942</v>
      </c>
      <c r="N985" s="152">
        <v>55</v>
      </c>
      <c r="O985" s="152" t="s">
        <v>1220</v>
      </c>
      <c r="P985" s="152">
        <v>54</v>
      </c>
      <c r="Q985" s="152" t="s">
        <v>945</v>
      </c>
      <c r="R985" s="152">
        <v>57</v>
      </c>
      <c r="S985" s="22" t="s">
        <v>2027</v>
      </c>
      <c r="T985" s="22" t="s">
        <v>2028</v>
      </c>
      <c r="U985" s="26">
        <v>1</v>
      </c>
      <c r="V985" s="26" t="s">
        <v>1403</v>
      </c>
      <c r="W985" s="62">
        <v>44945</v>
      </c>
      <c r="X985" s="206">
        <v>45004</v>
      </c>
      <c r="Y985" s="62"/>
      <c r="Z985" s="62"/>
      <c r="AA985" s="22" t="s">
        <v>1102</v>
      </c>
      <c r="AB985" s="23"/>
      <c r="AC985" s="23"/>
      <c r="AD985" s="23"/>
      <c r="AE985" s="23" t="s">
        <v>731</v>
      </c>
      <c r="AF985" s="23" t="s">
        <v>731</v>
      </c>
      <c r="AG985" s="23" t="s">
        <v>731</v>
      </c>
      <c r="AH985" s="23" t="s">
        <v>731</v>
      </c>
      <c r="AI985" s="23" t="s">
        <v>731</v>
      </c>
      <c r="AJ985" s="23" t="s">
        <v>731</v>
      </c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W985" s="18"/>
      <c r="AX985" s="41">
        <f>3*I985</f>
        <v>81</v>
      </c>
      <c r="AY985" s="41"/>
      <c r="AZ985" s="41"/>
      <c r="BB985" s="45">
        <v>2</v>
      </c>
      <c r="BC985" s="50"/>
      <c r="BD985" s="50"/>
      <c r="BE985" s="45"/>
      <c r="BF985" s="45"/>
      <c r="BG985" s="50"/>
      <c r="BH985" s="18">
        <v>0</v>
      </c>
      <c r="BI985" s="18">
        <v>0</v>
      </c>
      <c r="BJ985" s="18">
        <v>0</v>
      </c>
      <c r="BK985" s="18">
        <v>0</v>
      </c>
      <c r="BL985" s="184">
        <v>9</v>
      </c>
      <c r="BM985" s="55">
        <f>SUM(AV985:AX985)+SUM(BC985:BD985)+SUM(BE985:BF985)+BG985</f>
        <v>81</v>
      </c>
      <c r="BN985" s="199"/>
      <c r="BO985" s="199"/>
      <c r="BP985" s="199"/>
      <c r="BQ985" s="199"/>
      <c r="BR985" s="199"/>
      <c r="BS985" s="199"/>
      <c r="BT985" s="199"/>
      <c r="BU985" s="199"/>
      <c r="BV985" s="199"/>
      <c r="BW985" s="199"/>
      <c r="BX985" s="199"/>
      <c r="BY985" s="199"/>
      <c r="BZ985" s="45"/>
    </row>
    <row r="986" spans="1:78" ht="25.5">
      <c r="A986" s="2" t="s">
        <v>2025</v>
      </c>
      <c r="B986" s="89" t="s">
        <v>1845</v>
      </c>
      <c r="C986" s="93">
        <v>205</v>
      </c>
      <c r="D986" s="93">
        <v>188</v>
      </c>
      <c r="E986" s="94">
        <v>0.42708333333333331</v>
      </c>
      <c r="F986" s="94">
        <v>0.48472222222222222</v>
      </c>
      <c r="G986" s="93" t="s">
        <v>2030</v>
      </c>
      <c r="H986" s="93" t="s">
        <v>103</v>
      </c>
      <c r="I986" s="120">
        <v>43</v>
      </c>
      <c r="J986" s="97">
        <v>50</v>
      </c>
      <c r="K986" s="98">
        <v>40</v>
      </c>
      <c r="L986" s="99" t="s">
        <v>740</v>
      </c>
      <c r="M986" s="152" t="s">
        <v>942</v>
      </c>
      <c r="N986" s="152">
        <v>55</v>
      </c>
      <c r="O986" s="152" t="s">
        <v>1220</v>
      </c>
      <c r="P986" s="152">
        <v>54</v>
      </c>
      <c r="Q986" s="152" t="s">
        <v>945</v>
      </c>
      <c r="R986" s="152">
        <v>57</v>
      </c>
      <c r="S986" s="22">
        <v>1</v>
      </c>
      <c r="T986" s="22" t="s">
        <v>1403</v>
      </c>
      <c r="U986" s="26">
        <v>960</v>
      </c>
      <c r="V986" s="26" t="s">
        <v>2031</v>
      </c>
      <c r="W986" s="62">
        <v>44945</v>
      </c>
      <c r="X986" s="206">
        <v>45004</v>
      </c>
      <c r="Y986" s="62"/>
      <c r="Z986" s="62"/>
      <c r="AA986" s="22" t="s">
        <v>1102</v>
      </c>
      <c r="AB986" s="23"/>
      <c r="AC986" s="23"/>
      <c r="AD986" s="23"/>
      <c r="AE986" s="23" t="s">
        <v>731</v>
      </c>
      <c r="AF986" s="23" t="s">
        <v>731</v>
      </c>
      <c r="AG986" s="23" t="s">
        <v>731</v>
      </c>
      <c r="AH986" s="23" t="s">
        <v>731</v>
      </c>
      <c r="AI986" s="23" t="s">
        <v>731</v>
      </c>
      <c r="AJ986" s="23" t="s">
        <v>731</v>
      </c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W986" s="18"/>
      <c r="AX986" s="41">
        <f>3*I986</f>
        <v>129</v>
      </c>
      <c r="AY986" s="41"/>
      <c r="AZ986" s="41"/>
      <c r="BB986" s="45">
        <v>2</v>
      </c>
      <c r="BC986" s="50"/>
      <c r="BD986" s="50"/>
      <c r="BE986" s="45"/>
      <c r="BF986" s="45"/>
      <c r="BG986" s="50"/>
      <c r="BH986" s="18">
        <v>0</v>
      </c>
      <c r="BI986" s="18">
        <v>0</v>
      </c>
      <c r="BJ986" s="18">
        <v>0</v>
      </c>
      <c r="BK986" s="18">
        <v>0</v>
      </c>
      <c r="BL986" s="184">
        <v>9</v>
      </c>
      <c r="BM986" s="55">
        <f>SUM(AV986:AX986)+SUM(BC986:BD986)+SUM(BE986:BF986)+BG986</f>
        <v>129</v>
      </c>
      <c r="BN986" s="199"/>
      <c r="BO986" s="199"/>
      <c r="BP986" s="199"/>
      <c r="BQ986" s="199"/>
      <c r="BR986" s="199"/>
      <c r="BS986" s="199"/>
      <c r="BT986" s="199"/>
      <c r="BU986" s="199"/>
      <c r="BV986" s="199"/>
      <c r="BW986" s="199"/>
      <c r="BX986" s="199"/>
      <c r="BY986" s="199"/>
      <c r="BZ986" s="45"/>
    </row>
    <row r="987" spans="1:78" ht="33.75">
      <c r="A987" s="2" t="s">
        <v>2043</v>
      </c>
      <c r="B987" s="89" t="s">
        <v>1845</v>
      </c>
      <c r="C987" s="93">
        <v>102</v>
      </c>
      <c r="D987" s="97">
        <v>185</v>
      </c>
      <c r="E987" s="94">
        <v>0.65625</v>
      </c>
      <c r="F987" s="94">
        <v>0.66180555555555554</v>
      </c>
      <c r="G987" s="93" t="s">
        <v>2044</v>
      </c>
      <c r="H987" s="93" t="s">
        <v>194</v>
      </c>
      <c r="I987" s="96">
        <v>0.5</v>
      </c>
      <c r="J987" s="97" t="s">
        <v>254</v>
      </c>
      <c r="K987" s="98">
        <f>34+34+36+33-65</f>
        <v>72</v>
      </c>
      <c r="L987" s="109" t="s">
        <v>721</v>
      </c>
      <c r="M987" s="83" t="s">
        <v>978</v>
      </c>
      <c r="N987" s="116">
        <v>46</v>
      </c>
      <c r="O987" s="83" t="s">
        <v>895</v>
      </c>
      <c r="P987" s="116">
        <v>47</v>
      </c>
      <c r="R987" s="116"/>
      <c r="S987" s="26">
        <v>1190</v>
      </c>
      <c r="T987" s="26" t="s">
        <v>1377</v>
      </c>
      <c r="U987" s="26" t="s">
        <v>2045</v>
      </c>
      <c r="V987" s="26" t="s">
        <v>2046</v>
      </c>
      <c r="W987" s="62">
        <v>44949</v>
      </c>
      <c r="X987" s="62">
        <v>45086</v>
      </c>
      <c r="Y987" s="62"/>
      <c r="Z987" s="62"/>
      <c r="AA987" s="24" t="s">
        <v>1105</v>
      </c>
      <c r="AB987" s="23"/>
      <c r="AC987" s="23"/>
      <c r="AD987" s="23"/>
      <c r="AE987" s="23" t="s">
        <v>731</v>
      </c>
      <c r="AF987" s="23" t="s">
        <v>731</v>
      </c>
      <c r="AG987" s="23" t="s">
        <v>731</v>
      </c>
      <c r="AH987" s="23" t="s">
        <v>731</v>
      </c>
      <c r="AI987" s="23" t="s">
        <v>731</v>
      </c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42"/>
      <c r="AW987" s="18"/>
      <c r="AX987" s="41">
        <f>3*I987</f>
        <v>1.5</v>
      </c>
      <c r="AY987" s="42"/>
      <c r="AZ987" s="42"/>
      <c r="BB987" s="43">
        <v>2</v>
      </c>
      <c r="BC987" s="50"/>
      <c r="BD987" s="50"/>
      <c r="BE987" s="45"/>
      <c r="BF987" s="45"/>
      <c r="BG987" s="50"/>
      <c r="BH987" s="18">
        <v>0</v>
      </c>
      <c r="BI987" s="18">
        <v>0</v>
      </c>
      <c r="BJ987" s="18">
        <v>0</v>
      </c>
      <c r="BK987" s="18">
        <v>0</v>
      </c>
      <c r="BL987" s="18">
        <v>6</v>
      </c>
      <c r="BM987" s="55">
        <f>SUM(AV987:AX987)+SUM(BC987:BD987)+SUM(BE987:BF987)+BG987</f>
        <v>1.5</v>
      </c>
      <c r="BN987" s="199"/>
      <c r="BO987" s="199"/>
      <c r="BP987" s="199"/>
      <c r="BQ987" s="199"/>
      <c r="BR987" s="199"/>
      <c r="BS987" s="199"/>
      <c r="BT987" s="199"/>
      <c r="BU987" s="199"/>
      <c r="BV987" s="199"/>
      <c r="BW987" s="199"/>
      <c r="BX987" s="199"/>
      <c r="BY987" s="199"/>
      <c r="BZ987" s="45"/>
    </row>
    <row r="988" spans="1:78" ht="22.5">
      <c r="A988" s="2" t="s">
        <v>2066</v>
      </c>
      <c r="B988" s="89" t="s">
        <v>1845</v>
      </c>
      <c r="C988" s="92">
        <v>302</v>
      </c>
      <c r="D988" s="101">
        <v>143</v>
      </c>
      <c r="E988" s="102">
        <v>0.25347222222222221</v>
      </c>
      <c r="F988" s="102">
        <v>0.27430555555555552</v>
      </c>
      <c r="G988" s="103" t="s">
        <v>2067</v>
      </c>
      <c r="H988" s="103" t="s">
        <v>2068</v>
      </c>
      <c r="I988" s="101">
        <v>11.5</v>
      </c>
      <c r="J988" s="97">
        <v>19</v>
      </c>
      <c r="K988" s="98">
        <v>133</v>
      </c>
      <c r="L988" s="109" t="s">
        <v>716</v>
      </c>
      <c r="M988" s="83" t="s">
        <v>893</v>
      </c>
      <c r="N988" s="83">
        <v>20</v>
      </c>
      <c r="O988" s="83" t="s">
        <v>1889</v>
      </c>
      <c r="P988" s="83">
        <v>17</v>
      </c>
      <c r="Q988" s="83" t="s">
        <v>1252</v>
      </c>
      <c r="R988" s="84">
        <v>24</v>
      </c>
      <c r="S988" s="213"/>
      <c r="T988" s="213"/>
      <c r="U988" s="213"/>
      <c r="V988" s="213"/>
      <c r="W988" s="63">
        <v>44945</v>
      </c>
      <c r="X988" s="63">
        <v>45100</v>
      </c>
      <c r="Y988" s="62"/>
      <c r="Z988" s="62"/>
      <c r="AA988" s="24" t="s">
        <v>1112</v>
      </c>
      <c r="AB988" s="214"/>
      <c r="AC988" s="214"/>
      <c r="AD988" s="214"/>
      <c r="AE988" s="214"/>
      <c r="AF988" s="214"/>
      <c r="AG988" s="214"/>
      <c r="AH988" s="214"/>
      <c r="AI988" s="214"/>
      <c r="AJ988" s="214"/>
      <c r="AK988" s="214"/>
      <c r="AL988" s="214"/>
      <c r="AM988" s="214"/>
      <c r="AN988" s="214"/>
      <c r="AO988" s="214"/>
      <c r="AP988" s="214"/>
      <c r="AQ988" s="214"/>
      <c r="AR988" s="214"/>
      <c r="AS988" s="214"/>
      <c r="AT988" s="214"/>
      <c r="AU988" s="214"/>
      <c r="AV988" s="215"/>
      <c r="AW988" s="18"/>
      <c r="AX988" s="41">
        <f>3*I988</f>
        <v>34.5</v>
      </c>
      <c r="AY988" s="42"/>
      <c r="AZ988" s="42"/>
      <c r="BB988" s="45">
        <v>1</v>
      </c>
      <c r="BC988" s="50"/>
      <c r="BD988" s="50"/>
      <c r="BE988" s="45"/>
      <c r="BF988" s="45"/>
      <c r="BG988" s="50"/>
      <c r="BL988" s="18">
        <v>11</v>
      </c>
      <c r="BM988" s="55">
        <f>SUM(AV988:AX988)+SUM(BC988:BD988)+SUM(BE988:BF988)+BG988</f>
        <v>34.5</v>
      </c>
      <c r="BN988" s="199"/>
      <c r="BO988" s="199"/>
      <c r="BP988" s="199"/>
      <c r="BQ988" s="199"/>
      <c r="BR988" s="199"/>
      <c r="BS988" s="199"/>
      <c r="BT988" s="199"/>
      <c r="BU988" s="199"/>
      <c r="BV988" s="199"/>
      <c r="BW988" s="199"/>
      <c r="BX988" s="199"/>
      <c r="BY988" s="199"/>
      <c r="BZ988" s="45"/>
    </row>
    <row r="989" spans="1:78" ht="38.25">
      <c r="A989" s="2" t="s">
        <v>2066</v>
      </c>
      <c r="B989" s="89" t="s">
        <v>1845</v>
      </c>
      <c r="C989" s="92">
        <v>303</v>
      </c>
      <c r="D989" s="101">
        <v>147</v>
      </c>
      <c r="E989" s="102">
        <v>0.29930555555555555</v>
      </c>
      <c r="F989" s="102">
        <v>0.32569444444444445</v>
      </c>
      <c r="G989" s="103" t="s">
        <v>2069</v>
      </c>
      <c r="H989" s="103" t="s">
        <v>2068</v>
      </c>
      <c r="I989" s="101">
        <v>19.5</v>
      </c>
      <c r="J989" s="97">
        <v>19</v>
      </c>
      <c r="K989" s="98">
        <v>133</v>
      </c>
      <c r="L989" s="109" t="s">
        <v>716</v>
      </c>
      <c r="M989" s="83" t="s">
        <v>893</v>
      </c>
      <c r="N989" s="83">
        <v>20</v>
      </c>
      <c r="O989" s="83" t="s">
        <v>1889</v>
      </c>
      <c r="P989" s="83">
        <v>17</v>
      </c>
      <c r="Q989" s="83" t="s">
        <v>1252</v>
      </c>
      <c r="R989" s="84">
        <v>24</v>
      </c>
      <c r="S989" s="213"/>
      <c r="T989" s="213"/>
      <c r="U989" s="213"/>
      <c r="V989" s="213"/>
      <c r="W989" s="63">
        <v>44945</v>
      </c>
      <c r="X989" s="63">
        <v>45100</v>
      </c>
      <c r="Y989" s="62"/>
      <c r="Z989" s="62"/>
      <c r="AA989" s="24" t="s">
        <v>1112</v>
      </c>
      <c r="AB989" s="214"/>
      <c r="AC989" s="214"/>
      <c r="AD989" s="214"/>
      <c r="AE989" s="214"/>
      <c r="AF989" s="214"/>
      <c r="AG989" s="214"/>
      <c r="AH989" s="214"/>
      <c r="AI989" s="214"/>
      <c r="AJ989" s="214"/>
      <c r="AK989" s="214"/>
      <c r="AL989" s="214"/>
      <c r="AM989" s="214"/>
      <c r="AN989" s="214"/>
      <c r="AO989" s="214"/>
      <c r="AP989" s="214"/>
      <c r="AQ989" s="214"/>
      <c r="AR989" s="214"/>
      <c r="AS989" s="214"/>
      <c r="AT989" s="214"/>
      <c r="AU989" s="214"/>
      <c r="AV989" s="215"/>
      <c r="AW989" s="18"/>
      <c r="AX989" s="41">
        <f>3*I989</f>
        <v>58.5</v>
      </c>
      <c r="AY989" s="42"/>
      <c r="AZ989" s="42"/>
      <c r="BB989" s="45">
        <v>1</v>
      </c>
      <c r="BC989" s="50"/>
      <c r="BD989" s="50"/>
      <c r="BE989" s="45"/>
      <c r="BF989" s="45"/>
      <c r="BG989" s="50"/>
      <c r="BL989" s="18">
        <v>11</v>
      </c>
      <c r="BM989" s="55">
        <f>SUM(AV989:AX989)+SUM(BC989:BD989)+SUM(BE989:BF989)+BG989</f>
        <v>58.5</v>
      </c>
      <c r="BN989" s="199"/>
      <c r="BO989" s="199"/>
      <c r="BP989" s="199"/>
      <c r="BQ989" s="199"/>
      <c r="BR989" s="199"/>
      <c r="BS989" s="199"/>
      <c r="BT989" s="199"/>
      <c r="BU989" s="199"/>
      <c r="BV989" s="199"/>
      <c r="BW989" s="199"/>
      <c r="BX989" s="199"/>
      <c r="BY989" s="199"/>
      <c r="BZ989" s="45"/>
    </row>
    <row r="990" spans="1:78" ht="25.5">
      <c r="A990" s="2" t="s">
        <v>2066</v>
      </c>
      <c r="B990" s="89" t="s">
        <v>1845</v>
      </c>
      <c r="C990" s="92">
        <v>304</v>
      </c>
      <c r="D990" s="101">
        <v>164</v>
      </c>
      <c r="E990" s="102">
        <v>0.72638888888888886</v>
      </c>
      <c r="F990" s="102">
        <v>0.74097222222222225</v>
      </c>
      <c r="G990" s="103" t="s">
        <v>2070</v>
      </c>
      <c r="H990" s="103" t="s">
        <v>2071</v>
      </c>
      <c r="I990" s="101">
        <v>8.3000000000000007</v>
      </c>
      <c r="J990" s="97">
        <v>19</v>
      </c>
      <c r="K990" s="98">
        <v>113</v>
      </c>
      <c r="L990" s="109" t="s">
        <v>716</v>
      </c>
      <c r="M990" s="83" t="s">
        <v>893</v>
      </c>
      <c r="N990" s="83">
        <v>20</v>
      </c>
      <c r="O990" s="83" t="s">
        <v>1889</v>
      </c>
      <c r="P990" s="83">
        <v>17</v>
      </c>
      <c r="Q990" s="83" t="s">
        <v>1252</v>
      </c>
      <c r="R990" s="84">
        <v>24</v>
      </c>
      <c r="S990" s="213"/>
      <c r="T990" s="213"/>
      <c r="U990" s="213"/>
      <c r="V990" s="213"/>
      <c r="W990" s="63">
        <v>44945</v>
      </c>
      <c r="X990" s="63">
        <v>45100</v>
      </c>
      <c r="Y990" s="62"/>
      <c r="Z990" s="62"/>
      <c r="AA990" s="22" t="s">
        <v>1108</v>
      </c>
      <c r="AB990" s="214"/>
      <c r="AC990" s="214"/>
      <c r="AD990" s="214"/>
      <c r="AE990" s="214"/>
      <c r="AF990" s="214"/>
      <c r="AG990" s="214"/>
      <c r="AH990" s="214"/>
      <c r="AI990" s="214"/>
      <c r="AJ990" s="214"/>
      <c r="AK990" s="214"/>
      <c r="AL990" s="214"/>
      <c r="AM990" s="214"/>
      <c r="AN990" s="214"/>
      <c r="AO990" s="214"/>
      <c r="AP990" s="214"/>
      <c r="AQ990" s="214"/>
      <c r="AR990" s="214"/>
      <c r="AS990" s="214"/>
      <c r="AT990" s="214"/>
      <c r="AU990" s="214"/>
      <c r="AV990" s="215"/>
      <c r="AW990" s="18"/>
      <c r="AX990" s="41">
        <f>3*I990</f>
        <v>24.900000000000002</v>
      </c>
      <c r="AY990" s="42"/>
      <c r="AZ990" s="42"/>
      <c r="BB990" s="45">
        <v>1</v>
      </c>
      <c r="BC990" s="50"/>
      <c r="BD990" s="50"/>
      <c r="BE990" s="45"/>
      <c r="BF990" s="45"/>
      <c r="BG990" s="50"/>
      <c r="BL990" s="18">
        <v>9</v>
      </c>
      <c r="BM990" s="55">
        <f>SUM(AV990:AX990)+SUM(BC990:BD990)+SUM(BE990:BF990)+BG990</f>
        <v>24.900000000000002</v>
      </c>
      <c r="BN990" s="199"/>
      <c r="BO990" s="199"/>
      <c r="BP990" s="199"/>
      <c r="BQ990" s="199"/>
      <c r="BR990" s="199"/>
      <c r="BS990" s="199"/>
      <c r="BT990" s="199"/>
      <c r="BU990" s="199"/>
      <c r="BV990" s="199"/>
      <c r="BW990" s="199"/>
      <c r="BX990" s="199"/>
      <c r="BY990" s="199"/>
      <c r="BZ990" s="45"/>
    </row>
    <row r="991" spans="1:78" ht="25.5">
      <c r="A991" s="2" t="s">
        <v>2066</v>
      </c>
      <c r="B991" s="89" t="s">
        <v>1845</v>
      </c>
      <c r="C991" s="92">
        <v>305</v>
      </c>
      <c r="D991" s="101">
        <v>165</v>
      </c>
      <c r="E991" s="102">
        <v>0.74097222222222225</v>
      </c>
      <c r="F991" s="102">
        <v>0.75138888888888899</v>
      </c>
      <c r="G991" s="103" t="s">
        <v>2072</v>
      </c>
      <c r="H991" s="103" t="s">
        <v>2071</v>
      </c>
      <c r="I991" s="101">
        <v>8.3000000000000007</v>
      </c>
      <c r="J991" s="97">
        <v>19</v>
      </c>
      <c r="K991" s="98">
        <v>113</v>
      </c>
      <c r="L991" s="109" t="s">
        <v>716</v>
      </c>
      <c r="M991" s="83" t="s">
        <v>893</v>
      </c>
      <c r="N991" s="83">
        <v>20</v>
      </c>
      <c r="O991" s="83" t="s">
        <v>1889</v>
      </c>
      <c r="P991" s="83">
        <v>17</v>
      </c>
      <c r="Q991" s="83" t="s">
        <v>1252</v>
      </c>
      <c r="R991" s="84">
        <v>24</v>
      </c>
      <c r="S991" s="213"/>
      <c r="T991" s="213"/>
      <c r="U991" s="213"/>
      <c r="V991" s="213"/>
      <c r="W991" s="63">
        <v>44945</v>
      </c>
      <c r="X991" s="63">
        <v>45100</v>
      </c>
      <c r="Y991" s="62"/>
      <c r="Z991" s="62"/>
      <c r="AA991" s="22" t="s">
        <v>1108</v>
      </c>
      <c r="AB991" s="214"/>
      <c r="AC991" s="214"/>
      <c r="AD991" s="214"/>
      <c r="AE991" s="214"/>
      <c r="AF991" s="214"/>
      <c r="AG991" s="214"/>
      <c r="AH991" s="214"/>
      <c r="AI991" s="214"/>
      <c r="AJ991" s="214"/>
      <c r="AK991" s="214"/>
      <c r="AL991" s="214"/>
      <c r="AM991" s="214"/>
      <c r="AN991" s="214"/>
      <c r="AO991" s="214"/>
      <c r="AP991" s="214"/>
      <c r="AQ991" s="214"/>
      <c r="AR991" s="214"/>
      <c r="AS991" s="214"/>
      <c r="AT991" s="214"/>
      <c r="AU991" s="214"/>
      <c r="AV991" s="215"/>
      <c r="AW991" s="18"/>
      <c r="AX991" s="41">
        <f>3*I991</f>
        <v>24.900000000000002</v>
      </c>
      <c r="AY991" s="42"/>
      <c r="AZ991" s="42"/>
      <c r="BB991" s="45">
        <v>1</v>
      </c>
      <c r="BC991" s="50"/>
      <c r="BD991" s="50"/>
      <c r="BE991" s="45"/>
      <c r="BF991" s="45"/>
      <c r="BG991" s="50"/>
      <c r="BL991" s="18">
        <v>9</v>
      </c>
      <c r="BM991" s="55">
        <f>SUM(AV991:AX991)+SUM(BC991:BD991)+SUM(BE991:BF991)+BG991</f>
        <v>24.900000000000002</v>
      </c>
      <c r="BN991" s="199"/>
      <c r="BO991" s="199"/>
      <c r="BP991" s="199"/>
      <c r="BQ991" s="199"/>
      <c r="BR991" s="199"/>
      <c r="BS991" s="199"/>
      <c r="BT991" s="199"/>
      <c r="BU991" s="199"/>
      <c r="BV991" s="199"/>
      <c r="BW991" s="199"/>
      <c r="BX991" s="199"/>
      <c r="BY991" s="199"/>
      <c r="BZ991" s="45"/>
    </row>
    <row r="992" spans="1:78" ht="25.5">
      <c r="A992" s="2" t="s">
        <v>2066</v>
      </c>
      <c r="B992" s="89" t="s">
        <v>1845</v>
      </c>
      <c r="C992" s="92">
        <v>306</v>
      </c>
      <c r="D992" s="101">
        <v>168</v>
      </c>
      <c r="E992" s="102">
        <v>0.78472222222222221</v>
      </c>
      <c r="F992" s="102">
        <v>0.80972222222222223</v>
      </c>
      <c r="G992" s="103" t="s">
        <v>2073</v>
      </c>
      <c r="H992" s="103" t="s">
        <v>2071</v>
      </c>
      <c r="I992" s="101">
        <v>15.3</v>
      </c>
      <c r="J992" s="97">
        <v>19</v>
      </c>
      <c r="K992" s="98">
        <v>113</v>
      </c>
      <c r="L992" s="109" t="s">
        <v>716</v>
      </c>
      <c r="M992" s="83" t="s">
        <v>893</v>
      </c>
      <c r="N992" s="83">
        <v>20</v>
      </c>
      <c r="O992" s="83" t="s">
        <v>1889</v>
      </c>
      <c r="P992" s="83">
        <v>17</v>
      </c>
      <c r="Q992" s="83" t="s">
        <v>1252</v>
      </c>
      <c r="R992" s="84">
        <v>24</v>
      </c>
      <c r="S992" s="213"/>
      <c r="T992" s="213"/>
      <c r="U992" s="213"/>
      <c r="V992" s="213"/>
      <c r="W992" s="63">
        <v>44945</v>
      </c>
      <c r="X992" s="63">
        <v>45100</v>
      </c>
      <c r="Y992" s="62"/>
      <c r="Z992" s="62"/>
      <c r="AA992" s="22" t="s">
        <v>1108</v>
      </c>
      <c r="AB992" s="214"/>
      <c r="AC992" s="214"/>
      <c r="AD992" s="214"/>
      <c r="AE992" s="214"/>
      <c r="AF992" s="214"/>
      <c r="AG992" s="214"/>
      <c r="AH992" s="214"/>
      <c r="AI992" s="214"/>
      <c r="AJ992" s="214"/>
      <c r="AK992" s="214"/>
      <c r="AL992" s="214"/>
      <c r="AM992" s="214"/>
      <c r="AN992" s="214"/>
      <c r="AO992" s="214"/>
      <c r="AP992" s="214"/>
      <c r="AQ992" s="214"/>
      <c r="AR992" s="214"/>
      <c r="AS992" s="214"/>
      <c r="AT992" s="214"/>
      <c r="AU992" s="214"/>
      <c r="AV992" s="215"/>
      <c r="AW992" s="18"/>
      <c r="AX992" s="41">
        <f>3*I992</f>
        <v>45.900000000000006</v>
      </c>
      <c r="AY992" s="42"/>
      <c r="AZ992" s="42"/>
      <c r="BB992" s="45">
        <v>1</v>
      </c>
      <c r="BC992" s="50"/>
      <c r="BD992" s="50"/>
      <c r="BE992" s="45"/>
      <c r="BF992" s="45"/>
      <c r="BG992" s="50"/>
      <c r="BL992" s="18">
        <v>9</v>
      </c>
      <c r="BM992" s="55">
        <f>SUM(AV992:AX992)+SUM(BC992:BD992)+SUM(BE992:BF992)+BG992</f>
        <v>45.900000000000006</v>
      </c>
      <c r="BN992" s="199"/>
      <c r="BO992" s="199"/>
      <c r="BP992" s="199"/>
      <c r="BQ992" s="199"/>
      <c r="BR992" s="199"/>
      <c r="BS992" s="199"/>
      <c r="BT992" s="199"/>
      <c r="BU992" s="199"/>
      <c r="BV992" s="199"/>
      <c r="BW992" s="199"/>
      <c r="BX992" s="199"/>
      <c r="BY992" s="199"/>
      <c r="BZ992" s="45"/>
    </row>
    <row r="993" spans="1:78" ht="25.5">
      <c r="A993" s="2" t="s">
        <v>2066</v>
      </c>
      <c r="B993" s="89" t="s">
        <v>1845</v>
      </c>
      <c r="C993" s="92">
        <v>307</v>
      </c>
      <c r="D993" s="101">
        <v>168</v>
      </c>
      <c r="E993" s="102">
        <v>0.78680555555555554</v>
      </c>
      <c r="F993" s="102">
        <v>0.81458333333333333</v>
      </c>
      <c r="G993" s="103" t="s">
        <v>2073</v>
      </c>
      <c r="H993" s="103" t="s">
        <v>2071</v>
      </c>
      <c r="I993" s="101">
        <v>15.3</v>
      </c>
      <c r="J993" s="97">
        <v>19</v>
      </c>
      <c r="K993" s="98">
        <v>113</v>
      </c>
      <c r="L993" s="109" t="s">
        <v>716</v>
      </c>
      <c r="M993" s="83" t="s">
        <v>893</v>
      </c>
      <c r="N993" s="83">
        <v>20</v>
      </c>
      <c r="O993" s="83" t="s">
        <v>1889</v>
      </c>
      <c r="P993" s="83">
        <v>17</v>
      </c>
      <c r="Q993" s="83" t="s">
        <v>1252</v>
      </c>
      <c r="R993" s="84">
        <v>24</v>
      </c>
      <c r="S993" s="213"/>
      <c r="T993" s="213"/>
      <c r="U993" s="213"/>
      <c r="V993" s="213"/>
      <c r="W993" s="63">
        <v>44945</v>
      </c>
      <c r="X993" s="63">
        <v>45100</v>
      </c>
      <c r="Y993" s="62"/>
      <c r="Z993" s="62"/>
      <c r="AA993" s="22" t="s">
        <v>1108</v>
      </c>
      <c r="AB993" s="214"/>
      <c r="AC993" s="214"/>
      <c r="AD993" s="214"/>
      <c r="AE993" s="214"/>
      <c r="AF993" s="214"/>
      <c r="AG993" s="214"/>
      <c r="AH993" s="214"/>
      <c r="AI993" s="214"/>
      <c r="AJ993" s="214"/>
      <c r="AK993" s="214"/>
      <c r="AL993" s="214"/>
      <c r="AM993" s="214"/>
      <c r="AN993" s="214"/>
      <c r="AO993" s="214"/>
      <c r="AP993" s="214"/>
      <c r="AQ993" s="214"/>
      <c r="AR993" s="214"/>
      <c r="AS993" s="214"/>
      <c r="AT993" s="214"/>
      <c r="AU993" s="214"/>
      <c r="AV993" s="215"/>
      <c r="AW993" s="18"/>
      <c r="AX993" s="41">
        <f>3*I993</f>
        <v>45.900000000000006</v>
      </c>
      <c r="AY993" s="42"/>
      <c r="AZ993" s="42"/>
      <c r="BB993" s="45">
        <v>1</v>
      </c>
      <c r="BC993" s="50"/>
      <c r="BD993" s="50"/>
      <c r="BE993" s="45"/>
      <c r="BF993" s="45"/>
      <c r="BG993" s="50"/>
      <c r="BL993" s="18">
        <v>9</v>
      </c>
      <c r="BM993" s="55">
        <f>SUM(AV993:AX993)+SUM(BC993:BD993)+SUM(BE993:BF993)+BG993</f>
        <v>45.900000000000006</v>
      </c>
      <c r="BN993" s="199"/>
      <c r="BO993" s="199"/>
      <c r="BP993" s="199"/>
      <c r="BQ993" s="199"/>
      <c r="BR993" s="199"/>
      <c r="BS993" s="199"/>
      <c r="BT993" s="199"/>
      <c r="BU993" s="199"/>
      <c r="BV993" s="199"/>
      <c r="BW993" s="199"/>
      <c r="BX993" s="199"/>
      <c r="BY993" s="199"/>
      <c r="BZ993" s="45"/>
    </row>
    <row r="994" spans="1:78" ht="25.5">
      <c r="A994" s="2" t="s">
        <v>2066</v>
      </c>
      <c r="B994" s="89" t="s">
        <v>1845</v>
      </c>
      <c r="C994" s="92">
        <v>308</v>
      </c>
      <c r="D994" s="101">
        <v>167</v>
      </c>
      <c r="E994" s="102">
        <v>0.76041666666666663</v>
      </c>
      <c r="F994" s="102">
        <v>0.78680555555555554</v>
      </c>
      <c r="G994" s="103" t="s">
        <v>2074</v>
      </c>
      <c r="H994" s="103" t="s">
        <v>2075</v>
      </c>
      <c r="I994" s="101">
        <v>15.3</v>
      </c>
      <c r="J994" s="97">
        <v>19</v>
      </c>
      <c r="K994" s="98">
        <v>20</v>
      </c>
      <c r="L994" s="109" t="s">
        <v>716</v>
      </c>
      <c r="M994" s="83" t="s">
        <v>893</v>
      </c>
      <c r="N994" s="83">
        <v>20</v>
      </c>
      <c r="O994" s="83" t="s">
        <v>1889</v>
      </c>
      <c r="P994" s="83">
        <v>17</v>
      </c>
      <c r="Q994" s="83" t="s">
        <v>1252</v>
      </c>
      <c r="R994" s="84">
        <v>24</v>
      </c>
      <c r="S994" s="213"/>
      <c r="T994" s="213"/>
      <c r="U994" s="213"/>
      <c r="V994" s="213"/>
      <c r="W994" s="63">
        <v>44945</v>
      </c>
      <c r="X994" s="63">
        <v>45100</v>
      </c>
      <c r="Y994" s="62"/>
      <c r="Z994" s="62"/>
      <c r="AA994" s="22" t="s">
        <v>1127</v>
      </c>
      <c r="AB994" s="214"/>
      <c r="AC994" s="214"/>
      <c r="AD994" s="214"/>
      <c r="AE994" s="214"/>
      <c r="AF994" s="214"/>
      <c r="AG994" s="214"/>
      <c r="AH994" s="214"/>
      <c r="AI994" s="214"/>
      <c r="AJ994" s="214"/>
      <c r="AK994" s="214"/>
      <c r="AL994" s="214"/>
      <c r="AM994" s="214"/>
      <c r="AN994" s="214"/>
      <c r="AO994" s="214"/>
      <c r="AP994" s="214"/>
      <c r="AQ994" s="214"/>
      <c r="AR994" s="214"/>
      <c r="AS994" s="214"/>
      <c r="AT994" s="214"/>
      <c r="AU994" s="214"/>
      <c r="AV994" s="215"/>
      <c r="AW994" s="18"/>
      <c r="AX994" s="41">
        <f>3*I994</f>
        <v>45.900000000000006</v>
      </c>
      <c r="AY994" s="42"/>
      <c r="AZ994" s="42"/>
      <c r="BB994" s="45">
        <v>1</v>
      </c>
      <c r="BC994" s="50"/>
      <c r="BD994" s="50"/>
      <c r="BE994" s="45"/>
      <c r="BF994" s="45"/>
      <c r="BG994" s="50"/>
      <c r="BL994" s="18">
        <v>2</v>
      </c>
      <c r="BM994" s="55">
        <f>SUM(AV994:AX994)+SUM(BC994:BD994)+SUM(BE994:BF994)+BG994</f>
        <v>45.900000000000006</v>
      </c>
      <c r="BN994" s="199"/>
      <c r="BO994" s="199"/>
      <c r="BP994" s="199"/>
      <c r="BQ994" s="199"/>
      <c r="BR994" s="199"/>
      <c r="BS994" s="199"/>
      <c r="BT994" s="199"/>
      <c r="BU994" s="199"/>
      <c r="BV994" s="199"/>
      <c r="BW994" s="199"/>
      <c r="BX994" s="199"/>
      <c r="BY994" s="199"/>
      <c r="BZ994" s="45"/>
    </row>
    <row r="995" spans="1:78">
      <c r="C995" s="2"/>
      <c r="D995" s="2"/>
      <c r="E995" s="2"/>
      <c r="F995" s="2"/>
      <c r="I995" s="147"/>
      <c r="K995" s="149"/>
      <c r="BW995" s="18"/>
    </row>
    <row r="996" spans="1:78">
      <c r="C996" s="2"/>
      <c r="D996" s="2"/>
      <c r="E996" s="2"/>
      <c r="F996" s="2"/>
      <c r="I996" s="147"/>
      <c r="K996" s="149"/>
      <c r="BW996" s="18"/>
    </row>
    <row r="997" spans="1:78">
      <c r="C997" s="2"/>
      <c r="D997" s="2"/>
      <c r="E997" s="2"/>
      <c r="F997" s="2"/>
      <c r="I997" s="147"/>
      <c r="K997" s="149"/>
    </row>
    <row r="998" spans="1:78">
      <c r="C998" s="2"/>
      <c r="D998" s="2"/>
      <c r="E998" s="2"/>
      <c r="F998" s="2"/>
      <c r="I998" s="147"/>
      <c r="K998" s="149"/>
      <c r="M998" s="85"/>
      <c r="N998" s="85"/>
    </row>
    <row r="999" spans="1:78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O999" s="18"/>
      <c r="P999" s="18"/>
      <c r="Q999" s="18"/>
      <c r="R999" s="18"/>
      <c r="AV999" s="18"/>
      <c r="AW999" s="18"/>
      <c r="AY999" s="18"/>
      <c r="AZ999" s="18"/>
      <c r="BG999" s="18"/>
    </row>
    <row r="1000" spans="1:78">
      <c r="C1000" s="2"/>
      <c r="D1000" s="2"/>
      <c r="E1000" s="2"/>
      <c r="F1000" s="2"/>
      <c r="I1000" s="147"/>
      <c r="K1000" s="149"/>
    </row>
    <row r="1001" spans="1:78">
      <c r="C1001" s="2"/>
      <c r="D1001" s="2"/>
      <c r="E1001" s="2"/>
      <c r="F1001" s="2"/>
      <c r="I1001" s="147"/>
      <c r="K1001" s="149"/>
    </row>
    <row r="1002" spans="1:78">
      <c r="C1002" s="2"/>
      <c r="D1002" s="2"/>
      <c r="E1002" s="2"/>
      <c r="F1002" s="2"/>
      <c r="I1002" s="147"/>
      <c r="K1002" s="149"/>
    </row>
    <row r="1003" spans="1:78">
      <c r="C1003" s="2"/>
      <c r="D1003" s="2"/>
      <c r="E1003" s="2"/>
      <c r="F1003" s="2"/>
      <c r="I1003" s="147"/>
      <c r="K1003" s="149"/>
    </row>
    <row r="1014" spans="3:11">
      <c r="C1014" s="2"/>
      <c r="D1014" s="2"/>
      <c r="E1014" s="2"/>
      <c r="F1014" s="2"/>
      <c r="I1014" s="147"/>
      <c r="K1014" s="149"/>
    </row>
    <row r="1015" spans="3:11">
      <c r="C1015" s="2"/>
      <c r="D1015" s="2"/>
      <c r="E1015" s="2"/>
      <c r="F1015" s="2"/>
      <c r="I1015" s="147"/>
      <c r="K1015" s="149"/>
    </row>
    <row r="1016" spans="3:11">
      <c r="C1016" s="2"/>
      <c r="D1016" s="2"/>
      <c r="E1016" s="2"/>
      <c r="F1016" s="2"/>
      <c r="I1016" s="147"/>
      <c r="K1016" s="149"/>
    </row>
    <row r="1017" spans="3:11">
      <c r="C1017" s="2"/>
      <c r="D1017" s="2"/>
      <c r="E1017" s="2"/>
      <c r="F1017" s="2"/>
      <c r="I1017" s="147"/>
      <c r="K1017" s="149"/>
    </row>
    <row r="1018" spans="3:11">
      <c r="C1018" s="2"/>
      <c r="D1018" s="2"/>
      <c r="E1018" s="2"/>
      <c r="F1018" s="2"/>
      <c r="I1018" s="147"/>
      <c r="K1018" s="149"/>
    </row>
    <row r="1019" spans="3:11">
      <c r="C1019" s="2"/>
      <c r="D1019" s="2"/>
      <c r="E1019" s="2"/>
      <c r="F1019" s="2"/>
      <c r="I1019" s="147"/>
      <c r="K1019" s="149"/>
    </row>
    <row r="1020" spans="3:11">
      <c r="C1020" s="2"/>
      <c r="D1020" s="2"/>
      <c r="E1020" s="2"/>
      <c r="F1020" s="2"/>
      <c r="I1020" s="147"/>
      <c r="K1020" s="149"/>
    </row>
    <row r="1021" spans="3:11">
      <c r="C1021" s="2"/>
      <c r="D1021" s="2"/>
      <c r="E1021" s="2"/>
      <c r="F1021" s="2"/>
      <c r="I1021" s="147"/>
      <c r="K1021" s="149"/>
    </row>
    <row r="1022" spans="3:11">
      <c r="C1022" s="2"/>
      <c r="D1022" s="2"/>
      <c r="E1022" s="2"/>
      <c r="F1022" s="2"/>
      <c r="I1022" s="147"/>
      <c r="K1022" s="149"/>
    </row>
    <row r="1023" spans="3:11">
      <c r="C1023" s="2"/>
      <c r="D1023" s="2"/>
      <c r="E1023" s="2"/>
      <c r="F1023" s="2"/>
      <c r="I1023" s="147"/>
      <c r="K1023" s="149"/>
    </row>
    <row r="1024" spans="3:11">
      <c r="C1024" s="2"/>
      <c r="D1024" s="2"/>
      <c r="E1024" s="2"/>
      <c r="F1024" s="2"/>
      <c r="I1024" s="147"/>
      <c r="K1024" s="149"/>
    </row>
    <row r="1025" spans="3:11">
      <c r="C1025" s="2"/>
      <c r="D1025" s="2"/>
      <c r="E1025" s="2"/>
      <c r="F1025" s="2"/>
      <c r="I1025" s="147"/>
      <c r="K1025" s="149"/>
    </row>
    <row r="1026" spans="3:11">
      <c r="C1026" s="2"/>
      <c r="D1026" s="2"/>
      <c r="E1026" s="2"/>
      <c r="F1026" s="2"/>
      <c r="I1026" s="147"/>
      <c r="K1026" s="149"/>
    </row>
    <row r="1027" spans="3:11">
      <c r="C1027" s="2"/>
      <c r="D1027" s="2"/>
      <c r="E1027" s="2"/>
      <c r="F1027" s="2"/>
      <c r="I1027" s="147"/>
      <c r="K1027" s="149"/>
    </row>
    <row r="1028" spans="3:11">
      <c r="C1028" s="2"/>
      <c r="D1028" s="2"/>
      <c r="E1028" s="2"/>
      <c r="F1028" s="2"/>
      <c r="I1028" s="147"/>
      <c r="K1028" s="149"/>
    </row>
    <row r="1029" spans="3:11">
      <c r="C1029" s="2"/>
      <c r="D1029" s="2"/>
      <c r="E1029" s="2"/>
      <c r="F1029" s="2"/>
      <c r="I1029" s="147"/>
      <c r="K1029" s="149"/>
    </row>
    <row r="1030" spans="3:11">
      <c r="C1030" s="2"/>
      <c r="D1030" s="2"/>
      <c r="E1030" s="2"/>
      <c r="F1030" s="2"/>
      <c r="I1030" s="147"/>
      <c r="K1030" s="149"/>
    </row>
  </sheetData>
  <autoFilter ref="A1:BZ996"/>
  <phoneticPr fontId="21" type="noConversion"/>
  <conditionalFormatting sqref="AA784:AA785">
    <cfRule type="cellIs" dxfId="449" priority="781" operator="equal">
      <formula>#REF!</formula>
    </cfRule>
  </conditionalFormatting>
  <conditionalFormatting sqref="AA895 A901 A418 A485 A414 A467 A451 A427 AA347 AA615 AA677 AA775 AA754:AA755 AA433 AA228:AA229 AA764 AA908 AA243 AA81 AA620 AA606:AA607 AA562 AA957 AA51 AA217:AA218 AA629 AA631 AA685 AA744:AA747 AA245:AA246 AA423:AA424 AA707:AA708 AA910 AA13:AA14 AA376:AA377 AA97:AA98 AA100:AA101 AA103 AA473 AA543 AA547 AA550 AA556 AA575 AA581 AA611:AA612 AA312 AA518:AA527 AA85 AA87 AA91 AA93:AA94 AA125 AA161:AA162 AA170:AA171 AA176 AA182:AA183 AA185 AA187 AA189 AA192:AA193 AA196 AA198 AA200 AA202 AA207 AA220 AA223 AA225 AA254:AA263 AA265:AA269 AA278:AA279 AA306 AA323 AA335 AA339 AA357:AA359 AA362 AA540:AA541 AA447 AA451 AA458 AA470 AA478:AA480 AA499 AA501 AA284:AA285 AA298 AA302 AA304 AA463 AA571 AA682 AA859 AA861 AA875 AA877 AA880 AA882:AA883 AA281:AA282 AA294:AA295 AA644:AA645 AA328 AA510 AA851 AA512 AA71:AA74 AA466:AA467 AA482 AA318:AA319 AA10 AA122 AA134 AA231 AA384 AA398 AA409 AA412 AA490:AA491 AA494:AA495 AA855 AA937 AA565 AA504:AA505 AA497 AA321 AA287:AA292 AA344 AA55 AA2:AA6 AA530:AA531">
    <cfRule type="expression" dxfId="448" priority="782">
      <formula>A2=#REF!</formula>
    </cfRule>
  </conditionalFormatting>
  <conditionalFormatting sqref="AA7 AA57 AA155:AA158 AA191 AA194 AA215:AA216 AA683 AA53 AA59 AA80 AA104 AA112:AA114 AA119:AA121 AA124 AA126:AA127 AA133 AA139:AA140 AA143 AA145:AA146 AA164:AA165 AA180 AA199 AA205 AA209:AA211 AA233 AA250:AA252 AA316 AA329 AA331 AA338 AA341:AA342 AA345 AA364 AA366 AA368 AA370:AA371 AA380 AA382:AA383 AA385:AA386 AA391 AA394:AA396 AA400 AA408 AA411 AA414:AA415 AA418 AA436 AA459 AA474 AA485:AA486 AA489 AA502:AA503 AA511 AA528:AA529 AA551:AA552 AA567:AA570 AA592:AA593 AA597 AA602:AA603 AA605 AA608 AA616 AA618 AA628 AA655 AA657 AA659:AA660 AA662 AA687:AA688 AA691 AA697:AA698 AA713:AA716 AA722 AA734:AA736 AA738 AA742:AA743 AA749:AA750 AA752 AA756 AA768:AA769 AA771:AA773 AA776 AA780 AA782 AA787 AA800 AA807:AA808 AA825 AA828 AA830 AA832 AA834:AA836 AA841 AA852 AA854 AA863 AA865:AA867 AA892:AA894 AA901 AA918:AA919 AA928 AA934:AA936 AA939 AA65:AA70 AA563:AA564 AA955 W944:Z949 W957:Z957 W951:Z955">
    <cfRule type="expression" dxfId="447" priority="780">
      <formula>W7=#REF!</formula>
    </cfRule>
  </conditionalFormatting>
  <conditionalFormatting sqref="M826:P827 Q828:R828 Q829 M828:N829 M831:N840">
    <cfRule type="expression" dxfId="446" priority="775">
      <formula>M826=#REF!</formula>
    </cfRule>
  </conditionalFormatting>
  <conditionalFormatting sqref="M968:N968 P968 W960:X960 M960:R960 M618:P618 Q617:R617 M617:N617 W55:Z55 M55:N55 Q55:R55 W2:Z6 W531:Z531 M384:P394 M395:N395 Q395:R395 P614:P615 W965:X965 R257:R264 R266:R269 M265:P265 Q271:R274 M275:N275 Q276:R277 Q279:R279 M278:N278 R282 M281:N281 Q288:Q291 M287 M420:M422 Q477 M477:N477 Q514:Q515 M514:N515 O454:Q454 Q455 M455:N455 Q961:R964 W985:Z986 O15:P15 O17:P17 R63:R64 P62 Q752 M752:N752 M2:R2 M84:N84 O3:R6 M3:N8 M12:N14 M531:R531 AV565:BG565 AV505:BG505 AV497:BG497 AV321:BG321 AV292:BG292 AV487:BG487">
    <cfRule type="expression" dxfId="445" priority="774">
      <formula>M2=#REF!</formula>
    </cfRule>
  </conditionalFormatting>
  <conditionalFormatting sqref="G693 G597">
    <cfRule type="containsText" dxfId="444" priority="710" operator="containsText" text="esti">
      <formula>NOT(ISERROR(SEARCH("esti",G597)))</formula>
    </cfRule>
  </conditionalFormatting>
  <conditionalFormatting sqref="A431 A434 A438 A441 A446 A449 A474 A497 A510 A516">
    <cfRule type="expression" dxfId="443" priority="713">
      <formula>A431=#REF!</formula>
    </cfRule>
  </conditionalFormatting>
  <conditionalFormatting sqref="M945:Q945 M957:Q957 M953:N953 P953">
    <cfRule type="expression" dxfId="442" priority="650">
      <formula>M945=#REF!</formula>
    </cfRule>
  </conditionalFormatting>
  <conditionalFormatting sqref="M946 Q949 Q947">
    <cfRule type="expression" dxfId="441" priority="649">
      <formula>M946=#REF!</formula>
    </cfRule>
  </conditionalFormatting>
  <conditionalFormatting sqref="N946 M949 O949">
    <cfRule type="expression" dxfId="440" priority="648">
      <formula>M946=#REF!</formula>
    </cfRule>
  </conditionalFormatting>
  <conditionalFormatting sqref="O946">
    <cfRule type="expression" dxfId="439" priority="647">
      <formula>O946=#REF!</formula>
    </cfRule>
  </conditionalFormatting>
  <conditionalFormatting sqref="P946">
    <cfRule type="expression" dxfId="438" priority="646">
      <formula>P946=#REF!</formula>
    </cfRule>
  </conditionalFormatting>
  <conditionalFormatting sqref="M948">
    <cfRule type="expression" dxfId="437" priority="645">
      <formula>M948=#REF!</formula>
    </cfRule>
  </conditionalFormatting>
  <conditionalFormatting sqref="N948">
    <cfRule type="expression" dxfId="436" priority="644">
      <formula>N948=#REF!</formula>
    </cfRule>
  </conditionalFormatting>
  <conditionalFormatting sqref="O948">
    <cfRule type="expression" dxfId="435" priority="643">
      <formula>O948=#REF!</formula>
    </cfRule>
  </conditionalFormatting>
  <conditionalFormatting sqref="P948">
    <cfRule type="expression" dxfId="434" priority="642">
      <formula>P948=#REF!</formula>
    </cfRule>
  </conditionalFormatting>
  <conditionalFormatting sqref="N949">
    <cfRule type="expression" dxfId="433" priority="641">
      <formula>N949=#REF!</formula>
    </cfRule>
  </conditionalFormatting>
  <conditionalFormatting sqref="P949">
    <cfRule type="expression" dxfId="432" priority="640">
      <formula>P949=#REF!</formula>
    </cfRule>
  </conditionalFormatting>
  <conditionalFormatting sqref="M947 O947">
    <cfRule type="expression" dxfId="431" priority="638">
      <formula>M947=#REF!</formula>
    </cfRule>
  </conditionalFormatting>
  <conditionalFormatting sqref="N947">
    <cfRule type="expression" dxfId="430" priority="637">
      <formula>N947=#REF!</formula>
    </cfRule>
  </conditionalFormatting>
  <conditionalFormatting sqref="P947">
    <cfRule type="expression" dxfId="429" priority="636">
      <formula>P947=#REF!</formula>
    </cfRule>
  </conditionalFormatting>
  <conditionalFormatting sqref="M954:P954">
    <cfRule type="expression" dxfId="428" priority="634">
      <formula>M954=#REF!</formula>
    </cfRule>
  </conditionalFormatting>
  <conditionalFormatting sqref="M951:P951">
    <cfRule type="expression" dxfId="427" priority="633">
      <formula>M951=#REF!</formula>
    </cfRule>
  </conditionalFormatting>
  <conditionalFormatting sqref="M952:P952">
    <cfRule type="expression" dxfId="426" priority="632">
      <formula>M952=#REF!</formula>
    </cfRule>
  </conditionalFormatting>
  <conditionalFormatting sqref="W13:Z14 W51:Z51 W71:Z74 W105:Z106 W116:Z116 W138:Z138 W217:Z219 W224:Z224 W227:Z227 W232:Z232 W245:Z246 W296:Z297 W346:Z350 W352:Z352 W355:Z357 W365:Z365 W378:Z379 W423:Z424 W458:Z458 W466:Z466 W519:Z527 W609:Z609 W612:Z612 W615:Z615 W620:Z627 W629:Z629 W631:Z631 W634:Z641 W670:Z672 W685:Z685 W707:Z708 W721:Z721 W724:Z725 W729:Z729 W731:Z731 W737:Z737 W739:Z740 W744:Z747 W755:Z755 W895:Z895 W923:Z924">
    <cfRule type="expression" dxfId="425" priority="629">
      <formula>W13=#REF!</formula>
    </cfRule>
  </conditionalFormatting>
  <conditionalFormatting sqref="W7:Z7 W10:Z10 W15:Z16 W50:Z50 W52:Z53 W59:Z59 W61:Z70 W75:Z80 W82:Z83 W104:Z104 W118:Z120 W124:Z124 W126:Z128 W130:Z135 W139:Z143 W145:Z146 W154:Z154 W165:Z165 W177:Z181 W199:Z199 W204:Z205 W208:Z210 W222:Z222 W228:Z231 W233:Z238 W243:Z244 W247:Z255 W274:Z274 W277:Z277 W311:Z316 W327:Z327 W329:Z329 W331:Z331 W333:Z333 W337:Z338 W341:Z342 W345:Z345 W351:Z351 W354:Z354 W364:Z364 W366:Z366 W368:Z368 W370:Z371 W374:Z375 W380:Z386 W388:Z389 W391:Z391 W394:Z398 W400:Z401 W404:Z406 W408:Z409 W411:Z412 W414:Z418 W421:Z422 W433:Z433 W436:Z437 W452:Z453 W456:Z457 W459:Z460 W474:Z476 W479:Z481 W483:Z486 W488:Z491 W495:Z495 W502:Z504 W506:Z509 W511:Z511 W528:Z529 W532:Z532 W561:Z561 W563:Z564 W566:Z570 W583:Z583 W585:Z586 W588:Z588 W592:Z593 W597:Z597 W600:Z605 W608:Z608 W613:Z613 W616:Z616 W618:Z619 W628:Z628 W630:Z630 W643:Z643 W649:Z649 W652:Z668 W673:Z677 W687:Z688 W691:Z691 W694:Z698 W703:Z703 W705:Z705 W713:Z718 W722:Z723 W728:Z728 W730:Z730 W732:Z736 W738:Z738 W741:Z743 W748:Z752 W756:Z760 W762:Z762 W765:Z765 W767:Z769 W771:Z773 W776:Z776 W780:Z782 W787:Z787 W789:Z791 W793:Z794 W800:Z800 W806:Z808 W816:Z819 W824:Z825 W828:Z839 W841:Z841 W845:Z855 W863:Z867 W870:Z871 W889:Z889 W892:Z894 W896:Z902 W905:Z905 W915:Z921 W926:Z928 W933:Z937 W939:Z939 W941:Z941 W122:Z122 W959:Z959 W107:Z115 Y533:Z533 X533:X534 X536:Z536 X545:Z545 X548:Z548 X551:Z552">
    <cfRule type="expression" dxfId="424" priority="627">
      <formula>W7=#REF!</formula>
    </cfRule>
  </conditionalFormatting>
  <conditionalFormatting sqref="BN608">
    <cfRule type="expression" dxfId="423" priority="615">
      <formula>BN608=#REF!</formula>
    </cfRule>
  </conditionalFormatting>
  <conditionalFormatting sqref="BN345">
    <cfRule type="expression" dxfId="422" priority="614">
      <formula>BN345=#REF!</formula>
    </cfRule>
  </conditionalFormatting>
  <conditionalFormatting sqref="W565:Z565">
    <cfRule type="expression" dxfId="421" priority="610">
      <formula>W565=#REF!</formula>
    </cfRule>
  </conditionalFormatting>
  <conditionalFormatting sqref="W505:Z505">
    <cfRule type="expression" dxfId="420" priority="606">
      <formula>W505=#REF!</formula>
    </cfRule>
  </conditionalFormatting>
  <conditionalFormatting sqref="W497:Z497">
    <cfRule type="expression" dxfId="419" priority="602">
      <formula>W497=#REF!</formula>
    </cfRule>
  </conditionalFormatting>
  <conditionalFormatting sqref="W321:Z321">
    <cfRule type="expression" dxfId="418" priority="598">
      <formula>W321=#REF!</formula>
    </cfRule>
  </conditionalFormatting>
  <conditionalFormatting sqref="W292:Z292">
    <cfRule type="expression" dxfId="417" priority="594">
      <formula>W292=#REF!</formula>
    </cfRule>
  </conditionalFormatting>
  <conditionalFormatting sqref="R949 R947">
    <cfRule type="expression" dxfId="416" priority="528">
      <formula>R947=#REF!</formula>
    </cfRule>
  </conditionalFormatting>
  <conditionalFormatting sqref="R952">
    <cfRule type="expression" dxfId="415" priority="521">
      <formula>R952=#REF!</formula>
    </cfRule>
  </conditionalFormatting>
  <conditionalFormatting sqref="R957">
    <cfRule type="expression" dxfId="414" priority="493">
      <formula>R957=#REF!</formula>
    </cfRule>
  </conditionalFormatting>
  <conditionalFormatting sqref="R953">
    <cfRule type="expression" dxfId="413" priority="483">
      <formula>R953=#REF!</formula>
    </cfRule>
  </conditionalFormatting>
  <conditionalFormatting sqref="M958:P958">
    <cfRule type="expression" dxfId="412" priority="482">
      <formula>M958=#REF!</formula>
    </cfRule>
  </conditionalFormatting>
  <conditionalFormatting sqref="AA958">
    <cfRule type="expression" dxfId="411" priority="481">
      <formula>AA958=#REF!</formula>
    </cfRule>
  </conditionalFormatting>
  <conditionalFormatting sqref="W958:Z958">
    <cfRule type="expression" dxfId="410" priority="480">
      <formula>W958=#REF!</formula>
    </cfRule>
  </conditionalFormatting>
  <conditionalFormatting sqref="R431:R432 R441:R442 R445:R450 M901:N901 M418:P418 M485 M414:Q414 M467:Q467 O451:Q451 M427:Q427 R438 R434:R435 Q78 Q80">
    <cfRule type="expression" dxfId="409" priority="474">
      <formula>M78=#REF!</formula>
    </cfRule>
  </conditionalFormatting>
  <conditionalFormatting sqref="R944 R115:R116 R371 R925 R932 R941 R930 R217 R20:R47 R207 R211 R619:R627 R108:R113 R646 R632:R641 R221 R224 R679 R717 R598 R858:R862 R735 R845:R846 R865 R589:R590 R137 R202 R464 R348 R242 R877 R424:R425 R82 R122 R227:R233 R312 R374:R375 R476 R744:R750 R758 R889 R75:R80 R174 R176 R427:R428 R456 R820:R822 R506:R509 R323:R328 R294:R295 R901:R904 R474 R520:R521 R689:R690 R471 R595:R596 R879 R881 R161:R163 R165 R700:R702 R315 R936:R937 R795:R796 R584 R769 R358 R528 R453:R454 R458 R378 R380:R381 R317:R318 R248:R249 R252:R253 R300 R304:R305 R682:R683 R408 R411:R412 R245 R782:R788 R501 R582 R392 R394 R400 R652:R667 R894 R839:R840 R332:R333 R91 R119 R125 R922 R723:R733 R270 R511 R513:R514 R402:R403 R148:R152 R139:R144 R330 R669:R672 R675 R416:R417 R848:R853 R179:R200 R685 R387 R396 R804:R805 R776 R360 R798:R802 R600:R603 R692 R906:R907 R909 R911:R920 R93:R103 R752:R756 R127 R298 R168:R172 R460 R721 R737:R739 R741:R742 R707:R713">
    <cfRule type="expression" dxfId="408" priority="472">
      <formula>R20=#REF!</formula>
    </cfRule>
  </conditionalFormatting>
  <conditionalFormatting sqref="R823">
    <cfRule type="expression" dxfId="407" priority="471">
      <formula>R823=#REF!</formula>
    </cfRule>
  </conditionalFormatting>
  <conditionalFormatting sqref="R70">
    <cfRule type="expression" dxfId="406" priority="468">
      <formula>R70=#REF!</formula>
    </cfRule>
  </conditionalFormatting>
  <conditionalFormatting sqref="M107:N107">
    <cfRule type="expression" dxfId="405" priority="450">
      <formula>M107=#REF!</formula>
    </cfRule>
  </conditionalFormatting>
  <conditionalFormatting sqref="N67">
    <cfRule type="expression" dxfId="404" priority="434">
      <formula>N67=#REF!</formula>
    </cfRule>
  </conditionalFormatting>
  <conditionalFormatting sqref="R175">
    <cfRule type="expression" dxfId="403" priority="466">
      <formula>R175=#REF!</formula>
    </cfRule>
  </conditionalFormatting>
  <conditionalFormatting sqref="R426">
    <cfRule type="expression" dxfId="402" priority="465">
      <formula>R426=#REF!</formula>
    </cfRule>
  </conditionalFormatting>
  <conditionalFormatting sqref="N69">
    <cfRule type="expression" dxfId="401" priority="430">
      <formula>N69=#REF!</formula>
    </cfRule>
  </conditionalFormatting>
  <conditionalFormatting sqref="R114 R363 R366 R558 R629:R630 R60 R560">
    <cfRule type="expression" dxfId="400" priority="473">
      <formula>R60=#REF!</formula>
    </cfRule>
  </conditionalFormatting>
  <conditionalFormatting sqref="R66">
    <cfRule type="expression" dxfId="399" priority="470">
      <formula>R66=#REF!</formula>
    </cfRule>
  </conditionalFormatting>
  <conditionalFormatting sqref="R68">
    <cfRule type="expression" dxfId="398" priority="469">
      <formula>R68=#REF!</formula>
    </cfRule>
  </conditionalFormatting>
  <conditionalFormatting sqref="M429:N429">
    <cfRule type="expression" dxfId="397" priority="422">
      <formula>M429=#REF!</formula>
    </cfRule>
  </conditionalFormatting>
  <conditionalFormatting sqref="M430:N430">
    <cfRule type="expression" dxfId="396" priority="421">
      <formula>M430=#REF!</formula>
    </cfRule>
  </conditionalFormatting>
  <conditionalFormatting sqref="M454:N454">
    <cfRule type="expression" dxfId="395" priority="416">
      <formula>M454=#REF!</formula>
    </cfRule>
  </conditionalFormatting>
  <conditionalFormatting sqref="M760:N760">
    <cfRule type="expression" dxfId="394" priority="409">
      <formula>M760=#REF!</formula>
    </cfRule>
  </conditionalFormatting>
  <conditionalFormatting sqref="R173">
    <cfRule type="expression" dxfId="393" priority="467">
      <formula>R173=#REF!</formula>
    </cfRule>
  </conditionalFormatting>
  <conditionalFormatting sqref="R430">
    <cfRule type="expression" dxfId="392" priority="463">
      <formula>R430=#REF!</formula>
    </cfRule>
  </conditionalFormatting>
  <conditionalFormatting sqref="R429">
    <cfRule type="expression" dxfId="391" priority="464">
      <formula>R429=#REF!</formula>
    </cfRule>
  </conditionalFormatting>
  <conditionalFormatting sqref="R440">
    <cfRule type="expression" dxfId="390" priority="461">
      <formula>R440=#REF!</formula>
    </cfRule>
  </conditionalFormatting>
  <conditionalFormatting sqref="R439">
    <cfRule type="expression" dxfId="389" priority="462">
      <formula>R439=#REF!</formula>
    </cfRule>
  </conditionalFormatting>
  <conditionalFormatting sqref="R444">
    <cfRule type="expression" dxfId="388" priority="459">
      <formula>R444=#REF!</formula>
    </cfRule>
  </conditionalFormatting>
  <conditionalFormatting sqref="R443">
    <cfRule type="expression" dxfId="387" priority="460">
      <formula>R443=#REF!</formula>
    </cfRule>
  </conditionalFormatting>
  <conditionalFormatting sqref="R455">
    <cfRule type="expression" dxfId="386" priority="458">
      <formula>R455=#REF!</formula>
    </cfRule>
  </conditionalFormatting>
  <conditionalFormatting sqref="M465:N465">
    <cfRule type="expression" dxfId="385" priority="400">
      <formula>M465=#REF!</formula>
    </cfRule>
  </conditionalFormatting>
  <conditionalFormatting sqref="R564">
    <cfRule type="expression" dxfId="384" priority="457">
      <formula>R564=#REF!</formula>
    </cfRule>
  </conditionalFormatting>
  <conditionalFormatting sqref="R760">
    <cfRule type="expression" dxfId="383" priority="456">
      <formula>R760=#REF!</formula>
    </cfRule>
  </conditionalFormatting>
  <conditionalFormatting sqref="M65:N65">
    <cfRule type="expression" dxfId="382" priority="436">
      <formula>M65=#REF!</formula>
    </cfRule>
  </conditionalFormatting>
  <conditionalFormatting sqref="N872 Q739 Q756 Q784:Q785">
    <cfRule type="cellIs" dxfId="381" priority="453" operator="equal">
      <formula>#REF!</formula>
    </cfRule>
  </conditionalFormatting>
  <conditionalFormatting sqref="O761:P761 O764:P764 O782:P782">
    <cfRule type="cellIs" dxfId="380" priority="452" operator="equal">
      <formula>#REF!</formula>
    </cfRule>
  </conditionalFormatting>
  <conditionalFormatting sqref="M685:N685 M105:P106 M944:N944 O48:P48 M371:P371 M402:P405 M902:N902 M161:P163 M824:N825 M808:P808 M876:P876 M878:P878 M880:P881 P39 M104:N104 P21:P22 M888:P888 M687:N687 M707:N707 M355:P355 O833:P833 O835:P835 P28 M9:N11 M279:N279 O50:P50 O195:P196 O283:P284 M788:N788 M758:N758 M797:P797 O85:P85 M242:N242 M244:P244 M249:P251 P706 P703:P704 M692:N692 M694:P694 M695:N695 M702:P702 O686 O8:P8 M304:N305 O305:P305 O319:P320 M789:P790 M306:P308 M486 P33:P37 N485:P486 M256:P256 M317:N320 M310:P316 O379:P382 M399:P400 M528:N528 M537:P537 M87:P87 O893:P894 M846:P854 M911:P922 M925:P925 M895:P896 M932:P937 M906:P907 M941:P941 M466:P466 M460:P460 M554:P554 M903:P904 M909:P909 M930:P930 N329 N468:N469 M358:P359 M207:P207 M330:P340 O815:P816 M869:N871 M527:P527 P30:P31 M217:N217 P25:P26 P41:P43 M397:P397 M408:P409 M411:P412 M703:O706 M199:P200 M194:N197 M746:P746 M696:P696 M708:P712 O901:P902 M841:P842 M773:P773 M210:P210 M227:P227 M233:P233 M376:N382 M433:P434 M205:N206 O204:P206 M417:P417 M740:P740 O288:P290 N463 M95:P103 M348:M352 M891:N894 M282:N285 M753:P756 M137:N137 M165:P166 M211:N211 M619:N627 O837:P839 M845:N845 M858:P862 M820:N822 M673:P674 M61:N61 M471:P471 M491:N491 O604:P604 M646:N646 M632:N643 M346:P347 M570:P570 M575:P576 O581:P584 M742:P742 M221:P221 M224:P224 M561:N562 M571:N573 M577:N584 M588:N588 M688:P688 M713:N714 O714:P714 M652:N652 Q347 O869:Q872 M873:Q875 M879:Q879 Q729:Q731 P38:Q38 P40:Q40 M360:Q360 O677:P677 M151:Q152 M787:Q787 M383:Q383 M602:Q603 Q834 O836:Q836 O891:Q892 Q31 P23:Q23 M791:Q794 Q788:Q790 Q754:Q756 N741:Q741 Q921 P27:Q27 P29:Q29 Q315 M254:Q255 O318:Q318 Q332 Q382 M401:Q401 M428:Q428 Q88:Q89 M889:Q890 Q895 M905:Q905 M424:Q424 Q433 M438:Q438 M396:Q396 M598:P598 M435:Q435 M484:Q484 M863:Q863 M761:Q761 M762:P766 O84:Q84 P44:Q45 M544:Q544 Q527:Q528 M122:Q122 M398:Q398 M248:Q248 M668:Q668 P47:Q47 M908:Q908 Q336 O194:Q194 M574:Q574 M243:Q243 Q42 M123:P125 Q212:Q213 M735:Q735 M415:N416 M410:Q410 M844:Q844 M855:Q855 O107:Q107 M865:Q868 O864:Q864 M566:Q569 Q562 Q588 O715:Q715 Q483 Q53 Q71:Q74 N357:Q357 M744:Q745 M245:Q245 M910:Q910 N350:Q352 M356:Q356 O376:Q378 Q650:Q651 M198:Q198 M202:Q202 Q475 Q33 P32:Q32 O91:Q92 M342:P342 M406:Q407 M413:Q413 M470:N470 Q363 O304:Q304 P463 Q462 M877:Q877 Q94:Q95 M286:Q286 M353:Q354 M431:Q432 Q582:Q583 Q679 Q491 M228:Q232 Q311:Q313 M373:Q375 O420:P421 M476:Q476 M530:Q530 Q619:Q625 Q629:Q630 M747:Q747 M767:Q772 M806:Q807 Q847:Q851 M897:Q900 Q933:Q935 P329:Q329 M452:Q453 M441:Q442 O65:Q70 O425:Q426 O429:P430 O439:Q440 O444:Q444 M464:N464 Q564 O564 O818:P818 M589:Q593 M716:P721 M723:P733 M722:N722 Q722 M153:O153 Q392:Q394 M506:Q513 M300:Q300 Q682 M498:Q504 Q339:Q340 N344:Q344 M436:P437 Q437 M293:Q295 M322:Q328 M298:Q298 M296:O297 M75:N80 M751:Q751 Q748:Q750 M748:N750 O678 O699:P701 P252:Q252 P253 M115:P119 M138:P150 M252:O253 M299:P299 M679:P684 O693 M176:N176 P176 P171:P173 O171:O176 M177:P193 M108:P113 P468:Q470 M474:N474 P474 M479:Q480 M478:N478 M689:N690 P692 O613:P613 O953 M776:P776 M800:P800 P795:Q796 P799 P798:Q798 M803:P804 M801:N802 P801:P802 M805:N805 P805:Q805 P242 O734:Q734 Q743 O606:Q607 Q609 O612:Q612 Q642:Q645 M126:Q128 M456:Q459 Q953 M795:N799 M488:Q490 M301:P303 N348:P349 M737:Q739 M736:P736 M532:Q532 O93:P94 O88:P90 M167:N171 M774:N775 Q775 M779:P783 M777:N778 M786:P786 M784:N785 M809:N809 M257:Q264 Q282:Q285 M246:P247 Q82 M277:P277 M280:Q280 M288:N291 M445:Q447 M473:P473 Q472:R472 M516:Q526 M595:Q596 M594:O594 M611:O611 M614:O615 M20:N49 M697:N698 M700:N701 M266:Q270 O278:P278 M449:Q450 O448:Q448 M63:N64 O415 P478:Q478 M492:Q495 M535:Q535 M600:P601">
    <cfRule type="expression" dxfId="379" priority="454">
      <formula>M8=#REF!</formula>
    </cfRule>
  </conditionalFormatting>
  <conditionalFormatting sqref="M823:N823">
    <cfRule type="expression" dxfId="378" priority="451">
      <formula>M823=#REF!</formula>
    </cfRule>
  </conditionalFormatting>
  <conditionalFormatting sqref="M71:N74">
    <cfRule type="expression" dxfId="377" priority="449">
      <formula>M71=#REF!</formula>
    </cfRule>
  </conditionalFormatting>
  <conditionalFormatting sqref="O491:P491">
    <cfRule type="expression" dxfId="376" priority="448">
      <formula>O491=#REF!</formula>
    </cfRule>
  </conditionalFormatting>
  <conditionalFormatting sqref="M483:N483">
    <cfRule type="expression" dxfId="375" priority="447">
      <formula>M483=#REF!</formula>
    </cfRule>
  </conditionalFormatting>
  <conditionalFormatting sqref="O483:P483">
    <cfRule type="expression" dxfId="374" priority="446">
      <formula>O483=#REF!</formula>
    </cfRule>
  </conditionalFormatting>
  <conditionalFormatting sqref="M475:N475">
    <cfRule type="expression" dxfId="373" priority="445">
      <formula>M475=#REF!</formula>
    </cfRule>
  </conditionalFormatting>
  <conditionalFormatting sqref="O475:P475">
    <cfRule type="expression" dxfId="372" priority="444">
      <formula>O475=#REF!</formula>
    </cfRule>
  </conditionalFormatting>
  <conditionalFormatting sqref="M864:N864">
    <cfRule type="expression" dxfId="371" priority="443">
      <formula>M864=#REF!</formula>
    </cfRule>
  </conditionalFormatting>
  <conditionalFormatting sqref="M628:N628">
    <cfRule type="expression" dxfId="370" priority="442">
      <formula>M628=#REF!</formula>
    </cfRule>
  </conditionalFormatting>
  <conditionalFormatting sqref="M649:N649">
    <cfRule type="expression" dxfId="369" priority="441">
      <formula>M649=#REF!</formula>
    </cfRule>
  </conditionalFormatting>
  <conditionalFormatting sqref="O53:P53">
    <cfRule type="expression" dxfId="368" priority="440">
      <formula>O53=#REF!</formula>
    </cfRule>
  </conditionalFormatting>
  <conditionalFormatting sqref="M83:N83">
    <cfRule type="expression" dxfId="367" priority="439">
      <formula>M83=#REF!</formula>
    </cfRule>
  </conditionalFormatting>
  <conditionalFormatting sqref="O687:P687">
    <cfRule type="expression" dxfId="366" priority="438">
      <formula>O687=#REF!</formula>
    </cfRule>
  </conditionalFormatting>
  <conditionalFormatting sqref="M675:N676 M669:N672 M653:N667">
    <cfRule type="expression" dxfId="365" priority="437">
      <formula>M653=#REF!</formula>
    </cfRule>
  </conditionalFormatting>
  <conditionalFormatting sqref="M60:N60 M56:N56 M57:Q57 M58:P59 N81:P81 M341:N341 P341:Q341 M363:P363 P364:R364 N366:P366 O558:P558 M610:Q610 M629:P631 Q631 O561:P562 O571:P571 O573:P573 O577:P577 O579:P579 O588:P588 O597:P597 Q299 Q303 Q680:Q681 Q693">
    <cfRule type="expression" dxfId="364" priority="455">
      <formula>M56=#REF!</formula>
    </cfRule>
  </conditionalFormatting>
  <conditionalFormatting sqref="M66:N66">
    <cfRule type="expression" dxfId="363" priority="435">
      <formula>M66=#REF!</formula>
    </cfRule>
  </conditionalFormatting>
  <conditionalFormatting sqref="M444:N444">
    <cfRule type="expression" dxfId="362" priority="417">
      <formula>M444=#REF!</formula>
    </cfRule>
  </conditionalFormatting>
  <conditionalFormatting sqref="M154:O160">
    <cfRule type="expression" dxfId="361" priority="394">
      <formula>M154=#REF!</formula>
    </cfRule>
  </conditionalFormatting>
  <conditionalFormatting sqref="N68">
    <cfRule type="expression" dxfId="360" priority="433">
      <formula>N68=#REF!</formula>
    </cfRule>
  </conditionalFormatting>
  <conditionalFormatting sqref="M67">
    <cfRule type="expression" dxfId="359" priority="432">
      <formula>M67=#REF!</formula>
    </cfRule>
  </conditionalFormatting>
  <conditionalFormatting sqref="M68">
    <cfRule type="expression" dxfId="358" priority="431">
      <formula>M68=#REF!</formula>
    </cfRule>
  </conditionalFormatting>
  <conditionalFormatting sqref="N70">
    <cfRule type="expression" dxfId="357" priority="429">
      <formula>N70=#REF!</formula>
    </cfRule>
  </conditionalFormatting>
  <conditionalFormatting sqref="M69">
    <cfRule type="expression" dxfId="356" priority="428">
      <formula>M69=#REF!</formula>
    </cfRule>
  </conditionalFormatting>
  <conditionalFormatting sqref="M70">
    <cfRule type="expression" dxfId="355" priority="427">
      <formula>M70=#REF!</formula>
    </cfRule>
  </conditionalFormatting>
  <conditionalFormatting sqref="M172:N172">
    <cfRule type="expression" dxfId="354" priority="426">
      <formula>M172=#REF!</formula>
    </cfRule>
  </conditionalFormatting>
  <conditionalFormatting sqref="M173:N173">
    <cfRule type="expression" dxfId="353" priority="425">
      <formula>M173=#REF!</formula>
    </cfRule>
  </conditionalFormatting>
  <conditionalFormatting sqref="O819:P819">
    <cfRule type="expression" dxfId="352" priority="401">
      <formula>O819=#REF!</formula>
    </cfRule>
  </conditionalFormatting>
  <conditionalFormatting sqref="Q173">
    <cfRule type="expression" dxfId="351" priority="408">
      <formula>Q173=#REF!</formula>
    </cfRule>
  </conditionalFormatting>
  <conditionalFormatting sqref="M425:N425">
    <cfRule type="expression" dxfId="350" priority="424">
      <formula>M425=#REF!</formula>
    </cfRule>
  </conditionalFormatting>
  <conditionalFormatting sqref="M426:N426">
    <cfRule type="expression" dxfId="349" priority="423">
      <formula>M426=#REF!</formula>
    </cfRule>
  </conditionalFormatting>
  <conditionalFormatting sqref="M564:N564">
    <cfRule type="expression" dxfId="348" priority="411">
      <formula>M564=#REF!</formula>
    </cfRule>
  </conditionalFormatting>
  <conditionalFormatting sqref="M440:N440">
    <cfRule type="expression" dxfId="347" priority="419">
      <formula>M440=#REF!</formula>
    </cfRule>
  </conditionalFormatting>
  <conditionalFormatting sqref="M439:N439">
    <cfRule type="expression" dxfId="346" priority="420">
      <formula>M439=#REF!</formula>
    </cfRule>
  </conditionalFormatting>
  <conditionalFormatting sqref="M443:N443">
    <cfRule type="expression" dxfId="345" priority="418">
      <formula>M443=#REF!</formula>
    </cfRule>
  </conditionalFormatting>
  <conditionalFormatting sqref="O722:P722">
    <cfRule type="expression" dxfId="344" priority="395">
      <formula>O722=#REF!</formula>
    </cfRule>
  </conditionalFormatting>
  <conditionalFormatting sqref="Q175">
    <cfRule type="expression" dxfId="343" priority="404">
      <formula>Q175=#REF!</formula>
    </cfRule>
  </conditionalFormatting>
  <conditionalFormatting sqref="O464:P464">
    <cfRule type="expression" dxfId="342" priority="414">
      <formula>O464=#REF!</formula>
    </cfRule>
  </conditionalFormatting>
  <conditionalFormatting sqref="M563:N563">
    <cfRule type="expression" dxfId="341" priority="412">
      <formula>M563=#REF!</formula>
    </cfRule>
  </conditionalFormatting>
  <conditionalFormatting sqref="M759:N759">
    <cfRule type="expression" dxfId="340" priority="410">
      <formula>M759=#REF!</formula>
    </cfRule>
  </conditionalFormatting>
  <conditionalFormatting sqref="P174:P175">
    <cfRule type="expression" dxfId="339" priority="407">
      <formula>P174=#REF!</formula>
    </cfRule>
  </conditionalFormatting>
  <conditionalFormatting sqref="M174:N174">
    <cfRule type="expression" dxfId="338" priority="406">
      <formula>M174=#REF!</formula>
    </cfRule>
  </conditionalFormatting>
  <conditionalFormatting sqref="M175:N175">
    <cfRule type="expression" dxfId="337" priority="405">
      <formula>M175=#REF!</formula>
    </cfRule>
  </conditionalFormatting>
  <conditionalFormatting sqref="O443:P443">
    <cfRule type="expression" dxfId="336" priority="403">
      <formula>O443=#REF!</formula>
    </cfRule>
  </conditionalFormatting>
  <conditionalFormatting sqref="O817:P817">
    <cfRule type="expression" dxfId="335" priority="402">
      <formula>O817=#REF!</formula>
    </cfRule>
  </conditionalFormatting>
  <conditionalFormatting sqref="O580">
    <cfRule type="expression" dxfId="334" priority="399">
      <formula>O580=#REF!</formula>
    </cfRule>
  </conditionalFormatting>
  <conditionalFormatting sqref="O578">
    <cfRule type="expression" dxfId="333" priority="398">
      <formula>O578=#REF!</formula>
    </cfRule>
  </conditionalFormatting>
  <conditionalFormatting sqref="O572">
    <cfRule type="expression" dxfId="332" priority="397">
      <formula>O572=#REF!</formula>
    </cfRule>
  </conditionalFormatting>
  <conditionalFormatting sqref="O563">
    <cfRule type="expression" dxfId="331" priority="396">
      <formula>O563=#REF!</formula>
    </cfRule>
  </conditionalFormatting>
  <conditionalFormatting sqref="M164:O164">
    <cfRule type="expression" dxfId="330" priority="393">
      <formula>M164=#REF!</formula>
    </cfRule>
  </conditionalFormatting>
  <conditionalFormatting sqref="R565">
    <cfRule type="expression" dxfId="329" priority="392">
      <formula>R565=#REF!</formula>
    </cfRule>
  </conditionalFormatting>
  <conditionalFormatting sqref="N565 P565:Q565">
    <cfRule type="expression" dxfId="328" priority="391">
      <formula>N565=#REF!</formula>
    </cfRule>
  </conditionalFormatting>
  <conditionalFormatting sqref="R505">
    <cfRule type="expression" dxfId="327" priority="390">
      <formula>R505=#REF!</formula>
    </cfRule>
  </conditionalFormatting>
  <conditionalFormatting sqref="N505 P505:Q505">
    <cfRule type="expression" dxfId="326" priority="389">
      <formula>N505=#REF!</formula>
    </cfRule>
  </conditionalFormatting>
  <conditionalFormatting sqref="R497">
    <cfRule type="expression" dxfId="325" priority="388">
      <formula>R497=#REF!</formula>
    </cfRule>
  </conditionalFormatting>
  <conditionalFormatting sqref="N497 P497:Q497">
    <cfRule type="expression" dxfId="324" priority="387">
      <formula>N497=#REF!</formula>
    </cfRule>
  </conditionalFormatting>
  <conditionalFormatting sqref="R321">
    <cfRule type="expression" dxfId="323" priority="386">
      <formula>R321=#REF!</formula>
    </cfRule>
  </conditionalFormatting>
  <conditionalFormatting sqref="N321 P321:Q321">
    <cfRule type="expression" dxfId="322" priority="385">
      <formula>N321=#REF!</formula>
    </cfRule>
  </conditionalFormatting>
  <conditionalFormatting sqref="R292">
    <cfRule type="expression" dxfId="321" priority="384">
      <formula>R292=#REF!</formula>
    </cfRule>
  </conditionalFormatting>
  <conditionalFormatting sqref="N292 P292:Q292">
    <cfRule type="expression" dxfId="320" priority="383">
      <formula>N292=#REF!</formula>
    </cfRule>
  </conditionalFormatting>
  <conditionalFormatting sqref="O55:P55">
    <cfRule type="expression" dxfId="319" priority="382">
      <formula>O55=#REF!</formula>
    </cfRule>
  </conditionalFormatting>
  <conditionalFormatting sqref="O926:P931">
    <cfRule type="expression" dxfId="318" priority="381">
      <formula>O926=#REF!</formula>
    </cfRule>
  </conditionalFormatting>
  <conditionalFormatting sqref="R897:R899 R863">
    <cfRule type="expression" dxfId="317" priority="380">
      <formula>R863=#REF!</formula>
    </cfRule>
  </conditionalFormatting>
  <conditionalFormatting sqref="R628 R71:R74">
    <cfRule type="expression" dxfId="316" priority="379">
      <formula>R71=#REF!</formula>
    </cfRule>
  </conditionalFormatting>
  <conditionalFormatting sqref="R515:R518 R482 R473">
    <cfRule type="expression" dxfId="315" priority="378">
      <formula>R473=#REF!</formula>
    </cfRule>
  </conditionalFormatting>
  <conditionalFormatting sqref="R841 R831:R833 R824:R825">
    <cfRule type="expression" dxfId="314" priority="377">
      <formula>R824=#REF!</formula>
    </cfRule>
  </conditionalFormatting>
  <conditionalFormatting sqref="R687:R688 R128">
    <cfRule type="expression" dxfId="313" priority="376">
      <formula>R128=#REF!</formula>
    </cfRule>
  </conditionalFormatting>
  <conditionalFormatting sqref="R256">
    <cfRule type="expression" dxfId="312" priority="375">
      <formula>R256=#REF!</formula>
    </cfRule>
  </conditionalFormatting>
  <conditionalFormatting sqref="R942 R939 R931">
    <cfRule type="expression" dxfId="311" priority="373">
      <formula>R931=#REF!</formula>
    </cfRule>
  </conditionalFormatting>
  <conditionalFormatting sqref="R591">
    <cfRule type="expression" dxfId="310" priority="372">
      <formula>R591=#REF!</formula>
    </cfRule>
  </conditionalFormatting>
  <conditionalFormatting sqref="R883:R884 R880 R878 R866:R876 R855">
    <cfRule type="expression" dxfId="309" priority="371">
      <formula>R855=#REF!</formula>
    </cfRule>
  </conditionalFormatting>
  <conditionalFormatting sqref="R164 R153:R160">
    <cfRule type="expression" dxfId="308" priority="370">
      <formula>R153=#REF!</formula>
    </cfRule>
  </conditionalFormatting>
  <conditionalFormatting sqref="R695:R698">
    <cfRule type="expression" dxfId="307" priority="369">
      <formula>R695=#REF!</formula>
    </cfRule>
  </conditionalFormatting>
  <conditionalFormatting sqref="R314">
    <cfRule type="expression" dxfId="306" priority="368">
      <formula>R314=#REF!</formula>
    </cfRule>
  </conditionalFormatting>
  <conditionalFormatting sqref="R934:R935">
    <cfRule type="expression" dxfId="305" priority="367">
      <formula>R934=#REF!</formula>
    </cfRule>
  </conditionalFormatting>
  <conditionalFormatting sqref="R790:R791">
    <cfRule type="expression" dxfId="304" priority="366">
      <formula>R790=#REF!</formula>
    </cfRule>
  </conditionalFormatting>
  <conditionalFormatting sqref="R743 R734 R715 R585:R586 R583 R576 R568:R570 R566">
    <cfRule type="expression" dxfId="303" priority="365">
      <formula>R566=#REF!</formula>
    </cfRule>
  </conditionalFormatting>
  <conditionalFormatting sqref="R530">
    <cfRule type="expression" dxfId="302" priority="364">
      <formula>R530=#REF!</formula>
    </cfRule>
  </conditionalFormatting>
  <conditionalFormatting sqref="R597 R588 R579 R577 R573 R571 R561:R562">
    <cfRule type="expression" dxfId="301" priority="363">
      <formula>R561=#REF!</formula>
    </cfRule>
  </conditionalFormatting>
  <conditionalFormatting sqref="R495">
    <cfRule type="expression" dxfId="300" priority="362">
      <formula>R495=#REF!</formula>
    </cfRule>
  </conditionalFormatting>
  <conditionalFormatting sqref="R765 R105:R106">
    <cfRule type="expression" dxfId="299" priority="361">
      <formula>R105=#REF!</formula>
    </cfRule>
  </conditionalFormatting>
  <conditionalFormatting sqref="R526:R527 R524 R519 R352:R357 R313 R311 R53 R56:R57">
    <cfRule type="expression" dxfId="298" priority="360">
      <formula>R53=#REF!</formula>
    </cfRule>
  </conditionalFormatting>
  <conditionalFormatting sqref="R466 R457 R452">
    <cfRule type="expression" dxfId="297" priority="359">
      <formula>R452=#REF!</formula>
    </cfRule>
  </conditionalFormatting>
  <conditionalFormatting sqref="R379 R376:R377 R372:R373">
    <cfRule type="expression" dxfId="296" priority="358">
      <formula>R372=#REF!</formula>
    </cfRule>
  </conditionalFormatting>
  <conditionalFormatting sqref="R337:R338 R316 R254:R255 R50:R51 R87 R118 R124 R301:R302 R306:R310">
    <cfRule type="expression" dxfId="295" priority="357">
      <formula>R50=#REF!</formula>
    </cfRule>
  </conditionalFormatting>
  <conditionalFormatting sqref="R491 R488:R489 R483 R480:R481 R475">
    <cfRule type="expression" dxfId="294" priority="356">
      <formula>R475=#REF!</formula>
    </cfRule>
  </conditionalFormatting>
  <conditionalFormatting sqref="R250">
    <cfRule type="expression" dxfId="293" priority="355">
      <formula>R250=#REF!</formula>
    </cfRule>
  </conditionalFormatting>
  <conditionalFormatting sqref="R693 R680:R681 R303 R299">
    <cfRule type="expression" dxfId="292" priority="353">
      <formula>R299=#REF!</formula>
    </cfRule>
  </conditionalFormatting>
  <conditionalFormatting sqref="R413 R410 R407">
    <cfRule type="expression" dxfId="291" priority="352">
      <formula>R407=#REF!</formula>
    </cfRule>
  </conditionalFormatting>
  <conditionalFormatting sqref="R244">
    <cfRule type="expression" dxfId="290" priority="351">
      <formula>R244=#REF!</formula>
    </cfRule>
  </conditionalFormatting>
  <conditionalFormatting sqref="R554 R544 R532 R535 R537">
    <cfRule type="expression" dxfId="289" priority="350">
      <formula>R532=#REF!</formula>
    </cfRule>
  </conditionalFormatting>
  <conditionalFormatting sqref="R806:R807 R779 R766 R763 R761">
    <cfRule type="expression" dxfId="288" priority="349">
      <formula>R761=#REF!</formula>
    </cfRule>
  </conditionalFormatting>
  <conditionalFormatting sqref="R854">
    <cfRule type="expression" dxfId="287" priority="348">
      <formula>R854=#REF!</formula>
    </cfRule>
  </conditionalFormatting>
  <conditionalFormatting sqref="R121">
    <cfRule type="expression" dxfId="286" priority="347">
      <formula>R121=#REF!</formula>
    </cfRule>
  </conditionalFormatting>
  <conditionalFormatting sqref="R928">
    <cfRule type="expression" dxfId="285" priority="343">
      <formula>R928=#REF!</formula>
    </cfRule>
  </conditionalFormatting>
  <conditionalFormatting sqref="R567">
    <cfRule type="expression" dxfId="284" priority="345">
      <formula>R567=#REF!</formula>
    </cfRule>
  </conditionalFormatting>
  <conditionalFormatting sqref="R592">
    <cfRule type="expression" dxfId="283" priority="344">
      <formula>R592=#REF!</formula>
    </cfRule>
  </conditionalFormatting>
  <conditionalFormatting sqref="N422">
    <cfRule type="expression" dxfId="282" priority="342">
      <formula>N422=#REF!</formula>
    </cfRule>
  </conditionalFormatting>
  <conditionalFormatting sqref="R133">
    <cfRule type="expression" dxfId="281" priority="341">
      <formula>R133=#REF!</formula>
    </cfRule>
  </conditionalFormatting>
  <conditionalFormatting sqref="R136">
    <cfRule type="expression" dxfId="280" priority="340">
      <formula>R136=#REF!</formula>
    </cfRule>
  </conditionalFormatting>
  <conditionalFormatting sqref="R500 R498 R468">
    <cfRule type="expression" dxfId="279" priority="339">
      <formula>R468=#REF!</formula>
    </cfRule>
  </conditionalFormatting>
  <conditionalFormatting sqref="R587 R581 R574:R575">
    <cfRule type="expression" dxfId="278" priority="338">
      <formula>R574=#REF!</formula>
    </cfRule>
  </conditionalFormatting>
  <conditionalFormatting sqref="R496 R465 R399 R393 R390 R283">
    <cfRule type="expression" dxfId="277" priority="337">
      <formula>R283=#REF!</formula>
    </cfRule>
  </conditionalFormatting>
  <conditionalFormatting sqref="R234">
    <cfRule type="expression" dxfId="276" priority="336">
      <formula>R234=#REF!</formula>
    </cfRule>
  </conditionalFormatting>
  <conditionalFormatting sqref="R235:R238">
    <cfRule type="expression" dxfId="275" priority="335">
      <formula>R235=#REF!</formula>
    </cfRule>
  </conditionalFormatting>
  <conditionalFormatting sqref="R895:R896 R890:R891 R885:R888 R826:R827">
    <cfRule type="expression" dxfId="274" priority="334">
      <formula>R826=#REF!</formula>
    </cfRule>
  </conditionalFormatting>
  <conditionalFormatting sqref="R842:R843 R808 R834:R836">
    <cfRule type="expression" dxfId="273" priority="333">
      <formula>R808=#REF!</formula>
    </cfRule>
  </conditionalFormatting>
  <conditionalFormatting sqref="R342 R334:R335 R331">
    <cfRule type="expression" dxfId="272" priority="332">
      <formula>R331=#REF!</formula>
    </cfRule>
  </conditionalFormatting>
  <conditionalFormatting sqref="R52">
    <cfRule type="expression" dxfId="271" priority="330">
      <formula>R52=#REF!</formula>
    </cfRule>
  </conditionalFormatting>
  <conditionalFormatting sqref="R921">
    <cfRule type="expression" dxfId="270" priority="329">
      <formula>R921=#REF!</formula>
    </cfRule>
  </conditionalFormatting>
  <conditionalFormatting sqref="R397">
    <cfRule type="expression" dxfId="269" priority="328">
      <formula>R397=#REF!</formula>
    </cfRule>
  </conditionalFormatting>
  <conditionalFormatting sqref="R504">
    <cfRule type="expression" dxfId="268" priority="327">
      <formula>R504=#REF!</formula>
    </cfRule>
  </conditionalFormatting>
  <conditionalFormatting sqref="R722">
    <cfRule type="expression" dxfId="267" priority="326">
      <formula>R722=#REF!</formula>
    </cfRule>
  </conditionalFormatting>
  <conditionalFormatting sqref="R512 R510 R384 R291 N287 R285">
    <cfRule type="expression" dxfId="266" priority="325">
      <formula>N285=#REF!</formula>
    </cfRule>
  </conditionalFormatting>
  <conditionalFormatting sqref="R401 R69 R67 R65">
    <cfRule type="expression" dxfId="265" priority="324">
      <formula>R65=#REF!</formula>
    </cfRule>
  </conditionalFormatting>
  <conditionalFormatting sqref="R593">
    <cfRule type="expression" dxfId="264" priority="323">
      <formula>R593=#REF!</formula>
    </cfRule>
  </conditionalFormatting>
  <conditionalFormatting sqref="R251 R145:R147">
    <cfRule type="expression" dxfId="263" priority="322">
      <formula>R145=#REF!</formula>
    </cfRule>
  </conditionalFormatting>
  <conditionalFormatting sqref="R208:R210 R204:R206 R138">
    <cfRule type="expression" dxfId="262" priority="321">
      <formula>R138=#REF!</formula>
    </cfRule>
  </conditionalFormatting>
  <conditionalFormatting sqref="R642 R612 R609 R606:R607">
    <cfRule type="expression" dxfId="261" priority="316">
      <formula>R606=#REF!</formula>
    </cfRule>
  </conditionalFormatting>
  <conditionalFormatting sqref="R212:R214 R135 R129">
    <cfRule type="expression" dxfId="260" priority="319">
      <formula>R129=#REF!</formula>
    </cfRule>
  </conditionalFormatting>
  <conditionalFormatting sqref="R485 R418">
    <cfRule type="expression" dxfId="259" priority="318">
      <formula>R418=#REF!</formula>
    </cfRule>
  </conditionalFormatting>
  <conditionalFormatting sqref="R892">
    <cfRule type="expression" dxfId="258" priority="317">
      <formula>R892=#REF!</formula>
    </cfRule>
  </conditionalFormatting>
  <conditionalFormatting sqref="R329 R339:R340 R344 R437">
    <cfRule type="expression" dxfId="257" priority="315">
      <formula>R329=#REF!</formula>
    </cfRule>
  </conditionalFormatting>
  <conditionalFormatting sqref="R673:R674 R668">
    <cfRule type="expression" dxfId="256" priority="314">
      <formula>R668=#REF!</formula>
    </cfRule>
  </conditionalFormatting>
  <conditionalFormatting sqref="R900">
    <cfRule type="expression" dxfId="255" priority="313">
      <formula>R900=#REF!</formula>
    </cfRule>
  </conditionalFormatting>
  <conditionalFormatting sqref="R490 P415 R61">
    <cfRule type="expression" dxfId="254" priority="312">
      <formula>P61=#REF!</formula>
    </cfRule>
  </conditionalFormatting>
  <conditionalFormatting sqref="R893 R847">
    <cfRule type="expression" dxfId="253" priority="311">
      <formula>R847=#REF!</formula>
    </cfRule>
  </conditionalFormatting>
  <conditionalFormatting sqref="R104">
    <cfRule type="expression" dxfId="252" priority="310">
      <formula>R104=#REF!</formula>
    </cfRule>
  </conditionalFormatting>
  <conditionalFormatting sqref="R486 R484 R479 R436 R433">
    <cfRule type="expression" dxfId="251" priority="309">
      <formula>R433=#REF!</formula>
    </cfRule>
  </conditionalFormatting>
  <conditionalFormatting sqref="R177:R178">
    <cfRule type="expression" dxfId="250" priority="308">
      <formula>R177=#REF!</formula>
    </cfRule>
  </conditionalFormatting>
  <conditionalFormatting sqref="R694">
    <cfRule type="expression" dxfId="249" priority="307">
      <formula>R694=#REF!</formula>
    </cfRule>
  </conditionalFormatting>
  <conditionalFormatting sqref="R684">
    <cfRule type="expression" dxfId="248" priority="306">
      <formula>R684=#REF!</formula>
    </cfRule>
  </conditionalFormatting>
  <conditionalFormatting sqref="R404:R406 R391 R388:R389 R386">
    <cfRule type="expression" dxfId="247" priority="305">
      <formula>R386=#REF!</formula>
    </cfRule>
  </conditionalFormatting>
  <conditionalFormatting sqref="R803 R759">
    <cfRule type="expression" dxfId="246" priority="304">
      <formula>R759=#REF!</formula>
    </cfRule>
  </conditionalFormatting>
  <conditionalFormatting sqref="R107">
    <cfRule type="expression" dxfId="245" priority="303">
      <formula>R107=#REF!</formula>
    </cfRule>
  </conditionalFormatting>
  <conditionalFormatting sqref="R819 R817">
    <cfRule type="expression" dxfId="244" priority="302">
      <formula>R817=#REF!</formula>
    </cfRule>
  </conditionalFormatting>
  <conditionalFormatting sqref="R770:R773 R767:R768 R383">
    <cfRule type="expression" dxfId="243" priority="301">
      <formula>R383=#REF!</formula>
    </cfRule>
  </conditionalFormatting>
  <conditionalFormatting sqref="R762">
    <cfRule type="expression" dxfId="242" priority="300">
      <formula>R762=#REF!</formula>
    </cfRule>
  </conditionalFormatting>
  <conditionalFormatting sqref="R523 R351 R336 R322">
    <cfRule type="expression" dxfId="241" priority="299">
      <formula>R322=#REF!</formula>
    </cfRule>
  </conditionalFormatting>
  <conditionalFormatting sqref="R797 R792">
    <cfRule type="expression" dxfId="240" priority="298">
      <formula>R792=#REF!</formula>
    </cfRule>
  </conditionalFormatting>
  <conditionalFormatting sqref="R243">
    <cfRule type="expression" dxfId="239" priority="296">
      <formula>R243=#REF!</formula>
    </cfRule>
  </conditionalFormatting>
  <conditionalFormatting sqref="R933 R910 R908 R905">
    <cfRule type="expression" dxfId="238" priority="295">
      <formula>R905=#REF!</formula>
    </cfRule>
  </conditionalFormatting>
  <conditionalFormatting sqref="R120">
    <cfRule type="expression" dxfId="237" priority="294">
      <formula>R120=#REF!</formula>
    </cfRule>
  </conditionalFormatting>
  <conditionalFormatting sqref="R610 R341">
    <cfRule type="expression" dxfId="236" priority="293">
      <formula>R341=#REF!</formula>
    </cfRule>
  </conditionalFormatting>
  <conditionalFormatting sqref="R499 R382">
    <cfRule type="expression" dxfId="235" priority="292">
      <formula>R382=#REF!</formula>
    </cfRule>
  </conditionalFormatting>
  <conditionalFormatting sqref="R809:R810 R777:R778 R774:R775 R92 R88:R90 R84:R85">
    <cfRule type="expression" dxfId="234" priority="291">
      <formula>R84=#REF!</formula>
    </cfRule>
  </conditionalFormatting>
  <conditionalFormatting sqref="R751">
    <cfRule type="expression" dxfId="233" priority="290">
      <formula>R751=#REF!</formula>
    </cfRule>
  </conditionalFormatting>
  <conditionalFormatting sqref="R631 R58:R59">
    <cfRule type="expression" dxfId="232" priority="289">
      <formula>R58=#REF!</formula>
    </cfRule>
  </conditionalFormatting>
  <conditionalFormatting sqref="R793:R794 R789">
    <cfRule type="expression" dxfId="231" priority="288">
      <formula>R789=#REF!</formula>
    </cfRule>
  </conditionalFormatting>
  <conditionalFormatting sqref="R126">
    <cfRule type="expression" dxfId="230" priority="287">
      <formula>R126=#REF!</formula>
    </cfRule>
  </conditionalFormatting>
  <conditionalFormatting sqref="R502:R503 R409 R398 R385">
    <cfRule type="expression" dxfId="229" priority="286">
      <formula>R385=#REF!</formula>
    </cfRule>
  </conditionalFormatting>
  <conditionalFormatting sqref="R864">
    <cfRule type="expression" dxfId="228" priority="285">
      <formula>R864=#REF!</formula>
    </cfRule>
  </conditionalFormatting>
  <conditionalFormatting sqref="R362 R350 R345:R347 R293">
    <cfRule type="expression" dxfId="227" priority="284">
      <formula>R293=#REF!</formula>
    </cfRule>
  </conditionalFormatting>
  <conditionalFormatting sqref="R927">
    <cfRule type="expression" dxfId="226" priority="283">
      <formula>R927=#REF!</formula>
    </cfRule>
  </conditionalFormatting>
  <conditionalFormatting sqref="R525 R522 R319:R320 P296:P297">
    <cfRule type="expression" dxfId="225" priority="282">
      <formula>P296=#REF!</formula>
    </cfRule>
  </conditionalFormatting>
  <conditionalFormatting sqref="R494 R467 R451 R414 R288:R290 R284">
    <cfRule type="expression" dxfId="224" priority="281">
      <formula>R284=#REF!</formula>
    </cfRule>
  </conditionalFormatting>
  <conditionalFormatting sqref="R166:R167">
    <cfRule type="expression" dxfId="223" priority="279">
      <formula>R166=#REF!</formula>
    </cfRule>
  </conditionalFormatting>
  <conditionalFormatting sqref="P611 P594 P580 P578 P572 P563">
    <cfRule type="expression" dxfId="222" priority="277">
      <formula>P563=#REF!</formula>
    </cfRule>
  </conditionalFormatting>
  <conditionalFormatting sqref="R470 R459 R478 R493">
    <cfRule type="expression" dxfId="221" priority="276">
      <formula>R459=#REF!</formula>
    </cfRule>
  </conditionalFormatting>
  <conditionalFormatting sqref="O75:P80 O748:P750">
    <cfRule type="expression" dxfId="220" priority="275">
      <formula>O75=#REF!</formula>
    </cfRule>
  </conditionalFormatting>
  <conditionalFormatting sqref="BO338:BX338 BO345:BX345 BO608:BX608">
    <cfRule type="expression" dxfId="219" priority="274">
      <formula>BO338=#REF!</formula>
    </cfRule>
  </conditionalFormatting>
  <conditionalFormatting sqref="BN338">
    <cfRule type="expression" dxfId="218" priority="273">
      <formula>BN338=#REF!</formula>
    </cfRule>
  </conditionalFormatting>
  <conditionalFormatting sqref="Q7:R7">
    <cfRule type="expression" dxfId="217" priority="272">
      <formula>Q7=#REF!</formula>
    </cfRule>
  </conditionalFormatting>
  <conditionalFormatting sqref="Q15:R16">
    <cfRule type="expression" dxfId="216" priority="271">
      <formula>Q15=#REF!</formula>
    </cfRule>
  </conditionalFormatting>
  <conditionalFormatting sqref="Q54 Q56">
    <cfRule type="expression" dxfId="215" priority="269">
      <formula>Q54=#REF!</formula>
    </cfRule>
  </conditionalFormatting>
  <conditionalFormatting sqref="R829">
    <cfRule type="expression" dxfId="214" priority="268">
      <formula>R829=#REF!</formula>
    </cfRule>
  </conditionalFormatting>
  <conditionalFormatting sqref="O828:P828 O829 O834">
    <cfRule type="expression" dxfId="213" priority="267">
      <formula>O828=#REF!</formula>
    </cfRule>
  </conditionalFormatting>
  <conditionalFormatting sqref="P829">
    <cfRule type="expression" dxfId="212" priority="266">
      <formula>P829=#REF!</formula>
    </cfRule>
  </conditionalFormatting>
  <conditionalFormatting sqref="P834">
    <cfRule type="expression" dxfId="211" priority="265">
      <formula>P834=#REF!</formula>
    </cfRule>
  </conditionalFormatting>
  <conditionalFormatting sqref="AA487">
    <cfRule type="expression" dxfId="210" priority="264">
      <formula>AA487=#REF!</formula>
    </cfRule>
  </conditionalFormatting>
  <conditionalFormatting sqref="W487:Z487">
    <cfRule type="expression" dxfId="209" priority="262">
      <formula>W487=#REF!</formula>
    </cfRule>
  </conditionalFormatting>
  <conditionalFormatting sqref="R487">
    <cfRule type="expression" dxfId="208" priority="261">
      <formula>R487=#REF!</formula>
    </cfRule>
  </conditionalFormatting>
  <conditionalFormatting sqref="N487 P487:Q487">
    <cfRule type="expression" dxfId="207" priority="260">
      <formula>N487=#REF!</formula>
    </cfRule>
  </conditionalFormatting>
  <conditionalFormatting sqref="AA966">
    <cfRule type="expression" dxfId="206" priority="259">
      <formula>AA966=#REF!</formula>
    </cfRule>
  </conditionalFormatting>
  <conditionalFormatting sqref="Q966">
    <cfRule type="expression" dxfId="205" priority="258">
      <formula>Q966=#REF!</formula>
    </cfRule>
  </conditionalFormatting>
  <conditionalFormatting sqref="R966">
    <cfRule type="expression" dxfId="204" priority="257">
      <formula>R966=#REF!</formula>
    </cfRule>
  </conditionalFormatting>
  <conditionalFormatting sqref="N967:Q967">
    <cfRule type="expression" dxfId="203" priority="255">
      <formula>N967=#REF!</formula>
    </cfRule>
  </conditionalFormatting>
  <conditionalFormatting sqref="R967">
    <cfRule type="expression" dxfId="202" priority="254">
      <formula>R967=#REF!</formula>
    </cfRule>
  </conditionalFormatting>
  <conditionalFormatting sqref="W967">
    <cfRule type="expression" dxfId="201" priority="253">
      <formula>W967=#REF!</formula>
    </cfRule>
  </conditionalFormatting>
  <conditionalFormatting sqref="N966:P966">
    <cfRule type="expression" dxfId="200" priority="252">
      <formula>N966=#REF!</formula>
    </cfRule>
  </conditionalFormatting>
  <conditionalFormatting sqref="N971:Q971">
    <cfRule type="expression" dxfId="197" priority="247">
      <formula>N971=#REF!</formula>
    </cfRule>
  </conditionalFormatting>
  <conditionalFormatting sqref="R971">
    <cfRule type="expression" dxfId="196" priority="246">
      <formula>R971=#REF!</formula>
    </cfRule>
  </conditionalFormatting>
  <conditionalFormatting sqref="W971">
    <cfRule type="expression" dxfId="195" priority="245">
      <formula>W971=#REF!</formula>
    </cfRule>
  </conditionalFormatting>
  <conditionalFormatting sqref="W970:Z970">
    <cfRule type="expression" dxfId="194" priority="235">
      <formula>W970=#REF!</formula>
    </cfRule>
  </conditionalFormatting>
  <conditionalFormatting sqref="W968">
    <cfRule type="expression" dxfId="193" priority="241">
      <formula>W968=#REF!</formula>
    </cfRule>
  </conditionalFormatting>
  <conditionalFormatting sqref="AA968:AA969">
    <cfRule type="expression" dxfId="192" priority="239">
      <formula>AA968=#REF!</formula>
    </cfRule>
  </conditionalFormatting>
  <conditionalFormatting sqref="R970">
    <cfRule type="expression" dxfId="191" priority="234">
      <formula>R970=#REF!</formula>
    </cfRule>
  </conditionalFormatting>
  <conditionalFormatting sqref="M970:P970">
    <cfRule type="expression" dxfId="190" priority="233">
      <formula>M970=#REF!</formula>
    </cfRule>
  </conditionalFormatting>
  <conditionalFormatting sqref="W969">
    <cfRule type="expression" dxfId="189" priority="232">
      <formula>W969=#REF!</formula>
    </cfRule>
  </conditionalFormatting>
  <conditionalFormatting sqref="R969">
    <cfRule type="expression" dxfId="188" priority="231">
      <formula>R969=#REF!</formula>
    </cfRule>
  </conditionalFormatting>
  <conditionalFormatting sqref="AA965">
    <cfRule type="expression" dxfId="187" priority="230">
      <formula>AA965=#REF!</formula>
    </cfRule>
  </conditionalFormatting>
  <conditionalFormatting sqref="R965">
    <cfRule type="expression" dxfId="186" priority="229">
      <formula>R965=#REF!</formula>
    </cfRule>
  </conditionalFormatting>
  <conditionalFormatting sqref="M114:P114">
    <cfRule type="expression" dxfId="185" priority="227">
      <formula>M114=#REF!</formula>
    </cfRule>
  </conditionalFormatting>
  <conditionalFormatting sqref="W956:AA956">
    <cfRule type="expression" dxfId="184" priority="226">
      <formula>W956=#REF!</formula>
    </cfRule>
  </conditionalFormatting>
  <conditionalFormatting sqref="M956:N956">
    <cfRule type="expression" dxfId="183" priority="225">
      <formula>M956=#REF!</formula>
    </cfRule>
  </conditionalFormatting>
  <conditionalFormatting sqref="R956">
    <cfRule type="expression" dxfId="182" priority="224">
      <formula>R956=#REF!</formula>
    </cfRule>
  </conditionalFormatting>
  <conditionalFormatting sqref="AA950">
    <cfRule type="expression" dxfId="181" priority="223">
      <formula>AA950=#REF!</formula>
    </cfRule>
  </conditionalFormatting>
  <conditionalFormatting sqref="W950:Z950">
    <cfRule type="expression" dxfId="180" priority="222">
      <formula>W950=#REF!</formula>
    </cfRule>
  </conditionalFormatting>
  <conditionalFormatting sqref="R950">
    <cfRule type="expression" dxfId="179" priority="221">
      <formula>R950=#REF!</formula>
    </cfRule>
  </conditionalFormatting>
  <conditionalFormatting sqref="M950:Q950">
    <cfRule type="expression" dxfId="178" priority="220">
      <formula>M950=#REF!</formula>
    </cfRule>
  </conditionalFormatting>
  <conditionalFormatting sqref="R349 R359">
    <cfRule type="expression" dxfId="177" priority="215">
      <formula>R349=#REF!</formula>
    </cfRule>
  </conditionalFormatting>
  <conditionalFormatting sqref="N998">
    <cfRule type="expression" dxfId="176" priority="214">
      <formula>N998=#REF!</formula>
    </cfRule>
  </conditionalFormatting>
  <conditionalFormatting sqref="M998">
    <cfRule type="expression" dxfId="175" priority="213">
      <formula>M998=#REF!</formula>
    </cfRule>
  </conditionalFormatting>
  <conditionalFormatting sqref="R691">
    <cfRule type="expression" dxfId="174" priority="212">
      <formula>R691=#REF!</formula>
    </cfRule>
  </conditionalFormatting>
  <conditionalFormatting sqref="Q691">
    <cfRule type="expression" dxfId="173" priority="211">
      <formula>Q691=#REF!</formula>
    </cfRule>
  </conditionalFormatting>
  <conditionalFormatting sqref="R714">
    <cfRule type="expression" dxfId="172" priority="210">
      <formula>R714=#REF!</formula>
    </cfRule>
  </conditionalFormatting>
  <conditionalFormatting sqref="R716">
    <cfRule type="expression" dxfId="171" priority="208">
      <formula>R716=#REF!</formula>
    </cfRule>
  </conditionalFormatting>
  <conditionalFormatting sqref="R718">
    <cfRule type="expression" dxfId="170" priority="206">
      <formula>R718=#REF!</formula>
    </cfRule>
  </conditionalFormatting>
  <conditionalFormatting sqref="R719">
    <cfRule type="expression" dxfId="169" priority="204">
      <formula>R719=#REF!</formula>
    </cfRule>
  </conditionalFormatting>
  <conditionalFormatting sqref="R720">
    <cfRule type="expression" dxfId="168" priority="202">
      <formula>R720=#REF!</formula>
    </cfRule>
  </conditionalFormatting>
  <conditionalFormatting sqref="R736">
    <cfRule type="expression" dxfId="167" priority="200">
      <formula>R736=#REF!</formula>
    </cfRule>
  </conditionalFormatting>
  <conditionalFormatting sqref="R740">
    <cfRule type="expression" dxfId="166" priority="198">
      <formula>R740=#REF!</formula>
    </cfRule>
  </conditionalFormatting>
  <conditionalFormatting sqref="R492 R477 R469 R462 R286 R280 R608 R419 N420:N421">
    <cfRule type="expression" dxfId="165" priority="793">
      <formula>N280=$P$531</formula>
    </cfRule>
  </conditionalFormatting>
  <conditionalFormatting sqref="Q714 Q716 Q718:Q720 Q736 Q740">
    <cfRule type="expression" dxfId="164" priority="804">
      <formula>Q714=$R$531</formula>
    </cfRule>
  </conditionalFormatting>
  <conditionalFormatting sqref="M85:N86">
    <cfRule type="expression" dxfId="163" priority="195">
      <formula>M85=#REF!</formula>
    </cfRule>
  </conditionalFormatting>
  <conditionalFormatting sqref="M88:N94">
    <cfRule type="expression" dxfId="162" priority="194">
      <formula>M88=#REF!</formula>
    </cfRule>
  </conditionalFormatting>
  <conditionalFormatting sqref="O809:P811">
    <cfRule type="expression" dxfId="161" priority="183">
      <formula>O809=#REF!</formula>
    </cfRule>
  </conditionalFormatting>
  <conditionalFormatting sqref="O167:P170">
    <cfRule type="expression" dxfId="160" priority="193">
      <formula>O167=#REF!</formula>
    </cfRule>
  </conditionalFormatting>
  <conditionalFormatting sqref="Q764:R764">
    <cfRule type="expression" dxfId="159" priority="192">
      <formula>Q764=#REF!</formula>
    </cfRule>
  </conditionalFormatting>
  <conditionalFormatting sqref="O774:P774">
    <cfRule type="expression" dxfId="158" priority="191">
      <formula>O774=#REF!</formula>
    </cfRule>
  </conditionalFormatting>
  <conditionalFormatting sqref="O775:P775">
    <cfRule type="expression" dxfId="157" priority="190">
      <formula>O775=#REF!</formula>
    </cfRule>
  </conditionalFormatting>
  <conditionalFormatting sqref="O777:P777">
    <cfRule type="expression" dxfId="156" priority="189">
      <formula>O777=#REF!</formula>
    </cfRule>
  </conditionalFormatting>
  <conditionalFormatting sqref="O778:P778">
    <cfRule type="expression" dxfId="155" priority="188">
      <formula>O778=#REF!</formula>
    </cfRule>
  </conditionalFormatting>
  <conditionalFormatting sqref="Q780:R780">
    <cfRule type="expression" dxfId="154" priority="187">
      <formula>Q780=#REF!</formula>
    </cfRule>
  </conditionalFormatting>
  <conditionalFormatting sqref="Q781:R781">
    <cfRule type="expression" dxfId="153" priority="186">
      <formula>Q781=#REF!</formula>
    </cfRule>
  </conditionalFormatting>
  <conditionalFormatting sqref="O784:P784">
    <cfRule type="expression" dxfId="152" priority="185">
      <formula>O784=#REF!</formula>
    </cfRule>
  </conditionalFormatting>
  <conditionalFormatting sqref="O785:P785">
    <cfRule type="expression" dxfId="151" priority="184">
      <formula>O785=#REF!</formula>
    </cfRule>
  </conditionalFormatting>
  <conditionalFormatting sqref="Q246:R246">
    <cfRule type="expression" dxfId="150" priority="182">
      <formula>Q246=#REF!</formula>
    </cfRule>
  </conditionalFormatting>
  <conditionalFormatting sqref="Q247:R247">
    <cfRule type="expression" dxfId="149" priority="181">
      <formula>Q247=#REF!</formula>
    </cfRule>
  </conditionalFormatting>
  <conditionalFormatting sqref="P370:R370">
    <cfRule type="expression" dxfId="148" priority="176">
      <formula>P370=#REF!</formula>
    </cfRule>
  </conditionalFormatting>
  <conditionalFormatting sqref="P365:R365">
    <cfRule type="expression" dxfId="147" priority="180">
      <formula>P365=#REF!</formula>
    </cfRule>
  </conditionalFormatting>
  <conditionalFormatting sqref="P367:R367">
    <cfRule type="expression" dxfId="146" priority="179">
      <formula>P367=#REF!</formula>
    </cfRule>
  </conditionalFormatting>
  <conditionalFormatting sqref="P368:R368">
    <cfRule type="expression" dxfId="145" priority="178">
      <formula>P368=#REF!</formula>
    </cfRule>
  </conditionalFormatting>
  <conditionalFormatting sqref="P369:R369">
    <cfRule type="expression" dxfId="144" priority="177">
      <formula>P369=#REF!</formula>
    </cfRule>
  </conditionalFormatting>
  <conditionalFormatting sqref="P538:R538">
    <cfRule type="expression" dxfId="143" priority="175">
      <formula>P538=#REF!</formula>
    </cfRule>
  </conditionalFormatting>
  <conditionalFormatting sqref="P539:R539">
    <cfRule type="expression" dxfId="142" priority="174">
      <formula>P539=#REF!</formula>
    </cfRule>
  </conditionalFormatting>
  <conditionalFormatting sqref="P540:R540">
    <cfRule type="expression" dxfId="141" priority="173">
      <formula>P540=#REF!</formula>
    </cfRule>
  </conditionalFormatting>
  <conditionalFormatting sqref="P541:R541">
    <cfRule type="expression" dxfId="140" priority="172">
      <formula>P541=#REF!</formula>
    </cfRule>
  </conditionalFormatting>
  <conditionalFormatting sqref="P542:R542">
    <cfRule type="expression" dxfId="139" priority="171">
      <formula>P542=#REF!</formula>
    </cfRule>
  </conditionalFormatting>
  <conditionalFormatting sqref="P543:R543">
    <cfRule type="expression" dxfId="138" priority="170">
      <formula>P543=#REF!</formula>
    </cfRule>
  </conditionalFormatting>
  <conditionalFormatting sqref="P546:R546">
    <cfRule type="expression" dxfId="137" priority="169">
      <formula>P546=#REF!</formula>
    </cfRule>
  </conditionalFormatting>
  <conditionalFormatting sqref="P547:R547">
    <cfRule type="expression" dxfId="136" priority="168">
      <formula>P547=#REF!</formula>
    </cfRule>
  </conditionalFormatting>
  <conditionalFormatting sqref="P549:R549">
    <cfRule type="expression" dxfId="135" priority="167">
      <formula>P549=#REF!</formula>
    </cfRule>
  </conditionalFormatting>
  <conditionalFormatting sqref="P550:R550">
    <cfRule type="expression" dxfId="134" priority="166">
      <formula>P550=#REF!</formula>
    </cfRule>
  </conditionalFormatting>
  <conditionalFormatting sqref="P555:R555">
    <cfRule type="expression" dxfId="133" priority="165">
      <formula>P555=#REF!</formula>
    </cfRule>
  </conditionalFormatting>
  <conditionalFormatting sqref="P556:R556">
    <cfRule type="expression" dxfId="132" priority="164">
      <formula>P556=#REF!</formula>
    </cfRule>
  </conditionalFormatting>
  <conditionalFormatting sqref="P557:R557">
    <cfRule type="expression" dxfId="131" priority="163">
      <formula>P557=#REF!</formula>
    </cfRule>
  </conditionalFormatting>
  <conditionalFormatting sqref="P559:R559">
    <cfRule type="expression" dxfId="130" priority="162">
      <formula>P559=#REF!</formula>
    </cfRule>
  </conditionalFormatting>
  <conditionalFormatting sqref="Q558">
    <cfRule type="expression" dxfId="129" priority="161">
      <formula>Q558=#REF!</formula>
    </cfRule>
  </conditionalFormatting>
  <conditionalFormatting sqref="O560:P560">
    <cfRule type="expression" dxfId="128" priority="160">
      <formula>O560=#REF!</formula>
    </cfRule>
  </conditionalFormatting>
  <conditionalFormatting sqref="Q560">
    <cfRule type="expression" dxfId="127" priority="159">
      <formula>Q560=#REF!</formula>
    </cfRule>
  </conditionalFormatting>
  <conditionalFormatting sqref="P82">
    <cfRule type="expression" dxfId="126" priority="158">
      <formula>P82=#REF!</formula>
    </cfRule>
  </conditionalFormatting>
  <conditionalFormatting sqref="AA963">
    <cfRule type="expression" dxfId="124" priority="149">
      <formula>AA963=#REF!</formula>
    </cfRule>
  </conditionalFormatting>
  <conditionalFormatting sqref="W961:X964">
    <cfRule type="expression" dxfId="123" priority="150">
      <formula>W961=#REF!</formula>
    </cfRule>
  </conditionalFormatting>
  <conditionalFormatting sqref="P973:R973">
    <cfRule type="expression" dxfId="122" priority="143">
      <formula>P973=#REF!</formula>
    </cfRule>
  </conditionalFormatting>
  <conditionalFormatting sqref="W973:Z973 W984:Z984">
    <cfRule type="expression" dxfId="121" priority="145">
      <formula>W973=#REF!</formula>
    </cfRule>
  </conditionalFormatting>
  <conditionalFormatting sqref="Y972:Z972">
    <cfRule type="expression" dxfId="120" priority="139">
      <formula>Y972=#REF!</formula>
    </cfRule>
  </conditionalFormatting>
  <conditionalFormatting sqref="R972">
    <cfRule type="expression" dxfId="119" priority="138">
      <formula>R972=#REF!</formula>
    </cfRule>
  </conditionalFormatting>
  <conditionalFormatting sqref="M972:N972">
    <cfRule type="expression" dxfId="118" priority="137">
      <formula>M972=#REF!</formula>
    </cfRule>
  </conditionalFormatting>
  <conditionalFormatting sqref="W972:X972">
    <cfRule type="expression" dxfId="117" priority="136">
      <formula>W972=#REF!</formula>
    </cfRule>
  </conditionalFormatting>
  <conditionalFormatting sqref="M677:N677">
    <cfRule type="expression" dxfId="116" priority="135">
      <formula>M677=#REF!</formula>
    </cfRule>
  </conditionalFormatting>
  <conditionalFormatting sqref="M678:N678">
    <cfRule type="expression" dxfId="115" priority="134">
      <formula>M678=#REF!</formula>
    </cfRule>
  </conditionalFormatting>
  <conditionalFormatting sqref="M699:N699">
    <cfRule type="expression" dxfId="114" priority="133">
      <formula>M699=#REF!</formula>
    </cfRule>
  </conditionalFormatting>
  <conditionalFormatting sqref="Q703:R703">
    <cfRule type="expression" dxfId="113" priority="132">
      <formula>Q703=#REF!</formula>
    </cfRule>
  </conditionalFormatting>
  <conditionalFormatting sqref="Q704:R704">
    <cfRule type="expression" dxfId="112" priority="131">
      <formula>Q704=#REF!</formula>
    </cfRule>
  </conditionalFormatting>
  <conditionalFormatting sqref="Q705:R705">
    <cfRule type="expression" dxfId="111" priority="130">
      <formula>Q705=#REF!</formula>
    </cfRule>
  </conditionalFormatting>
  <conditionalFormatting sqref="Q706:R706">
    <cfRule type="expression" dxfId="110" priority="129">
      <formula>Q706=#REF!</formula>
    </cfRule>
  </conditionalFormatting>
  <conditionalFormatting sqref="R676">
    <cfRule type="expression" dxfId="109" priority="128">
      <formula>R676=#REF!</formula>
    </cfRule>
  </conditionalFormatting>
  <conditionalFormatting sqref="M448">
    <cfRule type="expression" dxfId="108" priority="126">
      <formula>M448=#REF!</formula>
    </cfRule>
  </conditionalFormatting>
  <conditionalFormatting sqref="N448">
    <cfRule type="expression" dxfId="107" priority="125">
      <formula>N448=#REF!</formula>
    </cfRule>
  </conditionalFormatting>
  <conditionalFormatting sqref="M451">
    <cfRule type="expression" dxfId="106" priority="124">
      <formula>M451=#REF!</formula>
    </cfRule>
  </conditionalFormatting>
  <conditionalFormatting sqref="N451">
    <cfRule type="expression" dxfId="105" priority="123">
      <formula>N451=#REF!</formula>
    </cfRule>
  </conditionalFormatting>
  <conditionalFormatting sqref="M472">
    <cfRule type="expression" dxfId="104" priority="118">
      <formula>M472=#REF!</formula>
    </cfRule>
  </conditionalFormatting>
  <conditionalFormatting sqref="N472">
    <cfRule type="expression" dxfId="103" priority="117">
      <formula>N472=#REF!</formula>
    </cfRule>
  </conditionalFormatting>
  <conditionalFormatting sqref="R984">
    <cfRule type="expression" dxfId="102" priority="114">
      <formula>R984=#REF!</formula>
    </cfRule>
  </conditionalFormatting>
  <conditionalFormatting sqref="M984:N984">
    <cfRule type="expression" dxfId="101" priority="113">
      <formula>M984=#REF!</formula>
    </cfRule>
  </conditionalFormatting>
  <conditionalFormatting sqref="R986">
    <cfRule type="expression" dxfId="100" priority="112">
      <formula>R986=#REF!</formula>
    </cfRule>
  </conditionalFormatting>
  <conditionalFormatting sqref="M986:N986">
    <cfRule type="expression" dxfId="99" priority="111">
      <formula>M986=#REF!</formula>
    </cfRule>
  </conditionalFormatting>
  <conditionalFormatting sqref="R985">
    <cfRule type="expression" dxfId="98" priority="110">
      <formula>R985=#REF!</formula>
    </cfRule>
  </conditionalFormatting>
  <conditionalFormatting sqref="M985:N985">
    <cfRule type="expression" dxfId="97" priority="109">
      <formula>M985=#REF!</formula>
    </cfRule>
  </conditionalFormatting>
  <conditionalFormatting sqref="M343:P343">
    <cfRule type="expression" dxfId="95" priority="107">
      <formula>M343=#REF!</formula>
    </cfRule>
  </conditionalFormatting>
  <conditionalFormatting sqref="R343">
    <cfRule type="expression" dxfId="94" priority="106">
      <formula>R343=#REF!</formula>
    </cfRule>
  </conditionalFormatting>
  <conditionalFormatting sqref="N345:P345">
    <cfRule type="expression" dxfId="93" priority="105">
      <formula>N345=#REF!</formula>
    </cfRule>
  </conditionalFormatting>
  <conditionalFormatting sqref="R423">
    <cfRule type="expression" dxfId="92" priority="104">
      <formula>R423=#REF!</formula>
    </cfRule>
  </conditionalFormatting>
  <conditionalFormatting sqref="M955:N955">
    <cfRule type="expression" dxfId="91" priority="103">
      <formula>M955=#REF!</formula>
    </cfRule>
  </conditionalFormatting>
  <conditionalFormatting sqref="R955">
    <cfRule type="expression" dxfId="90" priority="102">
      <formula>R955=#REF!</formula>
    </cfRule>
  </conditionalFormatting>
  <conditionalFormatting sqref="M961:P961">
    <cfRule type="expression" dxfId="89" priority="101">
      <formula>M961=#REF!</formula>
    </cfRule>
  </conditionalFormatting>
  <conditionalFormatting sqref="M962:P962">
    <cfRule type="expression" dxfId="88" priority="100">
      <formula>M962=#REF!</formula>
    </cfRule>
  </conditionalFormatting>
  <conditionalFormatting sqref="O963:P963">
    <cfRule type="cellIs" dxfId="87" priority="98" operator="equal">
      <formula>#REF!</formula>
    </cfRule>
  </conditionalFormatting>
  <conditionalFormatting sqref="M964:N964 M963:P963">
    <cfRule type="expression" dxfId="86" priority="99">
      <formula>M963=#REF!</formula>
    </cfRule>
  </conditionalFormatting>
  <conditionalFormatting sqref="O964:P964">
    <cfRule type="expression" dxfId="85" priority="97">
      <formula>O964=#REF!</formula>
    </cfRule>
  </conditionalFormatting>
  <conditionalFormatting sqref="O973">
    <cfRule type="expression" dxfId="83" priority="95">
      <formula>O973=#REF!</formula>
    </cfRule>
  </conditionalFormatting>
  <conditionalFormatting sqref="T8">
    <cfRule type="expression" dxfId="82" priority="94">
      <formula>T8=#REF!</formula>
    </cfRule>
  </conditionalFormatting>
  <conditionalFormatting sqref="M987:P987">
    <cfRule type="expression" dxfId="79" priority="91">
      <formula>M987=#REF!</formula>
    </cfRule>
  </conditionalFormatting>
  <conditionalFormatting sqref="W974:Z974">
    <cfRule type="expression" dxfId="78" priority="90">
      <formula>W974=#REF!</formula>
    </cfRule>
  </conditionalFormatting>
  <conditionalFormatting sqref="M974:N974 Q974">
    <cfRule type="expression" dxfId="77" priority="88">
      <formula>M974=#REF!</formula>
    </cfRule>
  </conditionalFormatting>
  <conditionalFormatting sqref="O974:P974">
    <cfRule type="expression" dxfId="76" priority="89">
      <formula>O974=#REF!</formula>
    </cfRule>
  </conditionalFormatting>
  <conditionalFormatting sqref="R974">
    <cfRule type="expression" dxfId="75" priority="87">
      <formula>R974=#REF!</formula>
    </cfRule>
  </conditionalFormatting>
  <conditionalFormatting sqref="P975:R975">
    <cfRule type="expression" dxfId="74" priority="81">
      <formula>P975=#REF!</formula>
    </cfRule>
  </conditionalFormatting>
  <conditionalFormatting sqref="AA976">
    <cfRule type="expression" dxfId="73" priority="80">
      <formula>AA976=#REF!</formula>
    </cfRule>
  </conditionalFormatting>
  <conditionalFormatting sqref="P976:R976">
    <cfRule type="expression" dxfId="72" priority="79">
      <formula>P976=#REF!</formula>
    </cfRule>
  </conditionalFormatting>
  <conditionalFormatting sqref="AA977">
    <cfRule type="expression" dxfId="71" priority="78">
      <formula>AA977=#REF!</formula>
    </cfRule>
  </conditionalFormatting>
  <conditionalFormatting sqref="P977:R977">
    <cfRule type="expression" dxfId="70" priority="77">
      <formula>P977=#REF!</formula>
    </cfRule>
  </conditionalFormatting>
  <conditionalFormatting sqref="Q983">
    <cfRule type="expression" dxfId="69" priority="63">
      <formula>Q983=#REF!</formula>
    </cfRule>
  </conditionalFormatting>
  <conditionalFormatting sqref="AA978">
    <cfRule type="expression" dxfId="68" priority="76">
      <formula>AA978=#REF!</formula>
    </cfRule>
  </conditionalFormatting>
  <conditionalFormatting sqref="P978:R978">
    <cfRule type="expression" dxfId="67" priority="75">
      <formula>P978=#REF!</formula>
    </cfRule>
  </conditionalFormatting>
  <conditionalFormatting sqref="AA979">
    <cfRule type="expression" dxfId="66" priority="74">
      <formula>AA979=#REF!</formula>
    </cfRule>
  </conditionalFormatting>
  <conditionalFormatting sqref="P979:R979">
    <cfRule type="expression" dxfId="65" priority="73">
      <formula>P979=#REF!</formula>
    </cfRule>
  </conditionalFormatting>
  <conditionalFormatting sqref="AA980">
    <cfRule type="expression" dxfId="64" priority="72">
      <formula>AA980=#REF!</formula>
    </cfRule>
  </conditionalFormatting>
  <conditionalFormatting sqref="P980:R980">
    <cfRule type="expression" dxfId="63" priority="71">
      <formula>P980=#REF!</formula>
    </cfRule>
  </conditionalFormatting>
  <conditionalFormatting sqref="AA981">
    <cfRule type="expression" dxfId="62" priority="70">
      <formula>AA981=#REF!</formula>
    </cfRule>
  </conditionalFormatting>
  <conditionalFormatting sqref="P981:R981">
    <cfRule type="expression" dxfId="61" priority="69">
      <formula>P981=#REF!</formula>
    </cfRule>
  </conditionalFormatting>
  <conditionalFormatting sqref="R982">
    <cfRule type="expression" dxfId="60" priority="68">
      <formula>R982=#REF!</formula>
    </cfRule>
  </conditionalFormatting>
  <conditionalFormatting sqref="O982:P982">
    <cfRule type="expression" dxfId="59" priority="67">
      <formula>O982=#REF!</formula>
    </cfRule>
  </conditionalFormatting>
  <conditionalFormatting sqref="Q982">
    <cfRule type="expression" dxfId="58" priority="66">
      <formula>Q982=#REF!</formula>
    </cfRule>
  </conditionalFormatting>
  <conditionalFormatting sqref="R983">
    <cfRule type="expression" dxfId="57" priority="65">
      <formula>R983=#REF!</formula>
    </cfRule>
  </conditionalFormatting>
  <conditionalFormatting sqref="O983:P983">
    <cfRule type="expression" dxfId="56" priority="64">
      <formula>O983=#REF!</formula>
    </cfRule>
  </conditionalFormatting>
  <conditionalFormatting sqref="X553">
    <cfRule type="expression" dxfId="55" priority="62">
      <formula>X553=#REF!</formula>
    </cfRule>
  </conditionalFormatting>
  <conditionalFormatting sqref="W533">
    <cfRule type="expression" dxfId="54" priority="61">
      <formula>W533=#REF!</formula>
    </cfRule>
  </conditionalFormatting>
  <conditionalFormatting sqref="M533:Q533">
    <cfRule type="expression" dxfId="53" priority="60">
      <formula>M533=#REF!</formula>
    </cfRule>
  </conditionalFormatting>
  <conditionalFormatting sqref="R533">
    <cfRule type="expression" dxfId="52" priority="59">
      <formula>R533=#REF!</formula>
    </cfRule>
  </conditionalFormatting>
  <conditionalFormatting sqref="W534">
    <cfRule type="expression" dxfId="51" priority="58">
      <formula>W534=#REF!</formula>
    </cfRule>
  </conditionalFormatting>
  <conditionalFormatting sqref="M534:Q534">
    <cfRule type="expression" dxfId="50" priority="57">
      <formula>M534=#REF!</formula>
    </cfRule>
  </conditionalFormatting>
  <conditionalFormatting sqref="R534">
    <cfRule type="expression" dxfId="49" priority="56">
      <formula>R534=#REF!</formula>
    </cfRule>
  </conditionalFormatting>
  <conditionalFormatting sqref="W536">
    <cfRule type="expression" dxfId="48" priority="55">
      <formula>W536=#REF!</formula>
    </cfRule>
  </conditionalFormatting>
  <conditionalFormatting sqref="M536:Q536">
    <cfRule type="expression" dxfId="47" priority="54">
      <formula>M536=#REF!</formula>
    </cfRule>
  </conditionalFormatting>
  <conditionalFormatting sqref="R536">
    <cfRule type="expression" dxfId="46" priority="53">
      <formula>R536=#REF!</formula>
    </cfRule>
  </conditionalFormatting>
  <conditionalFormatting sqref="W545">
    <cfRule type="expression" dxfId="45" priority="52">
      <formula>W545=#REF!</formula>
    </cfRule>
  </conditionalFormatting>
  <conditionalFormatting sqref="M545:Q545">
    <cfRule type="expression" dxfId="44" priority="51">
      <formula>M545=#REF!</formula>
    </cfRule>
  </conditionalFormatting>
  <conditionalFormatting sqref="R545">
    <cfRule type="expression" dxfId="43" priority="50">
      <formula>R545=#REF!</formula>
    </cfRule>
  </conditionalFormatting>
  <conditionalFormatting sqref="W548">
    <cfRule type="expression" dxfId="42" priority="49">
      <formula>W548=#REF!</formula>
    </cfRule>
  </conditionalFormatting>
  <conditionalFormatting sqref="M548:Q548">
    <cfRule type="expression" dxfId="41" priority="48">
      <formula>M548=#REF!</formula>
    </cfRule>
  </conditionalFormatting>
  <conditionalFormatting sqref="R548">
    <cfRule type="expression" dxfId="40" priority="47">
      <formula>R548=#REF!</formula>
    </cfRule>
  </conditionalFormatting>
  <conditionalFormatting sqref="W551:W553">
    <cfRule type="expression" dxfId="39" priority="46">
      <formula>W551=#REF!</formula>
    </cfRule>
  </conditionalFormatting>
  <conditionalFormatting sqref="M551:Q553">
    <cfRule type="expression" dxfId="38" priority="45">
      <formula>M551=#REF!</formula>
    </cfRule>
  </conditionalFormatting>
  <conditionalFormatting sqref="R551:R553">
    <cfRule type="expression" dxfId="37" priority="44">
      <formula>R551=#REF!</formula>
    </cfRule>
  </conditionalFormatting>
  <conditionalFormatting sqref="M988:Q994">
    <cfRule type="expression" dxfId="12" priority="13">
      <formula>M988=#REF!</formula>
    </cfRule>
  </conditionalFormatting>
  <conditionalFormatting sqref="R988:R994">
    <cfRule type="expression" dxfId="11" priority="12">
      <formula>R988=#REF!</formula>
    </cfRule>
  </conditionalFormatting>
  <conditionalFormatting sqref="BN939">
    <cfRule type="expression" dxfId="10" priority="10">
      <formula>BN939=#REF!</formula>
    </cfRule>
  </conditionalFormatting>
  <conditionalFormatting sqref="BN969">
    <cfRule type="expression" dxfId="9" priority="11">
      <formula>BN969=#REF!</formula>
    </cfRule>
  </conditionalFormatting>
  <conditionalFormatting sqref="BN932">
    <cfRule type="expression" dxfId="8" priority="9">
      <formula>BN932=#REF!</formula>
    </cfRule>
  </conditionalFormatting>
  <conditionalFormatting sqref="BN903:BN909">
    <cfRule type="expression" dxfId="7" priority="8">
      <formula>BN903=#REF!</formula>
    </cfRule>
  </conditionalFormatting>
  <conditionalFormatting sqref="BN931">
    <cfRule type="expression" dxfId="6" priority="7">
      <formula>BN931=#REF!</formula>
    </cfRule>
  </conditionalFormatting>
  <conditionalFormatting sqref="BN740">
    <cfRule type="expression" dxfId="5" priority="6">
      <formula>BN740=#REF!</formula>
    </cfRule>
  </conditionalFormatting>
  <conditionalFormatting sqref="M616:N616">
    <cfRule type="expression" dxfId="4" priority="5">
      <formula>M616=#REF!</formula>
    </cfRule>
  </conditionalFormatting>
  <conditionalFormatting sqref="M691:N691">
    <cfRule type="expression" dxfId="3" priority="4">
      <formula>M691=#REF!</formula>
    </cfRule>
  </conditionalFormatting>
  <conditionalFormatting sqref="M599">
    <cfRule type="expression" dxfId="2" priority="3">
      <formula>M599=#REF!</formula>
    </cfRule>
  </conditionalFormatting>
  <conditionalFormatting sqref="R599">
    <cfRule type="expression" dxfId="1" priority="2">
      <formula>R599=#REF!</formula>
    </cfRule>
  </conditionalFormatting>
  <conditionalFormatting sqref="Q599">
    <cfRule type="expression" dxfId="0" priority="1">
      <formula>Q599=#REF!</formula>
    </cfRule>
  </conditionalFormatting>
  <pageMargins left="0.39370078740157483" right="0.15748031496062992" top="0.43307086614173229" bottom="0.51181102362204722" header="0.31496062992125984" footer="0.31496062992125984"/>
  <pageSetup paperSize="8" scale="96" orientation="landscape" r:id="rId1"/>
  <headerFooter alignWithMargins="0">
    <oddFooter>&amp;L&amp;Z&amp;F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AC33"/>
  <sheetViews>
    <sheetView topLeftCell="A4" workbookViewId="0">
      <selection activeCell="E16" sqref="E16"/>
    </sheetView>
  </sheetViews>
  <sheetFormatPr defaultRowHeight="12.75"/>
  <cols>
    <col min="1" max="2" width="17.5703125" customWidth="1"/>
    <col min="3" max="3" width="14.5703125" customWidth="1"/>
    <col min="4" max="4" width="16" style="9" customWidth="1"/>
    <col min="5" max="5" width="6.140625" style="12" customWidth="1"/>
    <col min="6" max="7" width="5.28515625" style="12" customWidth="1"/>
    <col min="8" max="8" width="4.5703125" style="12" customWidth="1"/>
    <col min="9" max="9" width="3" style="12" customWidth="1"/>
    <col min="10" max="10" width="4" style="12" customWidth="1"/>
    <col min="11" max="11" width="4.42578125" style="12" customWidth="1"/>
    <col min="12" max="12" width="3.85546875" style="12" customWidth="1"/>
    <col min="13" max="14" width="3.5703125" style="12" customWidth="1"/>
    <col min="15" max="15" width="3.7109375" style="12" customWidth="1"/>
    <col min="16" max="16" width="6.7109375" style="12" customWidth="1"/>
    <col min="17" max="17" width="8.85546875" style="12" customWidth="1"/>
    <col min="18" max="18" width="6" style="12" customWidth="1"/>
    <col min="19" max="24" width="6.85546875" style="12" customWidth="1"/>
    <col min="25" max="26" width="9.140625" customWidth="1"/>
    <col min="28" max="28" width="14.85546875" bestFit="1" customWidth="1"/>
    <col min="29" max="29" width="14.42578125" customWidth="1"/>
  </cols>
  <sheetData>
    <row r="1" spans="1:29" ht="45">
      <c r="A1" s="7" t="s">
        <v>987</v>
      </c>
      <c r="B1" s="7" t="s">
        <v>1019</v>
      </c>
      <c r="C1" s="8" t="s">
        <v>989</v>
      </c>
      <c r="D1" s="8" t="s">
        <v>1004</v>
      </c>
      <c r="E1" s="3" t="s">
        <v>801</v>
      </c>
      <c r="F1" s="3" t="s">
        <v>802</v>
      </c>
      <c r="G1" s="3" t="s">
        <v>812</v>
      </c>
      <c r="H1" s="3" t="s">
        <v>813</v>
      </c>
      <c r="I1" s="3" t="s">
        <v>803</v>
      </c>
      <c r="J1" s="3" t="s">
        <v>804</v>
      </c>
      <c r="K1" s="3" t="s">
        <v>805</v>
      </c>
      <c r="L1" s="3" t="s">
        <v>806</v>
      </c>
      <c r="M1" s="3" t="s">
        <v>807</v>
      </c>
      <c r="N1" s="3" t="s">
        <v>808</v>
      </c>
      <c r="O1" s="3" t="s">
        <v>809</v>
      </c>
      <c r="P1" s="3" t="s">
        <v>810</v>
      </c>
      <c r="Q1" s="3" t="s">
        <v>822</v>
      </c>
      <c r="R1" s="3" t="s">
        <v>811</v>
      </c>
      <c r="S1" s="3" t="s">
        <v>816</v>
      </c>
      <c r="T1" s="3" t="s">
        <v>817</v>
      </c>
      <c r="U1" s="3" t="s">
        <v>818</v>
      </c>
      <c r="V1" s="3" t="s">
        <v>819</v>
      </c>
      <c r="W1" s="3" t="s">
        <v>820</v>
      </c>
      <c r="X1" s="3" t="s">
        <v>821</v>
      </c>
      <c r="Y1" s="2" t="s">
        <v>1020</v>
      </c>
      <c r="Z1" s="2" t="s">
        <v>1023</v>
      </c>
      <c r="AB1" s="14" t="s">
        <v>1018</v>
      </c>
      <c r="AC1" s="14" t="s">
        <v>1022</v>
      </c>
    </row>
    <row r="2" spans="1:29">
      <c r="A2" s="5" t="s">
        <v>776</v>
      </c>
      <c r="B2" s="5"/>
      <c r="C2" s="1"/>
      <c r="D2" s="9">
        <f>2500*12</f>
        <v>30000</v>
      </c>
      <c r="E2" s="12" t="s">
        <v>731</v>
      </c>
      <c r="F2" s="12" t="s">
        <v>731</v>
      </c>
      <c r="G2" s="12" t="s">
        <v>731</v>
      </c>
      <c r="I2" s="12" t="s">
        <v>731</v>
      </c>
      <c r="J2" s="12" t="s">
        <v>731</v>
      </c>
      <c r="K2" s="12" t="s">
        <v>731</v>
      </c>
      <c r="L2" s="12" t="s">
        <v>731</v>
      </c>
      <c r="M2" s="12" t="s">
        <v>731</v>
      </c>
      <c r="N2" s="12" t="s">
        <v>731</v>
      </c>
      <c r="Z2">
        <v>1</v>
      </c>
      <c r="AB2" s="32">
        <f t="shared" ref="AB2:AB23" si="0">(C2+D2)*(Y2+Z2)</f>
        <v>30000</v>
      </c>
    </row>
    <row r="3" spans="1:29" ht="22.5">
      <c r="A3" s="5" t="s">
        <v>780</v>
      </c>
      <c r="B3" s="5"/>
      <c r="D3" s="9">
        <v>45000</v>
      </c>
      <c r="E3" s="12" t="s">
        <v>731</v>
      </c>
      <c r="F3" s="12" t="s">
        <v>731</v>
      </c>
      <c r="G3" s="12" t="s">
        <v>731</v>
      </c>
      <c r="I3" s="12" t="s">
        <v>731</v>
      </c>
      <c r="J3" s="12" t="s">
        <v>731</v>
      </c>
      <c r="K3" s="12" t="s">
        <v>731</v>
      </c>
      <c r="L3" s="12" t="s">
        <v>731</v>
      </c>
      <c r="M3" s="12" t="s">
        <v>731</v>
      </c>
      <c r="N3" s="12" t="s">
        <v>731</v>
      </c>
      <c r="Z3">
        <v>1</v>
      </c>
      <c r="AB3" s="32">
        <f t="shared" si="0"/>
        <v>45000</v>
      </c>
    </row>
    <row r="4" spans="1:29">
      <c r="A4" s="10" t="s">
        <v>730</v>
      </c>
      <c r="B4" s="10"/>
      <c r="C4" s="9">
        <v>350</v>
      </c>
      <c r="F4" s="4" t="s">
        <v>731</v>
      </c>
      <c r="G4" s="4"/>
      <c r="H4" s="4"/>
      <c r="I4" s="4"/>
      <c r="J4" s="4"/>
      <c r="K4" s="4"/>
      <c r="L4" s="4"/>
      <c r="M4" s="4"/>
      <c r="N4" s="4"/>
      <c r="O4" s="4" t="s">
        <v>731</v>
      </c>
      <c r="U4" s="12" t="e">
        <f>SUM('Extraurbano '!#REF!)</f>
        <v>#REF!</v>
      </c>
      <c r="Y4">
        <v>13</v>
      </c>
      <c r="AB4" s="32">
        <f t="shared" si="0"/>
        <v>4550</v>
      </c>
    </row>
    <row r="5" spans="1:29" ht="45">
      <c r="A5" s="5" t="s">
        <v>729</v>
      </c>
      <c r="B5" s="5"/>
      <c r="D5" s="9">
        <v>39000</v>
      </c>
      <c r="E5" s="12" t="s">
        <v>731</v>
      </c>
      <c r="F5" s="12" t="s">
        <v>731</v>
      </c>
      <c r="G5" s="12" t="s">
        <v>731</v>
      </c>
      <c r="I5" s="12" t="s">
        <v>731</v>
      </c>
      <c r="J5" s="12" t="s">
        <v>731</v>
      </c>
      <c r="K5" s="12" t="s">
        <v>731</v>
      </c>
      <c r="L5" s="12" t="s">
        <v>731</v>
      </c>
      <c r="M5" s="12" t="s">
        <v>731</v>
      </c>
      <c r="N5" s="12" t="s">
        <v>731</v>
      </c>
      <c r="Z5">
        <v>1</v>
      </c>
      <c r="AB5" s="32">
        <f t="shared" si="0"/>
        <v>39000</v>
      </c>
    </row>
    <row r="6" spans="1:29">
      <c r="A6" s="5" t="s">
        <v>1002</v>
      </c>
      <c r="B6" s="5"/>
      <c r="C6" s="9">
        <v>220</v>
      </c>
      <c r="E6" s="4" t="s">
        <v>731</v>
      </c>
      <c r="F6" s="4" t="s">
        <v>731</v>
      </c>
      <c r="G6" s="4" t="s">
        <v>731</v>
      </c>
      <c r="H6" s="4"/>
      <c r="I6" s="4" t="s">
        <v>731</v>
      </c>
      <c r="J6" s="4" t="s">
        <v>731</v>
      </c>
      <c r="K6" s="4" t="s">
        <v>731</v>
      </c>
      <c r="L6" s="4" t="s">
        <v>731</v>
      </c>
      <c r="M6" s="4" t="s">
        <v>731</v>
      </c>
      <c r="N6" s="4"/>
      <c r="Y6" s="33">
        <f>245</f>
        <v>245</v>
      </c>
      <c r="AB6" s="32">
        <f t="shared" si="0"/>
        <v>53900</v>
      </c>
    </row>
    <row r="7" spans="1:29">
      <c r="A7" s="10" t="s">
        <v>1003</v>
      </c>
      <c r="B7" s="10"/>
      <c r="C7" s="9">
        <v>165</v>
      </c>
      <c r="E7" s="34"/>
      <c r="F7" s="34" t="s">
        <v>731</v>
      </c>
      <c r="G7" s="34" t="s">
        <v>731</v>
      </c>
      <c r="H7" s="34"/>
      <c r="I7" s="34" t="s">
        <v>731</v>
      </c>
      <c r="J7" s="34" t="s">
        <v>731</v>
      </c>
      <c r="K7" s="34" t="s">
        <v>731</v>
      </c>
      <c r="L7" s="34" t="s">
        <v>731</v>
      </c>
      <c r="M7" s="34" t="s">
        <v>731</v>
      </c>
      <c r="N7" s="34" t="s">
        <v>731</v>
      </c>
      <c r="Y7" s="35">
        <v>67</v>
      </c>
      <c r="AB7" s="32">
        <f t="shared" si="0"/>
        <v>11055</v>
      </c>
    </row>
    <row r="8" spans="1:29">
      <c r="A8" s="10" t="s">
        <v>1173</v>
      </c>
      <c r="B8" s="10"/>
      <c r="C8" s="9">
        <v>165</v>
      </c>
      <c r="E8" s="36" t="s">
        <v>731</v>
      </c>
      <c r="F8" s="34"/>
      <c r="G8" s="34"/>
      <c r="H8" s="34"/>
      <c r="I8" s="34"/>
      <c r="J8" s="34"/>
      <c r="K8" s="34"/>
      <c r="L8" s="34"/>
      <c r="M8" s="34"/>
      <c r="N8" s="34"/>
      <c r="S8" s="6" t="s">
        <v>731</v>
      </c>
      <c r="T8" s="6" t="s">
        <v>731</v>
      </c>
      <c r="V8" s="6" t="s">
        <v>731</v>
      </c>
      <c r="W8" s="6" t="s">
        <v>731</v>
      </c>
      <c r="X8" s="6" t="s">
        <v>731</v>
      </c>
      <c r="Y8" s="35">
        <v>29</v>
      </c>
      <c r="AB8" s="32">
        <f t="shared" si="0"/>
        <v>4785</v>
      </c>
    </row>
    <row r="9" spans="1:29">
      <c r="A9" s="10" t="s">
        <v>1174</v>
      </c>
      <c r="B9" s="10"/>
      <c r="C9" s="37">
        <f>C7+C6</f>
        <v>385</v>
      </c>
      <c r="E9" s="34"/>
      <c r="F9" s="34"/>
      <c r="G9" s="34"/>
      <c r="H9" s="36" t="s">
        <v>731</v>
      </c>
      <c r="I9" s="34"/>
      <c r="J9" s="34"/>
      <c r="K9" s="34"/>
      <c r="L9" s="34"/>
      <c r="M9" s="34"/>
      <c r="N9" s="36" t="s">
        <v>731</v>
      </c>
      <c r="Y9" s="35">
        <v>34</v>
      </c>
      <c r="AB9" s="32">
        <f t="shared" si="0"/>
        <v>13090</v>
      </c>
    </row>
    <row r="10" spans="1:29">
      <c r="A10" s="5" t="s">
        <v>716</v>
      </c>
      <c r="B10" s="5"/>
      <c r="C10" s="9">
        <v>220</v>
      </c>
      <c r="E10" s="34" t="s">
        <v>731</v>
      </c>
      <c r="F10" s="34" t="s">
        <v>731</v>
      </c>
      <c r="G10" s="34" t="s">
        <v>731</v>
      </c>
      <c r="H10" s="34"/>
      <c r="I10" s="34" t="s">
        <v>731</v>
      </c>
      <c r="J10" s="34" t="s">
        <v>731</v>
      </c>
      <c r="K10" s="34" t="s">
        <v>731</v>
      </c>
      <c r="L10" s="34" t="s">
        <v>731</v>
      </c>
      <c r="M10" s="34" t="s">
        <v>731</v>
      </c>
      <c r="N10" s="34" t="s">
        <v>731</v>
      </c>
      <c r="Y10">
        <f>240+67</f>
        <v>307</v>
      </c>
      <c r="AB10" s="32">
        <f t="shared" si="0"/>
        <v>67540</v>
      </c>
    </row>
    <row r="11" spans="1:29" ht="22.5">
      <c r="A11" s="10" t="s">
        <v>735</v>
      </c>
      <c r="B11" s="10"/>
      <c r="D11" s="37">
        <v>30000</v>
      </c>
      <c r="E11" s="12" t="s">
        <v>731</v>
      </c>
      <c r="G11" s="12" t="s">
        <v>731</v>
      </c>
      <c r="I11" s="12" t="s">
        <v>731</v>
      </c>
      <c r="J11" s="12" t="s">
        <v>731</v>
      </c>
      <c r="K11" s="12" t="s">
        <v>731</v>
      </c>
      <c r="L11" s="12" t="s">
        <v>731</v>
      </c>
      <c r="M11" s="12" t="s">
        <v>731</v>
      </c>
      <c r="N11" s="12" t="s">
        <v>731</v>
      </c>
      <c r="U11" s="12">
        <v>524859.14</v>
      </c>
      <c r="Z11">
        <v>1</v>
      </c>
      <c r="AB11" s="32">
        <f t="shared" si="0"/>
        <v>30000</v>
      </c>
    </row>
    <row r="12" spans="1:29" ht="22.5">
      <c r="A12" s="10" t="s">
        <v>1005</v>
      </c>
      <c r="B12" s="10"/>
      <c r="D12" s="37">
        <v>30000</v>
      </c>
      <c r="H12" s="4" t="s">
        <v>731</v>
      </c>
      <c r="I12" s="4" t="s">
        <v>731</v>
      </c>
      <c r="J12" s="4" t="s">
        <v>731</v>
      </c>
      <c r="K12" s="4" t="s">
        <v>731</v>
      </c>
      <c r="L12" s="4" t="s">
        <v>731</v>
      </c>
      <c r="M12" s="4" t="s">
        <v>731</v>
      </c>
      <c r="N12" s="4" t="s">
        <v>731</v>
      </c>
      <c r="Z12">
        <v>1</v>
      </c>
      <c r="AB12" s="32">
        <f t="shared" si="0"/>
        <v>30000</v>
      </c>
    </row>
    <row r="13" spans="1:29" ht="22.5">
      <c r="A13" s="10" t="s">
        <v>1006</v>
      </c>
      <c r="B13" s="10"/>
      <c r="D13" s="37">
        <v>30000</v>
      </c>
      <c r="H13" s="4" t="s">
        <v>731</v>
      </c>
      <c r="I13" s="4" t="s">
        <v>731</v>
      </c>
      <c r="J13" s="4" t="s">
        <v>731</v>
      </c>
      <c r="K13" s="4" t="s">
        <v>731</v>
      </c>
      <c r="L13" s="4" t="s">
        <v>731</v>
      </c>
      <c r="M13" s="4" t="s">
        <v>731</v>
      </c>
      <c r="N13" s="4" t="s">
        <v>731</v>
      </c>
      <c r="Z13">
        <v>1</v>
      </c>
      <c r="AB13" s="32">
        <f t="shared" si="0"/>
        <v>30000</v>
      </c>
    </row>
    <row r="14" spans="1:29">
      <c r="A14" s="5" t="s">
        <v>1007</v>
      </c>
      <c r="B14" s="5"/>
      <c r="C14" s="9">
        <v>350</v>
      </c>
      <c r="F14" s="4" t="s">
        <v>731</v>
      </c>
      <c r="G14" s="4"/>
      <c r="H14" s="4"/>
      <c r="I14" s="4"/>
      <c r="J14" s="4"/>
      <c r="K14" s="4"/>
      <c r="L14" s="4"/>
      <c r="M14" s="4"/>
      <c r="N14" s="4"/>
      <c r="O14" s="4" t="s">
        <v>731</v>
      </c>
      <c r="Y14">
        <v>13</v>
      </c>
      <c r="AB14" s="32">
        <f t="shared" si="0"/>
        <v>4550</v>
      </c>
    </row>
    <row r="15" spans="1:29">
      <c r="A15" s="5" t="s">
        <v>1008</v>
      </c>
      <c r="B15" s="5"/>
      <c r="C15" s="9">
        <v>350</v>
      </c>
      <c r="F15" s="4" t="s">
        <v>731</v>
      </c>
      <c r="G15" s="4"/>
      <c r="H15" s="4"/>
      <c r="I15" s="4"/>
      <c r="J15" s="4"/>
      <c r="K15" s="4"/>
      <c r="L15" s="4"/>
      <c r="M15" s="4"/>
      <c r="N15" s="4"/>
      <c r="O15" s="4" t="s">
        <v>731</v>
      </c>
      <c r="Y15">
        <v>13</v>
      </c>
      <c r="AB15" s="32">
        <f t="shared" si="0"/>
        <v>4550</v>
      </c>
    </row>
    <row r="16" spans="1:29">
      <c r="A16" s="5" t="s">
        <v>1009</v>
      </c>
      <c r="B16" s="5"/>
      <c r="C16" s="9">
        <v>350</v>
      </c>
      <c r="F16" s="4" t="s">
        <v>731</v>
      </c>
      <c r="G16" s="4"/>
      <c r="H16" s="4"/>
      <c r="I16" s="4"/>
      <c r="J16" s="4"/>
      <c r="K16" s="4"/>
      <c r="L16" s="4"/>
      <c r="M16" s="4"/>
      <c r="N16" s="4"/>
      <c r="O16" s="4" t="s">
        <v>731</v>
      </c>
      <c r="Y16">
        <v>13</v>
      </c>
      <c r="AB16" s="32">
        <f t="shared" si="0"/>
        <v>4550</v>
      </c>
    </row>
    <row r="17" spans="1:29">
      <c r="A17" s="5" t="s">
        <v>1010</v>
      </c>
      <c r="B17" s="5"/>
      <c r="C17" s="9">
        <v>220</v>
      </c>
      <c r="F17" s="12" t="s">
        <v>731</v>
      </c>
      <c r="G17" s="12" t="s">
        <v>731</v>
      </c>
      <c r="I17" s="12" t="s">
        <v>731</v>
      </c>
      <c r="J17" s="12" t="s">
        <v>731</v>
      </c>
      <c r="K17" s="12" t="s">
        <v>731</v>
      </c>
      <c r="L17" s="12" t="s">
        <v>731</v>
      </c>
      <c r="M17" s="12" t="s">
        <v>731</v>
      </c>
      <c r="N17" s="12" t="s">
        <v>731</v>
      </c>
      <c r="Y17" s="35">
        <v>67</v>
      </c>
      <c r="AB17" s="32">
        <f t="shared" si="0"/>
        <v>14740</v>
      </c>
    </row>
    <row r="18" spans="1:29" ht="22.5">
      <c r="A18" s="10" t="s">
        <v>717</v>
      </c>
      <c r="B18" s="10"/>
      <c r="C18" s="9">
        <v>400</v>
      </c>
      <c r="E18" s="4" t="s">
        <v>731</v>
      </c>
      <c r="F18" s="4" t="s">
        <v>731</v>
      </c>
      <c r="G18" s="4" t="s">
        <v>731</v>
      </c>
      <c r="H18" s="4"/>
      <c r="I18" s="4" t="s">
        <v>731</v>
      </c>
      <c r="J18" s="4" t="s">
        <v>731</v>
      </c>
      <c r="K18" s="4" t="s">
        <v>731</v>
      </c>
      <c r="L18" s="4" t="s">
        <v>731</v>
      </c>
      <c r="M18" s="4" t="s">
        <v>731</v>
      </c>
      <c r="Y18">
        <v>245</v>
      </c>
      <c r="AB18" s="32">
        <f t="shared" si="0"/>
        <v>98000</v>
      </c>
    </row>
    <row r="19" spans="1:29" ht="22.5">
      <c r="A19" s="5" t="s">
        <v>1011</v>
      </c>
      <c r="B19" s="5"/>
      <c r="C19" s="9">
        <v>220</v>
      </c>
      <c r="E19" s="12" t="s">
        <v>731</v>
      </c>
      <c r="G19" s="12" t="s">
        <v>731</v>
      </c>
      <c r="X19" s="6" t="s">
        <v>731</v>
      </c>
      <c r="Y19" s="15">
        <f>38</f>
        <v>38</v>
      </c>
      <c r="AB19" s="32">
        <f t="shared" si="0"/>
        <v>8360</v>
      </c>
    </row>
    <row r="20" spans="1:29" ht="22.5">
      <c r="A20" s="5" t="s">
        <v>1012</v>
      </c>
      <c r="B20" s="5"/>
      <c r="C20" s="9">
        <v>220</v>
      </c>
      <c r="E20" s="12" t="s">
        <v>731</v>
      </c>
      <c r="G20" s="12" t="s">
        <v>731</v>
      </c>
      <c r="I20" s="12" t="s">
        <v>731</v>
      </c>
      <c r="J20" s="12" t="s">
        <v>731</v>
      </c>
      <c r="K20" s="12" t="s">
        <v>731</v>
      </c>
      <c r="L20" s="12" t="s">
        <v>731</v>
      </c>
      <c r="M20" s="12" t="s">
        <v>731</v>
      </c>
      <c r="N20" s="12" t="s">
        <v>731</v>
      </c>
      <c r="Y20">
        <v>240</v>
      </c>
      <c r="AB20" s="32">
        <f t="shared" si="0"/>
        <v>52800</v>
      </c>
    </row>
    <row r="21" spans="1:29">
      <c r="A21" s="5" t="s">
        <v>756</v>
      </c>
      <c r="B21" s="5"/>
      <c r="C21" s="9">
        <v>350</v>
      </c>
      <c r="F21" s="6" t="s">
        <v>731</v>
      </c>
      <c r="O21" s="6" t="s">
        <v>731</v>
      </c>
      <c r="Y21">
        <v>13</v>
      </c>
      <c r="AB21" s="32">
        <f t="shared" si="0"/>
        <v>4550</v>
      </c>
    </row>
    <row r="22" spans="1:29">
      <c r="A22" s="10" t="s">
        <v>722</v>
      </c>
      <c r="B22" s="10"/>
      <c r="C22" s="9">
        <v>165</v>
      </c>
      <c r="H22" s="4" t="s">
        <v>731</v>
      </c>
      <c r="I22" s="4" t="s">
        <v>731</v>
      </c>
      <c r="J22" s="4" t="s">
        <v>731</v>
      </c>
      <c r="K22" s="4" t="s">
        <v>731</v>
      </c>
      <c r="L22" s="4" t="s">
        <v>731</v>
      </c>
      <c r="M22" s="4" t="s">
        <v>731</v>
      </c>
      <c r="N22" s="4" t="s">
        <v>731</v>
      </c>
      <c r="Y22">
        <v>208</v>
      </c>
      <c r="AB22" s="32">
        <f t="shared" si="0"/>
        <v>34320</v>
      </c>
    </row>
    <row r="23" spans="1:29" ht="22.5">
      <c r="A23" s="10" t="s">
        <v>779</v>
      </c>
      <c r="B23" s="10"/>
      <c r="C23" s="9"/>
      <c r="D23" s="9">
        <v>20000</v>
      </c>
      <c r="E23" s="6" t="s">
        <v>731</v>
      </c>
      <c r="F23" s="6" t="s">
        <v>731</v>
      </c>
      <c r="O23" s="6" t="s">
        <v>731</v>
      </c>
      <c r="Z23">
        <v>1</v>
      </c>
      <c r="AB23" s="32">
        <f t="shared" si="0"/>
        <v>20000</v>
      </c>
    </row>
    <row r="24" spans="1:29" ht="22.5">
      <c r="B24" s="11" t="s">
        <v>751</v>
      </c>
      <c r="C24" s="9">
        <v>350</v>
      </c>
      <c r="F24" s="1" t="s">
        <v>731</v>
      </c>
      <c r="G24" s="1" t="s">
        <v>731</v>
      </c>
      <c r="H24" s="1"/>
      <c r="I24" s="1" t="s">
        <v>731</v>
      </c>
      <c r="J24" s="1" t="s">
        <v>731</v>
      </c>
      <c r="K24" s="1" t="s">
        <v>731</v>
      </c>
      <c r="L24" s="1" t="s">
        <v>731</v>
      </c>
      <c r="M24" s="1" t="s">
        <v>731</v>
      </c>
      <c r="N24" s="1" t="s">
        <v>731</v>
      </c>
      <c r="Y24">
        <v>67</v>
      </c>
      <c r="AC24" s="32">
        <f>(C24+D24)*(Y24+Z24)</f>
        <v>23450</v>
      </c>
    </row>
    <row r="25" spans="1:29" ht="22.5">
      <c r="B25" s="5" t="s">
        <v>1014</v>
      </c>
      <c r="C25" s="9">
        <v>400</v>
      </c>
      <c r="F25" s="6" t="s">
        <v>731</v>
      </c>
      <c r="O25" s="6" t="s">
        <v>731</v>
      </c>
      <c r="Y25">
        <v>13</v>
      </c>
      <c r="AC25" s="32">
        <f>(C25+D25)*(Y25+Z25)</f>
        <v>5200</v>
      </c>
    </row>
    <row r="26" spans="1:29" ht="22.5">
      <c r="B26" s="5" t="s">
        <v>1015</v>
      </c>
      <c r="C26" s="9">
        <v>300</v>
      </c>
      <c r="F26" s="1" t="s">
        <v>731</v>
      </c>
      <c r="G26" s="1" t="s">
        <v>731</v>
      </c>
      <c r="H26" s="1"/>
      <c r="I26" s="1" t="s">
        <v>731</v>
      </c>
      <c r="J26" s="1" t="s">
        <v>731</v>
      </c>
      <c r="K26" s="1" t="s">
        <v>731</v>
      </c>
      <c r="L26" s="1" t="s">
        <v>731</v>
      </c>
      <c r="M26" s="1" t="s">
        <v>731</v>
      </c>
      <c r="N26" s="81"/>
      <c r="Y26" s="82">
        <v>55</v>
      </c>
      <c r="AC26" s="32">
        <f>(C26+D26)*(Y26+Z26)</f>
        <v>16500</v>
      </c>
    </row>
    <row r="27" spans="1:29" ht="45">
      <c r="B27" s="11" t="s">
        <v>753</v>
      </c>
      <c r="C27" s="9">
        <v>350</v>
      </c>
      <c r="F27" s="1" t="s">
        <v>731</v>
      </c>
      <c r="G27" s="1" t="s">
        <v>731</v>
      </c>
      <c r="H27" s="1"/>
      <c r="I27" s="1" t="s">
        <v>731</v>
      </c>
      <c r="J27" s="1" t="s">
        <v>731</v>
      </c>
      <c r="K27" s="1" t="s">
        <v>731</v>
      </c>
      <c r="L27" s="1" t="s">
        <v>731</v>
      </c>
      <c r="M27" s="1" t="s">
        <v>731</v>
      </c>
      <c r="N27" s="1" t="s">
        <v>731</v>
      </c>
      <c r="Y27">
        <v>67</v>
      </c>
      <c r="AC27" s="32">
        <f>(C27+D27)*(Y27+Z27)</f>
        <v>23450</v>
      </c>
    </row>
    <row r="28" spans="1:29">
      <c r="B28" s="11" t="s">
        <v>741</v>
      </c>
      <c r="C28" s="9">
        <v>350</v>
      </c>
      <c r="F28" s="1" t="s">
        <v>731</v>
      </c>
      <c r="G28" s="1" t="s">
        <v>731</v>
      </c>
      <c r="H28" s="1"/>
      <c r="I28" s="1" t="s">
        <v>731</v>
      </c>
      <c r="J28" s="1" t="s">
        <v>731</v>
      </c>
      <c r="K28" s="1" t="s">
        <v>731</v>
      </c>
      <c r="L28" s="1" t="s">
        <v>731</v>
      </c>
      <c r="M28" s="1" t="s">
        <v>731</v>
      </c>
      <c r="N28" s="1" t="s">
        <v>731</v>
      </c>
      <c r="Y28">
        <v>67</v>
      </c>
      <c r="AC28" s="32">
        <f>(C28+D28)*(Y28+Z28)</f>
        <v>23450</v>
      </c>
    </row>
    <row r="30" spans="1:29">
      <c r="AB30" s="13">
        <f>SUM(AB2:AB29)</f>
        <v>605340</v>
      </c>
      <c r="AC30" s="13">
        <f>SUM(AC24:AC29)</f>
        <v>92050</v>
      </c>
    </row>
    <row r="33" spans="27:28">
      <c r="AA33" s="56" t="s">
        <v>1208</v>
      </c>
      <c r="AB33" s="57">
        <f>AB30+AC30</f>
        <v>697390</v>
      </c>
    </row>
  </sheetData>
  <autoFilter ref="A1:E2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pageSetUpPr fitToPage="1"/>
  </sheetPr>
  <dimension ref="A1:AQ32"/>
  <sheetViews>
    <sheetView zoomScale="80" zoomScaleNormal="80" workbookViewId="0">
      <selection activeCell="D31" sqref="D31"/>
    </sheetView>
  </sheetViews>
  <sheetFormatPr defaultRowHeight="12.75"/>
  <cols>
    <col min="1" max="1" width="15.28515625" customWidth="1"/>
    <col min="2" max="2" width="16.140625" customWidth="1"/>
    <col min="3" max="4" width="15.140625" style="9" customWidth="1"/>
    <col min="17" max="17" width="6.140625" bestFit="1" customWidth="1"/>
    <col min="18" max="18" width="5.28515625" customWidth="1"/>
    <col min="19" max="19" width="3" customWidth="1"/>
    <col min="20" max="20" width="3.85546875" customWidth="1"/>
    <col min="21" max="21" width="3" customWidth="1"/>
    <col min="22" max="22" width="4" customWidth="1"/>
    <col min="23" max="23" width="4.42578125" customWidth="1"/>
    <col min="24" max="24" width="3.85546875" customWidth="1"/>
    <col min="25" max="26" width="3.5703125" customWidth="1"/>
    <col min="27" max="27" width="3.7109375" customWidth="1"/>
    <col min="28" max="28" width="6.7109375" customWidth="1"/>
    <col min="29" max="29" width="8.85546875" customWidth="1"/>
    <col min="30" max="30" width="6" customWidth="1"/>
    <col min="31" max="36" width="6.85546875" customWidth="1"/>
    <col min="39" max="39" width="15.7109375" customWidth="1"/>
    <col min="40" max="40" width="13.7109375" customWidth="1"/>
  </cols>
  <sheetData>
    <row r="1" spans="1:43" ht="22.5">
      <c r="A1" s="7" t="s">
        <v>715</v>
      </c>
      <c r="B1" s="8" t="s">
        <v>1025</v>
      </c>
      <c r="C1" s="8" t="s">
        <v>1026</v>
      </c>
      <c r="D1" s="8" t="s">
        <v>1205</v>
      </c>
      <c r="E1" s="7" t="s">
        <v>990</v>
      </c>
      <c r="F1" s="7" t="s">
        <v>991</v>
      </c>
      <c r="G1" s="7" t="s">
        <v>992</v>
      </c>
      <c r="H1" s="7" t="s">
        <v>993</v>
      </c>
      <c r="I1" s="7" t="s">
        <v>994</v>
      </c>
      <c r="J1" s="7" t="s">
        <v>995</v>
      </c>
      <c r="K1" s="7" t="s">
        <v>996</v>
      </c>
      <c r="L1" s="7" t="s">
        <v>997</v>
      </c>
      <c r="M1" s="7" t="s">
        <v>998</v>
      </c>
      <c r="N1" s="7" t="s">
        <v>999</v>
      </c>
      <c r="O1" s="7" t="s">
        <v>1000</v>
      </c>
      <c r="P1" s="7" t="s">
        <v>1001</v>
      </c>
      <c r="Q1" s="2" t="s">
        <v>801</v>
      </c>
      <c r="R1" s="2" t="s">
        <v>802</v>
      </c>
      <c r="S1" s="2" t="s">
        <v>812</v>
      </c>
      <c r="T1" s="2" t="s">
        <v>813</v>
      </c>
      <c r="U1" s="2" t="s">
        <v>803</v>
      </c>
      <c r="V1" s="2" t="s">
        <v>804</v>
      </c>
      <c r="W1" s="2" t="s">
        <v>805</v>
      </c>
      <c r="X1" s="2" t="s">
        <v>806</v>
      </c>
      <c r="Y1" s="2" t="s">
        <v>807</v>
      </c>
      <c r="Z1" s="2" t="s">
        <v>808</v>
      </c>
      <c r="AA1" s="2" t="s">
        <v>809</v>
      </c>
      <c r="AB1" s="2" t="s">
        <v>810</v>
      </c>
      <c r="AC1" s="2" t="s">
        <v>822</v>
      </c>
      <c r="AD1" s="2" t="s">
        <v>811</v>
      </c>
      <c r="AE1" s="2" t="s">
        <v>816</v>
      </c>
      <c r="AF1" s="2" t="s">
        <v>817</v>
      </c>
      <c r="AG1" s="2" t="s">
        <v>818</v>
      </c>
      <c r="AH1" s="2" t="s">
        <v>819</v>
      </c>
      <c r="AI1" s="2" t="s">
        <v>820</v>
      </c>
      <c r="AJ1" s="2" t="s">
        <v>821</v>
      </c>
      <c r="AK1" s="2" t="s">
        <v>1020</v>
      </c>
      <c r="AL1" s="2" t="s">
        <v>1021</v>
      </c>
      <c r="AM1" s="2" t="s">
        <v>1024</v>
      </c>
      <c r="AN1" s="2" t="s">
        <v>1027</v>
      </c>
    </row>
    <row r="2" spans="1:43" ht="27" customHeight="1">
      <c r="A2" s="5" t="s">
        <v>776</v>
      </c>
      <c r="B2" s="9">
        <v>103</v>
      </c>
      <c r="E2">
        <v>1</v>
      </c>
      <c r="F2">
        <v>2</v>
      </c>
      <c r="Q2" t="s">
        <v>731</v>
      </c>
      <c r="S2" t="s">
        <v>731</v>
      </c>
      <c r="Z2" t="s">
        <v>731</v>
      </c>
      <c r="AK2">
        <v>38</v>
      </c>
      <c r="AM2" s="16"/>
      <c r="AN2" s="16">
        <f>AK2*B2</f>
        <v>3914</v>
      </c>
    </row>
    <row r="3" spans="1:43" ht="27" customHeight="1">
      <c r="A3" s="10" t="s">
        <v>730</v>
      </c>
      <c r="B3" s="9"/>
      <c r="C3" s="9">
        <v>1191.3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T3" t="s">
        <v>731</v>
      </c>
      <c r="U3" t="s">
        <v>731</v>
      </c>
      <c r="V3" t="s">
        <v>731</v>
      </c>
      <c r="W3" t="s">
        <v>731</v>
      </c>
      <c r="X3" t="s">
        <v>731</v>
      </c>
      <c r="Y3" t="s">
        <v>731</v>
      </c>
      <c r="Z3" t="s">
        <v>731</v>
      </c>
      <c r="AL3">
        <v>10</v>
      </c>
      <c r="AM3" s="16">
        <f>AL3*C3</f>
        <v>11913</v>
      </c>
      <c r="AN3" s="16">
        <f t="shared" ref="AN3:AN9" si="0">AK3*B3</f>
        <v>0</v>
      </c>
    </row>
    <row r="4" spans="1:43" ht="45">
      <c r="A4" s="10" t="s">
        <v>786</v>
      </c>
      <c r="C4" s="9">
        <v>1049.96</v>
      </c>
      <c r="E4">
        <v>13</v>
      </c>
      <c r="F4">
        <v>14</v>
      </c>
      <c r="G4">
        <v>15</v>
      </c>
      <c r="H4">
        <v>16</v>
      </c>
      <c r="I4">
        <v>17</v>
      </c>
      <c r="J4">
        <v>18</v>
      </c>
      <c r="K4">
        <v>19</v>
      </c>
      <c r="L4">
        <v>20</v>
      </c>
      <c r="M4">
        <v>21</v>
      </c>
      <c r="N4">
        <v>22</v>
      </c>
      <c r="O4">
        <v>23</v>
      </c>
      <c r="T4" t="s">
        <v>731</v>
      </c>
      <c r="U4" t="e">
        <f>SUM('Extraurbano '!#REF!)</f>
        <v>#REF!</v>
      </c>
      <c r="V4" t="s">
        <v>731</v>
      </c>
      <c r="W4" t="s">
        <v>731</v>
      </c>
      <c r="X4" t="s">
        <v>731</v>
      </c>
      <c r="Y4" t="s">
        <v>731</v>
      </c>
      <c r="Z4" t="s">
        <v>731</v>
      </c>
      <c r="AL4">
        <v>10</v>
      </c>
      <c r="AM4" s="16">
        <f>AL4*C4</f>
        <v>10499.6</v>
      </c>
      <c r="AN4" s="16"/>
    </row>
    <row r="5" spans="1:43" ht="33.75">
      <c r="A5" s="10" t="s">
        <v>733</v>
      </c>
      <c r="B5" s="9">
        <v>20.8</v>
      </c>
      <c r="E5">
        <v>24</v>
      </c>
      <c r="F5">
        <v>25</v>
      </c>
      <c r="G5">
        <v>26</v>
      </c>
      <c r="H5">
        <v>27</v>
      </c>
      <c r="I5">
        <v>28</v>
      </c>
      <c r="J5">
        <v>29</v>
      </c>
      <c r="K5">
        <v>30</v>
      </c>
      <c r="L5">
        <v>31</v>
      </c>
      <c r="R5" t="s">
        <v>731</v>
      </c>
      <c r="S5" t="s">
        <v>731</v>
      </c>
      <c r="U5" t="s">
        <v>731</v>
      </c>
      <c r="V5" t="s">
        <v>731</v>
      </c>
      <c r="W5" t="s">
        <v>731</v>
      </c>
      <c r="X5" t="s">
        <v>731</v>
      </c>
      <c r="Y5" t="s">
        <v>731</v>
      </c>
      <c r="AK5">
        <v>55</v>
      </c>
      <c r="AM5" s="16"/>
      <c r="AN5" s="16">
        <f t="shared" si="0"/>
        <v>1144</v>
      </c>
    </row>
    <row r="6" spans="1:43" ht="33.75">
      <c r="A6" s="10" t="s">
        <v>733</v>
      </c>
      <c r="B6" s="9">
        <v>102.5</v>
      </c>
      <c r="E6">
        <v>24</v>
      </c>
      <c r="F6">
        <v>29</v>
      </c>
      <c r="G6">
        <v>30</v>
      </c>
      <c r="R6" t="s">
        <v>731</v>
      </c>
      <c r="S6" t="s">
        <v>731</v>
      </c>
      <c r="Z6" t="s">
        <v>731</v>
      </c>
      <c r="AK6">
        <v>12</v>
      </c>
      <c r="AM6" s="16"/>
      <c r="AN6" s="16">
        <f t="shared" si="0"/>
        <v>1230</v>
      </c>
    </row>
    <row r="7" spans="1:43" ht="22.5">
      <c r="A7" s="10" t="s">
        <v>762</v>
      </c>
      <c r="B7" s="9">
        <v>41.4</v>
      </c>
      <c r="E7">
        <v>32</v>
      </c>
      <c r="F7">
        <v>33</v>
      </c>
      <c r="G7">
        <v>34</v>
      </c>
      <c r="H7">
        <v>36</v>
      </c>
      <c r="I7">
        <v>37</v>
      </c>
      <c r="J7">
        <v>38</v>
      </c>
      <c r="K7">
        <v>39</v>
      </c>
      <c r="L7">
        <v>40</v>
      </c>
      <c r="M7">
        <v>41</v>
      </c>
      <c r="N7">
        <v>42</v>
      </c>
      <c r="O7">
        <v>43</v>
      </c>
      <c r="T7" t="s">
        <v>731</v>
      </c>
      <c r="U7" t="s">
        <v>731</v>
      </c>
      <c r="V7" t="s">
        <v>731</v>
      </c>
      <c r="W7" t="s">
        <v>731</v>
      </c>
      <c r="X7" t="s">
        <v>731</v>
      </c>
      <c r="Y7" t="s">
        <v>731</v>
      </c>
      <c r="AK7">
        <v>174</v>
      </c>
      <c r="AM7" s="16"/>
      <c r="AN7" s="16">
        <f t="shared" si="0"/>
        <v>7203.5999999999995</v>
      </c>
    </row>
    <row r="8" spans="1:43" ht="22.5">
      <c r="A8" s="10" t="s">
        <v>762</v>
      </c>
      <c r="B8" s="9">
        <v>27.6</v>
      </c>
      <c r="E8">
        <v>32</v>
      </c>
      <c r="F8">
        <v>33</v>
      </c>
      <c r="G8">
        <v>35</v>
      </c>
      <c r="H8">
        <v>36</v>
      </c>
      <c r="I8">
        <v>37</v>
      </c>
      <c r="J8">
        <v>38</v>
      </c>
      <c r="K8">
        <v>39</v>
      </c>
      <c r="L8">
        <v>40</v>
      </c>
      <c r="M8">
        <v>41</v>
      </c>
      <c r="N8">
        <v>42</v>
      </c>
      <c r="O8">
        <v>43</v>
      </c>
      <c r="T8" t="s">
        <v>731</v>
      </c>
      <c r="U8">
        <v>43</v>
      </c>
      <c r="Z8" t="s">
        <v>731</v>
      </c>
      <c r="AK8">
        <v>34</v>
      </c>
      <c r="AM8" s="16"/>
      <c r="AN8" s="16">
        <f t="shared" si="0"/>
        <v>938.40000000000009</v>
      </c>
    </row>
    <row r="9" spans="1:43" ht="22.5">
      <c r="A9" s="10" t="s">
        <v>742</v>
      </c>
      <c r="B9" s="60">
        <f>2.6*7</f>
        <v>18.2</v>
      </c>
      <c r="E9">
        <v>44</v>
      </c>
      <c r="T9" t="s">
        <v>731</v>
      </c>
      <c r="U9" t="s">
        <v>731</v>
      </c>
      <c r="V9" t="s">
        <v>731</v>
      </c>
      <c r="W9" t="s">
        <v>731</v>
      </c>
      <c r="X9" t="s">
        <v>731</v>
      </c>
      <c r="Y9" t="s">
        <v>731</v>
      </c>
      <c r="Z9" t="s">
        <v>731</v>
      </c>
      <c r="AK9">
        <v>208</v>
      </c>
      <c r="AM9" s="16"/>
      <c r="AN9" s="16">
        <f t="shared" si="0"/>
        <v>3785.6</v>
      </c>
    </row>
    <row r="10" spans="1:43" ht="33.75">
      <c r="A10" s="10" t="s">
        <v>763</v>
      </c>
      <c r="B10" s="9">
        <v>70</v>
      </c>
      <c r="E10">
        <v>55</v>
      </c>
      <c r="T10" t="s">
        <v>731</v>
      </c>
      <c r="U10" t="s">
        <v>731</v>
      </c>
      <c r="V10" t="s">
        <v>731</v>
      </c>
      <c r="W10" t="s">
        <v>731</v>
      </c>
      <c r="X10" t="s">
        <v>731</v>
      </c>
      <c r="Y10" t="s">
        <v>731</v>
      </c>
      <c r="AK10">
        <v>174</v>
      </c>
      <c r="AM10" s="16">
        <f t="shared" ref="AM10:AM15" si="1">AK10*B10</f>
        <v>12180</v>
      </c>
      <c r="AN10" s="16"/>
    </row>
    <row r="11" spans="1:43">
      <c r="A11" s="10" t="s">
        <v>723</v>
      </c>
      <c r="B11" s="9">
        <v>30</v>
      </c>
      <c r="E11">
        <v>56</v>
      </c>
      <c r="T11" t="s">
        <v>731</v>
      </c>
      <c r="U11">
        <v>524859.14</v>
      </c>
      <c r="V11" t="s">
        <v>731</v>
      </c>
      <c r="W11" t="s">
        <v>731</v>
      </c>
      <c r="X11" t="s">
        <v>731</v>
      </c>
      <c r="Y11" t="s">
        <v>731</v>
      </c>
      <c r="AK11">
        <v>174</v>
      </c>
      <c r="AM11" s="16">
        <f t="shared" si="1"/>
        <v>5220</v>
      </c>
    </row>
    <row r="12" spans="1:43" ht="56.25">
      <c r="A12" s="10" t="s">
        <v>724</v>
      </c>
      <c r="B12" s="9">
        <v>21</v>
      </c>
      <c r="E12">
        <v>57</v>
      </c>
      <c r="T12" t="s">
        <v>731</v>
      </c>
      <c r="V12" t="s">
        <v>731</v>
      </c>
      <c r="W12" t="s">
        <v>731</v>
      </c>
      <c r="AK12">
        <v>70</v>
      </c>
      <c r="AM12" s="16">
        <f t="shared" si="1"/>
        <v>1470</v>
      </c>
    </row>
    <row r="13" spans="1:43" ht="56.25">
      <c r="A13" s="10" t="s">
        <v>753</v>
      </c>
      <c r="B13" s="188">
        <v>180</v>
      </c>
      <c r="E13">
        <v>58</v>
      </c>
      <c r="Q13" t="s">
        <v>731</v>
      </c>
      <c r="S13" t="s">
        <v>731</v>
      </c>
      <c r="Z13" t="s">
        <v>731</v>
      </c>
      <c r="AK13">
        <v>38</v>
      </c>
      <c r="AM13" s="16">
        <f t="shared" si="1"/>
        <v>6840</v>
      </c>
    </row>
    <row r="14" spans="1:43" ht="45">
      <c r="A14" s="30" t="s">
        <v>760</v>
      </c>
      <c r="B14" s="9">
        <v>69</v>
      </c>
      <c r="D14"/>
      <c r="E14" s="75" t="s">
        <v>1996</v>
      </c>
      <c r="AK14" s="216">
        <v>15</v>
      </c>
      <c r="AL14" s="216"/>
      <c r="AM14" s="217">
        <f t="shared" si="1"/>
        <v>1035</v>
      </c>
      <c r="AN14" s="216"/>
      <c r="AO14" s="216" t="s">
        <v>1210</v>
      </c>
      <c r="AP14" s="216"/>
      <c r="AQ14" s="216"/>
    </row>
    <row r="15" spans="1:43">
      <c r="A15" s="30" t="s">
        <v>723</v>
      </c>
      <c r="B15" s="58">
        <v>8</v>
      </c>
      <c r="D15"/>
      <c r="E15" s="75" t="s">
        <v>1996</v>
      </c>
      <c r="AK15" s="216">
        <v>15</v>
      </c>
      <c r="AL15" s="216"/>
      <c r="AM15" s="217">
        <f t="shared" si="1"/>
        <v>120</v>
      </c>
      <c r="AN15" s="216"/>
      <c r="AO15" s="216" t="s">
        <v>1210</v>
      </c>
      <c r="AP15" s="216"/>
      <c r="AQ15" s="216"/>
    </row>
    <row r="16" spans="1:43">
      <c r="A16" s="99" t="s">
        <v>740</v>
      </c>
      <c r="B16" s="9">
        <v>87</v>
      </c>
      <c r="E16">
        <v>59</v>
      </c>
      <c r="T16" t="s">
        <v>731</v>
      </c>
      <c r="U16" t="s">
        <v>731</v>
      </c>
      <c r="V16" t="s">
        <v>731</v>
      </c>
      <c r="W16" t="s">
        <v>731</v>
      </c>
      <c r="X16" t="s">
        <v>731</v>
      </c>
      <c r="Y16" t="s">
        <v>731</v>
      </c>
      <c r="AK16" s="216">
        <v>174</v>
      </c>
      <c r="AL16" s="216"/>
      <c r="AM16" s="217">
        <f>AK16*B16</f>
        <v>15138</v>
      </c>
      <c r="AN16" s="216"/>
      <c r="AO16" s="216" t="s">
        <v>1909</v>
      </c>
      <c r="AP16" s="216"/>
      <c r="AQ16" s="216"/>
    </row>
    <row r="17" spans="1:43" ht="22.5">
      <c r="A17" s="218" t="s">
        <v>785</v>
      </c>
      <c r="B17" s="219" t="s">
        <v>2077</v>
      </c>
      <c r="AK17" s="216"/>
      <c r="AL17" s="216"/>
      <c r="AM17" s="217"/>
      <c r="AN17" s="216"/>
      <c r="AO17" s="216"/>
      <c r="AP17" s="216"/>
      <c r="AQ17" s="216"/>
    </row>
    <row r="18" spans="1:43">
      <c r="A18" s="83"/>
      <c r="B18" s="9"/>
      <c r="AK18" s="216"/>
      <c r="AL18" s="216"/>
      <c r="AM18" s="217"/>
      <c r="AN18" s="216"/>
      <c r="AO18" s="216"/>
      <c r="AP18" s="216"/>
      <c r="AQ18" s="216"/>
    </row>
    <row r="19" spans="1:43">
      <c r="A19" s="83"/>
      <c r="B19" s="9"/>
      <c r="AK19" s="216"/>
      <c r="AL19" s="216"/>
      <c r="AM19" s="217"/>
      <c r="AN19" s="216"/>
      <c r="AO19" s="216"/>
      <c r="AP19" s="216"/>
      <c r="AQ19" s="216"/>
    </row>
    <row r="20" spans="1:43">
      <c r="A20" s="83"/>
      <c r="B20" s="9"/>
      <c r="AK20" s="216"/>
      <c r="AL20" s="216"/>
      <c r="AM20" s="217"/>
      <c r="AN20" s="216"/>
      <c r="AO20" s="216"/>
      <c r="AP20" s="216"/>
      <c r="AQ20" s="216"/>
    </row>
    <row r="21" spans="1:43">
      <c r="A21" s="83"/>
      <c r="B21" s="9"/>
      <c r="AK21" s="216"/>
      <c r="AL21" s="216"/>
      <c r="AM21" s="217"/>
      <c r="AN21" s="216"/>
      <c r="AO21" s="216"/>
      <c r="AP21" s="216"/>
      <c r="AQ21" s="216"/>
    </row>
    <row r="22" spans="1:43">
      <c r="A22" s="83"/>
      <c r="B22" s="9"/>
      <c r="AK22" s="216"/>
      <c r="AL22" s="216"/>
      <c r="AM22" s="217"/>
      <c r="AN22" s="216"/>
      <c r="AO22" s="216"/>
      <c r="AP22" s="216"/>
      <c r="AQ22" s="216"/>
    </row>
    <row r="23" spans="1:43">
      <c r="A23" s="83"/>
      <c r="B23" s="9"/>
      <c r="AK23" s="216"/>
      <c r="AL23" s="216"/>
      <c r="AM23" s="217"/>
      <c r="AN23" s="216"/>
      <c r="AO23" s="216"/>
      <c r="AP23" s="216"/>
      <c r="AQ23" s="216"/>
    </row>
    <row r="24" spans="1:43">
      <c r="A24" s="83"/>
      <c r="B24" s="9"/>
      <c r="AK24" s="216"/>
      <c r="AL24" s="216"/>
      <c r="AM24" s="217"/>
      <c r="AN24" s="216"/>
      <c r="AO24" s="216"/>
      <c r="AP24" s="216"/>
      <c r="AQ24" s="216"/>
    </row>
    <row r="25" spans="1:43">
      <c r="A25" s="83"/>
      <c r="B25" s="9"/>
      <c r="AK25" s="216"/>
      <c r="AL25" s="216"/>
      <c r="AM25" s="217"/>
      <c r="AN25" s="216"/>
      <c r="AO25" s="216"/>
      <c r="AP25" s="216"/>
      <c r="AQ25" s="216"/>
    </row>
    <row r="26" spans="1:43">
      <c r="A26" s="83"/>
      <c r="B26" s="9"/>
      <c r="AK26" s="216"/>
      <c r="AL26" s="216"/>
      <c r="AM26" s="217"/>
      <c r="AN26" s="216"/>
      <c r="AO26" s="216"/>
      <c r="AP26" s="216"/>
      <c r="AQ26" s="216"/>
    </row>
    <row r="27" spans="1:43">
      <c r="A27" s="83"/>
      <c r="B27" s="9"/>
      <c r="AK27" s="216"/>
      <c r="AL27" s="216"/>
      <c r="AM27" s="217"/>
      <c r="AN27" s="216"/>
      <c r="AO27" s="216"/>
      <c r="AP27" s="216"/>
      <c r="AQ27" s="216"/>
    </row>
    <row r="28" spans="1:43">
      <c r="AP28" s="216"/>
      <c r="AQ28" s="216"/>
    </row>
    <row r="29" spans="1:43">
      <c r="AM29" s="16">
        <f>SUM(AM2:AM16)</f>
        <v>64415.6</v>
      </c>
      <c r="AN29" s="16">
        <f>SUM(AN2:AN13)</f>
        <v>18215.599999999999</v>
      </c>
      <c r="AP29" s="216" t="s">
        <v>2076</v>
      </c>
      <c r="AQ29" s="216"/>
    </row>
    <row r="32" spans="1:43">
      <c r="AL32" s="56" t="s">
        <v>1209</v>
      </c>
      <c r="AM32" s="57">
        <f>AM29+AN29</f>
        <v>82631.199999999997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scale="3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3</vt:i4>
      </vt:variant>
    </vt:vector>
  </HeadingPairs>
  <TitlesOfParts>
    <vt:vector size="6" baseType="lpstr">
      <vt:lpstr>Extraurbano </vt:lpstr>
      <vt:lpstr>Forfait</vt:lpstr>
      <vt:lpstr>Integrazioni</vt:lpstr>
      <vt:lpstr>'Extraurbano '!Area_stampa</vt:lpstr>
      <vt:lpstr>'Extraurbano '!Titoli_stampa</vt:lpstr>
      <vt:lpstr>ToCopy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Adriano_D</dc:creator>
  <cp:lastModifiedBy>Olimpia Kanellatu</cp:lastModifiedBy>
  <cp:lastPrinted>2023-02-06T08:50:25Z</cp:lastPrinted>
  <dcterms:created xsi:type="dcterms:W3CDTF">2016-10-12T15:26:52Z</dcterms:created>
  <dcterms:modified xsi:type="dcterms:W3CDTF">2023-02-13T15:07:40Z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pyToPublic_1" visible="true" label="Aggiorna Server" imageMso="SourceControlCheckOut" onAction="CopyToPublic"/>
      </mso:documentControls>
    </mso:qat>
  </mso:ribbon>
</mso:customUI>
</file>