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TA\CTA-Linea\Doc da CTA\File Olimpia\"/>
    </mc:Choice>
  </mc:AlternateContent>
  <xr:revisionPtr revIDLastSave="0" documentId="8_{D86F2C94-0FE2-4FF3-94C3-28C318C3E5AE}" xr6:coauthVersionLast="47" xr6:coauthVersionMax="47" xr10:uidLastSave="{00000000-0000-0000-0000-000000000000}"/>
  <bookViews>
    <workbookView xWindow="-120" yWindow="-120" windowWidth="38640" windowHeight="21240" xr2:uid="{091278E5-AF62-4C89-ADEA-6296A5D1F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958" i="1" l="1"/>
  <c r="AZ958" i="1"/>
  <c r="BT958" i="1" s="1"/>
  <c r="L958" i="1"/>
  <c r="K958" i="1"/>
  <c r="CA957" i="1"/>
  <c r="BT957" i="1"/>
  <c r="BZ957" i="1" s="1"/>
  <c r="AZ957" i="1"/>
  <c r="BF957" i="1" s="1"/>
  <c r="L957" i="1"/>
  <c r="BT956" i="1"/>
  <c r="AZ956" i="1"/>
  <c r="BF956" i="1" s="1"/>
  <c r="K956" i="1"/>
  <c r="L956" i="1" s="1"/>
  <c r="BF955" i="1"/>
  <c r="AZ955" i="1"/>
  <c r="BT955" i="1" s="1"/>
  <c r="L955" i="1"/>
  <c r="K955" i="1"/>
  <c r="AZ954" i="1"/>
  <c r="L954" i="1"/>
  <c r="CA953" i="1"/>
  <c r="BT953" i="1"/>
  <c r="BZ953" i="1" s="1"/>
  <c r="L953" i="1"/>
  <c r="K953" i="1"/>
  <c r="BF953" i="1" s="1"/>
  <c r="I952" i="1"/>
  <c r="AZ952" i="1" s="1"/>
  <c r="BZ951" i="1"/>
  <c r="BT951" i="1"/>
  <c r="CA951" i="1" s="1"/>
  <c r="BF951" i="1"/>
  <c r="AZ951" i="1"/>
  <c r="L951" i="1"/>
  <c r="BF950" i="1"/>
  <c r="AZ950" i="1"/>
  <c r="BT950" i="1" s="1"/>
  <c r="L950" i="1"/>
  <c r="BF949" i="1"/>
  <c r="AZ949" i="1"/>
  <c r="BT949" i="1" s="1"/>
  <c r="L949" i="1"/>
  <c r="BF948" i="1"/>
  <c r="AZ948" i="1"/>
  <c r="BT948" i="1" s="1"/>
  <c r="L948" i="1"/>
  <c r="BZ947" i="1"/>
  <c r="BT947" i="1"/>
  <c r="CA947" i="1" s="1"/>
  <c r="BF947" i="1"/>
  <c r="AZ947" i="1"/>
  <c r="L947" i="1"/>
  <c r="BF946" i="1"/>
  <c r="AZ946" i="1"/>
  <c r="BT946" i="1" s="1"/>
  <c r="L946" i="1"/>
  <c r="BZ945" i="1"/>
  <c r="BT945" i="1"/>
  <c r="CA945" i="1" s="1"/>
  <c r="BF945" i="1"/>
  <c r="AZ945" i="1"/>
  <c r="L945" i="1"/>
  <c r="BO944" i="1"/>
  <c r="BD944" i="1"/>
  <c r="I944" i="1"/>
  <c r="L944" i="1" s="1"/>
  <c r="BO943" i="1"/>
  <c r="BI943" i="1"/>
  <c r="BH943" i="1"/>
  <c r="BD943" i="1"/>
  <c r="L943" i="1"/>
  <c r="BO942" i="1"/>
  <c r="BJ942" i="1"/>
  <c r="BI942" i="1"/>
  <c r="BH942" i="1"/>
  <c r="BT942" i="1" s="1"/>
  <c r="BD942" i="1"/>
  <c r="L942" i="1"/>
  <c r="BO941" i="1"/>
  <c r="BI941" i="1"/>
  <c r="BJ941" i="1" s="1"/>
  <c r="BH941" i="1"/>
  <c r="BT941" i="1" s="1"/>
  <c r="K941" i="1"/>
  <c r="BD941" i="1" s="1"/>
  <c r="BZ940" i="1"/>
  <c r="BT940" i="1"/>
  <c r="CA940" i="1" s="1"/>
  <c r="BO940" i="1"/>
  <c r="BI940" i="1"/>
  <c r="BH940" i="1"/>
  <c r="BJ940" i="1" s="1"/>
  <c r="BD940" i="1"/>
  <c r="L940" i="1"/>
  <c r="CA939" i="1"/>
  <c r="BT939" i="1"/>
  <c r="BZ939" i="1" s="1"/>
  <c r="BO939" i="1"/>
  <c r="BI939" i="1"/>
  <c r="BH939" i="1"/>
  <c r="BJ939" i="1" s="1"/>
  <c r="BD939" i="1"/>
  <c r="L939" i="1"/>
  <c r="BO938" i="1"/>
  <c r="BI938" i="1"/>
  <c r="BT938" i="1" s="1"/>
  <c r="BH938" i="1"/>
  <c r="BD938" i="1"/>
  <c r="L938" i="1"/>
  <c r="BO937" i="1"/>
  <c r="BI937" i="1"/>
  <c r="BH937" i="1"/>
  <c r="BD937" i="1"/>
  <c r="L937" i="1"/>
  <c r="K937" i="1"/>
  <c r="BO936" i="1"/>
  <c r="BJ936" i="1"/>
  <c r="BI936" i="1"/>
  <c r="BH936" i="1"/>
  <c r="BT936" i="1" s="1"/>
  <c r="BD936" i="1"/>
  <c r="L936" i="1"/>
  <c r="BO935" i="1"/>
  <c r="BI935" i="1"/>
  <c r="BJ935" i="1" s="1"/>
  <c r="BH935" i="1"/>
  <c r="BT935" i="1" s="1"/>
  <c r="BD935" i="1"/>
  <c r="L935" i="1"/>
  <c r="BO934" i="1"/>
  <c r="AX934" i="1"/>
  <c r="BI934" i="1" s="1"/>
  <c r="L934" i="1"/>
  <c r="CA933" i="1"/>
  <c r="BT933" i="1"/>
  <c r="BZ933" i="1" s="1"/>
  <c r="BN933" i="1"/>
  <c r="BO933" i="1" s="1"/>
  <c r="BI933" i="1"/>
  <c r="BJ933" i="1" s="1"/>
  <c r="BH933" i="1"/>
  <c r="BD933" i="1"/>
  <c r="L933" i="1"/>
  <c r="BO932" i="1"/>
  <c r="BK932" i="1"/>
  <c r="BE932" i="1"/>
  <c r="BD932" i="1"/>
  <c r="AY932" i="1"/>
  <c r="BL932" i="1" s="1"/>
  <c r="L932" i="1"/>
  <c r="BO931" i="1"/>
  <c r="BI931" i="1"/>
  <c r="BJ931" i="1" s="1"/>
  <c r="BH931" i="1"/>
  <c r="BT931" i="1" s="1"/>
  <c r="BD931" i="1"/>
  <c r="L931" i="1"/>
  <c r="BT930" i="1"/>
  <c r="BO930" i="1"/>
  <c r="BM930" i="1"/>
  <c r="BL930" i="1"/>
  <c r="BK930" i="1"/>
  <c r="BE930" i="1"/>
  <c r="BD930" i="1"/>
  <c r="AY930" i="1"/>
  <c r="L930" i="1"/>
  <c r="BO929" i="1"/>
  <c r="BI929" i="1"/>
  <c r="BT929" i="1" s="1"/>
  <c r="BH929" i="1"/>
  <c r="BD929" i="1"/>
  <c r="L929" i="1"/>
  <c r="BO928" i="1"/>
  <c r="BH928" i="1"/>
  <c r="BD928" i="1"/>
  <c r="L928" i="1"/>
  <c r="I928" i="1"/>
  <c r="BI928" i="1" s="1"/>
  <c r="BJ927" i="1"/>
  <c r="BI927" i="1"/>
  <c r="BH927" i="1"/>
  <c r="BT927" i="1" s="1"/>
  <c r="L927" i="1"/>
  <c r="K927" i="1"/>
  <c r="BD927" i="1" s="1"/>
  <c r="BT926" i="1"/>
  <c r="BO926" i="1"/>
  <c r="BJ926" i="1"/>
  <c r="BI926" i="1"/>
  <c r="BH926" i="1"/>
  <c r="BD926" i="1"/>
  <c r="L926" i="1"/>
  <c r="BZ925" i="1"/>
  <c r="BO925" i="1"/>
  <c r="BI925" i="1"/>
  <c r="BT925" i="1" s="1"/>
  <c r="CA925" i="1" s="1"/>
  <c r="BH925" i="1"/>
  <c r="BJ925" i="1" s="1"/>
  <c r="BD925" i="1"/>
  <c r="L925" i="1"/>
  <c r="CA924" i="1"/>
  <c r="BT924" i="1"/>
  <c r="BZ924" i="1" s="1"/>
  <c r="BO924" i="1"/>
  <c r="BI924" i="1"/>
  <c r="BH924" i="1"/>
  <c r="BJ924" i="1" s="1"/>
  <c r="BD924" i="1"/>
  <c r="L924" i="1"/>
  <c r="BO923" i="1"/>
  <c r="BI923" i="1"/>
  <c r="BT923" i="1" s="1"/>
  <c r="BH923" i="1"/>
  <c r="BD923" i="1"/>
  <c r="L923" i="1"/>
  <c r="BO922" i="1"/>
  <c r="BI922" i="1"/>
  <c r="BH922" i="1"/>
  <c r="BD922" i="1"/>
  <c r="L922" i="1"/>
  <c r="BO921" i="1"/>
  <c r="BN921" i="1"/>
  <c r="BJ921" i="1"/>
  <c r="BI921" i="1"/>
  <c r="BH921" i="1"/>
  <c r="BT921" i="1" s="1"/>
  <c r="BD921" i="1"/>
  <c r="L921" i="1"/>
  <c r="BO920" i="1"/>
  <c r="BN920" i="1"/>
  <c r="BT920" i="1" s="1"/>
  <c r="BJ920" i="1"/>
  <c r="BI920" i="1"/>
  <c r="BH920" i="1"/>
  <c r="BD920" i="1"/>
  <c r="L920" i="1"/>
  <c r="BO919" i="1"/>
  <c r="BN919" i="1"/>
  <c r="BI919" i="1"/>
  <c r="BH919" i="1"/>
  <c r="BT919" i="1" s="1"/>
  <c r="BD919" i="1"/>
  <c r="L919" i="1"/>
  <c r="BN918" i="1"/>
  <c r="BI918" i="1"/>
  <c r="BH918" i="1"/>
  <c r="BJ918" i="1" s="1"/>
  <c r="BD918" i="1"/>
  <c r="L918" i="1"/>
  <c r="BO917" i="1"/>
  <c r="BN917" i="1"/>
  <c r="BJ917" i="1"/>
  <c r="BI917" i="1"/>
  <c r="BH917" i="1"/>
  <c r="BT917" i="1" s="1"/>
  <c r="BD917" i="1"/>
  <c r="L917" i="1"/>
  <c r="BO916" i="1"/>
  <c r="BN916" i="1"/>
  <c r="BT916" i="1" s="1"/>
  <c r="BJ916" i="1"/>
  <c r="BI916" i="1"/>
  <c r="BH916" i="1"/>
  <c r="BD916" i="1"/>
  <c r="L916" i="1"/>
  <c r="BI915" i="1"/>
  <c r="BH915" i="1"/>
  <c r="BT915" i="1" s="1"/>
  <c r="K915" i="1"/>
  <c r="CA914" i="1"/>
  <c r="BZ914" i="1"/>
  <c r="BT914" i="1"/>
  <c r="BO914" i="1"/>
  <c r="BD914" i="1"/>
  <c r="L914" i="1"/>
  <c r="BO913" i="1"/>
  <c r="BD913" i="1"/>
  <c r="AY913" i="1"/>
  <c r="L913" i="1"/>
  <c r="BO912" i="1"/>
  <c r="BK912" i="1"/>
  <c r="BE912" i="1"/>
  <c r="BD912" i="1"/>
  <c r="AY912" i="1"/>
  <c r="BL912" i="1" s="1"/>
  <c r="L912" i="1"/>
  <c r="BO911" i="1"/>
  <c r="BL911" i="1"/>
  <c r="BD911" i="1"/>
  <c r="AY911" i="1"/>
  <c r="BK911" i="1" s="1"/>
  <c r="BM911" i="1" s="1"/>
  <c r="L911" i="1"/>
  <c r="BO910" i="1"/>
  <c r="AX910" i="1"/>
  <c r="L910" i="1"/>
  <c r="BO909" i="1"/>
  <c r="BK909" i="1"/>
  <c r="BE909" i="1"/>
  <c r="BD909" i="1"/>
  <c r="AY909" i="1"/>
  <c r="BL909" i="1" s="1"/>
  <c r="L909" i="1"/>
  <c r="BO908" i="1"/>
  <c r="BI908" i="1"/>
  <c r="AX908" i="1"/>
  <c r="BH908" i="1" s="1"/>
  <c r="BJ908" i="1" s="1"/>
  <c r="L908" i="1"/>
  <c r="BO907" i="1"/>
  <c r="BD907" i="1"/>
  <c r="AY907" i="1"/>
  <c r="L907" i="1"/>
  <c r="BO906" i="1"/>
  <c r="BK906" i="1"/>
  <c r="BE906" i="1"/>
  <c r="BD906" i="1"/>
  <c r="AY906" i="1"/>
  <c r="BL906" i="1" s="1"/>
  <c r="L906" i="1"/>
  <c r="BO905" i="1"/>
  <c r="BN905" i="1"/>
  <c r="BT905" i="1" s="1"/>
  <c r="BJ905" i="1"/>
  <c r="BI905" i="1"/>
  <c r="BH905" i="1"/>
  <c r="BD905" i="1"/>
  <c r="L905" i="1"/>
  <c r="BZ904" i="1"/>
  <c r="BO904" i="1"/>
  <c r="BI904" i="1"/>
  <c r="BH904" i="1"/>
  <c r="BT904" i="1" s="1"/>
  <c r="CA904" i="1" s="1"/>
  <c r="BD904" i="1"/>
  <c r="AX904" i="1"/>
  <c r="L904" i="1"/>
  <c r="BO903" i="1"/>
  <c r="BI903" i="1"/>
  <c r="BD903" i="1"/>
  <c r="AX903" i="1"/>
  <c r="L903" i="1"/>
  <c r="BO902" i="1"/>
  <c r="BN902" i="1"/>
  <c r="BJ902" i="1"/>
  <c r="BI902" i="1"/>
  <c r="BH902" i="1"/>
  <c r="BT902" i="1" s="1"/>
  <c r="BD902" i="1"/>
  <c r="L902" i="1"/>
  <c r="BO901" i="1"/>
  <c r="BI901" i="1"/>
  <c r="BJ901" i="1" s="1"/>
  <c r="BH901" i="1"/>
  <c r="BT901" i="1" s="1"/>
  <c r="BD901" i="1"/>
  <c r="L901" i="1"/>
  <c r="BT900" i="1"/>
  <c r="BN900" i="1"/>
  <c r="BO900" i="1" s="1"/>
  <c r="BI900" i="1"/>
  <c r="BH900" i="1"/>
  <c r="BJ900" i="1" s="1"/>
  <c r="BD900" i="1"/>
  <c r="L900" i="1"/>
  <c r="CA899" i="1"/>
  <c r="BT899" i="1"/>
  <c r="BZ899" i="1" s="1"/>
  <c r="BO899" i="1"/>
  <c r="BI899" i="1"/>
  <c r="BH899" i="1"/>
  <c r="BJ899" i="1" s="1"/>
  <c r="BD899" i="1"/>
  <c r="L899" i="1"/>
  <c r="BO898" i="1"/>
  <c r="BI898" i="1"/>
  <c r="BJ898" i="1" s="1"/>
  <c r="BH898" i="1"/>
  <c r="BT898" i="1" s="1"/>
  <c r="BD898" i="1"/>
  <c r="L898" i="1"/>
  <c r="BN897" i="1"/>
  <c r="BT897" i="1" s="1"/>
  <c r="BI897" i="1"/>
  <c r="BH897" i="1"/>
  <c r="BJ897" i="1" s="1"/>
  <c r="BD897" i="1"/>
  <c r="L897" i="1"/>
  <c r="BO896" i="1"/>
  <c r="BJ896" i="1"/>
  <c r="BI896" i="1"/>
  <c r="BH896" i="1"/>
  <c r="BT896" i="1" s="1"/>
  <c r="BD896" i="1"/>
  <c r="L896" i="1"/>
  <c r="BO895" i="1"/>
  <c r="BI895" i="1"/>
  <c r="BJ895" i="1" s="1"/>
  <c r="BH895" i="1"/>
  <c r="BT895" i="1" s="1"/>
  <c r="BD895" i="1"/>
  <c r="L895" i="1"/>
  <c r="BT894" i="1"/>
  <c r="BO894" i="1"/>
  <c r="BJ894" i="1"/>
  <c r="BI894" i="1"/>
  <c r="BH894" i="1"/>
  <c r="BD894" i="1"/>
  <c r="L894" i="1"/>
  <c r="BZ893" i="1"/>
  <c r="BO893" i="1"/>
  <c r="BI893" i="1"/>
  <c r="BH893" i="1"/>
  <c r="BT893" i="1" s="1"/>
  <c r="CA893" i="1" s="1"/>
  <c r="BD893" i="1"/>
  <c r="L893" i="1"/>
  <c r="CA892" i="1"/>
  <c r="BT892" i="1"/>
  <c r="BZ892" i="1" s="1"/>
  <c r="BO892" i="1"/>
  <c r="BI892" i="1"/>
  <c r="BH892" i="1"/>
  <c r="BJ892" i="1" s="1"/>
  <c r="BD892" i="1"/>
  <c r="L892" i="1"/>
  <c r="BO891" i="1"/>
  <c r="BI891" i="1"/>
  <c r="BJ891" i="1" s="1"/>
  <c r="BH891" i="1"/>
  <c r="BT891" i="1" s="1"/>
  <c r="BD891" i="1"/>
  <c r="L891" i="1"/>
  <c r="BO890" i="1"/>
  <c r="BI890" i="1"/>
  <c r="BH890" i="1"/>
  <c r="BD890" i="1"/>
  <c r="L890" i="1"/>
  <c r="BO889" i="1"/>
  <c r="BI889" i="1"/>
  <c r="BT889" i="1" s="1"/>
  <c r="BH889" i="1"/>
  <c r="BJ889" i="1" s="1"/>
  <c r="BD889" i="1"/>
  <c r="K889" i="1"/>
  <c r="L889" i="1" s="1"/>
  <c r="BO888" i="1"/>
  <c r="BI888" i="1"/>
  <c r="BJ888" i="1" s="1"/>
  <c r="BH888" i="1"/>
  <c r="BT888" i="1" s="1"/>
  <c r="BD888" i="1"/>
  <c r="L888" i="1"/>
  <c r="BT887" i="1"/>
  <c r="BO887" i="1"/>
  <c r="BJ887" i="1"/>
  <c r="BI887" i="1"/>
  <c r="BH887" i="1"/>
  <c r="BD887" i="1"/>
  <c r="L887" i="1"/>
  <c r="BO886" i="1"/>
  <c r="BN886" i="1"/>
  <c r="BI886" i="1"/>
  <c r="BH886" i="1"/>
  <c r="BT886" i="1" s="1"/>
  <c r="CA886" i="1" s="1"/>
  <c r="BD886" i="1"/>
  <c r="L886" i="1"/>
  <c r="BN885" i="1"/>
  <c r="BT885" i="1" s="1"/>
  <c r="BI885" i="1"/>
  <c r="BH885" i="1"/>
  <c r="BJ885" i="1" s="1"/>
  <c r="BD885" i="1"/>
  <c r="L885" i="1"/>
  <c r="BT884" i="1"/>
  <c r="CA884" i="1" s="1"/>
  <c r="BO884" i="1"/>
  <c r="BD884" i="1"/>
  <c r="L884" i="1"/>
  <c r="CA883" i="1"/>
  <c r="BZ883" i="1"/>
  <c r="BT883" i="1"/>
  <c r="BO883" i="1"/>
  <c r="BD883" i="1"/>
  <c r="L883" i="1"/>
  <c r="BZ882" i="1"/>
  <c r="BT882" i="1"/>
  <c r="CA882" i="1" s="1"/>
  <c r="BO882" i="1"/>
  <c r="BD882" i="1"/>
  <c r="L882" i="1"/>
  <c r="CA881" i="1"/>
  <c r="BZ881" i="1"/>
  <c r="BT881" i="1"/>
  <c r="BO881" i="1"/>
  <c r="BD881" i="1"/>
  <c r="L881" i="1"/>
  <c r="BT880" i="1"/>
  <c r="CA880" i="1" s="1"/>
  <c r="BO880" i="1"/>
  <c r="BD880" i="1"/>
  <c r="L880" i="1"/>
  <c r="CA879" i="1"/>
  <c r="BZ879" i="1"/>
  <c r="BT879" i="1"/>
  <c r="BO879" i="1"/>
  <c r="BD879" i="1"/>
  <c r="L879" i="1"/>
  <c r="BZ878" i="1"/>
  <c r="BT878" i="1"/>
  <c r="CA878" i="1" s="1"/>
  <c r="BO878" i="1"/>
  <c r="BD878" i="1"/>
  <c r="L878" i="1"/>
  <c r="CA877" i="1"/>
  <c r="BZ877" i="1"/>
  <c r="BT877" i="1"/>
  <c r="BO877" i="1"/>
  <c r="BD877" i="1"/>
  <c r="L877" i="1"/>
  <c r="BT876" i="1"/>
  <c r="CA876" i="1" s="1"/>
  <c r="BO876" i="1"/>
  <c r="BD876" i="1"/>
  <c r="L876" i="1"/>
  <c r="CA875" i="1"/>
  <c r="BZ875" i="1"/>
  <c r="BT875" i="1"/>
  <c r="BO875" i="1"/>
  <c r="BD875" i="1"/>
  <c r="L875" i="1"/>
  <c r="BZ874" i="1"/>
  <c r="BT874" i="1"/>
  <c r="CA874" i="1" s="1"/>
  <c r="BO874" i="1"/>
  <c r="BD874" i="1"/>
  <c r="L874" i="1"/>
  <c r="CA873" i="1"/>
  <c r="BZ873" i="1"/>
  <c r="BT873" i="1"/>
  <c r="BO873" i="1"/>
  <c r="BD873" i="1"/>
  <c r="L873" i="1"/>
  <c r="BT872" i="1"/>
  <c r="CA872" i="1" s="1"/>
  <c r="BO872" i="1"/>
  <c r="BD872" i="1"/>
  <c r="L872" i="1"/>
  <c r="CA871" i="1"/>
  <c r="BZ871" i="1"/>
  <c r="BT871" i="1"/>
  <c r="BO871" i="1"/>
  <c r="BD871" i="1"/>
  <c r="L871" i="1"/>
  <c r="BZ870" i="1"/>
  <c r="BT870" i="1"/>
  <c r="CA870" i="1" s="1"/>
  <c r="BO870" i="1"/>
  <c r="BD870" i="1"/>
  <c r="L870" i="1"/>
  <c r="CA869" i="1"/>
  <c r="BZ869" i="1"/>
  <c r="BT869" i="1"/>
  <c r="BO869" i="1"/>
  <c r="BD869" i="1"/>
  <c r="L869" i="1"/>
  <c r="BT868" i="1"/>
  <c r="CA868" i="1" s="1"/>
  <c r="BO868" i="1"/>
  <c r="BD868" i="1"/>
  <c r="L868" i="1"/>
  <c r="BO867" i="1"/>
  <c r="BI867" i="1"/>
  <c r="BJ867" i="1" s="1"/>
  <c r="BH867" i="1"/>
  <c r="BT867" i="1" s="1"/>
  <c r="BD867" i="1"/>
  <c r="L867" i="1"/>
  <c r="BO866" i="1"/>
  <c r="BI866" i="1"/>
  <c r="BH866" i="1"/>
  <c r="BD866" i="1"/>
  <c r="L866" i="1"/>
  <c r="BO865" i="1"/>
  <c r="BI865" i="1"/>
  <c r="BT865" i="1" s="1"/>
  <c r="BH865" i="1"/>
  <c r="BD865" i="1"/>
  <c r="AX865" i="1"/>
  <c r="L865" i="1"/>
  <c r="BO864" i="1"/>
  <c r="BI864" i="1"/>
  <c r="BJ864" i="1" s="1"/>
  <c r="BH864" i="1"/>
  <c r="BD864" i="1"/>
  <c r="L864" i="1"/>
  <c r="BT863" i="1"/>
  <c r="BO863" i="1"/>
  <c r="BJ863" i="1"/>
  <c r="BI863" i="1"/>
  <c r="BH863" i="1"/>
  <c r="BD863" i="1"/>
  <c r="L863" i="1"/>
  <c r="BZ862" i="1"/>
  <c r="BO862" i="1"/>
  <c r="BI862" i="1"/>
  <c r="BH862" i="1"/>
  <c r="BT862" i="1" s="1"/>
  <c r="CA862" i="1" s="1"/>
  <c r="BD862" i="1"/>
  <c r="AX862" i="1"/>
  <c r="L862" i="1"/>
  <c r="BO861" i="1"/>
  <c r="BE861" i="1"/>
  <c r="BD861" i="1"/>
  <c r="AY861" i="1"/>
  <c r="L861" i="1"/>
  <c r="BO860" i="1"/>
  <c r="BJ860" i="1"/>
  <c r="BI860" i="1"/>
  <c r="BH860" i="1"/>
  <c r="BT860" i="1" s="1"/>
  <c r="BD860" i="1"/>
  <c r="L860" i="1"/>
  <c r="BO859" i="1"/>
  <c r="BL859" i="1"/>
  <c r="BD859" i="1"/>
  <c r="AY859" i="1"/>
  <c r="BK859" i="1" s="1"/>
  <c r="BM859" i="1" s="1"/>
  <c r="L859" i="1"/>
  <c r="CA858" i="1"/>
  <c r="BT858" i="1"/>
  <c r="BZ858" i="1" s="1"/>
  <c r="BO858" i="1"/>
  <c r="BL858" i="1"/>
  <c r="BK858" i="1"/>
  <c r="BM858" i="1" s="1"/>
  <c r="BD858" i="1"/>
  <c r="AY858" i="1"/>
  <c r="BE858" i="1" s="1"/>
  <c r="L858" i="1"/>
  <c r="BT857" i="1"/>
  <c r="CA857" i="1" s="1"/>
  <c r="BO857" i="1"/>
  <c r="BD857" i="1"/>
  <c r="L857" i="1"/>
  <c r="CA856" i="1"/>
  <c r="BZ856" i="1"/>
  <c r="BT856" i="1"/>
  <c r="BO856" i="1"/>
  <c r="BD856" i="1"/>
  <c r="L856" i="1"/>
  <c r="BZ855" i="1"/>
  <c r="BT855" i="1"/>
  <c r="CA855" i="1" s="1"/>
  <c r="BO855" i="1"/>
  <c r="K855" i="1"/>
  <c r="BD855" i="1" s="1"/>
  <c r="BT854" i="1"/>
  <c r="BO854" i="1"/>
  <c r="BF854" i="1"/>
  <c r="AZ854" i="1"/>
  <c r="L854" i="1"/>
  <c r="BO853" i="1"/>
  <c r="BI853" i="1"/>
  <c r="AX853" i="1"/>
  <c r="BH853" i="1" s="1"/>
  <c r="BJ853" i="1" s="1"/>
  <c r="L853" i="1"/>
  <c r="BO852" i="1"/>
  <c r="BI852" i="1"/>
  <c r="BH852" i="1"/>
  <c r="BT852" i="1" s="1"/>
  <c r="CA852" i="1" s="1"/>
  <c r="BD852" i="1"/>
  <c r="L852" i="1"/>
  <c r="BO851" i="1"/>
  <c r="AX851" i="1"/>
  <c r="L851" i="1"/>
  <c r="BO850" i="1"/>
  <c r="BI850" i="1"/>
  <c r="BH850" i="1"/>
  <c r="BD850" i="1"/>
  <c r="L850" i="1"/>
  <c r="BO849" i="1"/>
  <c r="BI849" i="1"/>
  <c r="BT849" i="1" s="1"/>
  <c r="BH849" i="1"/>
  <c r="BJ849" i="1" s="1"/>
  <c r="BD849" i="1"/>
  <c r="L849" i="1"/>
  <c r="BO848" i="1"/>
  <c r="BJ848" i="1"/>
  <c r="BI848" i="1"/>
  <c r="BH848" i="1"/>
  <c r="BT848" i="1" s="1"/>
  <c r="BD848" i="1"/>
  <c r="L848" i="1"/>
  <c r="BO847" i="1"/>
  <c r="BN847" i="1"/>
  <c r="BT847" i="1" s="1"/>
  <c r="BJ847" i="1"/>
  <c r="BI847" i="1"/>
  <c r="BH847" i="1"/>
  <c r="BD847" i="1"/>
  <c r="L847" i="1"/>
  <c r="BZ846" i="1"/>
  <c r="BO846" i="1"/>
  <c r="BN846" i="1"/>
  <c r="BI846" i="1"/>
  <c r="BH846" i="1"/>
  <c r="BT846" i="1" s="1"/>
  <c r="CA846" i="1" s="1"/>
  <c r="BD846" i="1"/>
  <c r="L846" i="1"/>
  <c r="BH845" i="1"/>
  <c r="AX845" i="1"/>
  <c r="BD845" i="1" s="1"/>
  <c r="L845" i="1"/>
  <c r="BO844" i="1"/>
  <c r="BK844" i="1"/>
  <c r="BD844" i="1"/>
  <c r="AY844" i="1"/>
  <c r="BL844" i="1" s="1"/>
  <c r="BM844" i="1" s="1"/>
  <c r="L844" i="1"/>
  <c r="BO843" i="1"/>
  <c r="BD843" i="1"/>
  <c r="AY843" i="1"/>
  <c r="L843" i="1"/>
  <c r="BO842" i="1"/>
  <c r="BK842" i="1"/>
  <c r="BE842" i="1"/>
  <c r="BD842" i="1"/>
  <c r="AY842" i="1"/>
  <c r="BL842" i="1" s="1"/>
  <c r="L842" i="1"/>
  <c r="BO841" i="1"/>
  <c r="BI841" i="1"/>
  <c r="AX841" i="1"/>
  <c r="BH841" i="1" s="1"/>
  <c r="BJ841" i="1" s="1"/>
  <c r="L841" i="1"/>
  <c r="BO840" i="1"/>
  <c r="BD840" i="1"/>
  <c r="AY840" i="1"/>
  <c r="L840" i="1"/>
  <c r="BO839" i="1"/>
  <c r="BI839" i="1"/>
  <c r="BH839" i="1"/>
  <c r="BD839" i="1"/>
  <c r="L839" i="1"/>
  <c r="BO838" i="1"/>
  <c r="BL838" i="1"/>
  <c r="BT838" i="1" s="1"/>
  <c r="BK838" i="1"/>
  <c r="BE838" i="1"/>
  <c r="BD838" i="1"/>
  <c r="AY838" i="1"/>
  <c r="L838" i="1"/>
  <c r="BT837" i="1"/>
  <c r="BO837" i="1"/>
  <c r="BK837" i="1"/>
  <c r="BE837" i="1"/>
  <c r="BD837" i="1"/>
  <c r="AY837" i="1"/>
  <c r="BL837" i="1" s="1"/>
  <c r="BM837" i="1" s="1"/>
  <c r="L837" i="1"/>
  <c r="BO836" i="1"/>
  <c r="BE836" i="1"/>
  <c r="BD836" i="1"/>
  <c r="AY836" i="1"/>
  <c r="L836" i="1"/>
  <c r="BO835" i="1"/>
  <c r="BD835" i="1"/>
  <c r="AY835" i="1"/>
  <c r="L835" i="1"/>
  <c r="BN834" i="1"/>
  <c r="BI834" i="1"/>
  <c r="BJ834" i="1" s="1"/>
  <c r="BH834" i="1"/>
  <c r="BD834" i="1"/>
  <c r="L834" i="1"/>
  <c r="BT833" i="1"/>
  <c r="BO833" i="1"/>
  <c r="BJ833" i="1"/>
  <c r="BI833" i="1"/>
  <c r="BH833" i="1"/>
  <c r="BD833" i="1"/>
  <c r="L833" i="1"/>
  <c r="K833" i="1"/>
  <c r="BT832" i="1"/>
  <c r="BO832" i="1"/>
  <c r="BI832" i="1"/>
  <c r="BH832" i="1"/>
  <c r="BJ832" i="1" s="1"/>
  <c r="BD832" i="1"/>
  <c r="L832" i="1"/>
  <c r="BO831" i="1"/>
  <c r="BJ831" i="1"/>
  <c r="BI831" i="1"/>
  <c r="BH831" i="1"/>
  <c r="BT831" i="1" s="1"/>
  <c r="CA831" i="1" s="1"/>
  <c r="BD831" i="1"/>
  <c r="L831" i="1"/>
  <c r="BN830" i="1"/>
  <c r="BI830" i="1"/>
  <c r="BH830" i="1"/>
  <c r="BD830" i="1"/>
  <c r="L830" i="1"/>
  <c r="BN829" i="1"/>
  <c r="BO829" i="1" s="1"/>
  <c r="BL829" i="1"/>
  <c r="BM829" i="1" s="1"/>
  <c r="BK829" i="1"/>
  <c r="BE829" i="1"/>
  <c r="BD829" i="1"/>
  <c r="L829" i="1"/>
  <c r="BI828" i="1"/>
  <c r="BH828" i="1"/>
  <c r="BD828" i="1"/>
  <c r="L828" i="1"/>
  <c r="BO827" i="1"/>
  <c r="BD827" i="1"/>
  <c r="AY827" i="1"/>
  <c r="L827" i="1"/>
  <c r="BO826" i="1"/>
  <c r="BD826" i="1"/>
  <c r="AY826" i="1"/>
  <c r="L826" i="1"/>
  <c r="BO825" i="1"/>
  <c r="BD825" i="1"/>
  <c r="I825" i="1"/>
  <c r="BN824" i="1"/>
  <c r="BJ824" i="1"/>
  <c r="BI824" i="1"/>
  <c r="BH824" i="1"/>
  <c r="BD824" i="1"/>
  <c r="L824" i="1"/>
  <c r="BO823" i="1"/>
  <c r="BL823" i="1"/>
  <c r="BT823" i="1" s="1"/>
  <c r="BK823" i="1"/>
  <c r="BE823" i="1"/>
  <c r="BD823" i="1"/>
  <c r="AY823" i="1"/>
  <c r="L823" i="1"/>
  <c r="BT822" i="1"/>
  <c r="BZ822" i="1" s="1"/>
  <c r="BO822" i="1"/>
  <c r="BD822" i="1"/>
  <c r="L822" i="1"/>
  <c r="BT821" i="1"/>
  <c r="CA821" i="1" s="1"/>
  <c r="BO821" i="1"/>
  <c r="BD821" i="1"/>
  <c r="L821" i="1"/>
  <c r="BO820" i="1"/>
  <c r="BM820" i="1"/>
  <c r="BK820" i="1"/>
  <c r="BE820" i="1"/>
  <c r="BD820" i="1"/>
  <c r="AY820" i="1"/>
  <c r="BL820" i="1" s="1"/>
  <c r="L820" i="1"/>
  <c r="CA819" i="1"/>
  <c r="BO819" i="1"/>
  <c r="BI819" i="1"/>
  <c r="BJ819" i="1" s="1"/>
  <c r="BH819" i="1"/>
  <c r="BT819" i="1" s="1"/>
  <c r="BZ819" i="1" s="1"/>
  <c r="BD819" i="1"/>
  <c r="L819" i="1"/>
  <c r="CA818" i="1"/>
  <c r="BT818" i="1"/>
  <c r="BZ818" i="1" s="1"/>
  <c r="BI818" i="1"/>
  <c r="BH818" i="1"/>
  <c r="BJ818" i="1" s="1"/>
  <c r="BD818" i="1"/>
  <c r="L818" i="1"/>
  <c r="K818" i="1"/>
  <c r="BO818" i="1" s="1"/>
  <c r="BO817" i="1"/>
  <c r="BI817" i="1"/>
  <c r="BH817" i="1"/>
  <c r="BD817" i="1"/>
  <c r="L817" i="1"/>
  <c r="BO816" i="1"/>
  <c r="BI816" i="1"/>
  <c r="BH816" i="1"/>
  <c r="BD816" i="1"/>
  <c r="K816" i="1"/>
  <c r="L816" i="1" s="1"/>
  <c r="BT815" i="1"/>
  <c r="CA815" i="1" s="1"/>
  <c r="BO815" i="1"/>
  <c r="BE815" i="1"/>
  <c r="BD815" i="1"/>
  <c r="AY815" i="1"/>
  <c r="L815" i="1"/>
  <c r="BT814" i="1"/>
  <c r="CA814" i="1" s="1"/>
  <c r="BO814" i="1"/>
  <c r="BD814" i="1"/>
  <c r="L814" i="1"/>
  <c r="BT813" i="1"/>
  <c r="CA813" i="1" s="1"/>
  <c r="BO813" i="1"/>
  <c r="BE813" i="1"/>
  <c r="BD813" i="1"/>
  <c r="AY813" i="1"/>
  <c r="L813" i="1"/>
  <c r="BT812" i="1"/>
  <c r="CA812" i="1" s="1"/>
  <c r="BO812" i="1"/>
  <c r="BD812" i="1"/>
  <c r="L812" i="1"/>
  <c r="BO811" i="1"/>
  <c r="BI811" i="1"/>
  <c r="BH811" i="1"/>
  <c r="BT811" i="1" s="1"/>
  <c r="BD811" i="1"/>
  <c r="L811" i="1"/>
  <c r="BO810" i="1"/>
  <c r="BI810" i="1"/>
  <c r="BH810" i="1"/>
  <c r="BD810" i="1"/>
  <c r="L810" i="1"/>
  <c r="BO809" i="1"/>
  <c r="BI809" i="1"/>
  <c r="BH809" i="1"/>
  <c r="BD809" i="1"/>
  <c r="L809" i="1"/>
  <c r="BO808" i="1"/>
  <c r="BJ808" i="1"/>
  <c r="BI808" i="1"/>
  <c r="BH808" i="1"/>
  <c r="BT808" i="1" s="1"/>
  <c r="BD808" i="1"/>
  <c r="L808" i="1"/>
  <c r="BT807" i="1"/>
  <c r="CA807" i="1" s="1"/>
  <c r="BO807" i="1"/>
  <c r="BI807" i="1"/>
  <c r="BJ807" i="1" s="1"/>
  <c r="BH807" i="1"/>
  <c r="BD807" i="1"/>
  <c r="L807" i="1"/>
  <c r="BT806" i="1"/>
  <c r="BO806" i="1"/>
  <c r="BJ806" i="1"/>
  <c r="BI806" i="1"/>
  <c r="BH806" i="1"/>
  <c r="BD806" i="1"/>
  <c r="L806" i="1"/>
  <c r="BO805" i="1"/>
  <c r="BI805" i="1"/>
  <c r="BH805" i="1"/>
  <c r="BJ805" i="1" s="1"/>
  <c r="BD805" i="1"/>
  <c r="L805" i="1"/>
  <c r="CA804" i="1"/>
  <c r="BT804" i="1"/>
  <c r="BZ804" i="1" s="1"/>
  <c r="BO804" i="1"/>
  <c r="BI804" i="1"/>
  <c r="BH804" i="1"/>
  <c r="BJ804" i="1" s="1"/>
  <c r="BD804" i="1"/>
  <c r="L804" i="1"/>
  <c r="BO803" i="1"/>
  <c r="BI803" i="1"/>
  <c r="BH803" i="1"/>
  <c r="BT803" i="1" s="1"/>
  <c r="BD803" i="1"/>
  <c r="L803" i="1"/>
  <c r="BO802" i="1"/>
  <c r="BI802" i="1"/>
  <c r="BH802" i="1"/>
  <c r="BD802" i="1"/>
  <c r="L802" i="1"/>
  <c r="BO801" i="1"/>
  <c r="BI801" i="1"/>
  <c r="BH801" i="1"/>
  <c r="BD801" i="1"/>
  <c r="L801" i="1"/>
  <c r="BO800" i="1"/>
  <c r="BJ800" i="1"/>
  <c r="BI800" i="1"/>
  <c r="BH800" i="1"/>
  <c r="BT800" i="1" s="1"/>
  <c r="BD800" i="1"/>
  <c r="L800" i="1"/>
  <c r="BT799" i="1"/>
  <c r="CA799" i="1" s="1"/>
  <c r="BO799" i="1"/>
  <c r="BI799" i="1"/>
  <c r="BJ799" i="1" s="1"/>
  <c r="BH799" i="1"/>
  <c r="BD799" i="1"/>
  <c r="L799" i="1"/>
  <c r="BT798" i="1"/>
  <c r="BO798" i="1"/>
  <c r="BJ798" i="1"/>
  <c r="BI798" i="1"/>
  <c r="BH798" i="1"/>
  <c r="BD798" i="1"/>
  <c r="L798" i="1"/>
  <c r="BO797" i="1"/>
  <c r="BI797" i="1"/>
  <c r="BH797" i="1"/>
  <c r="BJ797" i="1" s="1"/>
  <c r="BD797" i="1"/>
  <c r="L797" i="1"/>
  <c r="CA796" i="1"/>
  <c r="BT796" i="1"/>
  <c r="BZ796" i="1" s="1"/>
  <c r="BO796" i="1"/>
  <c r="BI796" i="1"/>
  <c r="BH796" i="1"/>
  <c r="BJ796" i="1" s="1"/>
  <c r="BD796" i="1"/>
  <c r="L796" i="1"/>
  <c r="BO795" i="1"/>
  <c r="BI795" i="1"/>
  <c r="BH795" i="1"/>
  <c r="BT795" i="1" s="1"/>
  <c r="BD795" i="1"/>
  <c r="L795" i="1"/>
  <c r="BO794" i="1"/>
  <c r="BI794" i="1"/>
  <c r="BH794" i="1"/>
  <c r="BD794" i="1"/>
  <c r="L794" i="1"/>
  <c r="BO793" i="1"/>
  <c r="BI793" i="1"/>
  <c r="BH793" i="1"/>
  <c r="BD793" i="1"/>
  <c r="L793" i="1"/>
  <c r="BO792" i="1"/>
  <c r="BJ792" i="1"/>
  <c r="BI792" i="1"/>
  <c r="BH792" i="1"/>
  <c r="BT792" i="1" s="1"/>
  <c r="BD792" i="1"/>
  <c r="L792" i="1"/>
  <c r="BT791" i="1"/>
  <c r="CA791" i="1" s="1"/>
  <c r="BO791" i="1"/>
  <c r="BI791" i="1"/>
  <c r="BH791" i="1"/>
  <c r="BJ791" i="1" s="1"/>
  <c r="BD791" i="1"/>
  <c r="L791" i="1"/>
  <c r="BT790" i="1"/>
  <c r="BO790" i="1"/>
  <c r="BJ790" i="1"/>
  <c r="BI790" i="1"/>
  <c r="BH790" i="1"/>
  <c r="BD790" i="1"/>
  <c r="L790" i="1"/>
  <c r="BO789" i="1"/>
  <c r="BI789" i="1"/>
  <c r="BH789" i="1"/>
  <c r="BJ789" i="1" s="1"/>
  <c r="BD789" i="1"/>
  <c r="L789" i="1"/>
  <c r="BN788" i="1"/>
  <c r="BO788" i="1" s="1"/>
  <c r="BI788" i="1"/>
  <c r="BH788" i="1"/>
  <c r="BT788" i="1" s="1"/>
  <c r="BZ788" i="1" s="1"/>
  <c r="BD788" i="1"/>
  <c r="L788" i="1"/>
  <c r="BO787" i="1"/>
  <c r="BN787" i="1"/>
  <c r="BT787" i="1" s="1"/>
  <c r="BI787" i="1"/>
  <c r="BJ787" i="1" s="1"/>
  <c r="BH787" i="1"/>
  <c r="BD787" i="1"/>
  <c r="L787" i="1"/>
  <c r="BO786" i="1"/>
  <c r="BJ786" i="1"/>
  <c r="BI786" i="1"/>
  <c r="BH786" i="1"/>
  <c r="BT786" i="1" s="1"/>
  <c r="BD786" i="1"/>
  <c r="L786" i="1"/>
  <c r="BT785" i="1"/>
  <c r="CA785" i="1" s="1"/>
  <c r="BO785" i="1"/>
  <c r="BD785" i="1"/>
  <c r="L785" i="1"/>
  <c r="BT784" i="1"/>
  <c r="CA784" i="1" s="1"/>
  <c r="BO784" i="1"/>
  <c r="BD784" i="1"/>
  <c r="L784" i="1"/>
  <c r="BO783" i="1"/>
  <c r="BI783" i="1"/>
  <c r="BH783" i="1"/>
  <c r="BT783" i="1" s="1"/>
  <c r="BD783" i="1"/>
  <c r="L783" i="1"/>
  <c r="BO782" i="1"/>
  <c r="BI782" i="1"/>
  <c r="BH782" i="1"/>
  <c r="BD782" i="1"/>
  <c r="L782" i="1"/>
  <c r="BO781" i="1"/>
  <c r="BI781" i="1"/>
  <c r="BH781" i="1"/>
  <c r="BD781" i="1"/>
  <c r="K781" i="1"/>
  <c r="L781" i="1" s="1"/>
  <c r="BT780" i="1"/>
  <c r="CA780" i="1" s="1"/>
  <c r="BO780" i="1"/>
  <c r="BI780" i="1"/>
  <c r="BJ780" i="1" s="1"/>
  <c r="BH780" i="1"/>
  <c r="BD780" i="1"/>
  <c r="L780" i="1"/>
  <c r="BT779" i="1"/>
  <c r="BO779" i="1"/>
  <c r="BJ779" i="1"/>
  <c r="BI779" i="1"/>
  <c r="BH779" i="1"/>
  <c r="BD779" i="1"/>
  <c r="L779" i="1"/>
  <c r="BO778" i="1"/>
  <c r="BI778" i="1"/>
  <c r="BH778" i="1"/>
  <c r="BJ778" i="1" s="1"/>
  <c r="BD778" i="1"/>
  <c r="L778" i="1"/>
  <c r="BN777" i="1"/>
  <c r="BO777" i="1" s="1"/>
  <c r="BI777" i="1"/>
  <c r="BH777" i="1"/>
  <c r="BT777" i="1" s="1"/>
  <c r="BZ777" i="1" s="1"/>
  <c r="BD777" i="1"/>
  <c r="L777" i="1"/>
  <c r="CA776" i="1"/>
  <c r="BT776" i="1"/>
  <c r="BZ776" i="1" s="1"/>
  <c r="BO776" i="1"/>
  <c r="BD776" i="1"/>
  <c r="I776" i="1"/>
  <c r="L776" i="1" s="1"/>
  <c r="BZ775" i="1"/>
  <c r="BT775" i="1"/>
  <c r="CA775" i="1" s="1"/>
  <c r="BO775" i="1"/>
  <c r="BD775" i="1"/>
  <c r="L775" i="1"/>
  <c r="CA774" i="1"/>
  <c r="BZ774" i="1"/>
  <c r="BT774" i="1"/>
  <c r="BO774" i="1"/>
  <c r="BD774" i="1"/>
  <c r="L774" i="1"/>
  <c r="BT773" i="1"/>
  <c r="CA773" i="1" s="1"/>
  <c r="BO773" i="1"/>
  <c r="BL773" i="1"/>
  <c r="BK773" i="1"/>
  <c r="BM773" i="1" s="1"/>
  <c r="BE773" i="1"/>
  <c r="BD773" i="1"/>
  <c r="AY773" i="1"/>
  <c r="L773" i="1"/>
  <c r="BO772" i="1"/>
  <c r="BL772" i="1"/>
  <c r="BE772" i="1"/>
  <c r="BD772" i="1"/>
  <c r="AY772" i="1"/>
  <c r="BK772" i="1" s="1"/>
  <c r="L772" i="1"/>
  <c r="BO771" i="1"/>
  <c r="BL771" i="1"/>
  <c r="BE771" i="1"/>
  <c r="BD771" i="1"/>
  <c r="AY771" i="1"/>
  <c r="BK771" i="1" s="1"/>
  <c r="L771" i="1"/>
  <c r="BT770" i="1"/>
  <c r="BO770" i="1"/>
  <c r="BJ770" i="1"/>
  <c r="BI770" i="1"/>
  <c r="BH770" i="1"/>
  <c r="BD770" i="1"/>
  <c r="L770" i="1"/>
  <c r="BO769" i="1"/>
  <c r="BI769" i="1"/>
  <c r="BH769" i="1"/>
  <c r="BJ769" i="1" s="1"/>
  <c r="BD769" i="1"/>
  <c r="L769" i="1"/>
  <c r="CA768" i="1"/>
  <c r="BT768" i="1"/>
  <c r="BZ768" i="1" s="1"/>
  <c r="BO768" i="1"/>
  <c r="BI768" i="1"/>
  <c r="BJ768" i="1" s="1"/>
  <c r="BH768" i="1"/>
  <c r="BD768" i="1"/>
  <c r="L768" i="1"/>
  <c r="BO767" i="1"/>
  <c r="BI767" i="1"/>
  <c r="BH767" i="1"/>
  <c r="BT767" i="1" s="1"/>
  <c r="BD767" i="1"/>
  <c r="L767" i="1"/>
  <c r="BO766" i="1"/>
  <c r="BI766" i="1"/>
  <c r="BH766" i="1"/>
  <c r="BD766" i="1"/>
  <c r="L766" i="1"/>
  <c r="BT765" i="1"/>
  <c r="CA765" i="1" s="1"/>
  <c r="BO765" i="1"/>
  <c r="BD765" i="1"/>
  <c r="L765" i="1"/>
  <c r="BO764" i="1"/>
  <c r="BI764" i="1"/>
  <c r="BH764" i="1"/>
  <c r="BT764" i="1" s="1"/>
  <c r="BD764" i="1"/>
  <c r="L764" i="1"/>
  <c r="BO763" i="1"/>
  <c r="BN763" i="1"/>
  <c r="BT763" i="1" s="1"/>
  <c r="BI763" i="1"/>
  <c r="BJ763" i="1" s="1"/>
  <c r="BH763" i="1"/>
  <c r="BD763" i="1"/>
  <c r="L763" i="1"/>
  <c r="BN762" i="1"/>
  <c r="BI762" i="1"/>
  <c r="AX762" i="1"/>
  <c r="BH762" i="1" s="1"/>
  <c r="BJ762" i="1" s="1"/>
  <c r="L762" i="1"/>
  <c r="BO761" i="1"/>
  <c r="BI761" i="1"/>
  <c r="BH761" i="1"/>
  <c r="BJ761" i="1" s="1"/>
  <c r="BD761" i="1"/>
  <c r="L761" i="1"/>
  <c r="BN760" i="1"/>
  <c r="BO760" i="1" s="1"/>
  <c r="BI760" i="1"/>
  <c r="BH760" i="1"/>
  <c r="BT760" i="1" s="1"/>
  <c r="BZ760" i="1" s="1"/>
  <c r="BD760" i="1"/>
  <c r="L760" i="1"/>
  <c r="BO759" i="1"/>
  <c r="BN759" i="1"/>
  <c r="BT759" i="1" s="1"/>
  <c r="BI759" i="1"/>
  <c r="BJ759" i="1" s="1"/>
  <c r="BH759" i="1"/>
  <c r="BD759" i="1"/>
  <c r="K759" i="1"/>
  <c r="L759" i="1" s="1"/>
  <c r="BO758" i="1"/>
  <c r="BN758" i="1"/>
  <c r="BD758" i="1"/>
  <c r="I758" i="1"/>
  <c r="BI758" i="1" s="1"/>
  <c r="BN757" i="1"/>
  <c r="BO757" i="1" s="1"/>
  <c r="BI757" i="1"/>
  <c r="BH757" i="1"/>
  <c r="BT757" i="1" s="1"/>
  <c r="BZ757" i="1" s="1"/>
  <c r="BD757" i="1"/>
  <c r="L757" i="1"/>
  <c r="BO756" i="1"/>
  <c r="BI756" i="1"/>
  <c r="BH756" i="1"/>
  <c r="BD756" i="1"/>
  <c r="L756" i="1"/>
  <c r="BO755" i="1"/>
  <c r="BI755" i="1"/>
  <c r="BH755" i="1"/>
  <c r="BD755" i="1"/>
  <c r="K755" i="1"/>
  <c r="L755" i="1" s="1"/>
  <c r="BT754" i="1"/>
  <c r="CA754" i="1" s="1"/>
  <c r="BO754" i="1"/>
  <c r="BI754" i="1"/>
  <c r="BJ754" i="1" s="1"/>
  <c r="BH754" i="1"/>
  <c r="BD754" i="1"/>
  <c r="L754" i="1"/>
  <c r="BT753" i="1"/>
  <c r="BO753" i="1"/>
  <c r="BJ753" i="1"/>
  <c r="BI753" i="1"/>
  <c r="BH753" i="1"/>
  <c r="BD753" i="1"/>
  <c r="L753" i="1"/>
  <c r="BO752" i="1"/>
  <c r="BI752" i="1"/>
  <c r="BH752" i="1"/>
  <c r="BJ752" i="1" s="1"/>
  <c r="BD752" i="1"/>
  <c r="L752" i="1"/>
  <c r="CA751" i="1"/>
  <c r="BT751" i="1"/>
  <c r="BZ751" i="1" s="1"/>
  <c r="BO751" i="1"/>
  <c r="BI751" i="1"/>
  <c r="BH751" i="1"/>
  <c r="BJ751" i="1" s="1"/>
  <c r="BD751" i="1"/>
  <c r="L751" i="1"/>
  <c r="BO750" i="1"/>
  <c r="BI750" i="1"/>
  <c r="BH750" i="1"/>
  <c r="BT750" i="1" s="1"/>
  <c r="BD750" i="1"/>
  <c r="L750" i="1"/>
  <c r="BO749" i="1"/>
  <c r="BI749" i="1"/>
  <c r="BH749" i="1"/>
  <c r="BD749" i="1"/>
  <c r="L749" i="1"/>
  <c r="BN748" i="1"/>
  <c r="BT748" i="1" s="1"/>
  <c r="BJ748" i="1"/>
  <c r="BI748" i="1"/>
  <c r="BH748" i="1"/>
  <c r="BD748" i="1"/>
  <c r="L748" i="1"/>
  <c r="BT747" i="1"/>
  <c r="CA747" i="1" s="1"/>
  <c r="BO747" i="1"/>
  <c r="BI747" i="1"/>
  <c r="BH747" i="1"/>
  <c r="BJ747" i="1" s="1"/>
  <c r="L747" i="1"/>
  <c r="K747" i="1"/>
  <c r="BD747" i="1" s="1"/>
  <c r="BI746" i="1"/>
  <c r="BH746" i="1"/>
  <c r="K746" i="1"/>
  <c r="BI745" i="1"/>
  <c r="BH745" i="1"/>
  <c r="BT745" i="1" s="1"/>
  <c r="BD745" i="1"/>
  <c r="K745" i="1"/>
  <c r="BO745" i="1" s="1"/>
  <c r="BO744" i="1"/>
  <c r="BJ744" i="1"/>
  <c r="BI744" i="1"/>
  <c r="BT744" i="1" s="1"/>
  <c r="BH744" i="1"/>
  <c r="BD744" i="1"/>
  <c r="K744" i="1"/>
  <c r="L744" i="1" s="1"/>
  <c r="BT743" i="1"/>
  <c r="BO743" i="1"/>
  <c r="BI743" i="1"/>
  <c r="BH743" i="1"/>
  <c r="BJ743" i="1" s="1"/>
  <c r="BD743" i="1"/>
  <c r="L743" i="1"/>
  <c r="BZ742" i="1"/>
  <c r="BT742" i="1"/>
  <c r="CA742" i="1" s="1"/>
  <c r="BO742" i="1"/>
  <c r="BJ742" i="1"/>
  <c r="BI742" i="1"/>
  <c r="BH742" i="1"/>
  <c r="BD742" i="1"/>
  <c r="L742" i="1"/>
  <c r="BO741" i="1"/>
  <c r="BI741" i="1"/>
  <c r="BH741" i="1"/>
  <c r="BJ741" i="1" s="1"/>
  <c r="BD741" i="1"/>
  <c r="L741" i="1"/>
  <c r="BO740" i="1"/>
  <c r="BL740" i="1"/>
  <c r="BE740" i="1"/>
  <c r="BD740" i="1"/>
  <c r="AY740" i="1"/>
  <c r="BK740" i="1" s="1"/>
  <c r="L740" i="1"/>
  <c r="BO739" i="1"/>
  <c r="BI739" i="1"/>
  <c r="BH739" i="1"/>
  <c r="BD739" i="1"/>
  <c r="L739" i="1"/>
  <c r="BO738" i="1"/>
  <c r="BH738" i="1"/>
  <c r="AX738" i="1"/>
  <c r="BD738" i="1" s="1"/>
  <c r="L738" i="1"/>
  <c r="BO737" i="1"/>
  <c r="BD737" i="1"/>
  <c r="I737" i="1"/>
  <c r="BT736" i="1"/>
  <c r="BO736" i="1"/>
  <c r="BI736" i="1"/>
  <c r="BH736" i="1"/>
  <c r="BJ736" i="1" s="1"/>
  <c r="BD736" i="1"/>
  <c r="L736" i="1"/>
  <c r="BO735" i="1"/>
  <c r="BI735" i="1"/>
  <c r="BH735" i="1"/>
  <c r="BD735" i="1"/>
  <c r="L735" i="1"/>
  <c r="BO734" i="1"/>
  <c r="BI734" i="1"/>
  <c r="BH734" i="1"/>
  <c r="BD734" i="1"/>
  <c r="L734" i="1"/>
  <c r="BO733" i="1"/>
  <c r="BJ733" i="1"/>
  <c r="BI733" i="1"/>
  <c r="BT733" i="1" s="1"/>
  <c r="BH733" i="1"/>
  <c r="BD733" i="1"/>
  <c r="L733" i="1"/>
  <c r="BO732" i="1"/>
  <c r="BI732" i="1"/>
  <c r="BH732" i="1"/>
  <c r="BT732" i="1" s="1"/>
  <c r="BD732" i="1"/>
  <c r="L732" i="1"/>
  <c r="BO731" i="1"/>
  <c r="BI731" i="1"/>
  <c r="BH731" i="1"/>
  <c r="BD731" i="1"/>
  <c r="L731" i="1"/>
  <c r="BT730" i="1"/>
  <c r="CA730" i="1" s="1"/>
  <c r="BO730" i="1"/>
  <c r="BJ730" i="1"/>
  <c r="BI730" i="1"/>
  <c r="BH730" i="1"/>
  <c r="BD730" i="1"/>
  <c r="L730" i="1"/>
  <c r="BO729" i="1"/>
  <c r="BD729" i="1"/>
  <c r="L729" i="1"/>
  <c r="I729" i="1"/>
  <c r="BO728" i="1"/>
  <c r="BI728" i="1"/>
  <c r="BH728" i="1"/>
  <c r="BD728" i="1"/>
  <c r="L728" i="1"/>
  <c r="BO727" i="1"/>
  <c r="BI727" i="1"/>
  <c r="BH727" i="1"/>
  <c r="BD727" i="1"/>
  <c r="L727" i="1"/>
  <c r="BO726" i="1"/>
  <c r="BI726" i="1"/>
  <c r="BJ726" i="1" s="1"/>
  <c r="BH726" i="1"/>
  <c r="BD726" i="1"/>
  <c r="L726" i="1"/>
  <c r="BO725" i="1"/>
  <c r="BH725" i="1"/>
  <c r="BD725" i="1"/>
  <c r="I725" i="1"/>
  <c r="L725" i="1" s="1"/>
  <c r="BO724" i="1"/>
  <c r="BD724" i="1"/>
  <c r="I724" i="1"/>
  <c r="BT723" i="1"/>
  <c r="BO723" i="1"/>
  <c r="BI723" i="1"/>
  <c r="BH723" i="1"/>
  <c r="BJ723" i="1" s="1"/>
  <c r="BD723" i="1"/>
  <c r="L723" i="1"/>
  <c r="AZ722" i="1"/>
  <c r="L722" i="1"/>
  <c r="BN721" i="1"/>
  <c r="BI721" i="1"/>
  <c r="BH721" i="1"/>
  <c r="BD721" i="1"/>
  <c r="L721" i="1"/>
  <c r="BN720" i="1"/>
  <c r="BK720" i="1"/>
  <c r="BD720" i="1"/>
  <c r="AY720" i="1"/>
  <c r="BE720" i="1" s="1"/>
  <c r="L720" i="1"/>
  <c r="CA719" i="1"/>
  <c r="BZ719" i="1"/>
  <c r="BO719" i="1"/>
  <c r="BL719" i="1"/>
  <c r="BK719" i="1"/>
  <c r="BM719" i="1" s="1"/>
  <c r="BE719" i="1"/>
  <c r="BD719" i="1"/>
  <c r="AY719" i="1"/>
  <c r="BN719" i="1" s="1"/>
  <c r="BT719" i="1" s="1"/>
  <c r="L719" i="1"/>
  <c r="BN718" i="1"/>
  <c r="BK718" i="1"/>
  <c r="BD718" i="1"/>
  <c r="AY718" i="1"/>
  <c r="BE718" i="1" s="1"/>
  <c r="L718" i="1"/>
  <c r="BZ717" i="1"/>
  <c r="BO717" i="1"/>
  <c r="BN717" i="1"/>
  <c r="BT717" i="1" s="1"/>
  <c r="CA717" i="1" s="1"/>
  <c r="BI717" i="1"/>
  <c r="BH717" i="1"/>
  <c r="BJ717" i="1" s="1"/>
  <c r="BD717" i="1"/>
  <c r="L717" i="1"/>
  <c r="BO716" i="1"/>
  <c r="BI716" i="1"/>
  <c r="BH716" i="1"/>
  <c r="BD716" i="1"/>
  <c r="L716" i="1"/>
  <c r="BO715" i="1"/>
  <c r="BJ715" i="1"/>
  <c r="BI715" i="1"/>
  <c r="BH715" i="1"/>
  <c r="BT715" i="1" s="1"/>
  <c r="BZ715" i="1" s="1"/>
  <c r="BD715" i="1"/>
  <c r="L715" i="1"/>
  <c r="BO714" i="1"/>
  <c r="BI714" i="1"/>
  <c r="BT714" i="1" s="1"/>
  <c r="BH714" i="1"/>
  <c r="BD714" i="1"/>
  <c r="L714" i="1"/>
  <c r="BT713" i="1"/>
  <c r="CA713" i="1" s="1"/>
  <c r="BO713" i="1"/>
  <c r="BI713" i="1"/>
  <c r="BH713" i="1"/>
  <c r="BJ713" i="1" s="1"/>
  <c r="BD713" i="1"/>
  <c r="L713" i="1"/>
  <c r="BO712" i="1"/>
  <c r="BJ712" i="1"/>
  <c r="BI712" i="1"/>
  <c r="BH712" i="1"/>
  <c r="BT712" i="1" s="1"/>
  <c r="BD712" i="1"/>
  <c r="L712" i="1"/>
  <c r="BO711" i="1"/>
  <c r="BL711" i="1"/>
  <c r="BK711" i="1"/>
  <c r="BM711" i="1" s="1"/>
  <c r="BD711" i="1"/>
  <c r="AY711" i="1"/>
  <c r="BE711" i="1" s="1"/>
  <c r="L711" i="1"/>
  <c r="CA710" i="1"/>
  <c r="BT710" i="1"/>
  <c r="BZ710" i="1" s="1"/>
  <c r="BO710" i="1"/>
  <c r="BI710" i="1"/>
  <c r="BH710" i="1"/>
  <c r="BJ710" i="1" s="1"/>
  <c r="BD710" i="1"/>
  <c r="L710" i="1"/>
  <c r="BO709" i="1"/>
  <c r="BE709" i="1"/>
  <c r="BD709" i="1"/>
  <c r="AY709" i="1"/>
  <c r="BL709" i="1" s="1"/>
  <c r="L709" i="1"/>
  <c r="BO708" i="1"/>
  <c r="BJ708" i="1"/>
  <c r="BI708" i="1"/>
  <c r="BH708" i="1"/>
  <c r="BT708" i="1" s="1"/>
  <c r="BD708" i="1"/>
  <c r="L708" i="1"/>
  <c r="BO707" i="1"/>
  <c r="BI707" i="1"/>
  <c r="BH707" i="1"/>
  <c r="BD707" i="1"/>
  <c r="L707" i="1"/>
  <c r="BT706" i="1"/>
  <c r="CA706" i="1" s="1"/>
  <c r="BO706" i="1"/>
  <c r="BD706" i="1"/>
  <c r="L706" i="1"/>
  <c r="BT705" i="1"/>
  <c r="CA705" i="1" s="1"/>
  <c r="BO705" i="1"/>
  <c r="BD705" i="1"/>
  <c r="L705" i="1"/>
  <c r="CA704" i="1"/>
  <c r="BZ704" i="1"/>
  <c r="BT704" i="1"/>
  <c r="BO704" i="1"/>
  <c r="BD704" i="1"/>
  <c r="L704" i="1"/>
  <c r="CA703" i="1"/>
  <c r="BT703" i="1"/>
  <c r="BZ703" i="1" s="1"/>
  <c r="BO703" i="1"/>
  <c r="BD703" i="1"/>
  <c r="L703" i="1"/>
  <c r="BT702" i="1"/>
  <c r="BO702" i="1"/>
  <c r="BL702" i="1"/>
  <c r="BM702" i="1" s="1"/>
  <c r="BK702" i="1"/>
  <c r="BE702" i="1"/>
  <c r="BD702" i="1"/>
  <c r="AY702" i="1"/>
  <c r="L702" i="1"/>
  <c r="BZ701" i="1"/>
  <c r="BT701" i="1"/>
  <c r="CA701" i="1" s="1"/>
  <c r="BO701" i="1"/>
  <c r="BD701" i="1"/>
  <c r="L701" i="1"/>
  <c r="BZ700" i="1"/>
  <c r="BT700" i="1"/>
  <c r="CA700" i="1" s="1"/>
  <c r="BO700" i="1"/>
  <c r="BD700" i="1"/>
  <c r="L700" i="1"/>
  <c r="CA699" i="1"/>
  <c r="BZ699" i="1"/>
  <c r="BT699" i="1"/>
  <c r="BO699" i="1"/>
  <c r="BD699" i="1"/>
  <c r="L699" i="1"/>
  <c r="CA698" i="1"/>
  <c r="BT698" i="1"/>
  <c r="BZ698" i="1" s="1"/>
  <c r="BO698" i="1"/>
  <c r="BD698" i="1"/>
  <c r="L698" i="1"/>
  <c r="BT697" i="1"/>
  <c r="CA697" i="1" s="1"/>
  <c r="BO697" i="1"/>
  <c r="BD697" i="1"/>
  <c r="L697" i="1"/>
  <c r="BZ696" i="1"/>
  <c r="BT696" i="1"/>
  <c r="CA696" i="1" s="1"/>
  <c r="BO696" i="1"/>
  <c r="BD696" i="1"/>
  <c r="L696" i="1"/>
  <c r="CA695" i="1"/>
  <c r="BZ695" i="1"/>
  <c r="BT695" i="1"/>
  <c r="BO695" i="1"/>
  <c r="BD695" i="1"/>
  <c r="L695" i="1"/>
  <c r="CA694" i="1"/>
  <c r="BO694" i="1"/>
  <c r="BN694" i="1"/>
  <c r="BJ694" i="1"/>
  <c r="BI694" i="1"/>
  <c r="BH694" i="1"/>
  <c r="BT694" i="1" s="1"/>
  <c r="BZ694" i="1" s="1"/>
  <c r="BD694" i="1"/>
  <c r="L694" i="1"/>
  <c r="BO693" i="1"/>
  <c r="BI693" i="1"/>
  <c r="BH693" i="1"/>
  <c r="BD693" i="1"/>
  <c r="L693" i="1"/>
  <c r="BT692" i="1"/>
  <c r="BZ692" i="1" s="1"/>
  <c r="BO692" i="1"/>
  <c r="BD692" i="1"/>
  <c r="L692" i="1"/>
  <c r="BO691" i="1"/>
  <c r="BK691" i="1"/>
  <c r="BE691" i="1"/>
  <c r="BD691" i="1"/>
  <c r="AY691" i="1"/>
  <c r="BL691" i="1" s="1"/>
  <c r="L691" i="1"/>
  <c r="BZ690" i="1"/>
  <c r="BT690" i="1"/>
  <c r="CA690" i="1" s="1"/>
  <c r="BO690" i="1"/>
  <c r="BD690" i="1"/>
  <c r="L690" i="1"/>
  <c r="CA689" i="1"/>
  <c r="BZ689" i="1"/>
  <c r="BT689" i="1"/>
  <c r="BO689" i="1"/>
  <c r="BD689" i="1"/>
  <c r="L689" i="1"/>
  <c r="BO688" i="1"/>
  <c r="BN688" i="1"/>
  <c r="BJ688" i="1"/>
  <c r="BI688" i="1"/>
  <c r="BH688" i="1"/>
  <c r="BT688" i="1" s="1"/>
  <c r="BZ688" i="1" s="1"/>
  <c r="BD688" i="1"/>
  <c r="L688" i="1"/>
  <c r="BO687" i="1"/>
  <c r="BN687" i="1"/>
  <c r="BT687" i="1" s="1"/>
  <c r="BJ687" i="1"/>
  <c r="BI687" i="1"/>
  <c r="BH687" i="1"/>
  <c r="BD687" i="1"/>
  <c r="L687" i="1"/>
  <c r="BO686" i="1"/>
  <c r="BJ686" i="1"/>
  <c r="BI686" i="1"/>
  <c r="BH686" i="1"/>
  <c r="BT686" i="1" s="1"/>
  <c r="CA686" i="1" s="1"/>
  <c r="BD686" i="1"/>
  <c r="L686" i="1"/>
  <c r="CA685" i="1"/>
  <c r="BT685" i="1"/>
  <c r="BZ685" i="1" s="1"/>
  <c r="BO685" i="1"/>
  <c r="BD685" i="1"/>
  <c r="L685" i="1"/>
  <c r="BT684" i="1"/>
  <c r="BZ684" i="1" s="1"/>
  <c r="BO684" i="1"/>
  <c r="BJ684" i="1"/>
  <c r="BI684" i="1"/>
  <c r="BH684" i="1"/>
  <c r="BD684" i="1"/>
  <c r="L684" i="1"/>
  <c r="BZ683" i="1"/>
  <c r="BO683" i="1"/>
  <c r="BJ683" i="1"/>
  <c r="BI683" i="1"/>
  <c r="BH683" i="1"/>
  <c r="BT683" i="1" s="1"/>
  <c r="CA683" i="1" s="1"/>
  <c r="BD683" i="1"/>
  <c r="L683" i="1"/>
  <c r="CA682" i="1"/>
  <c r="BT682" i="1"/>
  <c r="BZ682" i="1" s="1"/>
  <c r="BO682" i="1"/>
  <c r="BD682" i="1"/>
  <c r="L682" i="1"/>
  <c r="BT681" i="1"/>
  <c r="BZ681" i="1" s="1"/>
  <c r="BO681" i="1"/>
  <c r="BJ681" i="1"/>
  <c r="BI681" i="1"/>
  <c r="BH681" i="1"/>
  <c r="BD681" i="1"/>
  <c r="L681" i="1"/>
  <c r="BO680" i="1"/>
  <c r="BJ680" i="1"/>
  <c r="BI680" i="1"/>
  <c r="BH680" i="1"/>
  <c r="BT680" i="1" s="1"/>
  <c r="CA680" i="1" s="1"/>
  <c r="BD680" i="1"/>
  <c r="L680" i="1"/>
  <c r="CA679" i="1"/>
  <c r="BT679" i="1"/>
  <c r="BZ679" i="1" s="1"/>
  <c r="BO679" i="1"/>
  <c r="BD679" i="1"/>
  <c r="L679" i="1"/>
  <c r="BT678" i="1"/>
  <c r="BZ678" i="1" s="1"/>
  <c r="BO678" i="1"/>
  <c r="BD678" i="1"/>
  <c r="L678" i="1"/>
  <c r="BT677" i="1"/>
  <c r="BO677" i="1"/>
  <c r="BD677" i="1"/>
  <c r="L677" i="1"/>
  <c r="BI676" i="1"/>
  <c r="BH676" i="1"/>
  <c r="K676" i="1"/>
  <c r="BD676" i="1" s="1"/>
  <c r="BI675" i="1"/>
  <c r="BH675" i="1"/>
  <c r="BD675" i="1"/>
  <c r="K675" i="1"/>
  <c r="BO674" i="1"/>
  <c r="BI674" i="1"/>
  <c r="BT674" i="1" s="1"/>
  <c r="BH674" i="1"/>
  <c r="BD674" i="1"/>
  <c r="L674" i="1"/>
  <c r="BZ673" i="1"/>
  <c r="BO673" i="1"/>
  <c r="BI673" i="1"/>
  <c r="BH673" i="1"/>
  <c r="BT673" i="1" s="1"/>
  <c r="CA673" i="1" s="1"/>
  <c r="BD673" i="1"/>
  <c r="L673" i="1"/>
  <c r="BT672" i="1"/>
  <c r="BZ672" i="1" s="1"/>
  <c r="BO672" i="1"/>
  <c r="BI672" i="1"/>
  <c r="BH672" i="1"/>
  <c r="BD672" i="1"/>
  <c r="L672" i="1"/>
  <c r="BZ671" i="1"/>
  <c r="BT671" i="1"/>
  <c r="CA671" i="1" s="1"/>
  <c r="BO671" i="1"/>
  <c r="BI671" i="1"/>
  <c r="BJ671" i="1" s="1"/>
  <c r="BH671" i="1"/>
  <c r="BD671" i="1"/>
  <c r="L671" i="1"/>
  <c r="CA670" i="1"/>
  <c r="BZ670" i="1"/>
  <c r="BO670" i="1"/>
  <c r="BI670" i="1"/>
  <c r="BH670" i="1"/>
  <c r="BT670" i="1" s="1"/>
  <c r="BD670" i="1"/>
  <c r="L670" i="1"/>
  <c r="CA669" i="1"/>
  <c r="BT669" i="1"/>
  <c r="BZ669" i="1" s="1"/>
  <c r="BO669" i="1"/>
  <c r="BI669" i="1"/>
  <c r="BH669" i="1"/>
  <c r="BJ669" i="1" s="1"/>
  <c r="BD669" i="1"/>
  <c r="L669" i="1"/>
  <c r="BZ668" i="1"/>
  <c r="BT668" i="1"/>
  <c r="CA668" i="1" s="1"/>
  <c r="BN668" i="1"/>
  <c r="BO668" i="1" s="1"/>
  <c r="BI668" i="1"/>
  <c r="BH668" i="1"/>
  <c r="BD668" i="1"/>
  <c r="L668" i="1"/>
  <c r="BT667" i="1"/>
  <c r="BO667" i="1"/>
  <c r="BD667" i="1"/>
  <c r="L667" i="1"/>
  <c r="BT666" i="1"/>
  <c r="CA666" i="1" s="1"/>
  <c r="BO666" i="1"/>
  <c r="BD666" i="1"/>
  <c r="L666" i="1"/>
  <c r="CA665" i="1"/>
  <c r="BZ665" i="1"/>
  <c r="BT665" i="1"/>
  <c r="BO665" i="1"/>
  <c r="BD665" i="1"/>
  <c r="L665" i="1"/>
  <c r="BT664" i="1"/>
  <c r="BO664" i="1"/>
  <c r="BD664" i="1"/>
  <c r="L664" i="1"/>
  <c r="BT663" i="1"/>
  <c r="BZ663" i="1" s="1"/>
  <c r="BO663" i="1"/>
  <c r="BD663" i="1"/>
  <c r="L663" i="1"/>
  <c r="BZ662" i="1"/>
  <c r="BT662" i="1"/>
  <c r="CA662" i="1" s="1"/>
  <c r="BO662" i="1"/>
  <c r="BD662" i="1"/>
  <c r="L662" i="1"/>
  <c r="CA661" i="1"/>
  <c r="BZ661" i="1"/>
  <c r="BT661" i="1"/>
  <c r="BO661" i="1"/>
  <c r="BD661" i="1"/>
  <c r="L661" i="1"/>
  <c r="BT660" i="1"/>
  <c r="BZ660" i="1" s="1"/>
  <c r="BO660" i="1"/>
  <c r="BD660" i="1"/>
  <c r="L660" i="1"/>
  <c r="CA659" i="1"/>
  <c r="BT659" i="1"/>
  <c r="BZ659" i="1" s="1"/>
  <c r="BO659" i="1"/>
  <c r="BD659" i="1"/>
  <c r="L659" i="1"/>
  <c r="BT658" i="1"/>
  <c r="CA658" i="1" s="1"/>
  <c r="BO658" i="1"/>
  <c r="BD658" i="1"/>
  <c r="L658" i="1"/>
  <c r="CA657" i="1"/>
  <c r="BZ657" i="1"/>
  <c r="BT657" i="1"/>
  <c r="BO657" i="1"/>
  <c r="BD657" i="1"/>
  <c r="L657" i="1"/>
  <c r="CA656" i="1"/>
  <c r="BT656" i="1"/>
  <c r="BZ656" i="1" s="1"/>
  <c r="BO656" i="1"/>
  <c r="BD656" i="1"/>
  <c r="L656" i="1"/>
  <c r="BT655" i="1"/>
  <c r="BZ655" i="1" s="1"/>
  <c r="BO655" i="1"/>
  <c r="BD655" i="1"/>
  <c r="L655" i="1"/>
  <c r="BZ654" i="1"/>
  <c r="BT654" i="1"/>
  <c r="CA654" i="1" s="1"/>
  <c r="BO654" i="1"/>
  <c r="BD654" i="1"/>
  <c r="L654" i="1"/>
  <c r="CA653" i="1"/>
  <c r="BZ653" i="1"/>
  <c r="BT653" i="1"/>
  <c r="BO653" i="1"/>
  <c r="BD653" i="1"/>
  <c r="L653" i="1"/>
  <c r="BT652" i="1"/>
  <c r="BZ652" i="1" s="1"/>
  <c r="BO652" i="1"/>
  <c r="BD652" i="1"/>
  <c r="L652" i="1"/>
  <c r="BO651" i="1"/>
  <c r="BI651" i="1"/>
  <c r="BT651" i="1" s="1"/>
  <c r="BH651" i="1"/>
  <c r="BD651" i="1"/>
  <c r="L651" i="1"/>
  <c r="BZ650" i="1"/>
  <c r="BO650" i="1"/>
  <c r="BI650" i="1"/>
  <c r="BH650" i="1"/>
  <c r="BT650" i="1" s="1"/>
  <c r="CA650" i="1" s="1"/>
  <c r="BD650" i="1"/>
  <c r="L650" i="1"/>
  <c r="BT649" i="1"/>
  <c r="BO649" i="1"/>
  <c r="BI649" i="1"/>
  <c r="BH649" i="1"/>
  <c r="BD649" i="1"/>
  <c r="L649" i="1"/>
  <c r="BZ648" i="1"/>
  <c r="BT648" i="1"/>
  <c r="CA648" i="1" s="1"/>
  <c r="BO648" i="1"/>
  <c r="BI648" i="1"/>
  <c r="BJ648" i="1" s="1"/>
  <c r="BH648" i="1"/>
  <c r="BD648" i="1"/>
  <c r="L648" i="1"/>
  <c r="CA647" i="1"/>
  <c r="BZ647" i="1"/>
  <c r="BO647" i="1"/>
  <c r="BI647" i="1"/>
  <c r="BH647" i="1"/>
  <c r="BT647" i="1" s="1"/>
  <c r="BD647" i="1"/>
  <c r="L647" i="1"/>
  <c r="CA646" i="1"/>
  <c r="BT646" i="1"/>
  <c r="BZ646" i="1" s="1"/>
  <c r="BO646" i="1"/>
  <c r="BI646" i="1"/>
  <c r="BH646" i="1"/>
  <c r="BJ646" i="1" s="1"/>
  <c r="BD646" i="1"/>
  <c r="L646" i="1"/>
  <c r="BZ645" i="1"/>
  <c r="BT645" i="1"/>
  <c r="CA645" i="1" s="1"/>
  <c r="BO645" i="1"/>
  <c r="BJ645" i="1"/>
  <c r="BI645" i="1"/>
  <c r="BH645" i="1"/>
  <c r="BD645" i="1"/>
  <c r="L645" i="1"/>
  <c r="BO644" i="1"/>
  <c r="BI644" i="1"/>
  <c r="BH644" i="1"/>
  <c r="L644" i="1"/>
  <c r="K644" i="1"/>
  <c r="BD644" i="1" s="1"/>
  <c r="BO643" i="1"/>
  <c r="BN643" i="1"/>
  <c r="BT643" i="1" s="1"/>
  <c r="BI643" i="1"/>
  <c r="BH643" i="1"/>
  <c r="BJ643" i="1" s="1"/>
  <c r="BD643" i="1"/>
  <c r="L643" i="1"/>
  <c r="BN642" i="1"/>
  <c r="BI642" i="1"/>
  <c r="BH642" i="1"/>
  <c r="BJ642" i="1" s="1"/>
  <c r="BD642" i="1"/>
  <c r="L642" i="1"/>
  <c r="BO641" i="1"/>
  <c r="BI641" i="1"/>
  <c r="AX641" i="1"/>
  <c r="L641" i="1"/>
  <c r="BO640" i="1"/>
  <c r="BI640" i="1"/>
  <c r="BH640" i="1"/>
  <c r="AX640" i="1"/>
  <c r="L640" i="1"/>
  <c r="BO639" i="1"/>
  <c r="BI639" i="1"/>
  <c r="BH639" i="1"/>
  <c r="BJ639" i="1" s="1"/>
  <c r="BD639" i="1"/>
  <c r="AX639" i="1"/>
  <c r="L639" i="1"/>
  <c r="BO638" i="1"/>
  <c r="BI638" i="1"/>
  <c r="BJ638" i="1" s="1"/>
  <c r="BD638" i="1"/>
  <c r="AX638" i="1"/>
  <c r="BH638" i="1" s="1"/>
  <c r="L638" i="1"/>
  <c r="BO637" i="1"/>
  <c r="BI637" i="1"/>
  <c r="BD637" i="1"/>
  <c r="AX637" i="1"/>
  <c r="BH637" i="1" s="1"/>
  <c r="L637" i="1"/>
  <c r="BO636" i="1"/>
  <c r="BI636" i="1"/>
  <c r="BH636" i="1"/>
  <c r="BJ636" i="1" s="1"/>
  <c r="BD636" i="1"/>
  <c r="AX636" i="1"/>
  <c r="L636" i="1"/>
  <c r="BO635" i="1"/>
  <c r="BI635" i="1"/>
  <c r="BH635" i="1"/>
  <c r="BJ635" i="1" s="1"/>
  <c r="BD635" i="1"/>
  <c r="AX635" i="1"/>
  <c r="L635" i="1"/>
  <c r="BO634" i="1"/>
  <c r="BI634" i="1"/>
  <c r="BJ634" i="1" s="1"/>
  <c r="BD634" i="1"/>
  <c r="AX634" i="1"/>
  <c r="BH634" i="1" s="1"/>
  <c r="BT634" i="1" s="1"/>
  <c r="L634" i="1"/>
  <c r="BO633" i="1"/>
  <c r="BI633" i="1"/>
  <c r="BT633" i="1" s="1"/>
  <c r="BH633" i="1"/>
  <c r="BJ633" i="1" s="1"/>
  <c r="BD633" i="1"/>
  <c r="L633" i="1"/>
  <c r="BN632" i="1"/>
  <c r="BO632" i="1" s="1"/>
  <c r="BI632" i="1"/>
  <c r="BH632" i="1"/>
  <c r="BD632" i="1"/>
  <c r="L632" i="1"/>
  <c r="BO631" i="1"/>
  <c r="BL631" i="1"/>
  <c r="BK631" i="1"/>
  <c r="BE631" i="1"/>
  <c r="BD631" i="1"/>
  <c r="AY631" i="1"/>
  <c r="L631" i="1"/>
  <c r="BT630" i="1"/>
  <c r="CA630" i="1" s="1"/>
  <c r="BO630" i="1"/>
  <c r="BM630" i="1"/>
  <c r="BL630" i="1"/>
  <c r="BE630" i="1"/>
  <c r="BD630" i="1"/>
  <c r="AY630" i="1"/>
  <c r="BK630" i="1" s="1"/>
  <c r="L630" i="1"/>
  <c r="BO629" i="1"/>
  <c r="BD629" i="1"/>
  <c r="AY629" i="1"/>
  <c r="BL629" i="1" s="1"/>
  <c r="L629" i="1"/>
  <c r="BZ628" i="1"/>
  <c r="BO628" i="1"/>
  <c r="BF628" i="1"/>
  <c r="AZ628" i="1"/>
  <c r="BT628" i="1" s="1"/>
  <c r="CA628" i="1" s="1"/>
  <c r="L628" i="1"/>
  <c r="BO627" i="1"/>
  <c r="BJ627" i="1"/>
  <c r="BI627" i="1"/>
  <c r="BH627" i="1"/>
  <c r="BT627" i="1" s="1"/>
  <c r="BD627" i="1"/>
  <c r="L627" i="1"/>
  <c r="K627" i="1"/>
  <c r="BO626" i="1"/>
  <c r="BI626" i="1"/>
  <c r="BJ626" i="1" s="1"/>
  <c r="BH626" i="1"/>
  <c r="L626" i="1"/>
  <c r="K626" i="1"/>
  <c r="BD626" i="1" s="1"/>
  <c r="AX625" i="1"/>
  <c r="K625" i="1"/>
  <c r="L625" i="1" s="1"/>
  <c r="BI624" i="1"/>
  <c r="BH624" i="1"/>
  <c r="K624" i="1"/>
  <c r="BD624" i="1" s="1"/>
  <c r="BO623" i="1"/>
  <c r="BI623" i="1"/>
  <c r="BJ623" i="1" s="1"/>
  <c r="BH623" i="1"/>
  <c r="BD623" i="1"/>
  <c r="K623" i="1"/>
  <c r="L623" i="1" s="1"/>
  <c r="BT622" i="1"/>
  <c r="BO622" i="1"/>
  <c r="BI622" i="1"/>
  <c r="BJ622" i="1" s="1"/>
  <c r="BH622" i="1"/>
  <c r="BD622" i="1"/>
  <c r="K622" i="1"/>
  <c r="L622" i="1" s="1"/>
  <c r="BI621" i="1"/>
  <c r="BJ621" i="1" s="1"/>
  <c r="BH621" i="1"/>
  <c r="K621" i="1"/>
  <c r="BD621" i="1" s="1"/>
  <c r="BI620" i="1"/>
  <c r="BH620" i="1"/>
  <c r="K620" i="1"/>
  <c r="BD620" i="1" s="1"/>
  <c r="BZ619" i="1"/>
  <c r="BO619" i="1"/>
  <c r="BN619" i="1"/>
  <c r="BT619" i="1" s="1"/>
  <c r="CA619" i="1" s="1"/>
  <c r="BJ619" i="1"/>
  <c r="BI619" i="1"/>
  <c r="BH619" i="1"/>
  <c r="BD619" i="1"/>
  <c r="L619" i="1"/>
  <c r="BZ618" i="1"/>
  <c r="BT618" i="1"/>
  <c r="CA618" i="1" s="1"/>
  <c r="BO618" i="1"/>
  <c r="BJ618" i="1"/>
  <c r="BI618" i="1"/>
  <c r="BH618" i="1"/>
  <c r="BD618" i="1"/>
  <c r="L618" i="1"/>
  <c r="CA617" i="1"/>
  <c r="BZ617" i="1"/>
  <c r="BT617" i="1"/>
  <c r="BO617" i="1"/>
  <c r="BI617" i="1"/>
  <c r="BH617" i="1"/>
  <c r="BJ617" i="1" s="1"/>
  <c r="BD617" i="1"/>
  <c r="L617" i="1"/>
  <c r="BT616" i="1"/>
  <c r="BZ616" i="1" s="1"/>
  <c r="BO616" i="1"/>
  <c r="BN616" i="1"/>
  <c r="BI616" i="1"/>
  <c r="BH616" i="1"/>
  <c r="BJ616" i="1" s="1"/>
  <c r="BD616" i="1"/>
  <c r="L616" i="1"/>
  <c r="BO615" i="1"/>
  <c r="BI615" i="1"/>
  <c r="BH615" i="1"/>
  <c r="BD615" i="1"/>
  <c r="L615" i="1"/>
  <c r="BT614" i="1"/>
  <c r="BO614" i="1"/>
  <c r="BI614" i="1"/>
  <c r="BH614" i="1"/>
  <c r="BJ614" i="1" s="1"/>
  <c r="BD614" i="1"/>
  <c r="L614" i="1"/>
  <c r="BO613" i="1"/>
  <c r="BI613" i="1"/>
  <c r="BH613" i="1"/>
  <c r="BD613" i="1"/>
  <c r="L613" i="1"/>
  <c r="CA612" i="1"/>
  <c r="BT612" i="1"/>
  <c r="BZ612" i="1" s="1"/>
  <c r="BO612" i="1"/>
  <c r="BI612" i="1"/>
  <c r="BH612" i="1"/>
  <c r="BJ612" i="1" s="1"/>
  <c r="BD612" i="1"/>
  <c r="L612" i="1"/>
  <c r="K612" i="1"/>
  <c r="BO611" i="1"/>
  <c r="BI611" i="1"/>
  <c r="BH611" i="1"/>
  <c r="BD611" i="1"/>
  <c r="L611" i="1"/>
  <c r="BO610" i="1"/>
  <c r="BI610" i="1"/>
  <c r="BJ610" i="1" s="1"/>
  <c r="BH610" i="1"/>
  <c r="BD610" i="1"/>
  <c r="L610" i="1"/>
  <c r="BD609" i="1"/>
  <c r="K609" i="1"/>
  <c r="BO609" i="1" s="1"/>
  <c r="I609" i="1"/>
  <c r="BO608" i="1"/>
  <c r="BI608" i="1"/>
  <c r="BH608" i="1"/>
  <c r="BD608" i="1"/>
  <c r="L608" i="1"/>
  <c r="BO607" i="1"/>
  <c r="BI607" i="1"/>
  <c r="BH607" i="1"/>
  <c r="BD607" i="1"/>
  <c r="L607" i="1"/>
  <c r="I607" i="1"/>
  <c r="BO606" i="1"/>
  <c r="BJ606" i="1"/>
  <c r="BI606" i="1"/>
  <c r="BH606" i="1"/>
  <c r="BT606" i="1" s="1"/>
  <c r="BD606" i="1"/>
  <c r="L606" i="1"/>
  <c r="BO605" i="1"/>
  <c r="BI605" i="1"/>
  <c r="BT605" i="1" s="1"/>
  <c r="BH605" i="1"/>
  <c r="BD605" i="1"/>
  <c r="L605" i="1"/>
  <c r="BN604" i="1"/>
  <c r="BI604" i="1"/>
  <c r="BH604" i="1"/>
  <c r="BD604" i="1"/>
  <c r="L604" i="1"/>
  <c r="BO603" i="1"/>
  <c r="BI603" i="1"/>
  <c r="BJ603" i="1" s="1"/>
  <c r="BH603" i="1"/>
  <c r="BT603" i="1" s="1"/>
  <c r="BD603" i="1"/>
  <c r="L603" i="1"/>
  <c r="BZ602" i="1"/>
  <c r="BT602" i="1"/>
  <c r="CA602" i="1" s="1"/>
  <c r="BO602" i="1"/>
  <c r="BD602" i="1"/>
  <c r="L602" i="1"/>
  <c r="CA601" i="1"/>
  <c r="BZ601" i="1"/>
  <c r="BT601" i="1"/>
  <c r="BO601" i="1"/>
  <c r="BD601" i="1"/>
  <c r="L601" i="1"/>
  <c r="BO600" i="1"/>
  <c r="BN600" i="1"/>
  <c r="BI600" i="1"/>
  <c r="BH600" i="1"/>
  <c r="BJ600" i="1" s="1"/>
  <c r="BD600" i="1"/>
  <c r="L600" i="1"/>
  <c r="BO599" i="1"/>
  <c r="BD599" i="1"/>
  <c r="AY599" i="1"/>
  <c r="L599" i="1"/>
  <c r="BO598" i="1"/>
  <c r="BI598" i="1"/>
  <c r="BH598" i="1"/>
  <c r="BD598" i="1"/>
  <c r="L598" i="1"/>
  <c r="BO597" i="1"/>
  <c r="BI597" i="1"/>
  <c r="BT597" i="1" s="1"/>
  <c r="CA597" i="1" s="1"/>
  <c r="BH597" i="1"/>
  <c r="BD597" i="1"/>
  <c r="L597" i="1"/>
  <c r="BO596" i="1"/>
  <c r="BI596" i="1"/>
  <c r="BH596" i="1"/>
  <c r="BD596" i="1"/>
  <c r="L596" i="1"/>
  <c r="BO595" i="1"/>
  <c r="BI595" i="1"/>
  <c r="BH595" i="1"/>
  <c r="BD595" i="1"/>
  <c r="L595" i="1"/>
  <c r="BZ594" i="1"/>
  <c r="BT594" i="1"/>
  <c r="CA594" i="1" s="1"/>
  <c r="BO594" i="1"/>
  <c r="BD594" i="1"/>
  <c r="L594" i="1"/>
  <c r="BO593" i="1"/>
  <c r="AX593" i="1"/>
  <c r="L593" i="1"/>
  <c r="BO592" i="1"/>
  <c r="AX592" i="1"/>
  <c r="L592" i="1"/>
  <c r="BO591" i="1"/>
  <c r="BI591" i="1"/>
  <c r="BH591" i="1"/>
  <c r="BJ591" i="1" s="1"/>
  <c r="BD591" i="1"/>
  <c r="AX591" i="1"/>
  <c r="L591" i="1"/>
  <c r="BO590" i="1"/>
  <c r="BI590" i="1"/>
  <c r="BH590" i="1"/>
  <c r="BD590" i="1"/>
  <c r="L590" i="1"/>
  <c r="BO589" i="1"/>
  <c r="BI589" i="1"/>
  <c r="BH589" i="1"/>
  <c r="BD589" i="1"/>
  <c r="L589" i="1"/>
  <c r="BO588" i="1"/>
  <c r="BJ588" i="1"/>
  <c r="BI588" i="1"/>
  <c r="BH588" i="1"/>
  <c r="BT588" i="1" s="1"/>
  <c r="BD588" i="1"/>
  <c r="L588" i="1"/>
  <c r="BO587" i="1"/>
  <c r="BI587" i="1"/>
  <c r="BH587" i="1"/>
  <c r="BD587" i="1"/>
  <c r="L587" i="1"/>
  <c r="BT586" i="1"/>
  <c r="CA586" i="1" s="1"/>
  <c r="BO586" i="1"/>
  <c r="BJ586" i="1"/>
  <c r="BH586" i="1"/>
  <c r="BD586" i="1"/>
  <c r="AX586" i="1"/>
  <c r="BI586" i="1" s="1"/>
  <c r="L586" i="1"/>
  <c r="BT585" i="1"/>
  <c r="BO585" i="1"/>
  <c r="BI585" i="1"/>
  <c r="BJ585" i="1" s="1"/>
  <c r="BH585" i="1"/>
  <c r="BD585" i="1"/>
  <c r="L585" i="1"/>
  <c r="BT584" i="1"/>
  <c r="CA584" i="1" s="1"/>
  <c r="BO584" i="1"/>
  <c r="BJ584" i="1"/>
  <c r="BI584" i="1"/>
  <c r="BH584" i="1"/>
  <c r="BD584" i="1"/>
  <c r="L584" i="1"/>
  <c r="CA583" i="1"/>
  <c r="BZ583" i="1"/>
  <c r="BT583" i="1"/>
  <c r="BO583" i="1"/>
  <c r="BI583" i="1"/>
  <c r="BH583" i="1"/>
  <c r="BJ583" i="1" s="1"/>
  <c r="BD583" i="1"/>
  <c r="L583" i="1"/>
  <c r="BT582" i="1"/>
  <c r="BZ582" i="1" s="1"/>
  <c r="BO582" i="1"/>
  <c r="BI582" i="1"/>
  <c r="BH582" i="1"/>
  <c r="BJ582" i="1" s="1"/>
  <c r="BD582" i="1"/>
  <c r="L582" i="1"/>
  <c r="BO581" i="1"/>
  <c r="BI581" i="1"/>
  <c r="BH581" i="1"/>
  <c r="BD581" i="1"/>
  <c r="L581" i="1"/>
  <c r="BO580" i="1"/>
  <c r="BI580" i="1"/>
  <c r="BH580" i="1"/>
  <c r="BD580" i="1"/>
  <c r="L580" i="1"/>
  <c r="BO579" i="1"/>
  <c r="BI579" i="1"/>
  <c r="BJ579" i="1" s="1"/>
  <c r="BH579" i="1"/>
  <c r="BT579" i="1" s="1"/>
  <c r="BD579" i="1"/>
  <c r="L579" i="1"/>
  <c r="BT578" i="1"/>
  <c r="CA578" i="1" s="1"/>
  <c r="BO578" i="1"/>
  <c r="BD578" i="1"/>
  <c r="L578" i="1"/>
  <c r="BO577" i="1"/>
  <c r="BI577" i="1"/>
  <c r="BH577" i="1"/>
  <c r="BD577" i="1"/>
  <c r="L577" i="1"/>
  <c r="BO576" i="1"/>
  <c r="BI576" i="1"/>
  <c r="BJ576" i="1" s="1"/>
  <c r="BH576" i="1"/>
  <c r="BT576" i="1" s="1"/>
  <c r="BD576" i="1"/>
  <c r="L576" i="1"/>
  <c r="BO575" i="1"/>
  <c r="BJ575" i="1"/>
  <c r="BI575" i="1"/>
  <c r="BH575" i="1"/>
  <c r="BT575" i="1" s="1"/>
  <c r="BD575" i="1"/>
  <c r="L575" i="1"/>
  <c r="BT574" i="1"/>
  <c r="BO574" i="1"/>
  <c r="BI574" i="1"/>
  <c r="BJ574" i="1" s="1"/>
  <c r="BH574" i="1"/>
  <c r="BD574" i="1"/>
  <c r="L574" i="1"/>
  <c r="BT573" i="1"/>
  <c r="CA573" i="1" s="1"/>
  <c r="BO573" i="1"/>
  <c r="BJ573" i="1"/>
  <c r="BI573" i="1"/>
  <c r="BH573" i="1"/>
  <c r="BD573" i="1"/>
  <c r="L573" i="1"/>
  <c r="CA572" i="1"/>
  <c r="BZ572" i="1"/>
  <c r="BT572" i="1"/>
  <c r="BO572" i="1"/>
  <c r="BI572" i="1"/>
  <c r="BJ572" i="1" s="1"/>
  <c r="BH572" i="1"/>
  <c r="BD572" i="1"/>
  <c r="L572" i="1"/>
  <c r="BT571" i="1"/>
  <c r="BZ571" i="1" s="1"/>
  <c r="BO571" i="1"/>
  <c r="BI571" i="1"/>
  <c r="BH571" i="1"/>
  <c r="BJ571" i="1" s="1"/>
  <c r="BD571" i="1"/>
  <c r="L571" i="1"/>
  <c r="CA570" i="1"/>
  <c r="BZ570" i="1"/>
  <c r="BT570" i="1"/>
  <c r="BO570" i="1"/>
  <c r="BD570" i="1"/>
  <c r="L570" i="1"/>
  <c r="CA569" i="1"/>
  <c r="BZ569" i="1"/>
  <c r="BT569" i="1"/>
  <c r="BO569" i="1"/>
  <c r="BD569" i="1"/>
  <c r="L569" i="1"/>
  <c r="BO568" i="1"/>
  <c r="BI568" i="1"/>
  <c r="BJ568" i="1" s="1"/>
  <c r="BH568" i="1"/>
  <c r="BD568" i="1"/>
  <c r="L568" i="1"/>
  <c r="CA567" i="1"/>
  <c r="BT567" i="1"/>
  <c r="BZ567" i="1" s="1"/>
  <c r="BO567" i="1"/>
  <c r="BJ567" i="1"/>
  <c r="BI567" i="1"/>
  <c r="BH567" i="1"/>
  <c r="BD567" i="1"/>
  <c r="L567" i="1"/>
  <c r="BO566" i="1"/>
  <c r="BN566" i="1"/>
  <c r="BI566" i="1"/>
  <c r="BH566" i="1"/>
  <c r="BD566" i="1"/>
  <c r="L566" i="1"/>
  <c r="CA565" i="1"/>
  <c r="L565" i="1"/>
  <c r="BO564" i="1"/>
  <c r="BN564" i="1"/>
  <c r="BI564" i="1"/>
  <c r="BH564" i="1"/>
  <c r="BJ564" i="1" s="1"/>
  <c r="BD564" i="1"/>
  <c r="L564" i="1"/>
  <c r="BT563" i="1"/>
  <c r="CA563" i="1" s="1"/>
  <c r="BO563" i="1"/>
  <c r="BN563" i="1"/>
  <c r="BJ563" i="1"/>
  <c r="BI563" i="1"/>
  <c r="BH563" i="1"/>
  <c r="BD563" i="1"/>
  <c r="L563" i="1"/>
  <c r="BO562" i="1"/>
  <c r="BN562" i="1"/>
  <c r="BI562" i="1"/>
  <c r="BH562" i="1"/>
  <c r="BD562" i="1"/>
  <c r="L562" i="1"/>
  <c r="AX561" i="1"/>
  <c r="L561" i="1"/>
  <c r="BT560" i="1"/>
  <c r="BO560" i="1"/>
  <c r="BJ560" i="1"/>
  <c r="BI560" i="1"/>
  <c r="BH560" i="1"/>
  <c r="BD560" i="1"/>
  <c r="L560" i="1"/>
  <c r="BO559" i="1"/>
  <c r="BI559" i="1"/>
  <c r="BJ559" i="1" s="1"/>
  <c r="BH559" i="1"/>
  <c r="BD559" i="1"/>
  <c r="L559" i="1"/>
  <c r="CA558" i="1"/>
  <c r="BZ558" i="1"/>
  <c r="BT558" i="1"/>
  <c r="BO558" i="1"/>
  <c r="BJ558" i="1"/>
  <c r="BI558" i="1"/>
  <c r="BH558" i="1"/>
  <c r="BD558" i="1"/>
  <c r="L558" i="1"/>
  <c r="CA557" i="1"/>
  <c r="BZ557" i="1"/>
  <c r="BT557" i="1"/>
  <c r="BO557" i="1"/>
  <c r="BI557" i="1"/>
  <c r="BJ557" i="1" s="1"/>
  <c r="BH557" i="1"/>
  <c r="BD557" i="1"/>
  <c r="L557" i="1"/>
  <c r="BO556" i="1"/>
  <c r="BI556" i="1"/>
  <c r="BH556" i="1"/>
  <c r="BJ556" i="1" s="1"/>
  <c r="BD556" i="1"/>
  <c r="L556" i="1"/>
  <c r="BO555" i="1"/>
  <c r="BI555" i="1"/>
  <c r="BH555" i="1"/>
  <c r="BD555" i="1"/>
  <c r="L555" i="1"/>
  <c r="BO554" i="1"/>
  <c r="BI554" i="1"/>
  <c r="BJ554" i="1" s="1"/>
  <c r="BH554" i="1"/>
  <c r="BD554" i="1"/>
  <c r="L554" i="1"/>
  <c r="BO553" i="1"/>
  <c r="BI553" i="1"/>
  <c r="BJ553" i="1" s="1"/>
  <c r="BH553" i="1"/>
  <c r="BT553" i="1" s="1"/>
  <c r="BD553" i="1"/>
  <c r="L553" i="1"/>
  <c r="BO552" i="1"/>
  <c r="BJ552" i="1"/>
  <c r="BI552" i="1"/>
  <c r="BH552" i="1"/>
  <c r="BT552" i="1" s="1"/>
  <c r="BD552" i="1"/>
  <c r="L552" i="1"/>
  <c r="BO551" i="1"/>
  <c r="BI551" i="1"/>
  <c r="BJ551" i="1" s="1"/>
  <c r="BH551" i="1"/>
  <c r="BD551" i="1"/>
  <c r="L551" i="1"/>
  <c r="CA550" i="1"/>
  <c r="BT550" i="1"/>
  <c r="BZ550" i="1" s="1"/>
  <c r="BO550" i="1"/>
  <c r="BJ550" i="1"/>
  <c r="BI550" i="1"/>
  <c r="BH550" i="1"/>
  <c r="BD550" i="1"/>
  <c r="L550" i="1"/>
  <c r="CA549" i="1"/>
  <c r="BZ549" i="1"/>
  <c r="BT549" i="1"/>
  <c r="BO549" i="1"/>
  <c r="BI549" i="1"/>
  <c r="BH549" i="1"/>
  <c r="BJ549" i="1" s="1"/>
  <c r="BD549" i="1"/>
  <c r="L549" i="1"/>
  <c r="BT548" i="1"/>
  <c r="BZ548" i="1" s="1"/>
  <c r="BO548" i="1"/>
  <c r="BI548" i="1"/>
  <c r="BH548" i="1"/>
  <c r="BJ548" i="1" s="1"/>
  <c r="BD548" i="1"/>
  <c r="L548" i="1"/>
  <c r="BO547" i="1"/>
  <c r="BI547" i="1"/>
  <c r="BH547" i="1"/>
  <c r="BD547" i="1"/>
  <c r="L547" i="1"/>
  <c r="BO546" i="1"/>
  <c r="BJ546" i="1"/>
  <c r="BI546" i="1"/>
  <c r="BH546" i="1"/>
  <c r="BT546" i="1" s="1"/>
  <c r="BZ546" i="1" s="1"/>
  <c r="BD546" i="1"/>
  <c r="L546" i="1"/>
  <c r="BO545" i="1"/>
  <c r="BI545" i="1"/>
  <c r="BJ545" i="1" s="1"/>
  <c r="BH545" i="1"/>
  <c r="BT545" i="1" s="1"/>
  <c r="BD545" i="1"/>
  <c r="L545" i="1"/>
  <c r="BT544" i="1"/>
  <c r="BO544" i="1"/>
  <c r="BI544" i="1"/>
  <c r="BH544" i="1"/>
  <c r="BJ544" i="1" s="1"/>
  <c r="BD544" i="1"/>
  <c r="L544" i="1"/>
  <c r="BT543" i="1"/>
  <c r="CA543" i="1" s="1"/>
  <c r="BO543" i="1"/>
  <c r="BI543" i="1"/>
  <c r="BJ543" i="1" s="1"/>
  <c r="BH543" i="1"/>
  <c r="BD543" i="1"/>
  <c r="L543" i="1"/>
  <c r="BT542" i="1"/>
  <c r="BZ542" i="1" s="1"/>
  <c r="BO542" i="1"/>
  <c r="BJ542" i="1"/>
  <c r="BI542" i="1"/>
  <c r="BH542" i="1"/>
  <c r="BD542" i="1"/>
  <c r="L542" i="1"/>
  <c r="CA541" i="1"/>
  <c r="BZ541" i="1"/>
  <c r="BT541" i="1"/>
  <c r="BO541" i="1"/>
  <c r="BI541" i="1"/>
  <c r="BH541" i="1"/>
  <c r="BJ541" i="1" s="1"/>
  <c r="BD541" i="1"/>
  <c r="L541" i="1"/>
  <c r="BT540" i="1"/>
  <c r="BZ540" i="1" s="1"/>
  <c r="BO540" i="1"/>
  <c r="BI540" i="1"/>
  <c r="BH540" i="1"/>
  <c r="BJ540" i="1" s="1"/>
  <c r="BD540" i="1"/>
  <c r="L540" i="1"/>
  <c r="BO539" i="1"/>
  <c r="BI539" i="1"/>
  <c r="BH539" i="1"/>
  <c r="BD539" i="1"/>
  <c r="L539" i="1"/>
  <c r="BO538" i="1"/>
  <c r="BI538" i="1"/>
  <c r="BH538" i="1"/>
  <c r="BD538" i="1"/>
  <c r="L538" i="1"/>
  <c r="BO537" i="1"/>
  <c r="BI537" i="1"/>
  <c r="BJ537" i="1" s="1"/>
  <c r="BH537" i="1"/>
  <c r="BD537" i="1"/>
  <c r="L537" i="1"/>
  <c r="BO536" i="1"/>
  <c r="BI536" i="1"/>
  <c r="BH536" i="1"/>
  <c r="BT536" i="1" s="1"/>
  <c r="BD536" i="1"/>
  <c r="L536" i="1"/>
  <c r="BZ535" i="1"/>
  <c r="BT535" i="1"/>
  <c r="CA535" i="1" s="1"/>
  <c r="BO535" i="1"/>
  <c r="BN535" i="1"/>
  <c r="BJ535" i="1"/>
  <c r="BI535" i="1"/>
  <c r="BH535" i="1"/>
  <c r="BD535" i="1"/>
  <c r="L535" i="1"/>
  <c r="BO534" i="1"/>
  <c r="BN534" i="1"/>
  <c r="BI534" i="1"/>
  <c r="BH534" i="1"/>
  <c r="BD534" i="1"/>
  <c r="L534" i="1"/>
  <c r="BO533" i="1"/>
  <c r="BN533" i="1"/>
  <c r="BI533" i="1"/>
  <c r="BJ533" i="1" s="1"/>
  <c r="BH533" i="1"/>
  <c r="BD533" i="1"/>
  <c r="L533" i="1"/>
  <c r="BO532" i="1"/>
  <c r="BN532" i="1"/>
  <c r="BI532" i="1"/>
  <c r="BH532" i="1"/>
  <c r="BJ532" i="1" s="1"/>
  <c r="BD532" i="1"/>
  <c r="L532" i="1"/>
  <c r="BZ531" i="1"/>
  <c r="BT531" i="1"/>
  <c r="CA531" i="1" s="1"/>
  <c r="BO531" i="1"/>
  <c r="AZ531" i="1"/>
  <c r="BF531" i="1" s="1"/>
  <c r="L531" i="1"/>
  <c r="BN530" i="1"/>
  <c r="BO530" i="1" s="1"/>
  <c r="BL530" i="1"/>
  <c r="BD530" i="1"/>
  <c r="AY530" i="1"/>
  <c r="L530" i="1"/>
  <c r="BT529" i="1"/>
  <c r="BZ529" i="1" s="1"/>
  <c r="BL529" i="1"/>
  <c r="BK529" i="1"/>
  <c r="BM529" i="1" s="1"/>
  <c r="BE529" i="1"/>
  <c r="BD529" i="1"/>
  <c r="AY529" i="1"/>
  <c r="BN529" i="1" s="1"/>
  <c r="BO529" i="1" s="1"/>
  <c r="L529" i="1"/>
  <c r="BO528" i="1"/>
  <c r="BI528" i="1"/>
  <c r="BH528" i="1"/>
  <c r="BD528" i="1"/>
  <c r="L528" i="1"/>
  <c r="BT527" i="1"/>
  <c r="CA527" i="1" s="1"/>
  <c r="BO527" i="1"/>
  <c r="BI527" i="1"/>
  <c r="BJ527" i="1" s="1"/>
  <c r="BH527" i="1"/>
  <c r="BD527" i="1"/>
  <c r="L527" i="1"/>
  <c r="BT526" i="1"/>
  <c r="CA526" i="1" s="1"/>
  <c r="BO526" i="1"/>
  <c r="BJ526" i="1"/>
  <c r="BI526" i="1"/>
  <c r="BH526" i="1"/>
  <c r="BD526" i="1"/>
  <c r="L526" i="1"/>
  <c r="CA525" i="1"/>
  <c r="BZ525" i="1"/>
  <c r="BT525" i="1"/>
  <c r="BO525" i="1"/>
  <c r="BI525" i="1"/>
  <c r="BJ525" i="1" s="1"/>
  <c r="BH525" i="1"/>
  <c r="BD525" i="1"/>
  <c r="L525" i="1"/>
  <c r="BT524" i="1"/>
  <c r="BZ524" i="1" s="1"/>
  <c r="BO524" i="1"/>
  <c r="BI524" i="1"/>
  <c r="BH524" i="1"/>
  <c r="BJ524" i="1" s="1"/>
  <c r="BD524" i="1"/>
  <c r="L524" i="1"/>
  <c r="BO523" i="1"/>
  <c r="BI523" i="1"/>
  <c r="BH523" i="1"/>
  <c r="BD523" i="1"/>
  <c r="L523" i="1"/>
  <c r="CA522" i="1"/>
  <c r="BO522" i="1"/>
  <c r="BI522" i="1"/>
  <c r="BH522" i="1"/>
  <c r="BT522" i="1" s="1"/>
  <c r="BZ522" i="1" s="1"/>
  <c r="BD522" i="1"/>
  <c r="L522" i="1"/>
  <c r="BO521" i="1"/>
  <c r="BJ521" i="1"/>
  <c r="BI521" i="1"/>
  <c r="BH521" i="1"/>
  <c r="BD521" i="1"/>
  <c r="L521" i="1"/>
  <c r="BT520" i="1"/>
  <c r="BO520" i="1"/>
  <c r="BI520" i="1"/>
  <c r="BH520" i="1"/>
  <c r="BJ520" i="1" s="1"/>
  <c r="BD520" i="1"/>
  <c r="L520" i="1"/>
  <c r="BT519" i="1"/>
  <c r="CA519" i="1" s="1"/>
  <c r="BO519" i="1"/>
  <c r="BI519" i="1"/>
  <c r="BJ519" i="1" s="1"/>
  <c r="BH519" i="1"/>
  <c r="BD519" i="1"/>
  <c r="L519" i="1"/>
  <c r="BZ518" i="1"/>
  <c r="BT518" i="1"/>
  <c r="CA518" i="1" s="1"/>
  <c r="BO518" i="1"/>
  <c r="BF518" i="1"/>
  <c r="AZ518" i="1"/>
  <c r="L518" i="1"/>
  <c r="BO517" i="1"/>
  <c r="AZ517" i="1"/>
  <c r="L517" i="1"/>
  <c r="BT516" i="1"/>
  <c r="BO516" i="1"/>
  <c r="BF516" i="1"/>
  <c r="AZ516" i="1"/>
  <c r="L516" i="1"/>
  <c r="BZ515" i="1"/>
  <c r="BT515" i="1"/>
  <c r="CA515" i="1" s="1"/>
  <c r="BO515" i="1"/>
  <c r="BD515" i="1"/>
  <c r="L515" i="1"/>
  <c r="CA514" i="1"/>
  <c r="BZ514" i="1"/>
  <c r="BT514" i="1"/>
  <c r="BO514" i="1"/>
  <c r="BD514" i="1"/>
  <c r="L514" i="1"/>
  <c r="CA513" i="1"/>
  <c r="BZ513" i="1"/>
  <c r="BT513" i="1"/>
  <c r="BO513" i="1"/>
  <c r="AZ513" i="1"/>
  <c r="BF513" i="1" s="1"/>
  <c r="L513" i="1"/>
  <c r="CA512" i="1"/>
  <c r="BT512" i="1"/>
  <c r="BZ512" i="1" s="1"/>
  <c r="BO512" i="1"/>
  <c r="BJ512" i="1"/>
  <c r="BI512" i="1"/>
  <c r="BH512" i="1"/>
  <c r="BD512" i="1"/>
  <c r="L512" i="1"/>
  <c r="BO511" i="1"/>
  <c r="BN511" i="1"/>
  <c r="BI511" i="1"/>
  <c r="BH511" i="1"/>
  <c r="BD511" i="1"/>
  <c r="L511" i="1"/>
  <c r="BO510" i="1"/>
  <c r="BN510" i="1"/>
  <c r="BT510" i="1" s="1"/>
  <c r="BJ510" i="1"/>
  <c r="BI510" i="1"/>
  <c r="BH510" i="1"/>
  <c r="BD510" i="1"/>
  <c r="L510" i="1"/>
  <c r="BO509" i="1"/>
  <c r="BI509" i="1"/>
  <c r="BJ509" i="1" s="1"/>
  <c r="BH509" i="1"/>
  <c r="BD509" i="1"/>
  <c r="AX509" i="1"/>
  <c r="L509" i="1"/>
  <c r="BO508" i="1"/>
  <c r="BI508" i="1"/>
  <c r="BH508" i="1"/>
  <c r="BD508" i="1"/>
  <c r="L508" i="1"/>
  <c r="CA507" i="1"/>
  <c r="BZ507" i="1"/>
  <c r="BT507" i="1"/>
  <c r="BO507" i="1"/>
  <c r="BJ507" i="1"/>
  <c r="BI507" i="1"/>
  <c r="BH507" i="1"/>
  <c r="BD507" i="1"/>
  <c r="L507" i="1"/>
  <c r="CA506" i="1"/>
  <c r="L506" i="1"/>
  <c r="BI505" i="1"/>
  <c r="BH505" i="1"/>
  <c r="K505" i="1"/>
  <c r="BO504" i="1"/>
  <c r="BJ504" i="1"/>
  <c r="BI504" i="1"/>
  <c r="BH504" i="1"/>
  <c r="BT504" i="1" s="1"/>
  <c r="BD504" i="1"/>
  <c r="L504" i="1"/>
  <c r="BO503" i="1"/>
  <c r="BJ503" i="1"/>
  <c r="BI503" i="1"/>
  <c r="BH503" i="1"/>
  <c r="BT503" i="1" s="1"/>
  <c r="BD503" i="1"/>
  <c r="L503" i="1"/>
  <c r="BO502" i="1"/>
  <c r="BI502" i="1"/>
  <c r="BH502" i="1"/>
  <c r="BD502" i="1"/>
  <c r="L502" i="1"/>
  <c r="CA501" i="1"/>
  <c r="BZ501" i="1"/>
  <c r="BT501" i="1"/>
  <c r="BO501" i="1"/>
  <c r="BD501" i="1"/>
  <c r="L501" i="1"/>
  <c r="BT500" i="1"/>
  <c r="BO500" i="1"/>
  <c r="BJ500" i="1"/>
  <c r="BI500" i="1"/>
  <c r="BH500" i="1"/>
  <c r="BD500" i="1"/>
  <c r="L500" i="1"/>
  <c r="BZ499" i="1"/>
  <c r="BT499" i="1"/>
  <c r="CA499" i="1" s="1"/>
  <c r="BO499" i="1"/>
  <c r="BD499" i="1"/>
  <c r="L499" i="1"/>
  <c r="CA498" i="1"/>
  <c r="L498" i="1"/>
  <c r="BZ497" i="1"/>
  <c r="BT497" i="1"/>
  <c r="CA497" i="1" s="1"/>
  <c r="BO497" i="1"/>
  <c r="BD497" i="1"/>
  <c r="L497" i="1"/>
  <c r="BO496" i="1"/>
  <c r="BI496" i="1"/>
  <c r="BJ496" i="1" s="1"/>
  <c r="BH496" i="1"/>
  <c r="BT496" i="1" s="1"/>
  <c r="BD496" i="1"/>
  <c r="K496" i="1"/>
  <c r="L496" i="1" s="1"/>
  <c r="BT495" i="1"/>
  <c r="BO495" i="1"/>
  <c r="AZ495" i="1"/>
  <c r="BF495" i="1" s="1"/>
  <c r="L495" i="1"/>
  <c r="BT494" i="1"/>
  <c r="BO494" i="1"/>
  <c r="BD494" i="1"/>
  <c r="L494" i="1"/>
  <c r="CA493" i="1"/>
  <c r="BT493" i="1"/>
  <c r="BZ493" i="1" s="1"/>
  <c r="BO493" i="1"/>
  <c r="BD493" i="1"/>
  <c r="L493" i="1"/>
  <c r="BO492" i="1"/>
  <c r="AX492" i="1"/>
  <c r="L492" i="1"/>
  <c r="BI491" i="1"/>
  <c r="BH491" i="1"/>
  <c r="BD491" i="1"/>
  <c r="L491" i="1"/>
  <c r="K491" i="1"/>
  <c r="BO491" i="1" s="1"/>
  <c r="BT490" i="1"/>
  <c r="BO490" i="1"/>
  <c r="BI490" i="1"/>
  <c r="BH490" i="1"/>
  <c r="BD490" i="1"/>
  <c r="L490" i="1"/>
  <c r="BO489" i="1"/>
  <c r="BI489" i="1"/>
  <c r="BJ489" i="1" s="1"/>
  <c r="BH489" i="1"/>
  <c r="K489" i="1"/>
  <c r="BZ488" i="1"/>
  <c r="BT488" i="1"/>
  <c r="CA488" i="1" s="1"/>
  <c r="BO488" i="1"/>
  <c r="BD488" i="1"/>
  <c r="L488" i="1"/>
  <c r="BO487" i="1"/>
  <c r="BI487" i="1"/>
  <c r="BT487" i="1" s="1"/>
  <c r="CA487" i="1" s="1"/>
  <c r="BH487" i="1"/>
  <c r="BD487" i="1"/>
  <c r="L487" i="1"/>
  <c r="CA486" i="1"/>
  <c r="BT486" i="1"/>
  <c r="BZ486" i="1" s="1"/>
  <c r="BO486" i="1"/>
  <c r="BJ486" i="1"/>
  <c r="BI486" i="1"/>
  <c r="BH486" i="1"/>
  <c r="BD486" i="1"/>
  <c r="L486" i="1"/>
  <c r="BT485" i="1"/>
  <c r="BO485" i="1"/>
  <c r="BI485" i="1"/>
  <c r="BJ485" i="1" s="1"/>
  <c r="BH485" i="1"/>
  <c r="BD485" i="1"/>
  <c r="L485" i="1"/>
  <c r="K485" i="1"/>
  <c r="BO484" i="1"/>
  <c r="AX484" i="1"/>
  <c r="L484" i="1"/>
  <c r="BO483" i="1"/>
  <c r="BI483" i="1"/>
  <c r="BJ483" i="1" s="1"/>
  <c r="BH483" i="1"/>
  <c r="BD483" i="1"/>
  <c r="L483" i="1"/>
  <c r="BO482" i="1"/>
  <c r="BI482" i="1"/>
  <c r="BT482" i="1" s="1"/>
  <c r="BH482" i="1"/>
  <c r="BD482" i="1"/>
  <c r="L482" i="1"/>
  <c r="BI481" i="1"/>
  <c r="BJ481" i="1" s="1"/>
  <c r="BH481" i="1"/>
  <c r="K481" i="1"/>
  <c r="BT480" i="1"/>
  <c r="CA480" i="1" s="1"/>
  <c r="BO480" i="1"/>
  <c r="BI480" i="1"/>
  <c r="BJ480" i="1" s="1"/>
  <c r="BH480" i="1"/>
  <c r="BD480" i="1"/>
  <c r="L480" i="1"/>
  <c r="BZ479" i="1"/>
  <c r="BT479" i="1"/>
  <c r="CA479" i="1" s="1"/>
  <c r="BO479" i="1"/>
  <c r="BF479" i="1"/>
  <c r="AZ479" i="1"/>
  <c r="L479" i="1"/>
  <c r="BT478" i="1"/>
  <c r="BO478" i="1"/>
  <c r="BD478" i="1"/>
  <c r="L478" i="1"/>
  <c r="BZ477" i="1"/>
  <c r="BT477" i="1"/>
  <c r="CA477" i="1" s="1"/>
  <c r="BO477" i="1"/>
  <c r="BD477" i="1"/>
  <c r="L477" i="1"/>
  <c r="BO476" i="1"/>
  <c r="BI476" i="1"/>
  <c r="BH476" i="1"/>
  <c r="BJ476" i="1" s="1"/>
  <c r="BD476" i="1"/>
  <c r="AX476" i="1"/>
  <c r="L476" i="1"/>
  <c r="BZ475" i="1"/>
  <c r="BO475" i="1"/>
  <c r="BJ475" i="1"/>
  <c r="BI475" i="1"/>
  <c r="BT475" i="1" s="1"/>
  <c r="CA475" i="1" s="1"/>
  <c r="BH475" i="1"/>
  <c r="BD475" i="1"/>
  <c r="L475" i="1"/>
  <c r="BO474" i="1"/>
  <c r="BJ474" i="1"/>
  <c r="BI474" i="1"/>
  <c r="BH474" i="1"/>
  <c r="BT474" i="1" s="1"/>
  <c r="BZ474" i="1" s="1"/>
  <c r="BD474" i="1"/>
  <c r="L474" i="1"/>
  <c r="BT473" i="1"/>
  <c r="BO473" i="1"/>
  <c r="BD473" i="1"/>
  <c r="L473" i="1"/>
  <c r="BZ472" i="1"/>
  <c r="BT472" i="1"/>
  <c r="CA472" i="1" s="1"/>
  <c r="BO472" i="1"/>
  <c r="BD472" i="1"/>
  <c r="L472" i="1"/>
  <c r="BO471" i="1"/>
  <c r="AZ471" i="1"/>
  <c r="L471" i="1"/>
  <c r="BT470" i="1"/>
  <c r="BZ470" i="1" s="1"/>
  <c r="BO470" i="1"/>
  <c r="BD470" i="1"/>
  <c r="L470" i="1"/>
  <c r="BT469" i="1"/>
  <c r="CA469" i="1" s="1"/>
  <c r="BO469" i="1"/>
  <c r="BD469" i="1"/>
  <c r="L469" i="1"/>
  <c r="CA468" i="1"/>
  <c r="BT468" i="1"/>
  <c r="BZ468" i="1" s="1"/>
  <c r="BO468" i="1"/>
  <c r="BD468" i="1"/>
  <c r="L468" i="1"/>
  <c r="CA467" i="1"/>
  <c r="BZ467" i="1"/>
  <c r="BO467" i="1"/>
  <c r="AX467" i="1"/>
  <c r="BD467" i="1" s="1"/>
  <c r="CA466" i="1"/>
  <c r="BZ466" i="1"/>
  <c r="BT466" i="1"/>
  <c r="L466" i="1"/>
  <c r="K466" i="1"/>
  <c r="BT465" i="1"/>
  <c r="BO465" i="1"/>
  <c r="BD465" i="1"/>
  <c r="L465" i="1"/>
  <c r="CA464" i="1"/>
  <c r="BZ464" i="1"/>
  <c r="BT464" i="1"/>
  <c r="BO464" i="1"/>
  <c r="BF464" i="1"/>
  <c r="AZ464" i="1"/>
  <c r="L464" i="1"/>
  <c r="BT463" i="1"/>
  <c r="BO463" i="1"/>
  <c r="BD463" i="1"/>
  <c r="L463" i="1"/>
  <c r="BZ462" i="1"/>
  <c r="BO462" i="1"/>
  <c r="AZ462" i="1"/>
  <c r="BT462" i="1" s="1"/>
  <c r="CA462" i="1" s="1"/>
  <c r="L462" i="1"/>
  <c r="CA461" i="1"/>
  <c r="BO461" i="1"/>
  <c r="BJ461" i="1"/>
  <c r="BI461" i="1"/>
  <c r="BH461" i="1"/>
  <c r="BT461" i="1" s="1"/>
  <c r="BZ461" i="1" s="1"/>
  <c r="BD461" i="1"/>
  <c r="L461" i="1"/>
  <c r="BO460" i="1"/>
  <c r="BD460" i="1"/>
  <c r="AX460" i="1"/>
  <c r="L460" i="1"/>
  <c r="CA459" i="1"/>
  <c r="BZ459" i="1"/>
  <c r="BO459" i="1"/>
  <c r="AX459" i="1"/>
  <c r="BD459" i="1" s="1"/>
  <c r="BZ458" i="1"/>
  <c r="BO458" i="1"/>
  <c r="BJ458" i="1"/>
  <c r="BI458" i="1"/>
  <c r="BT458" i="1" s="1"/>
  <c r="CA458" i="1" s="1"/>
  <c r="BH458" i="1"/>
  <c r="BD458" i="1"/>
  <c r="L458" i="1"/>
  <c r="BO457" i="1"/>
  <c r="BN457" i="1"/>
  <c r="BT457" i="1" s="1"/>
  <c r="BZ457" i="1" s="1"/>
  <c r="BI457" i="1"/>
  <c r="BH457" i="1"/>
  <c r="BJ457" i="1" s="1"/>
  <c r="BD457" i="1"/>
  <c r="L457" i="1"/>
  <c r="BZ456" i="1"/>
  <c r="BT456" i="1"/>
  <c r="CA456" i="1" s="1"/>
  <c r="L456" i="1"/>
  <c r="K456" i="1"/>
  <c r="BT455" i="1"/>
  <c r="BO455" i="1"/>
  <c r="BD455" i="1"/>
  <c r="L455" i="1"/>
  <c r="BN454" i="1"/>
  <c r="BF454" i="1"/>
  <c r="AZ454" i="1"/>
  <c r="L454" i="1"/>
  <c r="BN453" i="1"/>
  <c r="BJ453" i="1"/>
  <c r="BI453" i="1"/>
  <c r="BH453" i="1"/>
  <c r="BD453" i="1"/>
  <c r="L453" i="1"/>
  <c r="BT452" i="1"/>
  <c r="BO452" i="1"/>
  <c r="BN452" i="1"/>
  <c r="BD452" i="1"/>
  <c r="L452" i="1"/>
  <c r="BO451" i="1"/>
  <c r="BE451" i="1"/>
  <c r="BD451" i="1"/>
  <c r="AY451" i="1"/>
  <c r="BT451" i="1" s="1"/>
  <c r="BZ451" i="1" s="1"/>
  <c r="L451" i="1"/>
  <c r="BO450" i="1"/>
  <c r="BJ450" i="1"/>
  <c r="BI450" i="1"/>
  <c r="BH450" i="1"/>
  <c r="BT450" i="1" s="1"/>
  <c r="BZ450" i="1" s="1"/>
  <c r="BD450" i="1"/>
  <c r="L450" i="1"/>
  <c r="BT449" i="1"/>
  <c r="BO449" i="1"/>
  <c r="BI449" i="1"/>
  <c r="BH449" i="1"/>
  <c r="BJ449" i="1" s="1"/>
  <c r="BD449" i="1"/>
  <c r="AX449" i="1"/>
  <c r="L449" i="1"/>
  <c r="BZ448" i="1"/>
  <c r="BO448" i="1"/>
  <c r="BE448" i="1"/>
  <c r="BD448" i="1"/>
  <c r="AY448" i="1"/>
  <c r="BT448" i="1" s="1"/>
  <c r="CA448" i="1" s="1"/>
  <c r="L448" i="1"/>
  <c r="BO447" i="1"/>
  <c r="BI447" i="1"/>
  <c r="BJ447" i="1" s="1"/>
  <c r="BH447" i="1"/>
  <c r="BD447" i="1"/>
  <c r="L447" i="1"/>
  <c r="CA446" i="1"/>
  <c r="BT446" i="1"/>
  <c r="BZ446" i="1" s="1"/>
  <c r="BO446" i="1"/>
  <c r="BJ446" i="1"/>
  <c r="BI446" i="1"/>
  <c r="BH446" i="1"/>
  <c r="BD446" i="1"/>
  <c r="L446" i="1"/>
  <c r="BT445" i="1"/>
  <c r="BO445" i="1"/>
  <c r="BI445" i="1"/>
  <c r="BH445" i="1"/>
  <c r="BJ445" i="1" s="1"/>
  <c r="BD445" i="1"/>
  <c r="L445" i="1"/>
  <c r="BO444" i="1"/>
  <c r="BI444" i="1"/>
  <c r="BH444" i="1"/>
  <c r="BJ444" i="1" s="1"/>
  <c r="BD444" i="1"/>
  <c r="L444" i="1"/>
  <c r="BZ443" i="1"/>
  <c r="BO443" i="1"/>
  <c r="BJ443" i="1"/>
  <c r="BI443" i="1"/>
  <c r="BT443" i="1" s="1"/>
  <c r="CA443" i="1" s="1"/>
  <c r="BH443" i="1"/>
  <c r="BD443" i="1"/>
  <c r="L443" i="1"/>
  <c r="BO442" i="1"/>
  <c r="BI442" i="1"/>
  <c r="BH442" i="1"/>
  <c r="BT442" i="1" s="1"/>
  <c r="BZ442" i="1" s="1"/>
  <c r="BD442" i="1"/>
  <c r="L442" i="1"/>
  <c r="BT441" i="1"/>
  <c r="BO441" i="1"/>
  <c r="BI441" i="1"/>
  <c r="BH441" i="1"/>
  <c r="BD441" i="1"/>
  <c r="L441" i="1"/>
  <c r="BO440" i="1"/>
  <c r="BI440" i="1"/>
  <c r="BJ440" i="1" s="1"/>
  <c r="BH440" i="1"/>
  <c r="BT440" i="1" s="1"/>
  <c r="BD440" i="1"/>
  <c r="L440" i="1"/>
  <c r="BO439" i="1"/>
  <c r="BI439" i="1"/>
  <c r="BJ439" i="1" s="1"/>
  <c r="BH439" i="1"/>
  <c r="BD439" i="1"/>
  <c r="L439" i="1"/>
  <c r="BO438" i="1"/>
  <c r="BJ438" i="1"/>
  <c r="BI438" i="1"/>
  <c r="BH438" i="1"/>
  <c r="BT438" i="1" s="1"/>
  <c r="BD438" i="1"/>
  <c r="L438" i="1"/>
  <c r="BO437" i="1"/>
  <c r="BI437" i="1"/>
  <c r="BH437" i="1"/>
  <c r="BJ437" i="1" s="1"/>
  <c r="BD437" i="1"/>
  <c r="AX437" i="1"/>
  <c r="L437" i="1"/>
  <c r="BO436" i="1"/>
  <c r="BI436" i="1"/>
  <c r="BT436" i="1" s="1"/>
  <c r="CA436" i="1" s="1"/>
  <c r="BH436" i="1"/>
  <c r="BD436" i="1"/>
  <c r="L436" i="1"/>
  <c r="BO435" i="1"/>
  <c r="BJ435" i="1"/>
  <c r="BI435" i="1"/>
  <c r="BH435" i="1"/>
  <c r="BT435" i="1" s="1"/>
  <c r="BD435" i="1"/>
  <c r="L435" i="1"/>
  <c r="BO434" i="1"/>
  <c r="BI434" i="1"/>
  <c r="BH434" i="1"/>
  <c r="BJ434" i="1" s="1"/>
  <c r="K434" i="1"/>
  <c r="L434" i="1" s="1"/>
  <c r="BO433" i="1"/>
  <c r="BJ433" i="1"/>
  <c r="BI433" i="1"/>
  <c r="BH433" i="1"/>
  <c r="BT433" i="1" s="1"/>
  <c r="CA433" i="1" s="1"/>
  <c r="BD433" i="1"/>
  <c r="L433" i="1"/>
  <c r="BO432" i="1"/>
  <c r="BI432" i="1"/>
  <c r="BH432" i="1"/>
  <c r="BJ432" i="1" s="1"/>
  <c r="BD432" i="1"/>
  <c r="L432" i="1"/>
  <c r="BO431" i="1"/>
  <c r="BI431" i="1"/>
  <c r="BT431" i="1" s="1"/>
  <c r="BH431" i="1"/>
  <c r="BD431" i="1"/>
  <c r="L431" i="1"/>
  <c r="BO430" i="1"/>
  <c r="BI430" i="1"/>
  <c r="BH430" i="1"/>
  <c r="BJ430" i="1" s="1"/>
  <c r="BD430" i="1"/>
  <c r="L430" i="1"/>
  <c r="BZ429" i="1"/>
  <c r="BO429" i="1"/>
  <c r="BJ429" i="1"/>
  <c r="BI429" i="1"/>
  <c r="BT429" i="1" s="1"/>
  <c r="CA429" i="1" s="1"/>
  <c r="BH429" i="1"/>
  <c r="BD429" i="1"/>
  <c r="L429" i="1"/>
  <c r="BO428" i="1"/>
  <c r="BI428" i="1"/>
  <c r="BH428" i="1"/>
  <c r="BJ428" i="1" s="1"/>
  <c r="BD428" i="1"/>
  <c r="L428" i="1"/>
  <c r="BO427" i="1"/>
  <c r="BI427" i="1"/>
  <c r="BT427" i="1" s="1"/>
  <c r="BH427" i="1"/>
  <c r="BD427" i="1"/>
  <c r="L427" i="1"/>
  <c r="BO426" i="1"/>
  <c r="BI426" i="1"/>
  <c r="BH426" i="1"/>
  <c r="BJ426" i="1" s="1"/>
  <c r="BD426" i="1"/>
  <c r="L426" i="1"/>
  <c r="BO425" i="1"/>
  <c r="BJ425" i="1"/>
  <c r="BI425" i="1"/>
  <c r="BH425" i="1"/>
  <c r="BT425" i="1" s="1"/>
  <c r="CA425" i="1" s="1"/>
  <c r="BD425" i="1"/>
  <c r="L425" i="1"/>
  <c r="BO424" i="1"/>
  <c r="BI424" i="1"/>
  <c r="BH424" i="1"/>
  <c r="BJ424" i="1" s="1"/>
  <c r="BD424" i="1"/>
  <c r="L424" i="1"/>
  <c r="BI423" i="1"/>
  <c r="BH423" i="1"/>
  <c r="BJ423" i="1" s="1"/>
  <c r="AX423" i="1"/>
  <c r="L423" i="1"/>
  <c r="BT422" i="1"/>
  <c r="BZ422" i="1" s="1"/>
  <c r="BO422" i="1"/>
  <c r="BD422" i="1"/>
  <c r="L422" i="1"/>
  <c r="CA421" i="1"/>
  <c r="BT421" i="1"/>
  <c r="BZ421" i="1" s="1"/>
  <c r="BO421" i="1"/>
  <c r="BD421" i="1"/>
  <c r="I421" i="1"/>
  <c r="L421" i="1" s="1"/>
  <c r="BT420" i="1"/>
  <c r="CA420" i="1" s="1"/>
  <c r="BO420" i="1"/>
  <c r="BN420" i="1"/>
  <c r="BL420" i="1"/>
  <c r="BM420" i="1" s="1"/>
  <c r="BK420" i="1"/>
  <c r="BE420" i="1"/>
  <c r="BD420" i="1"/>
  <c r="L420" i="1"/>
  <c r="BO419" i="1"/>
  <c r="BD419" i="1"/>
  <c r="AX419" i="1"/>
  <c r="BI419" i="1" s="1"/>
  <c r="L419" i="1"/>
  <c r="BO418" i="1"/>
  <c r="BI418" i="1"/>
  <c r="BH418" i="1"/>
  <c r="BT418" i="1" s="1"/>
  <c r="BD418" i="1"/>
  <c r="L418" i="1"/>
  <c r="BO417" i="1"/>
  <c r="BI417" i="1"/>
  <c r="BJ417" i="1" s="1"/>
  <c r="BH417" i="1"/>
  <c r="BD417" i="1"/>
  <c r="L417" i="1"/>
  <c r="BO416" i="1"/>
  <c r="BI416" i="1"/>
  <c r="BH416" i="1"/>
  <c r="BT416" i="1" s="1"/>
  <c r="BD416" i="1"/>
  <c r="L416" i="1"/>
  <c r="BO415" i="1"/>
  <c r="BI415" i="1"/>
  <c r="BH415" i="1"/>
  <c r="BJ415" i="1" s="1"/>
  <c r="BD415" i="1"/>
  <c r="L415" i="1"/>
  <c r="BO414" i="1"/>
  <c r="AZ414" i="1"/>
  <c r="BT414" i="1" s="1"/>
  <c r="L414" i="1"/>
  <c r="BI413" i="1"/>
  <c r="BH413" i="1"/>
  <c r="K413" i="1"/>
  <c r="L413" i="1" s="1"/>
  <c r="CA412" i="1"/>
  <c r="BZ412" i="1"/>
  <c r="BO412" i="1"/>
  <c r="BJ412" i="1"/>
  <c r="BI412" i="1"/>
  <c r="BT412" i="1" s="1"/>
  <c r="BH412" i="1"/>
  <c r="BD412" i="1"/>
  <c r="L412" i="1"/>
  <c r="BT411" i="1"/>
  <c r="BZ411" i="1" s="1"/>
  <c r="BO411" i="1"/>
  <c r="BF411" i="1"/>
  <c r="AZ411" i="1"/>
  <c r="L411" i="1"/>
  <c r="BO410" i="1"/>
  <c r="BD410" i="1"/>
  <c r="AX410" i="1"/>
  <c r="L410" i="1"/>
  <c r="K410" i="1"/>
  <c r="BT409" i="1"/>
  <c r="CA409" i="1" s="1"/>
  <c r="BO409" i="1"/>
  <c r="BI409" i="1"/>
  <c r="BH409" i="1"/>
  <c r="BJ409" i="1" s="1"/>
  <c r="BD409" i="1"/>
  <c r="L409" i="1"/>
  <c r="CA408" i="1"/>
  <c r="BZ408" i="1"/>
  <c r="BO408" i="1"/>
  <c r="BF408" i="1"/>
  <c r="AZ408" i="1"/>
  <c r="BT408" i="1" s="1"/>
  <c r="L408" i="1"/>
  <c r="BO407" i="1"/>
  <c r="BI407" i="1"/>
  <c r="BT407" i="1" s="1"/>
  <c r="BH407" i="1"/>
  <c r="BJ407" i="1" s="1"/>
  <c r="BD407" i="1"/>
  <c r="L407" i="1"/>
  <c r="BO406" i="1"/>
  <c r="BI406" i="1"/>
  <c r="BJ406" i="1" s="1"/>
  <c r="BH406" i="1"/>
  <c r="K406" i="1"/>
  <c r="BD406" i="1" s="1"/>
  <c r="BT405" i="1"/>
  <c r="CA405" i="1" s="1"/>
  <c r="BO405" i="1"/>
  <c r="BI405" i="1"/>
  <c r="BH405" i="1"/>
  <c r="BD405" i="1"/>
  <c r="L405" i="1"/>
  <c r="BT404" i="1"/>
  <c r="CA404" i="1" s="1"/>
  <c r="BO404" i="1"/>
  <c r="BF404" i="1"/>
  <c r="AZ404" i="1"/>
  <c r="L404" i="1"/>
  <c r="BO403" i="1"/>
  <c r="AZ403" i="1"/>
  <c r="BF403" i="1" s="1"/>
  <c r="L403" i="1"/>
  <c r="CA402" i="1"/>
  <c r="BT402" i="1"/>
  <c r="BZ402" i="1" s="1"/>
  <c r="BO402" i="1"/>
  <c r="BI402" i="1"/>
  <c r="BH402" i="1"/>
  <c r="BJ402" i="1" s="1"/>
  <c r="BD402" i="1"/>
  <c r="L402" i="1"/>
  <c r="BO401" i="1"/>
  <c r="BN401" i="1"/>
  <c r="BI401" i="1"/>
  <c r="BH401" i="1"/>
  <c r="BJ401" i="1" s="1"/>
  <c r="BD401" i="1"/>
  <c r="L401" i="1"/>
  <c r="CA400" i="1"/>
  <c r="BZ400" i="1"/>
  <c r="BT400" i="1"/>
  <c r="BO400" i="1"/>
  <c r="BD400" i="1"/>
  <c r="L400" i="1"/>
  <c r="BO399" i="1"/>
  <c r="BI399" i="1"/>
  <c r="BT399" i="1" s="1"/>
  <c r="BH399" i="1"/>
  <c r="BD399" i="1"/>
  <c r="K399" i="1"/>
  <c r="L399" i="1" s="1"/>
  <c r="CA398" i="1"/>
  <c r="BI398" i="1"/>
  <c r="BT398" i="1" s="1"/>
  <c r="BZ398" i="1" s="1"/>
  <c r="BH398" i="1"/>
  <c r="K398" i="1"/>
  <c r="BD398" i="1" s="1"/>
  <c r="BO397" i="1"/>
  <c r="BI397" i="1"/>
  <c r="BT397" i="1" s="1"/>
  <c r="BH397" i="1"/>
  <c r="BD397" i="1"/>
  <c r="AX397" i="1"/>
  <c r="L397" i="1"/>
  <c r="BO396" i="1"/>
  <c r="BJ396" i="1"/>
  <c r="BI396" i="1"/>
  <c r="BH396" i="1"/>
  <c r="BT396" i="1" s="1"/>
  <c r="CA396" i="1" s="1"/>
  <c r="BD396" i="1"/>
  <c r="L396" i="1"/>
  <c r="BO395" i="1"/>
  <c r="BI395" i="1"/>
  <c r="BH395" i="1"/>
  <c r="BT395" i="1" s="1"/>
  <c r="BD395" i="1"/>
  <c r="L395" i="1"/>
  <c r="BT394" i="1"/>
  <c r="CA394" i="1" s="1"/>
  <c r="BO394" i="1"/>
  <c r="BD394" i="1"/>
  <c r="L394" i="1"/>
  <c r="BO393" i="1"/>
  <c r="BI393" i="1"/>
  <c r="BJ393" i="1" s="1"/>
  <c r="BH393" i="1"/>
  <c r="BD393" i="1"/>
  <c r="L393" i="1"/>
  <c r="BO392" i="1"/>
  <c r="BI392" i="1"/>
  <c r="BH392" i="1"/>
  <c r="BT392" i="1" s="1"/>
  <c r="BD392" i="1"/>
  <c r="L392" i="1"/>
  <c r="BZ391" i="1"/>
  <c r="BT391" i="1"/>
  <c r="CA391" i="1" s="1"/>
  <c r="BO391" i="1"/>
  <c r="BD391" i="1"/>
  <c r="L391" i="1"/>
  <c r="BN390" i="1"/>
  <c r="BT390" i="1" s="1"/>
  <c r="CA390" i="1" s="1"/>
  <c r="BJ390" i="1"/>
  <c r="BI390" i="1"/>
  <c r="BH390" i="1"/>
  <c r="BD390" i="1"/>
  <c r="L390" i="1"/>
  <c r="BO389" i="1"/>
  <c r="BN389" i="1"/>
  <c r="BJ389" i="1"/>
  <c r="BI389" i="1"/>
  <c r="BH389" i="1"/>
  <c r="BT389" i="1" s="1"/>
  <c r="BD389" i="1"/>
  <c r="L389" i="1"/>
  <c r="CA388" i="1"/>
  <c r="BZ388" i="1"/>
  <c r="BO388" i="1"/>
  <c r="BJ388" i="1"/>
  <c r="BI388" i="1"/>
  <c r="BT388" i="1" s="1"/>
  <c r="BH388" i="1"/>
  <c r="BD388" i="1"/>
  <c r="L388" i="1"/>
  <c r="BT387" i="1"/>
  <c r="BZ387" i="1" s="1"/>
  <c r="BO387" i="1"/>
  <c r="BJ387" i="1"/>
  <c r="BI387" i="1"/>
  <c r="BH387" i="1"/>
  <c r="BD387" i="1"/>
  <c r="L387" i="1"/>
  <c r="BO386" i="1"/>
  <c r="BI386" i="1"/>
  <c r="BT386" i="1" s="1"/>
  <c r="BH386" i="1"/>
  <c r="BD386" i="1"/>
  <c r="L386" i="1"/>
  <c r="BI385" i="1"/>
  <c r="BT385" i="1" s="1"/>
  <c r="BH385" i="1"/>
  <c r="L385" i="1"/>
  <c r="K385" i="1"/>
  <c r="BO384" i="1"/>
  <c r="BJ384" i="1"/>
  <c r="BI384" i="1"/>
  <c r="BH384" i="1"/>
  <c r="BT384" i="1" s="1"/>
  <c r="BD384" i="1"/>
  <c r="L384" i="1"/>
  <c r="BO383" i="1"/>
  <c r="BI383" i="1"/>
  <c r="BH383" i="1"/>
  <c r="BJ383" i="1" s="1"/>
  <c r="BD383" i="1"/>
  <c r="L383" i="1"/>
  <c r="BO382" i="1"/>
  <c r="BI382" i="1"/>
  <c r="BJ382" i="1" s="1"/>
  <c r="BH382" i="1"/>
  <c r="BT382" i="1" s="1"/>
  <c r="BD382" i="1"/>
  <c r="L382" i="1"/>
  <c r="BO381" i="1"/>
  <c r="BI381" i="1"/>
  <c r="BT381" i="1" s="1"/>
  <c r="CA381" i="1" s="1"/>
  <c r="BH381" i="1"/>
  <c r="BD381" i="1"/>
  <c r="L381" i="1"/>
  <c r="BT380" i="1"/>
  <c r="CA380" i="1" s="1"/>
  <c r="BO380" i="1"/>
  <c r="BJ380" i="1"/>
  <c r="BI380" i="1"/>
  <c r="BH380" i="1"/>
  <c r="BD380" i="1"/>
  <c r="L380" i="1"/>
  <c r="BO379" i="1"/>
  <c r="BI379" i="1"/>
  <c r="BH379" i="1"/>
  <c r="BJ379" i="1" s="1"/>
  <c r="BD379" i="1"/>
  <c r="L379" i="1"/>
  <c r="BO378" i="1"/>
  <c r="BI378" i="1"/>
  <c r="BH378" i="1"/>
  <c r="BT378" i="1" s="1"/>
  <c r="BD378" i="1"/>
  <c r="L378" i="1"/>
  <c r="BO377" i="1"/>
  <c r="BI377" i="1"/>
  <c r="BH377" i="1"/>
  <c r="BD377" i="1"/>
  <c r="L377" i="1"/>
  <c r="BT376" i="1"/>
  <c r="CA376" i="1" s="1"/>
  <c r="BO376" i="1"/>
  <c r="BJ376" i="1"/>
  <c r="BI376" i="1"/>
  <c r="BH376" i="1"/>
  <c r="BD376" i="1"/>
  <c r="L376" i="1"/>
  <c r="BO375" i="1"/>
  <c r="BI375" i="1"/>
  <c r="BJ375" i="1" s="1"/>
  <c r="BH375" i="1"/>
  <c r="BT375" i="1" s="1"/>
  <c r="BD375" i="1"/>
  <c r="L375" i="1"/>
  <c r="BN374" i="1"/>
  <c r="BT374" i="1" s="1"/>
  <c r="BI374" i="1"/>
  <c r="BH374" i="1"/>
  <c r="BJ374" i="1" s="1"/>
  <c r="BD374" i="1"/>
  <c r="L374" i="1"/>
  <c r="BN373" i="1"/>
  <c r="BT373" i="1" s="1"/>
  <c r="BI373" i="1"/>
  <c r="BJ373" i="1" s="1"/>
  <c r="BH373" i="1"/>
  <c r="K373" i="1"/>
  <c r="BD373" i="1" s="1"/>
  <c r="BO372" i="1"/>
  <c r="BN372" i="1"/>
  <c r="BI372" i="1"/>
  <c r="BH372" i="1"/>
  <c r="BT372" i="1" s="1"/>
  <c r="BD372" i="1"/>
  <c r="L372" i="1"/>
  <c r="BO371" i="1"/>
  <c r="BN371" i="1"/>
  <c r="BT371" i="1" s="1"/>
  <c r="BI371" i="1"/>
  <c r="BH371" i="1"/>
  <c r="BJ371" i="1" s="1"/>
  <c r="BD371" i="1"/>
  <c r="L371" i="1"/>
  <c r="BO370" i="1"/>
  <c r="BI370" i="1"/>
  <c r="BT370" i="1" s="1"/>
  <c r="BH370" i="1"/>
  <c r="BJ370" i="1" s="1"/>
  <c r="BD370" i="1"/>
  <c r="L370" i="1"/>
  <c r="BO369" i="1"/>
  <c r="BI369" i="1"/>
  <c r="BH369" i="1"/>
  <c r="BJ369" i="1" s="1"/>
  <c r="BD369" i="1"/>
  <c r="L369" i="1"/>
  <c r="BO368" i="1"/>
  <c r="BI368" i="1"/>
  <c r="BJ368" i="1" s="1"/>
  <c r="BH368" i="1"/>
  <c r="BT368" i="1" s="1"/>
  <c r="BD368" i="1"/>
  <c r="L368" i="1"/>
  <c r="BT367" i="1"/>
  <c r="CA367" i="1" s="1"/>
  <c r="BO367" i="1"/>
  <c r="BJ367" i="1"/>
  <c r="BI367" i="1"/>
  <c r="BH367" i="1"/>
  <c r="BD367" i="1"/>
  <c r="L367" i="1"/>
  <c r="BO366" i="1"/>
  <c r="BI366" i="1"/>
  <c r="BH366" i="1"/>
  <c r="BT366" i="1" s="1"/>
  <c r="BD366" i="1"/>
  <c r="L366" i="1"/>
  <c r="BT365" i="1"/>
  <c r="CA365" i="1" s="1"/>
  <c r="BO365" i="1"/>
  <c r="BI365" i="1"/>
  <c r="BH365" i="1"/>
  <c r="BJ365" i="1" s="1"/>
  <c r="BD365" i="1"/>
  <c r="L365" i="1"/>
  <c r="BO364" i="1"/>
  <c r="BI364" i="1"/>
  <c r="BT364" i="1" s="1"/>
  <c r="BH364" i="1"/>
  <c r="BD364" i="1"/>
  <c r="L364" i="1"/>
  <c r="BO363" i="1"/>
  <c r="BI363" i="1"/>
  <c r="BH363" i="1"/>
  <c r="BT363" i="1" s="1"/>
  <c r="BD363" i="1"/>
  <c r="L363" i="1"/>
  <c r="BO362" i="1"/>
  <c r="BI362" i="1"/>
  <c r="BT362" i="1" s="1"/>
  <c r="BH362" i="1"/>
  <c r="BJ362" i="1" s="1"/>
  <c r="BD362" i="1"/>
  <c r="L362" i="1"/>
  <c r="BO361" i="1"/>
  <c r="BI361" i="1"/>
  <c r="BH361" i="1"/>
  <c r="BJ361" i="1" s="1"/>
  <c r="BD361" i="1"/>
  <c r="L361" i="1"/>
  <c r="BO360" i="1"/>
  <c r="BI360" i="1"/>
  <c r="BJ360" i="1" s="1"/>
  <c r="BH360" i="1"/>
  <c r="BT360" i="1" s="1"/>
  <c r="BD360" i="1"/>
  <c r="L360" i="1"/>
  <c r="BT359" i="1"/>
  <c r="CA359" i="1" s="1"/>
  <c r="BO359" i="1"/>
  <c r="BJ359" i="1"/>
  <c r="BI359" i="1"/>
  <c r="BH359" i="1"/>
  <c r="BD359" i="1"/>
  <c r="L359" i="1"/>
  <c r="BO358" i="1"/>
  <c r="BI358" i="1"/>
  <c r="BH358" i="1"/>
  <c r="BT358" i="1" s="1"/>
  <c r="BD358" i="1"/>
  <c r="L358" i="1"/>
  <c r="BT357" i="1"/>
  <c r="CA357" i="1" s="1"/>
  <c r="BO357" i="1"/>
  <c r="BI357" i="1"/>
  <c r="BH357" i="1"/>
  <c r="BJ357" i="1" s="1"/>
  <c r="BD357" i="1"/>
  <c r="L357" i="1"/>
  <c r="BO356" i="1"/>
  <c r="BI356" i="1"/>
  <c r="BJ356" i="1" s="1"/>
  <c r="BH356" i="1"/>
  <c r="BT356" i="1" s="1"/>
  <c r="BD356" i="1"/>
  <c r="L356" i="1"/>
  <c r="BO355" i="1"/>
  <c r="BI355" i="1"/>
  <c r="BH355" i="1"/>
  <c r="BT355" i="1" s="1"/>
  <c r="BD355" i="1"/>
  <c r="L355" i="1"/>
  <c r="BO354" i="1"/>
  <c r="BI354" i="1"/>
  <c r="BT354" i="1" s="1"/>
  <c r="BH354" i="1"/>
  <c r="BJ354" i="1" s="1"/>
  <c r="BD354" i="1"/>
  <c r="L354" i="1"/>
  <c r="BO353" i="1"/>
  <c r="BI353" i="1"/>
  <c r="BH353" i="1"/>
  <c r="BJ353" i="1" s="1"/>
  <c r="BD353" i="1"/>
  <c r="L353" i="1"/>
  <c r="BO352" i="1"/>
  <c r="BI352" i="1"/>
  <c r="BJ352" i="1" s="1"/>
  <c r="BH352" i="1"/>
  <c r="BT352" i="1" s="1"/>
  <c r="BD352" i="1"/>
  <c r="L352" i="1"/>
  <c r="BT351" i="1"/>
  <c r="CA351" i="1" s="1"/>
  <c r="BO351" i="1"/>
  <c r="BJ351" i="1"/>
  <c r="BI351" i="1"/>
  <c r="BH351" i="1"/>
  <c r="BD351" i="1"/>
  <c r="L351" i="1"/>
  <c r="BO350" i="1"/>
  <c r="BI350" i="1"/>
  <c r="BH350" i="1"/>
  <c r="BT350" i="1" s="1"/>
  <c r="BD350" i="1"/>
  <c r="L350" i="1"/>
  <c r="BT349" i="1"/>
  <c r="CA349" i="1" s="1"/>
  <c r="BO349" i="1"/>
  <c r="BI349" i="1"/>
  <c r="BH349" i="1"/>
  <c r="BJ349" i="1" s="1"/>
  <c r="BD349" i="1"/>
  <c r="L349" i="1"/>
  <c r="BO348" i="1"/>
  <c r="BI348" i="1"/>
  <c r="BT348" i="1" s="1"/>
  <c r="BH348" i="1"/>
  <c r="BD348" i="1"/>
  <c r="L348" i="1"/>
  <c r="BN347" i="1"/>
  <c r="BT347" i="1" s="1"/>
  <c r="BI347" i="1"/>
  <c r="BH347" i="1"/>
  <c r="BJ347" i="1" s="1"/>
  <c r="BD347" i="1"/>
  <c r="L347" i="1"/>
  <c r="BO346" i="1"/>
  <c r="BI346" i="1"/>
  <c r="BH346" i="1"/>
  <c r="BJ346" i="1" s="1"/>
  <c r="BD346" i="1"/>
  <c r="L346" i="1"/>
  <c r="BO345" i="1"/>
  <c r="BI345" i="1"/>
  <c r="BJ345" i="1" s="1"/>
  <c r="BH345" i="1"/>
  <c r="BT345" i="1" s="1"/>
  <c r="BD345" i="1"/>
  <c r="L345" i="1"/>
  <c r="BT344" i="1"/>
  <c r="CA344" i="1" s="1"/>
  <c r="BO344" i="1"/>
  <c r="BJ344" i="1"/>
  <c r="BI344" i="1"/>
  <c r="BH344" i="1"/>
  <c r="BD344" i="1"/>
  <c r="L344" i="1"/>
  <c r="BO343" i="1"/>
  <c r="BI343" i="1"/>
  <c r="BH343" i="1"/>
  <c r="BT343" i="1" s="1"/>
  <c r="BD343" i="1"/>
  <c r="L343" i="1"/>
  <c r="BT342" i="1"/>
  <c r="BO342" i="1"/>
  <c r="BI342" i="1"/>
  <c r="BH342" i="1"/>
  <c r="BJ342" i="1" s="1"/>
  <c r="BD342" i="1"/>
  <c r="L342" i="1"/>
  <c r="BZ341" i="1"/>
  <c r="BO341" i="1"/>
  <c r="BI341" i="1"/>
  <c r="BT341" i="1" s="1"/>
  <c r="CA341" i="1" s="1"/>
  <c r="BH341" i="1"/>
  <c r="BD341" i="1"/>
  <c r="L341" i="1"/>
  <c r="CA340" i="1"/>
  <c r="BO340" i="1"/>
  <c r="BI340" i="1"/>
  <c r="BH340" i="1"/>
  <c r="BT340" i="1" s="1"/>
  <c r="BZ340" i="1" s="1"/>
  <c r="BD340" i="1"/>
  <c r="L340" i="1"/>
  <c r="BO339" i="1"/>
  <c r="BI339" i="1"/>
  <c r="BT339" i="1" s="1"/>
  <c r="BH339" i="1"/>
  <c r="BJ339" i="1" s="1"/>
  <c r="BD339" i="1"/>
  <c r="L339" i="1"/>
  <c r="BN338" i="1"/>
  <c r="BI338" i="1"/>
  <c r="K338" i="1"/>
  <c r="BD338" i="1" s="1"/>
  <c r="I338" i="1"/>
  <c r="BH338" i="1" s="1"/>
  <c r="BJ338" i="1" s="1"/>
  <c r="BO337" i="1"/>
  <c r="AX337" i="1"/>
  <c r="BI337" i="1" s="1"/>
  <c r="I337" i="1"/>
  <c r="L337" i="1" s="1"/>
  <c r="BO336" i="1"/>
  <c r="BL336" i="1"/>
  <c r="BE336" i="1"/>
  <c r="BD336" i="1"/>
  <c r="AY336" i="1"/>
  <c r="BK336" i="1" s="1"/>
  <c r="BM336" i="1" s="1"/>
  <c r="L336" i="1"/>
  <c r="BT335" i="1"/>
  <c r="BO335" i="1"/>
  <c r="BM335" i="1"/>
  <c r="BL335" i="1"/>
  <c r="BK335" i="1"/>
  <c r="BE335" i="1"/>
  <c r="BD335" i="1"/>
  <c r="L335" i="1"/>
  <c r="BO334" i="1"/>
  <c r="AX334" i="1"/>
  <c r="L334" i="1"/>
  <c r="BO333" i="1"/>
  <c r="BI333" i="1"/>
  <c r="BH333" i="1"/>
  <c r="BD333" i="1"/>
  <c r="L333" i="1"/>
  <c r="BO332" i="1"/>
  <c r="BI332" i="1"/>
  <c r="BH332" i="1"/>
  <c r="BT332" i="1" s="1"/>
  <c r="BD332" i="1"/>
  <c r="L332" i="1"/>
  <c r="BO331" i="1"/>
  <c r="BJ331" i="1"/>
  <c r="BI331" i="1"/>
  <c r="BH331" i="1"/>
  <c r="BT331" i="1" s="1"/>
  <c r="BD331" i="1"/>
  <c r="L331" i="1"/>
  <c r="BO330" i="1"/>
  <c r="BI330" i="1"/>
  <c r="BJ330" i="1" s="1"/>
  <c r="BH330" i="1"/>
  <c r="BT330" i="1" s="1"/>
  <c r="BD330" i="1"/>
  <c r="L330" i="1"/>
  <c r="BT329" i="1"/>
  <c r="BO329" i="1"/>
  <c r="BJ329" i="1"/>
  <c r="BI329" i="1"/>
  <c r="BH329" i="1"/>
  <c r="BD329" i="1"/>
  <c r="L329" i="1"/>
  <c r="BO328" i="1"/>
  <c r="BI328" i="1"/>
  <c r="BH328" i="1"/>
  <c r="BT328" i="1" s="1"/>
  <c r="CA328" i="1" s="1"/>
  <c r="BD328" i="1"/>
  <c r="L328" i="1"/>
  <c r="CA327" i="1"/>
  <c r="BT327" i="1"/>
  <c r="BZ327" i="1" s="1"/>
  <c r="BO327" i="1"/>
  <c r="BI327" i="1"/>
  <c r="BH327" i="1"/>
  <c r="BJ327" i="1" s="1"/>
  <c r="BD327" i="1"/>
  <c r="L327" i="1"/>
  <c r="BO326" i="1"/>
  <c r="BI326" i="1"/>
  <c r="BD326" i="1"/>
  <c r="AX326" i="1"/>
  <c r="L326" i="1"/>
  <c r="BO325" i="1"/>
  <c r="BI325" i="1"/>
  <c r="BT325" i="1" s="1"/>
  <c r="BH325" i="1"/>
  <c r="BJ325" i="1" s="1"/>
  <c r="BD325" i="1"/>
  <c r="L325" i="1"/>
  <c r="BO324" i="1"/>
  <c r="BH324" i="1"/>
  <c r="BT324" i="1" s="1"/>
  <c r="AX324" i="1"/>
  <c r="BI324" i="1" s="1"/>
  <c r="L324" i="1"/>
  <c r="CA323" i="1"/>
  <c r="BT323" i="1"/>
  <c r="BZ323" i="1" s="1"/>
  <c r="BO323" i="1"/>
  <c r="BJ323" i="1"/>
  <c r="BI323" i="1"/>
  <c r="BH323" i="1"/>
  <c r="BD323" i="1"/>
  <c r="L323" i="1"/>
  <c r="CA322" i="1"/>
  <c r="L322" i="1"/>
  <c r="BO321" i="1"/>
  <c r="BI321" i="1"/>
  <c r="BJ321" i="1" s="1"/>
  <c r="BH321" i="1"/>
  <c r="BT321" i="1" s="1"/>
  <c r="CA321" i="1" s="1"/>
  <c r="BD321" i="1"/>
  <c r="L321" i="1"/>
  <c r="BO320" i="1"/>
  <c r="BI320" i="1"/>
  <c r="BH320" i="1"/>
  <c r="BT320" i="1" s="1"/>
  <c r="BD320" i="1"/>
  <c r="L320" i="1"/>
  <c r="BO319" i="1"/>
  <c r="BN319" i="1"/>
  <c r="BI319" i="1"/>
  <c r="BH319" i="1"/>
  <c r="BT319" i="1" s="1"/>
  <c r="CA319" i="1" s="1"/>
  <c r="BD319" i="1"/>
  <c r="L319" i="1"/>
  <c r="BO318" i="1"/>
  <c r="BN318" i="1"/>
  <c r="BI318" i="1"/>
  <c r="BH318" i="1"/>
  <c r="BJ318" i="1" s="1"/>
  <c r="BD318" i="1"/>
  <c r="L318" i="1"/>
  <c r="BO317" i="1"/>
  <c r="BN317" i="1"/>
  <c r="BI317" i="1"/>
  <c r="BH317" i="1"/>
  <c r="BT317" i="1" s="1"/>
  <c r="CA317" i="1" s="1"/>
  <c r="BD317" i="1"/>
  <c r="L317" i="1"/>
  <c r="AX316" i="1"/>
  <c r="L316" i="1"/>
  <c r="BO315" i="1"/>
  <c r="BJ315" i="1"/>
  <c r="BI315" i="1"/>
  <c r="BH315" i="1"/>
  <c r="BT315" i="1" s="1"/>
  <c r="BD315" i="1"/>
  <c r="L315" i="1"/>
  <c r="BO314" i="1"/>
  <c r="BI314" i="1"/>
  <c r="BJ314" i="1" s="1"/>
  <c r="BH314" i="1"/>
  <c r="BD314" i="1"/>
  <c r="L314" i="1"/>
  <c r="BT313" i="1"/>
  <c r="BZ313" i="1" s="1"/>
  <c r="BO313" i="1"/>
  <c r="BI313" i="1"/>
  <c r="BH313" i="1"/>
  <c r="BJ313" i="1" s="1"/>
  <c r="BD313" i="1"/>
  <c r="L313" i="1"/>
  <c r="BZ312" i="1"/>
  <c r="BO312" i="1"/>
  <c r="BI312" i="1"/>
  <c r="BT312" i="1" s="1"/>
  <c r="CA312" i="1" s="1"/>
  <c r="BH312" i="1"/>
  <c r="BJ312" i="1" s="1"/>
  <c r="BD312" i="1"/>
  <c r="L312" i="1"/>
  <c r="BN311" i="1"/>
  <c r="BO311" i="1" s="1"/>
  <c r="BI311" i="1"/>
  <c r="BJ311" i="1" s="1"/>
  <c r="BH311" i="1"/>
  <c r="BD311" i="1"/>
  <c r="L311" i="1"/>
  <c r="BO310" i="1"/>
  <c r="BE310" i="1"/>
  <c r="BD310" i="1"/>
  <c r="AY310" i="1"/>
  <c r="BT310" i="1" s="1"/>
  <c r="L310" i="1"/>
  <c r="BT309" i="1"/>
  <c r="BZ309" i="1" s="1"/>
  <c r="BO309" i="1"/>
  <c r="BD309" i="1"/>
  <c r="L309" i="1"/>
  <c r="CA308" i="1"/>
  <c r="BT308" i="1"/>
  <c r="BZ308" i="1" s="1"/>
  <c r="BO308" i="1"/>
  <c r="BM308" i="1"/>
  <c r="BL308" i="1"/>
  <c r="BK308" i="1"/>
  <c r="BE308" i="1"/>
  <c r="BD308" i="1"/>
  <c r="L308" i="1"/>
  <c r="BO307" i="1"/>
  <c r="BE307" i="1"/>
  <c r="BD307" i="1"/>
  <c r="AY307" i="1"/>
  <c r="BT307" i="1" s="1"/>
  <c r="L307" i="1"/>
  <c r="CA306" i="1"/>
  <c r="BT306" i="1"/>
  <c r="BZ306" i="1" s="1"/>
  <c r="BO306" i="1"/>
  <c r="BD306" i="1"/>
  <c r="L306" i="1"/>
  <c r="BT305" i="1"/>
  <c r="BZ305" i="1" s="1"/>
  <c r="BO305" i="1"/>
  <c r="BJ305" i="1"/>
  <c r="BI305" i="1"/>
  <c r="BH305" i="1"/>
  <c r="BD305" i="1"/>
  <c r="L305" i="1"/>
  <c r="BO304" i="1"/>
  <c r="BI304" i="1"/>
  <c r="BJ304" i="1" s="1"/>
  <c r="BH304" i="1"/>
  <c r="BT304" i="1" s="1"/>
  <c r="CA304" i="1" s="1"/>
  <c r="BD304" i="1"/>
  <c r="L304" i="1"/>
  <c r="BO303" i="1"/>
  <c r="BI303" i="1"/>
  <c r="BH303" i="1"/>
  <c r="BT303" i="1" s="1"/>
  <c r="BD303" i="1"/>
  <c r="L303" i="1"/>
  <c r="BZ302" i="1"/>
  <c r="BT302" i="1"/>
  <c r="CA302" i="1" s="1"/>
  <c r="BO302" i="1"/>
  <c r="BD302" i="1"/>
  <c r="L302" i="1"/>
  <c r="CA301" i="1"/>
  <c r="BZ301" i="1"/>
  <c r="BT301" i="1"/>
  <c r="BO301" i="1"/>
  <c r="BD301" i="1"/>
  <c r="L301" i="1"/>
  <c r="BO300" i="1"/>
  <c r="BI300" i="1"/>
  <c r="BH300" i="1"/>
  <c r="BD300" i="1"/>
  <c r="L300" i="1"/>
  <c r="BO299" i="1"/>
  <c r="BJ299" i="1"/>
  <c r="BI299" i="1"/>
  <c r="BH299" i="1"/>
  <c r="BT299" i="1" s="1"/>
  <c r="BD299" i="1"/>
  <c r="L299" i="1"/>
  <c r="BZ298" i="1"/>
  <c r="BO298" i="1"/>
  <c r="BI298" i="1"/>
  <c r="BJ298" i="1" s="1"/>
  <c r="BH298" i="1"/>
  <c r="BT298" i="1" s="1"/>
  <c r="CA298" i="1" s="1"/>
  <c r="BD298" i="1"/>
  <c r="L298" i="1"/>
  <c r="BO297" i="1"/>
  <c r="BI297" i="1"/>
  <c r="BH297" i="1"/>
  <c r="BT297" i="1" s="1"/>
  <c r="BD297" i="1"/>
  <c r="L297" i="1"/>
  <c r="BO296" i="1"/>
  <c r="BI296" i="1"/>
  <c r="BT296" i="1" s="1"/>
  <c r="CA296" i="1" s="1"/>
  <c r="BH296" i="1"/>
  <c r="BD296" i="1"/>
  <c r="L296" i="1"/>
  <c r="CA295" i="1"/>
  <c r="BT295" i="1"/>
  <c r="BZ295" i="1" s="1"/>
  <c r="BO295" i="1"/>
  <c r="BJ295" i="1"/>
  <c r="BI295" i="1"/>
  <c r="BH295" i="1"/>
  <c r="BD295" i="1"/>
  <c r="L295" i="1"/>
  <c r="CA294" i="1"/>
  <c r="BZ294" i="1"/>
  <c r="BT294" i="1"/>
  <c r="BO294" i="1"/>
  <c r="BD294" i="1"/>
  <c r="L294" i="1"/>
  <c r="CA293" i="1"/>
  <c r="L293" i="1"/>
  <c r="BO292" i="1"/>
  <c r="AZ292" i="1"/>
  <c r="L292" i="1"/>
  <c r="CA291" i="1"/>
  <c r="BT291" i="1"/>
  <c r="BZ291" i="1" s="1"/>
  <c r="BO291" i="1"/>
  <c r="BF291" i="1"/>
  <c r="AZ291" i="1"/>
  <c r="L291" i="1"/>
  <c r="BO290" i="1"/>
  <c r="AZ290" i="1"/>
  <c r="L290" i="1"/>
  <c r="BT289" i="1"/>
  <c r="BZ289" i="1" s="1"/>
  <c r="BO289" i="1"/>
  <c r="BF289" i="1"/>
  <c r="AZ289" i="1"/>
  <c r="L289" i="1"/>
  <c r="BO288" i="1"/>
  <c r="AZ288" i="1"/>
  <c r="L288" i="1"/>
  <c r="CA287" i="1"/>
  <c r="BT287" i="1"/>
  <c r="BZ287" i="1" s="1"/>
  <c r="BO287" i="1"/>
  <c r="BD287" i="1"/>
  <c r="L287" i="1"/>
  <c r="BT286" i="1"/>
  <c r="BZ286" i="1" s="1"/>
  <c r="BO286" i="1"/>
  <c r="BF286" i="1"/>
  <c r="AZ286" i="1"/>
  <c r="L286" i="1"/>
  <c r="BO285" i="1"/>
  <c r="AZ285" i="1"/>
  <c r="L285" i="1"/>
  <c r="BT284" i="1"/>
  <c r="BZ284" i="1" s="1"/>
  <c r="BO284" i="1"/>
  <c r="BD284" i="1"/>
  <c r="L284" i="1"/>
  <c r="CA283" i="1"/>
  <c r="BT283" i="1"/>
  <c r="BZ283" i="1" s="1"/>
  <c r="BO283" i="1"/>
  <c r="BF283" i="1"/>
  <c r="AZ283" i="1"/>
  <c r="L283" i="1"/>
  <c r="BO282" i="1"/>
  <c r="AZ282" i="1"/>
  <c r="L282" i="1"/>
  <c r="BT281" i="1"/>
  <c r="BZ281" i="1" s="1"/>
  <c r="BO281" i="1"/>
  <c r="BD281" i="1"/>
  <c r="L281" i="1"/>
  <c r="BT280" i="1"/>
  <c r="BZ280" i="1" s="1"/>
  <c r="BO280" i="1"/>
  <c r="BF280" i="1"/>
  <c r="AZ280" i="1"/>
  <c r="L280" i="1"/>
  <c r="BO279" i="1"/>
  <c r="AZ279" i="1"/>
  <c r="L279" i="1"/>
  <c r="BT278" i="1"/>
  <c r="CA278" i="1" s="1"/>
  <c r="BO278" i="1"/>
  <c r="BD278" i="1"/>
  <c r="L278" i="1"/>
  <c r="BT277" i="1"/>
  <c r="BZ277" i="1" s="1"/>
  <c r="BO277" i="1"/>
  <c r="BF277" i="1"/>
  <c r="AZ277" i="1"/>
  <c r="L277" i="1"/>
  <c r="BO276" i="1"/>
  <c r="AZ276" i="1"/>
  <c r="BT276" i="1" s="1"/>
  <c r="CA276" i="1" s="1"/>
  <c r="L276" i="1"/>
  <c r="BT275" i="1"/>
  <c r="BZ275" i="1" s="1"/>
  <c r="BO275" i="1"/>
  <c r="BD275" i="1"/>
  <c r="L275" i="1"/>
  <c r="BT274" i="1"/>
  <c r="BZ274" i="1" s="1"/>
  <c r="BO274" i="1"/>
  <c r="BF274" i="1"/>
  <c r="AZ274" i="1"/>
  <c r="L274" i="1"/>
  <c r="CA273" i="1"/>
  <c r="BZ273" i="1"/>
  <c r="BO273" i="1"/>
  <c r="BF273" i="1"/>
  <c r="AZ273" i="1"/>
  <c r="BT273" i="1" s="1"/>
  <c r="L273" i="1"/>
  <c r="BO272" i="1"/>
  <c r="AZ272" i="1"/>
  <c r="BF272" i="1" s="1"/>
  <c r="L272" i="1"/>
  <c r="BT271" i="1"/>
  <c r="CA271" i="1" s="1"/>
  <c r="BO271" i="1"/>
  <c r="BD271" i="1"/>
  <c r="L271" i="1"/>
  <c r="BZ270" i="1"/>
  <c r="BO270" i="1"/>
  <c r="AZ270" i="1"/>
  <c r="BT270" i="1" s="1"/>
  <c r="CA270" i="1" s="1"/>
  <c r="L270" i="1"/>
  <c r="BT269" i="1"/>
  <c r="BZ269" i="1" s="1"/>
  <c r="BO269" i="1"/>
  <c r="AZ269" i="1"/>
  <c r="BF269" i="1" s="1"/>
  <c r="L269" i="1"/>
  <c r="BO268" i="1"/>
  <c r="AZ268" i="1"/>
  <c r="BF268" i="1" s="1"/>
  <c r="L268" i="1"/>
  <c r="BT267" i="1"/>
  <c r="BZ267" i="1" s="1"/>
  <c r="BO267" i="1"/>
  <c r="BF267" i="1"/>
  <c r="AZ267" i="1"/>
  <c r="L267" i="1"/>
  <c r="BZ266" i="1"/>
  <c r="BO266" i="1"/>
  <c r="AZ266" i="1"/>
  <c r="BT266" i="1" s="1"/>
  <c r="CA266" i="1" s="1"/>
  <c r="L266" i="1"/>
  <c r="BT265" i="1"/>
  <c r="BZ265" i="1" s="1"/>
  <c r="BO265" i="1"/>
  <c r="BD265" i="1"/>
  <c r="L265" i="1"/>
  <c r="BT264" i="1"/>
  <c r="BZ264" i="1" s="1"/>
  <c r="BO264" i="1"/>
  <c r="BF264" i="1"/>
  <c r="AZ264" i="1"/>
  <c r="L264" i="1"/>
  <c r="BZ263" i="1"/>
  <c r="BO263" i="1"/>
  <c r="BF263" i="1"/>
  <c r="AZ263" i="1"/>
  <c r="BT263" i="1" s="1"/>
  <c r="CA263" i="1" s="1"/>
  <c r="L263" i="1"/>
  <c r="BO262" i="1"/>
  <c r="AZ262" i="1"/>
  <c r="BT262" i="1" s="1"/>
  <c r="L262" i="1"/>
  <c r="BT261" i="1"/>
  <c r="CA261" i="1" s="1"/>
  <c r="BO261" i="1"/>
  <c r="BI261" i="1"/>
  <c r="BH261" i="1"/>
  <c r="BJ261" i="1" s="1"/>
  <c r="BD261" i="1"/>
  <c r="L261" i="1"/>
  <c r="BT260" i="1"/>
  <c r="BZ260" i="1" s="1"/>
  <c r="BO260" i="1"/>
  <c r="AZ260" i="1"/>
  <c r="BF260" i="1" s="1"/>
  <c r="L260" i="1"/>
  <c r="BO259" i="1"/>
  <c r="AZ259" i="1"/>
  <c r="BF259" i="1" s="1"/>
  <c r="L259" i="1"/>
  <c r="BT258" i="1"/>
  <c r="BZ258" i="1" s="1"/>
  <c r="BO258" i="1"/>
  <c r="BF258" i="1"/>
  <c r="AZ258" i="1"/>
  <c r="L258" i="1"/>
  <c r="BO257" i="1"/>
  <c r="BI257" i="1"/>
  <c r="BJ257" i="1" s="1"/>
  <c r="BH257" i="1"/>
  <c r="BT257" i="1" s="1"/>
  <c r="CA257" i="1" s="1"/>
  <c r="BD257" i="1"/>
  <c r="L257" i="1"/>
  <c r="BN256" i="1"/>
  <c r="BO256" i="1" s="1"/>
  <c r="BI256" i="1"/>
  <c r="BH256" i="1"/>
  <c r="BJ256" i="1" s="1"/>
  <c r="K256" i="1"/>
  <c r="L256" i="1" s="1"/>
  <c r="CA255" i="1"/>
  <c r="BZ255" i="1"/>
  <c r="BN255" i="1"/>
  <c r="BT255" i="1" s="1"/>
  <c r="BJ255" i="1"/>
  <c r="BI255" i="1"/>
  <c r="BH255" i="1"/>
  <c r="BD255" i="1"/>
  <c r="L255" i="1"/>
  <c r="BO254" i="1"/>
  <c r="BI254" i="1"/>
  <c r="BH254" i="1"/>
  <c r="BJ254" i="1" s="1"/>
  <c r="BD254" i="1"/>
  <c r="AX254" i="1"/>
  <c r="L254" i="1"/>
  <c r="CA253" i="1"/>
  <c r="BZ253" i="1"/>
  <c r="BT253" i="1"/>
  <c r="BO253" i="1"/>
  <c r="BD253" i="1"/>
  <c r="L253" i="1"/>
  <c r="BT252" i="1"/>
  <c r="CA252" i="1" s="1"/>
  <c r="BO252" i="1"/>
  <c r="BI252" i="1"/>
  <c r="BH252" i="1"/>
  <c r="BJ252" i="1" s="1"/>
  <c r="BD252" i="1"/>
  <c r="AX252" i="1"/>
  <c r="L252" i="1"/>
  <c r="BZ251" i="1"/>
  <c r="BO251" i="1"/>
  <c r="BI251" i="1"/>
  <c r="BT251" i="1" s="1"/>
  <c r="CA251" i="1" s="1"/>
  <c r="BH251" i="1"/>
  <c r="BD251" i="1"/>
  <c r="L251" i="1"/>
  <c r="BO250" i="1"/>
  <c r="BI250" i="1"/>
  <c r="BH250" i="1"/>
  <c r="BT250" i="1" s="1"/>
  <c r="BD250" i="1"/>
  <c r="L250" i="1"/>
  <c r="BT249" i="1"/>
  <c r="CA249" i="1" s="1"/>
  <c r="BO249" i="1"/>
  <c r="BI249" i="1"/>
  <c r="BH249" i="1"/>
  <c r="BD249" i="1"/>
  <c r="L249" i="1"/>
  <c r="BO248" i="1"/>
  <c r="BI248" i="1"/>
  <c r="BT248" i="1" s="1"/>
  <c r="BH248" i="1"/>
  <c r="BD248" i="1"/>
  <c r="L248" i="1"/>
  <c r="BO247" i="1"/>
  <c r="BJ247" i="1"/>
  <c r="BI247" i="1"/>
  <c r="BH247" i="1"/>
  <c r="BT247" i="1" s="1"/>
  <c r="BZ247" i="1" s="1"/>
  <c r="BD247" i="1"/>
  <c r="L247" i="1"/>
  <c r="BO246" i="1"/>
  <c r="BJ246" i="1"/>
  <c r="BI246" i="1"/>
  <c r="BH246" i="1"/>
  <c r="BT246" i="1" s="1"/>
  <c r="BZ246" i="1" s="1"/>
  <c r="BD246" i="1"/>
  <c r="L246" i="1"/>
  <c r="BO245" i="1"/>
  <c r="BJ245" i="1"/>
  <c r="BI245" i="1"/>
  <c r="BH245" i="1"/>
  <c r="BT245" i="1" s="1"/>
  <c r="BD245" i="1"/>
  <c r="L245" i="1"/>
  <c r="BO244" i="1"/>
  <c r="BN244" i="1"/>
  <c r="BI244" i="1"/>
  <c r="BH244" i="1"/>
  <c r="BT244" i="1" s="1"/>
  <c r="BD244" i="1"/>
  <c r="L244" i="1"/>
  <c r="BO243" i="1"/>
  <c r="BI243" i="1"/>
  <c r="BJ243" i="1" s="1"/>
  <c r="BH243" i="1"/>
  <c r="BT243" i="1" s="1"/>
  <c r="CA243" i="1" s="1"/>
  <c r="BD243" i="1"/>
  <c r="K243" i="1"/>
  <c r="L243" i="1" s="1"/>
  <c r="BT242" i="1"/>
  <c r="CA242" i="1" s="1"/>
  <c r="BO242" i="1"/>
  <c r="BI242" i="1"/>
  <c r="BH242" i="1"/>
  <c r="BJ242" i="1" s="1"/>
  <c r="BD242" i="1"/>
  <c r="L242" i="1"/>
  <c r="BT241" i="1"/>
  <c r="CA241" i="1" s="1"/>
  <c r="BI241" i="1"/>
  <c r="BH241" i="1"/>
  <c r="BJ241" i="1" s="1"/>
  <c r="L241" i="1"/>
  <c r="K241" i="1"/>
  <c r="BO240" i="1"/>
  <c r="BI240" i="1"/>
  <c r="BH240" i="1"/>
  <c r="BT240" i="1" s="1"/>
  <c r="BD240" i="1"/>
  <c r="L240" i="1"/>
  <c r="BT239" i="1"/>
  <c r="CA239" i="1" s="1"/>
  <c r="BO239" i="1"/>
  <c r="BI239" i="1"/>
  <c r="BH239" i="1"/>
  <c r="BJ239" i="1" s="1"/>
  <c r="BD239" i="1"/>
  <c r="L239" i="1"/>
  <c r="BO238" i="1"/>
  <c r="BI238" i="1"/>
  <c r="BH238" i="1"/>
  <c r="BT238" i="1" s="1"/>
  <c r="BD238" i="1"/>
  <c r="L238" i="1"/>
  <c r="BO237" i="1"/>
  <c r="BI237" i="1"/>
  <c r="BJ237" i="1" s="1"/>
  <c r="BH237" i="1"/>
  <c r="BT237" i="1" s="1"/>
  <c r="BD237" i="1"/>
  <c r="L237" i="1"/>
  <c r="BO236" i="1"/>
  <c r="BI236" i="1"/>
  <c r="BH236" i="1"/>
  <c r="BD236" i="1"/>
  <c r="L236" i="1"/>
  <c r="BO235" i="1"/>
  <c r="BN235" i="1"/>
  <c r="BI235" i="1"/>
  <c r="BH235" i="1"/>
  <c r="BD235" i="1"/>
  <c r="L235" i="1"/>
  <c r="BO234" i="1"/>
  <c r="BI234" i="1"/>
  <c r="BH234" i="1"/>
  <c r="BD234" i="1"/>
  <c r="L234" i="1"/>
  <c r="BT233" i="1"/>
  <c r="BO233" i="1"/>
  <c r="BI233" i="1"/>
  <c r="BH233" i="1"/>
  <c r="BJ233" i="1" s="1"/>
  <c r="BD233" i="1"/>
  <c r="L233" i="1"/>
  <c r="BT232" i="1"/>
  <c r="BI232" i="1"/>
  <c r="BH232" i="1"/>
  <c r="BJ232" i="1" s="1"/>
  <c r="BD232" i="1"/>
  <c r="K232" i="1"/>
  <c r="L232" i="1" s="1"/>
  <c r="BO231" i="1"/>
  <c r="BI231" i="1"/>
  <c r="BJ231" i="1" s="1"/>
  <c r="BH231" i="1"/>
  <c r="BT231" i="1" s="1"/>
  <c r="BD231" i="1"/>
  <c r="L231" i="1"/>
  <c r="BO230" i="1"/>
  <c r="BD230" i="1"/>
  <c r="AX230" i="1"/>
  <c r="L230" i="1"/>
  <c r="BO229" i="1"/>
  <c r="BI229" i="1"/>
  <c r="BT229" i="1" s="1"/>
  <c r="BH229" i="1"/>
  <c r="BD229" i="1"/>
  <c r="L229" i="1"/>
  <c r="BO228" i="1"/>
  <c r="BI228" i="1"/>
  <c r="BJ228" i="1" s="1"/>
  <c r="BH228" i="1"/>
  <c r="BT228" i="1" s="1"/>
  <c r="CA228" i="1" s="1"/>
  <c r="BD228" i="1"/>
  <c r="L228" i="1"/>
  <c r="BT227" i="1"/>
  <c r="BO227" i="1"/>
  <c r="BI227" i="1"/>
  <c r="BH227" i="1"/>
  <c r="BJ227" i="1" s="1"/>
  <c r="BD227" i="1"/>
  <c r="L227" i="1"/>
  <c r="BO226" i="1"/>
  <c r="BI226" i="1"/>
  <c r="BH226" i="1"/>
  <c r="BJ226" i="1" s="1"/>
  <c r="BD226" i="1"/>
  <c r="L226" i="1"/>
  <c r="BO225" i="1"/>
  <c r="BI225" i="1"/>
  <c r="BH225" i="1"/>
  <c r="BJ225" i="1" s="1"/>
  <c r="BD225" i="1"/>
  <c r="L225" i="1"/>
  <c r="CA224" i="1"/>
  <c r="BZ224" i="1"/>
  <c r="BN224" i="1"/>
  <c r="BT224" i="1" s="1"/>
  <c r="BJ224" i="1"/>
  <c r="BI224" i="1"/>
  <c r="BH224" i="1"/>
  <c r="BD224" i="1"/>
  <c r="L224" i="1"/>
  <c r="BZ223" i="1"/>
  <c r="BO223" i="1"/>
  <c r="BJ223" i="1"/>
  <c r="BI223" i="1"/>
  <c r="BH223" i="1"/>
  <c r="BN223" i="1" s="1"/>
  <c r="BT223" i="1" s="1"/>
  <c r="CA223" i="1" s="1"/>
  <c r="BD223" i="1"/>
  <c r="L223" i="1"/>
  <c r="BN222" i="1"/>
  <c r="BJ222" i="1"/>
  <c r="BI222" i="1"/>
  <c r="BH222" i="1"/>
  <c r="BD222" i="1"/>
  <c r="L222" i="1"/>
  <c r="BO221" i="1"/>
  <c r="BN221" i="1"/>
  <c r="BI221" i="1"/>
  <c r="BH221" i="1"/>
  <c r="BD221" i="1"/>
  <c r="L221" i="1"/>
  <c r="CA220" i="1"/>
  <c r="BZ220" i="1"/>
  <c r="BT220" i="1"/>
  <c r="BO220" i="1"/>
  <c r="BD220" i="1"/>
  <c r="L220" i="1"/>
  <c r="BZ219" i="1"/>
  <c r="BT219" i="1"/>
  <c r="CA219" i="1" s="1"/>
  <c r="BO219" i="1"/>
  <c r="BD219" i="1"/>
  <c r="L219" i="1"/>
  <c r="CA218" i="1"/>
  <c r="BZ218" i="1"/>
  <c r="BT218" i="1"/>
  <c r="BO218" i="1"/>
  <c r="BD218" i="1"/>
  <c r="L218" i="1"/>
  <c r="BZ217" i="1"/>
  <c r="BT217" i="1"/>
  <c r="CA217" i="1" s="1"/>
  <c r="BO217" i="1"/>
  <c r="BD217" i="1"/>
  <c r="L217" i="1"/>
  <c r="CA216" i="1"/>
  <c r="BZ216" i="1"/>
  <c r="BT216" i="1"/>
  <c r="BO216" i="1"/>
  <c r="BD216" i="1"/>
  <c r="L216" i="1"/>
  <c r="BT215" i="1"/>
  <c r="BO215" i="1"/>
  <c r="BI215" i="1"/>
  <c r="BH215" i="1"/>
  <c r="BJ215" i="1" s="1"/>
  <c r="BF215" i="1"/>
  <c r="BD215" i="1"/>
  <c r="L215" i="1"/>
  <c r="BZ214" i="1"/>
  <c r="BO214" i="1"/>
  <c r="BI214" i="1"/>
  <c r="BT214" i="1" s="1"/>
  <c r="CA214" i="1" s="1"/>
  <c r="BH214" i="1"/>
  <c r="BD214" i="1"/>
  <c r="L214" i="1"/>
  <c r="BT213" i="1"/>
  <c r="BO213" i="1"/>
  <c r="BI213" i="1"/>
  <c r="BH213" i="1"/>
  <c r="BJ213" i="1" s="1"/>
  <c r="BD213" i="1"/>
  <c r="L213" i="1"/>
  <c r="BT212" i="1"/>
  <c r="BO212" i="1"/>
  <c r="BD212" i="1"/>
  <c r="L212" i="1"/>
  <c r="CA211" i="1"/>
  <c r="BZ211" i="1"/>
  <c r="BN211" i="1"/>
  <c r="BT211" i="1" s="1"/>
  <c r="BJ211" i="1"/>
  <c r="BI211" i="1"/>
  <c r="BH211" i="1"/>
  <c r="BD211" i="1"/>
  <c r="L211" i="1"/>
  <c r="BO210" i="1"/>
  <c r="BI210" i="1"/>
  <c r="BH210" i="1"/>
  <c r="BD210" i="1"/>
  <c r="L210" i="1"/>
  <c r="BO209" i="1"/>
  <c r="BI209" i="1"/>
  <c r="BT209" i="1" s="1"/>
  <c r="CA209" i="1" s="1"/>
  <c r="BH209" i="1"/>
  <c r="BD209" i="1"/>
  <c r="L209" i="1"/>
  <c r="CA208" i="1"/>
  <c r="BZ208" i="1"/>
  <c r="BT208" i="1"/>
  <c r="BO208" i="1"/>
  <c r="BD208" i="1"/>
  <c r="L208" i="1"/>
  <c r="I208" i="1"/>
  <c r="BO207" i="1"/>
  <c r="BD207" i="1"/>
  <c r="AY207" i="1"/>
  <c r="L207" i="1"/>
  <c r="BO206" i="1"/>
  <c r="BI206" i="1"/>
  <c r="BT206" i="1" s="1"/>
  <c r="BH206" i="1"/>
  <c r="BD206" i="1"/>
  <c r="AX206" i="1"/>
  <c r="L206" i="1"/>
  <c r="BO205" i="1"/>
  <c r="BN205" i="1"/>
  <c r="BI205" i="1"/>
  <c r="BH205" i="1"/>
  <c r="BJ205" i="1" s="1"/>
  <c r="BD205" i="1"/>
  <c r="L205" i="1"/>
  <c r="BT204" i="1"/>
  <c r="BO204" i="1"/>
  <c r="BI204" i="1"/>
  <c r="BH204" i="1"/>
  <c r="BJ204" i="1" s="1"/>
  <c r="BD204" i="1"/>
  <c r="L204" i="1"/>
  <c r="BO203" i="1"/>
  <c r="BI203" i="1"/>
  <c r="BH203" i="1"/>
  <c r="BJ203" i="1" s="1"/>
  <c r="BD203" i="1"/>
  <c r="L203" i="1"/>
  <c r="BZ202" i="1"/>
  <c r="BO202" i="1"/>
  <c r="BI202" i="1"/>
  <c r="BT202" i="1" s="1"/>
  <c r="CA202" i="1" s="1"/>
  <c r="BH202" i="1"/>
  <c r="BD202" i="1"/>
  <c r="L202" i="1"/>
  <c r="BO201" i="1"/>
  <c r="BI201" i="1"/>
  <c r="BH201" i="1"/>
  <c r="BJ201" i="1" s="1"/>
  <c r="BD201" i="1"/>
  <c r="L201" i="1"/>
  <c r="BT200" i="1"/>
  <c r="BO200" i="1"/>
  <c r="BI200" i="1"/>
  <c r="BH200" i="1"/>
  <c r="BJ200" i="1" s="1"/>
  <c r="BD200" i="1"/>
  <c r="L200" i="1"/>
  <c r="BO199" i="1"/>
  <c r="BI199" i="1"/>
  <c r="BH199" i="1"/>
  <c r="BJ199" i="1" s="1"/>
  <c r="BD199" i="1"/>
  <c r="L199" i="1"/>
  <c r="BZ198" i="1"/>
  <c r="BO198" i="1"/>
  <c r="BI198" i="1"/>
  <c r="BJ198" i="1" s="1"/>
  <c r="BH198" i="1"/>
  <c r="BT198" i="1" s="1"/>
  <c r="CA198" i="1" s="1"/>
  <c r="BD198" i="1"/>
  <c r="L198" i="1"/>
  <c r="BO197" i="1"/>
  <c r="BI197" i="1"/>
  <c r="BH197" i="1"/>
  <c r="BJ197" i="1" s="1"/>
  <c r="BD197" i="1"/>
  <c r="L197" i="1"/>
  <c r="BT196" i="1"/>
  <c r="BO196" i="1"/>
  <c r="BI196" i="1"/>
  <c r="BH196" i="1"/>
  <c r="BJ196" i="1" s="1"/>
  <c r="BD196" i="1"/>
  <c r="L196" i="1"/>
  <c r="BO195" i="1"/>
  <c r="BI195" i="1"/>
  <c r="BH195" i="1"/>
  <c r="BJ195" i="1" s="1"/>
  <c r="BD195" i="1"/>
  <c r="L195" i="1"/>
  <c r="BZ194" i="1"/>
  <c r="BO194" i="1"/>
  <c r="BI194" i="1"/>
  <c r="BJ194" i="1" s="1"/>
  <c r="BH194" i="1"/>
  <c r="BT194" i="1" s="1"/>
  <c r="CA194" i="1" s="1"/>
  <c r="BD194" i="1"/>
  <c r="L194" i="1"/>
  <c r="BO193" i="1"/>
  <c r="BI193" i="1"/>
  <c r="BH193" i="1"/>
  <c r="BJ193" i="1" s="1"/>
  <c r="BD193" i="1"/>
  <c r="L193" i="1"/>
  <c r="BT192" i="1"/>
  <c r="BO192" i="1"/>
  <c r="BI192" i="1"/>
  <c r="BH192" i="1"/>
  <c r="BJ192" i="1" s="1"/>
  <c r="BD192" i="1"/>
  <c r="L192" i="1"/>
  <c r="BO191" i="1"/>
  <c r="BI191" i="1"/>
  <c r="BH191" i="1"/>
  <c r="BJ191" i="1" s="1"/>
  <c r="BD191" i="1"/>
  <c r="L191" i="1"/>
  <c r="BO190" i="1"/>
  <c r="BI190" i="1"/>
  <c r="BJ190" i="1" s="1"/>
  <c r="BH190" i="1"/>
  <c r="BD190" i="1"/>
  <c r="L190" i="1"/>
  <c r="BO189" i="1"/>
  <c r="BI189" i="1"/>
  <c r="BH189" i="1"/>
  <c r="BJ189" i="1" s="1"/>
  <c r="BD189" i="1"/>
  <c r="L189" i="1"/>
  <c r="BT188" i="1"/>
  <c r="BO188" i="1"/>
  <c r="BI188" i="1"/>
  <c r="BH188" i="1"/>
  <c r="BJ188" i="1" s="1"/>
  <c r="BD188" i="1"/>
  <c r="L188" i="1"/>
  <c r="BT187" i="1"/>
  <c r="BN187" i="1"/>
  <c r="BO187" i="1" s="1"/>
  <c r="BI187" i="1"/>
  <c r="BJ187" i="1" s="1"/>
  <c r="BH187" i="1"/>
  <c r="BD187" i="1"/>
  <c r="L187" i="1"/>
  <c r="BI186" i="1"/>
  <c r="BH186" i="1"/>
  <c r="BD186" i="1"/>
  <c r="L186" i="1"/>
  <c r="BN185" i="1"/>
  <c r="BO185" i="1" s="1"/>
  <c r="BJ185" i="1"/>
  <c r="BI185" i="1"/>
  <c r="BT185" i="1" s="1"/>
  <c r="BH185" i="1"/>
  <c r="BD185" i="1"/>
  <c r="L185" i="1"/>
  <c r="BN184" i="1"/>
  <c r="BO184" i="1" s="1"/>
  <c r="BJ184" i="1"/>
  <c r="BI184" i="1"/>
  <c r="BH184" i="1"/>
  <c r="BD184" i="1"/>
  <c r="L184" i="1"/>
  <c r="BO183" i="1"/>
  <c r="BD183" i="1"/>
  <c r="AX183" i="1"/>
  <c r="L183" i="1"/>
  <c r="BO182" i="1"/>
  <c r="BI182" i="1"/>
  <c r="BH182" i="1"/>
  <c r="BD182" i="1"/>
  <c r="L182" i="1"/>
  <c r="BO181" i="1"/>
  <c r="BI181" i="1"/>
  <c r="BJ181" i="1" s="1"/>
  <c r="BH181" i="1"/>
  <c r="BD181" i="1"/>
  <c r="L181" i="1"/>
  <c r="CA180" i="1"/>
  <c r="BO180" i="1"/>
  <c r="BI180" i="1"/>
  <c r="BH180" i="1"/>
  <c r="BT180" i="1" s="1"/>
  <c r="BZ180" i="1" s="1"/>
  <c r="BD180" i="1"/>
  <c r="L180" i="1"/>
  <c r="BO179" i="1"/>
  <c r="BN179" i="1"/>
  <c r="BI179" i="1"/>
  <c r="BH179" i="1"/>
  <c r="BT179" i="1" s="1"/>
  <c r="BD179" i="1"/>
  <c r="L179" i="1"/>
  <c r="CA178" i="1"/>
  <c r="BZ178" i="1"/>
  <c r="BO178" i="1"/>
  <c r="BN178" i="1"/>
  <c r="BT178" i="1" s="1"/>
  <c r="BJ178" i="1"/>
  <c r="BI178" i="1"/>
  <c r="BH178" i="1"/>
  <c r="BD178" i="1"/>
  <c r="L178" i="1"/>
  <c r="BO177" i="1"/>
  <c r="BI177" i="1"/>
  <c r="BH177" i="1"/>
  <c r="BJ177" i="1" s="1"/>
  <c r="BD177" i="1"/>
  <c r="L177" i="1"/>
  <c r="BO176" i="1"/>
  <c r="BI176" i="1"/>
  <c r="BH176" i="1"/>
  <c r="BJ176" i="1" s="1"/>
  <c r="BD176" i="1"/>
  <c r="L176" i="1"/>
  <c r="BZ175" i="1"/>
  <c r="BO175" i="1"/>
  <c r="BI175" i="1"/>
  <c r="BJ175" i="1" s="1"/>
  <c r="BH175" i="1"/>
  <c r="BT175" i="1" s="1"/>
  <c r="CA175" i="1" s="1"/>
  <c r="BD175" i="1"/>
  <c r="L175" i="1"/>
  <c r="CA174" i="1"/>
  <c r="BO174" i="1"/>
  <c r="BJ174" i="1"/>
  <c r="BI174" i="1"/>
  <c r="BH174" i="1"/>
  <c r="BT174" i="1" s="1"/>
  <c r="BZ174" i="1" s="1"/>
  <c r="BD174" i="1"/>
  <c r="L174" i="1"/>
  <c r="BO173" i="1"/>
  <c r="BI173" i="1"/>
  <c r="BH173" i="1"/>
  <c r="BT173" i="1" s="1"/>
  <c r="BD173" i="1"/>
  <c r="L173" i="1"/>
  <c r="BO172" i="1"/>
  <c r="BI172" i="1"/>
  <c r="BT172" i="1" s="1"/>
  <c r="BH172" i="1"/>
  <c r="BJ172" i="1" s="1"/>
  <c r="BD172" i="1"/>
  <c r="L172" i="1"/>
  <c r="BO171" i="1"/>
  <c r="BI171" i="1"/>
  <c r="BT171" i="1" s="1"/>
  <c r="CA171" i="1" s="1"/>
  <c r="BH171" i="1"/>
  <c r="BD171" i="1"/>
  <c r="L171" i="1"/>
  <c r="CA170" i="1"/>
  <c r="BT170" i="1"/>
  <c r="BZ170" i="1" s="1"/>
  <c r="BO170" i="1"/>
  <c r="BD170" i="1"/>
  <c r="L170" i="1"/>
  <c r="BZ169" i="1"/>
  <c r="BT169" i="1"/>
  <c r="CA169" i="1" s="1"/>
  <c r="BO169" i="1"/>
  <c r="BD169" i="1"/>
  <c r="L169" i="1"/>
  <c r="BO168" i="1"/>
  <c r="BJ168" i="1"/>
  <c r="BI168" i="1"/>
  <c r="BH168" i="1"/>
  <c r="BT168" i="1" s="1"/>
  <c r="BZ168" i="1" s="1"/>
  <c r="BD168" i="1"/>
  <c r="L168" i="1"/>
  <c r="BO167" i="1"/>
  <c r="BI167" i="1"/>
  <c r="BH167" i="1"/>
  <c r="BJ167" i="1" s="1"/>
  <c r="BD167" i="1"/>
  <c r="L167" i="1"/>
  <c r="BO166" i="1"/>
  <c r="BI166" i="1"/>
  <c r="BH166" i="1"/>
  <c r="BT166" i="1" s="1"/>
  <c r="BD166" i="1"/>
  <c r="L166" i="1"/>
  <c r="CA165" i="1"/>
  <c r="BZ165" i="1"/>
  <c r="BT165" i="1"/>
  <c r="BO165" i="1"/>
  <c r="BE165" i="1"/>
  <c r="BD165" i="1"/>
  <c r="AY165" i="1"/>
  <c r="L165" i="1"/>
  <c r="BZ164" i="1"/>
  <c r="BO164" i="1"/>
  <c r="BI164" i="1"/>
  <c r="BT164" i="1" s="1"/>
  <c r="CA164" i="1" s="1"/>
  <c r="BH164" i="1"/>
  <c r="BD164" i="1"/>
  <c r="L164" i="1"/>
  <c r="BT163" i="1"/>
  <c r="BZ163" i="1" s="1"/>
  <c r="BO163" i="1"/>
  <c r="BJ163" i="1"/>
  <c r="BI163" i="1"/>
  <c r="BH163" i="1"/>
  <c r="BD163" i="1"/>
  <c r="L163" i="1"/>
  <c r="BT162" i="1"/>
  <c r="CA162" i="1" s="1"/>
  <c r="BO162" i="1"/>
  <c r="BI162" i="1"/>
  <c r="BH162" i="1"/>
  <c r="BJ162" i="1" s="1"/>
  <c r="BD162" i="1"/>
  <c r="L162" i="1"/>
  <c r="BT161" i="1"/>
  <c r="CA161" i="1" s="1"/>
  <c r="BO161" i="1"/>
  <c r="BD161" i="1"/>
  <c r="AY161" i="1"/>
  <c r="BE161" i="1" s="1"/>
  <c r="L161" i="1"/>
  <c r="CA160" i="1"/>
  <c r="BT160" i="1"/>
  <c r="BZ160" i="1" s="1"/>
  <c r="BO160" i="1"/>
  <c r="BD160" i="1"/>
  <c r="AY160" i="1"/>
  <c r="BE160" i="1" s="1"/>
  <c r="L160" i="1"/>
  <c r="BO159" i="1"/>
  <c r="BD159" i="1"/>
  <c r="AY159" i="1"/>
  <c r="BE159" i="1" s="1"/>
  <c r="L159" i="1"/>
  <c r="BO158" i="1"/>
  <c r="BD158" i="1"/>
  <c r="AY158" i="1"/>
  <c r="BE158" i="1" s="1"/>
  <c r="L158" i="1"/>
  <c r="BT157" i="1"/>
  <c r="BZ157" i="1" s="1"/>
  <c r="BO157" i="1"/>
  <c r="BD157" i="1"/>
  <c r="AY157" i="1"/>
  <c r="BE157" i="1" s="1"/>
  <c r="L157" i="1"/>
  <c r="CA156" i="1"/>
  <c r="BT156" i="1"/>
  <c r="BZ156" i="1" s="1"/>
  <c r="BN156" i="1"/>
  <c r="BO156" i="1" s="1"/>
  <c r="BE156" i="1"/>
  <c r="BD156" i="1"/>
  <c r="AY156" i="1"/>
  <c r="L156" i="1"/>
  <c r="BN155" i="1"/>
  <c r="BJ155" i="1"/>
  <c r="BI155" i="1"/>
  <c r="BH155" i="1"/>
  <c r="BD155" i="1"/>
  <c r="L155" i="1"/>
  <c r="BT154" i="1"/>
  <c r="BD154" i="1"/>
  <c r="AY154" i="1"/>
  <c r="BN154" i="1" s="1"/>
  <c r="BO154" i="1" s="1"/>
  <c r="L154" i="1"/>
  <c r="BO153" i="1"/>
  <c r="BI153" i="1"/>
  <c r="BH153" i="1"/>
  <c r="BT153" i="1" s="1"/>
  <c r="BD153" i="1"/>
  <c r="L153" i="1"/>
  <c r="BZ152" i="1"/>
  <c r="BO152" i="1"/>
  <c r="BI152" i="1"/>
  <c r="BT152" i="1" s="1"/>
  <c r="CA152" i="1" s="1"/>
  <c r="BH152" i="1"/>
  <c r="BD152" i="1"/>
  <c r="L152" i="1"/>
  <c r="BT151" i="1"/>
  <c r="BZ151" i="1" s="1"/>
  <c r="BO151" i="1"/>
  <c r="BJ151" i="1"/>
  <c r="BI151" i="1"/>
  <c r="BH151" i="1"/>
  <c r="BD151" i="1"/>
  <c r="L151" i="1"/>
  <c r="BT150" i="1"/>
  <c r="CA150" i="1" s="1"/>
  <c r="BO150" i="1"/>
  <c r="BI150" i="1"/>
  <c r="BH150" i="1"/>
  <c r="BJ150" i="1" s="1"/>
  <c r="BD150" i="1"/>
  <c r="L150" i="1"/>
  <c r="BT149" i="1"/>
  <c r="CA149" i="1" s="1"/>
  <c r="BO149" i="1"/>
  <c r="BI149" i="1"/>
  <c r="BH149" i="1"/>
  <c r="BJ149" i="1" s="1"/>
  <c r="BD149" i="1"/>
  <c r="L149" i="1"/>
  <c r="BO148" i="1"/>
  <c r="BJ148" i="1"/>
  <c r="BI148" i="1"/>
  <c r="BH148" i="1"/>
  <c r="BT148" i="1" s="1"/>
  <c r="CA148" i="1" s="1"/>
  <c r="BD148" i="1"/>
  <c r="L148" i="1"/>
  <c r="CA147" i="1"/>
  <c r="BT147" i="1"/>
  <c r="BZ147" i="1" s="1"/>
  <c r="BO147" i="1"/>
  <c r="BD147" i="1"/>
  <c r="L147" i="1"/>
  <c r="BO146" i="1"/>
  <c r="BI146" i="1"/>
  <c r="BH146" i="1"/>
  <c r="BJ146" i="1" s="1"/>
  <c r="BD146" i="1"/>
  <c r="L146" i="1"/>
  <c r="CA145" i="1"/>
  <c r="BZ145" i="1"/>
  <c r="BJ145" i="1"/>
  <c r="BI145" i="1"/>
  <c r="BH145" i="1"/>
  <c r="BT145" i="1" s="1"/>
  <c r="BD145" i="1"/>
  <c r="L145" i="1"/>
  <c r="K145" i="1"/>
  <c r="BO145" i="1" s="1"/>
  <c r="BT144" i="1"/>
  <c r="CA144" i="1" s="1"/>
  <c r="BO144" i="1"/>
  <c r="BI144" i="1"/>
  <c r="BH144" i="1"/>
  <c r="BJ144" i="1" s="1"/>
  <c r="BD144" i="1"/>
  <c r="L144" i="1"/>
  <c r="BT143" i="1"/>
  <c r="BZ143" i="1" s="1"/>
  <c r="BO143" i="1"/>
  <c r="BI143" i="1"/>
  <c r="BH143" i="1"/>
  <c r="BJ143" i="1" s="1"/>
  <c r="BD143" i="1"/>
  <c r="L143" i="1"/>
  <c r="BZ142" i="1"/>
  <c r="BO142" i="1"/>
  <c r="BI142" i="1"/>
  <c r="BJ142" i="1" s="1"/>
  <c r="BH142" i="1"/>
  <c r="BT142" i="1" s="1"/>
  <c r="CA142" i="1" s="1"/>
  <c r="BD142" i="1"/>
  <c r="L142" i="1"/>
  <c r="BT141" i="1"/>
  <c r="BZ141" i="1" s="1"/>
  <c r="BO141" i="1"/>
  <c r="BI141" i="1"/>
  <c r="BH141" i="1"/>
  <c r="BJ141" i="1" s="1"/>
  <c r="BD141" i="1"/>
  <c r="L141" i="1"/>
  <c r="BT140" i="1"/>
  <c r="CA140" i="1" s="1"/>
  <c r="BO140" i="1"/>
  <c r="AX140" i="1"/>
  <c r="BN140" i="1" s="1"/>
  <c r="L140" i="1"/>
  <c r="BO139" i="1"/>
  <c r="BL139" i="1"/>
  <c r="BD139" i="1"/>
  <c r="AY139" i="1"/>
  <c r="BK139" i="1" s="1"/>
  <c r="BM139" i="1" s="1"/>
  <c r="L139" i="1"/>
  <c r="BT138" i="1"/>
  <c r="BZ138" i="1" s="1"/>
  <c r="BO138" i="1"/>
  <c r="BD138" i="1"/>
  <c r="L138" i="1"/>
  <c r="BO137" i="1"/>
  <c r="BL137" i="1"/>
  <c r="BT137" i="1" s="1"/>
  <c r="BK137" i="1"/>
  <c r="BM137" i="1" s="1"/>
  <c r="BD137" i="1"/>
  <c r="AY137" i="1"/>
  <c r="BE137" i="1" s="1"/>
  <c r="L137" i="1"/>
  <c r="BO136" i="1"/>
  <c r="BI136" i="1"/>
  <c r="BH136" i="1"/>
  <c r="BT136" i="1" s="1"/>
  <c r="BD136" i="1"/>
  <c r="L136" i="1"/>
  <c r="BI135" i="1"/>
  <c r="BH135" i="1"/>
  <c r="BJ135" i="1" s="1"/>
  <c r="K135" i="1"/>
  <c r="BO134" i="1"/>
  <c r="BH134" i="1"/>
  <c r="BJ134" i="1" s="1"/>
  <c r="BD134" i="1"/>
  <c r="AX134" i="1"/>
  <c r="BI134" i="1" s="1"/>
  <c r="L134" i="1"/>
  <c r="BO133" i="1"/>
  <c r="BJ133" i="1"/>
  <c r="BI133" i="1"/>
  <c r="BH133" i="1"/>
  <c r="BT133" i="1" s="1"/>
  <c r="BD133" i="1"/>
  <c r="L133" i="1"/>
  <c r="BO132" i="1"/>
  <c r="BJ132" i="1"/>
  <c r="BI132" i="1"/>
  <c r="BH132" i="1"/>
  <c r="BD132" i="1"/>
  <c r="L132" i="1"/>
  <c r="BO131" i="1"/>
  <c r="BJ131" i="1"/>
  <c r="BI131" i="1"/>
  <c r="BH131" i="1"/>
  <c r="BT131" i="1" s="1"/>
  <c r="BD131" i="1"/>
  <c r="L131" i="1"/>
  <c r="BO130" i="1"/>
  <c r="BL130" i="1"/>
  <c r="BD130" i="1"/>
  <c r="AY130" i="1"/>
  <c r="BK130" i="1" s="1"/>
  <c r="BM130" i="1" s="1"/>
  <c r="L130" i="1"/>
  <c r="BT129" i="1"/>
  <c r="BZ129" i="1" s="1"/>
  <c r="BO129" i="1"/>
  <c r="BJ129" i="1"/>
  <c r="BI129" i="1"/>
  <c r="BH129" i="1"/>
  <c r="BD129" i="1"/>
  <c r="L129" i="1"/>
  <c r="BO128" i="1"/>
  <c r="BN128" i="1"/>
  <c r="BI128" i="1"/>
  <c r="BH128" i="1"/>
  <c r="BT128" i="1" s="1"/>
  <c r="BD128" i="1"/>
  <c r="L128" i="1"/>
  <c r="BO127" i="1"/>
  <c r="BN127" i="1"/>
  <c r="BI127" i="1"/>
  <c r="BH127" i="1"/>
  <c r="BJ127" i="1" s="1"/>
  <c r="BD127" i="1"/>
  <c r="L127" i="1"/>
  <c r="BO126" i="1"/>
  <c r="BN126" i="1"/>
  <c r="BJ126" i="1"/>
  <c r="BI126" i="1"/>
  <c r="BT126" i="1" s="1"/>
  <c r="BH126" i="1"/>
  <c r="BD126" i="1"/>
  <c r="L126" i="1"/>
  <c r="AX125" i="1"/>
  <c r="BI125" i="1" s="1"/>
  <c r="L125" i="1"/>
  <c r="BT124" i="1"/>
  <c r="CA124" i="1" s="1"/>
  <c r="BO124" i="1"/>
  <c r="BD124" i="1"/>
  <c r="L124" i="1"/>
  <c r="BO123" i="1"/>
  <c r="BI123" i="1"/>
  <c r="BH123" i="1"/>
  <c r="BT123" i="1" s="1"/>
  <c r="BD123" i="1"/>
  <c r="L123" i="1"/>
  <c r="K123" i="1"/>
  <c r="BO122" i="1"/>
  <c r="BD122" i="1"/>
  <c r="AY122" i="1"/>
  <c r="BE122" i="1" s="1"/>
  <c r="L122" i="1"/>
  <c r="BT121" i="1"/>
  <c r="CA121" i="1" s="1"/>
  <c r="BO121" i="1"/>
  <c r="BI121" i="1"/>
  <c r="BH121" i="1"/>
  <c r="BJ121" i="1" s="1"/>
  <c r="BD121" i="1"/>
  <c r="L121" i="1"/>
  <c r="BO120" i="1"/>
  <c r="BI120" i="1"/>
  <c r="BH120" i="1"/>
  <c r="BT120" i="1" s="1"/>
  <c r="BD120" i="1"/>
  <c r="L120" i="1"/>
  <c r="BO119" i="1"/>
  <c r="BI119" i="1"/>
  <c r="BJ119" i="1" s="1"/>
  <c r="BH119" i="1"/>
  <c r="BT119" i="1" s="1"/>
  <c r="CA119" i="1" s="1"/>
  <c r="BD119" i="1"/>
  <c r="L119" i="1"/>
  <c r="BT118" i="1"/>
  <c r="BZ118" i="1" s="1"/>
  <c r="BO118" i="1"/>
  <c r="BD118" i="1"/>
  <c r="L118" i="1"/>
  <c r="BO117" i="1"/>
  <c r="BI117" i="1"/>
  <c r="AX117" i="1"/>
  <c r="BD117" i="1" s="1"/>
  <c r="L117" i="1"/>
  <c r="CA116" i="1"/>
  <c r="BT116" i="1"/>
  <c r="BZ116" i="1" s="1"/>
  <c r="BO116" i="1"/>
  <c r="BD116" i="1"/>
  <c r="L116" i="1"/>
  <c r="BT115" i="1"/>
  <c r="BZ115" i="1" s="1"/>
  <c r="BN115" i="1"/>
  <c r="BO115" i="1" s="1"/>
  <c r="BI115" i="1"/>
  <c r="BJ115" i="1" s="1"/>
  <c r="BH115" i="1"/>
  <c r="BD115" i="1"/>
  <c r="L115" i="1"/>
  <c r="BT114" i="1"/>
  <c r="BZ114" i="1" s="1"/>
  <c r="BO114" i="1"/>
  <c r="BN114" i="1"/>
  <c r="BI114" i="1"/>
  <c r="BH114" i="1"/>
  <c r="BJ114" i="1" s="1"/>
  <c r="BD114" i="1"/>
  <c r="L114" i="1"/>
  <c r="BZ113" i="1"/>
  <c r="BT113" i="1"/>
  <c r="CA113" i="1" s="1"/>
  <c r="BN113" i="1"/>
  <c r="BO113" i="1" s="1"/>
  <c r="BD113" i="1"/>
  <c r="L113" i="1"/>
  <c r="BO112" i="1"/>
  <c r="BN112" i="1"/>
  <c r="BJ112" i="1"/>
  <c r="BI112" i="1"/>
  <c r="BH112" i="1"/>
  <c r="BT112" i="1" s="1"/>
  <c r="BD112" i="1"/>
  <c r="L112" i="1"/>
  <c r="BO111" i="1"/>
  <c r="BN111" i="1"/>
  <c r="BI111" i="1"/>
  <c r="BH111" i="1"/>
  <c r="BJ111" i="1" s="1"/>
  <c r="BD111" i="1"/>
  <c r="L111" i="1"/>
  <c r="BT110" i="1"/>
  <c r="CA110" i="1" s="1"/>
  <c r="BO110" i="1"/>
  <c r="BI110" i="1"/>
  <c r="BH110" i="1"/>
  <c r="BJ110" i="1" s="1"/>
  <c r="BD110" i="1"/>
  <c r="L110" i="1"/>
  <c r="BT109" i="1"/>
  <c r="BZ109" i="1" s="1"/>
  <c r="BO109" i="1"/>
  <c r="BI109" i="1"/>
  <c r="BH109" i="1"/>
  <c r="BJ109" i="1" s="1"/>
  <c r="BD109" i="1"/>
  <c r="L109" i="1"/>
  <c r="BZ108" i="1"/>
  <c r="BO108" i="1"/>
  <c r="BI108" i="1"/>
  <c r="BJ108" i="1" s="1"/>
  <c r="BH108" i="1"/>
  <c r="BT108" i="1" s="1"/>
  <c r="CA108" i="1" s="1"/>
  <c r="BD108" i="1"/>
  <c r="L108" i="1"/>
  <c r="BT107" i="1"/>
  <c r="BZ107" i="1" s="1"/>
  <c r="BO107" i="1"/>
  <c r="BD107" i="1"/>
  <c r="L107" i="1"/>
  <c r="CA106" i="1"/>
  <c r="BZ106" i="1"/>
  <c r="BT106" i="1"/>
  <c r="BO106" i="1"/>
  <c r="BD106" i="1"/>
  <c r="L106" i="1"/>
  <c r="BO105" i="1"/>
  <c r="BJ105" i="1"/>
  <c r="BI105" i="1"/>
  <c r="BH105" i="1"/>
  <c r="BT105" i="1" s="1"/>
  <c r="BD105" i="1"/>
  <c r="L105" i="1"/>
  <c r="BT104" i="1"/>
  <c r="CA104" i="1" s="1"/>
  <c r="BO104" i="1"/>
  <c r="BD104" i="1"/>
  <c r="L104" i="1"/>
  <c r="CA103" i="1"/>
  <c r="BZ103" i="1"/>
  <c r="BT103" i="1"/>
  <c r="BO103" i="1"/>
  <c r="BD103" i="1"/>
  <c r="L103" i="1"/>
  <c r="BZ102" i="1"/>
  <c r="BT102" i="1"/>
  <c r="CA102" i="1" s="1"/>
  <c r="BO102" i="1"/>
  <c r="BD102" i="1"/>
  <c r="L102" i="1"/>
  <c r="CA101" i="1"/>
  <c r="BZ101" i="1"/>
  <c r="BT101" i="1"/>
  <c r="BO101" i="1"/>
  <c r="BD101" i="1"/>
  <c r="L101" i="1"/>
  <c r="BZ100" i="1"/>
  <c r="BT100" i="1"/>
  <c r="CA100" i="1" s="1"/>
  <c r="BO100" i="1"/>
  <c r="BD100" i="1"/>
  <c r="L100" i="1"/>
  <c r="CA99" i="1"/>
  <c r="BZ99" i="1"/>
  <c r="BT99" i="1"/>
  <c r="BO99" i="1"/>
  <c r="BD99" i="1"/>
  <c r="L99" i="1"/>
  <c r="BT98" i="1"/>
  <c r="CA98" i="1" s="1"/>
  <c r="BO98" i="1"/>
  <c r="BD98" i="1"/>
  <c r="L98" i="1"/>
  <c r="CA97" i="1"/>
  <c r="BZ97" i="1"/>
  <c r="BT97" i="1"/>
  <c r="BO97" i="1"/>
  <c r="BD97" i="1"/>
  <c r="L97" i="1"/>
  <c r="BT96" i="1"/>
  <c r="CA96" i="1" s="1"/>
  <c r="BO96" i="1"/>
  <c r="BD96" i="1"/>
  <c r="L96" i="1"/>
  <c r="CA95" i="1"/>
  <c r="BZ95" i="1"/>
  <c r="BT95" i="1"/>
  <c r="BO95" i="1"/>
  <c r="BD95" i="1"/>
  <c r="L95" i="1"/>
  <c r="BO94" i="1"/>
  <c r="BI94" i="1"/>
  <c r="BH94" i="1"/>
  <c r="BD94" i="1"/>
  <c r="L94" i="1"/>
  <c r="BO93" i="1"/>
  <c r="BJ93" i="1"/>
  <c r="BI93" i="1"/>
  <c r="BT93" i="1" s="1"/>
  <c r="BH93" i="1"/>
  <c r="BD93" i="1"/>
  <c r="L93" i="1"/>
  <c r="BO92" i="1"/>
  <c r="BJ92" i="1"/>
  <c r="BI92" i="1"/>
  <c r="BH92" i="1"/>
  <c r="BD92" i="1"/>
  <c r="L92" i="1"/>
  <c r="CA91" i="1"/>
  <c r="BT91" i="1"/>
  <c r="BZ91" i="1" s="1"/>
  <c r="BO91" i="1"/>
  <c r="BJ91" i="1"/>
  <c r="BI91" i="1"/>
  <c r="BH91" i="1"/>
  <c r="BD91" i="1"/>
  <c r="L91" i="1"/>
  <c r="BO90" i="1"/>
  <c r="BI90" i="1"/>
  <c r="BH90" i="1"/>
  <c r="BD90" i="1"/>
  <c r="L90" i="1"/>
  <c r="BO89" i="1"/>
  <c r="BJ89" i="1"/>
  <c r="BI89" i="1"/>
  <c r="BT89" i="1" s="1"/>
  <c r="BH89" i="1"/>
  <c r="BD89" i="1"/>
  <c r="L89" i="1"/>
  <c r="BO88" i="1"/>
  <c r="BJ88" i="1"/>
  <c r="BI88" i="1"/>
  <c r="BT88" i="1" s="1"/>
  <c r="CA88" i="1" s="1"/>
  <c r="BH88" i="1"/>
  <c r="BD88" i="1"/>
  <c r="L88" i="1"/>
  <c r="CA87" i="1"/>
  <c r="BT87" i="1"/>
  <c r="BZ87" i="1" s="1"/>
  <c r="BO87" i="1"/>
  <c r="BJ87" i="1"/>
  <c r="BI87" i="1"/>
  <c r="BH87" i="1"/>
  <c r="BD87" i="1"/>
  <c r="L87" i="1"/>
  <c r="BO86" i="1"/>
  <c r="BJ86" i="1"/>
  <c r="BI86" i="1"/>
  <c r="BT86" i="1" s="1"/>
  <c r="BH86" i="1"/>
  <c r="BD86" i="1"/>
  <c r="L86" i="1"/>
  <c r="BO85" i="1"/>
  <c r="BJ85" i="1"/>
  <c r="BI85" i="1"/>
  <c r="BH85" i="1"/>
  <c r="BT85" i="1" s="1"/>
  <c r="BD85" i="1"/>
  <c r="L85" i="1"/>
  <c r="BO84" i="1"/>
  <c r="BN84" i="1"/>
  <c r="BI84" i="1"/>
  <c r="BT84" i="1" s="1"/>
  <c r="BH84" i="1"/>
  <c r="BJ84" i="1" s="1"/>
  <c r="BD84" i="1"/>
  <c r="L84" i="1"/>
  <c r="BN83" i="1"/>
  <c r="BO83" i="1" s="1"/>
  <c r="BJ83" i="1"/>
  <c r="BI83" i="1"/>
  <c r="BH83" i="1"/>
  <c r="BD83" i="1"/>
  <c r="L83" i="1"/>
  <c r="BT82" i="1"/>
  <c r="BZ82" i="1" s="1"/>
  <c r="BO82" i="1"/>
  <c r="BI82" i="1"/>
  <c r="BH82" i="1"/>
  <c r="BJ82" i="1" s="1"/>
  <c r="BD82" i="1"/>
  <c r="L82" i="1"/>
  <c r="BO81" i="1"/>
  <c r="BI81" i="1"/>
  <c r="BH81" i="1"/>
  <c r="BT81" i="1" s="1"/>
  <c r="BD81" i="1"/>
  <c r="L81" i="1"/>
  <c r="BO80" i="1"/>
  <c r="BJ80" i="1"/>
  <c r="BI80" i="1"/>
  <c r="BT80" i="1" s="1"/>
  <c r="BH80" i="1"/>
  <c r="BD80" i="1"/>
  <c r="L80" i="1"/>
  <c r="BO79" i="1"/>
  <c r="BJ79" i="1"/>
  <c r="BI79" i="1"/>
  <c r="BH79" i="1"/>
  <c r="BT79" i="1" s="1"/>
  <c r="BD79" i="1"/>
  <c r="L79" i="1"/>
  <c r="BT78" i="1"/>
  <c r="CA78" i="1" s="1"/>
  <c r="BO78" i="1"/>
  <c r="BI78" i="1"/>
  <c r="BH78" i="1"/>
  <c r="BJ78" i="1" s="1"/>
  <c r="BD78" i="1"/>
  <c r="L78" i="1"/>
  <c r="BZ77" i="1"/>
  <c r="BT77" i="1"/>
  <c r="CA77" i="1" s="1"/>
  <c r="BN77" i="1"/>
  <c r="BO77" i="1" s="1"/>
  <c r="BJ77" i="1"/>
  <c r="BI77" i="1"/>
  <c r="BH77" i="1"/>
  <c r="BD77" i="1"/>
  <c r="L77" i="1"/>
  <c r="BO76" i="1"/>
  <c r="BN76" i="1"/>
  <c r="BT76" i="1" s="1"/>
  <c r="BI76" i="1"/>
  <c r="BH76" i="1"/>
  <c r="BJ76" i="1" s="1"/>
  <c r="BD76" i="1"/>
  <c r="L76" i="1"/>
  <c r="BO75" i="1"/>
  <c r="BI75" i="1"/>
  <c r="BH75" i="1"/>
  <c r="BT75" i="1" s="1"/>
  <c r="BD75" i="1"/>
  <c r="L75" i="1"/>
  <c r="BO74" i="1"/>
  <c r="BJ74" i="1"/>
  <c r="BI74" i="1"/>
  <c r="BT74" i="1" s="1"/>
  <c r="BH74" i="1"/>
  <c r="BD74" i="1"/>
  <c r="L74" i="1"/>
  <c r="BO73" i="1"/>
  <c r="BJ73" i="1"/>
  <c r="BI73" i="1"/>
  <c r="BH73" i="1"/>
  <c r="BT73" i="1" s="1"/>
  <c r="BD73" i="1"/>
  <c r="L73" i="1"/>
  <c r="BO72" i="1"/>
  <c r="BI72" i="1"/>
  <c r="BH72" i="1"/>
  <c r="BT72" i="1" s="1"/>
  <c r="BD72" i="1"/>
  <c r="L72" i="1"/>
  <c r="BO71" i="1"/>
  <c r="BI71" i="1"/>
  <c r="BT71" i="1" s="1"/>
  <c r="BH71" i="1"/>
  <c r="BJ71" i="1" s="1"/>
  <c r="BD71" i="1"/>
  <c r="L71" i="1"/>
  <c r="BJ70" i="1"/>
  <c r="BI70" i="1"/>
  <c r="BH70" i="1"/>
  <c r="BT70" i="1" s="1"/>
  <c r="L70" i="1"/>
  <c r="K70" i="1"/>
  <c r="BO70" i="1" s="1"/>
  <c r="BT69" i="1"/>
  <c r="BZ69" i="1" s="1"/>
  <c r="BO69" i="1"/>
  <c r="BI69" i="1"/>
  <c r="BH69" i="1"/>
  <c r="BJ69" i="1" s="1"/>
  <c r="BD69" i="1"/>
  <c r="L69" i="1"/>
  <c r="BI68" i="1"/>
  <c r="BH68" i="1"/>
  <c r="BT68" i="1" s="1"/>
  <c r="K68" i="1"/>
  <c r="L68" i="1" s="1"/>
  <c r="BO67" i="1"/>
  <c r="BJ67" i="1"/>
  <c r="BI67" i="1"/>
  <c r="BH67" i="1"/>
  <c r="BT67" i="1" s="1"/>
  <c r="BD67" i="1"/>
  <c r="L67" i="1"/>
  <c r="BO66" i="1"/>
  <c r="BI66" i="1"/>
  <c r="BH66" i="1"/>
  <c r="BT66" i="1" s="1"/>
  <c r="BD66" i="1"/>
  <c r="K66" i="1"/>
  <c r="L66" i="1" s="1"/>
  <c r="BO65" i="1"/>
  <c r="BJ65" i="1"/>
  <c r="BI65" i="1"/>
  <c r="BH65" i="1"/>
  <c r="BT65" i="1" s="1"/>
  <c r="BD65" i="1"/>
  <c r="L65" i="1"/>
  <c r="BO64" i="1"/>
  <c r="BJ64" i="1"/>
  <c r="BI64" i="1"/>
  <c r="BH64" i="1"/>
  <c r="BT64" i="1" s="1"/>
  <c r="BD64" i="1"/>
  <c r="L64" i="1"/>
  <c r="BT63" i="1"/>
  <c r="BZ63" i="1" s="1"/>
  <c r="BO63" i="1"/>
  <c r="BI63" i="1"/>
  <c r="BH63" i="1"/>
  <c r="BJ63" i="1" s="1"/>
  <c r="BD63" i="1"/>
  <c r="L63" i="1"/>
  <c r="BN62" i="1"/>
  <c r="BO62" i="1" s="1"/>
  <c r="BJ62" i="1"/>
  <c r="BI62" i="1"/>
  <c r="BT62" i="1" s="1"/>
  <c r="BH62" i="1"/>
  <c r="BD62" i="1"/>
  <c r="L62" i="1"/>
  <c r="CA61" i="1"/>
  <c r="BT61" i="1"/>
  <c r="BZ61" i="1" s="1"/>
  <c r="BO61" i="1"/>
  <c r="BJ61" i="1"/>
  <c r="BI61" i="1"/>
  <c r="BH61" i="1"/>
  <c r="BD61" i="1"/>
  <c r="L61" i="1"/>
  <c r="BO60" i="1"/>
  <c r="BI60" i="1"/>
  <c r="BH60" i="1"/>
  <c r="BT60" i="1" s="1"/>
  <c r="BD60" i="1"/>
  <c r="L60" i="1"/>
  <c r="BZ59" i="1"/>
  <c r="BT59" i="1"/>
  <c r="CA59" i="1" s="1"/>
  <c r="BN59" i="1"/>
  <c r="BO59" i="1" s="1"/>
  <c r="BJ59" i="1"/>
  <c r="BI59" i="1"/>
  <c r="BH59" i="1"/>
  <c r="BD59" i="1"/>
  <c r="L59" i="1"/>
  <c r="BO58" i="1"/>
  <c r="BN58" i="1"/>
  <c r="BT58" i="1" s="1"/>
  <c r="BI58" i="1"/>
  <c r="BH58" i="1"/>
  <c r="BJ58" i="1" s="1"/>
  <c r="BD58" i="1"/>
  <c r="L58" i="1"/>
  <c r="BO57" i="1"/>
  <c r="BI57" i="1"/>
  <c r="BH57" i="1"/>
  <c r="BT57" i="1" s="1"/>
  <c r="AX57" i="1"/>
  <c r="BD57" i="1" s="1"/>
  <c r="L57" i="1"/>
  <c r="BO56" i="1"/>
  <c r="BD56" i="1"/>
  <c r="AX56" i="1"/>
  <c r="BH56" i="1" s="1"/>
  <c r="L56" i="1"/>
  <c r="BO55" i="1"/>
  <c r="BI55" i="1"/>
  <c r="BT55" i="1" s="1"/>
  <c r="BH55" i="1"/>
  <c r="BJ55" i="1" s="1"/>
  <c r="BD55" i="1"/>
  <c r="L55" i="1"/>
  <c r="BO54" i="1"/>
  <c r="BJ54" i="1"/>
  <c r="BI54" i="1"/>
  <c r="BH54" i="1"/>
  <c r="BT54" i="1" s="1"/>
  <c r="BD54" i="1"/>
  <c r="L54" i="1"/>
  <c r="BO53" i="1"/>
  <c r="BD53" i="1"/>
  <c r="AX53" i="1"/>
  <c r="L53" i="1"/>
  <c r="BN52" i="1"/>
  <c r="BO52" i="1" s="1"/>
  <c r="BJ52" i="1"/>
  <c r="BI52" i="1"/>
  <c r="BT52" i="1" s="1"/>
  <c r="BH52" i="1"/>
  <c r="BD52" i="1"/>
  <c r="L52" i="1"/>
  <c r="CA51" i="1"/>
  <c r="BT51" i="1"/>
  <c r="BZ51" i="1" s="1"/>
  <c r="BO51" i="1"/>
  <c r="BD51" i="1"/>
  <c r="L51" i="1"/>
  <c r="BZ50" i="1"/>
  <c r="BT50" i="1"/>
  <c r="CA50" i="1" s="1"/>
  <c r="BO50" i="1"/>
  <c r="BD50" i="1"/>
  <c r="L50" i="1"/>
  <c r="BO49" i="1"/>
  <c r="BJ49" i="1"/>
  <c r="BI49" i="1"/>
  <c r="BH49" i="1"/>
  <c r="BT49" i="1" s="1"/>
  <c r="BD49" i="1"/>
  <c r="L49" i="1"/>
  <c r="BT48" i="1"/>
  <c r="BZ48" i="1" s="1"/>
  <c r="BO48" i="1"/>
  <c r="BI48" i="1"/>
  <c r="BH48" i="1"/>
  <c r="BJ48" i="1" s="1"/>
  <c r="BD48" i="1"/>
  <c r="L48" i="1"/>
  <c r="BO47" i="1"/>
  <c r="BI47" i="1"/>
  <c r="BH47" i="1"/>
  <c r="BT47" i="1" s="1"/>
  <c r="BD47" i="1"/>
  <c r="L47" i="1"/>
  <c r="BO46" i="1"/>
  <c r="BJ46" i="1"/>
  <c r="BI46" i="1"/>
  <c r="BT46" i="1" s="1"/>
  <c r="BH46" i="1"/>
  <c r="BD46" i="1"/>
  <c r="L46" i="1"/>
  <c r="CA45" i="1"/>
  <c r="BT45" i="1"/>
  <c r="BZ45" i="1" s="1"/>
  <c r="BO45" i="1"/>
  <c r="BJ45" i="1"/>
  <c r="BI45" i="1"/>
  <c r="BH45" i="1"/>
  <c r="BD45" i="1"/>
  <c r="L45" i="1"/>
  <c r="BO44" i="1"/>
  <c r="BI44" i="1"/>
  <c r="BH44" i="1"/>
  <c r="BT44" i="1" s="1"/>
  <c r="BD44" i="1"/>
  <c r="L44" i="1"/>
  <c r="BO43" i="1"/>
  <c r="BI43" i="1"/>
  <c r="BT43" i="1" s="1"/>
  <c r="BH43" i="1"/>
  <c r="BJ43" i="1" s="1"/>
  <c r="BD43" i="1"/>
  <c r="L43" i="1"/>
  <c r="BO42" i="1"/>
  <c r="BJ42" i="1"/>
  <c r="BI42" i="1"/>
  <c r="BH42" i="1"/>
  <c r="BT42" i="1" s="1"/>
  <c r="BD42" i="1"/>
  <c r="L42" i="1"/>
  <c r="BO41" i="1"/>
  <c r="BJ41" i="1"/>
  <c r="BI41" i="1"/>
  <c r="BH41" i="1"/>
  <c r="BT41" i="1" s="1"/>
  <c r="BD41" i="1"/>
  <c r="L41" i="1"/>
  <c r="BT40" i="1"/>
  <c r="BZ40" i="1" s="1"/>
  <c r="BO40" i="1"/>
  <c r="BI40" i="1"/>
  <c r="BH40" i="1"/>
  <c r="BJ40" i="1" s="1"/>
  <c r="BD40" i="1"/>
  <c r="L40" i="1"/>
  <c r="BO39" i="1"/>
  <c r="BI39" i="1"/>
  <c r="BH39" i="1"/>
  <c r="BT39" i="1" s="1"/>
  <c r="BD39" i="1"/>
  <c r="L39" i="1"/>
  <c r="BO38" i="1"/>
  <c r="BJ38" i="1"/>
  <c r="BI38" i="1"/>
  <c r="BT38" i="1" s="1"/>
  <c r="BH38" i="1"/>
  <c r="BD38" i="1"/>
  <c r="L38" i="1"/>
  <c r="CA37" i="1"/>
  <c r="BT37" i="1"/>
  <c r="BZ37" i="1" s="1"/>
  <c r="BO37" i="1"/>
  <c r="BJ37" i="1"/>
  <c r="BI37" i="1"/>
  <c r="BH37" i="1"/>
  <c r="BD37" i="1"/>
  <c r="L37" i="1"/>
  <c r="BO36" i="1"/>
  <c r="BI36" i="1"/>
  <c r="BH36" i="1"/>
  <c r="BT36" i="1" s="1"/>
  <c r="BD36" i="1"/>
  <c r="L36" i="1"/>
  <c r="BO35" i="1"/>
  <c r="BI35" i="1"/>
  <c r="BT35" i="1" s="1"/>
  <c r="BH35" i="1"/>
  <c r="BJ35" i="1" s="1"/>
  <c r="BD35" i="1"/>
  <c r="L35" i="1"/>
  <c r="BO34" i="1"/>
  <c r="BJ34" i="1"/>
  <c r="BI34" i="1"/>
  <c r="BH34" i="1"/>
  <c r="BT34" i="1" s="1"/>
  <c r="BD34" i="1"/>
  <c r="L34" i="1"/>
  <c r="BO33" i="1"/>
  <c r="BJ33" i="1"/>
  <c r="BI33" i="1"/>
  <c r="BH33" i="1"/>
  <c r="BT33" i="1" s="1"/>
  <c r="BD33" i="1"/>
  <c r="L33" i="1"/>
  <c r="BT32" i="1"/>
  <c r="BZ32" i="1" s="1"/>
  <c r="BO32" i="1"/>
  <c r="BI32" i="1"/>
  <c r="BH32" i="1"/>
  <c r="BJ32" i="1" s="1"/>
  <c r="BD32" i="1"/>
  <c r="L32" i="1"/>
  <c r="BO31" i="1"/>
  <c r="BI31" i="1"/>
  <c r="BH31" i="1"/>
  <c r="BT31" i="1" s="1"/>
  <c r="BD31" i="1"/>
  <c r="L31" i="1"/>
  <c r="BO30" i="1"/>
  <c r="BJ30" i="1"/>
  <c r="BI30" i="1"/>
  <c r="BH30" i="1"/>
  <c r="BT30" i="1" s="1"/>
  <c r="BD30" i="1"/>
  <c r="L30" i="1"/>
  <c r="CA29" i="1"/>
  <c r="BT29" i="1"/>
  <c r="BZ29" i="1" s="1"/>
  <c r="BO29" i="1"/>
  <c r="BJ29" i="1"/>
  <c r="BI29" i="1"/>
  <c r="BH29" i="1"/>
  <c r="BD29" i="1"/>
  <c r="L29" i="1"/>
  <c r="BO28" i="1"/>
  <c r="BI28" i="1"/>
  <c r="BH28" i="1"/>
  <c r="BT28" i="1" s="1"/>
  <c r="BD28" i="1"/>
  <c r="L28" i="1"/>
  <c r="BO27" i="1"/>
  <c r="BI27" i="1"/>
  <c r="BT27" i="1" s="1"/>
  <c r="BH27" i="1"/>
  <c r="BJ27" i="1" s="1"/>
  <c r="BD27" i="1"/>
  <c r="L27" i="1"/>
  <c r="BO26" i="1"/>
  <c r="BJ26" i="1"/>
  <c r="BI26" i="1"/>
  <c r="BH26" i="1"/>
  <c r="BT26" i="1" s="1"/>
  <c r="BD26" i="1"/>
  <c r="L26" i="1"/>
  <c r="BO25" i="1"/>
  <c r="BJ25" i="1"/>
  <c r="BI25" i="1"/>
  <c r="BH25" i="1"/>
  <c r="BT25" i="1" s="1"/>
  <c r="BD25" i="1"/>
  <c r="L25" i="1"/>
  <c r="BT24" i="1"/>
  <c r="BZ24" i="1" s="1"/>
  <c r="BO24" i="1"/>
  <c r="BI24" i="1"/>
  <c r="BH24" i="1"/>
  <c r="BJ24" i="1" s="1"/>
  <c r="BD24" i="1"/>
  <c r="L24" i="1"/>
  <c r="BO23" i="1"/>
  <c r="BI23" i="1"/>
  <c r="BH23" i="1"/>
  <c r="BT23" i="1" s="1"/>
  <c r="BD23" i="1"/>
  <c r="L23" i="1"/>
  <c r="BO22" i="1"/>
  <c r="BJ22" i="1"/>
  <c r="BI22" i="1"/>
  <c r="BH22" i="1"/>
  <c r="BT22" i="1" s="1"/>
  <c r="BD22" i="1"/>
  <c r="L22" i="1"/>
  <c r="CA21" i="1"/>
  <c r="BT21" i="1"/>
  <c r="BZ21" i="1" s="1"/>
  <c r="BO21" i="1"/>
  <c r="BJ21" i="1"/>
  <c r="BI21" i="1"/>
  <c r="BH21" i="1"/>
  <c r="BD21" i="1"/>
  <c r="L21" i="1"/>
  <c r="BO20" i="1"/>
  <c r="BI20" i="1"/>
  <c r="BH20" i="1"/>
  <c r="BT20" i="1" s="1"/>
  <c r="BD20" i="1"/>
  <c r="L20" i="1"/>
  <c r="BO19" i="1"/>
  <c r="BI19" i="1"/>
  <c r="BT19" i="1" s="1"/>
  <c r="BH19" i="1"/>
  <c r="BJ19" i="1" s="1"/>
  <c r="BD19" i="1"/>
  <c r="L19" i="1"/>
  <c r="CA18" i="1"/>
  <c r="BZ18" i="1"/>
  <c r="BT18" i="1"/>
  <c r="BO18" i="1"/>
  <c r="BD18" i="1"/>
  <c r="L18" i="1"/>
  <c r="BT17" i="1"/>
  <c r="CA17" i="1" s="1"/>
  <c r="BO17" i="1"/>
  <c r="BD17" i="1"/>
  <c r="L17" i="1"/>
  <c r="BO16" i="1"/>
  <c r="BE16" i="1"/>
  <c r="BD16" i="1"/>
  <c r="AY16" i="1"/>
  <c r="BT16" i="1" s="1"/>
  <c r="L16" i="1"/>
  <c r="BO15" i="1"/>
  <c r="BE15" i="1"/>
  <c r="BD15" i="1"/>
  <c r="AY15" i="1"/>
  <c r="BT15" i="1" s="1"/>
  <c r="L15" i="1"/>
  <c r="CA14" i="1"/>
  <c r="BZ14" i="1"/>
  <c r="BT14" i="1"/>
  <c r="BO14" i="1"/>
  <c r="BD14" i="1"/>
  <c r="L14" i="1"/>
  <c r="BT13" i="1"/>
  <c r="BZ13" i="1" s="1"/>
  <c r="BO13" i="1"/>
  <c r="BI13" i="1"/>
  <c r="BH13" i="1"/>
  <c r="BJ13" i="1" s="1"/>
  <c r="BD13" i="1"/>
  <c r="L13" i="1"/>
  <c r="BI12" i="1"/>
  <c r="BH12" i="1"/>
  <c r="BT12" i="1" s="1"/>
  <c r="K12" i="1"/>
  <c r="L12" i="1" s="1"/>
  <c r="CA11" i="1"/>
  <c r="BT11" i="1"/>
  <c r="BZ11" i="1" s="1"/>
  <c r="BO11" i="1"/>
  <c r="BD11" i="1"/>
  <c r="L11" i="1"/>
  <c r="BO10" i="1"/>
  <c r="BI10" i="1"/>
  <c r="BH10" i="1"/>
  <c r="BT10" i="1" s="1"/>
  <c r="BD10" i="1"/>
  <c r="L10" i="1"/>
  <c r="CA9" i="1"/>
  <c r="BZ9" i="1"/>
  <c r="BT9" i="1"/>
  <c r="BO9" i="1"/>
  <c r="BD9" i="1"/>
  <c r="L9" i="1"/>
  <c r="BT8" i="1"/>
  <c r="BZ8" i="1" s="1"/>
  <c r="BO8" i="1"/>
  <c r="BD8" i="1"/>
  <c r="L8" i="1"/>
  <c r="BO7" i="1"/>
  <c r="BJ7" i="1"/>
  <c r="BI7" i="1"/>
  <c r="BH7" i="1"/>
  <c r="BT7" i="1" s="1"/>
  <c r="BD7" i="1"/>
  <c r="L7" i="1"/>
  <c r="CA6" i="1"/>
  <c r="BT6" i="1"/>
  <c r="BZ6" i="1" s="1"/>
  <c r="BO6" i="1"/>
  <c r="BD6" i="1"/>
  <c r="L6" i="1"/>
  <c r="BZ5" i="1"/>
  <c r="BT5" i="1"/>
  <c r="CA5" i="1" s="1"/>
  <c r="BO5" i="1"/>
  <c r="BD5" i="1"/>
  <c r="L5" i="1"/>
  <c r="BO4" i="1"/>
  <c r="BJ4" i="1"/>
  <c r="BI4" i="1"/>
  <c r="BH4" i="1"/>
  <c r="BT4" i="1" s="1"/>
  <c r="BD4" i="1"/>
  <c r="L4" i="1"/>
  <c r="BT3" i="1"/>
  <c r="CA3" i="1" s="1"/>
  <c r="BO3" i="1"/>
  <c r="BD3" i="1"/>
  <c r="L3" i="1"/>
  <c r="BO2" i="1"/>
  <c r="BJ2" i="1"/>
  <c r="BI2" i="1"/>
  <c r="BH2" i="1"/>
  <c r="BT2" i="1" s="1"/>
  <c r="BD2" i="1"/>
  <c r="L2" i="1"/>
  <c r="BZ22" i="1" l="1"/>
  <c r="CA22" i="1"/>
  <c r="CA33" i="1"/>
  <c r="BZ33" i="1"/>
  <c r="CA44" i="1"/>
  <c r="BZ44" i="1"/>
  <c r="CA54" i="1"/>
  <c r="BZ54" i="1"/>
  <c r="CA62" i="1"/>
  <c r="BZ62" i="1"/>
  <c r="CA229" i="1"/>
  <c r="BZ229" i="1"/>
  <c r="CA4" i="1"/>
  <c r="BZ4" i="1"/>
  <c r="CA7" i="1"/>
  <c r="BZ7" i="1"/>
  <c r="CA10" i="1"/>
  <c r="BZ10" i="1"/>
  <c r="BZ15" i="1"/>
  <c r="CA15" i="1"/>
  <c r="CA25" i="1"/>
  <c r="BZ25" i="1"/>
  <c r="CA36" i="1"/>
  <c r="BZ36" i="1"/>
  <c r="CA65" i="1"/>
  <c r="BZ65" i="1"/>
  <c r="CA68" i="1"/>
  <c r="BZ68" i="1"/>
  <c r="CA71" i="1"/>
  <c r="BZ71" i="1"/>
  <c r="CA74" i="1"/>
  <c r="BZ74" i="1"/>
  <c r="CA86" i="1"/>
  <c r="BZ86" i="1"/>
  <c r="BZ131" i="1"/>
  <c r="CA131" i="1"/>
  <c r="BZ173" i="1"/>
  <c r="CA173" i="1"/>
  <c r="CA12" i="1"/>
  <c r="BZ12" i="1"/>
  <c r="CA28" i="1"/>
  <c r="BZ28" i="1"/>
  <c r="CA60" i="1"/>
  <c r="BZ60" i="1"/>
  <c r="CA73" i="1"/>
  <c r="BZ73" i="1"/>
  <c r="CA85" i="1"/>
  <c r="BZ85" i="1"/>
  <c r="CA137" i="1"/>
  <c r="BZ137" i="1"/>
  <c r="CA20" i="1"/>
  <c r="BZ20" i="1"/>
  <c r="CA47" i="1"/>
  <c r="BZ47" i="1"/>
  <c r="CA64" i="1"/>
  <c r="BZ64" i="1"/>
  <c r="CA70" i="1"/>
  <c r="BZ70" i="1"/>
  <c r="CA81" i="1"/>
  <c r="BZ81" i="1"/>
  <c r="CA126" i="1"/>
  <c r="BZ126" i="1"/>
  <c r="CA136" i="1"/>
  <c r="BZ136" i="1"/>
  <c r="CA39" i="1"/>
  <c r="BZ39" i="1"/>
  <c r="CA43" i="1"/>
  <c r="BZ43" i="1"/>
  <c r="CA67" i="1"/>
  <c r="BZ67" i="1"/>
  <c r="BZ105" i="1"/>
  <c r="CA105" i="1"/>
  <c r="CA112" i="1"/>
  <c r="BZ112" i="1"/>
  <c r="CA153" i="1"/>
  <c r="BZ153" i="1"/>
  <c r="CA31" i="1"/>
  <c r="BZ31" i="1"/>
  <c r="CA35" i="1"/>
  <c r="BZ35" i="1"/>
  <c r="CA42" i="1"/>
  <c r="BZ42" i="1"/>
  <c r="CA72" i="1"/>
  <c r="BZ72" i="1"/>
  <c r="CA76" i="1"/>
  <c r="BZ76" i="1"/>
  <c r="CA84" i="1"/>
  <c r="BZ84" i="1"/>
  <c r="CA89" i="1"/>
  <c r="BZ89" i="1"/>
  <c r="CA133" i="1"/>
  <c r="BZ133" i="1"/>
  <c r="CA166" i="1"/>
  <c r="BZ166" i="1"/>
  <c r="CA172" i="1"/>
  <c r="BZ172" i="1"/>
  <c r="CA16" i="1"/>
  <c r="BZ16" i="1"/>
  <c r="CA23" i="1"/>
  <c r="BZ23" i="1"/>
  <c r="CA27" i="1"/>
  <c r="BZ27" i="1"/>
  <c r="CA34" i="1"/>
  <c r="BZ34" i="1"/>
  <c r="CA46" i="1"/>
  <c r="BZ46" i="1"/>
  <c r="CA49" i="1"/>
  <c r="BZ49" i="1"/>
  <c r="CA58" i="1"/>
  <c r="BZ58" i="1"/>
  <c r="CA75" i="1"/>
  <c r="BZ75" i="1"/>
  <c r="CA80" i="1"/>
  <c r="BZ80" i="1"/>
  <c r="CA93" i="1"/>
  <c r="BZ93" i="1"/>
  <c r="BZ179" i="1"/>
  <c r="CA179" i="1"/>
  <c r="CA2" i="1"/>
  <c r="BZ2" i="1"/>
  <c r="CA19" i="1"/>
  <c r="BZ19" i="1"/>
  <c r="CA26" i="1"/>
  <c r="BZ26" i="1"/>
  <c r="CA30" i="1"/>
  <c r="BZ30" i="1"/>
  <c r="CA38" i="1"/>
  <c r="BZ38" i="1"/>
  <c r="CA41" i="1"/>
  <c r="BZ41" i="1"/>
  <c r="CA52" i="1"/>
  <c r="BZ52" i="1"/>
  <c r="CA55" i="1"/>
  <c r="BZ55" i="1"/>
  <c r="CA57" i="1"/>
  <c r="BZ57" i="1"/>
  <c r="CA66" i="1"/>
  <c r="BZ66" i="1"/>
  <c r="CA79" i="1"/>
  <c r="BZ79" i="1"/>
  <c r="CA120" i="1"/>
  <c r="BZ120" i="1"/>
  <c r="BZ123" i="1"/>
  <c r="CA123" i="1"/>
  <c r="CA128" i="1"/>
  <c r="BZ128" i="1"/>
  <c r="CA185" i="1"/>
  <c r="BZ185" i="1"/>
  <c r="CA8" i="1"/>
  <c r="BD12" i="1"/>
  <c r="CA13" i="1"/>
  <c r="BJ20" i="1"/>
  <c r="CA24" i="1"/>
  <c r="BJ28" i="1"/>
  <c r="CA32" i="1"/>
  <c r="BJ36" i="1"/>
  <c r="CA40" i="1"/>
  <c r="BJ44" i="1"/>
  <c r="CA48" i="1"/>
  <c r="BI56" i="1"/>
  <c r="BJ56" i="1" s="1"/>
  <c r="BJ60" i="1"/>
  <c r="CA63" i="1"/>
  <c r="BJ66" i="1"/>
  <c r="BD68" i="1"/>
  <c r="CA69" i="1"/>
  <c r="BJ72" i="1"/>
  <c r="CA82" i="1"/>
  <c r="BT83" i="1"/>
  <c r="BT92" i="1"/>
  <c r="BZ96" i="1"/>
  <c r="CA109" i="1"/>
  <c r="CA115" i="1"/>
  <c r="BH117" i="1"/>
  <c r="BJ117" i="1" s="1"/>
  <c r="BJ120" i="1"/>
  <c r="BL122" i="1"/>
  <c r="BH125" i="1"/>
  <c r="BJ125" i="1" s="1"/>
  <c r="CA129" i="1"/>
  <c r="BT130" i="1"/>
  <c r="BT135" i="1"/>
  <c r="CA138" i="1"/>
  <c r="BT139" i="1"/>
  <c r="CA143" i="1"/>
  <c r="BJ152" i="1"/>
  <c r="BJ153" i="1"/>
  <c r="CA157" i="1"/>
  <c r="BJ164" i="1"/>
  <c r="BJ166" i="1"/>
  <c r="CA168" i="1"/>
  <c r="BH183" i="1"/>
  <c r="BI183" i="1"/>
  <c r="BJ186" i="1"/>
  <c r="BN186" i="1"/>
  <c r="BT190" i="1"/>
  <c r="BZ250" i="1"/>
  <c r="CA250" i="1"/>
  <c r="CA262" i="1"/>
  <c r="BZ262" i="1"/>
  <c r="BZ303" i="1"/>
  <c r="CA303" i="1"/>
  <c r="BJ90" i="1"/>
  <c r="BJ94" i="1"/>
  <c r="BT134" i="1"/>
  <c r="BZ154" i="1"/>
  <c r="CA154" i="1"/>
  <c r="BT167" i="1"/>
  <c r="BZ171" i="1"/>
  <c r="BT181" i="1"/>
  <c r="BJ182" i="1"/>
  <c r="BZ187" i="1"/>
  <c r="CA187" i="1"/>
  <c r="BT191" i="1"/>
  <c r="BT195" i="1"/>
  <c r="BT199" i="1"/>
  <c r="BT203" i="1"/>
  <c r="BZ209" i="1"/>
  <c r="BZ228" i="1"/>
  <c r="BI230" i="1"/>
  <c r="BH230" i="1"/>
  <c r="BJ230" i="1" s="1"/>
  <c r="CA324" i="1"/>
  <c r="BZ324" i="1"/>
  <c r="BZ119" i="1"/>
  <c r="BN125" i="1"/>
  <c r="CA206" i="1"/>
  <c r="BZ206" i="1"/>
  <c r="BZ213" i="1"/>
  <c r="CA213" i="1"/>
  <c r="BT236" i="1"/>
  <c r="BJ236" i="1"/>
  <c r="BZ245" i="1"/>
  <c r="CA245" i="1"/>
  <c r="CA247" i="1"/>
  <c r="BZ299" i="1"/>
  <c r="CA299" i="1"/>
  <c r="BZ3" i="1"/>
  <c r="BJ10" i="1"/>
  <c r="BJ12" i="1"/>
  <c r="BZ17" i="1"/>
  <c r="BJ23" i="1"/>
  <c r="BJ31" i="1"/>
  <c r="BJ39" i="1"/>
  <c r="BJ47" i="1"/>
  <c r="BH53" i="1"/>
  <c r="BJ53" i="1" s="1"/>
  <c r="BT56" i="1"/>
  <c r="BJ57" i="1"/>
  <c r="BJ68" i="1"/>
  <c r="BD70" i="1"/>
  <c r="BJ75" i="1"/>
  <c r="BZ78" i="1"/>
  <c r="BJ81" i="1"/>
  <c r="BZ98" i="1"/>
  <c r="CA118" i="1"/>
  <c r="BZ121" i="1"/>
  <c r="BT122" i="1"/>
  <c r="BJ123" i="1"/>
  <c r="BZ124" i="1"/>
  <c r="BO135" i="1"/>
  <c r="BD135" i="1"/>
  <c r="BZ148" i="1"/>
  <c r="BZ149" i="1"/>
  <c r="BZ150" i="1"/>
  <c r="CA151" i="1"/>
  <c r="BZ161" i="1"/>
  <c r="BZ162" i="1"/>
  <c r="CA163" i="1"/>
  <c r="BZ227" i="1"/>
  <c r="CA227" i="1"/>
  <c r="BZ233" i="1"/>
  <c r="CA233" i="1"/>
  <c r="BZ315" i="1"/>
  <c r="CA315" i="1"/>
  <c r="BO12" i="1"/>
  <c r="BI53" i="1"/>
  <c r="BO68" i="1"/>
  <c r="BZ88" i="1"/>
  <c r="BT90" i="1"/>
  <c r="BT94" i="1"/>
  <c r="BZ104" i="1"/>
  <c r="BT127" i="1"/>
  <c r="BJ128" i="1"/>
  <c r="BE130" i="1"/>
  <c r="BT132" i="1"/>
  <c r="L135" i="1"/>
  <c r="BE139" i="1"/>
  <c r="BD140" i="1"/>
  <c r="BT159" i="1"/>
  <c r="BJ179" i="1"/>
  <c r="BJ180" i="1"/>
  <c r="BT182" i="1"/>
  <c r="BT184" i="1"/>
  <c r="BT205" i="1"/>
  <c r="CA212" i="1"/>
  <c r="BZ212" i="1"/>
  <c r="BT226" i="1"/>
  <c r="BJ229" i="1"/>
  <c r="BT235" i="1"/>
  <c r="BJ235" i="1"/>
  <c r="BZ238" i="1"/>
  <c r="CA238" i="1"/>
  <c r="CA244" i="1"/>
  <c r="BZ244" i="1"/>
  <c r="BT111" i="1"/>
  <c r="BJ136" i="1"/>
  <c r="BT146" i="1"/>
  <c r="BT158" i="1"/>
  <c r="BJ173" i="1"/>
  <c r="BT176" i="1"/>
  <c r="BT177" i="1"/>
  <c r="BT189" i="1"/>
  <c r="BT193" i="1"/>
  <c r="BT197" i="1"/>
  <c r="BT201" i="1"/>
  <c r="BE207" i="1"/>
  <c r="BK207" i="1"/>
  <c r="BM207" i="1" s="1"/>
  <c r="BJ210" i="1"/>
  <c r="BT210" i="1"/>
  <c r="BT225" i="1"/>
  <c r="CA232" i="1"/>
  <c r="BZ232" i="1"/>
  <c r="BZ307" i="1"/>
  <c r="CA307" i="1"/>
  <c r="BZ320" i="1"/>
  <c r="CA320" i="1"/>
  <c r="BT221" i="1"/>
  <c r="BJ221" i="1"/>
  <c r="CA231" i="1"/>
  <c r="BZ231" i="1"/>
  <c r="CA248" i="1"/>
  <c r="BZ248" i="1"/>
  <c r="CA107" i="1"/>
  <c r="BZ110" i="1"/>
  <c r="CA114" i="1"/>
  <c r="BK122" i="1"/>
  <c r="BM122" i="1" s="1"/>
  <c r="BD125" i="1"/>
  <c r="BZ140" i="1"/>
  <c r="CA141" i="1"/>
  <c r="BZ144" i="1"/>
  <c r="BE154" i="1"/>
  <c r="BO155" i="1"/>
  <c r="BT155" i="1"/>
  <c r="BJ171" i="1"/>
  <c r="CA188" i="1"/>
  <c r="BZ188" i="1"/>
  <c r="CA192" i="1"/>
  <c r="BZ192" i="1"/>
  <c r="CA196" i="1"/>
  <c r="BZ196" i="1"/>
  <c r="CA200" i="1"/>
  <c r="BZ200" i="1"/>
  <c r="CA204" i="1"/>
  <c r="BZ204" i="1"/>
  <c r="BL207" i="1"/>
  <c r="BJ209" i="1"/>
  <c r="CA215" i="1"/>
  <c r="BZ215" i="1"/>
  <c r="BT222" i="1"/>
  <c r="BO222" i="1"/>
  <c r="BT234" i="1"/>
  <c r="BJ234" i="1"/>
  <c r="CA237" i="1"/>
  <c r="BZ237" i="1"/>
  <c r="BZ240" i="1"/>
  <c r="CA240" i="1"/>
  <c r="BZ297" i="1"/>
  <c r="CA297" i="1"/>
  <c r="BZ310" i="1"/>
  <c r="CA310" i="1"/>
  <c r="BO211" i="1"/>
  <c r="BO241" i="1"/>
  <c r="BD241" i="1"/>
  <c r="CA246" i="1"/>
  <c r="BD256" i="1"/>
  <c r="BT259" i="1"/>
  <c r="CA260" i="1"/>
  <c r="CA265" i="1"/>
  <c r="BT268" i="1"/>
  <c r="CA269" i="1"/>
  <c r="BT272" i="1"/>
  <c r="BZ276" i="1"/>
  <c r="BT300" i="1"/>
  <c r="CA325" i="1"/>
  <c r="BZ325" i="1"/>
  <c r="CA339" i="1"/>
  <c r="BZ339" i="1"/>
  <c r="CA352" i="1"/>
  <c r="BZ352" i="1"/>
  <c r="CA364" i="1"/>
  <c r="BZ364" i="1"/>
  <c r="CA418" i="1"/>
  <c r="BZ418" i="1"/>
  <c r="BZ435" i="1"/>
  <c r="CA435" i="1"/>
  <c r="CA332" i="1"/>
  <c r="BZ332" i="1"/>
  <c r="CA370" i="1"/>
  <c r="BZ370" i="1"/>
  <c r="CA382" i="1"/>
  <c r="BZ382" i="1"/>
  <c r="CA389" i="1"/>
  <c r="BZ389" i="1"/>
  <c r="BZ395" i="1"/>
  <c r="CA395" i="1"/>
  <c r="BZ407" i="1"/>
  <c r="CA407" i="1"/>
  <c r="BZ438" i="1"/>
  <c r="CA438" i="1"/>
  <c r="BF262" i="1"/>
  <c r="CA264" i="1"/>
  <c r="CA284" i="1"/>
  <c r="CA313" i="1"/>
  <c r="BD316" i="1"/>
  <c r="BN316" i="1"/>
  <c r="BI316" i="1"/>
  <c r="BJ324" i="1"/>
  <c r="CA345" i="1"/>
  <c r="BZ345" i="1"/>
  <c r="CA348" i="1"/>
  <c r="BZ348" i="1"/>
  <c r="CA363" i="1"/>
  <c r="BZ363" i="1"/>
  <c r="BZ366" i="1"/>
  <c r="CA366" i="1"/>
  <c r="CA373" i="1"/>
  <c r="BZ373" i="1"/>
  <c r="CA375" i="1"/>
  <c r="BZ375" i="1"/>
  <c r="CA385" i="1"/>
  <c r="BZ385" i="1"/>
  <c r="BF266" i="1"/>
  <c r="BF270" i="1"/>
  <c r="BZ271" i="1"/>
  <c r="CA275" i="1"/>
  <c r="BZ278" i="1"/>
  <c r="CA281" i="1"/>
  <c r="BT288" i="1"/>
  <c r="BF288" i="1"/>
  <c r="CA289" i="1"/>
  <c r="BJ303" i="1"/>
  <c r="BT311" i="1"/>
  <c r="BH316" i="1"/>
  <c r="BJ316" i="1" s="1"/>
  <c r="BJ317" i="1"/>
  <c r="BJ319" i="1"/>
  <c r="BJ320" i="1"/>
  <c r="CA329" i="1"/>
  <c r="BZ329" i="1"/>
  <c r="CA331" i="1"/>
  <c r="BZ331" i="1"/>
  <c r="BI334" i="1"/>
  <c r="BH334" i="1"/>
  <c r="BD334" i="1"/>
  <c r="CA342" i="1"/>
  <c r="BZ342" i="1"/>
  <c r="CA354" i="1"/>
  <c r="BZ354" i="1"/>
  <c r="CA360" i="1"/>
  <c r="BZ360" i="1"/>
  <c r="BZ372" i="1"/>
  <c r="CA372" i="1"/>
  <c r="BZ378" i="1"/>
  <c r="CA378" i="1"/>
  <c r="BZ384" i="1"/>
  <c r="CA384" i="1"/>
  <c r="BZ392" i="1"/>
  <c r="CA392" i="1"/>
  <c r="BJ202" i="1"/>
  <c r="BJ206" i="1"/>
  <c r="BJ214" i="1"/>
  <c r="BO224" i="1"/>
  <c r="BO232" i="1"/>
  <c r="BJ238" i="1"/>
  <c r="BJ240" i="1"/>
  <c r="BJ244" i="1"/>
  <c r="BJ248" i="1"/>
  <c r="BJ250" i="1"/>
  <c r="BJ251" i="1"/>
  <c r="BT254" i="1"/>
  <c r="BO255" i="1"/>
  <c r="CA258" i="1"/>
  <c r="CA267" i="1"/>
  <c r="BF285" i="1"/>
  <c r="BT285" i="1"/>
  <c r="CA286" i="1"/>
  <c r="BJ296" i="1"/>
  <c r="BJ297" i="1"/>
  <c r="BZ304" i="1"/>
  <c r="CA305" i="1"/>
  <c r="BT318" i="1"/>
  <c r="BZ321" i="1"/>
  <c r="BZ328" i="1"/>
  <c r="BT338" i="1"/>
  <c r="BZ350" i="1"/>
  <c r="CA350" i="1"/>
  <c r="CA356" i="1"/>
  <c r="BZ356" i="1"/>
  <c r="CA440" i="1"/>
  <c r="BZ440" i="1"/>
  <c r="BT256" i="1"/>
  <c r="BZ257" i="1"/>
  <c r="BT282" i="1"/>
  <c r="BF282" i="1"/>
  <c r="BT290" i="1"/>
  <c r="BF290" i="1"/>
  <c r="BT314" i="1"/>
  <c r="CA414" i="1"/>
  <c r="BZ414" i="1"/>
  <c r="CA431" i="1"/>
  <c r="BZ431" i="1"/>
  <c r="BZ241" i="1"/>
  <c r="BZ242" i="1"/>
  <c r="BZ243" i="1"/>
  <c r="CA274" i="1"/>
  <c r="BF276" i="1"/>
  <c r="CA277" i="1"/>
  <c r="BF279" i="1"/>
  <c r="BT279" i="1"/>
  <c r="CA280" i="1"/>
  <c r="CA309" i="1"/>
  <c r="BZ317" i="1"/>
  <c r="BZ319" i="1"/>
  <c r="CA330" i="1"/>
  <c r="BZ330" i="1"/>
  <c r="BT333" i="1"/>
  <c r="BJ333" i="1"/>
  <c r="CA335" i="1"/>
  <c r="BZ335" i="1"/>
  <c r="BZ343" i="1"/>
  <c r="CA343" i="1"/>
  <c r="CA347" i="1"/>
  <c r="BZ347" i="1"/>
  <c r="CA362" i="1"/>
  <c r="BZ362" i="1"/>
  <c r="CA368" i="1"/>
  <c r="BZ368" i="1"/>
  <c r="CA386" i="1"/>
  <c r="BZ386" i="1"/>
  <c r="CA397" i="1"/>
  <c r="BZ397" i="1"/>
  <c r="BZ416" i="1"/>
  <c r="CA416" i="1"/>
  <c r="BZ239" i="1"/>
  <c r="BZ249" i="1"/>
  <c r="BZ252" i="1"/>
  <c r="BZ261" i="1"/>
  <c r="BF292" i="1"/>
  <c r="BT292" i="1"/>
  <c r="BZ296" i="1"/>
  <c r="CA355" i="1"/>
  <c r="BZ355" i="1"/>
  <c r="BZ358" i="1"/>
  <c r="CA358" i="1"/>
  <c r="CA371" i="1"/>
  <c r="BZ371" i="1"/>
  <c r="CA374" i="1"/>
  <c r="BZ374" i="1"/>
  <c r="CA399" i="1"/>
  <c r="BZ399" i="1"/>
  <c r="CA427" i="1"/>
  <c r="BZ427" i="1"/>
  <c r="CA482" i="1"/>
  <c r="BZ482" i="1"/>
  <c r="BH326" i="1"/>
  <c r="BJ326" i="1" s="1"/>
  <c r="BJ332" i="1"/>
  <c r="BD337" i="1"/>
  <c r="BO338" i="1"/>
  <c r="BZ344" i="1"/>
  <c r="BZ351" i="1"/>
  <c r="BZ359" i="1"/>
  <c r="BZ367" i="1"/>
  <c r="BO373" i="1"/>
  <c r="BZ380" i="1"/>
  <c r="BZ381" i="1"/>
  <c r="BT383" i="1"/>
  <c r="CA387" i="1"/>
  <c r="BO390" i="1"/>
  <c r="BJ397" i="1"/>
  <c r="BJ399" i="1"/>
  <c r="L406" i="1"/>
  <c r="BD413" i="1"/>
  <c r="BF414" i="1"/>
  <c r="BJ416" i="1"/>
  <c r="BJ418" i="1"/>
  <c r="BH419" i="1"/>
  <c r="BT434" i="1"/>
  <c r="BZ436" i="1"/>
  <c r="BT437" i="1"/>
  <c r="CA450" i="1"/>
  <c r="CA457" i="1"/>
  <c r="CA463" i="1"/>
  <c r="BZ463" i="1"/>
  <c r="BT489" i="1"/>
  <c r="CA496" i="1"/>
  <c r="BZ496" i="1"/>
  <c r="CA520" i="1"/>
  <c r="BZ520" i="1"/>
  <c r="CA536" i="1"/>
  <c r="BZ536" i="1"/>
  <c r="CA552" i="1"/>
  <c r="BZ552" i="1"/>
  <c r="BH337" i="1"/>
  <c r="BJ340" i="1"/>
  <c r="BT346" i="1"/>
  <c r="BT353" i="1"/>
  <c r="BJ355" i="1"/>
  <c r="BT361" i="1"/>
  <c r="BJ363" i="1"/>
  <c r="BT369" i="1"/>
  <c r="BZ390" i="1"/>
  <c r="BJ395" i="1"/>
  <c r="BJ413" i="1"/>
  <c r="BT424" i="1"/>
  <c r="BZ425" i="1"/>
  <c r="BT426" i="1"/>
  <c r="BT428" i="1"/>
  <c r="BT430" i="1"/>
  <c r="BT432" i="1"/>
  <c r="BZ433" i="1"/>
  <c r="BZ449" i="1"/>
  <c r="CA449" i="1"/>
  <c r="BO453" i="1"/>
  <c r="BT453" i="1"/>
  <c r="CA494" i="1"/>
  <c r="BZ494" i="1"/>
  <c r="BT336" i="1"/>
  <c r="L338" i="1"/>
  <c r="BJ341" i="1"/>
  <c r="BO347" i="1"/>
  <c r="BJ348" i="1"/>
  <c r="BJ364" i="1"/>
  <c r="L373" i="1"/>
  <c r="BO374" i="1"/>
  <c r="BT377" i="1"/>
  <c r="BO385" i="1"/>
  <c r="BD385" i="1"/>
  <c r="BT393" i="1"/>
  <c r="BJ398" i="1"/>
  <c r="BT401" i="1"/>
  <c r="BJ405" i="1"/>
  <c r="BT406" i="1"/>
  <c r="BH410" i="1"/>
  <c r="BJ410" i="1" s="1"/>
  <c r="BT415" i="1"/>
  <c r="CA422" i="1"/>
  <c r="BZ480" i="1"/>
  <c r="BJ482" i="1"/>
  <c r="BZ519" i="1"/>
  <c r="BT538" i="1"/>
  <c r="BJ538" i="1"/>
  <c r="BJ372" i="1"/>
  <c r="BZ396" i="1"/>
  <c r="BO398" i="1"/>
  <c r="BO413" i="1"/>
  <c r="CA445" i="1"/>
  <c r="BZ445" i="1"/>
  <c r="BZ452" i="1"/>
  <c r="CA452" i="1"/>
  <c r="BZ465" i="1"/>
  <c r="CA465" i="1"/>
  <c r="BT491" i="1"/>
  <c r="BJ491" i="1"/>
  <c r="BJ300" i="1"/>
  <c r="BD324" i="1"/>
  <c r="BJ328" i="1"/>
  <c r="BJ343" i="1"/>
  <c r="BJ350" i="1"/>
  <c r="BJ358" i="1"/>
  <c r="BJ366" i="1"/>
  <c r="BJ377" i="1"/>
  <c r="BJ378" i="1"/>
  <c r="BJ386" i="1"/>
  <c r="BJ392" i="1"/>
  <c r="BZ394" i="1"/>
  <c r="BI410" i="1"/>
  <c r="BT413" i="1"/>
  <c r="BD423" i="1"/>
  <c r="BN423" i="1"/>
  <c r="BD434" i="1"/>
  <c r="BT439" i="1"/>
  <c r="BJ441" i="1"/>
  <c r="BJ442" i="1"/>
  <c r="BT444" i="1"/>
  <c r="BD466" i="1"/>
  <c r="BO466" i="1"/>
  <c r="BT471" i="1"/>
  <c r="BF471" i="1"/>
  <c r="BJ487" i="1"/>
  <c r="BJ490" i="1"/>
  <c r="CA503" i="1"/>
  <c r="BZ503" i="1"/>
  <c r="BF517" i="1"/>
  <c r="BT517" i="1"/>
  <c r="BZ455" i="1"/>
  <c r="CA455" i="1"/>
  <c r="BZ478" i="1"/>
  <c r="CA478" i="1"/>
  <c r="BH484" i="1"/>
  <c r="BI484" i="1"/>
  <c r="BT484" i="1" s="1"/>
  <c r="CA495" i="1"/>
  <c r="BZ495" i="1"/>
  <c r="CA510" i="1"/>
  <c r="BZ510" i="1"/>
  <c r="BZ349" i="1"/>
  <c r="BZ357" i="1"/>
  <c r="BZ365" i="1"/>
  <c r="BZ376" i="1"/>
  <c r="BT379" i="1"/>
  <c r="BJ381" i="1"/>
  <c r="BJ385" i="1"/>
  <c r="L398" i="1"/>
  <c r="BZ404" i="1"/>
  <c r="BZ405" i="1"/>
  <c r="BZ409" i="1"/>
  <c r="CA411" i="1"/>
  <c r="BT417" i="1"/>
  <c r="BZ420" i="1"/>
  <c r="BJ427" i="1"/>
  <c r="BJ431" i="1"/>
  <c r="BJ436" i="1"/>
  <c r="CA442" i="1"/>
  <c r="BT447" i="1"/>
  <c r="CA451" i="1"/>
  <c r="BO456" i="1"/>
  <c r="BD456" i="1"/>
  <c r="BI460" i="1"/>
  <c r="BH460" i="1"/>
  <c r="BZ469" i="1"/>
  <c r="CA474" i="1"/>
  <c r="BT481" i="1"/>
  <c r="BD484" i="1"/>
  <c r="BZ487" i="1"/>
  <c r="BI492" i="1"/>
  <c r="BH492" i="1"/>
  <c r="BJ492" i="1" s="1"/>
  <c r="BD492" i="1"/>
  <c r="BT403" i="1"/>
  <c r="BZ441" i="1"/>
  <c r="CA441" i="1"/>
  <c r="BO454" i="1"/>
  <c r="BT454" i="1"/>
  <c r="CA473" i="1"/>
  <c r="BZ473" i="1"/>
  <c r="CA485" i="1"/>
  <c r="BZ485" i="1"/>
  <c r="CA490" i="1"/>
  <c r="BZ490" i="1"/>
  <c r="BJ502" i="1"/>
  <c r="BT502" i="1"/>
  <c r="BT505" i="1"/>
  <c r="BJ505" i="1"/>
  <c r="BJ508" i="1"/>
  <c r="BT508" i="1"/>
  <c r="BT523" i="1"/>
  <c r="BJ523" i="1"/>
  <c r="BT528" i="1"/>
  <c r="BJ528" i="1"/>
  <c r="BD481" i="1"/>
  <c r="L481" i="1"/>
  <c r="BT483" i="1"/>
  <c r="CA500" i="1"/>
  <c r="BZ500" i="1"/>
  <c r="BJ534" i="1"/>
  <c r="BT534" i="1"/>
  <c r="BT537" i="1"/>
  <c r="CA542" i="1"/>
  <c r="CA548" i="1"/>
  <c r="BT554" i="1"/>
  <c r="BT556" i="1"/>
  <c r="BT559" i="1"/>
  <c r="CA560" i="1"/>
  <c r="BZ560" i="1"/>
  <c r="BT577" i="1"/>
  <c r="BJ577" i="1"/>
  <c r="BT580" i="1"/>
  <c r="BJ580" i="1"/>
  <c r="CA582" i="1"/>
  <c r="BZ584" i="1"/>
  <c r="BT590" i="1"/>
  <c r="BJ590" i="1"/>
  <c r="BI593" i="1"/>
  <c r="BD593" i="1"/>
  <c r="BT593" i="1"/>
  <c r="BH593" i="1"/>
  <c r="BJ593" i="1" s="1"/>
  <c r="BZ597" i="1"/>
  <c r="BL599" i="1"/>
  <c r="BT599" i="1" s="1"/>
  <c r="BK599" i="1"/>
  <c r="BE599" i="1"/>
  <c r="BT607" i="1"/>
  <c r="BJ607" i="1"/>
  <c r="BT626" i="1"/>
  <c r="BT631" i="1"/>
  <c r="BM631" i="1"/>
  <c r="BJ640" i="1"/>
  <c r="BZ697" i="1"/>
  <c r="CA545" i="1"/>
  <c r="BZ545" i="1"/>
  <c r="BJ562" i="1"/>
  <c r="BT562" i="1"/>
  <c r="CA574" i="1"/>
  <c r="BZ574" i="1"/>
  <c r="BJ587" i="1"/>
  <c r="BT587" i="1"/>
  <c r="BZ603" i="1"/>
  <c r="CA603" i="1"/>
  <c r="BO604" i="1"/>
  <c r="BT604" i="1"/>
  <c r="CA606" i="1"/>
  <c r="BZ606" i="1"/>
  <c r="BI609" i="1"/>
  <c r="BH609" i="1"/>
  <c r="CA643" i="1"/>
  <c r="BZ643" i="1"/>
  <c r="CA529" i="1"/>
  <c r="CA553" i="1"/>
  <c r="BZ553" i="1"/>
  <c r="BN561" i="1"/>
  <c r="BD561" i="1"/>
  <c r="CA576" i="1"/>
  <c r="BZ576" i="1"/>
  <c r="CA579" i="1"/>
  <c r="BZ579" i="1"/>
  <c r="CA616" i="1"/>
  <c r="CA622" i="1"/>
  <c r="BZ622" i="1"/>
  <c r="BT691" i="1"/>
  <c r="BM691" i="1"/>
  <c r="BO505" i="1"/>
  <c r="L505" i="1"/>
  <c r="BT509" i="1"/>
  <c r="BJ511" i="1"/>
  <c r="BT511" i="1"/>
  <c r="CA524" i="1"/>
  <c r="BZ526" i="1"/>
  <c r="BZ527" i="1"/>
  <c r="BT533" i="1"/>
  <c r="BJ536" i="1"/>
  <c r="CA546" i="1"/>
  <c r="BH561" i="1"/>
  <c r="BJ566" i="1"/>
  <c r="BT566" i="1"/>
  <c r="CA571" i="1"/>
  <c r="BZ573" i="1"/>
  <c r="BI592" i="1"/>
  <c r="BH592" i="1"/>
  <c r="BJ592" i="1" s="1"/>
  <c r="BJ595" i="1"/>
  <c r="BT595" i="1"/>
  <c r="BT598" i="1"/>
  <c r="BJ598" i="1"/>
  <c r="L609" i="1"/>
  <c r="BT621" i="1"/>
  <c r="CA633" i="1"/>
  <c r="BZ633" i="1"/>
  <c r="BZ667" i="1"/>
  <c r="CA667" i="1"/>
  <c r="BT675" i="1"/>
  <c r="BJ675" i="1"/>
  <c r="CA677" i="1"/>
  <c r="BZ677" i="1"/>
  <c r="BT766" i="1"/>
  <c r="BJ766" i="1"/>
  <c r="BF462" i="1"/>
  <c r="CA470" i="1"/>
  <c r="BO481" i="1"/>
  <c r="BD489" i="1"/>
  <c r="L489" i="1"/>
  <c r="BD505" i="1"/>
  <c r="BT521" i="1"/>
  <c r="BJ522" i="1"/>
  <c r="BK530" i="1"/>
  <c r="BE530" i="1"/>
  <c r="BT532" i="1"/>
  <c r="BI561" i="1"/>
  <c r="CA575" i="1"/>
  <c r="BZ575" i="1"/>
  <c r="BT589" i="1"/>
  <c r="BJ589" i="1"/>
  <c r="BT591" i="1"/>
  <c r="BD592" i="1"/>
  <c r="BZ614" i="1"/>
  <c r="CA614" i="1"/>
  <c r="BZ627" i="1"/>
  <c r="CA627" i="1"/>
  <c r="BT638" i="1"/>
  <c r="BH641" i="1"/>
  <c r="BJ641" i="1" s="1"/>
  <c r="BD641" i="1"/>
  <c r="BO642" i="1"/>
  <c r="BT642" i="1"/>
  <c r="BZ649" i="1"/>
  <c r="CA649" i="1"/>
  <c r="BT739" i="1"/>
  <c r="BJ739" i="1"/>
  <c r="BT539" i="1"/>
  <c r="BJ539" i="1"/>
  <c r="BT564" i="1"/>
  <c r="CA588" i="1"/>
  <c r="BZ588" i="1"/>
  <c r="CA605" i="1"/>
  <c r="BZ605" i="1"/>
  <c r="BJ632" i="1"/>
  <c r="BZ664" i="1"/>
  <c r="CA664" i="1"/>
  <c r="CA687" i="1"/>
  <c r="BZ687" i="1"/>
  <c r="CA714" i="1"/>
  <c r="BZ714" i="1"/>
  <c r="CA544" i="1"/>
  <c r="BZ544" i="1"/>
  <c r="BT547" i="1"/>
  <c r="BJ547" i="1"/>
  <c r="BT581" i="1"/>
  <c r="BJ581" i="1"/>
  <c r="CA585" i="1"/>
  <c r="BZ585" i="1"/>
  <c r="BT608" i="1"/>
  <c r="BJ608" i="1"/>
  <c r="BT611" i="1"/>
  <c r="BJ611" i="1"/>
  <c r="CA634" i="1"/>
  <c r="BZ634" i="1"/>
  <c r="BZ651" i="1"/>
  <c r="CA651" i="1"/>
  <c r="BT676" i="1"/>
  <c r="BJ676" i="1"/>
  <c r="BT476" i="1"/>
  <c r="CA504" i="1"/>
  <c r="BZ504" i="1"/>
  <c r="CA516" i="1"/>
  <c r="BZ516" i="1"/>
  <c r="CA540" i="1"/>
  <c r="BZ543" i="1"/>
  <c r="BT551" i="1"/>
  <c r="BT555" i="1"/>
  <c r="BJ555" i="1"/>
  <c r="BZ563" i="1"/>
  <c r="BT568" i="1"/>
  <c r="BT596" i="1"/>
  <c r="BJ596" i="1"/>
  <c r="BZ674" i="1"/>
  <c r="CA674" i="1"/>
  <c r="BT600" i="1"/>
  <c r="BJ604" i="1"/>
  <c r="BJ605" i="1"/>
  <c r="BO620" i="1"/>
  <c r="BO621" i="1"/>
  <c r="BO624" i="1"/>
  <c r="BO625" i="1"/>
  <c r="BT635" i="1"/>
  <c r="BT636" i="1"/>
  <c r="BJ637" i="1"/>
  <c r="BT639" i="1"/>
  <c r="BD640" i="1"/>
  <c r="BT640" i="1"/>
  <c r="CA672" i="1"/>
  <c r="L675" i="1"/>
  <c r="BO675" i="1"/>
  <c r="L676" i="1"/>
  <c r="CA678" i="1"/>
  <c r="CA684" i="1"/>
  <c r="CA702" i="1"/>
  <c r="BZ702" i="1"/>
  <c r="BT615" i="1"/>
  <c r="BJ615" i="1"/>
  <c r="CA708" i="1"/>
  <c r="BZ708" i="1"/>
  <c r="BT716" i="1"/>
  <c r="BJ716" i="1"/>
  <c r="BJ731" i="1"/>
  <c r="BT731" i="1"/>
  <c r="BT824" i="1"/>
  <c r="BO824" i="1"/>
  <c r="BZ578" i="1"/>
  <c r="BZ586" i="1"/>
  <c r="BJ597" i="1"/>
  <c r="BT613" i="1"/>
  <c r="L620" i="1"/>
  <c r="L621" i="1"/>
  <c r="L624" i="1"/>
  <c r="BZ630" i="1"/>
  <c r="BT632" i="1"/>
  <c r="BT637" i="1"/>
  <c r="BJ649" i="1"/>
  <c r="BJ651" i="1"/>
  <c r="CA652" i="1"/>
  <c r="CA655" i="1"/>
  <c r="BZ658" i="1"/>
  <c r="BJ672" i="1"/>
  <c r="BJ674" i="1"/>
  <c r="BO676" i="1"/>
  <c r="BZ680" i="1"/>
  <c r="CA681" i="1"/>
  <c r="BZ686" i="1"/>
  <c r="CA688" i="1"/>
  <c r="CA692" i="1"/>
  <c r="CA712" i="1"/>
  <c r="BZ712" i="1"/>
  <c r="BT816" i="1"/>
  <c r="BJ816" i="1"/>
  <c r="BT610" i="1"/>
  <c r="BI625" i="1"/>
  <c r="BD625" i="1"/>
  <c r="BE629" i="1"/>
  <c r="BJ650" i="1"/>
  <c r="BJ673" i="1"/>
  <c r="BZ723" i="1"/>
  <c r="CA723" i="1"/>
  <c r="BT755" i="1"/>
  <c r="BJ755" i="1"/>
  <c r="BJ613" i="1"/>
  <c r="BT620" i="1"/>
  <c r="BJ620" i="1"/>
  <c r="BT623" i="1"/>
  <c r="BT624" i="1"/>
  <c r="BJ624" i="1"/>
  <c r="BH625" i="1"/>
  <c r="BK629" i="1"/>
  <c r="BT644" i="1"/>
  <c r="BJ644" i="1"/>
  <c r="BJ647" i="1"/>
  <c r="CA660" i="1"/>
  <c r="CA663" i="1"/>
  <c r="BZ666" i="1"/>
  <c r="BJ668" i="1"/>
  <c r="BJ670" i="1"/>
  <c r="BT707" i="1"/>
  <c r="BJ707" i="1"/>
  <c r="CA748" i="1"/>
  <c r="BZ748" i="1"/>
  <c r="BZ750" i="1"/>
  <c r="CA750" i="1"/>
  <c r="CA792" i="1"/>
  <c r="BZ792" i="1"/>
  <c r="BZ795" i="1"/>
  <c r="CA795" i="1"/>
  <c r="BT693" i="1"/>
  <c r="BJ693" i="1"/>
  <c r="BZ736" i="1"/>
  <c r="CA736" i="1"/>
  <c r="BO720" i="1"/>
  <c r="BN722" i="1"/>
  <c r="BF722" i="1"/>
  <c r="BT734" i="1"/>
  <c r="BJ734" i="1"/>
  <c r="BO746" i="1"/>
  <c r="BD746" i="1"/>
  <c r="L746" i="1"/>
  <c r="BT782" i="1"/>
  <c r="BJ782" i="1"/>
  <c r="BT810" i="1"/>
  <c r="BJ810" i="1"/>
  <c r="CA823" i="1"/>
  <c r="BZ823" i="1"/>
  <c r="BK827" i="1"/>
  <c r="BM827" i="1" s="1"/>
  <c r="BL827" i="1"/>
  <c r="BE827" i="1"/>
  <c r="BO718" i="1"/>
  <c r="BI724" i="1"/>
  <c r="BH724" i="1"/>
  <c r="L724" i="1"/>
  <c r="BT725" i="1"/>
  <c r="BI737" i="1"/>
  <c r="BH737" i="1"/>
  <c r="L737" i="1"/>
  <c r="CA744" i="1"/>
  <c r="BZ744" i="1"/>
  <c r="BJ746" i="1"/>
  <c r="CA788" i="1"/>
  <c r="BT802" i="1"/>
  <c r="BJ802" i="1"/>
  <c r="BT952" i="1"/>
  <c r="BF952" i="1"/>
  <c r="BT728" i="1"/>
  <c r="BJ728" i="1"/>
  <c r="BT749" i="1"/>
  <c r="BJ749" i="1"/>
  <c r="CA763" i="1"/>
  <c r="BZ763" i="1"/>
  <c r="CA770" i="1"/>
  <c r="BZ770" i="1"/>
  <c r="BT772" i="1"/>
  <c r="BM772" i="1"/>
  <c r="CA779" i="1"/>
  <c r="BZ779" i="1"/>
  <c r="CA786" i="1"/>
  <c r="BZ786" i="1"/>
  <c r="CA787" i="1"/>
  <c r="BZ787" i="1"/>
  <c r="BT794" i="1"/>
  <c r="BJ794" i="1"/>
  <c r="CA837" i="1"/>
  <c r="BZ837" i="1"/>
  <c r="CA926" i="1"/>
  <c r="BZ926" i="1"/>
  <c r="CA930" i="1"/>
  <c r="BZ930" i="1"/>
  <c r="BZ706" i="1"/>
  <c r="BK709" i="1"/>
  <c r="BT711" i="1"/>
  <c r="BJ714" i="1"/>
  <c r="BJ721" i="1"/>
  <c r="BZ730" i="1"/>
  <c r="CA733" i="1"/>
  <c r="BZ733" i="1"/>
  <c r="BT740" i="1"/>
  <c r="BM740" i="1"/>
  <c r="BT756" i="1"/>
  <c r="BJ756" i="1"/>
  <c r="CA757" i="1"/>
  <c r="CA760" i="1"/>
  <c r="BT817" i="1"/>
  <c r="BJ817" i="1"/>
  <c r="CA916" i="1"/>
  <c r="BZ916" i="1"/>
  <c r="CA919" i="1"/>
  <c r="BZ919" i="1"/>
  <c r="CA715" i="1"/>
  <c r="BT727" i="1"/>
  <c r="BJ727" i="1"/>
  <c r="CA732" i="1"/>
  <c r="BZ732" i="1"/>
  <c r="CA759" i="1"/>
  <c r="BZ759" i="1"/>
  <c r="BZ767" i="1"/>
  <c r="CA767" i="1"/>
  <c r="BT771" i="1"/>
  <c r="BM771" i="1"/>
  <c r="BT781" i="1"/>
  <c r="BJ781" i="1"/>
  <c r="CA806" i="1"/>
  <c r="BZ806" i="1"/>
  <c r="BT809" i="1"/>
  <c r="BJ809" i="1"/>
  <c r="BL826" i="1"/>
  <c r="BE826" i="1"/>
  <c r="BK826" i="1"/>
  <c r="BM826" i="1" s="1"/>
  <c r="BT835" i="1"/>
  <c r="BE835" i="1"/>
  <c r="CA915" i="1"/>
  <c r="BZ915" i="1"/>
  <c r="BZ705" i="1"/>
  <c r="BT721" i="1"/>
  <c r="CA743" i="1"/>
  <c r="BZ743" i="1"/>
  <c r="CA753" i="1"/>
  <c r="BZ753" i="1"/>
  <c r="BT762" i="1"/>
  <c r="BO762" i="1"/>
  <c r="CA777" i="1"/>
  <c r="BZ783" i="1"/>
  <c r="CA783" i="1"/>
  <c r="CA798" i="1"/>
  <c r="BZ798" i="1"/>
  <c r="BT801" i="1"/>
  <c r="BJ801" i="1"/>
  <c r="CA808" i="1"/>
  <c r="BZ808" i="1"/>
  <c r="BZ811" i="1"/>
  <c r="CA811" i="1"/>
  <c r="BZ832" i="1"/>
  <c r="CA832" i="1"/>
  <c r="CA891" i="1"/>
  <c r="BZ891" i="1"/>
  <c r="CA900" i="1"/>
  <c r="BZ900" i="1"/>
  <c r="CA902" i="1"/>
  <c r="BZ902" i="1"/>
  <c r="BZ713" i="1"/>
  <c r="BT726" i="1"/>
  <c r="BI729" i="1"/>
  <c r="BH729" i="1"/>
  <c r="BJ732" i="1"/>
  <c r="BT735" i="1"/>
  <c r="BJ735" i="1"/>
  <c r="BZ745" i="1"/>
  <c r="CA745" i="1"/>
  <c r="BZ764" i="1"/>
  <c r="CA764" i="1"/>
  <c r="CA790" i="1"/>
  <c r="BZ790" i="1"/>
  <c r="BT793" i="1"/>
  <c r="BJ793" i="1"/>
  <c r="CA800" i="1"/>
  <c r="BZ800" i="1"/>
  <c r="BZ803" i="1"/>
  <c r="CA803" i="1"/>
  <c r="CA860" i="1"/>
  <c r="BZ860" i="1"/>
  <c r="CA865" i="1"/>
  <c r="BZ865" i="1"/>
  <c r="CA885" i="1"/>
  <c r="BZ885" i="1"/>
  <c r="BL718" i="1"/>
  <c r="BM718" i="1" s="1"/>
  <c r="BL720" i="1"/>
  <c r="BM720" i="1" s="1"/>
  <c r="BI725" i="1"/>
  <c r="BJ725" i="1" s="1"/>
  <c r="BI738" i="1"/>
  <c r="BJ738" i="1" s="1"/>
  <c r="BT741" i="1"/>
  <c r="L745" i="1"/>
  <c r="BT746" i="1"/>
  <c r="BT752" i="1"/>
  <c r="BT761" i="1"/>
  <c r="BT769" i="1"/>
  <c r="BT778" i="1"/>
  <c r="BT789" i="1"/>
  <c r="BT797" i="1"/>
  <c r="BT805" i="1"/>
  <c r="BM823" i="1"/>
  <c r="BJ830" i="1"/>
  <c r="BJ865" i="1"/>
  <c r="BZ886" i="1"/>
  <c r="CA889" i="1"/>
  <c r="BZ889" i="1"/>
  <c r="BT907" i="1"/>
  <c r="BL907" i="1"/>
  <c r="BK907" i="1"/>
  <c r="BE907" i="1"/>
  <c r="BO915" i="1"/>
  <c r="BD915" i="1"/>
  <c r="L915" i="1"/>
  <c r="BT943" i="1"/>
  <c r="BT954" i="1"/>
  <c r="BF954" i="1"/>
  <c r="BN828" i="1"/>
  <c r="BJ828" i="1"/>
  <c r="BT830" i="1"/>
  <c r="CA833" i="1"/>
  <c r="BZ833" i="1"/>
  <c r="BJ845" i="1"/>
  <c r="CA849" i="1"/>
  <c r="BZ849" i="1"/>
  <c r="BI851" i="1"/>
  <c r="BH851" i="1"/>
  <c r="BD851" i="1"/>
  <c r="BZ852" i="1"/>
  <c r="CA867" i="1"/>
  <c r="BZ867" i="1"/>
  <c r="CA888" i="1"/>
  <c r="BZ888" i="1"/>
  <c r="CA895" i="1"/>
  <c r="BZ895" i="1"/>
  <c r="CA898" i="1"/>
  <c r="BZ898" i="1"/>
  <c r="BT928" i="1"/>
  <c r="BJ928" i="1"/>
  <c r="CA935" i="1"/>
  <c r="BZ935" i="1"/>
  <c r="CA942" i="1"/>
  <c r="BZ942" i="1"/>
  <c r="CA950" i="1"/>
  <c r="BZ950" i="1"/>
  <c r="BT738" i="1"/>
  <c r="BZ747" i="1"/>
  <c r="BO748" i="1"/>
  <c r="BZ754" i="1"/>
  <c r="L758" i="1"/>
  <c r="BZ773" i="1"/>
  <c r="BZ780" i="1"/>
  <c r="BZ785" i="1"/>
  <c r="BZ791" i="1"/>
  <c r="BZ799" i="1"/>
  <c r="BZ807" i="1"/>
  <c r="BZ814" i="1"/>
  <c r="BZ815" i="1"/>
  <c r="CA822" i="1"/>
  <c r="BI825" i="1"/>
  <c r="L825" i="1"/>
  <c r="BO830" i="1"/>
  <c r="BZ831" i="1"/>
  <c r="BT839" i="1"/>
  <c r="BJ839" i="1"/>
  <c r="BT842" i="1"/>
  <c r="BM842" i="1"/>
  <c r="CA848" i="1"/>
  <c r="BZ848" i="1"/>
  <c r="CA854" i="1"/>
  <c r="BZ854" i="1"/>
  <c r="BT912" i="1"/>
  <c r="BM912" i="1"/>
  <c r="CA920" i="1"/>
  <c r="BZ920" i="1"/>
  <c r="BT932" i="1"/>
  <c r="BM932" i="1"/>
  <c r="CA955" i="1"/>
  <c r="BZ955" i="1"/>
  <c r="BJ745" i="1"/>
  <c r="BJ750" i="1"/>
  <c r="BJ757" i="1"/>
  <c r="BJ760" i="1"/>
  <c r="BJ764" i="1"/>
  <c r="BJ767" i="1"/>
  <c r="BJ777" i="1"/>
  <c r="BJ783" i="1"/>
  <c r="BJ788" i="1"/>
  <c r="BJ795" i="1"/>
  <c r="BJ803" i="1"/>
  <c r="BJ811" i="1"/>
  <c r="BT829" i="1"/>
  <c r="BT890" i="1"/>
  <c r="BJ890" i="1"/>
  <c r="CA901" i="1"/>
  <c r="BZ901" i="1"/>
  <c r="BT909" i="1"/>
  <c r="BM909" i="1"/>
  <c r="CA923" i="1"/>
  <c r="BZ923" i="1"/>
  <c r="CA927" i="1"/>
  <c r="BZ927" i="1"/>
  <c r="CA931" i="1"/>
  <c r="BZ931" i="1"/>
  <c r="CA938" i="1"/>
  <c r="BZ938" i="1"/>
  <c r="CA946" i="1"/>
  <c r="BZ946" i="1"/>
  <c r="CA948" i="1"/>
  <c r="BZ948" i="1"/>
  <c r="BO721" i="1"/>
  <c r="BH758" i="1"/>
  <c r="BD762" i="1"/>
  <c r="BZ765" i="1"/>
  <c r="BZ784" i="1"/>
  <c r="BZ812" i="1"/>
  <c r="BZ813" i="1"/>
  <c r="BH825" i="1"/>
  <c r="BT866" i="1"/>
  <c r="BJ866" i="1"/>
  <c r="BT906" i="1"/>
  <c r="BM906" i="1"/>
  <c r="CA917" i="1"/>
  <c r="BZ917" i="1"/>
  <c r="CA941" i="1"/>
  <c r="BZ941" i="1"/>
  <c r="BT820" i="1"/>
  <c r="BZ821" i="1"/>
  <c r="BL836" i="1"/>
  <c r="BK836" i="1"/>
  <c r="BM838" i="1"/>
  <c r="BL843" i="1"/>
  <c r="BT843" i="1" s="1"/>
  <c r="BK843" i="1"/>
  <c r="BE843" i="1"/>
  <c r="BT850" i="1"/>
  <c r="BJ850" i="1"/>
  <c r="BL913" i="1"/>
  <c r="BK913" i="1"/>
  <c r="BM913" i="1" s="1"/>
  <c r="BE913" i="1"/>
  <c r="BT918" i="1"/>
  <c r="BT922" i="1"/>
  <c r="BJ922" i="1"/>
  <c r="BT937" i="1"/>
  <c r="BJ937" i="1"/>
  <c r="CA958" i="1"/>
  <c r="BZ958" i="1"/>
  <c r="BT834" i="1"/>
  <c r="BO834" i="1"/>
  <c r="CA838" i="1"/>
  <c r="BZ838" i="1"/>
  <c r="BL840" i="1"/>
  <c r="BK840" i="1"/>
  <c r="BE840" i="1"/>
  <c r="CA847" i="1"/>
  <c r="BZ847" i="1"/>
  <c r="CA863" i="1"/>
  <c r="BZ863" i="1"/>
  <c r="CA887" i="1"/>
  <c r="BZ887" i="1"/>
  <c r="CA894" i="1"/>
  <c r="BZ894" i="1"/>
  <c r="CA896" i="1"/>
  <c r="BZ896" i="1"/>
  <c r="CA897" i="1"/>
  <c r="BZ897" i="1"/>
  <c r="CA905" i="1"/>
  <c r="BZ905" i="1"/>
  <c r="BT910" i="1"/>
  <c r="BI910" i="1"/>
  <c r="BH910" i="1"/>
  <c r="BD910" i="1"/>
  <c r="CA921" i="1"/>
  <c r="BZ921" i="1"/>
  <c r="CA929" i="1"/>
  <c r="BZ929" i="1"/>
  <c r="CA936" i="1"/>
  <c r="BZ936" i="1"/>
  <c r="CA949" i="1"/>
  <c r="BZ949" i="1"/>
  <c r="CA956" i="1"/>
  <c r="BZ956" i="1"/>
  <c r="BT841" i="1"/>
  <c r="BI845" i="1"/>
  <c r="BT853" i="1"/>
  <c r="BT859" i="1"/>
  <c r="BK861" i="1"/>
  <c r="BM861" i="1" s="1"/>
  <c r="BT864" i="1"/>
  <c r="BH903" i="1"/>
  <c r="BJ903" i="1" s="1"/>
  <c r="BT908" i="1"/>
  <c r="BT911" i="1"/>
  <c r="BO927" i="1"/>
  <c r="BJ943" i="1"/>
  <c r="BH944" i="1"/>
  <c r="BT844" i="1"/>
  <c r="BL861" i="1"/>
  <c r="BI944" i="1"/>
  <c r="BN845" i="1"/>
  <c r="BO897" i="1"/>
  <c r="BJ923" i="1"/>
  <c r="BJ929" i="1"/>
  <c r="BD934" i="1"/>
  <c r="BJ938" i="1"/>
  <c r="L941" i="1"/>
  <c r="L952" i="1"/>
  <c r="BD841" i="1"/>
  <c r="BJ846" i="1"/>
  <c r="BD853" i="1"/>
  <c r="L855" i="1"/>
  <c r="BZ857" i="1"/>
  <c r="BE859" i="1"/>
  <c r="BZ868" i="1"/>
  <c r="BZ872" i="1"/>
  <c r="BZ876" i="1"/>
  <c r="BZ880" i="1"/>
  <c r="BZ884" i="1"/>
  <c r="BO885" i="1"/>
  <c r="BJ886" i="1"/>
  <c r="BD908" i="1"/>
  <c r="BE911" i="1"/>
  <c r="BO918" i="1"/>
  <c r="BJ919" i="1"/>
  <c r="BH934" i="1"/>
  <c r="BE844" i="1"/>
  <c r="BJ852" i="1"/>
  <c r="BJ862" i="1"/>
  <c r="BJ893" i="1"/>
  <c r="BJ904" i="1"/>
  <c r="BJ915" i="1"/>
  <c r="CA484" i="1" l="1"/>
  <c r="BZ484" i="1"/>
  <c r="CA599" i="1"/>
  <c r="BZ599" i="1"/>
  <c r="CA843" i="1"/>
  <c r="BZ843" i="1"/>
  <c r="BT944" i="1"/>
  <c r="BJ944" i="1"/>
  <c r="CA859" i="1"/>
  <c r="BZ859" i="1"/>
  <c r="CA834" i="1"/>
  <c r="BZ834" i="1"/>
  <c r="BM843" i="1"/>
  <c r="BZ820" i="1"/>
  <c r="CA820" i="1"/>
  <c r="CA866" i="1"/>
  <c r="BZ866" i="1"/>
  <c r="CA954" i="1"/>
  <c r="BZ954" i="1"/>
  <c r="CA907" i="1"/>
  <c r="BZ907" i="1"/>
  <c r="CA797" i="1"/>
  <c r="BZ797" i="1"/>
  <c r="BZ741" i="1"/>
  <c r="CA741" i="1"/>
  <c r="CA793" i="1"/>
  <c r="BZ793" i="1"/>
  <c r="CA735" i="1"/>
  <c r="BZ735" i="1"/>
  <c r="CA771" i="1"/>
  <c r="BZ771" i="1"/>
  <c r="BZ727" i="1"/>
  <c r="CA727" i="1"/>
  <c r="CA782" i="1"/>
  <c r="BZ782" i="1"/>
  <c r="BT629" i="1"/>
  <c r="BM629" i="1"/>
  <c r="CA640" i="1"/>
  <c r="BZ640" i="1"/>
  <c r="BZ596" i="1"/>
  <c r="CA596" i="1"/>
  <c r="BT609" i="1"/>
  <c r="BJ609" i="1"/>
  <c r="CA587" i="1"/>
  <c r="BZ587" i="1"/>
  <c r="BM599" i="1"/>
  <c r="CA534" i="1"/>
  <c r="BZ534" i="1"/>
  <c r="CA528" i="1"/>
  <c r="BZ528" i="1"/>
  <c r="CA417" i="1"/>
  <c r="BZ417" i="1"/>
  <c r="BZ379" i="1"/>
  <c r="CA379" i="1"/>
  <c r="CA517" i="1"/>
  <c r="BZ517" i="1"/>
  <c r="BZ491" i="1"/>
  <c r="CA491" i="1"/>
  <c r="CA393" i="1"/>
  <c r="BZ393" i="1"/>
  <c r="BZ424" i="1"/>
  <c r="CA424" i="1"/>
  <c r="CA353" i="1"/>
  <c r="BZ353" i="1"/>
  <c r="BZ333" i="1"/>
  <c r="CA333" i="1"/>
  <c r="CA338" i="1"/>
  <c r="BZ338" i="1"/>
  <c r="CA288" i="1"/>
  <c r="BZ288" i="1"/>
  <c r="BT316" i="1"/>
  <c r="BO316" i="1"/>
  <c r="CA300" i="1"/>
  <c r="BZ300" i="1"/>
  <c r="BZ222" i="1"/>
  <c r="CA222" i="1"/>
  <c r="CA155" i="1"/>
  <c r="BZ155" i="1"/>
  <c r="CA221" i="1"/>
  <c r="BZ221" i="1"/>
  <c r="CA210" i="1"/>
  <c r="BZ210" i="1"/>
  <c r="BZ189" i="1"/>
  <c r="CA189" i="1"/>
  <c r="CA122" i="1"/>
  <c r="BZ122" i="1"/>
  <c r="BZ203" i="1"/>
  <c r="CA203" i="1"/>
  <c r="BT53" i="1"/>
  <c r="BZ910" i="1"/>
  <c r="CA910" i="1"/>
  <c r="CA738" i="1"/>
  <c r="BZ738" i="1"/>
  <c r="CA928" i="1"/>
  <c r="BZ928" i="1"/>
  <c r="CA943" i="1"/>
  <c r="BZ943" i="1"/>
  <c r="CA789" i="1"/>
  <c r="BZ789" i="1"/>
  <c r="CA802" i="1"/>
  <c r="BZ802" i="1"/>
  <c r="CA725" i="1"/>
  <c r="BZ725" i="1"/>
  <c r="BT720" i="1"/>
  <c r="BT625" i="1"/>
  <c r="BJ625" i="1"/>
  <c r="CA755" i="1"/>
  <c r="BZ755" i="1"/>
  <c r="BZ610" i="1"/>
  <c r="CA610" i="1"/>
  <c r="CA613" i="1"/>
  <c r="BZ613" i="1"/>
  <c r="CA568" i="1"/>
  <c r="BZ568" i="1"/>
  <c r="CA642" i="1"/>
  <c r="BZ642" i="1"/>
  <c r="CA691" i="1"/>
  <c r="BZ691" i="1"/>
  <c r="BZ590" i="1"/>
  <c r="CA590" i="1"/>
  <c r="CA481" i="1"/>
  <c r="BZ481" i="1"/>
  <c r="CA413" i="1"/>
  <c r="BZ413" i="1"/>
  <c r="CA415" i="1"/>
  <c r="BZ415" i="1"/>
  <c r="CA346" i="1"/>
  <c r="BZ346" i="1"/>
  <c r="CA437" i="1"/>
  <c r="BZ437" i="1"/>
  <c r="CA292" i="1"/>
  <c r="BZ292" i="1"/>
  <c r="BZ256" i="1"/>
  <c r="CA256" i="1"/>
  <c r="CA285" i="1"/>
  <c r="BZ285" i="1"/>
  <c r="BJ334" i="1"/>
  <c r="BT334" i="1"/>
  <c r="CA177" i="1"/>
  <c r="BZ177" i="1"/>
  <c r="CA94" i="1"/>
  <c r="BZ94" i="1"/>
  <c r="BZ199" i="1"/>
  <c r="CA199" i="1"/>
  <c r="BZ167" i="1"/>
  <c r="CA167" i="1"/>
  <c r="BT183" i="1"/>
  <c r="BJ183" i="1"/>
  <c r="CA139" i="1"/>
  <c r="BZ139" i="1"/>
  <c r="CA853" i="1"/>
  <c r="BZ853" i="1"/>
  <c r="BT825" i="1"/>
  <c r="BJ825" i="1"/>
  <c r="BM840" i="1"/>
  <c r="CA890" i="1"/>
  <c r="BZ890" i="1"/>
  <c r="CA778" i="1"/>
  <c r="BZ778" i="1"/>
  <c r="BJ729" i="1"/>
  <c r="BT729" i="1"/>
  <c r="CA762" i="1"/>
  <c r="BZ762" i="1"/>
  <c r="CA809" i="1"/>
  <c r="BZ809" i="1"/>
  <c r="BT827" i="1"/>
  <c r="CA716" i="1"/>
  <c r="BZ716" i="1"/>
  <c r="CA639" i="1"/>
  <c r="BZ639" i="1"/>
  <c r="CA581" i="1"/>
  <c r="BZ581" i="1"/>
  <c r="CA564" i="1"/>
  <c r="BZ564" i="1"/>
  <c r="CA532" i="1"/>
  <c r="BZ532" i="1"/>
  <c r="CA675" i="1"/>
  <c r="BZ675" i="1"/>
  <c r="BZ598" i="1"/>
  <c r="CA598" i="1"/>
  <c r="BZ566" i="1"/>
  <c r="CA566" i="1"/>
  <c r="BT561" i="1"/>
  <c r="BO561" i="1"/>
  <c r="CA559" i="1"/>
  <c r="BZ559" i="1"/>
  <c r="CA523" i="1"/>
  <c r="BZ523" i="1"/>
  <c r="CA447" i="1"/>
  <c r="BZ447" i="1"/>
  <c r="BJ484" i="1"/>
  <c r="CA444" i="1"/>
  <c r="BZ444" i="1"/>
  <c r="BT410" i="1"/>
  <c r="CA272" i="1"/>
  <c r="BZ272" i="1"/>
  <c r="BT207" i="1"/>
  <c r="CA176" i="1"/>
  <c r="BZ176" i="1"/>
  <c r="BZ205" i="1"/>
  <c r="CA205" i="1"/>
  <c r="CA90" i="1"/>
  <c r="BZ90" i="1"/>
  <c r="CA56" i="1"/>
  <c r="BZ56" i="1"/>
  <c r="BZ236" i="1"/>
  <c r="CA236" i="1"/>
  <c r="BZ195" i="1"/>
  <c r="CA195" i="1"/>
  <c r="CA911" i="1"/>
  <c r="BZ911" i="1"/>
  <c r="BT913" i="1"/>
  <c r="CA829" i="1"/>
  <c r="BZ829" i="1"/>
  <c r="CA932" i="1"/>
  <c r="BZ932" i="1"/>
  <c r="CA801" i="1"/>
  <c r="BZ801" i="1"/>
  <c r="CA756" i="1"/>
  <c r="BZ756" i="1"/>
  <c r="CA711" i="1"/>
  <c r="BZ711" i="1"/>
  <c r="CA749" i="1"/>
  <c r="BZ749" i="1"/>
  <c r="BT724" i="1"/>
  <c r="BJ724" i="1"/>
  <c r="CA624" i="1"/>
  <c r="BZ624" i="1"/>
  <c r="CA816" i="1"/>
  <c r="BZ816" i="1"/>
  <c r="CA637" i="1"/>
  <c r="BZ637" i="1"/>
  <c r="CA595" i="1"/>
  <c r="BZ595" i="1"/>
  <c r="BZ511" i="1"/>
  <c r="CA511" i="1"/>
  <c r="BZ631" i="1"/>
  <c r="CA631" i="1"/>
  <c r="BZ556" i="1"/>
  <c r="CA556" i="1"/>
  <c r="CA508" i="1"/>
  <c r="BZ508" i="1"/>
  <c r="CA403" i="1"/>
  <c r="BZ403" i="1"/>
  <c r="CA377" i="1"/>
  <c r="BZ377" i="1"/>
  <c r="CA336" i="1"/>
  <c r="BZ336" i="1"/>
  <c r="BZ432" i="1"/>
  <c r="CA432" i="1"/>
  <c r="BJ337" i="1"/>
  <c r="BT337" i="1"/>
  <c r="CA434" i="1"/>
  <c r="BZ434" i="1"/>
  <c r="CA314" i="1"/>
  <c r="BZ314" i="1"/>
  <c r="CA318" i="1"/>
  <c r="BZ318" i="1"/>
  <c r="BZ184" i="1"/>
  <c r="CA184" i="1"/>
  <c r="CA132" i="1"/>
  <c r="BZ132" i="1"/>
  <c r="BZ191" i="1"/>
  <c r="CA191" i="1"/>
  <c r="CA135" i="1"/>
  <c r="BZ135" i="1"/>
  <c r="BJ934" i="1"/>
  <c r="BT934" i="1"/>
  <c r="BT845" i="1"/>
  <c r="BO845" i="1"/>
  <c r="CA908" i="1"/>
  <c r="BZ908" i="1"/>
  <c r="BT903" i="1"/>
  <c r="BT840" i="1"/>
  <c r="CA937" i="1"/>
  <c r="BZ937" i="1"/>
  <c r="BT861" i="1"/>
  <c r="BM836" i="1"/>
  <c r="BJ851" i="1"/>
  <c r="BZ830" i="1"/>
  <c r="CA830" i="1"/>
  <c r="CA761" i="1"/>
  <c r="BZ761" i="1"/>
  <c r="CA726" i="1"/>
  <c r="BZ726" i="1"/>
  <c r="CA835" i="1"/>
  <c r="BZ835" i="1"/>
  <c r="BM709" i="1"/>
  <c r="BT709" i="1"/>
  <c r="CA623" i="1"/>
  <c r="BZ623" i="1"/>
  <c r="CA632" i="1"/>
  <c r="BZ632" i="1"/>
  <c r="CA636" i="1"/>
  <c r="BZ636" i="1"/>
  <c r="CA600" i="1"/>
  <c r="BZ600" i="1"/>
  <c r="CA555" i="1"/>
  <c r="BZ555" i="1"/>
  <c r="CA476" i="1"/>
  <c r="BZ476" i="1"/>
  <c r="CA611" i="1"/>
  <c r="BZ611" i="1"/>
  <c r="CA547" i="1"/>
  <c r="BZ547" i="1"/>
  <c r="CA539" i="1"/>
  <c r="BZ539" i="1"/>
  <c r="BT641" i="1"/>
  <c r="BZ591" i="1"/>
  <c r="CA591" i="1"/>
  <c r="BM530" i="1"/>
  <c r="BT530" i="1"/>
  <c r="BJ561" i="1"/>
  <c r="CA604" i="1"/>
  <c r="BZ604" i="1"/>
  <c r="CA562" i="1"/>
  <c r="BZ562" i="1"/>
  <c r="BZ626" i="1"/>
  <c r="CA626" i="1"/>
  <c r="BZ554" i="1"/>
  <c r="CA554" i="1"/>
  <c r="CA483" i="1"/>
  <c r="BZ483" i="1"/>
  <c r="BJ460" i="1"/>
  <c r="BZ538" i="1"/>
  <c r="CA538" i="1"/>
  <c r="CA406" i="1"/>
  <c r="BZ406" i="1"/>
  <c r="CA430" i="1"/>
  <c r="BZ430" i="1"/>
  <c r="CA369" i="1"/>
  <c r="BZ369" i="1"/>
  <c r="CA489" i="1"/>
  <c r="BZ489" i="1"/>
  <c r="BT419" i="1"/>
  <c r="BJ419" i="1"/>
  <c r="BZ311" i="1"/>
  <c r="CA311" i="1"/>
  <c r="CA268" i="1"/>
  <c r="BZ268" i="1"/>
  <c r="CA158" i="1"/>
  <c r="BZ158" i="1"/>
  <c r="CA182" i="1"/>
  <c r="BZ182" i="1"/>
  <c r="BT230" i="1"/>
  <c r="BZ134" i="1"/>
  <c r="CA134" i="1"/>
  <c r="CA130" i="1"/>
  <c r="BZ130" i="1"/>
  <c r="CA842" i="1"/>
  <c r="BZ842" i="1"/>
  <c r="CA752" i="1"/>
  <c r="BZ752" i="1"/>
  <c r="BZ740" i="1"/>
  <c r="CA740" i="1"/>
  <c r="CA794" i="1"/>
  <c r="BZ794" i="1"/>
  <c r="BZ772" i="1"/>
  <c r="CA772" i="1"/>
  <c r="CA728" i="1"/>
  <c r="BZ728" i="1"/>
  <c r="BZ734" i="1"/>
  <c r="CA734" i="1"/>
  <c r="CA693" i="1"/>
  <c r="BZ693" i="1"/>
  <c r="CA635" i="1"/>
  <c r="BZ635" i="1"/>
  <c r="CA551" i="1"/>
  <c r="BZ551" i="1"/>
  <c r="CA509" i="1"/>
  <c r="BZ509" i="1"/>
  <c r="CA593" i="1"/>
  <c r="BZ593" i="1"/>
  <c r="BZ580" i="1"/>
  <c r="CA580" i="1"/>
  <c r="CA439" i="1"/>
  <c r="BZ439" i="1"/>
  <c r="BZ428" i="1"/>
  <c r="CA428" i="1"/>
  <c r="CA290" i="1"/>
  <c r="BZ290" i="1"/>
  <c r="BZ201" i="1"/>
  <c r="CA201" i="1"/>
  <c r="CA146" i="1"/>
  <c r="BZ146" i="1"/>
  <c r="CA235" i="1"/>
  <c r="BZ235" i="1"/>
  <c r="CA190" i="1"/>
  <c r="BZ190" i="1"/>
  <c r="CA92" i="1"/>
  <c r="BZ92" i="1"/>
  <c r="CA769" i="1"/>
  <c r="BZ769" i="1"/>
  <c r="CA864" i="1"/>
  <c r="BZ864" i="1"/>
  <c r="CA922" i="1"/>
  <c r="BZ922" i="1"/>
  <c r="CA850" i="1"/>
  <c r="BZ850" i="1"/>
  <c r="BT836" i="1"/>
  <c r="CA906" i="1"/>
  <c r="BZ906" i="1"/>
  <c r="CA909" i="1"/>
  <c r="BZ909" i="1"/>
  <c r="BT851" i="1"/>
  <c r="BT828" i="1"/>
  <c r="BO828" i="1"/>
  <c r="BM907" i="1"/>
  <c r="CA746" i="1"/>
  <c r="BZ746" i="1"/>
  <c r="BT826" i="1"/>
  <c r="CA781" i="1"/>
  <c r="BZ781" i="1"/>
  <c r="BT718" i="1"/>
  <c r="CA810" i="1"/>
  <c r="BZ810" i="1"/>
  <c r="CA620" i="1"/>
  <c r="BZ620" i="1"/>
  <c r="CA824" i="1"/>
  <c r="BZ824" i="1"/>
  <c r="BZ615" i="1"/>
  <c r="CA615" i="1"/>
  <c r="CA676" i="1"/>
  <c r="BZ676" i="1"/>
  <c r="CA608" i="1"/>
  <c r="BZ608" i="1"/>
  <c r="CA739" i="1"/>
  <c r="BZ739" i="1"/>
  <c r="CA638" i="1"/>
  <c r="BZ638" i="1"/>
  <c r="CA589" i="1"/>
  <c r="BZ589" i="1"/>
  <c r="CA521" i="1"/>
  <c r="BZ521" i="1"/>
  <c r="CA766" i="1"/>
  <c r="BZ766" i="1"/>
  <c r="BT592" i="1"/>
  <c r="BZ607" i="1"/>
  <c r="CA607" i="1"/>
  <c r="CA505" i="1"/>
  <c r="BZ505" i="1"/>
  <c r="BT460" i="1"/>
  <c r="CA401" i="1"/>
  <c r="BZ401" i="1"/>
  <c r="CA453" i="1"/>
  <c r="BZ453" i="1"/>
  <c r="CA426" i="1"/>
  <c r="BZ426" i="1"/>
  <c r="CA361" i="1"/>
  <c r="BZ361" i="1"/>
  <c r="CA383" i="1"/>
  <c r="BZ383" i="1"/>
  <c r="CA254" i="1"/>
  <c r="BZ254" i="1"/>
  <c r="CA234" i="1"/>
  <c r="BZ234" i="1"/>
  <c r="BZ197" i="1"/>
  <c r="CA197" i="1"/>
  <c r="CA127" i="1"/>
  <c r="BZ127" i="1"/>
  <c r="BT186" i="1"/>
  <c r="BO186" i="1"/>
  <c r="CA83" i="1"/>
  <c r="BZ83" i="1"/>
  <c r="CA841" i="1"/>
  <c r="BZ841" i="1"/>
  <c r="CA844" i="1"/>
  <c r="BZ844" i="1"/>
  <c r="BJ910" i="1"/>
  <c r="CA918" i="1"/>
  <c r="BZ918" i="1"/>
  <c r="BJ758" i="1"/>
  <c r="BT758" i="1"/>
  <c r="CA912" i="1"/>
  <c r="BZ912" i="1"/>
  <c r="CA839" i="1"/>
  <c r="BZ839" i="1"/>
  <c r="CA805" i="1"/>
  <c r="BZ805" i="1"/>
  <c r="CA721" i="1"/>
  <c r="BZ721" i="1"/>
  <c r="CA817" i="1"/>
  <c r="BZ817" i="1"/>
  <c r="BZ952" i="1"/>
  <c r="CA952" i="1"/>
  <c r="BT737" i="1"/>
  <c r="BJ737" i="1"/>
  <c r="BT722" i="1"/>
  <c r="BO722" i="1"/>
  <c r="CA707" i="1"/>
  <c r="BZ707" i="1"/>
  <c r="CA644" i="1"/>
  <c r="BZ644" i="1"/>
  <c r="CA731" i="1"/>
  <c r="BZ731" i="1"/>
  <c r="CA621" i="1"/>
  <c r="BZ621" i="1"/>
  <c r="CA533" i="1"/>
  <c r="BZ533" i="1"/>
  <c r="BZ577" i="1"/>
  <c r="CA577" i="1"/>
  <c r="CA537" i="1"/>
  <c r="BZ537" i="1"/>
  <c r="CA502" i="1"/>
  <c r="BZ502" i="1"/>
  <c r="CA454" i="1"/>
  <c r="BZ454" i="1"/>
  <c r="CA471" i="1"/>
  <c r="BZ471" i="1"/>
  <c r="BT423" i="1"/>
  <c r="BO423" i="1"/>
  <c r="CA279" i="1"/>
  <c r="BZ279" i="1"/>
  <c r="CA282" i="1"/>
  <c r="BZ282" i="1"/>
  <c r="BT326" i="1"/>
  <c r="BT492" i="1"/>
  <c r="CA259" i="1"/>
  <c r="BZ259" i="1"/>
  <c r="CA225" i="1"/>
  <c r="BZ225" i="1"/>
  <c r="BZ193" i="1"/>
  <c r="CA193" i="1"/>
  <c r="BZ111" i="1"/>
  <c r="CA111" i="1"/>
  <c r="CA226" i="1"/>
  <c r="BZ226" i="1"/>
  <c r="CA159" i="1"/>
  <c r="BZ159" i="1"/>
  <c r="BT117" i="1"/>
  <c r="BT125" i="1"/>
  <c r="BO125" i="1"/>
  <c r="CA181" i="1"/>
  <c r="BZ181" i="1"/>
  <c r="CA836" i="1" l="1"/>
  <c r="BZ836" i="1"/>
  <c r="CA720" i="1"/>
  <c r="BZ720" i="1"/>
  <c r="CA722" i="1"/>
  <c r="BZ722" i="1"/>
  <c r="CA530" i="1"/>
  <c r="BZ530" i="1"/>
  <c r="BZ419" i="1"/>
  <c r="CA419" i="1"/>
  <c r="CA561" i="1"/>
  <c r="BZ561" i="1"/>
  <c r="CA316" i="1"/>
  <c r="BZ316" i="1"/>
  <c r="CA944" i="1"/>
  <c r="BZ944" i="1"/>
  <c r="CA423" i="1"/>
  <c r="BZ423" i="1"/>
  <c r="CA737" i="1"/>
  <c r="BZ737" i="1"/>
  <c r="CA718" i="1"/>
  <c r="BZ718" i="1"/>
  <c r="CA828" i="1"/>
  <c r="BZ828" i="1"/>
  <c r="CA827" i="1"/>
  <c r="BZ827" i="1"/>
  <c r="BZ492" i="1"/>
  <c r="CA492" i="1"/>
  <c r="BZ186" i="1"/>
  <c r="CA186" i="1"/>
  <c r="CA592" i="1"/>
  <c r="BZ592" i="1"/>
  <c r="BZ851" i="1"/>
  <c r="CA851" i="1"/>
  <c r="CA861" i="1"/>
  <c r="BZ861" i="1"/>
  <c r="CA845" i="1"/>
  <c r="BZ845" i="1"/>
  <c r="CA207" i="1"/>
  <c r="BZ207" i="1"/>
  <c r="CA326" i="1"/>
  <c r="BZ326" i="1"/>
  <c r="BZ641" i="1"/>
  <c r="CA641" i="1"/>
  <c r="CA934" i="1"/>
  <c r="BZ934" i="1"/>
  <c r="CA337" i="1"/>
  <c r="BZ337" i="1"/>
  <c r="CA913" i="1"/>
  <c r="BZ913" i="1"/>
  <c r="CA629" i="1"/>
  <c r="BZ629" i="1"/>
  <c r="CA125" i="1"/>
  <c r="BZ125" i="1"/>
  <c r="CA826" i="1"/>
  <c r="BZ826" i="1"/>
  <c r="BZ183" i="1"/>
  <c r="CA183" i="1"/>
  <c r="CA117" i="1"/>
  <c r="BZ117" i="1"/>
  <c r="BZ460" i="1"/>
  <c r="CA460" i="1"/>
  <c r="CA840" i="1"/>
  <c r="BZ840" i="1"/>
  <c r="BZ410" i="1"/>
  <c r="CA410" i="1"/>
  <c r="BZ334" i="1"/>
  <c r="CA334" i="1"/>
  <c r="BZ609" i="1"/>
  <c r="CA609" i="1"/>
  <c r="CA758" i="1"/>
  <c r="BZ758" i="1"/>
  <c r="BZ230" i="1"/>
  <c r="CA230" i="1"/>
  <c r="CA709" i="1"/>
  <c r="BZ709" i="1"/>
  <c r="CA903" i="1"/>
  <c r="BZ903" i="1"/>
  <c r="CA724" i="1"/>
  <c r="BZ724" i="1"/>
  <c r="CA729" i="1"/>
  <c r="BZ729" i="1"/>
  <c r="CA825" i="1"/>
  <c r="BZ825" i="1"/>
  <c r="CA625" i="1"/>
  <c r="BZ625" i="1"/>
  <c r="CA53" i="1"/>
  <c r="BZ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Olimpia Kanellatu</author>
    <author>Demattè Adriano</author>
    <author xml:space="preserve"> </author>
  </authors>
  <commentList>
    <comment ref="BQ3" authorId="0" shapeId="0" xr:uid="{E4105393-0E2B-41B1-91B9-E410AFD9976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31/10 stabilimento chiuso
</t>
        </r>
      </text>
    </comment>
    <comment ref="BQ5" authorId="0" shapeId="0" xr:uid="{E16FA389-DC96-4974-8750-601D24559C0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31/10 stabilimento chiuso
</t>
        </r>
      </text>
    </comment>
    <comment ref="BQ6" authorId="0" shapeId="0" xr:uid="{FC7E6CF1-6423-4066-8C54-AB79BF2D2B0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31/10 stabilimento chiuso
</t>
        </r>
      </text>
    </comment>
    <comment ref="BQ8" authorId="0" shapeId="0" xr:uid="{7282B9C4-A676-48B4-BB68-8003A73F9ED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31/10 stabilimento chiuso
</t>
        </r>
      </text>
    </comment>
    <comment ref="H28" authorId="0" shapeId="0" xr:uid="{5D007651-69FC-4499-9CE6-300211C20F5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H48" authorId="0" shapeId="0" xr:uid="{949A8FCF-0201-41A6-B754-C3A98F868FF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N62" authorId="0" shapeId="0" xr:uid="{F664F23F-9AB1-4B71-B0BA-211E8834931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per a.s. 22/23 ancora valido fino ad agosto '23</t>
        </r>
      </text>
    </comment>
    <comment ref="J63" authorId="0" shapeId="0" xr:uid="{6720B2A1-6F0E-40E8-BFB9-B1F66F8492C8}">
      <text>
        <r>
          <rPr>
            <sz val="9"/>
            <color indexed="81"/>
            <rFont val="Tahoma"/>
            <family val="2"/>
          </rPr>
          <t>LS: ok per il 9 posti., come previsto nello scorso appalto. Succ. valutiamo se è necessario il 17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05" authorId="0" shapeId="0" xr:uid="{1EAEEFBC-DC73-45B6-86B4-553BD42BBFF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si chiede autorizzazione del 9 posti vista l'utenza che non supera le 3-4 persone</t>
        </r>
      </text>
    </comment>
    <comment ref="BQ106" authorId="0" shapeId="0" xr:uid="{66406CBA-5BD9-4B65-AE4C-333E716944B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31/10 stabilimento chiuso
</t>
        </r>
      </text>
    </comment>
    <comment ref="AX117" authorId="0" shapeId="0" xr:uid="{6DE3F31A-AE73-4799-A56F-7867E4A3DD2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inverno 132,76 x 45 gg estate 92,76*13gg</t>
        </r>
      </text>
    </comment>
    <comment ref="AX134" authorId="0" shapeId="0" xr:uid="{46448222-7BED-4AB3-BEE4-33730C62FD7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24 il lunedì (€ 3) - 14,40 da martedì a venerdì (€ 1,80) portati a € 2,00 = € 16,00
</t>
        </r>
      </text>
    </comment>
    <comment ref="J135" authorId="0" shapeId="0" xr:uid="{2DC3A075-F10B-4DD0-A22F-56F34760B51D}">
      <text>
        <r>
          <rPr>
            <b/>
            <sz val="9"/>
            <color indexed="81"/>
            <rFont val="Tahoma"/>
            <family val="2"/>
          </rPr>
          <t>LS: 20p vanno bene da valutare a settembre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6" authorId="0" shapeId="0" xr:uid="{2E1C41DE-E5B2-4F32-8D68-238D9CEE925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km 5,50</t>
        </r>
      </text>
    </comment>
    <comment ref="G140" authorId="0" shapeId="0" xr:uid="{F014AD53-E66D-4C4F-AF2B-A2919252DCC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è stata aggiunta Ville a.s. 22/23
</t>
        </r>
      </text>
    </comment>
    <comment ref="AX140" authorId="0" shapeId="0" xr:uid="{F4E3ED84-6F9F-4BB5-900D-4F2CA60C27A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palù-cembra 25 + 3x3,5km per l'aggiunta di ville a.s. 22/23</t>
        </r>
      </text>
    </comment>
    <comment ref="M154" authorId="0" shapeId="0" xr:uid="{F146A614-E4BD-4A1C-8699-ABC627FB6B1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4" authorId="0" shapeId="0" xr:uid="{6F16A13E-AAC9-4AEC-A236-7FD593EB107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4" authorId="0" shapeId="0" xr:uid="{F9A67350-98F4-4F89-A774-EA38006954C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5" authorId="0" shapeId="0" xr:uid="{75698964-B2FF-4D43-A4C7-79DA27E39C7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5" authorId="0" shapeId="0" xr:uid="{92CB91DF-7271-442E-B3B5-C578EA9BDF7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5" authorId="0" shapeId="0" xr:uid="{440E01DC-B176-41DA-A7F2-62746F9663C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6" authorId="0" shapeId="0" xr:uid="{85C21159-124D-4344-B655-00D58BA9E28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6" authorId="0" shapeId="0" xr:uid="{396204A5-D242-4B48-BA8B-D7AE523FBD5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6" authorId="0" shapeId="0" xr:uid="{F2D19CF9-7F01-4756-A790-CB3E46F002A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7" authorId="0" shapeId="0" xr:uid="{68E9E112-06C9-4032-A62C-2B0AED1356B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7" authorId="0" shapeId="0" xr:uid="{2CBF97EA-0C47-42C5-A3BA-30497677B4A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7" authorId="0" shapeId="0" xr:uid="{4CD3931D-4F8E-4420-9DD3-F9F587E5693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8" authorId="0" shapeId="0" xr:uid="{BF8DA237-9FB3-4741-B7B7-C8705BC7EF2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8" authorId="0" shapeId="0" xr:uid="{A980E245-37F6-4DD4-903C-6B18A4DCD97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8" authorId="0" shapeId="0" xr:uid="{16B49670-734F-40CD-9318-F0B965CC727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59" authorId="0" shapeId="0" xr:uid="{A771B7B1-7985-4EAC-9E48-46D5F751E6E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59" authorId="0" shapeId="0" xr:uid="{5AF3513B-A6A2-4F52-B97E-41CCB96E5FC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59" authorId="0" shapeId="0" xr:uid="{648E238A-CD59-4C35-9D84-97EA0B69478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0" authorId="0" shapeId="0" xr:uid="{D08E4BB7-C99B-4F9F-9E22-A2211046028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0" authorId="0" shapeId="0" xr:uid="{48F913AF-D023-45DE-8AC4-A8DAFEF513E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0" authorId="0" shapeId="0" xr:uid="{47A17BE8-5648-440E-B189-1F15E963260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1" authorId="0" shapeId="0" xr:uid="{EB21D5D0-59A9-41D7-8D10-D53A941FBC9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1" authorId="0" shapeId="0" xr:uid="{9628CEFC-98F7-47C5-A778-2F52E67B768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1" authorId="0" shapeId="0" xr:uid="{A1647B30-94F5-40D3-B4D8-4DD2DEB0753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M165" authorId="0" shapeId="0" xr:uid="{9A23A546-3259-4525-ABB3-25D1941E8F8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01/10/2022 Oscar svolge servizio al posto di Paolat</t>
        </r>
      </text>
    </comment>
    <comment ref="N165" authorId="0" shapeId="0" xr:uid="{6208282A-D28C-4AB8-A611-58F8D0625CD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P165" authorId="0" shapeId="0" xr:uid="{237731B3-2582-4160-8498-A0EF3D0B04C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ex Paolat - reimmatricolato Oscar Viaggi</t>
        </r>
      </text>
    </comment>
    <comment ref="J206" authorId="0" shapeId="0" xr:uid="{34BFA479-B7BD-4AF6-88D8-6863B8AB0E55}">
      <text>
        <r>
          <rPr>
            <b/>
            <sz val="9"/>
            <color indexed="81"/>
            <rFont val="Tahoma"/>
            <family val="2"/>
          </rPr>
          <t>LS: La corsa titolare e bis presente nel precedente appalto sono state unita in unica corsa con mezzo da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9" authorId="0" shapeId="0" xr:uid="{463AC058-8AD3-4AA8-878E-A2E28F067747}">
      <text>
        <r>
          <rPr>
            <b/>
            <sz val="9"/>
            <color indexed="81"/>
            <rFont val="Tahoma"/>
            <family val="2"/>
          </rPr>
          <t>LS: Corretto 50 posti, per maggior utenza.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0" authorId="0" shapeId="0" xr:uid="{BDF323CA-C275-426B-8C66-F4B45501E1A3}">
      <text>
        <r>
          <rPr>
            <b/>
            <sz val="9"/>
            <color indexed="81"/>
            <rFont val="Tahoma"/>
            <family val="2"/>
          </rPr>
          <t>LS: Unite corsa bis + titolare del precedente appalto in unica corsa con mezzo da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1" authorId="0" shapeId="0" xr:uid="{79FE887C-FCA1-48D1-A06E-87464D65574B}">
      <text>
        <r>
          <rPr>
            <b/>
            <sz val="9"/>
            <color indexed="81"/>
            <rFont val="Tahoma"/>
            <family val="2"/>
          </rPr>
          <t>LS: Lasciamo 20 posti ma va bene anche il mezzo 17 posti. In base all'utenza di sett. Valuteremo.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215" authorId="0" shapeId="0" xr:uid="{F5A7CF8D-A751-4424-B151-D98946102D6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non era presente nei conteggi</t>
        </r>
      </text>
    </comment>
    <comment ref="J234" authorId="0" shapeId="0" xr:uid="{F1EF7D6A-3A1F-4C8F-A4BC-04782362E275}">
      <text>
        <r>
          <rPr>
            <b/>
            <sz val="9"/>
            <color indexed="81"/>
            <rFont val="Tahoma"/>
            <family val="2"/>
          </rPr>
          <t>LS: ok 8p come nel precedente appalto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4" authorId="0" shapeId="0" xr:uid="{3410712C-520C-4813-98D1-1CAEB772AA5C}">
      <text>
        <r>
          <rPr>
            <b/>
            <sz val="9"/>
            <color indexed="81"/>
            <rFont val="Tahoma"/>
            <family val="2"/>
          </rPr>
          <t>LS: Era autorizzato un 9 posti ma anche nello scorso appalto era richiesto un 29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5" authorId="0" shapeId="0" xr:uid="{949DD67F-6939-4A29-9692-3257C1961949}">
      <text>
        <r>
          <rPr>
            <b/>
            <sz val="9"/>
            <color indexed="81"/>
            <rFont val="Tahoma"/>
            <family val="2"/>
          </rPr>
          <t>LS: Inserito mezzo uguale alla corsa n. 655 linea 124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61" authorId="0" shapeId="0" xr:uid="{62514ABA-567B-40FE-90AC-AF24BC85F49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km 37</t>
        </r>
      </text>
    </comment>
    <comment ref="N265" authorId="0" shapeId="0" xr:uid="{DC8680C8-5E88-4908-83B5-D2E8815D5D9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265" authorId="0" shapeId="0" xr:uid="{A9AC2C6E-1C0D-4831-BB31-CA76C73AB79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275" authorId="0" shapeId="0" xr:uid="{538625AE-20B5-4942-BBFD-3F7A83C73F8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275" authorId="0" shapeId="0" xr:uid="{D74E4030-6273-4572-AAE6-ED5177C0B0C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278" authorId="0" shapeId="0" xr:uid="{F18AEEAE-B903-45D1-92A1-798BB5F57B1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278" authorId="0" shapeId="0" xr:uid="{08984CAE-96C7-4B51-9A5C-E92A7067A20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281" authorId="0" shapeId="0" xr:uid="{41D0DDE4-B0EF-4C4E-9C68-D427FAE7993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281" authorId="0" shapeId="0" xr:uid="{0B39D24C-0A86-4C3B-8294-6F879DF893F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287" authorId="0" shapeId="0" xr:uid="{43CFDC3B-C674-4BD1-AE80-27EC8BCE8E7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287" authorId="0" shapeId="0" xr:uid="{386365B9-8D4A-489F-804C-2C71AFB4CB0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J293" authorId="0" shapeId="0" xr:uid="{D7B68812-575B-4602-8CA4-90AC0F23FC0C}">
      <text>
        <r>
          <rPr>
            <b/>
            <sz val="9"/>
            <color indexed="81"/>
            <rFont val="Tahoma"/>
            <family val="2"/>
          </rPr>
          <t>LS: Ok per il 17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307" authorId="0" shapeId="0" xr:uid="{301D186F-327A-4CD8-BD19-2C5EBD0D3A0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il 17/09 corsa sospesa per manifestazione ciclistica</t>
        </r>
      </text>
    </comment>
    <comment ref="BP310" authorId="0" shapeId="0" xr:uid="{AE611BE0-DD2C-4D76-829C-DE25E9A435B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il 17/09 corsa sospesa per manifestazione ciclistica</t>
        </r>
      </text>
    </comment>
    <comment ref="K322" authorId="0" shapeId="0" xr:uid="{0BEE77E8-73DF-4104-96DA-E0D94E6362B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cancellare perché già prevista nella riga 270</t>
        </r>
      </text>
    </comment>
    <comment ref="M346" authorId="0" shapeId="0" xr:uid="{86C05248-50FD-47C6-B4BD-4CB4873E404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ex servizio Sarcatour</t>
        </r>
      </text>
    </comment>
    <comment ref="H348" authorId="0" shapeId="0" xr:uid="{DE39A2C5-A395-40CB-ACD4-D3F18497F23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solo invernale
</t>
        </r>
      </text>
    </comment>
    <comment ref="BP353" authorId="0" shapeId="0" xr:uid="{CB155D81-BB57-4429-8EF7-4DBEA677C60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sopressa il 18/09 per manifestazione ciclistica
</t>
        </r>
      </text>
    </comment>
    <comment ref="BP356" authorId="0" shapeId="0" xr:uid="{17A529F9-1998-40C5-9039-6AD5DCAA6D5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sopressa il 18/09 per manifestazione ciclistica
</t>
        </r>
      </text>
    </comment>
    <comment ref="H372" authorId="0" shapeId="0" xr:uid="{B03B9F16-B770-482C-B0F2-F8E7C225F1D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post festiva + covid</t>
        </r>
      </text>
    </comment>
    <comment ref="J388" authorId="0" shapeId="0" xr:uid="{4BEEF3B2-7FC5-4CF8-9DAC-35D966BFF699}">
      <text>
        <r>
          <rPr>
            <b/>
            <sz val="9"/>
            <color indexed="81"/>
            <rFont val="Tahoma"/>
            <family val="2"/>
          </rPr>
          <t>LS: ok per il 22 posti., come previsto nello scorso appalto. Succ. valutiamo se è necessario il 50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8" authorId="0" shapeId="0" xr:uid="{EB8BEE8F-7178-4E06-B5D2-53DD483DDD42}">
      <text>
        <r>
          <rPr>
            <b/>
            <sz val="9"/>
            <color indexed="81"/>
            <rFont val="Tahoma"/>
            <family val="2"/>
          </rPr>
          <t>LS: ok per il 18 posti., come previsto nello scorso appalto. Succ. valutiamo se è necessario il 22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9" authorId="0" shapeId="0" xr:uid="{546537E2-E4B0-49B3-815B-0F0E011F935B}">
      <text>
        <r>
          <rPr>
            <b/>
            <sz val="9"/>
            <color indexed="81"/>
            <rFont val="Tahoma"/>
            <family val="2"/>
          </rPr>
          <t>LS: ok per il 28 posti., come previsto nello scorso appalto. Succ. valutiamo se è necessario il 44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01" authorId="0" shapeId="0" xr:uid="{1FF32857-6559-40F1-9C40-69C5DE1C819A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3" authorId="0" shapeId="0" xr:uid="{D0355D1C-4000-4B30-B10B-E588D79F5CF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contattare Fruner per il 2023</t>
        </r>
      </text>
    </comment>
    <comment ref="A404" authorId="0" shapeId="0" xr:uid="{12DBA604-AA43-42A2-B067-D5A16A47D1E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contattare Fruner per il 2023</t>
        </r>
      </text>
    </comment>
    <comment ref="AX410" authorId="0" shapeId="0" xr:uid="{D2AB1D13-BAA3-4B55-9E26-C44A8B30758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lu 37,80 x 33 gg ma,gio 80,87 x 68 gg</t>
        </r>
      </text>
    </comment>
    <comment ref="P415" authorId="0" shapeId="0" xr:uid="{C7A03599-6568-45A5-86F9-BAED8C96DF46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per a.s. 22/23 ancora valdio fino ad agosto '23</t>
        </r>
      </text>
    </comment>
    <comment ref="J416" authorId="0" shapeId="0" xr:uid="{2176C914-AB5A-4F6B-90F0-4077FCD5968B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8" authorId="0" shapeId="0" xr:uid="{DDAACF82-3AD7-4609-B760-77904525E501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419" authorId="0" shapeId="0" xr:uid="{1B09601B-3691-4936-AC45-36AC3DE603C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24 dal lunedì al giovedì - 12,60 il venerdì </t>
        </r>
      </text>
    </comment>
    <comment ref="N420" authorId="0" shapeId="0" xr:uid="{1E36A585-A8A1-478F-929C-15990CB42772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420" authorId="0" shapeId="0" xr:uid="{55A52888-58DA-4419-B8D8-E90933D22AE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421" authorId="0" shapeId="0" xr:uid="{8B45C9AD-14AF-4247-9756-805B96363FD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421" authorId="0" shapeId="0" xr:uid="{C2F81694-351B-4994-9C39-F8BF71063A74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N422" authorId="0" shapeId="0" xr:uid="{BD7F7C89-C4E1-4AA5-BC7E-DAA976CA7DA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R422" authorId="0" shapeId="0" xr:uid="{36612D1F-4C10-4B14-BD17-EE76BE48958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dicembre'22 che raggiunge i 13 anni</t>
        </r>
      </text>
    </comment>
    <comment ref="AX437" authorId="0" shapeId="0" xr:uid="{34114DFC-22D3-414E-B7D9-6519AA5FE4B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lu-gio 108 (3 €) ve 102,59 (2,85) </t>
        </r>
      </text>
    </comment>
    <comment ref="N448" authorId="0" shapeId="0" xr:uid="{DDEB0436-C9DE-4058-93FB-D7997697C9D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N451" authorId="0" shapeId="0" xr:uid="{B3E417D4-5D69-408D-9431-6ED14DFB5AA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AX459" authorId="0" shapeId="0" xr:uid="{A964A1F7-B79C-4357-8740-BE7E4B6270F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fisso 122,45 + 0,55xkm</t>
        </r>
      </text>
    </comment>
    <comment ref="G460" authorId="0" shapeId="0" xr:uid="{EC0533CC-6BA2-43AF-9195-33C12F45AE2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11/04 corsa svolta da Filippi nuovamente al posto di Tn Service - è stato aggiunto Storo a.s. 22/23</t>
        </r>
      </text>
    </comment>
    <comment ref="I460" authorId="0" shapeId="0" xr:uid="{AB9E7E26-FCB1-42FB-8ABD-CF1FF4C1D5AD}">
      <text>
        <r>
          <rPr>
            <b/>
            <sz val="9"/>
            <color indexed="81"/>
            <rFont val="Tahoma"/>
            <family val="2"/>
          </rPr>
          <t xml:space="preserve">Olimpia Kanellatu: 
</t>
        </r>
        <r>
          <rPr>
            <sz val="9"/>
            <color indexed="81"/>
            <rFont val="Tahoma"/>
            <family val="2"/>
          </rPr>
          <t>inseriti da TT 3,2 km in più per partenza da Storo invece di Ca' Rossa</t>
        </r>
      </text>
    </comment>
    <comment ref="R463" authorId="0" shapeId="0" xr:uid="{8345A2AD-3697-4826-B213-7F6D34FE7F3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per a.s. 22/23 ancora valdio fino ad agosto '23</t>
        </r>
      </text>
    </comment>
    <comment ref="AX467" authorId="0" shapeId="0" xr:uid="{B0162C84-F00C-450A-ACED-22440BD827B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fisso 122,45 + 0,55xkm</t>
        </r>
      </text>
    </comment>
    <comment ref="N472" authorId="0" shapeId="0" xr:uid="{DB1343BB-0B6A-480F-BFEF-FB8E0D96A8B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AX475" authorId="0" shapeId="0" xr:uid="{85D4B7A3-35D2-427B-B019-461FE1A78DA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lu,ma,gio 111 (3 €) me-ve 66,60 (1,80) portati a 3 euro
</t>
        </r>
      </text>
    </comment>
    <comment ref="AX476" authorId="0" shapeId="0" xr:uid="{EA574AAD-EDAA-4660-AF19-C7B09EC75A8F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servizio ex Grassi</t>
        </r>
      </text>
    </comment>
    <comment ref="N477" authorId="0" shapeId="0" xr:uid="{1E857AFA-2CFB-479B-9C78-3B690354E31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H483" authorId="0" shapeId="0" xr:uid="{19ABB7FE-3560-4C8D-AFD6-17186515F28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festiva estiva</t>
        </r>
      </text>
    </comment>
    <comment ref="AX483" authorId="0" shapeId="0" xr:uid="{30741248-0ABA-4B7D-9D47-D3442289678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trovata solo corsa di andata nei conteggi</t>
        </r>
      </text>
    </comment>
    <comment ref="AX484" authorId="0" shapeId="0" xr:uid="{EAF163D0-D480-4DA2-B3C7-D63AF7C8A471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servizio ex Grassi</t>
        </r>
      </text>
    </comment>
    <comment ref="N488" authorId="0" shapeId="0" xr:uid="{AE867C3D-C547-43A8-98B1-89001631CF4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AX492" authorId="0" shapeId="0" xr:uid="{26C452DE-C3F9-47DD-B7AD-635E56A55437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servizio ex Grassi</t>
        </r>
      </text>
    </comment>
    <comment ref="H500" authorId="0" shapeId="0" xr:uid="{1C2E393E-E800-4C16-9631-B6FC84A3883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INTRODOTTO SABATO</t>
        </r>
      </text>
    </comment>
    <comment ref="AX500" authorId="0" shapeId="0" xr:uid="{B21450F3-C7E3-49F7-BBB9-CF81FD69C23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nei conteggi ho trovato invernale dal lunedì al venerdì
</t>
        </r>
      </text>
    </comment>
    <comment ref="G502" authorId="0" shapeId="0" xr:uid="{CA409503-4461-4269-A8BD-4EC7296E387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fino a Spiazzo Rendena</t>
        </r>
      </text>
    </comment>
    <comment ref="I502" authorId="0" shapeId="0" xr:uid="{066C99B5-D132-4DCB-BF47-140316E8952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 km Vestone - Tione sono 54 - la corsa in capitolato arrivava fino a Spiazzo Rendenza con 9 km in più</t>
        </r>
      </text>
    </comment>
    <comment ref="J510" authorId="0" shapeId="0" xr:uid="{48D9CE02-8E93-49EC-ADE9-B5345530243B}">
      <text>
        <r>
          <rPr>
            <b/>
            <sz val="9"/>
            <color indexed="81"/>
            <rFont val="Tahoma"/>
            <family val="2"/>
          </rPr>
          <t xml:space="preserve">LS: ok per il 9 posti. Succ. valutiamo se necessario 16 posti.
</t>
        </r>
      </text>
    </comment>
    <comment ref="J511" authorId="0" shapeId="0" xr:uid="{1670480F-27B0-4496-ACC8-7F3B653C80E4}">
      <text>
        <r>
          <rPr>
            <b/>
            <sz val="9"/>
            <color indexed="81"/>
            <rFont val="Tahoma"/>
            <family val="2"/>
          </rPr>
          <t xml:space="preserve">LS: Capienza corretta non è più suddivisa tra periodo con e senza intensificazione.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14" authorId="0" shapeId="0" xr:uid="{0FBCCBF9-61BE-47D7-B2F9-819F752F370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N515" authorId="0" shapeId="0" xr:uid="{507D3E8A-F23D-46E4-8FC9-52FE4A952E9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novembre'22 che raggiunge i 13 anni</t>
        </r>
      </text>
    </comment>
    <comment ref="A517" authorId="0" shapeId="0" xr:uid="{D12F22B8-5A8C-47EC-B9D6-365F74F713E6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Riesumata: 
</t>
        </r>
        <r>
          <rPr>
            <b/>
            <sz val="9"/>
            <color indexed="81"/>
            <rFont val="Tahoma"/>
            <family val="2"/>
          </rPr>
          <t>L.S.:</t>
        </r>
        <r>
          <rPr>
            <sz val="9"/>
            <color indexed="81"/>
            <rFont val="Tahoma"/>
            <family val="2"/>
          </rPr>
          <t xml:space="preserve"> Modificato l'orario inizialmente previsto</t>
        </r>
      </text>
    </comment>
    <comment ref="H519" authorId="0" shapeId="0" xr:uid="{76BC3D8E-486A-4791-B688-46D0B96D108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 Festiva invernale
dal 1 dic a 31 marzo</t>
        </r>
      </text>
    </comment>
    <comment ref="P529" authorId="0" shapeId="0" xr:uid="{EA79745C-013A-4098-8AA5-AF5D9706851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530" authorId="0" shapeId="0" xr:uid="{E899E38D-9D69-430A-A652-BB6B46EF41F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H531" authorId="0" shapeId="0" xr:uid="{F5CAD5F1-9C78-403F-B035-FDB62647085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dal lunedì al sabato</t>
        </r>
      </text>
    </comment>
    <comment ref="G561" authorId="0" shapeId="0" xr:uid="{53B4942D-CFC1-4840-85E4-7C1817AE1FA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c'era scritto Luserna-Caldonazzo</t>
        </r>
      </text>
    </comment>
    <comment ref="I561" authorId="0" shapeId="0" xr:uid="{8C84BC13-93ED-4118-A011-2C5DDA62A74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19km</t>
        </r>
      </text>
    </comment>
    <comment ref="AX561" authorId="0" shapeId="0" xr:uid="{5E8F7D5E-C517-4D2A-89D4-1E4D82BEFAC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77,70 luserna - caldonazzo + 22,50 caldonazzo - pergine</t>
        </r>
      </text>
    </comment>
    <comment ref="M565" authorId="0" shapeId="0" xr:uid="{23F23724-CC66-4396-8160-769DBC3ADDA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richiesta a Italbus</t>
        </r>
      </text>
    </comment>
    <comment ref="P572" authorId="0" shapeId="0" xr:uid="{9104B00F-06DF-4051-B5B4-824034F68A6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P578" authorId="0" shapeId="0" xr:uid="{A0663A7C-93FF-45C5-92D0-F8397ADEEEF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fino a dicembre che raggiunge i 13 anni</t>
        </r>
      </text>
    </comment>
    <comment ref="P580" authorId="0" shapeId="0" xr:uid="{2C1BC984-85AA-484D-8A0D-2B32CB42DEC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J584" authorId="0" shapeId="0" xr:uid="{9C8044D1-7F09-44AD-B01F-64B2CA83E23D}">
      <text>
        <r>
          <rPr>
            <b/>
            <sz val="9"/>
            <color indexed="81"/>
            <rFont val="Tahoma"/>
            <family val="2"/>
          </rPr>
          <t>LS: ok per il 9 posti. Succ. valutiamo se necessario 14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586" authorId="0" shapeId="0" xr:uid="{0C7EAB32-5224-4678-9F00-CA90F2BAA9E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101,83 giovedì e 139,49 venerdì</t>
        </r>
      </text>
    </comment>
    <comment ref="AX591" authorId="0" shapeId="0" xr:uid="{D33E4BDD-2568-4B6E-8860-F27DC71A10B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101,92 dal lunedì al venerdì - 46,80 il sabato (1,80) portato a € 2,00= € 52,00</t>
        </r>
      </text>
    </comment>
    <comment ref="AX593" authorId="0" shapeId="0" xr:uid="{674E0EDB-B26A-427F-AEAA-761155AFE15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lu-gio 72,76 - venerdì 21,60 (1,80) portati a € 2,00 = € 24,00</t>
        </r>
      </text>
    </comment>
    <comment ref="P594" authorId="0" shapeId="0" xr:uid="{1A3876F2-E915-4730-B380-9CA9FC0D32F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P611" authorId="0" shapeId="0" xr:uid="{479361C6-B60E-46D6-8852-8005D2C9673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P614" authorId="0" shapeId="0" xr:uid="{2BE78950-F971-4341-9DB9-8B05EEAA1EC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P615" authorId="0" shapeId="0" xr:uid="{8C9B7548-FE17-4196-A44D-98D8B7338C0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 utilizzare dino a dicembre che raggiunge i 13 anni</t>
        </r>
      </text>
    </comment>
    <comment ref="H617" authorId="0" shapeId="0" xr:uid="{0C824298-3D0F-49BE-B053-87BCF0EA093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frequenza invernale e estiva
</t>
        </r>
      </text>
    </comment>
    <comment ref="K617" authorId="0" shapeId="0" xr:uid="{04B14D7B-DA9D-4318-936A-9D05BE0FD4E5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gg corretti 202 e non 252</t>
        </r>
      </text>
    </comment>
    <comment ref="AX634" authorId="0" shapeId="0" xr:uid="{44C71243-F586-4565-B561-50BAA88B7CB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36 (€ 3,00) ma ve 22,81 (€ 1,90) portato a € 2,00 ma e ve = € 24 (giorni 104)</t>
        </r>
      </text>
    </comment>
    <comment ref="AX635" authorId="0" shapeId="0" xr:uid="{B546ECE0-575F-4261-B87E-D49FDCECCE0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36 (€ 3,00) ma ve 22,81 (€ 1,90) portato a € 2,00 ma e ve = € 24 (giorni 104)</t>
        </r>
      </text>
    </comment>
    <comment ref="AX636" authorId="0" shapeId="0" xr:uid="{AC548799-5A75-4AE4-A0D6-EAE886CC6FF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45 (€ 3,00) ma ve 28,52 (€ 1,90) portato a € 2,00 ma e ve = € 30 (giorni 104)</t>
        </r>
      </text>
    </comment>
    <comment ref="AX637" authorId="0" shapeId="0" xr:uid="{2F418E6A-7315-48CF-B365-22887A24E5E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45 (€ 3,00) ma ve 28,52 (€ 1,90) portato a € 2,00 ma e ve = € 30 (giorni 104)</t>
        </r>
      </text>
    </comment>
    <comment ref="AX638" authorId="0" shapeId="0" xr:uid="{9FD94749-50F3-40F0-9782-1EDBB2C546C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36 (€ 3,00) ma ve 22,81 (€ 1,90) portato a € 2,00 ma e ve = € 24 (giorni 104)</t>
        </r>
      </text>
    </comment>
    <comment ref="AX639" authorId="0" shapeId="0" xr:uid="{A4161497-D401-4426-B2D9-8E31C061139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36 (€ 3,00) ma ve 22,81 (€ 1,90) portato a € 2,00 ma e ve = € 24 (giorni 104)</t>
        </r>
      </text>
    </comment>
    <comment ref="AX640" authorId="0" shapeId="0" xr:uid="{7D84B102-A220-409D-AB61-16A65185ED6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45 (€ 3,00) ma ve 28,52 (€ 1,90) portato a € 2,00 ma e ve = € 30 (giorni 104)</t>
        </r>
      </text>
    </comment>
    <comment ref="AX641" authorId="0" shapeId="0" xr:uid="{D3BA66FD-DD70-46DA-B224-9AFFEAD47BE4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 45 (€ 3,00) ma ve 28,52 (€ 1,90) portato a € 2,00 ma e ve = € 30 (giorni 104)</t>
        </r>
      </text>
    </comment>
    <comment ref="M643" authorId="0" shapeId="0" xr:uid="{BFDB6058-7AF8-484A-9F61-00B5F914C4B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ex Busmania
</t>
        </r>
      </text>
    </comment>
    <comment ref="R643" authorId="0" shapeId="0" xr:uid="{056FB008-DE07-466A-B2E1-C85A591C7BC9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R644" authorId="0" shapeId="0" xr:uid="{946CE6CD-C3FE-481F-86D6-AE9BC0D94130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J645" authorId="0" shapeId="0" xr:uid="{F9A2D671-E1BC-41A4-9554-FE76156AB949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45" authorId="0" shapeId="0" xr:uid="{33699F1D-6981-474A-AA28-58FE757AC4B2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R647" authorId="0" shapeId="0" xr:uid="{3C0DEA03-D72E-4327-B2DC-7F381134726F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J648" authorId="0" shapeId="0" xr:uid="{3222AAE1-5C28-4CE0-B405-B278E05315A1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48" authorId="0" shapeId="0" xr:uid="{CF50888C-5BA8-4EB9-864D-5F047929F178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M649" authorId="0" shapeId="0" xr:uid="{77AD8417-2E17-4FA3-93C5-90DB68E42B9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ex Busmania
</t>
        </r>
      </text>
    </comment>
    <comment ref="R649" authorId="0" shapeId="0" xr:uid="{8A565990-6130-4886-8AC9-5F597A2CB0AA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R650" authorId="0" shapeId="0" xr:uid="{F04E29D8-8119-49D5-BC5F-18732D19E54E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R651" authorId="0" shapeId="0" xr:uid="{2B23DA64-FEC7-43AE-80ED-2B50C59F1B92}">
      <text>
        <r>
          <rPr>
            <b/>
            <sz val="9"/>
            <color indexed="81"/>
            <rFont val="Tahoma"/>
            <family val="2"/>
          </rPr>
          <t xml:space="preserve">Olimpia Kanellatu:
</t>
        </r>
        <r>
          <rPr>
            <sz val="9"/>
            <color indexed="81"/>
            <rFont val="Tahoma"/>
            <family val="2"/>
          </rPr>
          <t xml:space="preserve">mezzo utilizzabile a.s. 22/23 fino a compimento 13° anno
</t>
        </r>
      </text>
    </comment>
    <comment ref="P652" authorId="0" shapeId="0" xr:uid="{B72A7E25-7377-456E-A140-4AFC60E7B0E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I653" authorId="0" shapeId="0" xr:uid="{B6C4516E-207B-40D7-A8A4-E8B17C14AD0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10 km</t>
        </r>
      </text>
    </comment>
    <comment ref="P653" authorId="0" shapeId="0" xr:uid="{6031B749-014B-4505-AA20-2B544E2EC77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4" authorId="0" shapeId="0" xr:uid="{706A2693-6BF4-4936-BD47-95C2597F746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5" authorId="0" shapeId="0" xr:uid="{44853454-DC7F-47B9-AA47-241A146A437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6" authorId="0" shapeId="0" xr:uid="{362EB503-A294-46CE-91AC-DF00870E718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7" authorId="0" shapeId="0" xr:uid="{D9B4EFAE-CC0A-41F7-A26E-8E20EF7C712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8" authorId="0" shapeId="0" xr:uid="{20361F5B-78AB-4CF1-93A6-C96F9CB23BF4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59" authorId="0" shapeId="0" xr:uid="{0CF3A004-361E-4447-A58A-0CAD663353AC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0" authorId="0" shapeId="0" xr:uid="{DE17E97A-B522-434A-AE18-18A48B5A2334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1" authorId="0" shapeId="0" xr:uid="{9173E505-8E57-4FAF-83BB-2153BF485C3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2" authorId="0" shapeId="0" xr:uid="{0D2FF099-874D-48FF-AE7E-FBE14521C83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3" authorId="0" shapeId="0" xr:uid="{B90FBF22-5958-4C55-9462-DA50552BD28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4" authorId="0" shapeId="0" xr:uid="{AB7CC9FF-5691-49CE-9C68-97EE34DAB5B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5" authorId="0" shapeId="0" xr:uid="{99360BC8-87D9-4290-8604-3E9371AED75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I666" authorId="0" shapeId="0" xr:uid="{645D6D96-6D7D-4828-BC15-7A340C1F3B5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10 km</t>
        </r>
      </text>
    </comment>
    <comment ref="P666" authorId="0" shapeId="0" xr:uid="{5C7994B2-322B-4B7D-A2E2-1735886DEE5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7" authorId="0" shapeId="0" xr:uid="{52939BE8-3AB9-40D7-934A-44F1FCB4969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69" authorId="0" shapeId="0" xr:uid="{89035960-ED55-4555-A57D-31D8BB3D388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70" authorId="0" shapeId="0" xr:uid="{6FB0B4EE-330F-440C-B9DD-2ACB643D76B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J671" authorId="0" shapeId="0" xr:uid="{DEFD4CE7-0032-4F81-BB9E-E84C61140C48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71" authorId="0" shapeId="0" xr:uid="{E401AF53-DF40-4975-A80B-690254DAC1E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J672" authorId="0" shapeId="0" xr:uid="{ACD382D0-D0DC-41F6-884B-A5F9BAE613ED}">
      <text>
        <r>
          <rPr>
            <b/>
            <sz val="9"/>
            <color indexed="81"/>
            <rFont val="Tahoma"/>
            <family val="2"/>
          </rPr>
          <t>LS: Ok per il 24 posti in caso valutiamo più avanti se è necessario il 29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672" authorId="0" shapeId="0" xr:uid="{7BD34B62-9D4D-4C33-98F4-FBDFCED3155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75" authorId="0" shapeId="0" xr:uid="{9E365812-B5F4-463C-B280-EC8C73C13850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P676" authorId="0" shapeId="0" xr:uid="{95EE7497-939F-412E-A205-80CD0086668B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mezzo utilizzabile a.s. 22/23 fino a compimento 13° anno</t>
        </r>
      </text>
    </comment>
    <comment ref="N677" authorId="0" shapeId="0" xr:uid="{E79155BF-7BBA-4BCD-9296-7D68BEE74BB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il mezzo può essere utilizzato in appalto fino a novembre 2022 che raggiunge i 12 anni</t>
        </r>
      </text>
    </comment>
    <comment ref="N678" authorId="0" shapeId="0" xr:uid="{6A8A3370-C4CB-4D18-812A-B10970FD595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il mezzo può essere utilizzato in appalto fino a novembre 2022 che raggiunge i 12 anni</t>
        </r>
      </text>
    </comment>
    <comment ref="J687" authorId="0" shapeId="0" xr:uid="{A09A70E6-7A92-45E8-AA29-5854160DAA1D}">
      <text>
        <r>
          <rPr>
            <b/>
            <sz val="9"/>
            <color indexed="81"/>
            <rFont val="Tahoma"/>
            <family val="2"/>
          </rPr>
          <t>LS: Ok per il 16 posti in caso valutiamo più avanti se è necessario il 22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88" authorId="0" shapeId="0" xr:uid="{DF076792-87F3-4794-BCE8-3E5760F25CE8}">
      <text>
        <r>
          <rPr>
            <b/>
            <sz val="9"/>
            <color indexed="81"/>
            <rFont val="Tahoma"/>
            <family val="2"/>
          </rPr>
          <t>LS: Ok per il 16 posti in caso valutiamo più avanti se è necessario il 22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699" authorId="0" shapeId="0" xr:uid="{0AEE794B-EA14-4611-A102-5F2CFF4A8AC3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il mezzo può essere utilizzato in appalto fino a novembre 2022 che raggiunge i 12 anni</t>
        </r>
      </text>
    </comment>
    <comment ref="H717" authorId="0" shapeId="0" xr:uid="{12E4CD40-9124-4488-8504-5011A4C473A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invernale feriale</t>
        </r>
      </text>
    </comment>
    <comment ref="J721" authorId="0" shapeId="0" xr:uid="{06F02C40-828F-4706-92E4-91CB5E8938D6}">
      <text>
        <r>
          <rPr>
            <b/>
            <sz val="9"/>
            <color indexed="81"/>
            <rFont val="Tahoma"/>
            <family val="2"/>
          </rPr>
          <t>LS: Ok per il 9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23" authorId="0" shapeId="0" xr:uid="{089A9E92-9AE7-4D6D-BCC4-2CCDD6FA444C}">
      <text>
        <r>
          <rPr>
            <b/>
            <sz val="9"/>
            <color indexed="81"/>
            <rFont val="Tahoma"/>
            <family val="2"/>
          </rPr>
          <t>LS: Ok per il 9 posti in caso valutiamo più avanti se è necessario il 19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738" authorId="0" shapeId="0" xr:uid="{015668B8-9D38-4F7F-BDFB-28F7A8E6966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me-gio 25,20 x 69gg lu-me-ve 35 x 105 gg</t>
        </r>
      </text>
    </comment>
    <comment ref="J762" authorId="0" shapeId="0" xr:uid="{5110EB4D-47C8-4C7D-A175-15820DEC9310}">
      <text>
        <r>
          <rPr>
            <b/>
            <sz val="9"/>
            <color indexed="81"/>
            <rFont val="Tahoma"/>
            <family val="2"/>
          </rPr>
          <t>LS: Ok 9 posti per la tratta Cavedago-Andalo. Successivamente valutiamo se utilizzare il 50 posti</t>
        </r>
      </text>
    </comment>
    <comment ref="J770" authorId="0" shapeId="0" xr:uid="{67AF4057-A07F-4DD7-8837-A5C1A2210A42}">
      <text>
        <r>
          <rPr>
            <b/>
            <sz val="9"/>
            <color indexed="81"/>
            <rFont val="Tahoma"/>
            <family val="2"/>
          </rPr>
          <t>LS: Ok per il 45 posti in caso valutiamo più avanti se è necessario il 50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77" authorId="0" shapeId="0" xr:uid="{02628B71-84C8-4A46-A603-D1AA5E061E7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12 km - si compensa con la 511</t>
        </r>
      </text>
    </comment>
    <comment ref="I778" authorId="0" shapeId="0" xr:uid="{DEC349B5-23A2-45A3-A212-B07B18AE66B6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10 km - si compensa con la 510</t>
        </r>
      </text>
    </comment>
    <comment ref="I780" authorId="0" shapeId="0" xr:uid="{A13CAE3C-2D0E-4D25-AF9C-AE3C9CBEBD09}">
      <text>
        <r>
          <rPr>
            <b/>
            <sz val="9"/>
            <color indexed="81"/>
            <rFont val="Tahoma"/>
            <family val="2"/>
          </rPr>
          <t>LS: Vericherò con il controllore se è ancora necessario terminare a Raut visto che comunque passiamo da bivio Raut per arrivare a Toss. I km sono corretti se termina a Toss (altrim. 10,6km)</t>
        </r>
      </text>
    </comment>
    <comment ref="J792" authorId="0" shapeId="0" xr:uid="{2B782850-BCF5-4148-8D0B-83EBF7B279A2}">
      <text>
        <r>
          <rPr>
            <b/>
            <sz val="9"/>
            <color indexed="81"/>
            <rFont val="Tahoma"/>
            <family val="2"/>
          </rPr>
          <t>LS: Ok per il 20 posti in caso valutiamo più avanti se è necessario il 30 posti.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00" authorId="1" shapeId="0" xr:uid="{E0F18979-D08E-4DA9-BFC3-EC166FDBFB29}">
      <text>
        <r>
          <rPr>
            <b/>
            <sz val="9"/>
            <color indexed="81"/>
            <rFont val="Tahoma"/>
            <family val="2"/>
          </rPr>
          <t>Demattè Adriano:</t>
        </r>
        <r>
          <rPr>
            <sz val="9"/>
            <color indexed="81"/>
            <rFont val="Tahoma"/>
            <family val="2"/>
          </rPr>
          <t xml:space="preserve">
era 11,4</t>
        </r>
      </text>
    </comment>
    <comment ref="J845" authorId="0" shapeId="0" xr:uid="{3EEC77AA-64E1-47E6-9B79-97FE49F7215B}">
      <text>
        <r>
          <rPr>
            <b/>
            <sz val="9"/>
            <color indexed="81"/>
            <rFont val="Tahoma"/>
            <family val="2"/>
          </rPr>
          <t>LS: Ok 20. Succ. valutiamo se è necessario utilizzare 40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X845" authorId="0" shapeId="0" xr:uid="{684ECEB9-1E75-49A0-AA5E-F82320228C0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96,49+34,92 x il bis</t>
        </r>
      </text>
    </comment>
    <comment ref="H853" authorId="0" shapeId="0" xr:uid="{5184CBF4-DB1E-4CE5-BB34-D09E0F3AA922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scolastica solo martedì</t>
        </r>
      </text>
    </comment>
    <comment ref="H858" authorId="0" shapeId="0" xr:uid="{572EAD4E-B9C1-4103-97E8-82144D4A470D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feriale invernale estivo
</t>
        </r>
      </text>
    </comment>
    <comment ref="J860" authorId="0" shapeId="0" xr:uid="{0536C4CE-3840-4F6A-B7E7-20832E95E511}">
      <text>
        <r>
          <rPr>
            <b/>
            <sz val="9"/>
            <color indexed="81"/>
            <rFont val="Tahoma"/>
            <family val="2"/>
          </rPr>
          <t>LS: Ok utilizzare mezzo con capienza ridotto. Succ. valutiamo se è necessario il 50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62" authorId="0" shapeId="0" xr:uid="{2D18F57B-3BAD-49DD-98C1-E79C6F8AF03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feriale invernale estivo
</t>
        </r>
      </text>
    </comment>
    <comment ref="J863" authorId="0" shapeId="0" xr:uid="{BF511B2B-9379-4BE3-A22F-6A386D0945E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anno scorso svolto con due mezzi - il 2° mezzo non serve (email TT 08/08/2022)</t>
        </r>
      </text>
    </comment>
    <comment ref="J865" authorId="0" shapeId="0" xr:uid="{DC12AD5C-4407-4B1A-9CAE-24C3955A714F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2 mezzi (email TT 08/08/22)</t>
        </r>
      </text>
    </comment>
    <comment ref="BP885" authorId="0" shapeId="0" xr:uid="{08994809-6C25-40CE-81AD-A60DAE4B461E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turno a giornata dal 12/09</t>
        </r>
      </text>
    </comment>
    <comment ref="BQ885" authorId="0" shapeId="0" xr:uid="{5762CA83-8DDD-4213-9818-5D724BF0DBB6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turno a giornata dal 12/09</t>
        </r>
      </text>
    </comment>
    <comment ref="BP886" authorId="0" shapeId="0" xr:uid="{911B53B9-485A-4FF2-BEA7-F1EA3A50BF62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turni alternati fino al 10/09</t>
        </r>
      </text>
    </comment>
    <comment ref="K887" authorId="1" shapeId="0" xr:uid="{491B1045-B78A-42BA-AD32-C6E0F4D3BAB5}">
      <text>
        <r>
          <rPr>
            <b/>
            <sz val="9"/>
            <color indexed="81"/>
            <rFont val="Tahoma"/>
            <family val="2"/>
          </rPr>
          <t>Demattè Adriano:</t>
        </r>
        <r>
          <rPr>
            <sz val="9"/>
            <color indexed="81"/>
            <rFont val="Tahoma"/>
            <family val="2"/>
          </rPr>
          <t xml:space="preserve">
Nel 2021 non lavorato con questa frequenza</t>
        </r>
      </text>
    </comment>
    <comment ref="BP887" authorId="0" shapeId="0" xr:uid="{E1258400-887F-4F96-ACD4-B185DE15FDDB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turni alternati fino al 10/09</t>
        </r>
      </text>
    </comment>
    <comment ref="BP888" authorId="0" shapeId="0" xr:uid="{AFD4FEF5-8F57-4859-81BE-8D4CEEC716C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turno a giornata dal 12/09</t>
        </r>
      </text>
    </comment>
    <comment ref="BQ888" authorId="0" shapeId="0" xr:uid="{E563D17F-4AD2-4959-9D3A-A856A253E1D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turno a giornata dal 12/09</t>
        </r>
      </text>
    </comment>
    <comment ref="BP890" authorId="0" shapeId="0" xr:uid="{08A22D7E-87C1-4193-AC69-51AFD04E860F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turno a giornata dal 12/09</t>
        </r>
      </text>
    </comment>
    <comment ref="BQ890" authorId="0" shapeId="0" xr:uid="{180D051A-CA21-41A7-9841-08A817BFB678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turno a giornata dal 12/09</t>
        </r>
      </text>
    </comment>
    <comment ref="BP891" authorId="0" shapeId="0" xr:uid="{C1A845F4-6CF4-471B-9339-20B8A3E258C8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turni alternati fino al 10/09</t>
        </r>
      </text>
    </comment>
    <comment ref="K895" authorId="1" shapeId="0" xr:uid="{8FE42A7F-8B14-4466-A331-3BA311563CB1}">
      <text>
        <r>
          <rPr>
            <b/>
            <sz val="9"/>
            <color indexed="81"/>
            <rFont val="Tahoma"/>
            <family val="2"/>
          </rPr>
          <t xml:space="preserve">Demattè Adriano:
</t>
        </r>
        <r>
          <rPr>
            <sz val="9"/>
            <color indexed="81"/>
            <rFont val="Tahoma"/>
            <family val="2"/>
          </rPr>
          <t>c.sa periodica (usati gg. 2021)</t>
        </r>
      </text>
    </comment>
    <comment ref="BP895" authorId="0" shapeId="0" xr:uid="{9C7B0C91-9DD5-4B0B-966A-21E765773D04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turno a giornata dal 12/09</t>
        </r>
      </text>
    </comment>
    <comment ref="BQ895" authorId="0" shapeId="0" xr:uid="{9529CAFA-031B-40D3-8078-D93B4D9BF379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turno a giornata dal 12/09</t>
        </r>
      </text>
    </comment>
    <comment ref="I896" authorId="0" shapeId="0" xr:uid="{77C4D1A6-ABBA-413B-AE60-A01BA4A6A63A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in capitolato erano 17,50</t>
        </r>
      </text>
    </comment>
    <comment ref="J907" authorId="0" shapeId="0" xr:uid="{95348797-B00F-4A14-BB0A-B225391D7731}">
      <text>
        <r>
          <rPr>
            <b/>
            <sz val="9"/>
            <color indexed="81"/>
            <rFont val="Tahoma"/>
            <family val="2"/>
          </rPr>
          <t>LS: Ok 16 posti. Succ. valutiamo se è necessario i 19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08" authorId="0" shapeId="0" xr:uid="{A3B20F86-9602-4843-B2DC-71ED2BDA260D}">
      <text>
        <r>
          <rPr>
            <b/>
            <sz val="9"/>
            <color indexed="81"/>
            <rFont val="Tahoma"/>
            <family val="2"/>
          </rPr>
          <t>LS: Ok 9 posti. Succ. valutiamo se è necessario i 15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10" authorId="2" shapeId="0" xr:uid="{0BAF1141-2ABA-4DBC-A337-856579DC5411}">
      <text>
        <r>
          <rPr>
            <sz val="8"/>
            <color indexed="81"/>
            <rFont val="Tahoma"/>
            <family val="2"/>
          </rPr>
          <t xml:space="preserve">la titolarità del mezzo è soggetta a variazione in base al numero degli alunni sui servizi speciali come l'anno scorso
</t>
        </r>
        <r>
          <rPr>
            <b/>
            <sz val="8"/>
            <color indexed="81"/>
            <rFont val="Tahoma"/>
            <family val="2"/>
          </rPr>
          <t>LS: Ok 9 posti. Succ. valutiamo se è necessario i 15 posti</t>
        </r>
      </text>
    </comment>
    <comment ref="J934" authorId="0" shapeId="0" xr:uid="{86A89E4C-7AE1-44F9-9D1F-5C63EA8E20D9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35" authorId="0" shapeId="0" xr:uid="{95D7C603-10B9-4D5F-B045-06C9AA52A31A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36" authorId="0" shapeId="0" xr:uid="{17BB95E2-CBA8-4325-ABC7-6BD3A560AFD2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940" authorId="0" shapeId="0" xr:uid="{A7BB5729-535F-48C5-8FAB-E5407FCC45F7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era dal lunedì al sabato</t>
        </r>
      </text>
    </comment>
    <comment ref="J941" authorId="0" shapeId="0" xr:uid="{8C8FA8AC-6AF1-457B-84E3-CBA13E78C024}">
      <text>
        <r>
          <rPr>
            <b/>
            <sz val="9"/>
            <color indexed="81"/>
            <rFont val="Tahoma"/>
            <family val="2"/>
          </rPr>
          <t>LS: Ok 9 posti. Succ. valutiamo se è necessario i 16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945" authorId="0" shapeId="0" xr:uid="{ACF4CDA5-83B5-4810-ABBD-D2DAB673B2D6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tariffa concordata con direzione</t>
        </r>
      </text>
    </comment>
    <comment ref="BQ947" authorId="0" shapeId="0" xr:uid="{40ABEB1C-EA97-4BA2-8BAB-B5A482BC3EB4}">
      <text>
        <r>
          <rPr>
            <b/>
            <sz val="9"/>
            <color indexed="81"/>
            <rFont val="Tahoma"/>
            <charset val="1"/>
          </rPr>
          <t>Olimpia Kanellatu:</t>
        </r>
        <r>
          <rPr>
            <sz val="9"/>
            <color indexed="81"/>
            <rFont val="Tahoma"/>
            <charset val="1"/>
          </rPr>
          <t xml:space="preserve">
venerdì 28/10 sostituito da giovedì 27/10</t>
        </r>
      </text>
    </comment>
    <comment ref="J950" authorId="0" shapeId="0" xr:uid="{7BE2D376-23F2-4E91-A79F-6BC6C89DF7A6}">
      <text>
        <r>
          <rPr>
            <b/>
            <sz val="9"/>
            <color indexed="81"/>
            <rFont val="Tahoma"/>
            <family val="2"/>
          </rPr>
          <t>LS: ok per il 9 posti., come previsto nello scorso appalto. Succ. valutiamo se è necessario il 20 posti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52" authorId="0" shapeId="0" xr:uid="{5DA057D2-9D6A-4750-AD5B-6EE052593B71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dal 11/04 corsa svolta da Filippi nuovamente al posto di Tn Service - è stato aggiunto Storo a.s. 22/23</t>
        </r>
      </text>
    </comment>
    <comment ref="I952" authorId="0" shapeId="0" xr:uid="{A077C8AA-9243-43CB-A36D-6F1349C7B3B8}">
      <text>
        <r>
          <rPr>
            <b/>
            <sz val="9"/>
            <color indexed="81"/>
            <rFont val="Tahoma"/>
            <family val="2"/>
          </rPr>
          <t xml:space="preserve">Olimpia Kanellatu: 
</t>
        </r>
        <r>
          <rPr>
            <sz val="9"/>
            <color indexed="81"/>
            <rFont val="Tahoma"/>
            <family val="2"/>
          </rPr>
          <t>inseriti da TT 3,2 km in più per partenza da Storo invece di Ca' Rossa</t>
        </r>
      </text>
    </comment>
    <comment ref="AZ953" authorId="0" shapeId="0" xr:uid="{B526140A-154C-41CE-BDF3-59F1512BB97E}">
      <text>
        <r>
          <rPr>
            <b/>
            <sz val="9"/>
            <color indexed="81"/>
            <rFont val="Tahoma"/>
            <family val="2"/>
          </rPr>
          <t>Olimpia Kanellatu:</t>
        </r>
        <r>
          <rPr>
            <sz val="9"/>
            <color indexed="81"/>
            <rFont val="Tahoma"/>
            <family val="2"/>
          </rPr>
          <t xml:space="preserve">
prezzo concordato con la direzione</t>
        </r>
      </text>
    </comment>
    <comment ref="J955" authorId="0" shapeId="0" xr:uid="{D729F814-6555-4A1B-B1AC-1F7389E60A70}">
      <text>
        <r>
          <rPr>
            <b/>
            <sz val="9"/>
            <color indexed="81"/>
            <rFont val="Tahoma"/>
            <family val="2"/>
          </rPr>
          <t>LS: ok per il 28 posti., come previsto nello scorso appalto. Succ. valutiamo se è necessario il 44 posti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<sst xmlns="http://schemas.openxmlformats.org/spreadsheetml/2006/main" count="15350" uniqueCount="1965">
  <si>
    <t>note appalto</t>
  </si>
  <si>
    <t>n° righe capitolato: 928</t>
  </si>
  <si>
    <t>Linea</t>
  </si>
  <si>
    <t>n.
corsa</t>
  </si>
  <si>
    <t>ora part.</t>
  </si>
  <si>
    <t>ora arr.</t>
  </si>
  <si>
    <t>percorso</t>
  </si>
  <si>
    <t xml:space="preserve">frequenza </t>
  </si>
  <si>
    <t>Km  corsa/servizio</t>
  </si>
  <si>
    <t>Posti autobus</t>
  </si>
  <si>
    <t>nr. gg</t>
  </si>
  <si>
    <t>Tot km</t>
  </si>
  <si>
    <t>DITTA</t>
  </si>
  <si>
    <t>MEZZO TITOLARE</t>
  </si>
  <si>
    <t>posti mezzo titolare</t>
  </si>
  <si>
    <t>MEZZO DI RISERVA 1</t>
  </si>
  <si>
    <t>posti mezzo di riserva 1</t>
  </si>
  <si>
    <t xml:space="preserve">MEZZO DI RISERVA 2 </t>
  </si>
  <si>
    <t>posti mezzo di riserva 2</t>
  </si>
  <si>
    <t>Cod. Fermata Partenza</t>
  </si>
  <si>
    <t>FERMATA PARTENZA</t>
  </si>
  <si>
    <t>Cod. Fermata Arrivo</t>
  </si>
  <si>
    <t>FERMATA ARRIVO</t>
  </si>
  <si>
    <t>data inizio</t>
  </si>
  <si>
    <t>data fine</t>
  </si>
  <si>
    <t>data inizio 1</t>
  </si>
  <si>
    <t>data fine 1</t>
  </si>
  <si>
    <t>frequenza</t>
  </si>
  <si>
    <t>controllo variazioni tempi/km</t>
  </si>
  <si>
    <t>inverno</t>
  </si>
  <si>
    <t>estate</t>
  </si>
  <si>
    <t>fer</t>
  </si>
  <si>
    <t>scol</t>
  </si>
  <si>
    <t>lun</t>
  </si>
  <si>
    <t>mart</t>
  </si>
  <si>
    <t>merc</t>
  </si>
  <si>
    <t>giov</t>
  </si>
  <si>
    <t>ven</t>
  </si>
  <si>
    <t>sab</t>
  </si>
  <si>
    <t>fest</t>
  </si>
  <si>
    <t>postfest</t>
  </si>
  <si>
    <t>no postfest</t>
  </si>
  <si>
    <t>prefest</t>
  </si>
  <si>
    <t>non scol lun</t>
  </si>
  <si>
    <t>non scol mart</t>
  </si>
  <si>
    <t>non scol merc</t>
  </si>
  <si>
    <t>non scol giov</t>
  </si>
  <si>
    <t>non scol ven</t>
  </si>
  <si>
    <t>non scol sab</t>
  </si>
  <si>
    <t>COSTO CTA ex lotto 1</t>
  </si>
  <si>
    <t>COSTO CTA ex lotto 2</t>
  </si>
  <si>
    <t>COSTO CTA NUOVA</t>
  </si>
  <si>
    <t>forfait ex lotto 2</t>
  </si>
  <si>
    <t>forfait Giudicarie estivo</t>
  </si>
  <si>
    <t>integrazione</t>
  </si>
  <si>
    <t>costo annuo ex lotto 1</t>
  </si>
  <si>
    <t>costo annuo ex lotto 2</t>
  </si>
  <si>
    <t>costo annuo corse nuove</t>
  </si>
  <si>
    <t>fascia capienza mezzi</t>
  </si>
  <si>
    <t>AUMENTO € 2,00 9-35 POSTI ex lotto1</t>
  </si>
  <si>
    <t>AUMENTO € 3,00 36-60 POSTI ex lotto1</t>
  </si>
  <si>
    <t>AUMENTO diversificato ex lotto1 ANNUO</t>
  </si>
  <si>
    <t>AUMENTO € 2,00 9-35 POSTI ex lotto2</t>
  </si>
  <si>
    <t>AUMENTO € 3,00 36-60 POSTI ex lotto2</t>
  </si>
  <si>
    <t>AUMENTO diversificato ex lotto2 ANNUO</t>
  </si>
  <si>
    <t>Integrazione 20 euro &lt;7:00</t>
  </si>
  <si>
    <t>Integrazione ANNUA 20 euro &lt;7:00</t>
  </si>
  <si>
    <t>giorni settembre 2022</t>
  </si>
  <si>
    <t>giorni ottobre 2022</t>
  </si>
  <si>
    <t>giorni novembre 2022</t>
  </si>
  <si>
    <t>giorni dicembre 2022</t>
  </si>
  <si>
    <t>costo/corsa</t>
  </si>
  <si>
    <t>frequenza forfait / integrazioni</t>
  </si>
  <si>
    <t>gg forfait / integrazioni sett'22</t>
  </si>
  <si>
    <t>gg forfait / integrazioni ott'22</t>
  </si>
  <si>
    <t>costo forfait / integrazioni</t>
  </si>
  <si>
    <t>INTEGRAZIONE SOSTITUZIONI</t>
  </si>
  <si>
    <t>verifica imponibile settembre'22</t>
  </si>
  <si>
    <t>verifica imponibile ottobre'22</t>
  </si>
  <si>
    <t>Moena - Falcade</t>
  </si>
  <si>
    <t>Estiva
lunedì-sabato</t>
  </si>
  <si>
    <t>50</t>
  </si>
  <si>
    <t>DESILVESTRO TAXI E VIAGGI SRL</t>
  </si>
  <si>
    <t>FW757WP</t>
  </si>
  <si>
    <t xml:space="preserve">FZ047KX GC807JF
</t>
  </si>
  <si>
    <t>23+20</t>
  </si>
  <si>
    <t xml:space="preserve">  1250AT</t>
  </si>
  <si>
    <t xml:space="preserve">Moena (Albergo Trentino)     </t>
  </si>
  <si>
    <t xml:space="preserve">FALCADE                      </t>
  </si>
  <si>
    <t>estiva feriale lu-sa</t>
  </si>
  <si>
    <t>x</t>
  </si>
  <si>
    <t>Mezzolombardo-Roverè della Luna</t>
  </si>
  <si>
    <t xml:space="preserve">estiva
sabato </t>
  </si>
  <si>
    <t>19</t>
  </si>
  <si>
    <t>OSCAR VIAGGI DI FORMOLO OSCAR</t>
  </si>
  <si>
    <t>GC466NL</t>
  </si>
  <si>
    <t>FP254BC</t>
  </si>
  <si>
    <t>GJ181FP</t>
  </si>
  <si>
    <t xml:space="preserve">  MEZZOLOMBARDO                </t>
  </si>
  <si>
    <t xml:space="preserve">  6113AD</t>
  </si>
  <si>
    <t xml:space="preserve">Rovere' (Trentinalatte)      </t>
  </si>
  <si>
    <t>estiva feriale sab</t>
  </si>
  <si>
    <t>Roverè della Luna-Mezzolombardo</t>
  </si>
  <si>
    <t>Civezzano-Bosco</t>
  </si>
  <si>
    <t>30</t>
  </si>
  <si>
    <t>AUTONOLEGGI VISINTAINER di VISINTAINER FRANCESCO</t>
  </si>
  <si>
    <t>FF721CS</t>
  </si>
  <si>
    <t>FN583MX</t>
  </si>
  <si>
    <t>FR784WP</t>
  </si>
  <si>
    <t xml:space="preserve">CIVEZZANO                    </t>
  </si>
  <si>
    <t xml:space="preserve">BOSCO di CIVEZZANO           </t>
  </si>
  <si>
    <t>Bosco-Civezzano</t>
  </si>
  <si>
    <t>bacino 2 estate 2021</t>
  </si>
  <si>
    <t>Tione-P.Arche</t>
  </si>
  <si>
    <t>TRENTINOBUS SRL</t>
  </si>
  <si>
    <t>FZ833BE</t>
  </si>
  <si>
    <t>CS792NG</t>
  </si>
  <si>
    <t>FG405XM</t>
  </si>
  <si>
    <t xml:space="preserve">TIONE (Autostazione)         </t>
  </si>
  <si>
    <t xml:space="preserve">PONTE ARCHE (Autost.)        </t>
  </si>
  <si>
    <t xml:space="preserve">Drena - Vigo Cavedine </t>
  </si>
  <si>
    <t>feriale
estiva</t>
  </si>
  <si>
    <t>20</t>
  </si>
  <si>
    <t>PEDERZOLLI DENIS</t>
  </si>
  <si>
    <t>ET415HZ</t>
  </si>
  <si>
    <t>GH078PC</t>
  </si>
  <si>
    <t xml:space="preserve">DRENA                        </t>
  </si>
  <si>
    <t xml:space="preserve">VIGO CAVEDINE                </t>
  </si>
  <si>
    <t>Drena-Vigo Cavedine-Vezzano</t>
  </si>
  <si>
    <t xml:space="preserve">PERINI FRANCO </t>
  </si>
  <si>
    <t>FV524FA</t>
  </si>
  <si>
    <t>FF182VP</t>
  </si>
  <si>
    <t xml:space="preserve">  2040SD</t>
  </si>
  <si>
    <t xml:space="preserve">Vezzano Apt                  </t>
  </si>
  <si>
    <t xml:space="preserve">Vigo Cavedine - Drena </t>
  </si>
  <si>
    <t>P.Arche-S. Lorenzo in B.</t>
  </si>
  <si>
    <t>AUTONOLEGGI FILIPPI S.R.L. UNIPERSONALE</t>
  </si>
  <si>
    <t>FM492NR</t>
  </si>
  <si>
    <t>FN174MX</t>
  </si>
  <si>
    <t xml:space="preserve">S.LORENZO IN B.              </t>
  </si>
  <si>
    <t>P.Arche-Lundo</t>
  </si>
  <si>
    <t xml:space="preserve">LUNDO                        </t>
  </si>
  <si>
    <t>Bivedo-P.Arche</t>
  </si>
  <si>
    <t xml:space="preserve">BIVEDO                       </t>
  </si>
  <si>
    <t>Fiavè-P.Arche</t>
  </si>
  <si>
    <t xml:space="preserve">  2185BR</t>
  </si>
  <si>
    <t>Fiave' (Bar Aurora)</t>
  </si>
  <si>
    <t>NUOVA</t>
  </si>
  <si>
    <t>Ponte Arche - Riva del Garda</t>
  </si>
  <si>
    <t>FN113MX</t>
  </si>
  <si>
    <t>FF887CS</t>
  </si>
  <si>
    <t xml:space="preserve">RIVA DEL G. (Autostaz.)      </t>
  </si>
  <si>
    <t>Riva d.G-Ponte Arche</t>
  </si>
  <si>
    <t xml:space="preserve">AUTOSERVIZI MATTUZZI CLAUDIO &amp; C. S.N.C. </t>
  </si>
  <si>
    <t>FC208RJ</t>
  </si>
  <si>
    <t>FE584HG</t>
  </si>
  <si>
    <t>FB808BJ</t>
  </si>
  <si>
    <t>Riva del Garda - Ponte Arche</t>
  </si>
  <si>
    <t>Ponte Arche - Riva d.G</t>
  </si>
  <si>
    <t>Riva-Baitoni</t>
  </si>
  <si>
    <t>SOLETANA VIAGGI S.R.L.</t>
  </si>
  <si>
    <t>EZ738DM</t>
  </si>
  <si>
    <t>FJ863YE</t>
  </si>
  <si>
    <t xml:space="preserve">BAITONI                      </t>
  </si>
  <si>
    <t>Tione-Baitoni</t>
  </si>
  <si>
    <t xml:space="preserve">MAESTRI AUGUSTO &amp; C. S.N.C. </t>
  </si>
  <si>
    <t>FB997BJ</t>
  </si>
  <si>
    <t>GH939KX</t>
  </si>
  <si>
    <t>EC412AD</t>
  </si>
  <si>
    <t>Baitoni-Tione</t>
  </si>
  <si>
    <t>TN SERVICE LORENZI A CAPITALE RIDOTTO S.R.L. DI TAVELLI ANDREA</t>
  </si>
  <si>
    <t>GK228BZ</t>
  </si>
  <si>
    <t>FT942AZ</t>
  </si>
  <si>
    <t>FF887CS (Aut. Filippi)</t>
  </si>
  <si>
    <r>
      <t>EC412AD</t>
    </r>
    <r>
      <rPr>
        <strike/>
        <sz val="8"/>
        <rFont val="Arial"/>
        <family val="2"/>
      </rPr>
      <t xml:space="preserve"> </t>
    </r>
    <r>
      <rPr>
        <sz val="8"/>
        <rFont val="Arial"/>
        <family val="2"/>
      </rPr>
      <t>solo al sabato</t>
    </r>
  </si>
  <si>
    <t>Trento - Aldeno - Garniga</t>
  </si>
  <si>
    <t>NICE srl</t>
  </si>
  <si>
    <t>GC658CS</t>
  </si>
  <si>
    <t>GA984ER</t>
  </si>
  <si>
    <t xml:space="preserve">TRENTO   (Autostaz.)         </t>
  </si>
  <si>
    <t xml:space="preserve">GARNIGA TERME                </t>
  </si>
  <si>
    <t>Samone-Borgo</t>
  </si>
  <si>
    <t>MARTINA MATTEO</t>
  </si>
  <si>
    <t>EC634AD</t>
  </si>
  <si>
    <t>EJ855RC (Fersina Tour)</t>
  </si>
  <si>
    <t xml:space="preserve">SAMONE                       </t>
  </si>
  <si>
    <t xml:space="preserve">BORGO V.(C.Intermodale)      </t>
  </si>
  <si>
    <t>MARTINA MATTEO 2</t>
  </si>
  <si>
    <t>Borgo V. - Ronchi</t>
  </si>
  <si>
    <t>ANGELI CAMILLO</t>
  </si>
  <si>
    <t>FZ904BE</t>
  </si>
  <si>
    <t>FR820WP (Fersina Tour)</t>
  </si>
  <si>
    <t xml:space="preserve">RONCHI VALSUGANA             </t>
  </si>
  <si>
    <t>Ronchi - Borgo V.</t>
  </si>
  <si>
    <t>Trento FTM - Lavis - Mezzolombardo</t>
  </si>
  <si>
    <t>VITO DI PEDRON VITTORIA</t>
  </si>
  <si>
    <t>FV001FA</t>
  </si>
  <si>
    <t>EW959KB</t>
  </si>
  <si>
    <t>FC321RJ</t>
  </si>
  <si>
    <t xml:space="preserve">  0001FS</t>
  </si>
  <si>
    <t xml:space="preserve">TRENTO (Stazione FS)         </t>
  </si>
  <si>
    <t>Molveno-Mezzocorona</t>
  </si>
  <si>
    <t xml:space="preserve">  0956RR</t>
  </si>
  <si>
    <t>MOLVENO</t>
  </si>
  <si>
    <t xml:space="preserve">  6100FS</t>
  </si>
  <si>
    <t xml:space="preserve">  MEZZOCORONA (St. FS)         </t>
  </si>
  <si>
    <t>km corretti da capitolato</t>
  </si>
  <si>
    <t>Mezzolombardo-Toss</t>
  </si>
  <si>
    <t xml:space="preserve">TOSS                         </t>
  </si>
  <si>
    <t>Toss-Mezzolombardo</t>
  </si>
  <si>
    <t>Mezzolombardo-Vigo di Ton-Toss</t>
  </si>
  <si>
    <t>Cles-Campodenno-Mezzocorona FS</t>
  </si>
  <si>
    <t>GENZIANA S.r.l.</t>
  </si>
  <si>
    <t>GK152EV</t>
  </si>
  <si>
    <t>FS248ZL</t>
  </si>
  <si>
    <t>GA057TM</t>
  </si>
  <si>
    <t xml:space="preserve">CLES (Autostaz.)             </t>
  </si>
  <si>
    <t>Mezzocorona FS-Denno-Cles</t>
  </si>
  <si>
    <t>Mezzolombardo-Denno-Cles</t>
  </si>
  <si>
    <t>FH992YZ</t>
  </si>
  <si>
    <t>FZ833BE (Trentinobus)</t>
  </si>
  <si>
    <t>Cles-Tuenno-Portolo</t>
  </si>
  <si>
    <t xml:space="preserve">ERIKA TOURS SRL </t>
  </si>
  <si>
    <t>FZ000KS</t>
  </si>
  <si>
    <t>FK451EC</t>
  </si>
  <si>
    <t xml:space="preserve">PORTOLO                      </t>
  </si>
  <si>
    <t>Portolo-Tuenno-Cles</t>
  </si>
  <si>
    <t>Cles-Mechel</t>
  </si>
  <si>
    <t>FX036WC</t>
  </si>
  <si>
    <t xml:space="preserve">MECHEL                       </t>
  </si>
  <si>
    <t>Mechel-Cles</t>
  </si>
  <si>
    <t>Fondo-Cles</t>
  </si>
  <si>
    <t xml:space="preserve">  6580CA</t>
  </si>
  <si>
    <t xml:space="preserve">FONDO (Via Garibaldi)        </t>
  </si>
  <si>
    <t>Cles-Fondo</t>
  </si>
  <si>
    <t>Cles-Lanza</t>
  </si>
  <si>
    <t>ALPINABUS DI MARTINTONI MAURO</t>
  </si>
  <si>
    <t>GA014HT</t>
  </si>
  <si>
    <t>18</t>
  </si>
  <si>
    <t>FP041BC</t>
  </si>
  <si>
    <t>EJ947ZA</t>
  </si>
  <si>
    <t xml:space="preserve">LANZA DI RUMO                </t>
  </si>
  <si>
    <t>Cles-Livo-Bresimo</t>
  </si>
  <si>
    <t xml:space="preserve">BRESIMO                      </t>
  </si>
  <si>
    <t>Lanza-Cles</t>
  </si>
  <si>
    <t>Bresimo-Livo-Cles</t>
  </si>
  <si>
    <t>Malè-Marrilleva 1400</t>
  </si>
  <si>
    <t xml:space="preserve">TONALE VIAGGI DI PANIZZA CLAUDIO </t>
  </si>
  <si>
    <t>FW832WP</t>
  </si>
  <si>
    <t>EC937AD</t>
  </si>
  <si>
    <t xml:space="preserve">MALE'                        </t>
  </si>
  <si>
    <t xml:space="preserve">  6382SS</t>
  </si>
  <si>
    <t xml:space="preserve">MARILLEVA 1400 Solaria       </t>
  </si>
  <si>
    <t>Marilleva 1400 - Malè</t>
  </si>
  <si>
    <t>Mezzana FTM - Pejo</t>
  </si>
  <si>
    <t xml:space="preserve">  6380MT</t>
  </si>
  <si>
    <t xml:space="preserve">Mezzana (staz FTM)           </t>
  </si>
  <si>
    <t xml:space="preserve">PEIO                         </t>
  </si>
  <si>
    <t>Pejo - Fucine</t>
  </si>
  <si>
    <t xml:space="preserve">FUCINE                       </t>
  </si>
  <si>
    <t>Trento-Laives</t>
  </si>
  <si>
    <t>feriale
sabato</t>
  </si>
  <si>
    <t>SRT S.R.L.</t>
  </si>
  <si>
    <t>FH962KW (MDL)</t>
  </si>
  <si>
    <t>FL557HC (MDL)</t>
  </si>
  <si>
    <t xml:space="preserve">  1169SB</t>
  </si>
  <si>
    <t xml:space="preserve">Laives - Stabilimento Seeber </t>
  </si>
  <si>
    <t>annuale feriale sab</t>
  </si>
  <si>
    <t>feriale 
da lunedì a venerdì</t>
  </si>
  <si>
    <t>annuale feriale lu-ve</t>
  </si>
  <si>
    <t xml:space="preserve">S. DUE DI SARTORELLI  LUCA </t>
  </si>
  <si>
    <t>Laives-Trento</t>
  </si>
  <si>
    <t>Trento (via Giusti e giro scuole) - Verla (bis)</t>
  </si>
  <si>
    <t>scolastica 
da lunedì a venerdì</t>
  </si>
  <si>
    <t>55</t>
  </si>
  <si>
    <t>GE453VX</t>
  </si>
  <si>
    <t>GG008PL</t>
  </si>
  <si>
    <t>FA989GW (Perini) / FL781HC (Perini)</t>
  </si>
  <si>
    <t>48/56</t>
  </si>
  <si>
    <t xml:space="preserve">  0001VG</t>
  </si>
  <si>
    <t xml:space="preserve">Trento(Via Giusti)           </t>
  </si>
  <si>
    <t xml:space="preserve">VERLA                        </t>
  </si>
  <si>
    <t>scolastica lu-ve</t>
  </si>
  <si>
    <t>Trento-Sover-Cavalese</t>
  </si>
  <si>
    <t>festiva 
invernale</t>
  </si>
  <si>
    <t>40</t>
  </si>
  <si>
    <t>FA989GW</t>
  </si>
  <si>
    <t>FL781HC</t>
  </si>
  <si>
    <t xml:space="preserve">CAVALESE  (Autostaz.)        </t>
  </si>
  <si>
    <t>invernale festiva</t>
  </si>
  <si>
    <t>festiva 
estiva</t>
  </si>
  <si>
    <t>estiva festiva</t>
  </si>
  <si>
    <t>PERINI FRANCO 1</t>
  </si>
  <si>
    <t>Trento - Fornace - Albiano</t>
  </si>
  <si>
    <t>scolastica 
da lunedì a giovedì</t>
  </si>
  <si>
    <t>FA989GW (Perini)</t>
  </si>
  <si>
    <t>FF182VP (Perini)</t>
  </si>
  <si>
    <t xml:space="preserve">ALBIANO                      </t>
  </si>
  <si>
    <t>scolastica lu, ma, me, gio</t>
  </si>
  <si>
    <t>Cavalese-Trento</t>
  </si>
  <si>
    <t xml:space="preserve">TRENTO (Autostaz.)         </t>
  </si>
  <si>
    <t>PERINI FRANCO 2</t>
  </si>
  <si>
    <t xml:space="preserve">Trento-Fornace-Sover </t>
  </si>
  <si>
    <t>FE205HG (Fersina Tour) / FY999HP (Fersina Tour)</t>
  </si>
  <si>
    <t xml:space="preserve">SOVER                        </t>
  </si>
  <si>
    <t xml:space="preserve">Trento-Sover </t>
  </si>
  <si>
    <t>scolastica 
da lunedì a sabato</t>
  </si>
  <si>
    <t>FR777WP (Fersina Tour)</t>
  </si>
  <si>
    <t>57+18 in piedi</t>
  </si>
  <si>
    <t>scolastica lu-sa</t>
  </si>
  <si>
    <t xml:space="preserve">VPT SRL </t>
  </si>
  <si>
    <t>Cavalese-Ospedale-Cavalese</t>
  </si>
  <si>
    <t xml:space="preserve">  1070OS</t>
  </si>
  <si>
    <t xml:space="preserve">Cavalese (Ospedale)          </t>
  </si>
  <si>
    <t>Moena-Passo S.Pellegrino-Falcade</t>
  </si>
  <si>
    <t>Falcade - Moena</t>
  </si>
  <si>
    <t>estiva feriale</t>
  </si>
  <si>
    <t>Falcade-Passo S. Pellegrino-Moena</t>
  </si>
  <si>
    <t>Moena - S.Pellegrino</t>
  </si>
  <si>
    <t xml:space="preserve">  1253CM</t>
  </si>
  <si>
    <t xml:space="preserve">  P.S.PELLEGRINO (FUN.)        </t>
  </si>
  <si>
    <t>Moena-Passo S.Pellegrino</t>
  </si>
  <si>
    <t>frequenza corretta da capitolato</t>
  </si>
  <si>
    <t>Passo S. Pellegrino-Moena</t>
  </si>
  <si>
    <t>feriale estiva</t>
  </si>
  <si>
    <t xml:space="preserve">P.S.PELLEGRINO (FUN.)        </t>
  </si>
  <si>
    <t>S. Pellegrino - Moena</t>
  </si>
  <si>
    <t xml:space="preserve">estiva
feriale </t>
  </si>
  <si>
    <t>Trento-Viote</t>
  </si>
  <si>
    <t xml:space="preserve">VIOTE                        </t>
  </si>
  <si>
    <t>PERINI FRANCO 3</t>
  </si>
  <si>
    <t>Viote-Trento</t>
  </si>
  <si>
    <t>Calavino-Riva del Garda</t>
  </si>
  <si>
    <t>SARCATOUR s.r.l.</t>
  </si>
  <si>
    <t>FK791WG</t>
  </si>
  <si>
    <t>FE629SK</t>
  </si>
  <si>
    <t>FA895BD</t>
  </si>
  <si>
    <t xml:space="preserve">CALAVINO                     </t>
  </si>
  <si>
    <t>Drena-Vigo Cavedine -Vezzano</t>
  </si>
  <si>
    <t>GE452VX</t>
  </si>
  <si>
    <t xml:space="preserve">  2040RR</t>
  </si>
  <si>
    <t>VEZZANO (Piazza)</t>
  </si>
  <si>
    <t>Drò - Drena - Vigo Cavedine</t>
  </si>
  <si>
    <t>FL596HC (Sarcatour)</t>
  </si>
  <si>
    <t xml:space="preserve">DRO                          </t>
  </si>
  <si>
    <t>Calavino-Dro</t>
  </si>
  <si>
    <t>GH658ZZ (Perini)</t>
  </si>
  <si>
    <t>EW749GD (Perini)</t>
  </si>
  <si>
    <t>Vezzano -Vigo Cavedine-Drena</t>
  </si>
  <si>
    <t>invernale
da lunedì a venerdì</t>
  </si>
  <si>
    <t xml:space="preserve">VEZZANO (Piazza)             </t>
  </si>
  <si>
    <t>invernale feriale lu-ve</t>
  </si>
  <si>
    <t>Estiva
lunedì-venerdì</t>
  </si>
  <si>
    <t>estiva feriale lu-ve</t>
  </si>
  <si>
    <t>S. Massenza - Due laghi</t>
  </si>
  <si>
    <t>estiva feriale 
dal lunedì al venerdì</t>
  </si>
  <si>
    <t>FN426MX</t>
  </si>
  <si>
    <t xml:space="preserve">S.Massenza                   </t>
  </si>
  <si>
    <t xml:space="preserve">Due Laghi                    </t>
  </si>
  <si>
    <t>feriale non scolastica
da lunedì a sabato</t>
  </si>
  <si>
    <t>invernale feriale no scol lu-sa</t>
  </si>
  <si>
    <t>Due Laghi - S. Massenza</t>
  </si>
  <si>
    <t>Trento - Terlago - Monte Terlago</t>
  </si>
  <si>
    <t>35</t>
  </si>
  <si>
    <t xml:space="preserve">  2023AL</t>
  </si>
  <si>
    <t xml:space="preserve">M.TERLAGO (H. 2 Laghi)       </t>
  </si>
  <si>
    <t>Castel Condino - Cimego</t>
  </si>
  <si>
    <t>29</t>
  </si>
  <si>
    <t>FR892WP</t>
  </si>
  <si>
    <t>FW907WP solo al sabato</t>
  </si>
  <si>
    <t xml:space="preserve">CASTEL CONDINO               </t>
  </si>
  <si>
    <t xml:space="preserve">Cimego                       </t>
  </si>
  <si>
    <t>Pregasina - Riva del Garda</t>
  </si>
  <si>
    <t>17</t>
  </si>
  <si>
    <t xml:space="preserve">EUROTOUR SERVICE (IN SIGLA E.T.S.) DI AZZOLINI LUCA &amp; C. S.N.C. </t>
  </si>
  <si>
    <t xml:space="preserve"> FN744MW</t>
  </si>
  <si>
    <t xml:space="preserve"> FC376RJ</t>
  </si>
  <si>
    <t xml:space="preserve">PREGASINA                    </t>
  </si>
  <si>
    <t>Pregasina bv.-Pregasina</t>
  </si>
  <si>
    <t>scolastica
sabato</t>
  </si>
  <si>
    <t>8</t>
  </si>
  <si>
    <t xml:space="preserve">Pregasina Bivio              </t>
  </si>
  <si>
    <t>scolastica sab</t>
  </si>
  <si>
    <t>scolastica 
sabato</t>
  </si>
  <si>
    <t>scolastica di lunedì, mercoledì e venerdì</t>
  </si>
  <si>
    <t>AUTOSERVIZI MATTUZZI CLAUDIO &amp; C. S.N.C.</t>
  </si>
  <si>
    <t>FN589MX</t>
  </si>
  <si>
    <t>FL778HC</t>
  </si>
  <si>
    <t>FN339MX</t>
  </si>
  <si>
    <t>scolastica lu, me, ve</t>
  </si>
  <si>
    <t>65 bis</t>
  </si>
  <si>
    <t>scolastica di martedì e giovedì</t>
  </si>
  <si>
    <t>FN744MW</t>
  </si>
  <si>
    <t>FC376RJ</t>
  </si>
  <si>
    <t>scolastica ma, gio</t>
  </si>
  <si>
    <t>8/ 8</t>
  </si>
  <si>
    <t>66 bis</t>
  </si>
  <si>
    <t>Pregasina bivio-Pregasina</t>
  </si>
  <si>
    <t>67 bis</t>
  </si>
  <si>
    <t>Rovereto-Pian della Fugazze</t>
  </si>
  <si>
    <t>estiva+inv
festiva</t>
  </si>
  <si>
    <t>TODESCHI AUTONOLEGGI SRL</t>
  </si>
  <si>
    <t>GA901ZZ</t>
  </si>
  <si>
    <t>FG707GA</t>
  </si>
  <si>
    <t>CJ625MG</t>
  </si>
  <si>
    <t xml:space="preserve">  3100SV</t>
  </si>
  <si>
    <t xml:space="preserve">ROVERETO (Via Savioli)       </t>
  </si>
  <si>
    <t xml:space="preserve">PIAN DELLE FUGAZZE           </t>
  </si>
  <si>
    <t>annuale festiva</t>
  </si>
  <si>
    <t>Pian delle Fugazze-Rovereto</t>
  </si>
  <si>
    <t xml:space="preserve">ROVERETO (Via Manzoni)       </t>
  </si>
  <si>
    <t>Valcava - Brusago</t>
  </si>
  <si>
    <t xml:space="preserve">SVALDI PIERINO </t>
  </si>
  <si>
    <t>ES278NX</t>
  </si>
  <si>
    <t>GH441KX</t>
  </si>
  <si>
    <t xml:space="preserve">VALCAVA                      </t>
  </si>
  <si>
    <t xml:space="preserve">BRUSAGO                      </t>
  </si>
  <si>
    <t>Svaldi - Bedollo</t>
  </si>
  <si>
    <t xml:space="preserve">Svaldi                       </t>
  </si>
  <si>
    <t xml:space="preserve">BEDOLLO                      </t>
  </si>
  <si>
    <t>Bedollo - Svaldi</t>
  </si>
  <si>
    <t>Trento FTM-Mezzolombardo FTM  (serv. Sostitutivo treno)</t>
  </si>
  <si>
    <t>invernale
lunedì-sabato</t>
  </si>
  <si>
    <t>invernale feriale lu-sa</t>
  </si>
  <si>
    <t>(Fai Miravalle) - Cortalta-Trento</t>
  </si>
  <si>
    <t>FH992YZ (VITO VIAGGI)</t>
  </si>
  <si>
    <t>6135MV</t>
  </si>
  <si>
    <t xml:space="preserve">Fai Paganella - Miravalle     </t>
  </si>
  <si>
    <t xml:space="preserve">Mezzolombardo - Nave s. Rocco - Trento </t>
  </si>
  <si>
    <t>scolastica 
solo giorno di sabato</t>
  </si>
  <si>
    <t xml:space="preserve">  6120ST</t>
  </si>
  <si>
    <t xml:space="preserve">Mezzolombardo (V.Devigili)   </t>
  </si>
  <si>
    <t>Lavis FTM-Nave S.Rocco-Mezzolombardo</t>
  </si>
  <si>
    <t xml:space="preserve">  1010MT</t>
  </si>
  <si>
    <t xml:space="preserve">LAVIS (Staz. FTM)            </t>
  </si>
  <si>
    <t>Mezzolombardo - Nave s. Rocco - Trento (dal 12/09/19)</t>
  </si>
  <si>
    <t>festiva invernale
invernale</t>
  </si>
  <si>
    <t>Mezzolombardo-Nave S.Rocco-Lavis FTM</t>
  </si>
  <si>
    <t xml:space="preserve">  1010CS</t>
  </si>
  <si>
    <t>LAVIS</t>
  </si>
  <si>
    <t xml:space="preserve">FV001FA (Vito Viaggi) </t>
  </si>
  <si>
    <t>Invernale 
festiva</t>
  </si>
  <si>
    <t>VIAGGI CORNELIO DI FLESSATI NICOLA E C. S.N.C.</t>
  </si>
  <si>
    <t>GH106PC</t>
  </si>
  <si>
    <t>FR599WM</t>
  </si>
  <si>
    <t xml:space="preserve">VIAGGI CICOLINI S.R.L .  </t>
  </si>
  <si>
    <t>mensile</t>
  </si>
  <si>
    <t>Cles-Bresimo-Lanza</t>
  </si>
  <si>
    <t>Lanza-Bresimo-Cles</t>
  </si>
  <si>
    <t>Malè-Somrabbi</t>
  </si>
  <si>
    <t>EW792KB</t>
  </si>
  <si>
    <t>EL182VV (Paternoster )</t>
  </si>
  <si>
    <t>FX408CM</t>
  </si>
  <si>
    <t xml:space="preserve">SOMRABBI                     </t>
  </si>
  <si>
    <t>feriale</t>
  </si>
  <si>
    <t>MDL s.r.l.</t>
  </si>
  <si>
    <t>FL557HC</t>
  </si>
  <si>
    <t>FH962KW</t>
  </si>
  <si>
    <t>EW035MJ</t>
  </si>
  <si>
    <t>annuale feriale lu-sa</t>
  </si>
  <si>
    <t>feriale 
da martedì a sabato</t>
  </si>
  <si>
    <t>annuale feriale ma, me, gio, ve, sab</t>
  </si>
  <si>
    <t>(Solaiolo Alto extracapitolato) - Solaiolo basso - Cavalese</t>
  </si>
  <si>
    <t>15</t>
  </si>
  <si>
    <t>DMG</t>
  </si>
  <si>
    <t>FE259HG</t>
  </si>
  <si>
    <t>FG962XM (Giacomelli)</t>
  </si>
  <si>
    <t>FZ863BE (Giacomelli)</t>
  </si>
  <si>
    <t>46.294100387964086, 11.389613582411105</t>
  </si>
  <si>
    <t>Solaiolo Alto</t>
  </si>
  <si>
    <t>Cavalese - Solaiolo                                                         al martedi partenza alle 14.15</t>
  </si>
  <si>
    <t>M.G.M. DI CASARI MARCO</t>
  </si>
  <si>
    <t>FG050NA</t>
  </si>
  <si>
    <t>FF736CS (Taxizeta)</t>
  </si>
  <si>
    <t xml:space="preserve">  1059SO</t>
  </si>
  <si>
    <t xml:space="preserve">Solaiolo Basso               </t>
  </si>
  <si>
    <t>Solaiolo - Cavalese                                          al martedì partenza alle 14.30</t>
  </si>
  <si>
    <t>Grumes - Giro masi</t>
  </si>
  <si>
    <t>FERSINA TOUR S.R.L</t>
  </si>
  <si>
    <t>EY732LP</t>
  </si>
  <si>
    <t>EK526JA</t>
  </si>
  <si>
    <t xml:space="preserve">  1081CA</t>
  </si>
  <si>
    <t xml:space="preserve">Grumes maso Casel            </t>
  </si>
  <si>
    <t xml:space="preserve">  1081RR</t>
  </si>
  <si>
    <t>GRUMES</t>
  </si>
  <si>
    <t>Faver loc.Ponciac-Cembra loc.Molini-Cembra</t>
  </si>
  <si>
    <t xml:space="preserve">MONAUNI CARLO S.N.C. DI MONAUNI GERARDO E C. </t>
  </si>
  <si>
    <t>FN568MX</t>
  </si>
  <si>
    <t>GE347VX</t>
  </si>
  <si>
    <t xml:space="preserve">  1079PC</t>
  </si>
  <si>
    <t xml:space="preserve">Faver Via Ponciach, civ. 1   </t>
  </si>
  <si>
    <t xml:space="preserve">  1078RR</t>
  </si>
  <si>
    <t xml:space="preserve">Cembra           </t>
  </si>
  <si>
    <t>Cembra - Capriana</t>
  </si>
  <si>
    <t>41</t>
  </si>
  <si>
    <t>EX037JY</t>
  </si>
  <si>
    <t>FA981GW (Planchel)</t>
  </si>
  <si>
    <t>CEMBRA</t>
  </si>
  <si>
    <t xml:space="preserve">CAPRIANA                     </t>
  </si>
  <si>
    <t>Cembra - Trento (corsa bis)</t>
  </si>
  <si>
    <t>47</t>
  </si>
  <si>
    <t>FE091HG</t>
  </si>
  <si>
    <t>Lisignago - Trento (corsa bis)</t>
  </si>
  <si>
    <t>FE205HG (Fersina Tour)</t>
  </si>
  <si>
    <t xml:space="preserve">  1077RR</t>
  </si>
  <si>
    <t>Lisignago</t>
  </si>
  <si>
    <t>Valda - Faver - Cembra - Ville - S.Michele</t>
  </si>
  <si>
    <t xml:space="preserve">Valda                        </t>
  </si>
  <si>
    <t xml:space="preserve">S.Michele a/Adige            </t>
  </si>
  <si>
    <t>Grauno - Trento</t>
  </si>
  <si>
    <t>festiva</t>
  </si>
  <si>
    <t>GA938ER</t>
  </si>
  <si>
    <t xml:space="preserve">GRAUNO                       </t>
  </si>
  <si>
    <t>Trento-Cembra-Cavalese</t>
  </si>
  <si>
    <t>Capriana-Grauno</t>
  </si>
  <si>
    <t>Scolastica
mart+merc</t>
  </si>
  <si>
    <t>9</t>
  </si>
  <si>
    <t>AUTONOLEGGIO DI GUADAGNINI FERDINANDO E ZAMPIERI DAVID S.N.C.</t>
  </si>
  <si>
    <t>ER906KZ</t>
  </si>
  <si>
    <t>FY974HP</t>
  </si>
  <si>
    <t>scolastica ma, me</t>
  </si>
  <si>
    <t xml:space="preserve">  1081TO</t>
  </si>
  <si>
    <t xml:space="preserve">Grumes maso Todescat         </t>
  </si>
  <si>
    <t>Grumes-Capriana</t>
  </si>
  <si>
    <t>Trento-Grauno</t>
  </si>
  <si>
    <t>EN513NH</t>
  </si>
  <si>
    <t>Tesero-Palù di Giovo</t>
  </si>
  <si>
    <t xml:space="preserve">Tesero                       </t>
  </si>
  <si>
    <t>1075CP</t>
  </si>
  <si>
    <t xml:space="preserve">Palu' di G. (C.Polisportivo)  </t>
  </si>
  <si>
    <t>Albiano-Lases-Segonzano</t>
  </si>
  <si>
    <t>57</t>
  </si>
  <si>
    <t xml:space="preserve">SIGNORI SI PARTE DI DONINI IORAM </t>
  </si>
  <si>
    <t>GE439VX</t>
  </si>
  <si>
    <t xml:space="preserve"> FY946HP</t>
  </si>
  <si>
    <t>GE308VX (D'Amico)</t>
  </si>
  <si>
    <t xml:space="preserve">  1113MO</t>
  </si>
  <si>
    <t xml:space="preserve">Albiano (Via Roma)           </t>
  </si>
  <si>
    <t xml:space="preserve">  1118SB</t>
  </si>
  <si>
    <t xml:space="preserve">Scancio S. (Snack Bar)       </t>
  </si>
  <si>
    <t>Piscine - Sover</t>
  </si>
  <si>
    <t>22</t>
  </si>
  <si>
    <t>GROFF TOUR DI TATTI CARLA</t>
  </si>
  <si>
    <t>GE457VX</t>
  </si>
  <si>
    <t>FR981TK</t>
  </si>
  <si>
    <t xml:space="preserve">Piscine                      </t>
  </si>
  <si>
    <t>Scancio di Segonzano  - Trento giro scuole (corsa bis)</t>
  </si>
  <si>
    <t xml:space="preserve">  1118SR</t>
  </si>
  <si>
    <t>Scancio S.(Snack Bar)</t>
  </si>
  <si>
    <t>Lases - Trento Port'Aquila (corsa bis)</t>
  </si>
  <si>
    <t>GROFF PAOLO</t>
  </si>
  <si>
    <t>FL561HC</t>
  </si>
  <si>
    <t xml:space="preserve">  1112PE</t>
  </si>
  <si>
    <t xml:space="preserve">LASES Pesa                   </t>
  </si>
  <si>
    <t xml:space="preserve">  0001PA</t>
  </si>
  <si>
    <t>TRENTO  Port'Aquila</t>
  </si>
  <si>
    <t>07.05 Sover-Segonzano-Sevignano-Faver bv</t>
  </si>
  <si>
    <t>GROFF  ALFREDO</t>
  </si>
  <si>
    <t>GH502KX</t>
  </si>
  <si>
    <t>FR981TK (Groff Tour)</t>
  </si>
  <si>
    <t>DZ900LD</t>
  </si>
  <si>
    <t xml:space="preserve">  1079FB</t>
  </si>
  <si>
    <t xml:space="preserve">Faver bivio                  </t>
  </si>
  <si>
    <t>Trento-Civezzano</t>
  </si>
  <si>
    <t>Fornace - Pian del Gacc (ore 14:00 part. il sabato)</t>
  </si>
  <si>
    <t>FX671LT</t>
  </si>
  <si>
    <t>EX931HC</t>
  </si>
  <si>
    <t xml:space="preserve">FORNACE                      </t>
  </si>
  <si>
    <t xml:space="preserve">  1138VC</t>
  </si>
  <si>
    <t xml:space="preserve">Pian del Gac"Villaggio"      </t>
  </si>
  <si>
    <t>Stramentizzo - Casatta</t>
  </si>
  <si>
    <t>16</t>
  </si>
  <si>
    <t>GA996ER</t>
  </si>
  <si>
    <t>FR820WP</t>
  </si>
  <si>
    <t xml:space="preserve">  1087FL</t>
  </si>
  <si>
    <t xml:space="preserve">Stramentizzo (Bivio)         </t>
  </si>
  <si>
    <t xml:space="preserve">CASATTA di VALFL.            </t>
  </si>
  <si>
    <t>Casatta - Sover</t>
  </si>
  <si>
    <t xml:space="preserve">Civezzano-Fornace </t>
  </si>
  <si>
    <t>Sover-Scancio di Segonzano</t>
  </si>
  <si>
    <t xml:space="preserve">SCANCIO SEGONZANO            </t>
  </si>
  <si>
    <t xml:space="preserve">Scancio di Segonzano-Lases
in coinc. con c.sa Tte da Ist. Alberghiero Tesero </t>
  </si>
  <si>
    <t xml:space="preserve">scolastica
martedì </t>
  </si>
  <si>
    <t xml:space="preserve">LASES (Pesa)                 </t>
  </si>
  <si>
    <t>scolastica ma</t>
  </si>
  <si>
    <t>Civezzano-Trento</t>
  </si>
  <si>
    <t xml:space="preserve">CIVEZZANO </t>
  </si>
  <si>
    <t xml:space="preserve">TRENTO Autostaz.              </t>
  </si>
  <si>
    <t>estiva 
dal lunedì al venerdì feriale</t>
  </si>
  <si>
    <t>ITALBUS S.N.C. DI CASAGRANDE ARMANDO E CHRISTIAN &amp; C.</t>
  </si>
  <si>
    <t>EV877GJ</t>
  </si>
  <si>
    <t>EJ873ZA</t>
  </si>
  <si>
    <t xml:space="preserve">Ville-Palù di Giovo-Cembra </t>
  </si>
  <si>
    <t>Ville di Giovo</t>
  </si>
  <si>
    <t>Palù di Giovo - Verla</t>
  </si>
  <si>
    <t xml:space="preserve">PALU' DI GIOVO               </t>
  </si>
  <si>
    <t>Verla - Palù di Giovo</t>
  </si>
  <si>
    <t>Verla - Palù di Giovo, nei gg. senza scuola  e estivi   transita da Ville di Giovo</t>
  </si>
  <si>
    <t>feriale estivo + senza scuola
da lunedì a venerdì</t>
  </si>
  <si>
    <t>estiva feriale lu-sa + no scol lu-ve</t>
  </si>
  <si>
    <t>Verla - Palù di Giovo (strada breve)</t>
  </si>
  <si>
    <t>Palù di Giovo - Ville di Giovo - Verla</t>
  </si>
  <si>
    <t>Faedo-Mezzocorona</t>
  </si>
  <si>
    <t>FD479MP</t>
  </si>
  <si>
    <t>FF501YE</t>
  </si>
  <si>
    <t>EK710SE (Paolat)</t>
  </si>
  <si>
    <t xml:space="preserve">FAEDO PINETA                 </t>
  </si>
  <si>
    <t xml:space="preserve">  MEZZOCORONA FERROVIA         </t>
  </si>
  <si>
    <t xml:space="preserve">Pineta Faedo-S.Michele-Mezzocorona </t>
  </si>
  <si>
    <t>Mezzocorona-Faedo</t>
  </si>
  <si>
    <t>Mezzocorona - Faedo</t>
  </si>
  <si>
    <t>Faedo - Mezzocorona</t>
  </si>
  <si>
    <t>Mezzolombardo-Mezzocorona FS</t>
  </si>
  <si>
    <t xml:space="preserve">  6120EM</t>
  </si>
  <si>
    <t xml:space="preserve">Mezz.do Ex Sc. Media  (via Rotaliana)       </t>
  </si>
  <si>
    <t>invernale non scolastica feriale</t>
  </si>
  <si>
    <t>invernale non scolastica 
feriale</t>
  </si>
  <si>
    <t>Cavalese - Masi di Cavalese</t>
  </si>
  <si>
    <t>TAXI  ZETA DI ZAMPIERI SERGIO</t>
  </si>
  <si>
    <t>FF736CS</t>
  </si>
  <si>
    <t>FE259HG (DMG)</t>
  </si>
  <si>
    <t xml:space="preserve">Masi di Cavalese             </t>
  </si>
  <si>
    <t>Masi di Cavalese - Cavalese</t>
  </si>
  <si>
    <t xml:space="preserve">Cavalese - Veronza </t>
  </si>
  <si>
    <t>Estiva lunedì-sabato agosto/settembre</t>
  </si>
  <si>
    <t xml:space="preserve">  1152HV</t>
  </si>
  <si>
    <t xml:space="preserve">V.VERONZA (H.Veronza)        </t>
  </si>
  <si>
    <t>estiva feriale lu-sa agosto/settembre</t>
  </si>
  <si>
    <t>sì</t>
  </si>
  <si>
    <t>169 bis</t>
  </si>
  <si>
    <t>Estiva lunedì-sabato giugno/luglio</t>
  </si>
  <si>
    <t>GC807JF</t>
  </si>
  <si>
    <t>estiva feriale lu-sa giugno/luglio</t>
  </si>
  <si>
    <t>Veronza - Aguai - Carano - Cavalese</t>
  </si>
  <si>
    <t>170 bis</t>
  </si>
  <si>
    <t xml:space="preserve">Cavalese - Varena - Cavalese </t>
  </si>
  <si>
    <t>Tesero - Stava (dal 19/11/18)</t>
  </si>
  <si>
    <t>FG976XM</t>
  </si>
  <si>
    <t xml:space="preserve">Stava                        </t>
  </si>
  <si>
    <t>Stava - Cavalese (dal 19/11/18)</t>
  </si>
  <si>
    <t xml:space="preserve">  1070SE</t>
  </si>
  <si>
    <t>Stava - Tesero</t>
  </si>
  <si>
    <t>Tesero - Stava</t>
  </si>
  <si>
    <t/>
  </si>
  <si>
    <t xml:space="preserve">scolastica 
lunedì </t>
  </si>
  <si>
    <t xml:space="preserve"> </t>
  </si>
  <si>
    <t>scolastica lu</t>
  </si>
  <si>
    <t>Cavalese - Tesero - Tesero Casa Riposo - Masi - Cavalese</t>
  </si>
  <si>
    <t>Casatta - Sicina</t>
  </si>
  <si>
    <t xml:space="preserve">SICINA                       </t>
  </si>
  <si>
    <t>Sicina - Casatta</t>
  </si>
  <si>
    <t xml:space="preserve">estiva feriale </t>
  </si>
  <si>
    <t xml:space="preserve">Sicina - Casatta - Pradel </t>
  </si>
  <si>
    <t xml:space="preserve">Pradel                       </t>
  </si>
  <si>
    <t>Fornace - Civezzano 7.11 - Pergine</t>
  </si>
  <si>
    <t xml:space="preserve">  4100CI</t>
  </si>
  <si>
    <t xml:space="preserve">PERGINE (C.Intermodale)      </t>
  </si>
  <si>
    <t>Civezzano Ist. De Carneri - 7:12 Civezzano-Pergine V.</t>
  </si>
  <si>
    <t xml:space="preserve">  1100OX</t>
  </si>
  <si>
    <t xml:space="preserve">Civezzano Scuola Media       </t>
  </si>
  <si>
    <t xml:space="preserve">  4100RR</t>
  </si>
  <si>
    <t>PERGINE V. (P.Gavazzi)</t>
  </si>
  <si>
    <t>Civezzano Ist. De Carneri - Civezzano-Pergine V.</t>
  </si>
  <si>
    <t>1100OX</t>
  </si>
  <si>
    <t>Civezzano Scuola Media</t>
  </si>
  <si>
    <t>4100CI</t>
  </si>
  <si>
    <t xml:space="preserve">PERGINE V. Intermodale        </t>
  </si>
  <si>
    <t>Pergine-Civezzano-Bosco</t>
  </si>
  <si>
    <t>Pergine - Civezzano</t>
  </si>
  <si>
    <t>FX671LT + FR784WP</t>
  </si>
  <si>
    <t>30 + 21</t>
  </si>
  <si>
    <t>S.Agnese-Civezzano</t>
  </si>
  <si>
    <t xml:space="preserve">S.AGNESE                     </t>
  </si>
  <si>
    <t xml:space="preserve">  1100SR</t>
  </si>
  <si>
    <t xml:space="preserve">Civezzano (Quadrivio )       </t>
  </si>
  <si>
    <t>Penedallo-Bosco-Civezzano-Trento</t>
  </si>
  <si>
    <t>Montesover - Sover</t>
  </si>
  <si>
    <t xml:space="preserve">MONTESOVER                   </t>
  </si>
  <si>
    <t>Facendi  - Sveseri Bivio</t>
  </si>
  <si>
    <t xml:space="preserve">  1123SA</t>
  </si>
  <si>
    <t>Facendi V.S.Antonio(Capitello)</t>
  </si>
  <si>
    <t xml:space="preserve">Sveseri  Bivio               </t>
  </si>
  <si>
    <t>Sover - Montesover</t>
  </si>
  <si>
    <t>Montesover- Gabard (prolungamento c.sa 67)</t>
  </si>
  <si>
    <t xml:space="preserve">scolastica 
solo venerdì </t>
  </si>
  <si>
    <t xml:space="preserve">  4060MG</t>
  </si>
  <si>
    <t xml:space="preserve">Brusago (Maso Gabart)        </t>
  </si>
  <si>
    <t>scolastica ve</t>
  </si>
  <si>
    <t>Maso Gabard-Rizzolaga-Baselga</t>
  </si>
  <si>
    <t>scolastica venerdì</t>
  </si>
  <si>
    <t xml:space="preserve">  4025UP</t>
  </si>
  <si>
    <t xml:space="preserve">BASELGA P. (Municipio)       </t>
  </si>
  <si>
    <t xml:space="preserve">Sover-Montesover                                        </t>
  </si>
  <si>
    <t xml:space="preserve">Sveseri Bivio - Facendi </t>
  </si>
  <si>
    <t>Bellamonte - Predazzo</t>
  </si>
  <si>
    <t>DOLOMITI RENT A CAR S.N.C. DI ROMOR MARSHA &amp; C.</t>
  </si>
  <si>
    <t>FT217LV</t>
  </si>
  <si>
    <t>FE926YK</t>
  </si>
  <si>
    <t xml:space="preserve">  1221HT</t>
  </si>
  <si>
    <t xml:space="preserve">Bellamonte (H.Torretta)      </t>
  </si>
  <si>
    <t xml:space="preserve">PREDAZZO (Autostaz.)         </t>
  </si>
  <si>
    <t>Castellir - Bellamonte-Predazzo</t>
  </si>
  <si>
    <t xml:space="preserve">  1221CS</t>
  </si>
  <si>
    <t xml:space="preserve">Castelir di Bellamonte       </t>
  </si>
  <si>
    <t xml:space="preserve">  1220SM</t>
  </si>
  <si>
    <t xml:space="preserve">Predazzo - Scuole Medie      </t>
  </si>
  <si>
    <t>Predazzo-Bellamonte - Castellir</t>
  </si>
  <si>
    <t xml:space="preserve">  1220SC</t>
  </si>
  <si>
    <t xml:space="preserve">Predazzo(C.so Degasperi)     </t>
  </si>
  <si>
    <t>Bellamonte - Predazzo sc.</t>
  </si>
  <si>
    <t>scolastica
mar+gio</t>
  </si>
  <si>
    <t>Predazzo sc.-Bellamonte</t>
  </si>
  <si>
    <t>feriale invernale 
lun-ven-sab e gg. pre e postfest.
(non si effettua nel periodo di effettuazione 20 dic-fine marzo))</t>
  </si>
  <si>
    <t xml:space="preserve"> GC807JF</t>
  </si>
  <si>
    <t>FY240VT FR993WP</t>
  </si>
  <si>
    <t>9+7</t>
  </si>
  <si>
    <t>invernale feriale lu, ve, sab + prefest + postfest (eccetto intensificazione linea 123)</t>
  </si>
  <si>
    <t>invernale feriale 
da lunedì a sabato 
(periodo intensificazione circa 20 dic- fine marzo)</t>
  </si>
  <si>
    <t>FZ047KX</t>
  </si>
  <si>
    <t>GC807JF FR993WP</t>
  </si>
  <si>
    <t>20+7</t>
  </si>
  <si>
    <t>invernale feriale lu-sa (in intensificazione linea 123)</t>
  </si>
  <si>
    <t>invernale feriale lu, ve, sab + prefest + postfest (eccetto intensificazione)</t>
  </si>
  <si>
    <t>Masi di Imer - Pozza di fassa</t>
  </si>
  <si>
    <t>scolastica 
solo lunedì e postfest.</t>
  </si>
  <si>
    <t>HOTEL AL BIVIO SRL</t>
  </si>
  <si>
    <t>FB913BJ</t>
  </si>
  <si>
    <t>FZ987BE</t>
  </si>
  <si>
    <t>GA701ER</t>
  </si>
  <si>
    <t xml:space="preserve">  5111RR</t>
  </si>
  <si>
    <t>Masi di Imer</t>
  </si>
  <si>
    <t xml:space="preserve">POZZA DI FASSA               </t>
  </si>
  <si>
    <t>scolastica lu + postfest</t>
  </si>
  <si>
    <t>Pozza Fassa-Predazzo-P.so Rolle-Fiera P.-Imer</t>
  </si>
  <si>
    <t>Scolastica
venerdì+prefest. infrasett.</t>
  </si>
  <si>
    <t>scolastica ve + prefest</t>
  </si>
  <si>
    <t>Valcava - Segonzano - Cembra</t>
  </si>
  <si>
    <t>feriale 
solo mercoledì</t>
  </si>
  <si>
    <t xml:space="preserve">ZAMPEDRI STEFANO </t>
  </si>
  <si>
    <t>FE022HG</t>
  </si>
  <si>
    <t>ER812KZ</t>
  </si>
  <si>
    <t>annuale feriale me</t>
  </si>
  <si>
    <t>Cembra - Segonzano - Valcava</t>
  </si>
  <si>
    <t>S.Michele - Cembra</t>
  </si>
  <si>
    <t xml:space="preserve">  0954IA</t>
  </si>
  <si>
    <t xml:space="preserve">S.Michele a/A.- Ist. Agrario </t>
  </si>
  <si>
    <t>Cembra - Scancio di Segonzano</t>
  </si>
  <si>
    <t>Scancio di Segonzano-Sevignano
prolungamento  c.sa Cembra-Scancio</t>
  </si>
  <si>
    <t xml:space="preserve">Sevignano                    </t>
  </si>
  <si>
    <t>Cembra - Scancio di Segonzano - Sevignano</t>
  </si>
  <si>
    <t>Capriana-Grumese - Valda 
(prolungamento c.sa per S.Michele)</t>
  </si>
  <si>
    <t>Capriana-Grumes-Valda
(prolungamento c.sa per S.Michele)</t>
  </si>
  <si>
    <t>Ponte Arche - Trento (corsa bis)</t>
  </si>
  <si>
    <t>scolastica 
solo lunedì e posfest.</t>
  </si>
  <si>
    <t>56</t>
  </si>
  <si>
    <t>EV936EW</t>
  </si>
  <si>
    <t>Ponte Arche-Trento</t>
  </si>
  <si>
    <t>scolastica 
da martedì a venerdì 
(esclusi giorni postfest.)</t>
  </si>
  <si>
    <t>scolastica ma, me, gio, ve (no postfest)</t>
  </si>
  <si>
    <t>Tione-Trento</t>
  </si>
  <si>
    <t>FH993YZ</t>
  </si>
  <si>
    <t>EZ866DM</t>
  </si>
  <si>
    <t>DZ957SD</t>
  </si>
  <si>
    <t>GK228BZ (TN Service)</t>
  </si>
  <si>
    <t>P.Arche-Tione</t>
  </si>
  <si>
    <t>Trento-Tione</t>
  </si>
  <si>
    <t>GH779KX</t>
  </si>
  <si>
    <t>SOLETANA VIAGGI S.R.L. 3</t>
  </si>
  <si>
    <t>Tione-Ragoli-Trento</t>
  </si>
  <si>
    <t>invernale
feriale sabato</t>
  </si>
  <si>
    <t>FN299MX</t>
  </si>
  <si>
    <t>invernale feriale sab</t>
  </si>
  <si>
    <t>Tione - Ponte Arche (corsa bis)</t>
  </si>
  <si>
    <t>scolastica 
solo venerdì</t>
  </si>
  <si>
    <t xml:space="preserve"> Ponte Arche - Tione ( corsa bis)</t>
  </si>
  <si>
    <t>GH738AD</t>
  </si>
  <si>
    <t>Eliminata</t>
  </si>
  <si>
    <t>Sarche - Ponte Arche - Tione</t>
  </si>
  <si>
    <t>Trento-Lagolo</t>
  </si>
  <si>
    <t>GG613WS</t>
  </si>
  <si>
    <t xml:space="preserve">LAGOLO                       </t>
  </si>
  <si>
    <t>Lasino-Lagolo</t>
  </si>
  <si>
    <t>estiva
lun-mer-gio</t>
  </si>
  <si>
    <t xml:space="preserve">Lasino                       </t>
  </si>
  <si>
    <t>estiva feriale lu, me, gio</t>
  </si>
  <si>
    <t>Lagolo-Lasino</t>
  </si>
  <si>
    <t>Trento - Sardagna</t>
  </si>
  <si>
    <t>EW749GD</t>
  </si>
  <si>
    <t>GH658ZZ
no mart-ven e sab.</t>
  </si>
  <si>
    <t xml:space="preserve">  2620RO</t>
  </si>
  <si>
    <t xml:space="preserve">Sardagna (Rotatoria)         </t>
  </si>
  <si>
    <t>Sardagna - Trento</t>
  </si>
  <si>
    <t>GH658ZZ no mart e ven</t>
  </si>
  <si>
    <t>Trento-Sardagna-Vason-Viote</t>
  </si>
  <si>
    <t>CLUB DELLAI S.R.L.</t>
  </si>
  <si>
    <t>FF899CS</t>
  </si>
  <si>
    <t>GH658ZZ</t>
  </si>
  <si>
    <t>Viote-Vason-Sardagna-Trento</t>
  </si>
  <si>
    <t>Lagolo-Lasino-Vezzano</t>
  </si>
  <si>
    <t>PERINI FRANCO 4</t>
  </si>
  <si>
    <t>Lagolo-Trento</t>
  </si>
  <si>
    <t>Margone - Ranzo - Vezzano bivio sud</t>
  </si>
  <si>
    <t>GA007TD</t>
  </si>
  <si>
    <t xml:space="preserve">MARGONE                      </t>
  </si>
  <si>
    <t xml:space="preserve">  2040SN</t>
  </si>
  <si>
    <t xml:space="preserve">Vezzano Sud                  </t>
  </si>
  <si>
    <t>Vezzano Apt- Margone</t>
  </si>
  <si>
    <t>36</t>
  </si>
  <si>
    <t>Vezzano Apt - Ciago (bis)</t>
  </si>
  <si>
    <t xml:space="preserve">scolastica 
solo martedì e giovedì </t>
  </si>
  <si>
    <t xml:space="preserve">Ciago                        </t>
  </si>
  <si>
    <t>Vezzano Apt - Ranzo - Margone</t>
  </si>
  <si>
    <t>Vezzano - Fraveggio - Ciago - Ranzo (settimane pari)</t>
  </si>
  <si>
    <t>scolastica 
lunedì (settimane pari)</t>
  </si>
  <si>
    <t>ED726MM</t>
  </si>
  <si>
    <t>EX007PS</t>
  </si>
  <si>
    <t>EN858WY</t>
  </si>
  <si>
    <t xml:space="preserve">RANZO                        </t>
  </si>
  <si>
    <t>scolastica lu sett. Pari</t>
  </si>
  <si>
    <t xml:space="preserve">Drena - Masi di Vigo C. -  Vigo Cavedine </t>
  </si>
  <si>
    <t>Vigo Cavedine-Dro</t>
  </si>
  <si>
    <t>FW821WP</t>
  </si>
  <si>
    <t>feriale
non scolastica</t>
  </si>
  <si>
    <t>V.Cavedine-Trento</t>
  </si>
  <si>
    <t>festiva invernale</t>
  </si>
  <si>
    <t>Eliminata già compresa</t>
  </si>
  <si>
    <t>Vezzano Apt-V.Cavedine</t>
  </si>
  <si>
    <t>Vigo Cavedine - Vezzano -Trento</t>
  </si>
  <si>
    <t>Vezzano APT-Vigo Cavedine-Drena</t>
  </si>
  <si>
    <t>Drò - Drena - Vigo Cavedine-Calavino</t>
  </si>
  <si>
    <t>FL596HC</t>
  </si>
  <si>
    <t>Trento-Vezzano-v.Cavedine</t>
  </si>
  <si>
    <t>ES852SX</t>
  </si>
  <si>
    <t>ED494MM</t>
  </si>
  <si>
    <t>Vigo Cavedine - Masi di Vigio C. - Drena</t>
  </si>
  <si>
    <t>Trento-Drena</t>
  </si>
  <si>
    <t>Trento-Vigo Cavedine</t>
  </si>
  <si>
    <t>Trento-Terlago-M.te Terlago-Ciago-Vezzano-Vigo Cavedine-Drena</t>
  </si>
  <si>
    <t>Ceniga-Dro - Sarche - Trento (corsa bis)</t>
  </si>
  <si>
    <t>scolastica 
da martedì a venerdì 
(esclusi giorni postfest)</t>
  </si>
  <si>
    <t>FR952WP</t>
  </si>
  <si>
    <t xml:space="preserve">Ceniga                       </t>
  </si>
  <si>
    <t>Dro-Riva del Garda</t>
  </si>
  <si>
    <t>Lago Cavedine Trebi-Sarche</t>
  </si>
  <si>
    <t>FN308MX</t>
  </si>
  <si>
    <t xml:space="preserve">  2058TB</t>
  </si>
  <si>
    <t xml:space="preserve">Lago di Cavedine (Trebi)     </t>
  </si>
  <si>
    <t xml:space="preserve">  2120RR</t>
  </si>
  <si>
    <t xml:space="preserve">SARCHE (Centro Comm.)        </t>
  </si>
  <si>
    <t>Sarche - Pergolese - Pietramurata</t>
  </si>
  <si>
    <t xml:space="preserve">SARCHE (Cassa Rurale)        </t>
  </si>
  <si>
    <t xml:space="preserve">  2125FA</t>
  </si>
  <si>
    <t xml:space="preserve">Pietramurata </t>
  </si>
  <si>
    <t>Riva-Sarche (c.sa bis)</t>
  </si>
  <si>
    <t>Sarche-Lago Cavedine Trebi</t>
  </si>
  <si>
    <t>Sarche-Pergolese</t>
  </si>
  <si>
    <t>GJ571MK</t>
  </si>
  <si>
    <t xml:space="preserve">Pergolese                    </t>
  </si>
  <si>
    <t>Monte Terlago - Cadine - Forte Bus del Vela</t>
  </si>
  <si>
    <t xml:space="preserve">  0001PL</t>
  </si>
  <si>
    <t xml:space="preserve">"Forte Bus de Vela"         </t>
  </si>
  <si>
    <t>Monte Terlago - Cadine</t>
  </si>
  <si>
    <t>invernale + estiva
lunedì-sabato</t>
  </si>
  <si>
    <t xml:space="preserve">  2010RR</t>
  </si>
  <si>
    <t>Cadine</t>
  </si>
  <si>
    <t>Monte Terlago - Trento</t>
  </si>
  <si>
    <t>Cadine - Terlago - M.terlago</t>
  </si>
  <si>
    <t xml:space="preserve">Cadine                       </t>
  </si>
  <si>
    <t>Trento - Covelo-Ciago-Monte Terlago</t>
  </si>
  <si>
    <t>M.te Terlago - Laghi Lamar (prolungamento)</t>
  </si>
  <si>
    <t xml:space="preserve">Laghi di Lamar               </t>
  </si>
  <si>
    <t>Terlago bivio - M.te Terlago</t>
  </si>
  <si>
    <t xml:space="preserve">Terlago bivio                </t>
  </si>
  <si>
    <t>Trento - Monte Terlago</t>
  </si>
  <si>
    <t xml:space="preserve">MONTE TERLAGO (P.zza)        </t>
  </si>
  <si>
    <t>Terlago - Covelo - Maso Ariol - Monte Terlago</t>
  </si>
  <si>
    <t xml:space="preserve">TERLAGO                      </t>
  </si>
  <si>
    <t>Trento - Terlago - Covelo -Ciago - Monte Terlago</t>
  </si>
  <si>
    <t>Monte Terlago-Ciago-Vezzano-V.Cavedine</t>
  </si>
  <si>
    <t>invernale 
festiva</t>
  </si>
  <si>
    <t>L. Lamar -M.Terlago 17.55  (Prolungamento)</t>
  </si>
  <si>
    <t>M.Terlago-Covelo-Terlago-TN</t>
  </si>
  <si>
    <t>Monte Terlago - Covelo - Terlago - TN</t>
  </si>
  <si>
    <t>Trento - Monte Terlago (estate ore 18.40)</t>
  </si>
  <si>
    <t>Monte Terlago - Terlago - Trento</t>
  </si>
  <si>
    <t>invernale feriale 
solo sabato</t>
  </si>
  <si>
    <t>Sclemo - Stenico - Ponte Arche</t>
  </si>
  <si>
    <t>GG015PN</t>
  </si>
  <si>
    <t xml:space="preserve"> FN299MX</t>
  </si>
  <si>
    <t xml:space="preserve">  2215RR</t>
  </si>
  <si>
    <t>Sclemo</t>
  </si>
  <si>
    <t>S.Lorenzo in Banale - Molveno</t>
  </si>
  <si>
    <t>RIGOTTI FLAVIO</t>
  </si>
  <si>
    <t>FH845YZ</t>
  </si>
  <si>
    <t>ET848ZJ</t>
  </si>
  <si>
    <t xml:space="preserve">MOLVENO (Centro)             </t>
  </si>
  <si>
    <t xml:space="preserve">S.Lorenzo in B.- Andogno </t>
  </si>
  <si>
    <t>Feriale 
estiva + no scuola</t>
  </si>
  <si>
    <t>EZ992DM</t>
  </si>
  <si>
    <t xml:space="preserve">  2219CH</t>
  </si>
  <si>
    <t xml:space="preserve">S.Lorenzo (Chiesa)           </t>
  </si>
  <si>
    <t xml:space="preserve">Andogno                      </t>
  </si>
  <si>
    <t>estiva feriale lu-sa + no scol lu-sa</t>
  </si>
  <si>
    <t>Andogno - S.Lorenzo in B.</t>
  </si>
  <si>
    <t>S.Lorenzo in Banale - Ponte Arche</t>
  </si>
  <si>
    <t>invernale 
da lunedì a sabato</t>
  </si>
  <si>
    <t>Ponte Arche - S.Lorenzo in Banale</t>
  </si>
  <si>
    <t>S.Lorenzo in B.-Tavodo</t>
  </si>
  <si>
    <t xml:space="preserve">  2216SR</t>
  </si>
  <si>
    <t>Tavodo (incr.S.P.)</t>
  </si>
  <si>
    <t>Tavodo-Andogno - S.Lorenzo in B.</t>
  </si>
  <si>
    <t xml:space="preserve">  2216SP</t>
  </si>
  <si>
    <t xml:space="preserve">Tavodo (SP)                  </t>
  </si>
  <si>
    <t>S.Lorenzo - Molveno</t>
  </si>
  <si>
    <t xml:space="preserve">S.Lorenzo in Banale - Villa Banale - Ponte Arche </t>
  </si>
  <si>
    <t>Ponte Arche - Stenico - Sclemo</t>
  </si>
  <si>
    <t>GC420NL</t>
  </si>
  <si>
    <t>Molveno-Dorsino</t>
  </si>
  <si>
    <t>53</t>
  </si>
  <si>
    <t>FABIO VIAGGI SRL</t>
  </si>
  <si>
    <t>FZ898BE</t>
  </si>
  <si>
    <t>FZ897BE</t>
  </si>
  <si>
    <t>FZ896BE</t>
  </si>
  <si>
    <t xml:space="preserve">Dorsino                      </t>
  </si>
  <si>
    <t>Ponte Arche - S.Lorenzo - Molveno</t>
  </si>
  <si>
    <t>Ponte Arche - Sclemo - S.Lorenzo</t>
  </si>
  <si>
    <t>FZ556KF</t>
  </si>
  <si>
    <t>Lundo - Ponte Arche</t>
  </si>
  <si>
    <t>Lundo-P.Arche</t>
  </si>
  <si>
    <t>Ponte Arche - Lundo</t>
  </si>
  <si>
    <t>Villa-Sesto bivio - Ponte Arche - Tione (corsa bis)</t>
  </si>
  <si>
    <t xml:space="preserve">Villa di Bleggio             </t>
  </si>
  <si>
    <t>S.Croce - Ponte Arche</t>
  </si>
  <si>
    <t xml:space="preserve">SANTA CROCE                  </t>
  </si>
  <si>
    <t>Ponte Arche - Cares - Sesto bivio</t>
  </si>
  <si>
    <t>FRUNER VIAGGI IN EUROPA DI FRUNER TATIANA E SIMONE FRUNER SAS</t>
  </si>
  <si>
    <t>FW755WP</t>
  </si>
  <si>
    <t>FW720WP</t>
  </si>
  <si>
    <t xml:space="preserve">Sesto bivio                  </t>
  </si>
  <si>
    <t>Ponte Arche - S.Croce Bleggio</t>
  </si>
  <si>
    <t xml:space="preserve">scolastica 
lun+merc+ven </t>
  </si>
  <si>
    <t>Ponte Arche - Cavrasto - Bivedo</t>
  </si>
  <si>
    <t xml:space="preserve">scolastica 
solo  lun-mar-gio </t>
  </si>
  <si>
    <r>
      <t>Favrio - Dasindo - Fiavè loc. Curè -</t>
    </r>
    <r>
      <rPr>
        <strike/>
        <sz val="10"/>
        <rFont val="Arial"/>
        <family val="2"/>
      </rPr>
      <t xml:space="preserve"> Cornelle</t>
    </r>
    <r>
      <rPr>
        <sz val="10"/>
        <rFont val="Arial"/>
        <family val="2"/>
      </rPr>
      <t xml:space="preserve"> - Fiavè</t>
    </r>
  </si>
  <si>
    <t>FW184AM</t>
  </si>
  <si>
    <t xml:space="preserve">Favrio  </t>
  </si>
  <si>
    <t xml:space="preserve">  2185CA</t>
  </si>
  <si>
    <t xml:space="preserve">Fiave' (Caseificio)           </t>
  </si>
  <si>
    <t>Calvola - Ville del Monte</t>
  </si>
  <si>
    <t xml:space="preserve">Calvola                      </t>
  </si>
  <si>
    <t xml:space="preserve">Ville del Monte              </t>
  </si>
  <si>
    <t>Ville del Monte - Calvola</t>
  </si>
  <si>
    <t xml:space="preserve">scolastica 
lun+mar+mer+ven </t>
  </si>
  <si>
    <t>scolastica lu, ma, me, ve</t>
  </si>
  <si>
    <t xml:space="preserve">Ville del Monte - Ponte Arche </t>
  </si>
  <si>
    <t>Ville d.Monte S.Antonio-Fiavè-Ponte Arche</t>
  </si>
  <si>
    <t xml:space="preserve">  2221SA</t>
  </si>
  <si>
    <t xml:space="preserve">Villa S.Antonio              </t>
  </si>
  <si>
    <t>Ponte Arche - Fiavè - Lundo - Comano</t>
  </si>
  <si>
    <t xml:space="preserve">scolastica 
solo lunedì martedì e giovedì </t>
  </si>
  <si>
    <t>2170RR</t>
  </si>
  <si>
    <t>Comano Terme</t>
  </si>
  <si>
    <t xml:space="preserve">Riva del Garda - Tenno - Fiavè </t>
  </si>
  <si>
    <t>GF141FZ</t>
  </si>
  <si>
    <t xml:space="preserve">  2185RR</t>
  </si>
  <si>
    <t>FIAVE'</t>
  </si>
  <si>
    <t>Fiavè-V.Lomaso-P.Arche
prolungamento 16.35 Riva-Fiavè</t>
  </si>
  <si>
    <t xml:space="preserve">scolastica 
da lunedì a giovedì </t>
  </si>
  <si>
    <t xml:space="preserve"> GF141FZ</t>
  </si>
  <si>
    <t xml:space="preserve">Forti Lardaro-Praso-Daone
</t>
  </si>
  <si>
    <t xml:space="preserve">  2301RR</t>
  </si>
  <si>
    <t>Forti di Lardaro</t>
  </si>
  <si>
    <t xml:space="preserve">DAONE                        </t>
  </si>
  <si>
    <t>EK946GV</t>
  </si>
  <si>
    <t>FW907WP</t>
  </si>
  <si>
    <t>Por - Pieve di Bono (loc. Strada)</t>
  </si>
  <si>
    <t xml:space="preserve">Por                          </t>
  </si>
  <si>
    <t xml:space="preserve">  2304RR</t>
  </si>
  <si>
    <t>Strada</t>
  </si>
  <si>
    <t xml:space="preserve">Cimego-Castel Condino </t>
  </si>
  <si>
    <t xml:space="preserve">Ponte Cimego                 </t>
  </si>
  <si>
    <t>P.di Bono Borel - Castel Condino</t>
  </si>
  <si>
    <t xml:space="preserve">  2305BO</t>
  </si>
  <si>
    <t xml:space="preserve">Pieve di Bono (Tratt.Borel)  </t>
  </si>
  <si>
    <t>Baitoni-Riva</t>
  </si>
  <si>
    <t>SOLETANA VIAGGI S.R.L. 2</t>
  </si>
  <si>
    <t>Pieve di Bono-Storo-Riva</t>
  </si>
  <si>
    <t xml:space="preserve">PIEVE DI BONO                </t>
  </si>
  <si>
    <t>Tiarno Off.Mariani-Bezzecca-Riva del Garda</t>
  </si>
  <si>
    <t>Scolastica
solo lunedì</t>
  </si>
  <si>
    <t>2156MR</t>
  </si>
  <si>
    <t>Tiarno di Sopra-Mariani</t>
  </si>
  <si>
    <t xml:space="preserve">Riva del Garda - Pregasina </t>
  </si>
  <si>
    <t>Storo-Tremalzo bv.-Tiarno</t>
  </si>
  <si>
    <t>Estiva
lunedì-sabato a mesi alterni</t>
  </si>
  <si>
    <t>FC188RJ</t>
  </si>
  <si>
    <t>FR954WP</t>
  </si>
  <si>
    <t xml:space="preserve">STORO                        </t>
  </si>
  <si>
    <t xml:space="preserve">  2156RR</t>
  </si>
  <si>
    <t>TIARNO DI SOPRA</t>
  </si>
  <si>
    <t>estiva feriale lu-sa luglio/settembre</t>
  </si>
  <si>
    <t>420 bis</t>
  </si>
  <si>
    <t>EZ943DM</t>
  </si>
  <si>
    <t>ET984ZJ</t>
  </si>
  <si>
    <t>estiva feriale lu-sa giugno/agosto</t>
  </si>
  <si>
    <t>Riva-Bezzecca-Concei-Tiarno</t>
  </si>
  <si>
    <t xml:space="preserve">Tiarno-Tremalzo bv.-Storo
</t>
  </si>
  <si>
    <t>423 bis</t>
  </si>
  <si>
    <t>Tiarno-Concei-Bezzecca-Riva</t>
  </si>
  <si>
    <t>Tiarno-Tremalzo bv.-Storo</t>
  </si>
  <si>
    <t>Tiarno Sopra - Storo</t>
  </si>
  <si>
    <t>Scolastica
lun+mar+gio+ven</t>
  </si>
  <si>
    <t>EZ827RB</t>
  </si>
  <si>
    <t>FY833HP</t>
  </si>
  <si>
    <t xml:space="preserve">  2314RR</t>
  </si>
  <si>
    <t>scolastica lu, ma, gio, ve</t>
  </si>
  <si>
    <t>Tiarno - Storo-Baitoni-Darzo-P.di Bono</t>
  </si>
  <si>
    <t xml:space="preserve">Tiarno - Storo - Condino - Pieve di Bono </t>
  </si>
  <si>
    <t>FM433JT</t>
  </si>
  <si>
    <t>432 bis</t>
  </si>
  <si>
    <t>Invernale no scuola
lun-ven</t>
  </si>
  <si>
    <t>invernale feriale no scol lu-ve</t>
  </si>
  <si>
    <t>435 bis</t>
  </si>
  <si>
    <t>Bondone - Baitoni</t>
  </si>
  <si>
    <t>EZ779XL</t>
  </si>
  <si>
    <t xml:space="preserve">Bondone                      </t>
  </si>
  <si>
    <t>Loc. Ruc Riccomassimo-Lodrone</t>
  </si>
  <si>
    <t>5</t>
  </si>
  <si>
    <t>EX946HC</t>
  </si>
  <si>
    <t>DV944RG</t>
  </si>
  <si>
    <t xml:space="preserve">  2314RU</t>
  </si>
  <si>
    <t xml:space="preserve">Storo Al Ruch                 </t>
  </si>
  <si>
    <t xml:space="preserve">  2321RR</t>
  </si>
  <si>
    <t>Lodrone</t>
  </si>
  <si>
    <t>Estiva lunedì-venerdì</t>
  </si>
  <si>
    <t>SOLETANA VIAGGI S.R.L. 4</t>
  </si>
  <si>
    <t>445 bis</t>
  </si>
  <si>
    <t>Estiva sabato</t>
  </si>
  <si>
    <t>MAESTRI AUGUSTO &amp; C. S.N.C.</t>
  </si>
  <si>
    <t>MAESTRI AUGUSTO &amp; C. S.N.C.  Forfait</t>
  </si>
  <si>
    <t>Brione - Condino</t>
  </si>
  <si>
    <t xml:space="preserve">Brione di Condino            </t>
  </si>
  <si>
    <t xml:space="preserve">CONDINO                      </t>
  </si>
  <si>
    <t>Bondone - Ponte Caffaro bivio</t>
  </si>
  <si>
    <t xml:space="preserve">Ponte Caffaro Bivio          </t>
  </si>
  <si>
    <t>Servizio a chiamata Elastibus del Chiese fino Tione 2^ navetta Elastibus Bondone)</t>
  </si>
  <si>
    <t>GJ553MK</t>
  </si>
  <si>
    <t>FA919GW</t>
  </si>
  <si>
    <t>EZ943DM (solo orario invernale)</t>
  </si>
  <si>
    <t>annuale feriale lu-ve elastibus</t>
  </si>
  <si>
    <t>variazione da capitolato</t>
  </si>
  <si>
    <t>Ca' Rossa-Fontanedo-Tione-Istituto</t>
  </si>
  <si>
    <t>FT942AZ (Tn Service)</t>
  </si>
  <si>
    <t xml:space="preserve">  2313RR</t>
  </si>
  <si>
    <t>Ca' Rossa</t>
  </si>
  <si>
    <t xml:space="preserve">  2290IS</t>
  </si>
  <si>
    <t xml:space="preserve">Tione - Istituto             </t>
  </si>
  <si>
    <t>Prezzo - Pieve di Bono</t>
  </si>
  <si>
    <t xml:space="preserve">Prezzo                       </t>
  </si>
  <si>
    <t>Invernale
sabato</t>
  </si>
  <si>
    <t xml:space="preserve">BAITONI       </t>
  </si>
  <si>
    <t xml:space="preserve">TIONE Autostazione            </t>
  </si>
  <si>
    <t>FT942AZ (lu-ve)</t>
  </si>
  <si>
    <t>454 bis</t>
  </si>
  <si>
    <t>TRENTINOBUS SRL forfait</t>
  </si>
  <si>
    <t>Servizio a chiamata Elastibus del Chiese fino Tione 1^ navetta Elastibus Pieve Bono)</t>
  </si>
  <si>
    <t>GD933VT</t>
  </si>
  <si>
    <t>GK228BZ (sabato)</t>
  </si>
  <si>
    <t>Tione - Baitoni</t>
  </si>
  <si>
    <t xml:space="preserve">Ponte Caffaro - Bondone </t>
  </si>
  <si>
    <t xml:space="preserve">  2322BP</t>
  </si>
  <si>
    <t xml:space="preserve">Ponte Caffaro Bar Ponte      </t>
  </si>
  <si>
    <t>Ponte Caffaro-Storo-Baitoni</t>
  </si>
  <si>
    <t xml:space="preserve">Ponte Caffaro bivio          </t>
  </si>
  <si>
    <t xml:space="preserve">Condino - Brione </t>
  </si>
  <si>
    <t>scolastica 
solo venerdì e sabato</t>
  </si>
  <si>
    <t>scolastica ve, sa</t>
  </si>
  <si>
    <t>Baitoni-Bondone</t>
  </si>
  <si>
    <t>scolastica 
solo mar-gio-ven</t>
  </si>
  <si>
    <t>scolastica ma, gio, ve</t>
  </si>
  <si>
    <t xml:space="preserve">scolastica 
solo sabato </t>
  </si>
  <si>
    <t>scolastica 
gio+ven</t>
  </si>
  <si>
    <t>scolastica gio, ve</t>
  </si>
  <si>
    <t>Storo-Baitoni</t>
  </si>
  <si>
    <t xml:space="preserve">Pieve di Bono (loc. Creto) - Prezzo </t>
  </si>
  <si>
    <t>invernale 
solo sabato non scol.</t>
  </si>
  <si>
    <t>invernale feriale no scol sab</t>
  </si>
  <si>
    <t>SOLETANA VIAGGI S.R.L. 1</t>
  </si>
  <si>
    <t>scolastica 
solo lun+mer</t>
  </si>
  <si>
    <t>scolastica lu, me</t>
  </si>
  <si>
    <t>Storo - Lodrone - Baitoni</t>
  </si>
  <si>
    <t xml:space="preserve">Condino-Pieve di Bono - Strada </t>
  </si>
  <si>
    <t>scolastica 
lun+mar+mer</t>
  </si>
  <si>
    <t>scolastica lu, ma, me</t>
  </si>
  <si>
    <t>NUOVA eliminata</t>
  </si>
  <si>
    <t>ELIMINATA</t>
  </si>
  <si>
    <t>variazione km capitolato</t>
  </si>
  <si>
    <t>Vestone - Tione</t>
  </si>
  <si>
    <t>invernale feriale 
solo venerdì</t>
  </si>
  <si>
    <t xml:space="preserve">VESTONE                      </t>
  </si>
  <si>
    <t>invernale feriale ven</t>
  </si>
  <si>
    <t>Preore-Montagne</t>
  </si>
  <si>
    <t xml:space="preserve">Preore                       </t>
  </si>
  <si>
    <t xml:space="preserve">MONTAGNE (Binio)             </t>
  </si>
  <si>
    <t>Montagne-Tione</t>
  </si>
  <si>
    <t>Tione - Montagne</t>
  </si>
  <si>
    <t>FE856YK</t>
  </si>
  <si>
    <t>eliminata</t>
  </si>
  <si>
    <t>Tione-Tione-Ospedale-Tione</t>
  </si>
  <si>
    <t>Masi di Vigo - Vigo Cavedine</t>
  </si>
  <si>
    <t xml:space="preserve">  2055ST</t>
  </si>
  <si>
    <t xml:space="preserve">Masi di Sotto  civ. 6        </t>
  </si>
  <si>
    <t>Vigo Cavedine - Masi di Vigo</t>
  </si>
  <si>
    <t>Vigo Cavedine - Masi di Vigo - Drena</t>
  </si>
  <si>
    <t>FA893GW</t>
  </si>
  <si>
    <t xml:space="preserve"> FW805WP</t>
  </si>
  <si>
    <t>Tione - M. di Campiglio C.Carlo Magno</t>
  </si>
  <si>
    <t>invernale giornaliera</t>
  </si>
  <si>
    <t xml:space="preserve">CAMPO CARLOMAGNO             </t>
  </si>
  <si>
    <t>Massimeno - Giustino</t>
  </si>
  <si>
    <t xml:space="preserve">Massimeno                    </t>
  </si>
  <si>
    <t xml:space="preserve">Giustino                     </t>
  </si>
  <si>
    <t>C.C.Magno-Tione</t>
  </si>
  <si>
    <t>Tione-C.C.Magno</t>
  </si>
  <si>
    <t>CS792NG (il venerdì)</t>
  </si>
  <si>
    <t xml:space="preserve">  TIONE Autostazione            </t>
  </si>
  <si>
    <t xml:space="preserve">CAMPO CARLOMAGNO              </t>
  </si>
  <si>
    <t>Festiva invernale</t>
  </si>
  <si>
    <t>Terlago - Sopramonte</t>
  </si>
  <si>
    <t xml:space="preserve">  2621SD</t>
  </si>
  <si>
    <t xml:space="preserve">Sopramonte     </t>
  </si>
  <si>
    <t>Sopramonte - Monte Terlago</t>
  </si>
  <si>
    <t xml:space="preserve">Sopramonte                 </t>
  </si>
  <si>
    <t>Monte Terlago - Sopramonte</t>
  </si>
  <si>
    <t xml:space="preserve">GH658ZZ
no mart-ven </t>
  </si>
  <si>
    <t>Sopramomnte - Monte Terlago</t>
  </si>
  <si>
    <t>Rovereto-Trento</t>
  </si>
  <si>
    <t>BUS MANIA srl</t>
  </si>
  <si>
    <t>GE316VX</t>
  </si>
  <si>
    <t>FN191MX (Pedrinolla Gr.)</t>
  </si>
  <si>
    <t xml:space="preserve">  3100FR</t>
  </si>
  <si>
    <t>ROVERETO (Staz.F.S.)</t>
  </si>
  <si>
    <t>Trento-Rovereto</t>
  </si>
  <si>
    <t xml:space="preserve">  3100FS</t>
  </si>
  <si>
    <t>NUOVA frequenza corretta da capitolato</t>
  </si>
  <si>
    <t>invernale lunedì-venerdì</t>
  </si>
  <si>
    <t>ER923KZ (Aut. Andreolli)</t>
  </si>
  <si>
    <t>Vigile - Cimone bivio Pietra</t>
  </si>
  <si>
    <t>EH342PM</t>
  </si>
  <si>
    <t>FE271HG</t>
  </si>
  <si>
    <t>FC144RJ</t>
  </si>
  <si>
    <t xml:space="preserve">Vigile                       </t>
  </si>
  <si>
    <t xml:space="preserve">  3670PI</t>
  </si>
  <si>
    <t xml:space="preserve">Cimone - Bivio Pietra        </t>
  </si>
  <si>
    <t>non scolastica 
da lunedì a sabato</t>
  </si>
  <si>
    <t>estiva feriale 
solo giorno di giovedì</t>
  </si>
  <si>
    <t>estiva feriale gio</t>
  </si>
  <si>
    <t>Garniga V.-Garniga-Aldeno-Ravina-Trento</t>
  </si>
  <si>
    <t>Invernale
festiva</t>
  </si>
  <si>
    <t xml:space="preserve">GARNIGA VECCHIA              </t>
  </si>
  <si>
    <t>Garniga Vecchia- Garniga T. - Aldeno - Trento</t>
  </si>
  <si>
    <t>24</t>
  </si>
  <si>
    <t>Aldeno - Garniga - Ganiga Vecchia</t>
  </si>
  <si>
    <t xml:space="preserve">ALDENO                       </t>
  </si>
  <si>
    <t>Garniga Vecchia - Garniga - Aldeno - Trento</t>
  </si>
  <si>
    <t>Trento - Aldeno - Garniga - Garniga Vecchia</t>
  </si>
  <si>
    <t>Cimone bivio Pietra - Vigile</t>
  </si>
  <si>
    <t>Trento - Aldeno - Garniga - garniga Vecchia</t>
  </si>
  <si>
    <t>non scolastica 
da lunedì a venerdì</t>
  </si>
  <si>
    <t>estiva 
da lunedì a giovedì</t>
  </si>
  <si>
    <t>estiva feriale lu-gio</t>
  </si>
  <si>
    <t>Luserna - Caldonazzo - Pergine</t>
  </si>
  <si>
    <t>AUTOFFICINA LUNELLI DI LUNELLI STEFANO &amp; C. S.N.C.</t>
  </si>
  <si>
    <t>FW770WP</t>
  </si>
  <si>
    <t>GE387VX</t>
  </si>
  <si>
    <t>ES314MS</t>
  </si>
  <si>
    <t xml:space="preserve">LUSERNA                      </t>
  </si>
  <si>
    <t xml:space="preserve">  4270PT</t>
  </si>
  <si>
    <t>Caldonazzo</t>
  </si>
  <si>
    <t>Luserna-Caldonazzo-Pergine</t>
  </si>
  <si>
    <t>feriale estiva
da lunedì a venerdì</t>
  </si>
  <si>
    <t>14</t>
  </si>
  <si>
    <t>Carbonare - Vigolo Vattaro - Trento (corsa bis)</t>
  </si>
  <si>
    <t>scolastica a mesi alterni
da lunedì a venerdì</t>
  </si>
  <si>
    <t>STENGHELE SRL</t>
  </si>
  <si>
    <t>ER716KZ</t>
  </si>
  <si>
    <t>FF843CS</t>
  </si>
  <si>
    <t>GJ655MK</t>
  </si>
  <si>
    <t xml:space="preserve">CARBONARE                    </t>
  </si>
  <si>
    <t>scolastica lu-ve ott-dic-febb-apr-giu</t>
  </si>
  <si>
    <t>551 bis</t>
  </si>
  <si>
    <t xml:space="preserve">TOLLER S.N.C. DI TOLLER CALLISTO E C. </t>
  </si>
  <si>
    <t>GJ549MK</t>
  </si>
  <si>
    <t>FZ734BE</t>
  </si>
  <si>
    <t>scolastica lu-ve sett-nov-genn-mar-magg</t>
  </si>
  <si>
    <t>NUOVA Eliminata già compresa</t>
  </si>
  <si>
    <t>Caldonazzo-Pergine</t>
  </si>
  <si>
    <t>Centa - Calceranica</t>
  </si>
  <si>
    <t>FN483MX</t>
  </si>
  <si>
    <t>GC523CS</t>
  </si>
  <si>
    <t>ER857KZ</t>
  </si>
  <si>
    <t xml:space="preserve">CENTA                        </t>
  </si>
  <si>
    <t xml:space="preserve">  4260RR</t>
  </si>
  <si>
    <t>Calceranica al Lago</t>
  </si>
  <si>
    <t>Pian dei Pradi - Trento (corsa bis)</t>
  </si>
  <si>
    <t xml:space="preserve"> ED494MM</t>
  </si>
  <si>
    <t xml:space="preserve"> ED909MM</t>
  </si>
  <si>
    <t>FE585HG  FF601CS (Martina)</t>
  </si>
  <si>
    <t>62  61</t>
  </si>
  <si>
    <t>Pian Dei Pradi</t>
  </si>
  <si>
    <t>Vattaro - Vigolo Vattaro (corsa bis)</t>
  </si>
  <si>
    <t xml:space="preserve">VATTARO                      </t>
  </si>
  <si>
    <t xml:space="preserve">VIGOLO VATTARO               </t>
  </si>
  <si>
    <t>Bosentino - Vigolo Vattaro (corsa bis)</t>
  </si>
  <si>
    <t xml:space="preserve">Bosentino                    </t>
  </si>
  <si>
    <t>Vigolo Vattaro - Levico</t>
  </si>
  <si>
    <t xml:space="preserve">  4300SP</t>
  </si>
  <si>
    <t xml:space="preserve">Levico T.-Via Roma, 61       </t>
  </si>
  <si>
    <t>Caldonazzo-Luserna</t>
  </si>
  <si>
    <t xml:space="preserve">  4270FS</t>
  </si>
  <si>
    <t xml:space="preserve">Caldonazzo - Staz. FS        </t>
  </si>
  <si>
    <t>Lavarone - V.Vattaro</t>
  </si>
  <si>
    <t xml:space="preserve">STENGHELE SRL  </t>
  </si>
  <si>
    <t xml:space="preserve">LAVARONE CAPPELLA            </t>
  </si>
  <si>
    <t>Luserna - Caldonazzo</t>
  </si>
  <si>
    <t>Invernale feriale
solo giovedì</t>
  </si>
  <si>
    <t>invernale feriale gio</t>
  </si>
  <si>
    <t>Centa-Bosentino-V.Vattaro-Trento</t>
  </si>
  <si>
    <t>Centa - Pergine</t>
  </si>
  <si>
    <t>FN117MX</t>
  </si>
  <si>
    <t>Luserna-Caldonazzo</t>
  </si>
  <si>
    <t>Trento-Lavarone</t>
  </si>
  <si>
    <t xml:space="preserve">FT534CV </t>
  </si>
  <si>
    <t xml:space="preserve">TRENTO   (Autostaz.)          </t>
  </si>
  <si>
    <t xml:space="preserve">LAVARONE CAPPELLA             </t>
  </si>
  <si>
    <t>Pian dei Pradi - Lavarone</t>
  </si>
  <si>
    <t>Trento-V.Vattaro-Bosentino-Centa</t>
  </si>
  <si>
    <t>Trento-V.Vattaro-Bosentino-Centa-Carbonare</t>
  </si>
  <si>
    <t>Pergine - Bosentino-V.Vattaro</t>
  </si>
  <si>
    <t>TOMA SPEED DI TOMASELLI PIERGIORGIO</t>
  </si>
  <si>
    <t>EJ940ZA</t>
  </si>
  <si>
    <t>FF724CS</t>
  </si>
  <si>
    <t xml:space="preserve">Pergine - Levico - Centa </t>
  </si>
  <si>
    <t>Pergine - Caldonazzo-Luserna</t>
  </si>
  <si>
    <t>Carbonare-Centa-Bosentino-V.Vattaro-Trento</t>
  </si>
  <si>
    <t>Centa - Trento</t>
  </si>
  <si>
    <t>ED909MM /solo al sabato GC523CS (23)</t>
  </si>
  <si>
    <t>Trento - Vigolo Vattaro -Centa</t>
  </si>
  <si>
    <t>FE585HG</t>
  </si>
  <si>
    <t>Levico -Vigolo vattaro</t>
  </si>
  <si>
    <t xml:space="preserve">  4300IC</t>
  </si>
  <si>
    <t>Levico T.-Istituto Comprensivo</t>
  </si>
  <si>
    <t>Lavarone-Trento</t>
  </si>
  <si>
    <t>GH569KX</t>
  </si>
  <si>
    <t>FG963XM</t>
  </si>
  <si>
    <t>Caldonazzo  FS-Luserna</t>
  </si>
  <si>
    <t>Trento-Centa</t>
  </si>
  <si>
    <t>AUTONOLEGGI PEGORARO S.N.C. di PEGORARO LUCIANO &amp; C.</t>
  </si>
  <si>
    <t>FV847NS</t>
  </si>
  <si>
    <t>FE301HG</t>
  </si>
  <si>
    <t>GA464GE</t>
  </si>
  <si>
    <t xml:space="preserve">S.Giacomo - Brentonico </t>
  </si>
  <si>
    <t>4</t>
  </si>
  <si>
    <t>ANDREOLLI FRANCO</t>
  </si>
  <si>
    <t>FT016JR</t>
  </si>
  <si>
    <t>EM088EK</t>
  </si>
  <si>
    <t xml:space="preserve">Passo S.Valentino            </t>
  </si>
  <si>
    <t xml:space="preserve">BRENTONICO                   </t>
  </si>
  <si>
    <t>Mori - Besagno - Brentonico</t>
  </si>
  <si>
    <t>AUTOSERVIZI ANDREOLLI SNC DI ANDREOLLI PAOLO &amp; C.</t>
  </si>
  <si>
    <t>FG831XD</t>
  </si>
  <si>
    <t>FV848NS</t>
  </si>
  <si>
    <t xml:space="preserve">  3542UR</t>
  </si>
  <si>
    <t xml:space="preserve">Mori di fronte Mc Donald's   </t>
  </si>
  <si>
    <t>Mori FS - Mori Bar Centrale</t>
  </si>
  <si>
    <t xml:space="preserve">Mori (Stazione F.S.)         </t>
  </si>
  <si>
    <t xml:space="preserve">MORI (Bar Centrale)          </t>
  </si>
  <si>
    <t>Guardia di Folgaria - Mezzomonte</t>
  </si>
  <si>
    <t>VALDUGA FRANCESCO</t>
  </si>
  <si>
    <t>FL716HC</t>
  </si>
  <si>
    <t>FT534CV (Stenghele)</t>
  </si>
  <si>
    <t xml:space="preserve">Guardia di Folgaria          </t>
  </si>
  <si>
    <t xml:space="preserve">Mezzomonte                   </t>
  </si>
  <si>
    <t>Folgaria - Rovereto F.S.  (corsa bis)</t>
  </si>
  <si>
    <t>PEDRINOLLA GRAZIANO s.r.l.</t>
  </si>
  <si>
    <t xml:space="preserve"> EP148JJ </t>
  </si>
  <si>
    <t>FL648HC</t>
  </si>
  <si>
    <t xml:space="preserve">  3045SP</t>
  </si>
  <si>
    <t xml:space="preserve">FOLGARIA (Palasport)         </t>
  </si>
  <si>
    <t>Guardia di Folgaria - Mezzomonte - Folgaria</t>
  </si>
  <si>
    <t>estiva feriale 
solo giorno di martedì</t>
  </si>
  <si>
    <t>ED930MM</t>
  </si>
  <si>
    <t xml:space="preserve">  3045NU</t>
  </si>
  <si>
    <t xml:space="preserve">Folgaria - P.le N.Unite      </t>
  </si>
  <si>
    <t>estiva feriale ma</t>
  </si>
  <si>
    <t>invernale feriale 
solo martedì</t>
  </si>
  <si>
    <t>invernale feriale ma</t>
  </si>
  <si>
    <t>Rovereto - Folgaria</t>
  </si>
  <si>
    <t>FN025MX</t>
  </si>
  <si>
    <t>Folgaria - Mezzomonte - Guardia di Fogaria</t>
  </si>
  <si>
    <t>feriale 
solo martedì</t>
  </si>
  <si>
    <t>annuale feriale ma</t>
  </si>
  <si>
    <t xml:space="preserve">Folgaria - Rovereto </t>
  </si>
  <si>
    <t>Luserna-Lavarone-Carbonare-Folgaria-Calliano-Rovereto,</t>
  </si>
  <si>
    <t>Mezzomonte-Guardia di Folgaria</t>
  </si>
  <si>
    <t>Mezzomonte - Guardia di Folgaria</t>
  </si>
  <si>
    <t>Rovereto-Calliano-Folgaria-Carbonare-Lavarone-Luserna</t>
  </si>
  <si>
    <t>invernale + estiva
festiva</t>
  </si>
  <si>
    <t>Valle S.Felice - Rovereto (c.sa bis)</t>
  </si>
  <si>
    <t xml:space="preserve">VALLE S.FELICE               </t>
  </si>
  <si>
    <t xml:space="preserve">  3100PC</t>
  </si>
  <si>
    <t xml:space="preserve">Rovereto - Ist. don Milani   </t>
  </si>
  <si>
    <t>Ronzo-V.S.Felice.Mori-Rovereto</t>
  </si>
  <si>
    <t>feriale invernale
da lunedì a venerdì</t>
  </si>
  <si>
    <t xml:space="preserve">RONZO CHIENIS                </t>
  </si>
  <si>
    <t>Aldeno - Pomarolo</t>
  </si>
  <si>
    <t>FR792WP</t>
  </si>
  <si>
    <t xml:space="preserve">Pomarolo                     </t>
  </si>
  <si>
    <t>Pian delle Fugazze - Raossi</t>
  </si>
  <si>
    <t>20,00</t>
  </si>
  <si>
    <t xml:space="preserve">RAOSSI                       </t>
  </si>
  <si>
    <t>Raossi - Valmorbia</t>
  </si>
  <si>
    <t>feriale 
solo lunedì e giovedì</t>
  </si>
  <si>
    <t xml:space="preserve">Valmorbia                    </t>
  </si>
  <si>
    <t>annuale feriale lu, gio</t>
  </si>
  <si>
    <t>Valmorbia - Raossi</t>
  </si>
  <si>
    <t>Raossi - Piano Vallarsa -P. Fugazze - Camposilvano</t>
  </si>
  <si>
    <t xml:space="preserve">  CAMPOSILVANO                 </t>
  </si>
  <si>
    <t xml:space="preserve">Camposilvano - Speccheri  - Raossi </t>
  </si>
  <si>
    <t>Raossi - Vanza (in estate ore 10.35)</t>
  </si>
  <si>
    <t xml:space="preserve">  3155SP</t>
  </si>
  <si>
    <t xml:space="preserve">Vanza paese incr. SP50       </t>
  </si>
  <si>
    <t xml:space="preserve">Vanza - Anghebeni-S.Anna.-Anghebeni-Raossi </t>
  </si>
  <si>
    <t xml:space="preserve">Vanza SP50                   </t>
  </si>
  <si>
    <t>Raossi - Pian delle Fugazze</t>
  </si>
  <si>
    <t>Pian delle Fugazze - Camposilvano- Speccheri- Raossi</t>
  </si>
  <si>
    <t>Rovereto - Pozzacchio</t>
  </si>
  <si>
    <t xml:space="preserve">POZZACCHIO                   </t>
  </si>
  <si>
    <t>Rovereto-Camposilvano</t>
  </si>
  <si>
    <t>Rovereto-Pozzacchio</t>
  </si>
  <si>
    <t>Ometto - Rovereto</t>
  </si>
  <si>
    <t xml:space="preserve">OMETTO                       </t>
  </si>
  <si>
    <t xml:space="preserve">  3100VP</t>
  </si>
  <si>
    <t xml:space="preserve">ROVERETO (Aut.-V.Paoli)      </t>
  </si>
  <si>
    <t>Rovereto - Raossi</t>
  </si>
  <si>
    <t>feriale non scolastica 
da lunedì a venerdì</t>
  </si>
  <si>
    <t xml:space="preserve">ROVERETO  (Autostaz.)        </t>
  </si>
  <si>
    <t>Raossi -Ometto</t>
  </si>
  <si>
    <t>feriale 
solo martedì mercoledì e venerdì</t>
  </si>
  <si>
    <t>annuale feriale ma, me, ve</t>
  </si>
  <si>
    <t>Ometto - Raossi</t>
  </si>
  <si>
    <t>Raossi - Albaredo</t>
  </si>
  <si>
    <t xml:space="preserve">Albaredo                     </t>
  </si>
  <si>
    <t>Albaredo - Raossi</t>
  </si>
  <si>
    <t>Raossi - Ometto</t>
  </si>
  <si>
    <t>Serrada - Terragnolo - Rovereto F.S.</t>
  </si>
  <si>
    <t xml:space="preserve">  3047RR</t>
  </si>
  <si>
    <t>SERRADA</t>
  </si>
  <si>
    <t>Geroli - Piazza di Terragnolo - Zencheri           (ore 6.50 prolungamento per Valle e Costa)</t>
  </si>
  <si>
    <t>GE316VX (Busmania)</t>
  </si>
  <si>
    <t xml:space="preserve">Geroli                       </t>
  </si>
  <si>
    <t xml:space="preserve">PIAZZA DI TERRAGNOLO         </t>
  </si>
  <si>
    <t>Zoreri-Piazza Terragnolo-Rovereto</t>
  </si>
  <si>
    <t>feriale invernale 
martedì e giovedì</t>
  </si>
  <si>
    <t xml:space="preserve">BUS MANIA SRL </t>
  </si>
  <si>
    <t>EX673MT</t>
  </si>
  <si>
    <t xml:space="preserve">Zoreri-Soldati               </t>
  </si>
  <si>
    <t>invernale feriale ma, gio</t>
  </si>
  <si>
    <t>estiva 
martedì feriale</t>
  </si>
  <si>
    <t>Rovereto-Terragnolo - Serrada - Folgaria</t>
  </si>
  <si>
    <t xml:space="preserve">  3045PG</t>
  </si>
  <si>
    <t xml:space="preserve">Folgaria (Via Battisti)      </t>
  </si>
  <si>
    <t>Rovereto-Piazza Terragnolo - Zoreri</t>
  </si>
  <si>
    <t>Piazza di Terragnolo -Zoreri - Geroli</t>
  </si>
  <si>
    <t>Vò Sinistro - Ala Fs</t>
  </si>
  <si>
    <t>FV978FS</t>
  </si>
  <si>
    <t>FN191MX</t>
  </si>
  <si>
    <t>FH120DD</t>
  </si>
  <si>
    <t xml:space="preserve">  3358PL</t>
  </si>
  <si>
    <t xml:space="preserve">Vo' Sinistro (Pass.Livello)  </t>
  </si>
  <si>
    <t xml:space="preserve">  3346FS</t>
  </si>
  <si>
    <t xml:space="preserve">ALA (Staz. FS)               </t>
  </si>
  <si>
    <t>PEDRINOLLA GRAZIANO s.r.l. 2</t>
  </si>
  <si>
    <t>Ala Fs - Avio</t>
  </si>
  <si>
    <t xml:space="preserve">  3350VB</t>
  </si>
  <si>
    <t xml:space="preserve">AVIO (Via M.Baldo)           </t>
  </si>
  <si>
    <t>Avio - Ala Fs</t>
  </si>
  <si>
    <t xml:space="preserve">  3350CC</t>
  </si>
  <si>
    <t xml:space="preserve">Avio (carabinieri)           </t>
  </si>
  <si>
    <t>Ala Fs-Serravalle-Chizzola-Pilcante</t>
  </si>
  <si>
    <t xml:space="preserve">Pilcante                     </t>
  </si>
  <si>
    <t>PEDRINOLLA GRAZIANO s.r.l. 1</t>
  </si>
  <si>
    <t>Avio CC - Ala FS</t>
  </si>
  <si>
    <t>scolastica 
 sabato</t>
  </si>
  <si>
    <t>Avio - Masi d'Avio</t>
  </si>
  <si>
    <t xml:space="preserve">MASI D'AVIO                  </t>
  </si>
  <si>
    <t>Masi d'Avio - Ala Fs</t>
  </si>
  <si>
    <t>Ala-Serravalle-Chizzola-Ala</t>
  </si>
  <si>
    <t xml:space="preserve">  3346OR</t>
  </si>
  <si>
    <t>ALA (Ospedale bivio)</t>
  </si>
  <si>
    <t xml:space="preserve">ALA (Ospedale bivio).        </t>
  </si>
  <si>
    <t>Ala Fs - Vò Sinistro</t>
  </si>
  <si>
    <t>Ala Fs-Avio</t>
  </si>
  <si>
    <t>Avio-Ala Fs</t>
  </si>
  <si>
    <t>Ronchi di Ala (Ponzolotti) - Ala F.S.</t>
  </si>
  <si>
    <t>PEDRINOLLA FABRIZIO</t>
  </si>
  <si>
    <t>FT944AZ</t>
  </si>
  <si>
    <t>GA991ZZ</t>
  </si>
  <si>
    <t>FW865WP</t>
  </si>
  <si>
    <t xml:space="preserve">  3337PO</t>
  </si>
  <si>
    <t xml:space="preserve">Ponzolotti                   </t>
  </si>
  <si>
    <t>Ala F.S.- Ronchi di Ala</t>
  </si>
  <si>
    <t xml:space="preserve">Ronchi di Ala                </t>
  </si>
  <si>
    <t>Ala - Ronchi di Ala -Ponzolotti</t>
  </si>
  <si>
    <t>Ponzolotti - Ronchi di Ala -  Ala F.S.</t>
  </si>
  <si>
    <t>Ala F.S. - Ronchi di Ala + (Ponzolotti)</t>
  </si>
  <si>
    <t>(Ponzolotti) + Ronchi di Ala - Ala F.S.</t>
  </si>
  <si>
    <t>Ala F.S. - Ronchi di Ala ( Ponzolotti)</t>
  </si>
  <si>
    <t xml:space="preserve">scolastica 
da lunedì a venerdì; 
non scolastici 
solo lun-merc-ven  </t>
  </si>
  <si>
    <t>scolastica lu-ve + non scol lu, me, ve</t>
  </si>
  <si>
    <t>(Ponzolotti)+Ronchi di Ala - Ala F.S.</t>
  </si>
  <si>
    <t>Levico T. - Borgo V.</t>
  </si>
  <si>
    <t>scolastica solo sabato</t>
  </si>
  <si>
    <t xml:space="preserve">LEVICO T.  (Autostaz.)       </t>
  </si>
  <si>
    <t xml:space="preserve">  4400VA</t>
  </si>
  <si>
    <t xml:space="preserve">BORGO VALS. (Valli)          </t>
  </si>
  <si>
    <t>MARTINA MATTEO 4</t>
  </si>
  <si>
    <t>invernale non scolastico lunedì-venerdì</t>
  </si>
  <si>
    <t>MARTINA MATTEO 3</t>
  </si>
  <si>
    <t>Borgo-Levico-Caldonazzo-Trento</t>
  </si>
  <si>
    <t xml:space="preserve">MARTINA MATTEO </t>
  </si>
  <si>
    <t>FF601CS</t>
  </si>
  <si>
    <t>FR576WM</t>
  </si>
  <si>
    <t>Trento-Pergine-gallerie-Levico-Borgo</t>
  </si>
  <si>
    <t>Levico - Borgo Valsugana</t>
  </si>
  <si>
    <t>MARGON DIEGO</t>
  </si>
  <si>
    <t>EP445NZ</t>
  </si>
  <si>
    <t>EX952HC</t>
  </si>
  <si>
    <t>Trento - Pergine</t>
  </si>
  <si>
    <t>FR777WP</t>
  </si>
  <si>
    <t>FE205HG</t>
  </si>
  <si>
    <t>FY999HP</t>
  </si>
  <si>
    <t>Trento-Borgo V.</t>
  </si>
  <si>
    <t>MARTINA MATTEO 1</t>
  </si>
  <si>
    <t>Trento-Pergine-Levico-Borgo</t>
  </si>
  <si>
    <t>FN678GD</t>
  </si>
  <si>
    <t>Baselga P.-Rizzolaga (prolungamento c.sa x Sover)</t>
  </si>
  <si>
    <t xml:space="preserve">Rizzolaga                    </t>
  </si>
  <si>
    <t>Rizzolaga-Sover</t>
  </si>
  <si>
    <t>Trento-Baselga</t>
  </si>
  <si>
    <t>EZ997DM</t>
  </si>
  <si>
    <t>FN554MX (MDL)</t>
  </si>
  <si>
    <t>Baselga-Trento</t>
  </si>
  <si>
    <t>Trento- Giro Città-Nogarè-Baselga-Montesover</t>
  </si>
  <si>
    <t>Trento-Pergine-Baselga Pinè</t>
  </si>
  <si>
    <t>Fiorè - Baselga di Pinè</t>
  </si>
  <si>
    <t>6</t>
  </si>
  <si>
    <t>GC624CS</t>
  </si>
  <si>
    <t xml:space="preserve"> EM401DR (Groff Tour)</t>
  </si>
  <si>
    <t>FY975HP</t>
  </si>
  <si>
    <t xml:space="preserve">Fiore'                       </t>
  </si>
  <si>
    <t>Baselga di Pinè - Fiorè</t>
  </si>
  <si>
    <t>scolastica 
solo sabato</t>
  </si>
  <si>
    <t>Borgo-Torcegno</t>
  </si>
  <si>
    <t>EK645JA</t>
  </si>
  <si>
    <t xml:space="preserve">TORCEGNO                     </t>
  </si>
  <si>
    <t>Torcegno-Borgo</t>
  </si>
  <si>
    <t>Borgo -Torcegno</t>
  </si>
  <si>
    <t>Borgo-Olle</t>
  </si>
  <si>
    <t xml:space="preserve">OLLE                         </t>
  </si>
  <si>
    <t>Olle-Borgo</t>
  </si>
  <si>
    <t>Ronchi Valsugana  giro masi - Borgo vals.</t>
  </si>
  <si>
    <t>FF723CS</t>
  </si>
  <si>
    <t xml:space="preserve">Ronchi (Zurli)               </t>
  </si>
  <si>
    <t xml:space="preserve"> Borgo vals. - Ronchi Valsugana  giro masi</t>
  </si>
  <si>
    <t>Borgo-Ronchi</t>
  </si>
  <si>
    <t>Ronchi Borgo</t>
  </si>
  <si>
    <t>S. Orsola Mantovani- Mala - Viarago - Pergine (corsa bis)</t>
  </si>
  <si>
    <t>FS143ZG</t>
  </si>
  <si>
    <t xml:space="preserve">  4123RR</t>
  </si>
  <si>
    <t>S.ORSOLA</t>
  </si>
  <si>
    <t xml:space="preserve">  4100SA</t>
  </si>
  <si>
    <t xml:space="preserve">Pergine V. Scuole Andreatta  </t>
  </si>
  <si>
    <t>Serso-Pergine V. 
C.sa bis L.417</t>
  </si>
  <si>
    <t>FONTANARI SERGIO</t>
  </si>
  <si>
    <t>FC109RJ</t>
  </si>
  <si>
    <t>FY964HP</t>
  </si>
  <si>
    <t xml:space="preserve">Serso                        </t>
  </si>
  <si>
    <t xml:space="preserve">Palù del Fersina - Viarago - Pergine </t>
  </si>
  <si>
    <t>VALBUS S.R.L.</t>
  </si>
  <si>
    <t>FP560ED</t>
  </si>
  <si>
    <t>FL786HC</t>
  </si>
  <si>
    <t>ER857KZ (Club dellai)</t>
  </si>
  <si>
    <t xml:space="preserve">PALU' del F.                 </t>
  </si>
  <si>
    <t>Pergine-Palù del Fersina</t>
  </si>
  <si>
    <t>4126BA</t>
  </si>
  <si>
    <t>Battisti</t>
  </si>
  <si>
    <t>Maso Tingherla-Kamauz (prolungamento c.sa x Roveda bv)</t>
  </si>
  <si>
    <t>invernale scolastico
lunedì-sabato</t>
  </si>
  <si>
    <t>PERGBUS DI FUCHS MARIO E C. S.N.C.</t>
  </si>
  <si>
    <t>FE293HG</t>
  </si>
  <si>
    <t>FN143MX</t>
  </si>
  <si>
    <t xml:space="preserve">Maso Tingherla               </t>
  </si>
  <si>
    <t xml:space="preserve">KAMAUZ                       </t>
  </si>
  <si>
    <t>Hacleri-Canezza Bar al Sole-Pergine</t>
  </si>
  <si>
    <t xml:space="preserve">Hacleri                      </t>
  </si>
  <si>
    <t>Hacleri-Pergine</t>
  </si>
  <si>
    <t>Hacleri-pergine</t>
  </si>
  <si>
    <t>Kamauz - Roveda Bivio</t>
  </si>
  <si>
    <t xml:space="preserve">Roveda bivio                 </t>
  </si>
  <si>
    <t>Maso S. Lorenzo - S. Felice  Fierozzo</t>
  </si>
  <si>
    <t>FB779BJ</t>
  </si>
  <si>
    <t>FN217MX (Corn Adolfo)</t>
  </si>
  <si>
    <t xml:space="preserve">  4142SL</t>
  </si>
  <si>
    <t>S.Felice Fierozzo Maso Lorenzo</t>
  </si>
  <si>
    <t>S. Felice Fierozzo</t>
  </si>
  <si>
    <t>Maso Tingherla-Kamauz - Roveda Bivio</t>
  </si>
  <si>
    <t>Kamauz - Canezza - Pergine
+1,8km prolungamento bar sole</t>
  </si>
  <si>
    <t>25</t>
  </si>
  <si>
    <t>FR781WP</t>
  </si>
  <si>
    <t>EJ941ZA</t>
  </si>
  <si>
    <t>274/275</t>
  </si>
  <si>
    <t>Pergine-Fierozzo-Palu' F.-S.Orsola-Pergine</t>
  </si>
  <si>
    <t>Festiva</t>
  </si>
  <si>
    <t>PLANCHEL RENATO</t>
  </si>
  <si>
    <t>GG487PS</t>
  </si>
  <si>
    <t>FL606HC</t>
  </si>
  <si>
    <t>Pergine - Canezza - Kamauz</t>
  </si>
  <si>
    <t>Pergine - Frassilongo - Fierozzo - Hacleri</t>
  </si>
  <si>
    <t>GG078PN</t>
  </si>
  <si>
    <t>276/277</t>
  </si>
  <si>
    <t>Pergine-Fierozzo-Palu' F.-S.Orsola-Pergine (estate ore 12.45)</t>
  </si>
  <si>
    <t>Roveda bivio - Kamauz</t>
  </si>
  <si>
    <t>Kamuz - Roveda Bivio</t>
  </si>
  <si>
    <t>Kamauz - Maso Tingerla (prolungamento)</t>
  </si>
  <si>
    <t>Pergine - Fierozzo - Hacleri - Palù del Fersina</t>
  </si>
  <si>
    <t>Roveda bivio - Kamauz-Maso Tingherla</t>
  </si>
  <si>
    <t>Pergine-Hacleri</t>
  </si>
  <si>
    <t>278/279</t>
  </si>
  <si>
    <t xml:space="preserve">Pergine-Hacleri </t>
  </si>
  <si>
    <t>Ischia-Pergine V
(c.sa bis a L.423)</t>
  </si>
  <si>
    <t xml:space="preserve">ISCHIA DI PERGINE            </t>
  </si>
  <si>
    <t>Pergine - Tenna - Levico</t>
  </si>
  <si>
    <t xml:space="preserve">  4300PM</t>
  </si>
  <si>
    <t xml:space="preserve">LEVICO T.( Via Avancini)     </t>
  </si>
  <si>
    <t>Pergine - Falesina</t>
  </si>
  <si>
    <t>feriale 
solo giovedì</t>
  </si>
  <si>
    <t>GE440VX</t>
  </si>
  <si>
    <t xml:space="preserve">Falesina                     </t>
  </si>
  <si>
    <t>annuale feriale gio</t>
  </si>
  <si>
    <t>Falesina - Pergine</t>
  </si>
  <si>
    <t>Regnana Alta-Centrale B.</t>
  </si>
  <si>
    <t xml:space="preserve">  4048AL</t>
  </si>
  <si>
    <t xml:space="preserve">Regnana Alta                 </t>
  </si>
  <si>
    <t xml:space="preserve">CENTRALE DI BEDOLLO          </t>
  </si>
  <si>
    <t>Regnana-Centrale</t>
  </si>
  <si>
    <t xml:space="preserve">REGNANA                      </t>
  </si>
  <si>
    <t>Centrale-Regnana</t>
  </si>
  <si>
    <t>S.Mauro - Baselga di Pinè</t>
  </si>
  <si>
    <t>GE457VX (Groff Tour)</t>
  </si>
  <si>
    <t xml:space="preserve">S.MAURO                      </t>
  </si>
  <si>
    <t xml:space="preserve">BASELGA di PINE' (Lago)      </t>
  </si>
  <si>
    <t xml:space="preserve">Baselga di Pinè - S.Mauro </t>
  </si>
  <si>
    <t>Roncegno giro Masi - Borgo Vals.
  la partenza ad ore 8.00 solo mesi di luglio e agosto (con orario estivo giu e set ore 9.00)</t>
  </si>
  <si>
    <t xml:space="preserve">estivo feriale
solo giorni di lunedì e mercoledì </t>
  </si>
  <si>
    <t xml:space="preserve">RONCEGNO TERME               </t>
  </si>
  <si>
    <t xml:space="preserve">  4400OS</t>
  </si>
  <si>
    <t xml:space="preserve">BORGO VALS.(Ospedale)        </t>
  </si>
  <si>
    <t>estiva feriale lu, me</t>
  </si>
  <si>
    <t xml:space="preserve">Roncegno giro Masi - Borgo Vals. </t>
  </si>
  <si>
    <t xml:space="preserve">invernale feriale 
solo lunedì e mercoledì </t>
  </si>
  <si>
    <t>invernale feriale lu, me</t>
  </si>
  <si>
    <t>Borgo Vals. - Roncegno giro masi</t>
  </si>
  <si>
    <t xml:space="preserve">feriale solo 
lunedì e mercoledì </t>
  </si>
  <si>
    <t>annuale feriale lu, me</t>
  </si>
  <si>
    <t>Lausen polo scol. - Canal S.Bovo - Ronco Chiesa</t>
  </si>
  <si>
    <t xml:space="preserve">CANAL S.BOVO                 </t>
  </si>
  <si>
    <t xml:space="preserve">RONCO CHIESA                 </t>
  </si>
  <si>
    <t xml:space="preserve">Trento-Levico (prolungamento c.sa per Feltre </t>
  </si>
  <si>
    <t>scolastica 
lunedì + post festivi</t>
  </si>
  <si>
    <t xml:space="preserve">  4300BB</t>
  </si>
  <si>
    <t xml:space="preserve"> LEVICO TERME(SP.228)         </t>
  </si>
  <si>
    <t>Levico (S.P. 228 maso Rosso) - Borgo - Feltre Vellai</t>
  </si>
  <si>
    <t xml:space="preserve">LEVICO TERME(SP.228)         </t>
  </si>
  <si>
    <t xml:space="preserve">Feltre-Vellai                </t>
  </si>
  <si>
    <t>Dermulo FTM-Mezzocorona FS</t>
  </si>
  <si>
    <t>ERIKA TOURS SRL</t>
  </si>
  <si>
    <t>EV659LA</t>
  </si>
  <si>
    <t>FF849CS</t>
  </si>
  <si>
    <t xml:space="preserve">DERMULO                      </t>
  </si>
  <si>
    <t>746 bis</t>
  </si>
  <si>
    <t>scolastica il sabato</t>
  </si>
  <si>
    <t>FK451EC (Erika Tours)</t>
  </si>
  <si>
    <t>Cavedago-Fai-Andalo-Molveno</t>
  </si>
  <si>
    <t>ED770MM 9 pp + FZ898BE 55pp</t>
  </si>
  <si>
    <t xml:space="preserve"> FZ898BE</t>
  </si>
  <si>
    <t xml:space="preserve"> FZ906BE</t>
  </si>
  <si>
    <t xml:space="preserve">Cavedago                     </t>
  </si>
  <si>
    <t>Santel-Mezzolombardo</t>
  </si>
  <si>
    <t>estiva
lunedi-venerdì</t>
  </si>
  <si>
    <t xml:space="preserve">Santel (S.p. 64)             </t>
  </si>
  <si>
    <t>Spormaggiore-Trento</t>
  </si>
  <si>
    <t>scolastica lunedì</t>
  </si>
  <si>
    <t xml:space="preserve">SPORMAGGIORE                 </t>
  </si>
  <si>
    <t>Mezzocorona Fs-S.Michele a/A</t>
  </si>
  <si>
    <t>Crescino-Spormaggiore-Molveno</t>
  </si>
  <si>
    <t>FZ894BE</t>
  </si>
  <si>
    <t xml:space="preserve"> FZ901BE</t>
  </si>
  <si>
    <t xml:space="preserve">Crescino             </t>
  </si>
  <si>
    <t>S. Michele-Mezzolombardo-Spormaggire-Molveno</t>
  </si>
  <si>
    <t>Mezzocorona FS-S. Michele Ist. Agrario
prolungamento c.sa per Cembra</t>
  </si>
  <si>
    <t>Molveno-Andalo-Mezzolombardo</t>
  </si>
  <si>
    <t>FZ906BE</t>
  </si>
  <si>
    <t>Molveno-Fai-Mezzocorona</t>
  </si>
  <si>
    <t>Mezzolombardo-Fai-Santel</t>
  </si>
  <si>
    <t>FZ901BE</t>
  </si>
  <si>
    <t>Mezzocorona-Spormaggiore-Molveno</t>
  </si>
  <si>
    <t>Mezzolombardo-Fai-
Andalo Maso Toscana</t>
  </si>
  <si>
    <t xml:space="preserve">  6137MT</t>
  </si>
  <si>
    <t xml:space="preserve">Andalo - Maso Toscana        </t>
  </si>
  <si>
    <t>invernale feriale
sabato</t>
  </si>
  <si>
    <t>518/509</t>
  </si>
  <si>
    <t>Raut-Toss-Mezzolombardo</t>
  </si>
  <si>
    <t xml:space="preserve">  6126RA</t>
  </si>
  <si>
    <t xml:space="preserve">Raut                         </t>
  </si>
  <si>
    <t>Denno FTM-Moncovo-Truzzi bivio-Toss</t>
  </si>
  <si>
    <t xml:space="preserve">  6150TM</t>
  </si>
  <si>
    <t xml:space="preserve">Denno  FTM                  </t>
  </si>
  <si>
    <t>Toss-Raut 
(prolungamento c.sa da Denno FTM-Toss)</t>
  </si>
  <si>
    <t>Lover - Dercolo-Cles (tratta Lover - Dercolo extracap.)</t>
  </si>
  <si>
    <t xml:space="preserve">Dercolo (Bivio)              </t>
  </si>
  <si>
    <t xml:space="preserve">Lover - Sporminore </t>
  </si>
  <si>
    <t>VIAGGI FORMOLO S.A.S. DI FORMOLO ANGELO &amp; C.</t>
  </si>
  <si>
    <t xml:space="preserve"> GE371BA</t>
  </si>
  <si>
    <t>FJ988YE</t>
  </si>
  <si>
    <t>GC698CS</t>
  </si>
  <si>
    <t xml:space="preserve">Lover                        </t>
  </si>
  <si>
    <t xml:space="preserve">Sporminore                   </t>
  </si>
  <si>
    <t>Crescino - Dercolo - Quetta - Campodenno - Sporminore</t>
  </si>
  <si>
    <t>ER846KZ</t>
  </si>
  <si>
    <t>Crescino Sporminore (bis corsa diretta)</t>
  </si>
  <si>
    <t>Crescino - Sporminore</t>
  </si>
  <si>
    <t xml:space="preserve">  6143OT</t>
  </si>
  <si>
    <t xml:space="preserve">Sporminore civ. 86           </t>
  </si>
  <si>
    <t>Mezzocorona FS-Campodenno-Cles</t>
  </si>
  <si>
    <t>Crescino-Sporminore</t>
  </si>
  <si>
    <t>Mezzolombardo - Denno -Cles</t>
  </si>
  <si>
    <t>feriale invernale
sabato</t>
  </si>
  <si>
    <t>Mezzzolombardo-Termon</t>
  </si>
  <si>
    <t xml:space="preserve">Termon                       </t>
  </si>
  <si>
    <t>Mezzolombardo-Termon</t>
  </si>
  <si>
    <t>197/198</t>
  </si>
  <si>
    <t xml:space="preserve">Mezzolombardo-Nave S.Rocco-Mezzolombardo </t>
  </si>
  <si>
    <t>54</t>
  </si>
  <si>
    <t xml:space="preserve">FF849CS </t>
  </si>
  <si>
    <t>60</t>
  </si>
  <si>
    <t xml:space="preserve">  6120SM</t>
  </si>
  <si>
    <t xml:space="preserve">Mezzolombardo Sc. Media      </t>
  </si>
  <si>
    <t>Cles-Portolo</t>
  </si>
  <si>
    <t>Portolo-Cles</t>
  </si>
  <si>
    <t>Cles piazza Fiera - Mechel</t>
  </si>
  <si>
    <t>VIAGGI CICOLINI S.R.L .</t>
  </si>
  <si>
    <t xml:space="preserve"> FL916HC</t>
  </si>
  <si>
    <t xml:space="preserve"> FE599HG</t>
  </si>
  <si>
    <t xml:space="preserve">  6220PF</t>
  </si>
  <si>
    <t xml:space="preserve">Cles (Piazza Fiera)          </t>
  </si>
  <si>
    <t>802 bis</t>
  </si>
  <si>
    <t>TAXI VIAGGI VALENTINELLI DI VALENTINELLI GIORGIO &amp; C. SNC</t>
  </si>
  <si>
    <t>FJ097PL</t>
  </si>
  <si>
    <t>GG128PN</t>
  </si>
  <si>
    <t>FZ889KY</t>
  </si>
  <si>
    <t>Mechel Cles</t>
  </si>
  <si>
    <t>803 bis</t>
  </si>
  <si>
    <t>Tres - Taio</t>
  </si>
  <si>
    <t>EX903HC</t>
  </si>
  <si>
    <t>FN391MX</t>
  </si>
  <si>
    <t>DT209DB FZ889KY</t>
  </si>
  <si>
    <t>55 24</t>
  </si>
  <si>
    <t xml:space="preserve">  6191TA</t>
  </si>
  <si>
    <t>Tres Via Predaia inc. V.Tavana</t>
  </si>
  <si>
    <t xml:space="preserve">  6190SM</t>
  </si>
  <si>
    <t xml:space="preserve">Taio (Plesso Scolastico)     </t>
  </si>
  <si>
    <t>Tres (Predaia)-Tres - Taio</t>
  </si>
  <si>
    <t>DT209DB</t>
  </si>
  <si>
    <t>Mollaro-Tres</t>
  </si>
  <si>
    <t xml:space="preserve">
FZ889KY
</t>
  </si>
  <si>
    <t xml:space="preserve">  6170ST</t>
  </si>
  <si>
    <t xml:space="preserve">MOLLARO (Staz.FTM)           </t>
  </si>
  <si>
    <t xml:space="preserve">Tres                         </t>
  </si>
  <si>
    <t>Tres-Cles</t>
  </si>
  <si>
    <t>Credaia-Sfruz-Tavon-Dermulo</t>
  </si>
  <si>
    <t>GORINI LUIGI</t>
  </si>
  <si>
    <t>GH911KX</t>
  </si>
  <si>
    <t>FS248ZL (Genziana)</t>
  </si>
  <si>
    <t>FZ889KY (Valentinelli) / FK451EC (Erika Tours)</t>
  </si>
  <si>
    <t>24/31</t>
  </si>
  <si>
    <t>6504CR</t>
  </si>
  <si>
    <t>Credai</t>
  </si>
  <si>
    <t>Sfruz-Tavon-Dermulo</t>
  </si>
  <si>
    <t xml:space="preserve">SFRUZ                        </t>
  </si>
  <si>
    <t>Tavon - Cles - Cles piazza Fiera</t>
  </si>
  <si>
    <t xml:space="preserve">Tavon                        </t>
  </si>
  <si>
    <t xml:space="preserve">Dermulo - Coredo - Sfruz </t>
  </si>
  <si>
    <t xml:space="preserve"> EX903HC</t>
  </si>
  <si>
    <t xml:space="preserve"> FZ889KY</t>
  </si>
  <si>
    <t xml:space="preserve">Sfuz- Credai 
(prolungamento c.sa Dermulo - Coredo - Sfruz) </t>
  </si>
  <si>
    <t>scolastica 
martedì-mercoledì-venerdì</t>
  </si>
  <si>
    <t>scolastica ma, me, ve</t>
  </si>
  <si>
    <t>Dermulo-Coredo-Sfruz</t>
  </si>
  <si>
    <t>EV659LA (Erika Tours) / FK451EC (Erika Tours)</t>
  </si>
  <si>
    <t>57/31</t>
  </si>
  <si>
    <t>Cles-Coredo-Merlonga-Sfruz</t>
  </si>
  <si>
    <t>Sfruz-Cles</t>
  </si>
  <si>
    <t>Dermulo-Tavon-Sfruz</t>
  </si>
  <si>
    <t>GH911KX (Gorini)</t>
  </si>
  <si>
    <t>Sfruz-Dermulo</t>
  </si>
  <si>
    <t>Fondo-Romeno-Dermulo-Cles</t>
  </si>
  <si>
    <t>scolastica 
solo Venerdì</t>
  </si>
  <si>
    <t>Fondo-Dermulo</t>
  </si>
  <si>
    <t>Dermulo - Dambel - Cavareno - Don - Cavareno - Fondo</t>
  </si>
  <si>
    <t>Cles-Mendola</t>
  </si>
  <si>
    <t xml:space="preserve">PASSO MENDOLA                </t>
  </si>
  <si>
    <t>Mendola-Fondo</t>
  </si>
  <si>
    <t>Cles-Dermulo-Romeno-Fondo</t>
  </si>
  <si>
    <t>Castelfondo - Revò - Cles</t>
  </si>
  <si>
    <t>FS198ZG</t>
  </si>
  <si>
    <t xml:space="preserve">Castelfondo                  </t>
  </si>
  <si>
    <t xml:space="preserve">Fondo (Vasio) - Fondo </t>
  </si>
  <si>
    <t>FC395RJ</t>
  </si>
  <si>
    <t xml:space="preserve">Fondo loc. Vasio             </t>
  </si>
  <si>
    <t>Salobbi - Brez</t>
  </si>
  <si>
    <t xml:space="preserve">  6675AN</t>
  </si>
  <si>
    <t xml:space="preserve">Salobbi  Bacheca Comunale    </t>
  </si>
  <si>
    <t xml:space="preserve">Brez                         </t>
  </si>
  <si>
    <t>Tregiovo - Revò</t>
  </si>
  <si>
    <t xml:space="preserve">Tregiovo                     </t>
  </si>
  <si>
    <t xml:space="preserve">Revo'                        </t>
  </si>
  <si>
    <t>Romallo-Cles</t>
  </si>
  <si>
    <t xml:space="preserve">Romallo                      </t>
  </si>
  <si>
    <t>Brez - Salobbi</t>
  </si>
  <si>
    <t>Fondo  - Fondo (Vasio)  - Fondo</t>
  </si>
  <si>
    <t xml:space="preserve">scolastica 
solo martedì </t>
  </si>
  <si>
    <t>Cles - Castelfondo</t>
  </si>
  <si>
    <t>scolastica 
solo giovedì</t>
  </si>
  <si>
    <t>scolastica gio</t>
  </si>
  <si>
    <t>FC384RJ</t>
  </si>
  <si>
    <t>6675SA</t>
  </si>
  <si>
    <t xml:space="preserve">Salobbi   </t>
  </si>
  <si>
    <t xml:space="preserve">scolastica dal lunedì al giovedì </t>
  </si>
  <si>
    <t>Cles-Romallo</t>
  </si>
  <si>
    <t>feriale invernale</t>
  </si>
  <si>
    <t>Cles - Cis</t>
  </si>
  <si>
    <t xml:space="preserve">CIS                          </t>
  </si>
  <si>
    <t>Cis - Cles</t>
  </si>
  <si>
    <t>aggiornato percorso</t>
  </si>
  <si>
    <t>Cis - Cles + Sc. Medie (+2° mezzo 7:12 Cis - 7:17 Mostizzolo)</t>
  </si>
  <si>
    <t xml:space="preserve">FZ889KY + FJ097PL
</t>
  </si>
  <si>
    <t>24 + 21</t>
  </si>
  <si>
    <t>46.36513832853683, 11.029254119523086</t>
  </si>
  <si>
    <t>15 Via delle Scuole</t>
  </si>
  <si>
    <t xml:space="preserve">Cles - Cis </t>
  </si>
  <si>
    <t xml:space="preserve">Cis - Cles </t>
  </si>
  <si>
    <t>Cles-Cis</t>
  </si>
  <si>
    <t>estiva dal lunedì al venerdì feriale</t>
  </si>
  <si>
    <t>Cis-Cles</t>
  </si>
  <si>
    <t>Lanza-Livo</t>
  </si>
  <si>
    <t xml:space="preserve">LIVO                         </t>
  </si>
  <si>
    <t xml:space="preserve">Terzolas Revò o 12.15 Terzolas Revò per turni alternati </t>
  </si>
  <si>
    <t>invernale 
da lun a sab 
(sospesa gg chiusura magazzino Melinda)</t>
  </si>
  <si>
    <t xml:space="preserve">Terzolas (Bivio paese)       </t>
  </si>
  <si>
    <t xml:space="preserve">  6655ME</t>
  </si>
  <si>
    <t xml:space="preserve">Revo'  (Magazzino Melinda)   </t>
  </si>
  <si>
    <t>invernale feriale lu-sa a turni melinda</t>
  </si>
  <si>
    <t xml:space="preserve">Terzolas Revò o 12.20 Terzolas Revò per turni alternati </t>
  </si>
  <si>
    <t>estiva da lun a sab (sospesa gg chiusura magazzino Melinda)</t>
  </si>
  <si>
    <t>estiva feriale lu-sa melinda</t>
  </si>
  <si>
    <t xml:space="preserve">Terzolas - Revò turno a giornata  </t>
  </si>
  <si>
    <t>estiva da lunedì a venerdì corsa operai (sospesa gg chiusura magazzino Melinda)</t>
  </si>
  <si>
    <t>estiva feriale lu-ve melinda</t>
  </si>
  <si>
    <t xml:space="preserve">Terzolas - Revò turno a giornata     </t>
  </si>
  <si>
    <t>invernale
da lunedì a venerdì (sospesa gg chiusura magazzino Melinda)</t>
  </si>
  <si>
    <t>invernale feriale lu-ve melinda</t>
  </si>
  <si>
    <t>Revò-Tregiovo</t>
  </si>
  <si>
    <t>scolastica 
mar-gio-ven-sab</t>
  </si>
  <si>
    <t>FIABA VIAGGI SNC DI FANTI MILVA</t>
  </si>
  <si>
    <t>FN293MX</t>
  </si>
  <si>
    <t>FC200RJ</t>
  </si>
  <si>
    <t>scolastica ma, gio, ve, sab</t>
  </si>
  <si>
    <t>Revò - Terzolas o 20.00 Terzolas - Revò per turni alternati</t>
  </si>
  <si>
    <t>Revò - Tregiovo</t>
  </si>
  <si>
    <t xml:space="preserve">Revò - Terzolas turno a giornata </t>
  </si>
  <si>
    <t>feriale 
da lunedì a venerdì corsa operai 
(sospesa gg chiusura magazzino Melinda)</t>
  </si>
  <si>
    <t>annuale feriale lu-ve a giornata melinda</t>
  </si>
  <si>
    <t>Bolentina - Malè</t>
  </si>
  <si>
    <t>FB912BJ</t>
  </si>
  <si>
    <t xml:space="preserve">BOLENTINA                    </t>
  </si>
  <si>
    <t>Malè - Bolentina</t>
  </si>
  <si>
    <t>Bolentina - Montes -Malè</t>
  </si>
  <si>
    <t>6.20 S.Antonio di Mavignola-Campiglio-Dimaro</t>
  </si>
  <si>
    <t xml:space="preserve">BUCELLA IVANO </t>
  </si>
  <si>
    <t>FR770WP</t>
  </si>
  <si>
    <t>FR346WN</t>
  </si>
  <si>
    <t>FW902WP</t>
  </si>
  <si>
    <t xml:space="preserve">S.Antonio di Mavignola       </t>
  </si>
  <si>
    <t xml:space="preserve">  6340ST</t>
  </si>
  <si>
    <t xml:space="preserve">DIMARO (Staz. FTM)           </t>
  </si>
  <si>
    <t>Dimaro staz.FTM-Campiglio-S.A.Mavignola</t>
  </si>
  <si>
    <t>FF891CS</t>
  </si>
  <si>
    <t xml:space="preserve">  2470RR</t>
  </si>
  <si>
    <t>S.Antonio di Mavignola</t>
  </si>
  <si>
    <t>Marilleva 1400 - Marilleva 900</t>
  </si>
  <si>
    <t>BIANCANEVE VIAGGI DI
 DALLATORRE MARCO</t>
  </si>
  <si>
    <t>FZ783BE</t>
  </si>
  <si>
    <t>GC751CS</t>
  </si>
  <si>
    <t xml:space="preserve">  6382SO</t>
  </si>
  <si>
    <t xml:space="preserve">MARILLEVA 1400               </t>
  </si>
  <si>
    <t xml:space="preserve">Marilleva 900                </t>
  </si>
  <si>
    <t>Menas - Pellizzano</t>
  </si>
  <si>
    <t xml:space="preserve">TAXI-MINIBUS-AUTOBUS PANIZZA S.A.S. DI ZENDELI ILIR </t>
  </si>
  <si>
    <t>GA903ER</t>
  </si>
  <si>
    <t>GA900ER</t>
  </si>
  <si>
    <t>GA902ER</t>
  </si>
  <si>
    <t xml:space="preserve">MENAS                        </t>
  </si>
  <si>
    <t xml:space="preserve">PELLIZZANO                   </t>
  </si>
  <si>
    <t>Pellizzano-Menas</t>
  </si>
  <si>
    <t>Menas-Pellizzano</t>
  </si>
  <si>
    <t>Pellizzano-Castello-Menas</t>
  </si>
  <si>
    <t>Feriale invernale
giovedì</t>
  </si>
  <si>
    <t>ER747KZ</t>
  </si>
  <si>
    <t>ER506KZ</t>
  </si>
  <si>
    <t>Menas-Castello-Pellizzano</t>
  </si>
  <si>
    <t>Pellizzano-Claiano bv.-Menas</t>
  </si>
  <si>
    <t>Claiano bv-Ortisè-Menas</t>
  </si>
  <si>
    <t>scolastica
lun+merc+giov+ven</t>
  </si>
  <si>
    <t xml:space="preserve">Claiano Bivio                </t>
  </si>
  <si>
    <t>scolastica lu, me, gio, ve</t>
  </si>
  <si>
    <t>Celentino Bivio - Strombiano - Celentino Paese</t>
  </si>
  <si>
    <t>PATERNOSTER LORENZO</t>
  </si>
  <si>
    <t>GH464KX</t>
  </si>
  <si>
    <t>FL803HC</t>
  </si>
  <si>
    <t xml:space="preserve">Celentino Bivio              </t>
  </si>
  <si>
    <t xml:space="preserve">  6402PA</t>
  </si>
  <si>
    <t xml:space="preserve">Celentino paese              </t>
  </si>
  <si>
    <t>Celentino paese - Celentino Bivio</t>
  </si>
  <si>
    <t>Strombiano- Celentino Bivio</t>
  </si>
  <si>
    <t xml:space="preserve">  6402ST</t>
  </si>
  <si>
    <t xml:space="preserve">Strombiano                   </t>
  </si>
  <si>
    <t>Deggiano-Mastellina FTM</t>
  </si>
  <si>
    <t>EN920NH</t>
  </si>
  <si>
    <t>FL934HC</t>
  </si>
  <si>
    <t xml:space="preserve">  6350DP</t>
  </si>
  <si>
    <t xml:space="preserve">Deggiano Paese               </t>
  </si>
  <si>
    <t xml:space="preserve">Mastellina   Staz. FTM                </t>
  </si>
  <si>
    <t>Cavizzana - Malè</t>
  </si>
  <si>
    <t>estiva
2° e 4° mercoledì feriale</t>
  </si>
  <si>
    <t>6270TM</t>
  </si>
  <si>
    <t>Cavizzana</t>
  </si>
  <si>
    <t>estiva feriale me (solo 2° e 4° mese)</t>
  </si>
  <si>
    <t>Comasine - Cogolo</t>
  </si>
  <si>
    <t>feriale 
solo martedì e venerdì</t>
  </si>
  <si>
    <t>FS184ZG</t>
  </si>
  <si>
    <t>EL182VV</t>
  </si>
  <si>
    <t xml:space="preserve">  6403PA</t>
  </si>
  <si>
    <t xml:space="preserve">Comasine paese               </t>
  </si>
  <si>
    <t xml:space="preserve">COGOLO                       </t>
  </si>
  <si>
    <t>annuale feriale ma, ve</t>
  </si>
  <si>
    <t>Cogolo - Celentino paese</t>
  </si>
  <si>
    <t>Malè - Cavizzana</t>
  </si>
  <si>
    <t>Comasine bv-Comasine paese-Comasine bv</t>
  </si>
  <si>
    <t>EL182VV GH464KX (9)</t>
  </si>
  <si>
    <t>FS184ZG  FL803HC (9)</t>
  </si>
  <si>
    <t xml:space="preserve">Comasine bivio               </t>
  </si>
  <si>
    <t>Comasine bv.-Strombiano-Celentino</t>
  </si>
  <si>
    <t>scolastica
solo mart-merc-ven</t>
  </si>
  <si>
    <t>Cles-Mezzana-Fucine-Peio</t>
  </si>
  <si>
    <t>EV696LA</t>
  </si>
  <si>
    <t>GE374VX</t>
  </si>
  <si>
    <t>FE599HG (Viaggi Cicolini)</t>
  </si>
  <si>
    <t xml:space="preserve">  6220MS</t>
  </si>
  <si>
    <t xml:space="preserve">Cles - Negozio Mascotti      </t>
  </si>
  <si>
    <t>Fucine - Pejo</t>
  </si>
  <si>
    <t>Malè-Cogolo</t>
  </si>
  <si>
    <t>FR853MY</t>
  </si>
  <si>
    <t>Passo Tonale - Stavel - Vermiglio</t>
  </si>
  <si>
    <t xml:space="preserve">PASSO TONALE                 </t>
  </si>
  <si>
    <t xml:space="preserve">VERMIGLIO                    </t>
  </si>
  <si>
    <t>Vermiglio-Stavel-Vallon-Passo Tonale</t>
  </si>
  <si>
    <t xml:space="preserve">  6408NO</t>
  </si>
  <si>
    <t xml:space="preserve">Vermiglio nord               </t>
  </si>
  <si>
    <t xml:space="preserve">Passo Tonale - Vermiglio </t>
  </si>
  <si>
    <t xml:space="preserve">Passo Tonale - Vermiglio - Fucine -Pellizzano - Mezzana -  Dimaro </t>
  </si>
  <si>
    <t xml:space="preserve">  6340PT</t>
  </si>
  <si>
    <t xml:space="preserve">DIMARO (Ponte)               </t>
  </si>
  <si>
    <t>Cusiano - Passo Tonale</t>
  </si>
  <si>
    <t xml:space="preserve">Cusiano                      </t>
  </si>
  <si>
    <t>Vermiglio - Mezzana
(periodo NON di intensificazione: fino al 7/12 e dopo Pasqua circa)</t>
  </si>
  <si>
    <t>invernale feriale lu-sa (eccetto intensificazione linea 646)</t>
  </si>
  <si>
    <t>Ponte di Legno - Fucine - Malè</t>
  </si>
  <si>
    <t xml:space="preserve">Ponte di Legno               </t>
  </si>
  <si>
    <t>Fucine - Mezzana
(periodo di intensificazione: dal 8/12 a Pasqua circa)</t>
  </si>
  <si>
    <t>invernale feriale lu-ve (in intensificazione linea 646)</t>
  </si>
  <si>
    <t>scolastica 
mart+merc+giov+ven</t>
  </si>
  <si>
    <t>scolastica ma, me, gio, ve</t>
  </si>
  <si>
    <t>Fucine - Vermiglio</t>
  </si>
  <si>
    <t>invernale festivo 
no durante intensificazione: Ponte Immacolata-1° decade aprile)</t>
  </si>
  <si>
    <t>invernale festivo (eccetto intensificazione linea 646)</t>
  </si>
  <si>
    <t>Calceranica-Caldonazzo-Levico-Borgo
(C.sa bis sostitutiva treno)</t>
  </si>
  <si>
    <t>4260Z936W929:Z944X952W941:Z944W626:Z944</t>
  </si>
  <si>
    <t xml:space="preserve">Calceranica al Lago          </t>
  </si>
  <si>
    <t>NUOVA PREV. N. 02/2022</t>
  </si>
  <si>
    <t>extra</t>
  </si>
  <si>
    <t>Loc. Roncio - Mezzana FTM</t>
  </si>
  <si>
    <t xml:space="preserve">  6380RO</t>
  </si>
  <si>
    <t xml:space="preserve">  Località Roncio               </t>
  </si>
  <si>
    <t>6380TM</t>
  </si>
  <si>
    <t xml:space="preserve">MEZZANA FTM                  </t>
  </si>
  <si>
    <t>NUOVA PREV. N. 03/2022</t>
  </si>
  <si>
    <t>Pozza di Fassa - Trento Autost.</t>
  </si>
  <si>
    <t>scolastica di venerdì a settimane alterne</t>
  </si>
  <si>
    <t>1300IA</t>
  </si>
  <si>
    <t xml:space="preserve">Pozza di Fassa-Istituto Arte  </t>
  </si>
  <si>
    <t>scolastica ve a settimane alterne</t>
  </si>
  <si>
    <t>VIAGGI VALFASSA S.R.L.</t>
  </si>
  <si>
    <t>FR797WP</t>
  </si>
  <si>
    <t>FR796WP</t>
  </si>
  <si>
    <t>FR320WN</t>
  </si>
  <si>
    <t>Trento Autost. - Pozza di Fassa</t>
  </si>
  <si>
    <t>festivi esclusi precedenti a vacanza scol a settimane alterne</t>
  </si>
  <si>
    <t>1300UP</t>
  </si>
  <si>
    <t xml:space="preserve">POZZA DI FASSA </t>
  </si>
  <si>
    <t>scolastica festiva a settimane alterne</t>
  </si>
  <si>
    <t>dal 12/09/2022 al 30/09/2022</t>
  </si>
  <si>
    <t>Prolungamento Fiavè loc. Curè - Favrio-Cornelle-Fiavè</t>
  </si>
  <si>
    <t xml:space="preserve">  2185CU</t>
  </si>
  <si>
    <t xml:space="preserve">Fiave' Curè                  </t>
  </si>
  <si>
    <t xml:space="preserve">  2185CN</t>
  </si>
  <si>
    <t xml:space="preserve">Cornelle                     </t>
  </si>
  <si>
    <t>dal 12/09/2022 inserimento loc. Rocca come all'andata</t>
  </si>
  <si>
    <t>Ala F.S. - Ronchi di Ala prolungamento per fermata loc. Rocca</t>
  </si>
  <si>
    <t>dal 12/09/2022 partenza da Storo SP69</t>
  </si>
  <si>
    <t>Prolungamento Storo Sp.69 (km 2) - Ca' Rossa</t>
  </si>
  <si>
    <t>2313RR</t>
  </si>
  <si>
    <t>SP 69</t>
  </si>
  <si>
    <t>dal 26/09/2022 era solo mar+mer</t>
  </si>
  <si>
    <t>Scolastica lun+gio+ven</t>
  </si>
  <si>
    <t>CAPRIANA</t>
  </si>
  <si>
    <t xml:space="preserve">  GRAUNO                        </t>
  </si>
  <si>
    <t>scolastica lu, gio, ve</t>
  </si>
  <si>
    <t>dal 27/09/2022 prolungamento</t>
  </si>
  <si>
    <t>Tres (Predaia)-via Predaia inc. v. Tavana</t>
  </si>
  <si>
    <t>dal 28/09/2022 era solo lu+ma+gio</t>
  </si>
  <si>
    <t>scolastica mercoledì</t>
  </si>
  <si>
    <t>scolastica me</t>
  </si>
  <si>
    <t>dal 03/10/2022 prolungamento</t>
  </si>
  <si>
    <t>Verla bivio - Ville di Giovo - Verla deviazione Tesero - Palù</t>
  </si>
  <si>
    <t>1072BV</t>
  </si>
  <si>
    <t xml:space="preserve">Verla (Bivio)                 </t>
  </si>
  <si>
    <t>dal 11/10/2022 nuova</t>
  </si>
  <si>
    <t>Cles-Mezzana-Fucine</t>
  </si>
  <si>
    <t>FP633ED</t>
  </si>
  <si>
    <t>FM515LT</t>
  </si>
  <si>
    <t>GC951CS</t>
  </si>
  <si>
    <t xml:space="preserve">FUCINE </t>
  </si>
  <si>
    <t>dal 12/10/2022 prolungamento</t>
  </si>
  <si>
    <t>Solaiolo Alto - Solaiolo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</si>
</sst>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_-;\-* #,##0_-;_-* &quot;-&quot;??_-;_-@_-"/>
    <numFmt numFmtId="166" formatCode="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rgb="FF0070C0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8"/>
      <color rgb="FF0070C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8"/>
      <name val="Arial"/>
      <family val="2"/>
    </font>
    <font>
      <sz val="8"/>
      <name val="Tahoma"/>
      <family val="2"/>
    </font>
    <font>
      <strike/>
      <sz val="8"/>
      <color rgb="FFFF0000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sz val="10"/>
      <color rgb="FF0070C0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3" fillId="0" borderId="0" xfId="4" applyFont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0" fontId="5" fillId="2" borderId="1" xfId="5" applyFont="1" applyFill="1" applyBorder="1" applyAlignment="1">
      <alignment horizontal="center" vertical="center" wrapText="1"/>
    </xf>
    <xf numFmtId="2" fontId="5" fillId="2" borderId="1" xfId="5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5" applyFont="1" applyAlignment="1">
      <alignment horizontal="center" vertical="top" wrapText="1"/>
    </xf>
    <xf numFmtId="0" fontId="6" fillId="0" borderId="0" xfId="4" applyFont="1" applyAlignment="1">
      <alignment horizontal="center" vertical="top" wrapText="1"/>
    </xf>
    <xf numFmtId="44" fontId="8" fillId="3" borderId="0" xfId="2" applyFont="1" applyFill="1" applyBorder="1" applyAlignment="1">
      <alignment horizontal="center" vertical="top" wrapText="1"/>
    </xf>
    <xf numFmtId="0" fontId="8" fillId="3" borderId="0" xfId="5" applyFont="1" applyFill="1" applyAlignment="1">
      <alignment horizontal="center" vertical="top"/>
    </xf>
    <xf numFmtId="0" fontId="8" fillId="3" borderId="0" xfId="5" applyFont="1" applyFill="1" applyAlignment="1">
      <alignment horizontal="center" vertical="top" wrapText="1"/>
    </xf>
    <xf numFmtId="0" fontId="8" fillId="4" borderId="0" xfId="5" applyFont="1" applyFill="1" applyAlignment="1">
      <alignment horizontal="center" vertical="top" wrapText="1"/>
    </xf>
    <xf numFmtId="44" fontId="8" fillId="4" borderId="0" xfId="2" applyFont="1" applyFill="1" applyBorder="1" applyAlignment="1">
      <alignment horizontal="center" vertical="top" wrapText="1"/>
    </xf>
    <xf numFmtId="44" fontId="8" fillId="0" borderId="0" xfId="2" applyFont="1" applyFill="1" applyBorder="1" applyAlignment="1">
      <alignment horizontal="center" vertical="top" wrapText="1"/>
    </xf>
    <xf numFmtId="44" fontId="8" fillId="5" borderId="0" xfId="2" applyFont="1" applyFill="1" applyBorder="1" applyAlignment="1">
      <alignment horizontal="center" vertical="top" wrapText="1"/>
    </xf>
    <xf numFmtId="0" fontId="4" fillId="0" borderId="0" xfId="5" applyFont="1" applyAlignment="1">
      <alignment horizontal="center" vertical="top" wrapText="1"/>
    </xf>
    <xf numFmtId="0" fontId="8" fillId="0" borderId="0" xfId="5" applyFont="1" applyAlignment="1">
      <alignment horizontal="center" vertical="top" wrapText="1"/>
    </xf>
    <xf numFmtId="0" fontId="8" fillId="0" borderId="0" xfId="5" applyFont="1" applyAlignment="1">
      <alignment horizontal="center" vertical="center" wrapText="1"/>
    </xf>
    <xf numFmtId="0" fontId="2" fillId="0" borderId="1" xfId="5" applyBorder="1" applyAlignment="1">
      <alignment horizontal="center" vertical="center" wrapText="1"/>
    </xf>
    <xf numFmtId="20" fontId="2" fillId="0" borderId="1" xfId="5" applyNumberFormat="1" applyBorder="1" applyAlignment="1">
      <alignment horizontal="center" vertical="center" wrapText="1"/>
    </xf>
    <xf numFmtId="2" fontId="2" fillId="0" borderId="1" xfId="5" applyNumberFormat="1" applyBorder="1" applyAlignment="1">
      <alignment horizontal="center" vertical="center" wrapText="1"/>
    </xf>
    <xf numFmtId="1" fontId="2" fillId="0" borderId="1" xfId="5" applyNumberFormat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/>
    </xf>
    <xf numFmtId="0" fontId="9" fillId="0" borderId="0" xfId="5" applyFont="1" applyAlignment="1">
      <alignment horizontal="center" wrapText="1"/>
    </xf>
    <xf numFmtId="44" fontId="8" fillId="0" borderId="0" xfId="2" applyFont="1" applyBorder="1" applyAlignment="1">
      <alignment horizontal="center" wrapText="1"/>
    </xf>
    <xf numFmtId="0" fontId="8" fillId="0" borderId="0" xfId="5" applyFont="1" applyAlignment="1">
      <alignment horizontal="center" wrapText="1"/>
    </xf>
    <xf numFmtId="44" fontId="8" fillId="0" borderId="0" xfId="2" applyFont="1" applyFill="1" applyBorder="1" applyAlignment="1">
      <alignment horizontal="center" wrapText="1"/>
    </xf>
    <xf numFmtId="0" fontId="8" fillId="6" borderId="0" xfId="5" applyFont="1" applyFill="1" applyAlignment="1">
      <alignment horizontal="center" wrapText="1"/>
    </xf>
    <xf numFmtId="165" fontId="8" fillId="0" borderId="0" xfId="5" applyNumberFormat="1" applyFont="1" applyAlignment="1">
      <alignment horizontal="center" wrapText="1"/>
    </xf>
    <xf numFmtId="44" fontId="8" fillId="0" borderId="0" xfId="5" applyNumberFormat="1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7" borderId="0" xfId="5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8" fillId="0" borderId="0" xfId="5" applyFont="1" applyAlignment="1">
      <alignment horizontal="center"/>
    </xf>
    <xf numFmtId="0" fontId="8" fillId="8" borderId="0" xfId="0" applyFont="1" applyFill="1" applyAlignment="1">
      <alignment horizontal="center" wrapText="1"/>
    </xf>
    <xf numFmtId="0" fontId="8" fillId="0" borderId="1" xfId="6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43" fontId="8" fillId="0" borderId="0" xfId="5" applyNumberFormat="1" applyFont="1" applyAlignment="1">
      <alignment horizontal="center" wrapText="1"/>
    </xf>
    <xf numFmtId="44" fontId="8" fillId="7" borderId="0" xfId="2" applyFont="1" applyFill="1" applyBorder="1" applyAlignment="1">
      <alignment horizontal="center" wrapText="1"/>
    </xf>
    <xf numFmtId="0" fontId="2" fillId="0" borderId="1" xfId="4" applyBorder="1" applyAlignment="1">
      <alignment horizontal="center" vertical="center"/>
    </xf>
    <xf numFmtId="20" fontId="2" fillId="0" borderId="1" xfId="4" applyNumberFormat="1" applyBorder="1" applyAlignment="1">
      <alignment horizontal="center" vertical="center"/>
    </xf>
    <xf numFmtId="20" fontId="2" fillId="7" borderId="1" xfId="4" applyNumberFormat="1" applyFill="1" applyBorder="1" applyAlignment="1">
      <alignment horizontal="center" vertical="center"/>
    </xf>
    <xf numFmtId="0" fontId="2" fillId="0" borderId="1" xfId="4" applyBorder="1" applyAlignment="1">
      <alignment horizontal="center" vertical="center" wrapText="1"/>
    </xf>
    <xf numFmtId="1" fontId="2" fillId="0" borderId="1" xfId="4" applyNumberFormat="1" applyBorder="1" applyAlignment="1">
      <alignment horizontal="center" vertical="center"/>
    </xf>
    <xf numFmtId="44" fontId="8" fillId="9" borderId="0" xfId="2" applyFont="1" applyFill="1" applyBorder="1" applyAlignment="1">
      <alignment horizontal="center" wrapText="1"/>
    </xf>
    <xf numFmtId="165" fontId="8" fillId="9" borderId="0" xfId="5" applyNumberFormat="1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2" fontId="2" fillId="7" borderId="1" xfId="5" applyNumberFormat="1" applyFill="1" applyBorder="1" applyAlignment="1">
      <alignment horizontal="center" vertical="center" wrapText="1"/>
    </xf>
    <xf numFmtId="0" fontId="2" fillId="7" borderId="1" xfId="5" applyFill="1" applyBorder="1" applyAlignment="1">
      <alignment horizontal="center" vertical="center" wrapText="1"/>
    </xf>
    <xf numFmtId="20" fontId="2" fillId="7" borderId="1" xfId="5" applyNumberFormat="1" applyFill="1" applyBorder="1" applyAlignment="1">
      <alignment horizontal="center" vertical="center" wrapText="1"/>
    </xf>
    <xf numFmtId="0" fontId="2" fillId="7" borderId="1" xfId="4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66" fontId="2" fillId="0" borderId="1" xfId="4" applyNumberFormat="1" applyBorder="1" applyAlignment="1">
      <alignment horizontal="center" vertical="center"/>
    </xf>
    <xf numFmtId="14" fontId="9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44" fontId="8" fillId="4" borderId="0" xfId="2" applyFont="1" applyFill="1" applyBorder="1" applyAlignment="1">
      <alignment horizontal="center" wrapText="1"/>
    </xf>
    <xf numFmtId="0" fontId="4" fillId="7" borderId="0" xfId="5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2" fillId="7" borderId="1" xfId="5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8" fillId="0" borderId="0" xfId="6" applyFont="1" applyAlignment="1">
      <alignment horizontal="center" vertical="center"/>
    </xf>
    <xf numFmtId="20" fontId="2" fillId="7" borderId="1" xfId="5" applyNumberFormat="1" applyFill="1" applyBorder="1" applyAlignment="1">
      <alignment horizontal="center" wrapText="1"/>
    </xf>
    <xf numFmtId="20" fontId="2" fillId="0" borderId="1" xfId="5" applyNumberFormat="1" applyBorder="1" applyAlignment="1">
      <alignment horizontal="center" wrapText="1"/>
    </xf>
    <xf numFmtId="0" fontId="9" fillId="10" borderId="0" xfId="0" applyFont="1" applyFill="1" applyAlignment="1">
      <alignment horizontal="center" wrapText="1"/>
    </xf>
    <xf numFmtId="1" fontId="2" fillId="7" borderId="1" xfId="5" applyNumberFormat="1" applyFill="1" applyBorder="1" applyAlignment="1">
      <alignment horizontal="center" vertical="center" wrapText="1"/>
    </xf>
    <xf numFmtId="0" fontId="2" fillId="11" borderId="1" xfId="5" applyFill="1" applyBorder="1" applyAlignment="1">
      <alignment horizontal="center" vertical="center" wrapText="1"/>
    </xf>
    <xf numFmtId="0" fontId="2" fillId="7" borderId="1" xfId="4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44" fontId="8" fillId="12" borderId="0" xfId="2" applyFont="1" applyFill="1" applyBorder="1" applyAlignment="1">
      <alignment horizontal="center" wrapText="1"/>
    </xf>
    <xf numFmtId="165" fontId="8" fillId="12" borderId="0" xfId="5" applyNumberFormat="1" applyFont="1" applyFill="1" applyAlignment="1">
      <alignment horizontal="center" wrapText="1"/>
    </xf>
    <xf numFmtId="20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7" borderId="0" xfId="5" applyFont="1" applyFill="1" applyAlignment="1">
      <alignment horizontal="center" wrapText="1"/>
    </xf>
    <xf numFmtId="0" fontId="14" fillId="0" borderId="0" xfId="5" applyFont="1" applyAlignment="1">
      <alignment horizontal="center" wrapText="1"/>
    </xf>
    <xf numFmtId="0" fontId="8" fillId="11" borderId="0" xfId="5" applyFont="1" applyFill="1" applyAlignment="1">
      <alignment horizontal="center" vertical="center" wrapText="1"/>
    </xf>
    <xf numFmtId="20" fontId="2" fillId="11" borderId="1" xfId="5" applyNumberFormat="1" applyFill="1" applyBorder="1" applyAlignment="1">
      <alignment horizontal="center" vertical="center" wrapText="1"/>
    </xf>
    <xf numFmtId="2" fontId="2" fillId="11" borderId="1" xfId="5" applyNumberFormat="1" applyFill="1" applyBorder="1" applyAlignment="1">
      <alignment horizontal="center" vertical="center" wrapText="1"/>
    </xf>
    <xf numFmtId="1" fontId="2" fillId="11" borderId="1" xfId="5" applyNumberFormat="1" applyFill="1" applyBorder="1" applyAlignment="1">
      <alignment horizontal="center" vertical="center" wrapText="1"/>
    </xf>
    <xf numFmtId="165" fontId="2" fillId="11" borderId="1" xfId="1" applyNumberFormat="1" applyFont="1" applyFill="1" applyBorder="1" applyAlignment="1">
      <alignment horizontal="center" vertical="center"/>
    </xf>
    <xf numFmtId="43" fontId="2" fillId="11" borderId="1" xfId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wrapText="1"/>
    </xf>
    <xf numFmtId="0" fontId="8" fillId="11" borderId="0" xfId="0" applyFont="1" applyFill="1" applyAlignment="1">
      <alignment horizontal="center" wrapText="1"/>
    </xf>
    <xf numFmtId="165" fontId="8" fillId="11" borderId="0" xfId="5" applyNumberFormat="1" applyFont="1" applyFill="1" applyAlignment="1">
      <alignment horizontal="center" wrapText="1"/>
    </xf>
    <xf numFmtId="0" fontId="8" fillId="11" borderId="0" xfId="5" applyFont="1" applyFill="1" applyAlignment="1">
      <alignment horizontal="center" wrapText="1"/>
    </xf>
    <xf numFmtId="44" fontId="8" fillId="11" borderId="0" xfId="5" applyNumberFormat="1" applyFont="1" applyFill="1" applyAlignment="1">
      <alignment horizontal="center" wrapText="1"/>
    </xf>
    <xf numFmtId="44" fontId="8" fillId="11" borderId="0" xfId="2" applyFont="1" applyFill="1" applyBorder="1" applyAlignment="1">
      <alignment horizontal="center" wrapText="1"/>
    </xf>
    <xf numFmtId="0" fontId="15" fillId="0" borderId="1" xfId="5" applyFont="1" applyBorder="1" applyAlignment="1">
      <alignment horizontal="center" vertical="center" wrapText="1"/>
    </xf>
    <xf numFmtId="0" fontId="8" fillId="7" borderId="0" xfId="0" applyFont="1" applyFill="1" applyAlignment="1">
      <alignment horizontal="center" wrapText="1"/>
    </xf>
    <xf numFmtId="0" fontId="8" fillId="0" borderId="0" xfId="5" applyFont="1" applyAlignment="1">
      <alignment vertical="center" wrapText="1"/>
    </xf>
    <xf numFmtId="165" fontId="2" fillId="7" borderId="1" xfId="1" applyNumberFormat="1" applyFont="1" applyFill="1" applyBorder="1" applyAlignment="1">
      <alignment horizontal="center" vertical="center"/>
    </xf>
    <xf numFmtId="0" fontId="9" fillId="10" borderId="0" xfId="5" applyFont="1" applyFill="1" applyAlignment="1">
      <alignment horizontal="center" wrapText="1"/>
    </xf>
    <xf numFmtId="20" fontId="2" fillId="0" borderId="2" xfId="5" applyNumberFormat="1" applyBorder="1" applyAlignment="1">
      <alignment horizontal="center" vertical="center" wrapText="1"/>
    </xf>
    <xf numFmtId="0" fontId="2" fillId="0" borderId="2" xfId="5" applyBorder="1" applyAlignment="1">
      <alignment horizontal="center" vertical="center" wrapText="1"/>
    </xf>
    <xf numFmtId="44" fontId="8" fillId="9" borderId="0" xfId="5" applyNumberFormat="1" applyFont="1" applyFill="1" applyAlignment="1">
      <alignment horizontal="center" wrapText="1"/>
    </xf>
    <xf numFmtId="20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3" xfId="5" applyBorder="1" applyAlignment="1">
      <alignment horizontal="center" vertical="center" wrapText="1"/>
    </xf>
    <xf numFmtId="20" fontId="2" fillId="0" borderId="4" xfId="5" applyNumberFormat="1" applyBorder="1" applyAlignment="1">
      <alignment horizontal="center" vertical="center" wrapText="1"/>
    </xf>
    <xf numFmtId="0" fontId="2" fillId="0" borderId="4" xfId="5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20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44" fontId="8" fillId="4" borderId="0" xfId="5" applyNumberFormat="1" applyFont="1" applyFill="1" applyAlignment="1">
      <alignment horizontal="center" wrapText="1"/>
    </xf>
    <xf numFmtId="0" fontId="8" fillId="11" borderId="1" xfId="5" applyFont="1" applyFill="1" applyBorder="1" applyAlignment="1">
      <alignment horizontal="center" vertical="center" wrapText="1"/>
    </xf>
    <xf numFmtId="20" fontId="2" fillId="7" borderId="1" xfId="4" applyNumberForma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4" fontId="8" fillId="6" borderId="0" xfId="2" applyFont="1" applyFill="1" applyBorder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0" fontId="0" fillId="7" borderId="0" xfId="0" applyFill="1" applyAlignment="1">
      <alignment horizontal="center"/>
    </xf>
    <xf numFmtId="0" fontId="8" fillId="0" borderId="0" xfId="3" applyNumberFormat="1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8" fillId="7" borderId="0" xfId="5" applyNumberFormat="1" applyFont="1" applyFill="1" applyAlignment="1">
      <alignment horizontal="center" wrapText="1"/>
    </xf>
  </cellXfs>
  <cellStyles count="7">
    <cellStyle name="Comma" xfId="1" builtinId="3"/>
    <cellStyle name="Currency" xfId="2" builtinId="4"/>
    <cellStyle name="Normal" xfId="0" builtinId="0"/>
    <cellStyle name="Normale 2" xfId="6" xr:uid="{4DDAB214-8D62-4DF5-8F45-DFBA501347ED}"/>
    <cellStyle name="Normale_Copia di ALLEGATO_2_LOTTO_DUE_con autobus in usufrutto  exel" xfId="4" xr:uid="{52036A88-518A-4FAF-AB0F-8D126AB37C57}"/>
    <cellStyle name="Normale_Elenco servizi capitolato appalto 2012-14" xfId="5" xr:uid="{0B792233-57F8-49DF-8BCB-10D852A89701}"/>
    <cellStyle name="Percent" xfId="3" builtinId="5"/>
  </cellStyles>
  <dxfs count="28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226F-00EF-4823-97CE-0DD8766D9EF3}">
  <dimension ref="A1:CA958"/>
  <sheetViews>
    <sheetView tabSelected="1" topLeftCell="A383" workbookViewId="0">
      <selection activeCell="B385" sqref="B385"/>
    </sheetView>
  </sheetViews>
  <sheetFormatPr defaultRowHeight="15" x14ac:dyDescent="0.25"/>
  <sheetData>
    <row r="1" spans="1:79" ht="56.2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8" t="s">
        <v>49</v>
      </c>
      <c r="AY1" s="8" t="s">
        <v>50</v>
      </c>
      <c r="AZ1" s="8" t="s">
        <v>51</v>
      </c>
      <c r="BA1" s="9" t="s">
        <v>52</v>
      </c>
      <c r="BB1" s="9" t="s">
        <v>53</v>
      </c>
      <c r="BC1" s="10" t="s">
        <v>54</v>
      </c>
      <c r="BD1" s="11" t="s">
        <v>55</v>
      </c>
      <c r="BE1" s="11" t="s">
        <v>56</v>
      </c>
      <c r="BF1" s="12" t="s">
        <v>57</v>
      </c>
      <c r="BG1" s="13" t="s">
        <v>58</v>
      </c>
      <c r="BH1" s="13" t="s">
        <v>59</v>
      </c>
      <c r="BI1" s="13" t="s">
        <v>60</v>
      </c>
      <c r="BJ1" s="14" t="s">
        <v>61</v>
      </c>
      <c r="BK1" s="13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</row>
    <row r="2" spans="1:79" ht="34.5" x14ac:dyDescent="0.25">
      <c r="A2" s="17"/>
      <c r="B2" s="2">
        <v>1</v>
      </c>
      <c r="C2" s="65">
        <v>91</v>
      </c>
      <c r="D2" s="18">
        <v>492</v>
      </c>
      <c r="E2" s="19">
        <v>0.52430555555555558</v>
      </c>
      <c r="F2" s="19">
        <v>0.56944444444444442</v>
      </c>
      <c r="G2" s="19" t="s">
        <v>260</v>
      </c>
      <c r="H2" s="18" t="s">
        <v>261</v>
      </c>
      <c r="I2" s="20">
        <v>50</v>
      </c>
      <c r="J2" s="21">
        <v>50</v>
      </c>
      <c r="K2" s="22">
        <v>50</v>
      </c>
      <c r="L2" s="23">
        <f t="shared" ref="L2:L65" si="0">+K2*I2</f>
        <v>2500</v>
      </c>
      <c r="M2" s="24" t="s">
        <v>262</v>
      </c>
      <c r="N2" s="25"/>
      <c r="O2" s="25"/>
      <c r="P2" s="25" t="s">
        <v>263</v>
      </c>
      <c r="Q2" s="25">
        <v>54</v>
      </c>
      <c r="R2" s="25" t="s">
        <v>264</v>
      </c>
      <c r="S2" s="35">
        <v>53</v>
      </c>
      <c r="T2" s="26" t="s">
        <v>199</v>
      </c>
      <c r="U2" s="26" t="s">
        <v>200</v>
      </c>
      <c r="V2" s="26" t="s">
        <v>265</v>
      </c>
      <c r="W2" s="26" t="s">
        <v>266</v>
      </c>
      <c r="X2" s="66">
        <v>44805</v>
      </c>
      <c r="Y2" s="66">
        <v>45169</v>
      </c>
      <c r="Z2" s="66"/>
      <c r="AA2" s="66"/>
      <c r="AB2" s="26" t="s">
        <v>267</v>
      </c>
      <c r="AC2" s="26"/>
      <c r="AD2" s="28" t="s">
        <v>90</v>
      </c>
      <c r="AE2" s="28" t="s">
        <v>90</v>
      </c>
      <c r="AF2" s="28" t="s">
        <v>90</v>
      </c>
      <c r="AG2" s="28"/>
      <c r="AH2" s="28"/>
      <c r="AI2" s="28"/>
      <c r="AJ2" s="28"/>
      <c r="AK2" s="28"/>
      <c r="AL2" s="28"/>
      <c r="AM2" s="28" t="s">
        <v>90</v>
      </c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9">
        <v>150</v>
      </c>
      <c r="AY2" s="31"/>
      <c r="AZ2" s="30"/>
      <c r="BA2" s="29"/>
      <c r="BB2" s="29"/>
      <c r="BC2" s="30"/>
      <c r="BD2" s="31">
        <f t="shared" ref="BD2:BD65" si="1">AX2*K2</f>
        <v>7500</v>
      </c>
      <c r="BE2" s="31"/>
      <c r="BF2" s="30"/>
      <c r="BG2" s="32">
        <v>2</v>
      </c>
      <c r="BH2" s="31">
        <f>IF(AND((AX2/I2)&lt;2,BG2=1),(I2*2)-AX2,0)</f>
        <v>0</v>
      </c>
      <c r="BI2" s="31">
        <f>IF(AND((AX2/I2)&lt;3,BG2=2),(I2*3)-AX2,0)</f>
        <v>0</v>
      </c>
      <c r="BJ2" s="33">
        <f>(BH2+BI2)*K2</f>
        <v>0</v>
      </c>
      <c r="BK2" s="30"/>
      <c r="BL2" s="30"/>
      <c r="BM2" s="30"/>
      <c r="BN2" s="30"/>
      <c r="BO2" s="33">
        <f t="shared" ref="BO2:BO65" si="2">BN2*K2</f>
        <v>0</v>
      </c>
      <c r="BP2" s="30">
        <v>4</v>
      </c>
      <c r="BQ2" s="30">
        <v>5</v>
      </c>
      <c r="BR2" s="30"/>
      <c r="BS2" s="30"/>
      <c r="BT2" s="34">
        <f t="shared" ref="BT2:BT65" si="3">SUM(AX2:AZ2)+SUM(BH2:BI2)+SUM(BK2:BL2)+BN2</f>
        <v>150</v>
      </c>
      <c r="BU2" s="34"/>
      <c r="BV2" s="34"/>
      <c r="BW2" s="34"/>
      <c r="BX2" s="34"/>
      <c r="BY2" s="30"/>
      <c r="BZ2" s="31">
        <f>(BT2*BP2)+(BV2*BX2)</f>
        <v>600</v>
      </c>
      <c r="CA2" s="31">
        <f>(BT2*BQ2)+(BW2*BX2)</f>
        <v>750</v>
      </c>
    </row>
    <row r="3" spans="1:79" ht="38.25" x14ac:dyDescent="0.25">
      <c r="A3" s="17"/>
      <c r="B3" s="2">
        <v>2</v>
      </c>
      <c r="C3" s="65">
        <v>91</v>
      </c>
      <c r="D3" s="48">
        <v>492</v>
      </c>
      <c r="E3" s="49">
        <v>0.52430555555555558</v>
      </c>
      <c r="F3" s="49">
        <v>0.56944444444444442</v>
      </c>
      <c r="G3" s="51" t="s">
        <v>260</v>
      </c>
      <c r="H3" s="18" t="s">
        <v>268</v>
      </c>
      <c r="I3" s="48">
        <v>50</v>
      </c>
      <c r="J3" s="52">
        <v>50</v>
      </c>
      <c r="K3" s="22">
        <v>245</v>
      </c>
      <c r="L3" s="23">
        <f t="shared" si="0"/>
        <v>12250</v>
      </c>
      <c r="M3" s="24" t="s">
        <v>262</v>
      </c>
      <c r="N3" s="25"/>
      <c r="O3" s="25"/>
      <c r="P3" s="25" t="s">
        <v>263</v>
      </c>
      <c r="Q3" s="25">
        <v>54</v>
      </c>
      <c r="R3" s="25" t="s">
        <v>264</v>
      </c>
      <c r="S3" s="35">
        <v>53</v>
      </c>
      <c r="T3" s="26" t="s">
        <v>199</v>
      </c>
      <c r="U3" s="26" t="s">
        <v>200</v>
      </c>
      <c r="V3" s="26" t="s">
        <v>265</v>
      </c>
      <c r="W3" s="26" t="s">
        <v>266</v>
      </c>
      <c r="X3" s="66">
        <v>44805</v>
      </c>
      <c r="Y3" s="66">
        <v>45169</v>
      </c>
      <c r="Z3" s="66"/>
      <c r="AA3" s="66"/>
      <c r="AB3" s="26" t="s">
        <v>269</v>
      </c>
      <c r="AC3" s="26"/>
      <c r="AD3" s="28" t="s">
        <v>90</v>
      </c>
      <c r="AE3" s="28" t="s">
        <v>90</v>
      </c>
      <c r="AF3" s="28" t="s">
        <v>90</v>
      </c>
      <c r="AG3" s="28"/>
      <c r="AH3" s="28" t="s">
        <v>90</v>
      </c>
      <c r="AI3" s="28" t="s">
        <v>90</v>
      </c>
      <c r="AJ3" s="28" t="s">
        <v>90</v>
      </c>
      <c r="AK3" s="28" t="s">
        <v>90</v>
      </c>
      <c r="AL3" s="28" t="s">
        <v>90</v>
      </c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31"/>
      <c r="AY3" s="31"/>
      <c r="AZ3" s="30"/>
      <c r="BA3" s="55" t="s">
        <v>270</v>
      </c>
      <c r="BB3" s="55"/>
      <c r="BC3" s="30"/>
      <c r="BD3" s="31">
        <f t="shared" si="1"/>
        <v>0</v>
      </c>
      <c r="BE3" s="30"/>
      <c r="BF3" s="30"/>
      <c r="BG3" s="32">
        <v>2</v>
      </c>
      <c r="BH3" s="30"/>
      <c r="BI3" s="31"/>
      <c r="BJ3" s="30"/>
      <c r="BK3" s="30"/>
      <c r="BL3" s="30"/>
      <c r="BM3" s="30"/>
      <c r="BN3" s="30"/>
      <c r="BO3" s="33">
        <f t="shared" si="2"/>
        <v>0</v>
      </c>
      <c r="BP3" s="30">
        <v>22</v>
      </c>
      <c r="BQ3" s="36">
        <v>20</v>
      </c>
      <c r="BR3" s="30"/>
      <c r="BS3" s="30"/>
      <c r="BT3" s="34">
        <f t="shared" si="3"/>
        <v>0</v>
      </c>
      <c r="BU3" s="34" t="s">
        <v>269</v>
      </c>
      <c r="BV3" s="30">
        <v>22</v>
      </c>
      <c r="BW3" s="30">
        <v>20</v>
      </c>
      <c r="BX3" s="34">
        <v>400</v>
      </c>
      <c r="BY3" s="30"/>
      <c r="BZ3" s="31">
        <f t="shared" ref="BZ3:BZ54" si="4">(BT3*BP3)+(BV3*BX3)</f>
        <v>8800</v>
      </c>
      <c r="CA3" s="31">
        <f t="shared" ref="CA3:CA66" si="5">(BT3*BQ3)+(BW3*BX3)</f>
        <v>8000</v>
      </c>
    </row>
    <row r="4" spans="1:79" ht="34.5" x14ac:dyDescent="0.25">
      <c r="A4" s="17"/>
      <c r="B4" s="2">
        <v>3</v>
      </c>
      <c r="C4" s="65">
        <v>91</v>
      </c>
      <c r="D4" s="18">
        <v>493</v>
      </c>
      <c r="E4" s="19">
        <v>0.59375</v>
      </c>
      <c r="F4" s="19">
        <v>0.63541666666666663</v>
      </c>
      <c r="G4" s="19" t="s">
        <v>271</v>
      </c>
      <c r="H4" s="18" t="s">
        <v>261</v>
      </c>
      <c r="I4" s="20">
        <v>50</v>
      </c>
      <c r="J4" s="21">
        <v>50</v>
      </c>
      <c r="K4" s="22">
        <v>50</v>
      </c>
      <c r="L4" s="23">
        <f t="shared" si="0"/>
        <v>2500</v>
      </c>
      <c r="M4" s="24" t="s">
        <v>262</v>
      </c>
      <c r="N4" s="25"/>
      <c r="O4" s="25"/>
      <c r="P4" s="25" t="s">
        <v>263</v>
      </c>
      <c r="Q4" s="25">
        <v>54</v>
      </c>
      <c r="R4" s="25" t="s">
        <v>264</v>
      </c>
      <c r="S4" s="35">
        <v>53</v>
      </c>
      <c r="T4" s="26" t="s">
        <v>265</v>
      </c>
      <c r="U4" s="26" t="s">
        <v>266</v>
      </c>
      <c r="V4" s="26" t="s">
        <v>199</v>
      </c>
      <c r="W4" s="26" t="s">
        <v>200</v>
      </c>
      <c r="X4" s="66">
        <v>44805</v>
      </c>
      <c r="Y4" s="66">
        <v>45169</v>
      </c>
      <c r="Z4" s="66"/>
      <c r="AA4" s="66"/>
      <c r="AB4" s="26" t="s">
        <v>267</v>
      </c>
      <c r="AC4" s="26"/>
      <c r="AD4" s="28" t="s">
        <v>90</v>
      </c>
      <c r="AE4" s="28" t="s">
        <v>90</v>
      </c>
      <c r="AF4" s="28" t="s">
        <v>90</v>
      </c>
      <c r="AG4" s="28"/>
      <c r="AH4" s="28"/>
      <c r="AI4" s="28"/>
      <c r="AJ4" s="28"/>
      <c r="AK4" s="28"/>
      <c r="AL4" s="28"/>
      <c r="AM4" s="28" t="s">
        <v>90</v>
      </c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9">
        <v>150</v>
      </c>
      <c r="AY4" s="31"/>
      <c r="AZ4" s="30"/>
      <c r="BA4" s="29"/>
      <c r="BB4" s="29"/>
      <c r="BC4" s="30"/>
      <c r="BD4" s="31">
        <f t="shared" si="1"/>
        <v>7500</v>
      </c>
      <c r="BE4" s="31"/>
      <c r="BF4" s="30"/>
      <c r="BG4" s="32">
        <v>2</v>
      </c>
      <c r="BH4" s="31">
        <f>IF(AND((AX4/I4)&lt;2,BG4=1),(I4*2)-AX4,0)</f>
        <v>0</v>
      </c>
      <c r="BI4" s="31">
        <f>IF(AND((AX4/I4)&lt;3,BG4=2),(I4*3)-AX4,0)</f>
        <v>0</v>
      </c>
      <c r="BJ4" s="33">
        <f>(BH4+BI4)*K4</f>
        <v>0</v>
      </c>
      <c r="BK4" s="30"/>
      <c r="BL4" s="30"/>
      <c r="BM4" s="30"/>
      <c r="BN4" s="30"/>
      <c r="BO4" s="33">
        <f t="shared" si="2"/>
        <v>0</v>
      </c>
      <c r="BP4" s="30">
        <v>4</v>
      </c>
      <c r="BQ4" s="30">
        <v>5</v>
      </c>
      <c r="BR4" s="30"/>
      <c r="BS4" s="30"/>
      <c r="BT4" s="34">
        <f t="shared" si="3"/>
        <v>150</v>
      </c>
      <c r="BU4" s="34"/>
      <c r="BV4" s="34"/>
      <c r="BW4" s="34"/>
      <c r="BX4" s="34"/>
      <c r="BY4" s="30"/>
      <c r="BZ4" s="31">
        <f t="shared" si="4"/>
        <v>600</v>
      </c>
      <c r="CA4" s="31">
        <f t="shared" si="5"/>
        <v>750</v>
      </c>
    </row>
    <row r="5" spans="1:79" ht="38.25" x14ac:dyDescent="0.25">
      <c r="A5" s="17"/>
      <c r="B5" s="2">
        <v>4</v>
      </c>
      <c r="C5" s="65">
        <v>91</v>
      </c>
      <c r="D5" s="48">
        <v>493</v>
      </c>
      <c r="E5" s="49">
        <v>0.59375</v>
      </c>
      <c r="F5" s="49">
        <v>0.63541666666666663</v>
      </c>
      <c r="G5" s="51" t="s">
        <v>271</v>
      </c>
      <c r="H5" s="18" t="s">
        <v>268</v>
      </c>
      <c r="I5" s="48">
        <v>50</v>
      </c>
      <c r="J5" s="52">
        <v>50</v>
      </c>
      <c r="K5" s="22">
        <v>245</v>
      </c>
      <c r="L5" s="23">
        <f t="shared" si="0"/>
        <v>12250</v>
      </c>
      <c r="M5" s="24" t="s">
        <v>262</v>
      </c>
      <c r="N5" s="25"/>
      <c r="O5" s="25"/>
      <c r="P5" s="25" t="s">
        <v>263</v>
      </c>
      <c r="Q5" s="25">
        <v>54</v>
      </c>
      <c r="R5" s="25" t="s">
        <v>264</v>
      </c>
      <c r="S5" s="35">
        <v>53</v>
      </c>
      <c r="T5" s="26" t="s">
        <v>265</v>
      </c>
      <c r="U5" s="26" t="s">
        <v>266</v>
      </c>
      <c r="V5" s="26" t="s">
        <v>199</v>
      </c>
      <c r="W5" s="26" t="s">
        <v>200</v>
      </c>
      <c r="X5" s="66">
        <v>44805</v>
      </c>
      <c r="Y5" s="66">
        <v>45169</v>
      </c>
      <c r="Z5" s="66"/>
      <c r="AA5" s="66"/>
      <c r="AB5" s="26" t="s">
        <v>269</v>
      </c>
      <c r="AC5" s="26"/>
      <c r="AD5" s="28" t="s">
        <v>90</v>
      </c>
      <c r="AE5" s="28" t="s">
        <v>90</v>
      </c>
      <c r="AF5" s="28" t="s">
        <v>90</v>
      </c>
      <c r="AG5" s="28"/>
      <c r="AH5" s="28" t="s">
        <v>90</v>
      </c>
      <c r="AI5" s="28" t="s">
        <v>90</v>
      </c>
      <c r="AJ5" s="28" t="s">
        <v>90</v>
      </c>
      <c r="AK5" s="28" t="s">
        <v>90</v>
      </c>
      <c r="AL5" s="28" t="s">
        <v>90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31"/>
      <c r="AY5" s="31"/>
      <c r="AZ5" s="30"/>
      <c r="BA5" s="55" t="s">
        <v>270</v>
      </c>
      <c r="BB5" s="55"/>
      <c r="BC5" s="30"/>
      <c r="BD5" s="31">
        <f t="shared" si="1"/>
        <v>0</v>
      </c>
      <c r="BE5" s="30"/>
      <c r="BF5" s="30"/>
      <c r="BG5" s="32">
        <v>2</v>
      </c>
      <c r="BH5" s="30"/>
      <c r="BI5" s="31"/>
      <c r="BJ5" s="30"/>
      <c r="BK5" s="30"/>
      <c r="BL5" s="30"/>
      <c r="BM5" s="30"/>
      <c r="BN5" s="30"/>
      <c r="BO5" s="33">
        <f t="shared" si="2"/>
        <v>0</v>
      </c>
      <c r="BP5" s="30">
        <v>22</v>
      </c>
      <c r="BQ5" s="36">
        <v>20</v>
      </c>
      <c r="BR5" s="30"/>
      <c r="BS5" s="30"/>
      <c r="BT5" s="34">
        <f t="shared" si="3"/>
        <v>0</v>
      </c>
      <c r="BU5" s="34"/>
      <c r="BV5" s="34"/>
      <c r="BW5" s="34"/>
      <c r="BX5" s="34"/>
      <c r="BY5" s="30"/>
      <c r="BZ5" s="31">
        <f t="shared" si="4"/>
        <v>0</v>
      </c>
      <c r="CA5" s="31">
        <f t="shared" si="5"/>
        <v>0</v>
      </c>
    </row>
    <row r="6" spans="1:79" ht="38.25" x14ac:dyDescent="0.25">
      <c r="A6" s="17"/>
      <c r="B6" s="2">
        <v>5</v>
      </c>
      <c r="C6" s="65">
        <v>91</v>
      </c>
      <c r="D6" s="48">
        <v>494</v>
      </c>
      <c r="E6" s="49">
        <v>0.86458333333333337</v>
      </c>
      <c r="F6" s="49">
        <v>0.90625</v>
      </c>
      <c r="G6" s="51" t="s">
        <v>260</v>
      </c>
      <c r="H6" s="18" t="s">
        <v>268</v>
      </c>
      <c r="I6" s="48">
        <v>50</v>
      </c>
      <c r="J6" s="52">
        <v>50</v>
      </c>
      <c r="K6" s="22">
        <v>245</v>
      </c>
      <c r="L6" s="23">
        <f t="shared" si="0"/>
        <v>12250</v>
      </c>
      <c r="M6" s="24" t="s">
        <v>262</v>
      </c>
      <c r="N6" s="25"/>
      <c r="O6" s="25"/>
      <c r="P6" s="25" t="s">
        <v>263</v>
      </c>
      <c r="Q6" s="25">
        <v>54</v>
      </c>
      <c r="R6" s="25" t="s">
        <v>264</v>
      </c>
      <c r="S6" s="35">
        <v>53</v>
      </c>
      <c r="T6" s="26" t="s">
        <v>199</v>
      </c>
      <c r="U6" s="26" t="s">
        <v>200</v>
      </c>
      <c r="V6" s="26" t="s">
        <v>265</v>
      </c>
      <c r="W6" s="26" t="s">
        <v>266</v>
      </c>
      <c r="X6" s="66">
        <v>44805</v>
      </c>
      <c r="Y6" s="66">
        <v>45169</v>
      </c>
      <c r="Z6" s="66"/>
      <c r="AA6" s="66"/>
      <c r="AB6" s="26" t="s">
        <v>269</v>
      </c>
      <c r="AC6" s="26"/>
      <c r="AD6" s="28" t="s">
        <v>90</v>
      </c>
      <c r="AE6" s="28" t="s">
        <v>90</v>
      </c>
      <c r="AF6" s="28" t="s">
        <v>90</v>
      </c>
      <c r="AG6" s="28"/>
      <c r="AH6" s="28" t="s">
        <v>90</v>
      </c>
      <c r="AI6" s="28" t="s">
        <v>90</v>
      </c>
      <c r="AJ6" s="28" t="s">
        <v>90</v>
      </c>
      <c r="AK6" s="28" t="s">
        <v>90</v>
      </c>
      <c r="AL6" s="28" t="s">
        <v>90</v>
      </c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31"/>
      <c r="AY6" s="31"/>
      <c r="AZ6" s="30"/>
      <c r="BA6" s="55" t="s">
        <v>270</v>
      </c>
      <c r="BB6" s="55"/>
      <c r="BC6" s="30"/>
      <c r="BD6" s="31">
        <f t="shared" si="1"/>
        <v>0</v>
      </c>
      <c r="BE6" s="30"/>
      <c r="BF6" s="30"/>
      <c r="BG6" s="32">
        <v>2</v>
      </c>
      <c r="BH6" s="30"/>
      <c r="BI6" s="31"/>
      <c r="BJ6" s="30"/>
      <c r="BK6" s="30"/>
      <c r="BL6" s="30"/>
      <c r="BM6" s="30"/>
      <c r="BN6" s="30"/>
      <c r="BO6" s="33">
        <f t="shared" si="2"/>
        <v>0</v>
      </c>
      <c r="BP6" s="30">
        <v>22</v>
      </c>
      <c r="BQ6" s="36">
        <v>20</v>
      </c>
      <c r="BR6" s="30"/>
      <c r="BS6" s="30"/>
      <c r="BT6" s="34">
        <f t="shared" si="3"/>
        <v>0</v>
      </c>
      <c r="BU6" s="34"/>
      <c r="BV6" s="34"/>
      <c r="BW6" s="34"/>
      <c r="BX6" s="34"/>
      <c r="BY6" s="30"/>
      <c r="BZ6" s="31">
        <f t="shared" si="4"/>
        <v>0</v>
      </c>
      <c r="CA6" s="31">
        <f t="shared" si="5"/>
        <v>0</v>
      </c>
    </row>
    <row r="7" spans="1:79" ht="34.5" x14ac:dyDescent="0.25">
      <c r="A7" s="17"/>
      <c r="B7" s="2">
        <v>6</v>
      </c>
      <c r="C7" s="65">
        <v>91</v>
      </c>
      <c r="D7" s="18">
        <v>495</v>
      </c>
      <c r="E7" s="19">
        <v>0.92361111111111116</v>
      </c>
      <c r="F7" s="19">
        <v>0.96527777777777779</v>
      </c>
      <c r="G7" s="19" t="s">
        <v>271</v>
      </c>
      <c r="H7" s="18" t="s">
        <v>261</v>
      </c>
      <c r="I7" s="20">
        <v>50</v>
      </c>
      <c r="J7" s="21">
        <v>50</v>
      </c>
      <c r="K7" s="22">
        <v>50</v>
      </c>
      <c r="L7" s="23">
        <f t="shared" si="0"/>
        <v>2500</v>
      </c>
      <c r="M7" s="24" t="s">
        <v>262</v>
      </c>
      <c r="N7" s="25"/>
      <c r="O7" s="25"/>
      <c r="P7" s="25" t="s">
        <v>263</v>
      </c>
      <c r="Q7" s="25">
        <v>54</v>
      </c>
      <c r="R7" s="25" t="s">
        <v>264</v>
      </c>
      <c r="S7" s="35">
        <v>53</v>
      </c>
      <c r="T7" s="26" t="s">
        <v>265</v>
      </c>
      <c r="U7" s="26" t="s">
        <v>266</v>
      </c>
      <c r="V7" s="26" t="s">
        <v>199</v>
      </c>
      <c r="W7" s="26" t="s">
        <v>200</v>
      </c>
      <c r="X7" s="66">
        <v>44805</v>
      </c>
      <c r="Y7" s="66">
        <v>45169</v>
      </c>
      <c r="Z7" s="66"/>
      <c r="AA7" s="66"/>
      <c r="AB7" s="26" t="s">
        <v>267</v>
      </c>
      <c r="AC7" s="26"/>
      <c r="AD7" s="28" t="s">
        <v>90</v>
      </c>
      <c r="AE7" s="28" t="s">
        <v>90</v>
      </c>
      <c r="AF7" s="28" t="s">
        <v>90</v>
      </c>
      <c r="AG7" s="28"/>
      <c r="AH7" s="28"/>
      <c r="AI7" s="28"/>
      <c r="AJ7" s="28"/>
      <c r="AK7" s="28"/>
      <c r="AL7" s="28"/>
      <c r="AM7" s="28" t="s">
        <v>90</v>
      </c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9">
        <v>150</v>
      </c>
      <c r="AY7" s="31"/>
      <c r="AZ7" s="30"/>
      <c r="BA7" s="29"/>
      <c r="BB7" s="29"/>
      <c r="BC7" s="30"/>
      <c r="BD7" s="31">
        <f t="shared" si="1"/>
        <v>7500</v>
      </c>
      <c r="BE7" s="31"/>
      <c r="BF7" s="30"/>
      <c r="BG7" s="32">
        <v>2</v>
      </c>
      <c r="BH7" s="31">
        <f>IF(AND((AX7/I7)&lt;2,BG7=1),(I7*2)-AX7,0)</f>
        <v>0</v>
      </c>
      <c r="BI7" s="31">
        <f>IF(AND((AX7/I7)&lt;3,BG7=2),(I7*3)-AX7,0)</f>
        <v>0</v>
      </c>
      <c r="BJ7" s="33">
        <f>(BH7+BI7)*K7</f>
        <v>0</v>
      </c>
      <c r="BK7" s="30"/>
      <c r="BL7" s="30"/>
      <c r="BM7" s="30"/>
      <c r="BN7" s="30"/>
      <c r="BO7" s="33">
        <f t="shared" si="2"/>
        <v>0</v>
      </c>
      <c r="BP7" s="30">
        <v>4</v>
      </c>
      <c r="BQ7" s="30">
        <v>5</v>
      </c>
      <c r="BR7" s="30"/>
      <c r="BS7" s="30"/>
      <c r="BT7" s="34">
        <f t="shared" si="3"/>
        <v>150</v>
      </c>
      <c r="BU7" s="34"/>
      <c r="BV7" s="34"/>
      <c r="BW7" s="34"/>
      <c r="BX7" s="34"/>
      <c r="BY7" s="30"/>
      <c r="BZ7" s="31">
        <f t="shared" si="4"/>
        <v>600</v>
      </c>
      <c r="CA7" s="31">
        <f t="shared" si="5"/>
        <v>750</v>
      </c>
    </row>
    <row r="8" spans="1:79" ht="38.25" x14ac:dyDescent="0.25">
      <c r="A8" s="17"/>
      <c r="B8" s="2">
        <v>7</v>
      </c>
      <c r="C8" s="65">
        <v>91</v>
      </c>
      <c r="D8" s="48">
        <v>495</v>
      </c>
      <c r="E8" s="49">
        <v>0.92361111111111116</v>
      </c>
      <c r="F8" s="49">
        <v>0.96527777777777779</v>
      </c>
      <c r="G8" s="51" t="s">
        <v>271</v>
      </c>
      <c r="H8" s="18" t="s">
        <v>268</v>
      </c>
      <c r="I8" s="48">
        <v>50</v>
      </c>
      <c r="J8" s="52">
        <v>50</v>
      </c>
      <c r="K8" s="22">
        <v>245</v>
      </c>
      <c r="L8" s="23">
        <f t="shared" si="0"/>
        <v>12250</v>
      </c>
      <c r="M8" s="24" t="s">
        <v>262</v>
      </c>
      <c r="N8" s="25"/>
      <c r="O8" s="25"/>
      <c r="P8" s="25" t="s">
        <v>263</v>
      </c>
      <c r="Q8" s="25">
        <v>54</v>
      </c>
      <c r="R8" s="25" t="s">
        <v>264</v>
      </c>
      <c r="S8" s="35">
        <v>53</v>
      </c>
      <c r="T8" s="26" t="s">
        <v>265</v>
      </c>
      <c r="U8" s="26" t="s">
        <v>266</v>
      </c>
      <c r="V8" s="26" t="s">
        <v>199</v>
      </c>
      <c r="W8" s="26" t="s">
        <v>200</v>
      </c>
      <c r="X8" s="66">
        <v>44805</v>
      </c>
      <c r="Y8" s="66">
        <v>45169</v>
      </c>
      <c r="Z8" s="66"/>
      <c r="AA8" s="66"/>
      <c r="AB8" s="26" t="s">
        <v>269</v>
      </c>
      <c r="AC8" s="26"/>
      <c r="AD8" s="28" t="s">
        <v>90</v>
      </c>
      <c r="AE8" s="28" t="s">
        <v>90</v>
      </c>
      <c r="AF8" s="28" t="s">
        <v>90</v>
      </c>
      <c r="AG8" s="28"/>
      <c r="AH8" s="28" t="s">
        <v>90</v>
      </c>
      <c r="AI8" s="28" t="s">
        <v>90</v>
      </c>
      <c r="AJ8" s="28" t="s">
        <v>90</v>
      </c>
      <c r="AK8" s="28" t="s">
        <v>90</v>
      </c>
      <c r="AL8" s="28" t="s">
        <v>90</v>
      </c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31"/>
      <c r="AY8" s="31"/>
      <c r="AZ8" s="30"/>
      <c r="BA8" s="55" t="s">
        <v>270</v>
      </c>
      <c r="BB8" s="55"/>
      <c r="BC8" s="30"/>
      <c r="BD8" s="31">
        <f t="shared" si="1"/>
        <v>0</v>
      </c>
      <c r="BE8" s="30"/>
      <c r="BF8" s="30"/>
      <c r="BG8" s="32">
        <v>2</v>
      </c>
      <c r="BH8" s="30"/>
      <c r="BI8" s="31"/>
      <c r="BJ8" s="30"/>
      <c r="BK8" s="30"/>
      <c r="BL8" s="30"/>
      <c r="BM8" s="30"/>
      <c r="BN8" s="30"/>
      <c r="BO8" s="33">
        <f t="shared" si="2"/>
        <v>0</v>
      </c>
      <c r="BP8" s="30">
        <v>22</v>
      </c>
      <c r="BQ8" s="36">
        <v>20</v>
      </c>
      <c r="BR8" s="30"/>
      <c r="BS8" s="30"/>
      <c r="BT8" s="34">
        <f t="shared" si="3"/>
        <v>0</v>
      </c>
      <c r="BU8" s="34"/>
      <c r="BV8" s="34"/>
      <c r="BW8" s="34"/>
      <c r="BX8" s="34"/>
      <c r="BY8" s="30"/>
      <c r="BZ8" s="31">
        <f t="shared" si="4"/>
        <v>0</v>
      </c>
      <c r="CA8" s="31">
        <f t="shared" si="5"/>
        <v>0</v>
      </c>
    </row>
    <row r="9" spans="1:79" ht="76.5" x14ac:dyDescent="0.25">
      <c r="A9" s="17"/>
      <c r="B9" s="2">
        <v>8</v>
      </c>
      <c r="C9" s="18">
        <v>102</v>
      </c>
      <c r="D9" s="18">
        <v>146</v>
      </c>
      <c r="E9" s="19">
        <v>0.55277777777777781</v>
      </c>
      <c r="F9" s="19">
        <v>0.5805555555555556</v>
      </c>
      <c r="G9" s="18" t="s">
        <v>272</v>
      </c>
      <c r="H9" s="18" t="s">
        <v>273</v>
      </c>
      <c r="I9" s="20">
        <v>19</v>
      </c>
      <c r="J9" s="21" t="s">
        <v>274</v>
      </c>
      <c r="K9" s="22">
        <v>174</v>
      </c>
      <c r="L9" s="23">
        <f t="shared" si="0"/>
        <v>3306</v>
      </c>
      <c r="M9" s="24" t="s">
        <v>176</v>
      </c>
      <c r="N9" s="25" t="s">
        <v>275</v>
      </c>
      <c r="O9" s="25">
        <v>57</v>
      </c>
      <c r="P9" s="25" t="s">
        <v>276</v>
      </c>
      <c r="Q9" s="17">
        <v>50</v>
      </c>
      <c r="R9" s="25" t="s">
        <v>277</v>
      </c>
      <c r="S9" s="35" t="s">
        <v>278</v>
      </c>
      <c r="T9" s="26" t="s">
        <v>279</v>
      </c>
      <c r="U9" s="26" t="s">
        <v>280</v>
      </c>
      <c r="V9" s="26">
        <v>1072</v>
      </c>
      <c r="W9" s="26" t="s">
        <v>281</v>
      </c>
      <c r="X9" s="66">
        <v>44816</v>
      </c>
      <c r="Y9" s="66">
        <v>45086</v>
      </c>
      <c r="Z9" s="66"/>
      <c r="AA9" s="66"/>
      <c r="AB9" s="26" t="s">
        <v>282</v>
      </c>
      <c r="AC9" s="26"/>
      <c r="AD9" s="28"/>
      <c r="AE9" s="28"/>
      <c r="AF9" s="28"/>
      <c r="AG9" s="28" t="s">
        <v>90</v>
      </c>
      <c r="AH9" s="28" t="s">
        <v>90</v>
      </c>
      <c r="AI9" s="28" t="s">
        <v>90</v>
      </c>
      <c r="AJ9" s="28" t="s">
        <v>90</v>
      </c>
      <c r="AK9" s="28" t="s">
        <v>90</v>
      </c>
      <c r="AL9" s="28" t="s">
        <v>90</v>
      </c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9">
        <v>34.200000000000003</v>
      </c>
      <c r="AY9" s="30"/>
      <c r="AZ9" s="30"/>
      <c r="BA9" s="29"/>
      <c r="BB9" s="29"/>
      <c r="BC9" s="30"/>
      <c r="BD9" s="31">
        <f t="shared" si="1"/>
        <v>5950.8</v>
      </c>
      <c r="BE9" s="31"/>
      <c r="BF9" s="30"/>
      <c r="BG9" s="32">
        <v>2</v>
      </c>
      <c r="BH9" s="53"/>
      <c r="BI9" s="53"/>
      <c r="BJ9" s="54"/>
      <c r="BK9" s="30"/>
      <c r="BL9" s="30"/>
      <c r="BM9" s="30"/>
      <c r="BN9" s="30"/>
      <c r="BO9" s="33">
        <f t="shared" si="2"/>
        <v>0</v>
      </c>
      <c r="BP9" s="30">
        <v>15</v>
      </c>
      <c r="BQ9" s="30">
        <v>20</v>
      </c>
      <c r="BR9" s="30"/>
      <c r="BS9" s="30"/>
      <c r="BT9" s="34">
        <f t="shared" si="3"/>
        <v>34.200000000000003</v>
      </c>
      <c r="BU9" s="34"/>
      <c r="BV9" s="34"/>
      <c r="BW9" s="34"/>
      <c r="BX9" s="34"/>
      <c r="BY9" s="30"/>
      <c r="BZ9" s="31">
        <f t="shared" si="4"/>
        <v>513</v>
      </c>
      <c r="CA9" s="31">
        <f t="shared" si="5"/>
        <v>684</v>
      </c>
    </row>
    <row r="10" spans="1:79" ht="38.25" x14ac:dyDescent="0.25">
      <c r="A10" s="17"/>
      <c r="B10" s="2">
        <v>9</v>
      </c>
      <c r="C10" s="18">
        <v>103</v>
      </c>
      <c r="D10" s="18">
        <v>110</v>
      </c>
      <c r="E10" s="19">
        <v>0.51388888888888895</v>
      </c>
      <c r="F10" s="59">
        <v>0.59166666666666667</v>
      </c>
      <c r="G10" s="58" t="s">
        <v>283</v>
      </c>
      <c r="H10" s="18" t="s">
        <v>284</v>
      </c>
      <c r="I10" s="20">
        <v>62</v>
      </c>
      <c r="J10" s="21" t="s">
        <v>285</v>
      </c>
      <c r="K10" s="22">
        <v>45</v>
      </c>
      <c r="L10" s="23">
        <f t="shared" si="0"/>
        <v>2790</v>
      </c>
      <c r="M10" s="24" t="s">
        <v>129</v>
      </c>
      <c r="N10" s="25" t="s">
        <v>286</v>
      </c>
      <c r="O10" s="25">
        <v>48</v>
      </c>
      <c r="P10" s="25" t="s">
        <v>131</v>
      </c>
      <c r="Q10" s="25">
        <v>45</v>
      </c>
      <c r="R10" s="25" t="s">
        <v>287</v>
      </c>
      <c r="S10" s="35">
        <v>56</v>
      </c>
      <c r="T10" s="26">
        <v>1</v>
      </c>
      <c r="U10" s="26" t="s">
        <v>179</v>
      </c>
      <c r="V10" s="26">
        <v>1070</v>
      </c>
      <c r="W10" s="26" t="s">
        <v>288</v>
      </c>
      <c r="X10" s="27">
        <v>44816</v>
      </c>
      <c r="Y10" s="27">
        <v>45100</v>
      </c>
      <c r="Z10" s="27"/>
      <c r="AA10" s="27"/>
      <c r="AB10" s="62" t="s">
        <v>289</v>
      </c>
      <c r="AC10" s="62"/>
      <c r="AD10" s="28" t="s">
        <v>90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8" t="s">
        <v>90</v>
      </c>
      <c r="AO10" s="28"/>
      <c r="AP10" s="28"/>
      <c r="AQ10" s="28"/>
      <c r="AR10" s="28"/>
      <c r="AS10" s="28"/>
      <c r="AT10" s="28"/>
      <c r="AU10" s="28"/>
      <c r="AV10" s="28"/>
      <c r="AW10" s="28"/>
      <c r="AX10" s="29">
        <v>186</v>
      </c>
      <c r="AY10" s="31"/>
      <c r="AZ10" s="30"/>
      <c r="BA10" s="29"/>
      <c r="BB10" s="29"/>
      <c r="BC10" s="30"/>
      <c r="BD10" s="31">
        <f t="shared" si="1"/>
        <v>8370</v>
      </c>
      <c r="BE10" s="31"/>
      <c r="BF10" s="30"/>
      <c r="BG10" s="32">
        <v>2</v>
      </c>
      <c r="BH10" s="31">
        <f>IF(AND((AX10/I10)&lt;2,BG10=1),(I10*2)-AX10,0)</f>
        <v>0</v>
      </c>
      <c r="BI10" s="31">
        <f>IF(AND((AX10/I10)&lt;3,BG10=2),(I10*3)-AX10,0)</f>
        <v>0</v>
      </c>
      <c r="BJ10" s="33">
        <f>(BH10+BI10)*K10</f>
        <v>0</v>
      </c>
      <c r="BK10" s="30"/>
      <c r="BL10" s="30"/>
      <c r="BM10" s="30"/>
      <c r="BN10" s="30"/>
      <c r="BO10" s="33">
        <f t="shared" si="2"/>
        <v>0</v>
      </c>
      <c r="BP10" s="30">
        <v>2</v>
      </c>
      <c r="BQ10" s="30">
        <v>5</v>
      </c>
      <c r="BR10" s="30"/>
      <c r="BS10" s="30"/>
      <c r="BT10" s="34">
        <f t="shared" si="3"/>
        <v>186</v>
      </c>
      <c r="BU10" s="34"/>
      <c r="BV10" s="34"/>
      <c r="BW10" s="34"/>
      <c r="BX10" s="34"/>
      <c r="BY10" s="30"/>
      <c r="BZ10" s="31">
        <f t="shared" si="4"/>
        <v>372</v>
      </c>
      <c r="CA10" s="31">
        <f t="shared" si="5"/>
        <v>930</v>
      </c>
    </row>
    <row r="11" spans="1:79" ht="38.25" x14ac:dyDescent="0.25">
      <c r="A11" s="17"/>
      <c r="B11" s="2">
        <v>10</v>
      </c>
      <c r="C11" s="48">
        <v>103</v>
      </c>
      <c r="D11" s="48">
        <v>110</v>
      </c>
      <c r="E11" s="49">
        <v>0.51388888888888895</v>
      </c>
      <c r="F11" s="50">
        <v>0.59166666666666667</v>
      </c>
      <c r="G11" s="58" t="s">
        <v>283</v>
      </c>
      <c r="H11" s="18" t="s">
        <v>290</v>
      </c>
      <c r="I11" s="48">
        <v>62</v>
      </c>
      <c r="J11" s="52">
        <v>30</v>
      </c>
      <c r="K11" s="22">
        <v>13</v>
      </c>
      <c r="L11" s="23">
        <f t="shared" si="0"/>
        <v>806</v>
      </c>
      <c r="M11" s="24" t="s">
        <v>129</v>
      </c>
      <c r="N11" s="25" t="s">
        <v>286</v>
      </c>
      <c r="O11" s="25">
        <v>48</v>
      </c>
      <c r="P11" s="25" t="s">
        <v>131</v>
      </c>
      <c r="Q11" s="25">
        <v>45</v>
      </c>
      <c r="R11" s="25" t="s">
        <v>287</v>
      </c>
      <c r="S11" s="35">
        <v>56</v>
      </c>
      <c r="T11" s="26">
        <v>1</v>
      </c>
      <c r="U11" s="26" t="s">
        <v>179</v>
      </c>
      <c r="V11" s="26">
        <v>1070</v>
      </c>
      <c r="W11" s="26" t="s">
        <v>288</v>
      </c>
      <c r="X11" s="27">
        <v>44562</v>
      </c>
      <c r="Y11" s="27">
        <v>44815</v>
      </c>
      <c r="Z11" s="27">
        <v>45101</v>
      </c>
      <c r="AA11" s="27">
        <v>45169</v>
      </c>
      <c r="AB11" s="62" t="s">
        <v>291</v>
      </c>
      <c r="AC11" s="62"/>
      <c r="AD11" s="28"/>
      <c r="AE11" s="28" t="s">
        <v>90</v>
      </c>
      <c r="AF11" s="28"/>
      <c r="AG11" s="28"/>
      <c r="AH11" s="28"/>
      <c r="AI11" s="28"/>
      <c r="AJ11" s="28"/>
      <c r="AK11" s="28"/>
      <c r="AL11" s="28"/>
      <c r="AM11" s="28"/>
      <c r="AN11" s="28" t="s">
        <v>90</v>
      </c>
      <c r="AO11" s="28"/>
      <c r="AP11" s="28"/>
      <c r="AQ11" s="28"/>
      <c r="AR11" s="28"/>
      <c r="AS11" s="28"/>
      <c r="AT11" s="28"/>
      <c r="AU11" s="28"/>
      <c r="AV11" s="28"/>
      <c r="AW11" s="28"/>
      <c r="AX11" s="31"/>
      <c r="AY11" s="31"/>
      <c r="AZ11" s="30"/>
      <c r="BA11" s="55" t="s">
        <v>292</v>
      </c>
      <c r="BB11" s="55"/>
      <c r="BC11" s="30"/>
      <c r="BD11" s="31">
        <f t="shared" si="1"/>
        <v>0</v>
      </c>
      <c r="BE11" s="30"/>
      <c r="BF11" s="30"/>
      <c r="BG11" s="36">
        <v>1</v>
      </c>
      <c r="BH11" s="30"/>
      <c r="BI11" s="31"/>
      <c r="BJ11" s="30"/>
      <c r="BK11" s="30"/>
      <c r="BL11" s="30"/>
      <c r="BM11" s="30"/>
      <c r="BN11" s="30"/>
      <c r="BO11" s="33">
        <f t="shared" si="2"/>
        <v>0</v>
      </c>
      <c r="BP11" s="30">
        <v>2</v>
      </c>
      <c r="BQ11" s="30">
        <v>0</v>
      </c>
      <c r="BR11" s="30"/>
      <c r="BS11" s="30"/>
      <c r="BT11" s="34">
        <f t="shared" si="3"/>
        <v>0</v>
      </c>
      <c r="BU11" s="34" t="s">
        <v>291</v>
      </c>
      <c r="BV11" s="30">
        <v>2</v>
      </c>
      <c r="BW11" s="30">
        <v>0</v>
      </c>
      <c r="BX11" s="34">
        <v>350</v>
      </c>
      <c r="BY11" s="30"/>
      <c r="BZ11" s="31">
        <f t="shared" si="4"/>
        <v>700</v>
      </c>
      <c r="CA11" s="31">
        <f t="shared" si="5"/>
        <v>0</v>
      </c>
    </row>
    <row r="12" spans="1:79" ht="51" x14ac:dyDescent="0.25">
      <c r="A12" s="17"/>
      <c r="B12" s="2">
        <v>11</v>
      </c>
      <c r="C12" s="18">
        <v>103</v>
      </c>
      <c r="D12" s="18">
        <v>118</v>
      </c>
      <c r="E12" s="19">
        <v>0.69444444444444453</v>
      </c>
      <c r="F12" s="19">
        <v>0.72916666666666663</v>
      </c>
      <c r="G12" s="18" t="s">
        <v>293</v>
      </c>
      <c r="H12" s="18" t="s">
        <v>294</v>
      </c>
      <c r="I12" s="20">
        <v>27</v>
      </c>
      <c r="J12" s="21" t="s">
        <v>274</v>
      </c>
      <c r="K12" s="22">
        <f>34+34+36+33</f>
        <v>137</v>
      </c>
      <c r="L12" s="23">
        <f t="shared" si="0"/>
        <v>3699</v>
      </c>
      <c r="M12" s="24" t="s">
        <v>262</v>
      </c>
      <c r="N12" s="25"/>
      <c r="O12" s="25"/>
      <c r="P12" s="25" t="s">
        <v>295</v>
      </c>
      <c r="Q12" s="25">
        <v>48</v>
      </c>
      <c r="R12" s="25" t="s">
        <v>296</v>
      </c>
      <c r="S12" s="35">
        <v>45</v>
      </c>
      <c r="T12" s="26">
        <v>1</v>
      </c>
      <c r="U12" s="26" t="s">
        <v>179</v>
      </c>
      <c r="V12" s="26">
        <v>1113</v>
      </c>
      <c r="W12" s="26" t="s">
        <v>297</v>
      </c>
      <c r="X12" s="66">
        <v>44816</v>
      </c>
      <c r="Y12" s="66">
        <v>45086</v>
      </c>
      <c r="Z12" s="66"/>
      <c r="AA12" s="66"/>
      <c r="AB12" s="62" t="s">
        <v>298</v>
      </c>
      <c r="AC12" s="62"/>
      <c r="AD12" s="28"/>
      <c r="AE12" s="28"/>
      <c r="AF12" s="28"/>
      <c r="AG12" s="28" t="s">
        <v>90</v>
      </c>
      <c r="AH12" s="28" t="s">
        <v>90</v>
      </c>
      <c r="AI12" s="28" t="s">
        <v>90</v>
      </c>
      <c r="AJ12" s="28" t="s">
        <v>90</v>
      </c>
      <c r="AK12" s="28" t="s">
        <v>90</v>
      </c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9">
        <v>81</v>
      </c>
      <c r="AY12" s="31"/>
      <c r="AZ12" s="30"/>
      <c r="BA12" s="29"/>
      <c r="BB12" s="29"/>
      <c r="BC12" s="30"/>
      <c r="BD12" s="31">
        <f t="shared" si="1"/>
        <v>11097</v>
      </c>
      <c r="BE12" s="31"/>
      <c r="BF12" s="30"/>
      <c r="BG12" s="32">
        <v>2</v>
      </c>
      <c r="BH12" s="31">
        <f>IF(AND((AX12/I12)&lt;2,BG12=1),(I12*2)-AX12,0)</f>
        <v>0</v>
      </c>
      <c r="BI12" s="31">
        <f>IF(AND((AX12/I12)&lt;3,BG12=2),(I12*3)-AX12,0)</f>
        <v>0</v>
      </c>
      <c r="BJ12" s="33">
        <f>(BH12+BI12)*K12</f>
        <v>0</v>
      </c>
      <c r="BK12" s="30"/>
      <c r="BL12" s="30"/>
      <c r="BM12" s="30"/>
      <c r="BN12" s="30"/>
      <c r="BO12" s="33">
        <f t="shared" si="2"/>
        <v>0</v>
      </c>
      <c r="BP12" s="30">
        <v>12</v>
      </c>
      <c r="BQ12" s="30">
        <v>16</v>
      </c>
      <c r="BR12" s="30"/>
      <c r="BS12" s="30"/>
      <c r="BT12" s="34">
        <f t="shared" si="3"/>
        <v>81</v>
      </c>
      <c r="BU12" s="34"/>
      <c r="BV12" s="34"/>
      <c r="BW12" s="34"/>
      <c r="BX12" s="34"/>
      <c r="BY12" s="30"/>
      <c r="BZ12" s="31">
        <f t="shared" si="4"/>
        <v>972</v>
      </c>
      <c r="CA12" s="31">
        <f t="shared" si="5"/>
        <v>1296</v>
      </c>
    </row>
    <row r="13" spans="1:79" ht="25.5" x14ac:dyDescent="0.25">
      <c r="A13" s="17"/>
      <c r="B13" s="2">
        <v>12</v>
      </c>
      <c r="C13" s="18">
        <v>103</v>
      </c>
      <c r="D13" s="18">
        <v>119</v>
      </c>
      <c r="E13" s="19">
        <v>0.70833333333333337</v>
      </c>
      <c r="F13" s="59">
        <v>0.78611111111111109</v>
      </c>
      <c r="G13" s="18" t="s">
        <v>299</v>
      </c>
      <c r="H13" s="18" t="s">
        <v>284</v>
      </c>
      <c r="I13" s="20">
        <v>62</v>
      </c>
      <c r="J13" s="21" t="s">
        <v>285</v>
      </c>
      <c r="K13" s="22">
        <v>45</v>
      </c>
      <c r="L13" s="23">
        <f t="shared" si="0"/>
        <v>2790</v>
      </c>
      <c r="M13" s="24" t="s">
        <v>129</v>
      </c>
      <c r="N13" s="25" t="s">
        <v>286</v>
      </c>
      <c r="O13" s="25">
        <v>48</v>
      </c>
      <c r="P13" s="25" t="s">
        <v>131</v>
      </c>
      <c r="Q13" s="25">
        <v>45</v>
      </c>
      <c r="R13" s="25" t="s">
        <v>287</v>
      </c>
      <c r="S13" s="35">
        <v>56</v>
      </c>
      <c r="T13" s="26">
        <v>1070</v>
      </c>
      <c r="U13" s="26" t="s">
        <v>288</v>
      </c>
      <c r="V13" s="26">
        <v>1</v>
      </c>
      <c r="W13" s="26" t="s">
        <v>300</v>
      </c>
      <c r="X13" s="27">
        <v>44816</v>
      </c>
      <c r="Y13" s="27">
        <v>45100</v>
      </c>
      <c r="Z13" s="27"/>
      <c r="AA13" s="27"/>
      <c r="AB13" s="62" t="s">
        <v>289</v>
      </c>
      <c r="AC13" s="62"/>
      <c r="AD13" s="28" t="s">
        <v>90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 t="s">
        <v>90</v>
      </c>
      <c r="AO13" s="28"/>
      <c r="AP13" s="28"/>
      <c r="AQ13" s="28"/>
      <c r="AR13" s="28"/>
      <c r="AS13" s="28"/>
      <c r="AT13" s="28"/>
      <c r="AU13" s="28"/>
      <c r="AV13" s="28"/>
      <c r="AW13" s="28"/>
      <c r="AX13" s="31">
        <v>186</v>
      </c>
      <c r="AY13" s="31"/>
      <c r="AZ13" s="30"/>
      <c r="BA13" s="31"/>
      <c r="BB13" s="31"/>
      <c r="BC13" s="30"/>
      <c r="BD13" s="31">
        <f t="shared" si="1"/>
        <v>8370</v>
      </c>
      <c r="BE13" s="31"/>
      <c r="BF13" s="30"/>
      <c r="BG13" s="32">
        <v>2</v>
      </c>
      <c r="BH13" s="31">
        <f>IF(AND((AX13/I13)&lt;2,BG13=1),(I13*2)-AX13,0)</f>
        <v>0</v>
      </c>
      <c r="BI13" s="31">
        <f>IF(AND((AX13/I13)&lt;3,BG13=2),(I13*3)-AX13,0)</f>
        <v>0</v>
      </c>
      <c r="BJ13" s="33">
        <f>(BH13+BI13)*K13</f>
        <v>0</v>
      </c>
      <c r="BK13" s="30"/>
      <c r="BL13" s="30"/>
      <c r="BM13" s="30"/>
      <c r="BN13" s="30"/>
      <c r="BO13" s="33">
        <f t="shared" si="2"/>
        <v>0</v>
      </c>
      <c r="BP13" s="30">
        <v>2</v>
      </c>
      <c r="BQ13" s="30">
        <v>5</v>
      </c>
      <c r="BR13" s="30"/>
      <c r="BS13" s="30"/>
      <c r="BT13" s="34">
        <f t="shared" si="3"/>
        <v>186</v>
      </c>
      <c r="BU13" s="34"/>
      <c r="BV13" s="34"/>
      <c r="BW13" s="34"/>
      <c r="BX13" s="34"/>
      <c r="BY13" s="30"/>
      <c r="BZ13" s="31">
        <f t="shared" si="4"/>
        <v>372</v>
      </c>
      <c r="CA13" s="31">
        <f t="shared" si="5"/>
        <v>930</v>
      </c>
    </row>
    <row r="14" spans="1:79" ht="25.5" x14ac:dyDescent="0.25">
      <c r="A14" s="17"/>
      <c r="B14" s="2">
        <v>13</v>
      </c>
      <c r="C14" s="48">
        <v>103</v>
      </c>
      <c r="D14" s="48">
        <v>119</v>
      </c>
      <c r="E14" s="49">
        <v>0.70833333333333337</v>
      </c>
      <c r="F14" s="49">
        <v>0.78888888888888886</v>
      </c>
      <c r="G14" s="51" t="s">
        <v>299</v>
      </c>
      <c r="H14" s="18" t="s">
        <v>290</v>
      </c>
      <c r="I14" s="48">
        <v>62</v>
      </c>
      <c r="J14" s="52">
        <v>30</v>
      </c>
      <c r="K14" s="22">
        <v>13</v>
      </c>
      <c r="L14" s="23">
        <f t="shared" si="0"/>
        <v>806</v>
      </c>
      <c r="M14" s="24" t="s">
        <v>129</v>
      </c>
      <c r="N14" s="25" t="s">
        <v>286</v>
      </c>
      <c r="O14" s="25">
        <v>48</v>
      </c>
      <c r="P14" s="25" t="s">
        <v>131</v>
      </c>
      <c r="Q14" s="25">
        <v>45</v>
      </c>
      <c r="R14" s="25" t="s">
        <v>287</v>
      </c>
      <c r="S14" s="35">
        <v>56</v>
      </c>
      <c r="T14" s="26">
        <v>1070</v>
      </c>
      <c r="U14" s="26" t="s">
        <v>288</v>
      </c>
      <c r="V14" s="26">
        <v>1</v>
      </c>
      <c r="W14" s="26" t="s">
        <v>300</v>
      </c>
      <c r="X14" s="27">
        <v>44562</v>
      </c>
      <c r="Y14" s="27">
        <v>44815</v>
      </c>
      <c r="Z14" s="27">
        <v>45101</v>
      </c>
      <c r="AA14" s="27">
        <v>45169</v>
      </c>
      <c r="AB14" s="62" t="s">
        <v>291</v>
      </c>
      <c r="AC14" s="62"/>
      <c r="AD14" s="28"/>
      <c r="AE14" s="28" t="s">
        <v>90</v>
      </c>
      <c r="AF14" s="28"/>
      <c r="AG14" s="28"/>
      <c r="AH14" s="28"/>
      <c r="AI14" s="28"/>
      <c r="AJ14" s="28"/>
      <c r="AK14" s="28"/>
      <c r="AL14" s="28"/>
      <c r="AM14" s="28"/>
      <c r="AN14" s="28" t="s">
        <v>90</v>
      </c>
      <c r="AO14" s="28"/>
      <c r="AP14" s="28"/>
      <c r="AQ14" s="28"/>
      <c r="AR14" s="28"/>
      <c r="AS14" s="28"/>
      <c r="AT14" s="28"/>
      <c r="AU14" s="28"/>
      <c r="AV14" s="28"/>
      <c r="AW14" s="28"/>
      <c r="AX14" s="31"/>
      <c r="AY14" s="31"/>
      <c r="AZ14" s="30"/>
      <c r="BA14" s="55" t="s">
        <v>301</v>
      </c>
      <c r="BB14" s="55"/>
      <c r="BC14" s="30"/>
      <c r="BD14" s="31">
        <f t="shared" si="1"/>
        <v>0</v>
      </c>
      <c r="BE14" s="30"/>
      <c r="BF14" s="30"/>
      <c r="BG14" s="36">
        <v>1</v>
      </c>
      <c r="BH14" s="30"/>
      <c r="BI14" s="31"/>
      <c r="BJ14" s="30"/>
      <c r="BK14" s="30"/>
      <c r="BL14" s="30"/>
      <c r="BM14" s="30"/>
      <c r="BN14" s="30"/>
      <c r="BO14" s="33">
        <f t="shared" si="2"/>
        <v>0</v>
      </c>
      <c r="BP14" s="30">
        <v>2</v>
      </c>
      <c r="BQ14" s="30">
        <v>0</v>
      </c>
      <c r="BR14" s="30"/>
      <c r="BS14" s="30"/>
      <c r="BT14" s="34">
        <f t="shared" si="3"/>
        <v>0</v>
      </c>
      <c r="BU14" s="34" t="s">
        <v>291</v>
      </c>
      <c r="BV14" s="30">
        <v>2</v>
      </c>
      <c r="BW14" s="30">
        <v>0</v>
      </c>
      <c r="BX14" s="34">
        <v>350</v>
      </c>
      <c r="BY14" s="30"/>
      <c r="BZ14" s="31">
        <f t="shared" si="4"/>
        <v>700</v>
      </c>
      <c r="CA14" s="31">
        <f t="shared" si="5"/>
        <v>0</v>
      </c>
    </row>
    <row r="15" spans="1:79" ht="67.5" x14ac:dyDescent="0.25">
      <c r="A15" s="17"/>
      <c r="B15" s="2">
        <v>14</v>
      </c>
      <c r="C15" s="48">
        <v>103</v>
      </c>
      <c r="D15" s="48">
        <v>124</v>
      </c>
      <c r="E15" s="49">
        <v>0.77430555555555547</v>
      </c>
      <c r="F15" s="50">
        <v>0.83333333333333337</v>
      </c>
      <c r="G15" s="51" t="s">
        <v>302</v>
      </c>
      <c r="H15" s="51" t="s">
        <v>261</v>
      </c>
      <c r="I15" s="48">
        <v>48</v>
      </c>
      <c r="J15" s="52">
        <v>50</v>
      </c>
      <c r="K15" s="22">
        <v>50</v>
      </c>
      <c r="L15" s="23">
        <f t="shared" si="0"/>
        <v>2400</v>
      </c>
      <c r="M15" s="24" t="s">
        <v>176</v>
      </c>
      <c r="N15" s="25" t="s">
        <v>275</v>
      </c>
      <c r="O15" s="25">
        <v>57</v>
      </c>
      <c r="P15" s="25" t="s">
        <v>276</v>
      </c>
      <c r="Q15" s="17">
        <v>50</v>
      </c>
      <c r="R15" s="25" t="s">
        <v>303</v>
      </c>
      <c r="S15" s="17">
        <v>57</v>
      </c>
      <c r="T15" s="26">
        <v>1</v>
      </c>
      <c r="U15" s="26" t="s">
        <v>179</v>
      </c>
      <c r="V15" s="26">
        <v>1122</v>
      </c>
      <c r="W15" s="26" t="s">
        <v>304</v>
      </c>
      <c r="X15" s="66">
        <v>44805</v>
      </c>
      <c r="Y15" s="66">
        <v>45169</v>
      </c>
      <c r="Z15" s="66"/>
      <c r="AA15" s="66"/>
      <c r="AB15" s="26" t="s">
        <v>267</v>
      </c>
      <c r="AC15" s="26"/>
      <c r="AD15" s="28" t="s">
        <v>90</v>
      </c>
      <c r="AE15" s="28" t="s">
        <v>90</v>
      </c>
      <c r="AF15" s="28" t="s">
        <v>90</v>
      </c>
      <c r="AG15" s="28"/>
      <c r="AH15" s="28"/>
      <c r="AI15" s="28"/>
      <c r="AJ15" s="28"/>
      <c r="AK15" s="28"/>
      <c r="AL15" s="28"/>
      <c r="AM15" s="28" t="s">
        <v>90</v>
      </c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31"/>
      <c r="AY15" s="31">
        <f>2.6*44</f>
        <v>114.4</v>
      </c>
      <c r="AZ15" s="30"/>
      <c r="BA15" s="31"/>
      <c r="BB15" s="31"/>
      <c r="BC15" s="30"/>
      <c r="BD15" s="31">
        <f t="shared" si="1"/>
        <v>0</v>
      </c>
      <c r="BE15" s="31">
        <f>AY15*K15</f>
        <v>5720</v>
      </c>
      <c r="BF15" s="30"/>
      <c r="BG15" s="32">
        <v>2</v>
      </c>
      <c r="BH15" s="30"/>
      <c r="BI15" s="31"/>
      <c r="BJ15" s="30"/>
      <c r="BK15" s="53"/>
      <c r="BL15" s="53"/>
      <c r="BM15" s="54"/>
      <c r="BN15" s="30"/>
      <c r="BO15" s="33">
        <f t="shared" si="2"/>
        <v>0</v>
      </c>
      <c r="BP15" s="30">
        <v>4</v>
      </c>
      <c r="BQ15" s="30">
        <v>5</v>
      </c>
      <c r="BR15" s="30"/>
      <c r="BS15" s="30"/>
      <c r="BT15" s="34">
        <f t="shared" si="3"/>
        <v>114.4</v>
      </c>
      <c r="BU15" s="34"/>
      <c r="BV15" s="34"/>
      <c r="BW15" s="34"/>
      <c r="BX15" s="34"/>
      <c r="BY15" s="30"/>
      <c r="BZ15" s="31">
        <f t="shared" si="4"/>
        <v>457.6</v>
      </c>
      <c r="CA15" s="31">
        <f t="shared" si="5"/>
        <v>572</v>
      </c>
    </row>
    <row r="16" spans="1:79" ht="67.5" x14ac:dyDescent="0.25">
      <c r="A16" s="17"/>
      <c r="B16" s="2">
        <v>15</v>
      </c>
      <c r="C16" s="48">
        <v>103</v>
      </c>
      <c r="D16" s="48">
        <v>124</v>
      </c>
      <c r="E16" s="49">
        <v>0.77430555555555547</v>
      </c>
      <c r="F16" s="49">
        <v>0.82638888888888884</v>
      </c>
      <c r="G16" s="51" t="s">
        <v>305</v>
      </c>
      <c r="H16" s="18" t="s">
        <v>268</v>
      </c>
      <c r="I16" s="48">
        <v>44</v>
      </c>
      <c r="J16" s="52">
        <v>50</v>
      </c>
      <c r="K16" s="22">
        <v>252</v>
      </c>
      <c r="L16" s="23">
        <f t="shared" si="0"/>
        <v>11088</v>
      </c>
      <c r="M16" s="24" t="s">
        <v>176</v>
      </c>
      <c r="N16" s="25" t="s">
        <v>275</v>
      </c>
      <c r="O16" s="25">
        <v>57</v>
      </c>
      <c r="P16" s="25" t="s">
        <v>276</v>
      </c>
      <c r="Q16" s="17">
        <v>50</v>
      </c>
      <c r="R16" s="25" t="s">
        <v>303</v>
      </c>
      <c r="S16" s="17">
        <v>57</v>
      </c>
      <c r="T16" s="26">
        <v>1</v>
      </c>
      <c r="U16" s="26" t="s">
        <v>179</v>
      </c>
      <c r="V16" s="26">
        <v>1122</v>
      </c>
      <c r="W16" s="26" t="s">
        <v>304</v>
      </c>
      <c r="X16" s="66">
        <v>44805</v>
      </c>
      <c r="Y16" s="66">
        <v>45169</v>
      </c>
      <c r="Z16" s="66"/>
      <c r="AA16" s="66"/>
      <c r="AB16" s="26" t="s">
        <v>269</v>
      </c>
      <c r="AC16" s="26"/>
      <c r="AD16" s="28" t="s">
        <v>90</v>
      </c>
      <c r="AE16" s="28" t="s">
        <v>90</v>
      </c>
      <c r="AF16" s="28" t="s">
        <v>90</v>
      </c>
      <c r="AG16" s="28"/>
      <c r="AH16" s="28" t="s">
        <v>90</v>
      </c>
      <c r="AI16" s="28" t="s">
        <v>90</v>
      </c>
      <c r="AJ16" s="28" t="s">
        <v>90</v>
      </c>
      <c r="AK16" s="28" t="s">
        <v>90</v>
      </c>
      <c r="AL16" s="28" t="s">
        <v>90</v>
      </c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31"/>
      <c r="AY16" s="31">
        <f>2.6*44</f>
        <v>114.4</v>
      </c>
      <c r="AZ16" s="30"/>
      <c r="BA16" s="31"/>
      <c r="BB16" s="31"/>
      <c r="BC16" s="30"/>
      <c r="BD16" s="31">
        <f t="shared" si="1"/>
        <v>0</v>
      </c>
      <c r="BE16" s="31">
        <f>AY16*K16</f>
        <v>28828.800000000003</v>
      </c>
      <c r="BF16" s="30"/>
      <c r="BG16" s="32">
        <v>2</v>
      </c>
      <c r="BH16" s="30"/>
      <c r="BI16" s="31"/>
      <c r="BJ16" s="30"/>
      <c r="BK16" s="53"/>
      <c r="BL16" s="53"/>
      <c r="BM16" s="54"/>
      <c r="BN16" s="30"/>
      <c r="BO16" s="33">
        <f t="shared" si="2"/>
        <v>0</v>
      </c>
      <c r="BP16" s="30">
        <v>22</v>
      </c>
      <c r="BQ16" s="30">
        <v>21</v>
      </c>
      <c r="BR16" s="30"/>
      <c r="BS16" s="30"/>
      <c r="BT16" s="34">
        <f t="shared" si="3"/>
        <v>114.4</v>
      </c>
      <c r="BU16" s="34"/>
      <c r="BV16" s="34"/>
      <c r="BW16" s="34"/>
      <c r="BX16" s="34"/>
      <c r="BY16" s="30"/>
      <c r="BZ16" s="31">
        <f t="shared" si="4"/>
        <v>2516.8000000000002</v>
      </c>
      <c r="CA16" s="31">
        <f t="shared" si="5"/>
        <v>2402.4</v>
      </c>
    </row>
    <row r="17" spans="1:79" ht="63.75" x14ac:dyDescent="0.25">
      <c r="A17" s="17"/>
      <c r="B17" s="2">
        <v>16</v>
      </c>
      <c r="C17" s="48">
        <v>107</v>
      </c>
      <c r="D17" s="48">
        <v>570</v>
      </c>
      <c r="E17" s="49">
        <v>0.71180555555555547</v>
      </c>
      <c r="F17" s="49">
        <v>0.72638888888888886</v>
      </c>
      <c r="G17" s="51" t="s">
        <v>91</v>
      </c>
      <c r="H17" s="18" t="s">
        <v>306</v>
      </c>
      <c r="I17" s="48">
        <v>15</v>
      </c>
      <c r="J17" s="52">
        <v>30</v>
      </c>
      <c r="K17" s="22">
        <v>208</v>
      </c>
      <c r="L17" s="23">
        <f t="shared" si="0"/>
        <v>3120</v>
      </c>
      <c r="M17" s="24" t="s">
        <v>176</v>
      </c>
      <c r="N17" s="25" t="s">
        <v>275</v>
      </c>
      <c r="O17" s="25">
        <v>57</v>
      </c>
      <c r="P17" s="25" t="s">
        <v>276</v>
      </c>
      <c r="Q17" s="17">
        <v>50</v>
      </c>
      <c r="R17" s="25" t="s">
        <v>307</v>
      </c>
      <c r="S17" s="25" t="s">
        <v>308</v>
      </c>
      <c r="T17" s="26">
        <v>6120</v>
      </c>
      <c r="U17" s="26" t="s">
        <v>98</v>
      </c>
      <c r="V17" s="26" t="s">
        <v>99</v>
      </c>
      <c r="W17" s="26" t="s">
        <v>100</v>
      </c>
      <c r="X17" s="66">
        <v>44816</v>
      </c>
      <c r="Y17" s="66">
        <v>45086</v>
      </c>
      <c r="Z17" s="66"/>
      <c r="AA17" s="66"/>
      <c r="AB17" s="26" t="s">
        <v>309</v>
      </c>
      <c r="AC17" s="26"/>
      <c r="AD17" s="28"/>
      <c r="AE17" s="28"/>
      <c r="AF17" s="28"/>
      <c r="AG17" s="28" t="s">
        <v>90</v>
      </c>
      <c r="AH17" s="28" t="s">
        <v>90</v>
      </c>
      <c r="AI17" s="28" t="s">
        <v>90</v>
      </c>
      <c r="AJ17" s="28" t="s">
        <v>90</v>
      </c>
      <c r="AK17" s="28" t="s">
        <v>90</v>
      </c>
      <c r="AL17" s="28" t="s">
        <v>90</v>
      </c>
      <c r="AM17" s="28" t="s">
        <v>90</v>
      </c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31"/>
      <c r="AY17" s="30"/>
      <c r="AZ17" s="30"/>
      <c r="BA17" s="55" t="s">
        <v>310</v>
      </c>
      <c r="BB17" s="55"/>
      <c r="BC17" s="30"/>
      <c r="BD17" s="31">
        <f t="shared" si="1"/>
        <v>0</v>
      </c>
      <c r="BE17" s="30"/>
      <c r="BF17" s="30"/>
      <c r="BG17" s="36">
        <v>1</v>
      </c>
      <c r="BH17" s="30"/>
      <c r="BI17" s="31"/>
      <c r="BJ17" s="30"/>
      <c r="BK17" s="30"/>
      <c r="BL17" s="30"/>
      <c r="BM17" s="30"/>
      <c r="BN17" s="30"/>
      <c r="BO17" s="33">
        <f t="shared" si="2"/>
        <v>0</v>
      </c>
      <c r="BP17" s="30">
        <v>17</v>
      </c>
      <c r="BQ17" s="30">
        <v>25</v>
      </c>
      <c r="BR17" s="30"/>
      <c r="BS17" s="30"/>
      <c r="BT17" s="34">
        <f t="shared" si="3"/>
        <v>0</v>
      </c>
      <c r="BU17" s="34" t="s">
        <v>309</v>
      </c>
      <c r="BV17" s="30">
        <v>17</v>
      </c>
      <c r="BW17" s="30">
        <v>25</v>
      </c>
      <c r="BX17" s="34">
        <v>165</v>
      </c>
      <c r="BY17" s="30"/>
      <c r="BZ17" s="31">
        <f t="shared" si="4"/>
        <v>2805</v>
      </c>
      <c r="CA17" s="31">
        <f t="shared" si="5"/>
        <v>4125</v>
      </c>
    </row>
    <row r="18" spans="1:79" ht="63.75" x14ac:dyDescent="0.25">
      <c r="A18" s="17"/>
      <c r="B18" s="2">
        <v>17</v>
      </c>
      <c r="C18" s="48">
        <v>107</v>
      </c>
      <c r="D18" s="48">
        <v>571</v>
      </c>
      <c r="E18" s="49">
        <v>0.72638888888888886</v>
      </c>
      <c r="F18" s="49">
        <v>0.7402777777777777</v>
      </c>
      <c r="G18" s="51" t="s">
        <v>102</v>
      </c>
      <c r="H18" s="18" t="s">
        <v>306</v>
      </c>
      <c r="I18" s="48">
        <v>15</v>
      </c>
      <c r="J18" s="52">
        <v>30</v>
      </c>
      <c r="K18" s="22">
        <v>208</v>
      </c>
      <c r="L18" s="23">
        <f t="shared" si="0"/>
        <v>3120</v>
      </c>
      <c r="M18" s="24" t="s">
        <v>176</v>
      </c>
      <c r="N18" s="25" t="s">
        <v>275</v>
      </c>
      <c r="O18" s="25">
        <v>57</v>
      </c>
      <c r="P18" s="25" t="s">
        <v>276</v>
      </c>
      <c r="Q18" s="17">
        <v>50</v>
      </c>
      <c r="R18" s="25" t="s">
        <v>307</v>
      </c>
      <c r="S18" s="25" t="s">
        <v>308</v>
      </c>
      <c r="T18" s="26" t="s">
        <v>99</v>
      </c>
      <c r="U18" s="26" t="s">
        <v>100</v>
      </c>
      <c r="V18" s="26">
        <v>6120</v>
      </c>
      <c r="W18" s="26" t="s">
        <v>98</v>
      </c>
      <c r="X18" s="66">
        <v>44816</v>
      </c>
      <c r="Y18" s="66">
        <v>45086</v>
      </c>
      <c r="Z18" s="66"/>
      <c r="AA18" s="66"/>
      <c r="AB18" s="26" t="s">
        <v>309</v>
      </c>
      <c r="AC18" s="26"/>
      <c r="AD18" s="28"/>
      <c r="AE18" s="28"/>
      <c r="AF18" s="28"/>
      <c r="AG18" s="28" t="s">
        <v>90</v>
      </c>
      <c r="AH18" s="28" t="s">
        <v>90</v>
      </c>
      <c r="AI18" s="28" t="s">
        <v>90</v>
      </c>
      <c r="AJ18" s="28" t="s">
        <v>90</v>
      </c>
      <c r="AK18" s="28" t="s">
        <v>90</v>
      </c>
      <c r="AL18" s="28" t="s">
        <v>90</v>
      </c>
      <c r="AM18" s="28" t="s">
        <v>90</v>
      </c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31"/>
      <c r="AY18" s="30"/>
      <c r="AZ18" s="30"/>
      <c r="BA18" s="55" t="s">
        <v>310</v>
      </c>
      <c r="BB18" s="55"/>
      <c r="BC18" s="30"/>
      <c r="BD18" s="31">
        <f t="shared" si="1"/>
        <v>0</v>
      </c>
      <c r="BE18" s="30"/>
      <c r="BF18" s="30"/>
      <c r="BG18" s="36">
        <v>1</v>
      </c>
      <c r="BH18" s="30"/>
      <c r="BI18" s="31"/>
      <c r="BJ18" s="30"/>
      <c r="BK18" s="30"/>
      <c r="BL18" s="30"/>
      <c r="BM18" s="30"/>
      <c r="BN18" s="30"/>
      <c r="BO18" s="33">
        <f t="shared" si="2"/>
        <v>0</v>
      </c>
      <c r="BP18" s="30">
        <v>17</v>
      </c>
      <c r="BQ18" s="30">
        <v>25</v>
      </c>
      <c r="BR18" s="30"/>
      <c r="BS18" s="30"/>
      <c r="BT18" s="34">
        <f t="shared" si="3"/>
        <v>0</v>
      </c>
      <c r="BU18" s="34"/>
      <c r="BV18" s="34"/>
      <c r="BW18" s="34"/>
      <c r="BX18" s="34"/>
      <c r="BY18" s="30"/>
      <c r="BZ18" s="31">
        <f t="shared" si="4"/>
        <v>0</v>
      </c>
      <c r="CA18" s="31">
        <f t="shared" si="5"/>
        <v>0</v>
      </c>
    </row>
    <row r="19" spans="1:79" ht="38.25" x14ac:dyDescent="0.25">
      <c r="A19" s="17"/>
      <c r="B19" s="2">
        <v>18</v>
      </c>
      <c r="C19" s="18">
        <v>120</v>
      </c>
      <c r="D19" s="18">
        <v>178</v>
      </c>
      <c r="E19" s="19">
        <v>0.62013888888888891</v>
      </c>
      <c r="F19" s="19">
        <v>0.62708333333333333</v>
      </c>
      <c r="G19" s="18" t="s">
        <v>311</v>
      </c>
      <c r="H19" s="18" t="s">
        <v>284</v>
      </c>
      <c r="I19" s="20">
        <v>4</v>
      </c>
      <c r="J19" s="21" t="s">
        <v>285</v>
      </c>
      <c r="K19" s="22">
        <v>45</v>
      </c>
      <c r="L19" s="23">
        <f t="shared" si="0"/>
        <v>180</v>
      </c>
      <c r="M19" s="24" t="s">
        <v>129</v>
      </c>
      <c r="N19" s="25" t="s">
        <v>286</v>
      </c>
      <c r="O19" s="25">
        <v>48</v>
      </c>
      <c r="P19" s="25" t="s">
        <v>131</v>
      </c>
      <c r="Q19" s="25">
        <v>45</v>
      </c>
      <c r="R19" s="25" t="s">
        <v>287</v>
      </c>
      <c r="S19" s="35">
        <v>56</v>
      </c>
      <c r="T19" s="26" t="s">
        <v>312</v>
      </c>
      <c r="U19" s="26" t="s">
        <v>313</v>
      </c>
      <c r="V19" s="26">
        <v>1070</v>
      </c>
      <c r="W19" s="26" t="s">
        <v>288</v>
      </c>
      <c r="X19" s="27">
        <v>44816</v>
      </c>
      <c r="Y19" s="27">
        <v>45100</v>
      </c>
      <c r="Z19" s="27"/>
      <c r="AA19" s="27"/>
      <c r="AB19" s="62" t="s">
        <v>289</v>
      </c>
      <c r="AC19" s="62"/>
      <c r="AD19" s="28" t="s">
        <v>90</v>
      </c>
      <c r="AE19" s="28"/>
      <c r="AF19" s="28"/>
      <c r="AG19" s="28"/>
      <c r="AH19" s="28"/>
      <c r="AI19" s="28"/>
      <c r="AJ19" s="28"/>
      <c r="AK19" s="28"/>
      <c r="AL19" s="28"/>
      <c r="AM19" s="28"/>
      <c r="AN19" s="28" t="s">
        <v>90</v>
      </c>
      <c r="AO19" s="28"/>
      <c r="AP19" s="28"/>
      <c r="AQ19" s="28"/>
      <c r="AR19" s="28"/>
      <c r="AS19" s="28"/>
      <c r="AT19" s="28"/>
      <c r="AU19" s="28"/>
      <c r="AV19" s="28"/>
      <c r="AW19" s="28"/>
      <c r="AX19" s="29">
        <v>12</v>
      </c>
      <c r="AY19" s="31"/>
      <c r="AZ19" s="30"/>
      <c r="BA19" s="29"/>
      <c r="BB19" s="29"/>
      <c r="BC19" s="30"/>
      <c r="BD19" s="31">
        <f t="shared" si="1"/>
        <v>540</v>
      </c>
      <c r="BE19" s="31"/>
      <c r="BF19" s="30"/>
      <c r="BG19" s="32">
        <v>2</v>
      </c>
      <c r="BH19" s="31">
        <f t="shared" ref="BH19:BH49" si="6">IF(AND((AX19/I19)&lt;2,BG19=1),(I19*2)-AX19,0)</f>
        <v>0</v>
      </c>
      <c r="BI19" s="31">
        <f t="shared" ref="BI19:BI49" si="7">IF(AND((AX19/I19)&lt;3,BG19=2),(I19*3)-AX19,0)</f>
        <v>0</v>
      </c>
      <c r="BJ19" s="33">
        <f t="shared" ref="BJ19:BJ49" si="8">(BH19+BI19)*K19</f>
        <v>0</v>
      </c>
      <c r="BK19" s="30"/>
      <c r="BL19" s="30"/>
      <c r="BM19" s="30"/>
      <c r="BN19" s="30"/>
      <c r="BO19" s="33">
        <f t="shared" si="2"/>
        <v>0</v>
      </c>
      <c r="BP19" s="30">
        <v>2</v>
      </c>
      <c r="BQ19" s="30">
        <v>5</v>
      </c>
      <c r="BR19" s="30"/>
      <c r="BS19" s="30"/>
      <c r="BT19" s="34">
        <f t="shared" si="3"/>
        <v>12</v>
      </c>
      <c r="BU19" s="34"/>
      <c r="BV19" s="34"/>
      <c r="BW19" s="34"/>
      <c r="BX19" s="34"/>
      <c r="BY19" s="30"/>
      <c r="BZ19" s="31">
        <f t="shared" si="4"/>
        <v>24</v>
      </c>
      <c r="CA19" s="31">
        <f t="shared" si="5"/>
        <v>60</v>
      </c>
    </row>
    <row r="20" spans="1:79" ht="38.25" x14ac:dyDescent="0.25">
      <c r="A20" s="17"/>
      <c r="B20" s="2">
        <v>19</v>
      </c>
      <c r="C20" s="18">
        <v>120</v>
      </c>
      <c r="D20" s="18">
        <v>55</v>
      </c>
      <c r="E20" s="19">
        <v>0.66180555555555554</v>
      </c>
      <c r="F20" s="19">
        <v>0.66875000000000007</v>
      </c>
      <c r="G20" s="18" t="s">
        <v>311</v>
      </c>
      <c r="H20" s="18" t="s">
        <v>290</v>
      </c>
      <c r="I20" s="20">
        <v>4</v>
      </c>
      <c r="J20" s="21" t="s">
        <v>93</v>
      </c>
      <c r="K20" s="22">
        <v>13</v>
      </c>
      <c r="L20" s="23">
        <f t="shared" si="0"/>
        <v>52</v>
      </c>
      <c r="M20" s="24" t="s">
        <v>129</v>
      </c>
      <c r="N20" s="25" t="s">
        <v>286</v>
      </c>
      <c r="O20" s="25">
        <v>48</v>
      </c>
      <c r="P20" s="25" t="s">
        <v>131</v>
      </c>
      <c r="Q20" s="25">
        <v>45</v>
      </c>
      <c r="R20" s="25" t="s">
        <v>287</v>
      </c>
      <c r="S20" s="35">
        <v>56</v>
      </c>
      <c r="T20" s="26">
        <v>1070</v>
      </c>
      <c r="U20" s="26" t="s">
        <v>288</v>
      </c>
      <c r="V20" s="26" t="s">
        <v>312</v>
      </c>
      <c r="W20" s="26" t="s">
        <v>313</v>
      </c>
      <c r="X20" s="27">
        <v>44562</v>
      </c>
      <c r="Y20" s="27">
        <v>44815</v>
      </c>
      <c r="Z20" s="27">
        <v>45101</v>
      </c>
      <c r="AA20" s="27">
        <v>45169</v>
      </c>
      <c r="AB20" s="62" t="s">
        <v>291</v>
      </c>
      <c r="AC20" s="62"/>
      <c r="AD20" s="28"/>
      <c r="AE20" s="28" t="s">
        <v>90</v>
      </c>
      <c r="AF20" s="28"/>
      <c r="AG20" s="28"/>
      <c r="AH20" s="28"/>
      <c r="AI20" s="28"/>
      <c r="AJ20" s="28"/>
      <c r="AK20" s="28"/>
      <c r="AL20" s="28"/>
      <c r="AM20" s="28"/>
      <c r="AN20" s="28" t="s">
        <v>90</v>
      </c>
      <c r="AO20" s="28"/>
      <c r="AP20" s="28"/>
      <c r="AQ20" s="28"/>
      <c r="AR20" s="28"/>
      <c r="AS20" s="28"/>
      <c r="AT20" s="28"/>
      <c r="AU20" s="28"/>
      <c r="AV20" s="28"/>
      <c r="AW20" s="28"/>
      <c r="AX20" s="29">
        <v>18</v>
      </c>
      <c r="AY20" s="31"/>
      <c r="AZ20" s="30"/>
      <c r="BA20" s="29"/>
      <c r="BB20" s="29"/>
      <c r="BC20" s="30"/>
      <c r="BD20" s="31">
        <f t="shared" si="1"/>
        <v>234</v>
      </c>
      <c r="BE20" s="31"/>
      <c r="BF20" s="30"/>
      <c r="BG20" s="36">
        <v>1</v>
      </c>
      <c r="BH20" s="31">
        <f t="shared" si="6"/>
        <v>0</v>
      </c>
      <c r="BI20" s="31">
        <f t="shared" si="7"/>
        <v>0</v>
      </c>
      <c r="BJ20" s="33">
        <f t="shared" si="8"/>
        <v>0</v>
      </c>
      <c r="BK20" s="30"/>
      <c r="BL20" s="30"/>
      <c r="BM20" s="30"/>
      <c r="BN20" s="30"/>
      <c r="BO20" s="33">
        <f t="shared" si="2"/>
        <v>0</v>
      </c>
      <c r="BP20" s="30">
        <v>2</v>
      </c>
      <c r="BQ20" s="30">
        <v>0</v>
      </c>
      <c r="BR20" s="30"/>
      <c r="BS20" s="30"/>
      <c r="BT20" s="34">
        <f t="shared" si="3"/>
        <v>18</v>
      </c>
      <c r="BU20" s="34"/>
      <c r="BV20" s="34"/>
      <c r="BW20" s="34"/>
      <c r="BX20" s="34"/>
      <c r="BY20" s="30"/>
      <c r="BZ20" s="31">
        <f t="shared" si="4"/>
        <v>36</v>
      </c>
      <c r="CA20" s="31">
        <f t="shared" si="5"/>
        <v>0</v>
      </c>
    </row>
    <row r="21" spans="1:79" ht="38.25" x14ac:dyDescent="0.25">
      <c r="A21" s="17"/>
      <c r="B21" s="2">
        <v>20</v>
      </c>
      <c r="C21" s="18">
        <v>120</v>
      </c>
      <c r="D21" s="18">
        <v>90</v>
      </c>
      <c r="E21" s="19">
        <v>0.66180555555555554</v>
      </c>
      <c r="F21" s="19">
        <v>0.66875000000000007</v>
      </c>
      <c r="G21" s="18" t="s">
        <v>311</v>
      </c>
      <c r="H21" s="18" t="s">
        <v>284</v>
      </c>
      <c r="I21" s="20">
        <v>4</v>
      </c>
      <c r="J21" s="21" t="s">
        <v>285</v>
      </c>
      <c r="K21" s="22">
        <v>45</v>
      </c>
      <c r="L21" s="23">
        <f t="shared" si="0"/>
        <v>180</v>
      </c>
      <c r="M21" s="24" t="s">
        <v>129</v>
      </c>
      <c r="N21" s="25" t="s">
        <v>286</v>
      </c>
      <c r="O21" s="25">
        <v>48</v>
      </c>
      <c r="P21" s="25" t="s">
        <v>131</v>
      </c>
      <c r="Q21" s="25">
        <v>45</v>
      </c>
      <c r="R21" s="25" t="s">
        <v>287</v>
      </c>
      <c r="S21" s="35">
        <v>56</v>
      </c>
      <c r="T21" s="26">
        <v>1070</v>
      </c>
      <c r="U21" s="26" t="s">
        <v>288</v>
      </c>
      <c r="V21" s="26" t="s">
        <v>312</v>
      </c>
      <c r="W21" s="26" t="s">
        <v>313</v>
      </c>
      <c r="X21" s="27">
        <v>44816</v>
      </c>
      <c r="Y21" s="27">
        <v>45100</v>
      </c>
      <c r="Z21" s="27"/>
      <c r="AA21" s="27"/>
      <c r="AB21" s="62" t="s">
        <v>289</v>
      </c>
      <c r="AC21" s="62"/>
      <c r="AD21" s="28" t="s">
        <v>90</v>
      </c>
      <c r="AE21" s="28"/>
      <c r="AF21" s="28"/>
      <c r="AG21" s="28"/>
      <c r="AH21" s="28"/>
      <c r="AI21" s="28"/>
      <c r="AJ21" s="28"/>
      <c r="AK21" s="28"/>
      <c r="AL21" s="28"/>
      <c r="AM21" s="28"/>
      <c r="AN21" s="28" t="s">
        <v>90</v>
      </c>
      <c r="AO21" s="28"/>
      <c r="AP21" s="28"/>
      <c r="AQ21" s="28"/>
      <c r="AR21" s="28"/>
      <c r="AS21" s="28"/>
      <c r="AT21" s="28"/>
      <c r="AU21" s="28"/>
      <c r="AV21" s="28"/>
      <c r="AW21" s="28"/>
      <c r="AX21" s="29">
        <v>12</v>
      </c>
      <c r="AY21" s="31"/>
      <c r="AZ21" s="30"/>
      <c r="BA21" s="29"/>
      <c r="BB21" s="29"/>
      <c r="BC21" s="30"/>
      <c r="BD21" s="31">
        <f t="shared" si="1"/>
        <v>540</v>
      </c>
      <c r="BE21" s="31"/>
      <c r="BF21" s="30"/>
      <c r="BG21" s="32">
        <v>2</v>
      </c>
      <c r="BH21" s="31">
        <f t="shared" si="6"/>
        <v>0</v>
      </c>
      <c r="BI21" s="31">
        <f t="shared" si="7"/>
        <v>0</v>
      </c>
      <c r="BJ21" s="33">
        <f t="shared" si="8"/>
        <v>0</v>
      </c>
      <c r="BK21" s="30"/>
      <c r="BL21" s="30"/>
      <c r="BM21" s="30"/>
      <c r="BN21" s="30"/>
      <c r="BO21" s="33">
        <f t="shared" si="2"/>
        <v>0</v>
      </c>
      <c r="BP21" s="30">
        <v>2</v>
      </c>
      <c r="BQ21" s="30">
        <v>5</v>
      </c>
      <c r="BR21" s="30"/>
      <c r="BS21" s="30"/>
      <c r="BT21" s="34">
        <f t="shared" si="3"/>
        <v>12</v>
      </c>
      <c r="BU21" s="34"/>
      <c r="BV21" s="34"/>
      <c r="BW21" s="34"/>
      <c r="BX21" s="34"/>
      <c r="BY21" s="30"/>
      <c r="BZ21" s="31">
        <f t="shared" si="4"/>
        <v>24</v>
      </c>
      <c r="CA21" s="31">
        <f t="shared" si="5"/>
        <v>60</v>
      </c>
    </row>
    <row r="22" spans="1:79" ht="45" x14ac:dyDescent="0.25">
      <c r="A22" s="17"/>
      <c r="B22" s="2">
        <v>21</v>
      </c>
      <c r="C22" s="18">
        <v>123</v>
      </c>
      <c r="D22" s="18">
        <v>172</v>
      </c>
      <c r="E22" s="19">
        <v>0.36805555555555558</v>
      </c>
      <c r="F22" s="19">
        <v>0.40138888888888885</v>
      </c>
      <c r="G22" s="18" t="s">
        <v>79</v>
      </c>
      <c r="H22" s="18" t="s">
        <v>80</v>
      </c>
      <c r="I22" s="20">
        <v>22</v>
      </c>
      <c r="J22" s="21" t="s">
        <v>81</v>
      </c>
      <c r="K22" s="22">
        <v>67</v>
      </c>
      <c r="L22" s="23">
        <f t="shared" si="0"/>
        <v>1474</v>
      </c>
      <c r="M22" s="24" t="s">
        <v>82</v>
      </c>
      <c r="N22" s="25" t="s">
        <v>83</v>
      </c>
      <c r="O22" s="25">
        <v>50</v>
      </c>
      <c r="P22" s="25" t="s">
        <v>84</v>
      </c>
      <c r="Q22" s="25" t="s">
        <v>85</v>
      </c>
      <c r="R22" s="17"/>
      <c r="S22" s="25"/>
      <c r="T22" s="26" t="s">
        <v>86</v>
      </c>
      <c r="U22" s="26" t="s">
        <v>87</v>
      </c>
      <c r="V22" s="26">
        <v>1255</v>
      </c>
      <c r="W22" s="26" t="s">
        <v>88</v>
      </c>
      <c r="X22" s="27">
        <v>44562</v>
      </c>
      <c r="Y22" s="27">
        <v>44815</v>
      </c>
      <c r="Z22" s="27">
        <v>45101</v>
      </c>
      <c r="AA22" s="27">
        <v>45169</v>
      </c>
      <c r="AB22" s="28" t="s">
        <v>89</v>
      </c>
      <c r="AC22" s="28"/>
      <c r="AD22" s="28"/>
      <c r="AE22" s="28" t="s">
        <v>90</v>
      </c>
      <c r="AF22" s="28" t="s">
        <v>90</v>
      </c>
      <c r="AG22" s="28"/>
      <c r="AH22" s="28" t="s">
        <v>90</v>
      </c>
      <c r="AI22" s="28" t="s">
        <v>90</v>
      </c>
      <c r="AJ22" s="28" t="s">
        <v>90</v>
      </c>
      <c r="AK22" s="28" t="s">
        <v>90</v>
      </c>
      <c r="AL22" s="28" t="s">
        <v>90</v>
      </c>
      <c r="AM22" s="28" t="s">
        <v>90</v>
      </c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9">
        <v>63.39</v>
      </c>
      <c r="AY22" s="30"/>
      <c r="AZ22" s="30"/>
      <c r="BA22" s="29"/>
      <c r="BB22" s="29"/>
      <c r="BC22" s="30"/>
      <c r="BD22" s="31">
        <f t="shared" si="1"/>
        <v>4247.13</v>
      </c>
      <c r="BE22" s="31"/>
      <c r="BF22" s="30"/>
      <c r="BG22" s="32">
        <v>2</v>
      </c>
      <c r="BH22" s="31">
        <f t="shared" si="6"/>
        <v>0</v>
      </c>
      <c r="BI22" s="31">
        <f t="shared" si="7"/>
        <v>2.6099999999999994</v>
      </c>
      <c r="BJ22" s="33">
        <f t="shared" si="8"/>
        <v>174.86999999999995</v>
      </c>
      <c r="BK22" s="30"/>
      <c r="BL22" s="30"/>
      <c r="BM22" s="30"/>
      <c r="BN22" s="30"/>
      <c r="BO22" s="33">
        <f t="shared" si="2"/>
        <v>0</v>
      </c>
      <c r="BP22" s="30">
        <v>9</v>
      </c>
      <c r="BQ22" s="30">
        <v>0</v>
      </c>
      <c r="BR22" s="30"/>
      <c r="BS22" s="30"/>
      <c r="BT22" s="34">
        <f t="shared" si="3"/>
        <v>66</v>
      </c>
      <c r="BU22" s="34"/>
      <c r="BV22" s="34"/>
      <c r="BW22" s="34"/>
      <c r="BX22" s="34"/>
      <c r="BY22" s="30"/>
      <c r="BZ22" s="31">
        <f t="shared" si="4"/>
        <v>594</v>
      </c>
      <c r="CA22" s="31">
        <f t="shared" si="5"/>
        <v>0</v>
      </c>
    </row>
    <row r="23" spans="1:79" ht="63.75" x14ac:dyDescent="0.25">
      <c r="A23" s="17"/>
      <c r="B23" s="2">
        <v>22</v>
      </c>
      <c r="C23" s="18">
        <v>123</v>
      </c>
      <c r="D23" s="18">
        <v>172</v>
      </c>
      <c r="E23" s="19">
        <v>0.36805555555555558</v>
      </c>
      <c r="F23" s="19">
        <v>0.39374999999999999</v>
      </c>
      <c r="G23" s="18" t="s">
        <v>314</v>
      </c>
      <c r="H23" s="18" t="s">
        <v>290</v>
      </c>
      <c r="I23" s="20">
        <v>22</v>
      </c>
      <c r="J23" s="21" t="s">
        <v>81</v>
      </c>
      <c r="K23" s="22">
        <v>13</v>
      </c>
      <c r="L23" s="23">
        <f t="shared" si="0"/>
        <v>286</v>
      </c>
      <c r="M23" s="24" t="s">
        <v>82</v>
      </c>
      <c r="N23" s="25" t="s">
        <v>83</v>
      </c>
      <c r="O23" s="25">
        <v>50</v>
      </c>
      <c r="P23" s="25" t="s">
        <v>84</v>
      </c>
      <c r="Q23" s="25" t="s">
        <v>85</v>
      </c>
      <c r="R23" s="17"/>
      <c r="S23" s="25"/>
      <c r="T23" s="26" t="s">
        <v>86</v>
      </c>
      <c r="U23" s="26" t="s">
        <v>87</v>
      </c>
      <c r="V23" s="26">
        <v>1255</v>
      </c>
      <c r="W23" s="26" t="s">
        <v>88</v>
      </c>
      <c r="X23" s="27">
        <v>44562</v>
      </c>
      <c r="Y23" s="27">
        <v>44815</v>
      </c>
      <c r="Z23" s="27">
        <v>45101</v>
      </c>
      <c r="AA23" s="27">
        <v>45169</v>
      </c>
      <c r="AB23" s="62" t="s">
        <v>291</v>
      </c>
      <c r="AC23" s="62"/>
      <c r="AD23" s="28"/>
      <c r="AE23" s="28" t="s">
        <v>90</v>
      </c>
      <c r="AF23" s="28"/>
      <c r="AG23" s="28"/>
      <c r="AH23" s="28"/>
      <c r="AI23" s="28"/>
      <c r="AJ23" s="28"/>
      <c r="AK23" s="28"/>
      <c r="AL23" s="28"/>
      <c r="AM23" s="28"/>
      <c r="AN23" s="28" t="s">
        <v>90</v>
      </c>
      <c r="AO23" s="28"/>
      <c r="AP23" s="28"/>
      <c r="AQ23" s="28"/>
      <c r="AR23" s="28"/>
      <c r="AS23" s="28"/>
      <c r="AT23" s="28"/>
      <c r="AU23" s="28"/>
      <c r="AV23" s="28"/>
      <c r="AW23" s="28"/>
      <c r="AX23" s="29">
        <v>66</v>
      </c>
      <c r="AY23" s="30"/>
      <c r="AZ23" s="30"/>
      <c r="BA23" s="29"/>
      <c r="BB23" s="29"/>
      <c r="BC23" s="30"/>
      <c r="BD23" s="31">
        <f t="shared" si="1"/>
        <v>858</v>
      </c>
      <c r="BE23" s="31"/>
      <c r="BF23" s="30"/>
      <c r="BG23" s="32">
        <v>2</v>
      </c>
      <c r="BH23" s="31">
        <f t="shared" si="6"/>
        <v>0</v>
      </c>
      <c r="BI23" s="31">
        <f t="shared" si="7"/>
        <v>0</v>
      </c>
      <c r="BJ23" s="33">
        <f t="shared" si="8"/>
        <v>0</v>
      </c>
      <c r="BK23" s="30"/>
      <c r="BL23" s="30"/>
      <c r="BM23" s="30"/>
      <c r="BN23" s="30"/>
      <c r="BO23" s="33">
        <f t="shared" si="2"/>
        <v>0</v>
      </c>
      <c r="BP23" s="30">
        <v>2</v>
      </c>
      <c r="BQ23" s="30">
        <v>0</v>
      </c>
      <c r="BR23" s="30"/>
      <c r="BS23" s="30"/>
      <c r="BT23" s="34">
        <f t="shared" si="3"/>
        <v>66</v>
      </c>
      <c r="BU23" s="34"/>
      <c r="BV23" s="34"/>
      <c r="BW23" s="34"/>
      <c r="BX23" s="34"/>
      <c r="BY23" s="30"/>
      <c r="BZ23" s="31">
        <f t="shared" si="4"/>
        <v>132</v>
      </c>
      <c r="CA23" s="31">
        <f t="shared" si="5"/>
        <v>0</v>
      </c>
    </row>
    <row r="24" spans="1:79" ht="45" x14ac:dyDescent="0.25">
      <c r="A24" s="17"/>
      <c r="B24" s="2">
        <v>23</v>
      </c>
      <c r="C24" s="18">
        <v>123</v>
      </c>
      <c r="D24" s="18">
        <v>173</v>
      </c>
      <c r="E24" s="19">
        <v>0.40069444444444446</v>
      </c>
      <c r="F24" s="19">
        <v>0.42638888888888887</v>
      </c>
      <c r="G24" s="18" t="s">
        <v>315</v>
      </c>
      <c r="H24" s="18" t="s">
        <v>316</v>
      </c>
      <c r="I24" s="20">
        <v>22</v>
      </c>
      <c r="J24" s="21" t="s">
        <v>81</v>
      </c>
      <c r="K24" s="22">
        <v>67</v>
      </c>
      <c r="L24" s="23">
        <f t="shared" si="0"/>
        <v>1474</v>
      </c>
      <c r="M24" s="24" t="s">
        <v>82</v>
      </c>
      <c r="N24" s="25" t="s">
        <v>83</v>
      </c>
      <c r="O24" s="25">
        <v>50</v>
      </c>
      <c r="P24" s="25" t="s">
        <v>84</v>
      </c>
      <c r="Q24" s="25" t="s">
        <v>85</v>
      </c>
      <c r="R24" s="17"/>
      <c r="S24" s="25"/>
      <c r="T24" s="26">
        <v>1255</v>
      </c>
      <c r="U24" s="26" t="s">
        <v>88</v>
      </c>
      <c r="V24" s="26" t="s">
        <v>86</v>
      </c>
      <c r="W24" s="26" t="s">
        <v>87</v>
      </c>
      <c r="X24" s="27">
        <v>44562</v>
      </c>
      <c r="Y24" s="27">
        <v>44815</v>
      </c>
      <c r="Z24" s="27">
        <v>45101</v>
      </c>
      <c r="AA24" s="27">
        <v>45169</v>
      </c>
      <c r="AB24" s="28" t="s">
        <v>89</v>
      </c>
      <c r="AC24" s="28"/>
      <c r="AD24" s="28"/>
      <c r="AE24" s="28" t="s">
        <v>90</v>
      </c>
      <c r="AF24" s="28" t="s">
        <v>90</v>
      </c>
      <c r="AG24" s="28"/>
      <c r="AH24" s="28" t="s">
        <v>90</v>
      </c>
      <c r="AI24" s="28" t="s">
        <v>90</v>
      </c>
      <c r="AJ24" s="28" t="s">
        <v>90</v>
      </c>
      <c r="AK24" s="28" t="s">
        <v>90</v>
      </c>
      <c r="AL24" s="28" t="s">
        <v>90</v>
      </c>
      <c r="AM24" s="28" t="s">
        <v>90</v>
      </c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9">
        <v>63.39</v>
      </c>
      <c r="AY24" s="30"/>
      <c r="AZ24" s="30"/>
      <c r="BA24" s="29"/>
      <c r="BB24" s="29"/>
      <c r="BC24" s="30"/>
      <c r="BD24" s="31">
        <f t="shared" si="1"/>
        <v>4247.13</v>
      </c>
      <c r="BE24" s="31"/>
      <c r="BF24" s="30"/>
      <c r="BG24" s="32">
        <v>2</v>
      </c>
      <c r="BH24" s="31">
        <f t="shared" si="6"/>
        <v>0</v>
      </c>
      <c r="BI24" s="31">
        <f t="shared" si="7"/>
        <v>2.6099999999999994</v>
      </c>
      <c r="BJ24" s="33">
        <f t="shared" si="8"/>
        <v>174.86999999999995</v>
      </c>
      <c r="BK24" s="30"/>
      <c r="BL24" s="30"/>
      <c r="BM24" s="30"/>
      <c r="BN24" s="30"/>
      <c r="BO24" s="33">
        <f t="shared" si="2"/>
        <v>0</v>
      </c>
      <c r="BP24" s="30">
        <v>9</v>
      </c>
      <c r="BQ24" s="30">
        <v>0</v>
      </c>
      <c r="BR24" s="30"/>
      <c r="BS24" s="30"/>
      <c r="BT24" s="34">
        <f t="shared" si="3"/>
        <v>66</v>
      </c>
      <c r="BU24" s="34"/>
      <c r="BV24" s="34"/>
      <c r="BW24" s="34"/>
      <c r="BX24" s="34"/>
      <c r="BY24" s="30"/>
      <c r="BZ24" s="31">
        <f t="shared" si="4"/>
        <v>594</v>
      </c>
      <c r="CA24" s="31">
        <f t="shared" si="5"/>
        <v>0</v>
      </c>
    </row>
    <row r="25" spans="1:79" ht="51" x14ac:dyDescent="0.25">
      <c r="A25" s="17"/>
      <c r="B25" s="2">
        <v>24</v>
      </c>
      <c r="C25" s="18">
        <v>123</v>
      </c>
      <c r="D25" s="18">
        <v>173</v>
      </c>
      <c r="E25" s="19">
        <v>0.40069444444444446</v>
      </c>
      <c r="F25" s="19">
        <v>0.42638888888888887</v>
      </c>
      <c r="G25" s="18" t="s">
        <v>317</v>
      </c>
      <c r="H25" s="18" t="s">
        <v>290</v>
      </c>
      <c r="I25" s="20">
        <v>22</v>
      </c>
      <c r="J25" s="21" t="s">
        <v>81</v>
      </c>
      <c r="K25" s="22">
        <v>13</v>
      </c>
      <c r="L25" s="23">
        <f t="shared" si="0"/>
        <v>286</v>
      </c>
      <c r="M25" s="24" t="s">
        <v>82</v>
      </c>
      <c r="N25" s="25" t="s">
        <v>83</v>
      </c>
      <c r="O25" s="25">
        <v>50</v>
      </c>
      <c r="P25" s="25" t="s">
        <v>84</v>
      </c>
      <c r="Q25" s="25" t="s">
        <v>85</v>
      </c>
      <c r="R25" s="17"/>
      <c r="S25" s="25"/>
      <c r="T25" s="26">
        <v>1255</v>
      </c>
      <c r="U25" s="26" t="s">
        <v>88</v>
      </c>
      <c r="V25" s="26" t="s">
        <v>86</v>
      </c>
      <c r="W25" s="26" t="s">
        <v>87</v>
      </c>
      <c r="X25" s="27">
        <v>44562</v>
      </c>
      <c r="Y25" s="27">
        <v>44815</v>
      </c>
      <c r="Z25" s="27">
        <v>45101</v>
      </c>
      <c r="AA25" s="27">
        <v>45169</v>
      </c>
      <c r="AB25" s="62" t="s">
        <v>291</v>
      </c>
      <c r="AC25" s="62"/>
      <c r="AD25" s="28"/>
      <c r="AE25" s="28" t="s">
        <v>90</v>
      </c>
      <c r="AF25" s="28"/>
      <c r="AG25" s="28"/>
      <c r="AH25" s="28"/>
      <c r="AI25" s="28"/>
      <c r="AJ25" s="28"/>
      <c r="AK25" s="28"/>
      <c r="AL25" s="28"/>
      <c r="AM25" s="28"/>
      <c r="AN25" s="28" t="s">
        <v>90</v>
      </c>
      <c r="AO25" s="28"/>
      <c r="AP25" s="28"/>
      <c r="AQ25" s="28"/>
      <c r="AR25" s="28"/>
      <c r="AS25" s="28"/>
      <c r="AT25" s="28"/>
      <c r="AU25" s="28"/>
      <c r="AV25" s="28"/>
      <c r="AW25" s="28"/>
      <c r="AX25" s="29">
        <v>66</v>
      </c>
      <c r="AY25" s="30"/>
      <c r="AZ25" s="30"/>
      <c r="BA25" s="29"/>
      <c r="BB25" s="29"/>
      <c r="BC25" s="30"/>
      <c r="BD25" s="31">
        <f t="shared" si="1"/>
        <v>858</v>
      </c>
      <c r="BE25" s="31"/>
      <c r="BF25" s="30"/>
      <c r="BG25" s="32">
        <v>2</v>
      </c>
      <c r="BH25" s="31">
        <f t="shared" si="6"/>
        <v>0</v>
      </c>
      <c r="BI25" s="31">
        <f t="shared" si="7"/>
        <v>0</v>
      </c>
      <c r="BJ25" s="33">
        <f t="shared" si="8"/>
        <v>0</v>
      </c>
      <c r="BK25" s="30"/>
      <c r="BL25" s="30"/>
      <c r="BM25" s="30"/>
      <c r="BN25" s="30"/>
      <c r="BO25" s="33">
        <f t="shared" si="2"/>
        <v>0</v>
      </c>
      <c r="BP25" s="30">
        <v>2</v>
      </c>
      <c r="BQ25" s="30">
        <v>0</v>
      </c>
      <c r="BR25" s="30"/>
      <c r="BS25" s="30"/>
      <c r="BT25" s="34">
        <f t="shared" si="3"/>
        <v>66</v>
      </c>
      <c r="BU25" s="34"/>
      <c r="BV25" s="34"/>
      <c r="BW25" s="34"/>
      <c r="BX25" s="34"/>
      <c r="BY25" s="30"/>
      <c r="BZ25" s="31">
        <f t="shared" si="4"/>
        <v>132</v>
      </c>
      <c r="CA25" s="31">
        <f t="shared" si="5"/>
        <v>0</v>
      </c>
    </row>
    <row r="26" spans="1:79" ht="45.75" x14ac:dyDescent="0.25">
      <c r="A26" s="17"/>
      <c r="B26" s="2">
        <v>25</v>
      </c>
      <c r="C26" s="18">
        <v>123</v>
      </c>
      <c r="D26" s="18">
        <v>174</v>
      </c>
      <c r="E26" s="19">
        <v>0.43055555555555558</v>
      </c>
      <c r="F26" s="59">
        <v>0.46875</v>
      </c>
      <c r="G26" s="18" t="s">
        <v>318</v>
      </c>
      <c r="H26" s="18" t="s">
        <v>316</v>
      </c>
      <c r="I26" s="20">
        <v>12</v>
      </c>
      <c r="J26" s="21" t="s">
        <v>81</v>
      </c>
      <c r="K26" s="22">
        <v>67</v>
      </c>
      <c r="L26" s="23">
        <f t="shared" si="0"/>
        <v>804</v>
      </c>
      <c r="M26" s="24" t="s">
        <v>82</v>
      </c>
      <c r="N26" s="25" t="s">
        <v>83</v>
      </c>
      <c r="O26" s="25">
        <v>50</v>
      </c>
      <c r="P26" s="25" t="s">
        <v>84</v>
      </c>
      <c r="Q26" s="25" t="s">
        <v>85</v>
      </c>
      <c r="R26" s="17"/>
      <c r="S26" s="25"/>
      <c r="T26" s="26" t="s">
        <v>86</v>
      </c>
      <c r="U26" s="26" t="s">
        <v>87</v>
      </c>
      <c r="V26" s="26" t="s">
        <v>319</v>
      </c>
      <c r="W26" s="26" t="s">
        <v>320</v>
      </c>
      <c r="X26" s="27">
        <v>44562</v>
      </c>
      <c r="Y26" s="27">
        <v>44815</v>
      </c>
      <c r="Z26" s="27">
        <v>45101</v>
      </c>
      <c r="AA26" s="27">
        <v>45169</v>
      </c>
      <c r="AB26" s="28" t="s">
        <v>89</v>
      </c>
      <c r="AC26" s="28"/>
      <c r="AD26" s="28"/>
      <c r="AE26" s="28" t="s">
        <v>90</v>
      </c>
      <c r="AF26" s="28" t="s">
        <v>90</v>
      </c>
      <c r="AG26" s="28"/>
      <c r="AH26" s="28" t="s">
        <v>90</v>
      </c>
      <c r="AI26" s="28" t="s">
        <v>90</v>
      </c>
      <c r="AJ26" s="28" t="s">
        <v>90</v>
      </c>
      <c r="AK26" s="28" t="s">
        <v>90</v>
      </c>
      <c r="AL26" s="28" t="s">
        <v>90</v>
      </c>
      <c r="AM26" s="28" t="s">
        <v>90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9">
        <v>21.6</v>
      </c>
      <c r="AY26" s="30"/>
      <c r="AZ26" s="30"/>
      <c r="BA26" s="29"/>
      <c r="BB26" s="29"/>
      <c r="BC26" s="30"/>
      <c r="BD26" s="31">
        <f t="shared" si="1"/>
        <v>1447.2</v>
      </c>
      <c r="BE26" s="31"/>
      <c r="BF26" s="30"/>
      <c r="BG26" s="32">
        <v>2</v>
      </c>
      <c r="BH26" s="31">
        <f t="shared" si="6"/>
        <v>0</v>
      </c>
      <c r="BI26" s="31">
        <f t="shared" si="7"/>
        <v>14.399999999999999</v>
      </c>
      <c r="BJ26" s="33">
        <f t="shared" si="8"/>
        <v>964.8</v>
      </c>
      <c r="BK26" s="30"/>
      <c r="BL26" s="30"/>
      <c r="BM26" s="30"/>
      <c r="BN26" s="30"/>
      <c r="BO26" s="33">
        <f t="shared" si="2"/>
        <v>0</v>
      </c>
      <c r="BP26" s="30">
        <v>9</v>
      </c>
      <c r="BQ26" s="30">
        <v>0</v>
      </c>
      <c r="BR26" s="30"/>
      <c r="BS26" s="30"/>
      <c r="BT26" s="34">
        <f t="shared" si="3"/>
        <v>36</v>
      </c>
      <c r="BU26" s="34"/>
      <c r="BV26" s="34"/>
      <c r="BW26" s="34"/>
      <c r="BX26" s="34"/>
      <c r="BY26" s="30"/>
      <c r="BZ26" s="31">
        <f t="shared" si="4"/>
        <v>324</v>
      </c>
      <c r="CA26" s="31">
        <f t="shared" si="5"/>
        <v>0</v>
      </c>
    </row>
    <row r="27" spans="1:79" ht="51" x14ac:dyDescent="0.25">
      <c r="A27" s="17"/>
      <c r="B27" s="2">
        <v>26</v>
      </c>
      <c r="C27" s="18">
        <v>123</v>
      </c>
      <c r="D27" s="18">
        <v>174</v>
      </c>
      <c r="E27" s="19">
        <v>0.43055555555555558</v>
      </c>
      <c r="F27" s="59">
        <v>0.4458333333333333</v>
      </c>
      <c r="G27" s="18" t="s">
        <v>321</v>
      </c>
      <c r="H27" s="18" t="s">
        <v>290</v>
      </c>
      <c r="I27" s="20">
        <v>12</v>
      </c>
      <c r="J27" s="21" t="s">
        <v>81</v>
      </c>
      <c r="K27" s="22">
        <v>13</v>
      </c>
      <c r="L27" s="23">
        <f t="shared" si="0"/>
        <v>156</v>
      </c>
      <c r="M27" s="24" t="s">
        <v>82</v>
      </c>
      <c r="N27" s="25" t="s">
        <v>83</v>
      </c>
      <c r="O27" s="25">
        <v>50</v>
      </c>
      <c r="P27" s="25" t="s">
        <v>84</v>
      </c>
      <c r="Q27" s="25" t="s">
        <v>85</v>
      </c>
      <c r="R27" s="17"/>
      <c r="S27" s="25"/>
      <c r="T27" s="26" t="s">
        <v>86</v>
      </c>
      <c r="U27" s="26" t="s">
        <v>87</v>
      </c>
      <c r="V27" s="26" t="s">
        <v>319</v>
      </c>
      <c r="W27" s="26" t="s">
        <v>320</v>
      </c>
      <c r="X27" s="27">
        <v>44562</v>
      </c>
      <c r="Y27" s="27">
        <v>44815</v>
      </c>
      <c r="Z27" s="27">
        <v>45101</v>
      </c>
      <c r="AA27" s="27">
        <v>45169</v>
      </c>
      <c r="AB27" s="62" t="s">
        <v>291</v>
      </c>
      <c r="AC27" s="62"/>
      <c r="AD27" s="28"/>
      <c r="AE27" s="28" t="s">
        <v>90</v>
      </c>
      <c r="AF27" s="28"/>
      <c r="AG27" s="28"/>
      <c r="AH27" s="28"/>
      <c r="AI27" s="28"/>
      <c r="AJ27" s="28"/>
      <c r="AK27" s="28"/>
      <c r="AL27" s="28"/>
      <c r="AM27" s="28"/>
      <c r="AN27" s="28" t="s">
        <v>90</v>
      </c>
      <c r="AO27" s="28"/>
      <c r="AP27" s="28"/>
      <c r="AQ27" s="28"/>
      <c r="AR27" s="28"/>
      <c r="AS27" s="28"/>
      <c r="AT27" s="28"/>
      <c r="AU27" s="28"/>
      <c r="AV27" s="28"/>
      <c r="AW27" s="28"/>
      <c r="AX27" s="29">
        <v>36</v>
      </c>
      <c r="AY27" s="30"/>
      <c r="AZ27" s="30"/>
      <c r="BA27" s="29"/>
      <c r="BB27" s="29"/>
      <c r="BC27" s="30"/>
      <c r="BD27" s="31">
        <f t="shared" si="1"/>
        <v>468</v>
      </c>
      <c r="BE27" s="31"/>
      <c r="BF27" s="30"/>
      <c r="BG27" s="32">
        <v>2</v>
      </c>
      <c r="BH27" s="31">
        <f t="shared" si="6"/>
        <v>0</v>
      </c>
      <c r="BI27" s="31">
        <f t="shared" si="7"/>
        <v>0</v>
      </c>
      <c r="BJ27" s="33">
        <f t="shared" si="8"/>
        <v>0</v>
      </c>
      <c r="BK27" s="30"/>
      <c r="BL27" s="30"/>
      <c r="BM27" s="30"/>
      <c r="BN27" s="30"/>
      <c r="BO27" s="33">
        <f t="shared" si="2"/>
        <v>0</v>
      </c>
      <c r="BP27" s="30">
        <v>2</v>
      </c>
      <c r="BQ27" s="30">
        <v>0</v>
      </c>
      <c r="BR27" s="30"/>
      <c r="BS27" s="30"/>
      <c r="BT27" s="34">
        <f t="shared" si="3"/>
        <v>36</v>
      </c>
      <c r="BU27" s="34"/>
      <c r="BV27" s="34"/>
      <c r="BW27" s="34"/>
      <c r="BX27" s="34"/>
      <c r="BY27" s="30"/>
      <c r="BZ27" s="31">
        <f t="shared" si="4"/>
        <v>72</v>
      </c>
      <c r="CA27" s="31">
        <f t="shared" si="5"/>
        <v>0</v>
      </c>
    </row>
    <row r="28" spans="1:79" ht="45" x14ac:dyDescent="0.25">
      <c r="A28" s="67" t="s">
        <v>322</v>
      </c>
      <c r="B28" s="2">
        <v>27</v>
      </c>
      <c r="C28" s="18">
        <v>123</v>
      </c>
      <c r="D28" s="18">
        <v>175</v>
      </c>
      <c r="E28" s="19">
        <v>0.44930555555555557</v>
      </c>
      <c r="F28" s="19">
        <v>0.46527777777777773</v>
      </c>
      <c r="G28" s="18" t="s">
        <v>323</v>
      </c>
      <c r="H28" s="58" t="s">
        <v>324</v>
      </c>
      <c r="I28" s="20">
        <v>12</v>
      </c>
      <c r="J28" s="21" t="s">
        <v>81</v>
      </c>
      <c r="K28" s="68">
        <v>67</v>
      </c>
      <c r="L28" s="23">
        <f t="shared" si="0"/>
        <v>804</v>
      </c>
      <c r="M28" s="24" t="s">
        <v>82</v>
      </c>
      <c r="N28" s="25" t="s">
        <v>83</v>
      </c>
      <c r="O28" s="25">
        <v>50</v>
      </c>
      <c r="P28" s="25" t="s">
        <v>84</v>
      </c>
      <c r="Q28" s="25" t="s">
        <v>85</v>
      </c>
      <c r="R28" s="17"/>
      <c r="S28" s="25"/>
      <c r="T28" s="26" t="s">
        <v>319</v>
      </c>
      <c r="U28" s="26" t="s">
        <v>325</v>
      </c>
      <c r="V28" s="26" t="s">
        <v>86</v>
      </c>
      <c r="W28" s="26" t="s">
        <v>87</v>
      </c>
      <c r="X28" s="27">
        <v>44562</v>
      </c>
      <c r="Y28" s="27">
        <v>44815</v>
      </c>
      <c r="Z28" s="27">
        <v>45101</v>
      </c>
      <c r="AA28" s="27">
        <v>45169</v>
      </c>
      <c r="AB28" s="28" t="s">
        <v>89</v>
      </c>
      <c r="AC28" s="28"/>
      <c r="AD28" s="28"/>
      <c r="AE28" s="28" t="s">
        <v>90</v>
      </c>
      <c r="AF28" s="28" t="s">
        <v>90</v>
      </c>
      <c r="AG28" s="28"/>
      <c r="AH28" s="28" t="s">
        <v>90</v>
      </c>
      <c r="AI28" s="28" t="s">
        <v>90</v>
      </c>
      <c r="AJ28" s="28" t="s">
        <v>90</v>
      </c>
      <c r="AK28" s="28" t="s">
        <v>90</v>
      </c>
      <c r="AL28" s="28" t="s">
        <v>90</v>
      </c>
      <c r="AM28" s="28" t="s">
        <v>90</v>
      </c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9">
        <v>21.6</v>
      </c>
      <c r="AY28" s="30"/>
      <c r="AZ28" s="30"/>
      <c r="BA28" s="29"/>
      <c r="BB28" s="29"/>
      <c r="BC28" s="30"/>
      <c r="BD28" s="31">
        <f t="shared" si="1"/>
        <v>1447.2</v>
      </c>
      <c r="BE28" s="31"/>
      <c r="BF28" s="30"/>
      <c r="BG28" s="32">
        <v>2</v>
      </c>
      <c r="BH28" s="31">
        <f t="shared" si="6"/>
        <v>0</v>
      </c>
      <c r="BI28" s="31">
        <f t="shared" si="7"/>
        <v>14.399999999999999</v>
      </c>
      <c r="BJ28" s="33">
        <f t="shared" si="8"/>
        <v>964.8</v>
      </c>
      <c r="BK28" s="30"/>
      <c r="BL28" s="30"/>
      <c r="BM28" s="30"/>
      <c r="BN28" s="30"/>
      <c r="BO28" s="33">
        <f t="shared" si="2"/>
        <v>0</v>
      </c>
      <c r="BP28" s="30">
        <v>9</v>
      </c>
      <c r="BQ28" s="30">
        <v>0</v>
      </c>
      <c r="BR28" s="30"/>
      <c r="BS28" s="30"/>
      <c r="BT28" s="34">
        <f t="shared" si="3"/>
        <v>36</v>
      </c>
      <c r="BU28" s="34"/>
      <c r="BV28" s="34"/>
      <c r="BW28" s="34"/>
      <c r="BX28" s="34"/>
      <c r="BY28" s="30"/>
      <c r="BZ28" s="31">
        <f t="shared" si="4"/>
        <v>324</v>
      </c>
      <c r="CA28" s="31">
        <f t="shared" si="5"/>
        <v>0</v>
      </c>
    </row>
    <row r="29" spans="1:79" ht="45" x14ac:dyDescent="0.25">
      <c r="A29" s="17"/>
      <c r="B29" s="2">
        <v>28</v>
      </c>
      <c r="C29" s="18">
        <v>123</v>
      </c>
      <c r="D29" s="18">
        <v>175</v>
      </c>
      <c r="E29" s="19">
        <v>0.44930555555555557</v>
      </c>
      <c r="F29" s="19">
        <v>0.46527777777777773</v>
      </c>
      <c r="G29" s="18" t="s">
        <v>326</v>
      </c>
      <c r="H29" s="18" t="s">
        <v>290</v>
      </c>
      <c r="I29" s="20">
        <v>12</v>
      </c>
      <c r="J29" s="21" t="s">
        <v>81</v>
      </c>
      <c r="K29" s="22">
        <v>13</v>
      </c>
      <c r="L29" s="23">
        <f t="shared" si="0"/>
        <v>156</v>
      </c>
      <c r="M29" s="24" t="s">
        <v>82</v>
      </c>
      <c r="N29" s="25" t="s">
        <v>83</v>
      </c>
      <c r="O29" s="25">
        <v>50</v>
      </c>
      <c r="P29" s="25" t="s">
        <v>84</v>
      </c>
      <c r="Q29" s="25" t="s">
        <v>85</v>
      </c>
      <c r="R29" s="17"/>
      <c r="S29" s="25"/>
      <c r="T29" s="26" t="s">
        <v>319</v>
      </c>
      <c r="U29" s="26" t="s">
        <v>325</v>
      </c>
      <c r="V29" s="26" t="s">
        <v>86</v>
      </c>
      <c r="W29" s="26" t="s">
        <v>87</v>
      </c>
      <c r="X29" s="27">
        <v>44562</v>
      </c>
      <c r="Y29" s="27">
        <v>44815</v>
      </c>
      <c r="Z29" s="27">
        <v>45101</v>
      </c>
      <c r="AA29" s="27">
        <v>45169</v>
      </c>
      <c r="AB29" s="62" t="s">
        <v>291</v>
      </c>
      <c r="AC29" s="62"/>
      <c r="AD29" s="28"/>
      <c r="AE29" s="28" t="s">
        <v>90</v>
      </c>
      <c r="AF29" s="28"/>
      <c r="AG29" s="28"/>
      <c r="AH29" s="28"/>
      <c r="AI29" s="28"/>
      <c r="AJ29" s="28"/>
      <c r="AK29" s="28"/>
      <c r="AL29" s="28"/>
      <c r="AM29" s="28"/>
      <c r="AN29" s="28" t="s">
        <v>90</v>
      </c>
      <c r="AO29" s="28"/>
      <c r="AP29" s="28"/>
      <c r="AQ29" s="28"/>
      <c r="AR29" s="28"/>
      <c r="AS29" s="28"/>
      <c r="AT29" s="28"/>
      <c r="AU29" s="28"/>
      <c r="AV29" s="28"/>
      <c r="AW29" s="28"/>
      <c r="AX29" s="29">
        <v>36</v>
      </c>
      <c r="AY29" s="30"/>
      <c r="AZ29" s="30"/>
      <c r="BA29" s="29"/>
      <c r="BB29" s="29"/>
      <c r="BC29" s="30"/>
      <c r="BD29" s="31">
        <f t="shared" si="1"/>
        <v>468</v>
      </c>
      <c r="BE29" s="31"/>
      <c r="BF29" s="30"/>
      <c r="BG29" s="32">
        <v>2</v>
      </c>
      <c r="BH29" s="31">
        <f t="shared" si="6"/>
        <v>0</v>
      </c>
      <c r="BI29" s="31">
        <f t="shared" si="7"/>
        <v>0</v>
      </c>
      <c r="BJ29" s="33">
        <f t="shared" si="8"/>
        <v>0</v>
      </c>
      <c r="BK29" s="30"/>
      <c r="BL29" s="30"/>
      <c r="BM29" s="30"/>
      <c r="BN29" s="30"/>
      <c r="BO29" s="33">
        <f t="shared" si="2"/>
        <v>0</v>
      </c>
      <c r="BP29" s="30">
        <v>2</v>
      </c>
      <c r="BQ29" s="30">
        <v>0</v>
      </c>
      <c r="BR29" s="30"/>
      <c r="BS29" s="30"/>
      <c r="BT29" s="34">
        <f t="shared" si="3"/>
        <v>36</v>
      </c>
      <c r="BU29" s="34"/>
      <c r="BV29" s="34"/>
      <c r="BW29" s="34"/>
      <c r="BX29" s="34"/>
      <c r="BY29" s="30"/>
      <c r="BZ29" s="31">
        <f t="shared" si="4"/>
        <v>72</v>
      </c>
      <c r="CA29" s="31">
        <f t="shared" si="5"/>
        <v>0</v>
      </c>
    </row>
    <row r="30" spans="1:79" ht="51" x14ac:dyDescent="0.25">
      <c r="A30" s="17"/>
      <c r="B30" s="2">
        <v>29</v>
      </c>
      <c r="C30" s="18">
        <v>123</v>
      </c>
      <c r="D30" s="18">
        <v>176</v>
      </c>
      <c r="E30" s="19">
        <v>0.47222222222222227</v>
      </c>
      <c r="F30" s="19">
        <v>0.48749999999999999</v>
      </c>
      <c r="G30" s="18" t="s">
        <v>321</v>
      </c>
      <c r="H30" s="18" t="s">
        <v>327</v>
      </c>
      <c r="I30" s="20">
        <v>12</v>
      </c>
      <c r="J30" s="21" t="s">
        <v>81</v>
      </c>
      <c r="K30" s="22">
        <v>67</v>
      </c>
      <c r="L30" s="23">
        <f t="shared" si="0"/>
        <v>804</v>
      </c>
      <c r="M30" s="24" t="s">
        <v>82</v>
      </c>
      <c r="N30" s="25" t="s">
        <v>83</v>
      </c>
      <c r="O30" s="25">
        <v>50</v>
      </c>
      <c r="P30" s="25" t="s">
        <v>84</v>
      </c>
      <c r="Q30" s="25" t="s">
        <v>85</v>
      </c>
      <c r="R30" s="17"/>
      <c r="S30" s="25"/>
      <c r="T30" s="26" t="s">
        <v>86</v>
      </c>
      <c r="U30" s="26" t="s">
        <v>87</v>
      </c>
      <c r="V30" s="26" t="s">
        <v>319</v>
      </c>
      <c r="W30" s="26" t="s">
        <v>320</v>
      </c>
      <c r="X30" s="27">
        <v>44562</v>
      </c>
      <c r="Y30" s="27">
        <v>44815</v>
      </c>
      <c r="Z30" s="27">
        <v>45101</v>
      </c>
      <c r="AA30" s="27">
        <v>45169</v>
      </c>
      <c r="AB30" s="28" t="s">
        <v>89</v>
      </c>
      <c r="AC30" s="28"/>
      <c r="AD30" s="28"/>
      <c r="AE30" s="28" t="s">
        <v>90</v>
      </c>
      <c r="AF30" s="28" t="s">
        <v>90</v>
      </c>
      <c r="AG30" s="28"/>
      <c r="AH30" s="28" t="s">
        <v>90</v>
      </c>
      <c r="AI30" s="28" t="s">
        <v>90</v>
      </c>
      <c r="AJ30" s="28" t="s">
        <v>90</v>
      </c>
      <c r="AK30" s="28" t="s">
        <v>90</v>
      </c>
      <c r="AL30" s="28" t="s">
        <v>90</v>
      </c>
      <c r="AM30" s="28" t="s">
        <v>90</v>
      </c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9">
        <v>36</v>
      </c>
      <c r="AY30" s="30"/>
      <c r="AZ30" s="30"/>
      <c r="BA30" s="29"/>
      <c r="BB30" s="29"/>
      <c r="BC30" s="30"/>
      <c r="BD30" s="31">
        <f t="shared" si="1"/>
        <v>2412</v>
      </c>
      <c r="BE30" s="31"/>
      <c r="BF30" s="30"/>
      <c r="BG30" s="32">
        <v>2</v>
      </c>
      <c r="BH30" s="31">
        <f t="shared" si="6"/>
        <v>0</v>
      </c>
      <c r="BI30" s="31">
        <f t="shared" si="7"/>
        <v>0</v>
      </c>
      <c r="BJ30" s="33">
        <f t="shared" si="8"/>
        <v>0</v>
      </c>
      <c r="BK30" s="30"/>
      <c r="BL30" s="30"/>
      <c r="BM30" s="30"/>
      <c r="BN30" s="30"/>
      <c r="BO30" s="33">
        <f t="shared" si="2"/>
        <v>0</v>
      </c>
      <c r="BP30" s="30">
        <v>9</v>
      </c>
      <c r="BQ30" s="30">
        <v>0</v>
      </c>
      <c r="BR30" s="30"/>
      <c r="BS30" s="30"/>
      <c r="BT30" s="34">
        <f t="shared" si="3"/>
        <v>36</v>
      </c>
      <c r="BU30" s="34"/>
      <c r="BV30" s="34"/>
      <c r="BW30" s="34"/>
      <c r="BX30" s="34"/>
      <c r="BY30" s="30"/>
      <c r="BZ30" s="31">
        <f t="shared" si="4"/>
        <v>324</v>
      </c>
      <c r="CA30" s="31">
        <f t="shared" si="5"/>
        <v>0</v>
      </c>
    </row>
    <row r="31" spans="1:79" ht="51" x14ac:dyDescent="0.25">
      <c r="A31" s="17"/>
      <c r="B31" s="2">
        <v>30</v>
      </c>
      <c r="C31" s="18">
        <v>123</v>
      </c>
      <c r="D31" s="18">
        <v>176</v>
      </c>
      <c r="E31" s="19">
        <v>0.47222222222222227</v>
      </c>
      <c r="F31" s="19">
        <v>0.48749999999999999</v>
      </c>
      <c r="G31" s="18" t="s">
        <v>321</v>
      </c>
      <c r="H31" s="18" t="s">
        <v>290</v>
      </c>
      <c r="I31" s="20">
        <v>12</v>
      </c>
      <c r="J31" s="21" t="s">
        <v>81</v>
      </c>
      <c r="K31" s="22">
        <v>13</v>
      </c>
      <c r="L31" s="23">
        <f t="shared" si="0"/>
        <v>156</v>
      </c>
      <c r="M31" s="24" t="s">
        <v>82</v>
      </c>
      <c r="N31" s="25" t="s">
        <v>83</v>
      </c>
      <c r="O31" s="25">
        <v>50</v>
      </c>
      <c r="P31" s="25" t="s">
        <v>84</v>
      </c>
      <c r="Q31" s="25" t="s">
        <v>85</v>
      </c>
      <c r="R31" s="17"/>
      <c r="S31" s="25"/>
      <c r="T31" s="26" t="s">
        <v>86</v>
      </c>
      <c r="U31" s="26" t="s">
        <v>87</v>
      </c>
      <c r="V31" s="26" t="s">
        <v>319</v>
      </c>
      <c r="W31" s="26" t="s">
        <v>320</v>
      </c>
      <c r="X31" s="27">
        <v>44562</v>
      </c>
      <c r="Y31" s="27">
        <v>44815</v>
      </c>
      <c r="Z31" s="27">
        <v>45101</v>
      </c>
      <c r="AA31" s="27">
        <v>45169</v>
      </c>
      <c r="AB31" s="62" t="s">
        <v>291</v>
      </c>
      <c r="AC31" s="62"/>
      <c r="AD31" s="28"/>
      <c r="AE31" s="28" t="s">
        <v>90</v>
      </c>
      <c r="AF31" s="28"/>
      <c r="AG31" s="28"/>
      <c r="AH31" s="28"/>
      <c r="AI31" s="28"/>
      <c r="AJ31" s="28"/>
      <c r="AK31" s="28"/>
      <c r="AL31" s="28"/>
      <c r="AM31" s="28"/>
      <c r="AN31" s="28" t="s">
        <v>90</v>
      </c>
      <c r="AO31" s="28"/>
      <c r="AP31" s="28"/>
      <c r="AQ31" s="28"/>
      <c r="AR31" s="28"/>
      <c r="AS31" s="28"/>
      <c r="AT31" s="28"/>
      <c r="AU31" s="28"/>
      <c r="AV31" s="28"/>
      <c r="AW31" s="28"/>
      <c r="AX31" s="29">
        <v>36</v>
      </c>
      <c r="AY31" s="30"/>
      <c r="AZ31" s="30"/>
      <c r="BA31" s="29"/>
      <c r="BB31" s="29"/>
      <c r="BC31" s="30"/>
      <c r="BD31" s="31">
        <f t="shared" si="1"/>
        <v>468</v>
      </c>
      <c r="BE31" s="31"/>
      <c r="BF31" s="30"/>
      <c r="BG31" s="32">
        <v>2</v>
      </c>
      <c r="BH31" s="31">
        <f t="shared" si="6"/>
        <v>0</v>
      </c>
      <c r="BI31" s="31">
        <f t="shared" si="7"/>
        <v>0</v>
      </c>
      <c r="BJ31" s="33">
        <f t="shared" si="8"/>
        <v>0</v>
      </c>
      <c r="BK31" s="30"/>
      <c r="BL31" s="30"/>
      <c r="BM31" s="30"/>
      <c r="BN31" s="30"/>
      <c r="BO31" s="33">
        <f t="shared" si="2"/>
        <v>0</v>
      </c>
      <c r="BP31" s="30">
        <v>2</v>
      </c>
      <c r="BQ31" s="30">
        <v>0</v>
      </c>
      <c r="BR31" s="30"/>
      <c r="BS31" s="30"/>
      <c r="BT31" s="34">
        <f t="shared" si="3"/>
        <v>36</v>
      </c>
      <c r="BU31" s="34"/>
      <c r="BV31" s="34"/>
      <c r="BW31" s="34"/>
      <c r="BX31" s="34"/>
      <c r="BY31" s="30"/>
      <c r="BZ31" s="31">
        <f t="shared" si="4"/>
        <v>72</v>
      </c>
      <c r="CA31" s="31">
        <f t="shared" si="5"/>
        <v>0</v>
      </c>
    </row>
    <row r="32" spans="1:79" ht="45" x14ac:dyDescent="0.25">
      <c r="A32" s="17"/>
      <c r="B32" s="2">
        <v>31</v>
      </c>
      <c r="C32" s="18">
        <v>123</v>
      </c>
      <c r="D32" s="18">
        <v>177</v>
      </c>
      <c r="E32" s="19">
        <v>0.4909722222222222</v>
      </c>
      <c r="F32" s="19">
        <v>0.50694444444444442</v>
      </c>
      <c r="G32" s="18" t="s">
        <v>323</v>
      </c>
      <c r="H32" s="18" t="s">
        <v>327</v>
      </c>
      <c r="I32" s="20">
        <v>12</v>
      </c>
      <c r="J32" s="21" t="s">
        <v>81</v>
      </c>
      <c r="K32" s="22">
        <v>67</v>
      </c>
      <c r="L32" s="23">
        <f t="shared" si="0"/>
        <v>804</v>
      </c>
      <c r="M32" s="24" t="s">
        <v>82</v>
      </c>
      <c r="N32" s="25" t="s">
        <v>83</v>
      </c>
      <c r="O32" s="25">
        <v>50</v>
      </c>
      <c r="P32" s="25" t="s">
        <v>84</v>
      </c>
      <c r="Q32" s="25" t="s">
        <v>85</v>
      </c>
      <c r="R32" s="17"/>
      <c r="S32" s="25"/>
      <c r="T32" s="26" t="s">
        <v>319</v>
      </c>
      <c r="U32" s="26" t="s">
        <v>325</v>
      </c>
      <c r="V32" s="26" t="s">
        <v>86</v>
      </c>
      <c r="W32" s="26" t="s">
        <v>87</v>
      </c>
      <c r="X32" s="27">
        <v>44562</v>
      </c>
      <c r="Y32" s="27">
        <v>44815</v>
      </c>
      <c r="Z32" s="27">
        <v>45101</v>
      </c>
      <c r="AA32" s="27">
        <v>45169</v>
      </c>
      <c r="AB32" s="28" t="s">
        <v>89</v>
      </c>
      <c r="AC32" s="28"/>
      <c r="AD32" s="28"/>
      <c r="AE32" s="28" t="s">
        <v>90</v>
      </c>
      <c r="AF32" s="28" t="s">
        <v>90</v>
      </c>
      <c r="AG32" s="28"/>
      <c r="AH32" s="28" t="s">
        <v>90</v>
      </c>
      <c r="AI32" s="28" t="s">
        <v>90</v>
      </c>
      <c r="AJ32" s="28" t="s">
        <v>90</v>
      </c>
      <c r="AK32" s="28" t="s">
        <v>90</v>
      </c>
      <c r="AL32" s="28" t="s">
        <v>90</v>
      </c>
      <c r="AM32" s="28" t="s">
        <v>90</v>
      </c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9">
        <v>36</v>
      </c>
      <c r="AY32" s="30"/>
      <c r="AZ32" s="30"/>
      <c r="BA32" s="29"/>
      <c r="BB32" s="29"/>
      <c r="BC32" s="30"/>
      <c r="BD32" s="31">
        <f t="shared" si="1"/>
        <v>2412</v>
      </c>
      <c r="BE32" s="31"/>
      <c r="BF32" s="30"/>
      <c r="BG32" s="32">
        <v>2</v>
      </c>
      <c r="BH32" s="31">
        <f t="shared" si="6"/>
        <v>0</v>
      </c>
      <c r="BI32" s="31">
        <f t="shared" si="7"/>
        <v>0</v>
      </c>
      <c r="BJ32" s="33">
        <f t="shared" si="8"/>
        <v>0</v>
      </c>
      <c r="BK32" s="30"/>
      <c r="BL32" s="30"/>
      <c r="BM32" s="30"/>
      <c r="BN32" s="30"/>
      <c r="BO32" s="33">
        <f t="shared" si="2"/>
        <v>0</v>
      </c>
      <c r="BP32" s="30">
        <v>9</v>
      </c>
      <c r="BQ32" s="30">
        <v>0</v>
      </c>
      <c r="BR32" s="30"/>
      <c r="BS32" s="30"/>
      <c r="BT32" s="34">
        <f t="shared" si="3"/>
        <v>36</v>
      </c>
      <c r="BU32" s="34"/>
      <c r="BV32" s="34"/>
      <c r="BW32" s="34"/>
      <c r="BX32" s="34"/>
      <c r="BY32" s="30"/>
      <c r="BZ32" s="31">
        <f t="shared" si="4"/>
        <v>324</v>
      </c>
      <c r="CA32" s="31">
        <f t="shared" si="5"/>
        <v>0</v>
      </c>
    </row>
    <row r="33" spans="1:79" ht="45" x14ac:dyDescent="0.25">
      <c r="A33" s="17"/>
      <c r="B33" s="2">
        <v>32</v>
      </c>
      <c r="C33" s="18">
        <v>123</v>
      </c>
      <c r="D33" s="18">
        <v>177</v>
      </c>
      <c r="E33" s="19">
        <v>0.4909722222222222</v>
      </c>
      <c r="F33" s="19">
        <v>0.50694444444444442</v>
      </c>
      <c r="G33" s="18" t="s">
        <v>323</v>
      </c>
      <c r="H33" s="18" t="s">
        <v>290</v>
      </c>
      <c r="I33" s="20">
        <v>12</v>
      </c>
      <c r="J33" s="21" t="s">
        <v>81</v>
      </c>
      <c r="K33" s="22">
        <v>13</v>
      </c>
      <c r="L33" s="23">
        <f t="shared" si="0"/>
        <v>156</v>
      </c>
      <c r="M33" s="24" t="s">
        <v>82</v>
      </c>
      <c r="N33" s="25" t="s">
        <v>83</v>
      </c>
      <c r="O33" s="25">
        <v>50</v>
      </c>
      <c r="P33" s="25" t="s">
        <v>84</v>
      </c>
      <c r="Q33" s="25" t="s">
        <v>85</v>
      </c>
      <c r="R33" s="17"/>
      <c r="S33" s="25"/>
      <c r="T33" s="26" t="s">
        <v>319</v>
      </c>
      <c r="U33" s="26" t="s">
        <v>325</v>
      </c>
      <c r="V33" s="26" t="s">
        <v>86</v>
      </c>
      <c r="W33" s="26" t="s">
        <v>87</v>
      </c>
      <c r="X33" s="27">
        <v>44562</v>
      </c>
      <c r="Y33" s="27">
        <v>44815</v>
      </c>
      <c r="Z33" s="27">
        <v>45101</v>
      </c>
      <c r="AA33" s="27">
        <v>45169</v>
      </c>
      <c r="AB33" s="62" t="s">
        <v>291</v>
      </c>
      <c r="AC33" s="62"/>
      <c r="AD33" s="28"/>
      <c r="AE33" s="28" t="s">
        <v>90</v>
      </c>
      <c r="AF33" s="28"/>
      <c r="AG33" s="28"/>
      <c r="AH33" s="28"/>
      <c r="AI33" s="28"/>
      <c r="AJ33" s="28"/>
      <c r="AK33" s="28"/>
      <c r="AL33" s="28"/>
      <c r="AM33" s="28"/>
      <c r="AN33" s="28" t="s">
        <v>90</v>
      </c>
      <c r="AO33" s="28"/>
      <c r="AP33" s="28"/>
      <c r="AQ33" s="28"/>
      <c r="AR33" s="28"/>
      <c r="AS33" s="28"/>
      <c r="AT33" s="28"/>
      <c r="AU33" s="28"/>
      <c r="AV33" s="28"/>
      <c r="AW33" s="28"/>
      <c r="AX33" s="29">
        <v>36</v>
      </c>
      <c r="AY33" s="30"/>
      <c r="AZ33" s="30"/>
      <c r="BA33" s="29"/>
      <c r="BB33" s="29"/>
      <c r="BC33" s="30"/>
      <c r="BD33" s="31">
        <f t="shared" si="1"/>
        <v>468</v>
      </c>
      <c r="BE33" s="31"/>
      <c r="BF33" s="30"/>
      <c r="BG33" s="32">
        <v>2</v>
      </c>
      <c r="BH33" s="31">
        <f t="shared" si="6"/>
        <v>0</v>
      </c>
      <c r="BI33" s="31">
        <f t="shared" si="7"/>
        <v>0</v>
      </c>
      <c r="BJ33" s="33">
        <f t="shared" si="8"/>
        <v>0</v>
      </c>
      <c r="BK33" s="30"/>
      <c r="BL33" s="30"/>
      <c r="BM33" s="30"/>
      <c r="BN33" s="30"/>
      <c r="BO33" s="33">
        <f t="shared" si="2"/>
        <v>0</v>
      </c>
      <c r="BP33" s="30">
        <v>2</v>
      </c>
      <c r="BQ33" s="30">
        <v>0</v>
      </c>
      <c r="BR33" s="30"/>
      <c r="BS33" s="30"/>
      <c r="BT33" s="34">
        <f t="shared" si="3"/>
        <v>36</v>
      </c>
      <c r="BU33" s="34"/>
      <c r="BV33" s="34"/>
      <c r="BW33" s="34"/>
      <c r="BX33" s="34"/>
      <c r="BY33" s="30"/>
      <c r="BZ33" s="31">
        <f t="shared" si="4"/>
        <v>72</v>
      </c>
      <c r="CA33" s="31">
        <f t="shared" si="5"/>
        <v>0</v>
      </c>
    </row>
    <row r="34" spans="1:79" ht="51" x14ac:dyDescent="0.25">
      <c r="A34" s="17"/>
      <c r="B34" s="2">
        <v>33</v>
      </c>
      <c r="C34" s="18">
        <v>123</v>
      </c>
      <c r="D34" s="18">
        <v>178</v>
      </c>
      <c r="E34" s="19">
        <v>0.57638888888888895</v>
      </c>
      <c r="F34" s="19">
        <v>0.59166666666666667</v>
      </c>
      <c r="G34" s="18" t="s">
        <v>321</v>
      </c>
      <c r="H34" s="18" t="s">
        <v>327</v>
      </c>
      <c r="I34" s="20">
        <v>12</v>
      </c>
      <c r="J34" s="21" t="s">
        <v>81</v>
      </c>
      <c r="K34" s="22">
        <v>67</v>
      </c>
      <c r="L34" s="23">
        <f t="shared" si="0"/>
        <v>804</v>
      </c>
      <c r="M34" s="24" t="s">
        <v>82</v>
      </c>
      <c r="N34" s="25" t="s">
        <v>83</v>
      </c>
      <c r="O34" s="25">
        <v>50</v>
      </c>
      <c r="P34" s="25" t="s">
        <v>84</v>
      </c>
      <c r="Q34" s="25" t="s">
        <v>85</v>
      </c>
      <c r="R34" s="17"/>
      <c r="S34" s="25"/>
      <c r="T34" s="26" t="s">
        <v>86</v>
      </c>
      <c r="U34" s="26" t="s">
        <v>87</v>
      </c>
      <c r="V34" s="26" t="s">
        <v>319</v>
      </c>
      <c r="W34" s="26" t="s">
        <v>320</v>
      </c>
      <c r="X34" s="27">
        <v>44562</v>
      </c>
      <c r="Y34" s="27">
        <v>44815</v>
      </c>
      <c r="Z34" s="27">
        <v>45101</v>
      </c>
      <c r="AA34" s="27">
        <v>45169</v>
      </c>
      <c r="AB34" s="28" t="s">
        <v>89</v>
      </c>
      <c r="AC34" s="28"/>
      <c r="AD34" s="28"/>
      <c r="AE34" s="28" t="s">
        <v>90</v>
      </c>
      <c r="AF34" s="28" t="s">
        <v>90</v>
      </c>
      <c r="AG34" s="28"/>
      <c r="AH34" s="28" t="s">
        <v>90</v>
      </c>
      <c r="AI34" s="28" t="s">
        <v>90</v>
      </c>
      <c r="AJ34" s="28" t="s">
        <v>90</v>
      </c>
      <c r="AK34" s="28" t="s">
        <v>90</v>
      </c>
      <c r="AL34" s="28" t="s">
        <v>90</v>
      </c>
      <c r="AM34" s="28" t="s">
        <v>90</v>
      </c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9">
        <v>36</v>
      </c>
      <c r="AY34" s="30"/>
      <c r="AZ34" s="30"/>
      <c r="BA34" s="29"/>
      <c r="BB34" s="29"/>
      <c r="BC34" s="30"/>
      <c r="BD34" s="31">
        <f t="shared" si="1"/>
        <v>2412</v>
      </c>
      <c r="BE34" s="31"/>
      <c r="BF34" s="30"/>
      <c r="BG34" s="32">
        <v>2</v>
      </c>
      <c r="BH34" s="31">
        <f t="shared" si="6"/>
        <v>0</v>
      </c>
      <c r="BI34" s="31">
        <f t="shared" si="7"/>
        <v>0</v>
      </c>
      <c r="BJ34" s="33">
        <f t="shared" si="8"/>
        <v>0</v>
      </c>
      <c r="BK34" s="30"/>
      <c r="BL34" s="30"/>
      <c r="BM34" s="30"/>
      <c r="BN34" s="30"/>
      <c r="BO34" s="33">
        <f t="shared" si="2"/>
        <v>0</v>
      </c>
      <c r="BP34" s="30">
        <v>9</v>
      </c>
      <c r="BQ34" s="30">
        <v>0</v>
      </c>
      <c r="BR34" s="30"/>
      <c r="BS34" s="30"/>
      <c r="BT34" s="34">
        <f t="shared" si="3"/>
        <v>36</v>
      </c>
      <c r="BU34" s="34"/>
      <c r="BV34" s="34"/>
      <c r="BW34" s="34"/>
      <c r="BX34" s="34"/>
      <c r="BY34" s="30"/>
      <c r="BZ34" s="31">
        <f t="shared" si="4"/>
        <v>324</v>
      </c>
      <c r="CA34" s="31">
        <f t="shared" si="5"/>
        <v>0</v>
      </c>
    </row>
    <row r="35" spans="1:79" ht="51" x14ac:dyDescent="0.25">
      <c r="A35" s="17"/>
      <c r="B35" s="2">
        <v>34</v>
      </c>
      <c r="C35" s="18">
        <v>123</v>
      </c>
      <c r="D35" s="18">
        <v>178</v>
      </c>
      <c r="E35" s="19">
        <v>0.57638888888888895</v>
      </c>
      <c r="F35" s="19">
        <v>0.59166666666666667</v>
      </c>
      <c r="G35" s="18" t="s">
        <v>321</v>
      </c>
      <c r="H35" s="18" t="s">
        <v>290</v>
      </c>
      <c r="I35" s="20">
        <v>12</v>
      </c>
      <c r="J35" s="21" t="s">
        <v>81</v>
      </c>
      <c r="K35" s="22">
        <v>13</v>
      </c>
      <c r="L35" s="23">
        <f t="shared" si="0"/>
        <v>156</v>
      </c>
      <c r="M35" s="24" t="s">
        <v>82</v>
      </c>
      <c r="N35" s="25" t="s">
        <v>83</v>
      </c>
      <c r="O35" s="25">
        <v>50</v>
      </c>
      <c r="P35" s="25" t="s">
        <v>84</v>
      </c>
      <c r="Q35" s="25" t="s">
        <v>85</v>
      </c>
      <c r="R35" s="17"/>
      <c r="S35" s="25"/>
      <c r="T35" s="26" t="s">
        <v>86</v>
      </c>
      <c r="U35" s="26" t="s">
        <v>87</v>
      </c>
      <c r="V35" s="26" t="s">
        <v>319</v>
      </c>
      <c r="W35" s="26" t="s">
        <v>320</v>
      </c>
      <c r="X35" s="27">
        <v>44562</v>
      </c>
      <c r="Y35" s="27">
        <v>44815</v>
      </c>
      <c r="Z35" s="27">
        <v>45101</v>
      </c>
      <c r="AA35" s="27">
        <v>45169</v>
      </c>
      <c r="AB35" s="62" t="s">
        <v>291</v>
      </c>
      <c r="AC35" s="62"/>
      <c r="AD35" s="28"/>
      <c r="AE35" s="28" t="s">
        <v>90</v>
      </c>
      <c r="AF35" s="28"/>
      <c r="AG35" s="28"/>
      <c r="AH35" s="28"/>
      <c r="AI35" s="28"/>
      <c r="AJ35" s="28"/>
      <c r="AK35" s="28"/>
      <c r="AL35" s="28"/>
      <c r="AM35" s="28"/>
      <c r="AN35" s="28" t="s">
        <v>90</v>
      </c>
      <c r="AO35" s="28"/>
      <c r="AP35" s="28"/>
      <c r="AQ35" s="28"/>
      <c r="AR35" s="28"/>
      <c r="AS35" s="28"/>
      <c r="AT35" s="28"/>
      <c r="AU35" s="28"/>
      <c r="AV35" s="28"/>
      <c r="AW35" s="28"/>
      <c r="AX35" s="29">
        <v>36</v>
      </c>
      <c r="AY35" s="30"/>
      <c r="AZ35" s="30"/>
      <c r="BA35" s="29"/>
      <c r="BB35" s="29"/>
      <c r="BC35" s="30"/>
      <c r="BD35" s="31">
        <f t="shared" si="1"/>
        <v>468</v>
      </c>
      <c r="BE35" s="31"/>
      <c r="BF35" s="30"/>
      <c r="BG35" s="32">
        <v>2</v>
      </c>
      <c r="BH35" s="31">
        <f t="shared" si="6"/>
        <v>0</v>
      </c>
      <c r="BI35" s="31">
        <f t="shared" si="7"/>
        <v>0</v>
      </c>
      <c r="BJ35" s="33">
        <f t="shared" si="8"/>
        <v>0</v>
      </c>
      <c r="BK35" s="30"/>
      <c r="BL35" s="30"/>
      <c r="BM35" s="30"/>
      <c r="BN35" s="30"/>
      <c r="BO35" s="33">
        <f t="shared" si="2"/>
        <v>0</v>
      </c>
      <c r="BP35" s="30">
        <v>2</v>
      </c>
      <c r="BQ35" s="30">
        <v>0</v>
      </c>
      <c r="BR35" s="30"/>
      <c r="BS35" s="30"/>
      <c r="BT35" s="34">
        <f t="shared" si="3"/>
        <v>36</v>
      </c>
      <c r="BU35" s="34"/>
      <c r="BV35" s="34"/>
      <c r="BW35" s="34"/>
      <c r="BX35" s="34"/>
      <c r="BY35" s="30"/>
      <c r="BZ35" s="31">
        <f t="shared" si="4"/>
        <v>72</v>
      </c>
      <c r="CA35" s="31">
        <f t="shared" si="5"/>
        <v>0</v>
      </c>
    </row>
    <row r="36" spans="1:79" ht="45" x14ac:dyDescent="0.25">
      <c r="A36" s="17"/>
      <c r="B36" s="2">
        <v>35</v>
      </c>
      <c r="C36" s="18">
        <v>123</v>
      </c>
      <c r="D36" s="18">
        <v>179</v>
      </c>
      <c r="E36" s="19">
        <v>0.59722222222222221</v>
      </c>
      <c r="F36" s="19">
        <v>0.61249999999999993</v>
      </c>
      <c r="G36" s="18" t="s">
        <v>323</v>
      </c>
      <c r="H36" s="18" t="s">
        <v>327</v>
      </c>
      <c r="I36" s="20">
        <v>12</v>
      </c>
      <c r="J36" s="21" t="s">
        <v>81</v>
      </c>
      <c r="K36" s="22">
        <v>67</v>
      </c>
      <c r="L36" s="23">
        <f t="shared" si="0"/>
        <v>804</v>
      </c>
      <c r="M36" s="24" t="s">
        <v>82</v>
      </c>
      <c r="N36" s="25" t="s">
        <v>83</v>
      </c>
      <c r="O36" s="25">
        <v>50</v>
      </c>
      <c r="P36" s="25" t="s">
        <v>84</v>
      </c>
      <c r="Q36" s="25" t="s">
        <v>85</v>
      </c>
      <c r="R36" s="17"/>
      <c r="S36" s="25"/>
      <c r="T36" s="26" t="s">
        <v>319</v>
      </c>
      <c r="U36" s="26" t="s">
        <v>325</v>
      </c>
      <c r="V36" s="26" t="s">
        <v>86</v>
      </c>
      <c r="W36" s="26" t="s">
        <v>87</v>
      </c>
      <c r="X36" s="27">
        <v>44562</v>
      </c>
      <c r="Y36" s="27">
        <v>44815</v>
      </c>
      <c r="Z36" s="27">
        <v>45101</v>
      </c>
      <c r="AA36" s="27">
        <v>45169</v>
      </c>
      <c r="AB36" s="28" t="s">
        <v>89</v>
      </c>
      <c r="AC36" s="28"/>
      <c r="AD36" s="28"/>
      <c r="AE36" s="28" t="s">
        <v>90</v>
      </c>
      <c r="AF36" s="28" t="s">
        <v>90</v>
      </c>
      <c r="AG36" s="28"/>
      <c r="AH36" s="28" t="s">
        <v>90</v>
      </c>
      <c r="AI36" s="28" t="s">
        <v>90</v>
      </c>
      <c r="AJ36" s="28" t="s">
        <v>90</v>
      </c>
      <c r="AK36" s="28" t="s">
        <v>90</v>
      </c>
      <c r="AL36" s="28" t="s">
        <v>90</v>
      </c>
      <c r="AM36" s="28" t="s">
        <v>90</v>
      </c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9">
        <v>36</v>
      </c>
      <c r="AY36" s="30"/>
      <c r="AZ36" s="30"/>
      <c r="BA36" s="29"/>
      <c r="BB36" s="29"/>
      <c r="BC36" s="30"/>
      <c r="BD36" s="31">
        <f t="shared" si="1"/>
        <v>2412</v>
      </c>
      <c r="BE36" s="31"/>
      <c r="BF36" s="30"/>
      <c r="BG36" s="32">
        <v>2</v>
      </c>
      <c r="BH36" s="31">
        <f t="shared" si="6"/>
        <v>0</v>
      </c>
      <c r="BI36" s="31">
        <f t="shared" si="7"/>
        <v>0</v>
      </c>
      <c r="BJ36" s="33">
        <f t="shared" si="8"/>
        <v>0</v>
      </c>
      <c r="BK36" s="30"/>
      <c r="BL36" s="30"/>
      <c r="BM36" s="30"/>
      <c r="BN36" s="30"/>
      <c r="BO36" s="33">
        <f t="shared" si="2"/>
        <v>0</v>
      </c>
      <c r="BP36" s="30">
        <v>9</v>
      </c>
      <c r="BQ36" s="30">
        <v>0</v>
      </c>
      <c r="BR36" s="30"/>
      <c r="BS36" s="30"/>
      <c r="BT36" s="34">
        <f t="shared" si="3"/>
        <v>36</v>
      </c>
      <c r="BU36" s="34"/>
      <c r="BV36" s="34"/>
      <c r="BW36" s="34"/>
      <c r="BX36" s="34"/>
      <c r="BY36" s="30"/>
      <c r="BZ36" s="31">
        <f t="shared" si="4"/>
        <v>324</v>
      </c>
      <c r="CA36" s="31">
        <f t="shared" si="5"/>
        <v>0</v>
      </c>
    </row>
    <row r="37" spans="1:79" ht="45" x14ac:dyDescent="0.25">
      <c r="A37" s="17"/>
      <c r="B37" s="2">
        <v>36</v>
      </c>
      <c r="C37" s="18">
        <v>123</v>
      </c>
      <c r="D37" s="18">
        <v>179</v>
      </c>
      <c r="E37" s="19">
        <v>0.59722222222222221</v>
      </c>
      <c r="F37" s="19">
        <v>0.61249999999999993</v>
      </c>
      <c r="G37" s="18" t="s">
        <v>323</v>
      </c>
      <c r="H37" s="18" t="s">
        <v>290</v>
      </c>
      <c r="I37" s="20">
        <v>12</v>
      </c>
      <c r="J37" s="21" t="s">
        <v>81</v>
      </c>
      <c r="K37" s="22">
        <v>13</v>
      </c>
      <c r="L37" s="23">
        <f t="shared" si="0"/>
        <v>156</v>
      </c>
      <c r="M37" s="24" t="s">
        <v>82</v>
      </c>
      <c r="N37" s="25" t="s">
        <v>83</v>
      </c>
      <c r="O37" s="25">
        <v>50</v>
      </c>
      <c r="P37" s="25" t="s">
        <v>84</v>
      </c>
      <c r="Q37" s="25" t="s">
        <v>85</v>
      </c>
      <c r="R37" s="17"/>
      <c r="S37" s="25"/>
      <c r="T37" s="26" t="s">
        <v>319</v>
      </c>
      <c r="U37" s="26" t="s">
        <v>325</v>
      </c>
      <c r="V37" s="26" t="s">
        <v>86</v>
      </c>
      <c r="W37" s="26" t="s">
        <v>87</v>
      </c>
      <c r="X37" s="27">
        <v>44562</v>
      </c>
      <c r="Y37" s="27">
        <v>44815</v>
      </c>
      <c r="Z37" s="27">
        <v>45101</v>
      </c>
      <c r="AA37" s="27">
        <v>45169</v>
      </c>
      <c r="AB37" s="62" t="s">
        <v>291</v>
      </c>
      <c r="AC37" s="62"/>
      <c r="AD37" s="28"/>
      <c r="AE37" s="28" t="s">
        <v>90</v>
      </c>
      <c r="AF37" s="28"/>
      <c r="AG37" s="28"/>
      <c r="AH37" s="28"/>
      <c r="AI37" s="28"/>
      <c r="AJ37" s="28"/>
      <c r="AK37" s="28"/>
      <c r="AL37" s="28"/>
      <c r="AM37" s="28"/>
      <c r="AN37" s="28" t="s">
        <v>90</v>
      </c>
      <c r="AO37" s="28"/>
      <c r="AP37" s="28"/>
      <c r="AQ37" s="28"/>
      <c r="AR37" s="28"/>
      <c r="AS37" s="28"/>
      <c r="AT37" s="28"/>
      <c r="AU37" s="28"/>
      <c r="AV37" s="28"/>
      <c r="AW37" s="28"/>
      <c r="AX37" s="29">
        <v>36</v>
      </c>
      <c r="AY37" s="30"/>
      <c r="AZ37" s="30"/>
      <c r="BA37" s="29"/>
      <c r="BB37" s="29"/>
      <c r="BC37" s="30"/>
      <c r="BD37" s="31">
        <f t="shared" si="1"/>
        <v>468</v>
      </c>
      <c r="BE37" s="31"/>
      <c r="BF37" s="30"/>
      <c r="BG37" s="32">
        <v>2</v>
      </c>
      <c r="BH37" s="31">
        <f t="shared" si="6"/>
        <v>0</v>
      </c>
      <c r="BI37" s="31">
        <f t="shared" si="7"/>
        <v>0</v>
      </c>
      <c r="BJ37" s="33">
        <f t="shared" si="8"/>
        <v>0</v>
      </c>
      <c r="BK37" s="30"/>
      <c r="BL37" s="30"/>
      <c r="BM37" s="30"/>
      <c r="BN37" s="30"/>
      <c r="BO37" s="33">
        <f t="shared" si="2"/>
        <v>0</v>
      </c>
      <c r="BP37" s="30">
        <v>2</v>
      </c>
      <c r="BQ37" s="30">
        <v>0</v>
      </c>
      <c r="BR37" s="30"/>
      <c r="BS37" s="30"/>
      <c r="BT37" s="34">
        <f t="shared" si="3"/>
        <v>36</v>
      </c>
      <c r="BU37" s="34"/>
      <c r="BV37" s="34"/>
      <c r="BW37" s="34"/>
      <c r="BX37" s="34"/>
      <c r="BY37" s="30"/>
      <c r="BZ37" s="31">
        <f t="shared" si="4"/>
        <v>72</v>
      </c>
      <c r="CA37" s="31">
        <f t="shared" si="5"/>
        <v>0</v>
      </c>
    </row>
    <row r="38" spans="1:79" ht="51" x14ac:dyDescent="0.25">
      <c r="A38" s="17"/>
      <c r="B38" s="2">
        <v>37</v>
      </c>
      <c r="C38" s="18">
        <v>123</v>
      </c>
      <c r="D38" s="18">
        <v>180</v>
      </c>
      <c r="E38" s="19">
        <v>0.65972222222222221</v>
      </c>
      <c r="F38" s="19">
        <v>0.67499999999999993</v>
      </c>
      <c r="G38" s="18" t="s">
        <v>321</v>
      </c>
      <c r="H38" s="18" t="s">
        <v>327</v>
      </c>
      <c r="I38" s="20">
        <v>12</v>
      </c>
      <c r="J38" s="21" t="s">
        <v>81</v>
      </c>
      <c r="K38" s="22">
        <v>67</v>
      </c>
      <c r="L38" s="23">
        <f t="shared" si="0"/>
        <v>804</v>
      </c>
      <c r="M38" s="24" t="s">
        <v>82</v>
      </c>
      <c r="N38" s="25" t="s">
        <v>83</v>
      </c>
      <c r="O38" s="25">
        <v>50</v>
      </c>
      <c r="P38" s="25" t="s">
        <v>84</v>
      </c>
      <c r="Q38" s="25" t="s">
        <v>85</v>
      </c>
      <c r="R38" s="17"/>
      <c r="S38" s="25"/>
      <c r="T38" s="26" t="s">
        <v>86</v>
      </c>
      <c r="U38" s="26" t="s">
        <v>87</v>
      </c>
      <c r="V38" s="26" t="s">
        <v>319</v>
      </c>
      <c r="W38" s="26" t="s">
        <v>320</v>
      </c>
      <c r="X38" s="27">
        <v>44562</v>
      </c>
      <c r="Y38" s="27">
        <v>44815</v>
      </c>
      <c r="Z38" s="27">
        <v>45101</v>
      </c>
      <c r="AA38" s="27">
        <v>45169</v>
      </c>
      <c r="AB38" s="28" t="s">
        <v>89</v>
      </c>
      <c r="AC38" s="28"/>
      <c r="AD38" s="28"/>
      <c r="AE38" s="28" t="s">
        <v>90</v>
      </c>
      <c r="AF38" s="28" t="s">
        <v>90</v>
      </c>
      <c r="AG38" s="28"/>
      <c r="AH38" s="28" t="s">
        <v>90</v>
      </c>
      <c r="AI38" s="28" t="s">
        <v>90</v>
      </c>
      <c r="AJ38" s="28" t="s">
        <v>90</v>
      </c>
      <c r="AK38" s="28" t="s">
        <v>90</v>
      </c>
      <c r="AL38" s="28" t="s">
        <v>90</v>
      </c>
      <c r="AM38" s="28" t="s">
        <v>90</v>
      </c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9">
        <v>36</v>
      </c>
      <c r="AY38" s="30"/>
      <c r="AZ38" s="30"/>
      <c r="BA38" s="29"/>
      <c r="BB38" s="29"/>
      <c r="BC38" s="30"/>
      <c r="BD38" s="31">
        <f t="shared" si="1"/>
        <v>2412</v>
      </c>
      <c r="BE38" s="31"/>
      <c r="BF38" s="30"/>
      <c r="BG38" s="32">
        <v>2</v>
      </c>
      <c r="BH38" s="31">
        <f t="shared" si="6"/>
        <v>0</v>
      </c>
      <c r="BI38" s="31">
        <f t="shared" si="7"/>
        <v>0</v>
      </c>
      <c r="BJ38" s="33">
        <f t="shared" si="8"/>
        <v>0</v>
      </c>
      <c r="BK38" s="30"/>
      <c r="BL38" s="30"/>
      <c r="BM38" s="30"/>
      <c r="BN38" s="30"/>
      <c r="BO38" s="33">
        <f t="shared" si="2"/>
        <v>0</v>
      </c>
      <c r="BP38" s="30">
        <v>9</v>
      </c>
      <c r="BQ38" s="30">
        <v>0</v>
      </c>
      <c r="BR38" s="30"/>
      <c r="BS38" s="30"/>
      <c r="BT38" s="34">
        <f t="shared" si="3"/>
        <v>36</v>
      </c>
      <c r="BU38" s="34"/>
      <c r="BV38" s="34"/>
      <c r="BW38" s="34"/>
      <c r="BX38" s="34"/>
      <c r="BY38" s="30"/>
      <c r="BZ38" s="31">
        <f t="shared" si="4"/>
        <v>324</v>
      </c>
      <c r="CA38" s="31">
        <f t="shared" si="5"/>
        <v>0</v>
      </c>
    </row>
    <row r="39" spans="1:79" ht="51" x14ac:dyDescent="0.25">
      <c r="A39" s="17"/>
      <c r="B39" s="2">
        <v>38</v>
      </c>
      <c r="C39" s="18">
        <v>123</v>
      </c>
      <c r="D39" s="18">
        <v>180</v>
      </c>
      <c r="E39" s="19">
        <v>0.65972222222222221</v>
      </c>
      <c r="F39" s="19">
        <v>0.67499999999999993</v>
      </c>
      <c r="G39" s="18" t="s">
        <v>321</v>
      </c>
      <c r="H39" s="18" t="s">
        <v>290</v>
      </c>
      <c r="I39" s="20">
        <v>12</v>
      </c>
      <c r="J39" s="21" t="s">
        <v>81</v>
      </c>
      <c r="K39" s="22">
        <v>13</v>
      </c>
      <c r="L39" s="23">
        <f t="shared" si="0"/>
        <v>156</v>
      </c>
      <c r="M39" s="24" t="s">
        <v>82</v>
      </c>
      <c r="N39" s="25" t="s">
        <v>83</v>
      </c>
      <c r="O39" s="25">
        <v>50</v>
      </c>
      <c r="P39" s="25" t="s">
        <v>84</v>
      </c>
      <c r="Q39" s="25" t="s">
        <v>85</v>
      </c>
      <c r="R39" s="17"/>
      <c r="S39" s="25"/>
      <c r="T39" s="26" t="s">
        <v>86</v>
      </c>
      <c r="U39" s="26" t="s">
        <v>87</v>
      </c>
      <c r="V39" s="26" t="s">
        <v>319</v>
      </c>
      <c r="W39" s="26" t="s">
        <v>320</v>
      </c>
      <c r="X39" s="27">
        <v>44562</v>
      </c>
      <c r="Y39" s="27">
        <v>44815</v>
      </c>
      <c r="Z39" s="27">
        <v>45101</v>
      </c>
      <c r="AA39" s="27">
        <v>45169</v>
      </c>
      <c r="AB39" s="62" t="s">
        <v>291</v>
      </c>
      <c r="AC39" s="62"/>
      <c r="AD39" s="28"/>
      <c r="AE39" s="28" t="s">
        <v>90</v>
      </c>
      <c r="AF39" s="28"/>
      <c r="AG39" s="28"/>
      <c r="AH39" s="28"/>
      <c r="AI39" s="28"/>
      <c r="AJ39" s="28"/>
      <c r="AK39" s="28"/>
      <c r="AL39" s="28"/>
      <c r="AM39" s="28"/>
      <c r="AN39" s="28" t="s">
        <v>90</v>
      </c>
      <c r="AO39" s="28"/>
      <c r="AP39" s="28"/>
      <c r="AQ39" s="28"/>
      <c r="AR39" s="28"/>
      <c r="AS39" s="28"/>
      <c r="AT39" s="28"/>
      <c r="AU39" s="28"/>
      <c r="AV39" s="28"/>
      <c r="AW39" s="28"/>
      <c r="AX39" s="29">
        <v>36</v>
      </c>
      <c r="AY39" s="30"/>
      <c r="AZ39" s="30"/>
      <c r="BA39" s="29"/>
      <c r="BB39" s="29"/>
      <c r="BC39" s="30"/>
      <c r="BD39" s="31">
        <f t="shared" si="1"/>
        <v>468</v>
      </c>
      <c r="BE39" s="31"/>
      <c r="BF39" s="30"/>
      <c r="BG39" s="32">
        <v>2</v>
      </c>
      <c r="BH39" s="31">
        <f t="shared" si="6"/>
        <v>0</v>
      </c>
      <c r="BI39" s="31">
        <f t="shared" si="7"/>
        <v>0</v>
      </c>
      <c r="BJ39" s="33">
        <f t="shared" si="8"/>
        <v>0</v>
      </c>
      <c r="BK39" s="30"/>
      <c r="BL39" s="30"/>
      <c r="BM39" s="30"/>
      <c r="BN39" s="30"/>
      <c r="BO39" s="33">
        <f t="shared" si="2"/>
        <v>0</v>
      </c>
      <c r="BP39" s="30">
        <v>2</v>
      </c>
      <c r="BQ39" s="30">
        <v>0</v>
      </c>
      <c r="BR39" s="30"/>
      <c r="BS39" s="30"/>
      <c r="BT39" s="34">
        <f t="shared" si="3"/>
        <v>36</v>
      </c>
      <c r="BU39" s="34"/>
      <c r="BV39" s="34"/>
      <c r="BW39" s="34"/>
      <c r="BX39" s="34"/>
      <c r="BY39" s="30"/>
      <c r="BZ39" s="31">
        <f t="shared" si="4"/>
        <v>72</v>
      </c>
      <c r="CA39" s="31">
        <f t="shared" si="5"/>
        <v>0</v>
      </c>
    </row>
    <row r="40" spans="1:79" ht="45" x14ac:dyDescent="0.25">
      <c r="A40" s="17"/>
      <c r="B40" s="2">
        <v>39</v>
      </c>
      <c r="C40" s="18">
        <v>123</v>
      </c>
      <c r="D40" s="18">
        <v>181</v>
      </c>
      <c r="E40" s="19">
        <v>0.67847222222222225</v>
      </c>
      <c r="F40" s="19">
        <v>0.69374999999999998</v>
      </c>
      <c r="G40" s="18" t="s">
        <v>323</v>
      </c>
      <c r="H40" s="18" t="s">
        <v>327</v>
      </c>
      <c r="I40" s="20">
        <v>12</v>
      </c>
      <c r="J40" s="21" t="s">
        <v>81</v>
      </c>
      <c r="K40" s="22">
        <v>67</v>
      </c>
      <c r="L40" s="23">
        <f t="shared" si="0"/>
        <v>804</v>
      </c>
      <c r="M40" s="24" t="s">
        <v>82</v>
      </c>
      <c r="N40" s="25" t="s">
        <v>83</v>
      </c>
      <c r="O40" s="25">
        <v>50</v>
      </c>
      <c r="P40" s="25" t="s">
        <v>84</v>
      </c>
      <c r="Q40" s="25" t="s">
        <v>85</v>
      </c>
      <c r="R40" s="17"/>
      <c r="S40" s="25"/>
      <c r="T40" s="26" t="s">
        <v>319</v>
      </c>
      <c r="U40" s="26" t="s">
        <v>325</v>
      </c>
      <c r="V40" s="26" t="s">
        <v>86</v>
      </c>
      <c r="W40" s="26" t="s">
        <v>87</v>
      </c>
      <c r="X40" s="27">
        <v>44562</v>
      </c>
      <c r="Y40" s="27">
        <v>44815</v>
      </c>
      <c r="Z40" s="27">
        <v>45101</v>
      </c>
      <c r="AA40" s="27">
        <v>45169</v>
      </c>
      <c r="AB40" s="28" t="s">
        <v>89</v>
      </c>
      <c r="AC40" s="28"/>
      <c r="AD40" s="28"/>
      <c r="AE40" s="28" t="s">
        <v>90</v>
      </c>
      <c r="AF40" s="28" t="s">
        <v>90</v>
      </c>
      <c r="AG40" s="28"/>
      <c r="AH40" s="28" t="s">
        <v>90</v>
      </c>
      <c r="AI40" s="28" t="s">
        <v>90</v>
      </c>
      <c r="AJ40" s="28" t="s">
        <v>90</v>
      </c>
      <c r="AK40" s="28" t="s">
        <v>90</v>
      </c>
      <c r="AL40" s="28" t="s">
        <v>90</v>
      </c>
      <c r="AM40" s="28" t="s">
        <v>90</v>
      </c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9">
        <v>36</v>
      </c>
      <c r="AY40" s="30"/>
      <c r="AZ40" s="30"/>
      <c r="BA40" s="29"/>
      <c r="BB40" s="29"/>
      <c r="BC40" s="30"/>
      <c r="BD40" s="31">
        <f t="shared" si="1"/>
        <v>2412</v>
      </c>
      <c r="BE40" s="31"/>
      <c r="BF40" s="30"/>
      <c r="BG40" s="32">
        <v>2</v>
      </c>
      <c r="BH40" s="31">
        <f t="shared" si="6"/>
        <v>0</v>
      </c>
      <c r="BI40" s="31">
        <f t="shared" si="7"/>
        <v>0</v>
      </c>
      <c r="BJ40" s="33">
        <f t="shared" si="8"/>
        <v>0</v>
      </c>
      <c r="BK40" s="30"/>
      <c r="BL40" s="30"/>
      <c r="BM40" s="30"/>
      <c r="BN40" s="30"/>
      <c r="BO40" s="33">
        <f t="shared" si="2"/>
        <v>0</v>
      </c>
      <c r="BP40" s="30">
        <v>9</v>
      </c>
      <c r="BQ40" s="30">
        <v>0</v>
      </c>
      <c r="BR40" s="30"/>
      <c r="BS40" s="30"/>
      <c r="BT40" s="34">
        <f t="shared" si="3"/>
        <v>36</v>
      </c>
      <c r="BU40" s="34"/>
      <c r="BV40" s="34"/>
      <c r="BW40" s="34"/>
      <c r="BX40" s="34"/>
      <c r="BY40" s="30"/>
      <c r="BZ40" s="31">
        <f t="shared" si="4"/>
        <v>324</v>
      </c>
      <c r="CA40" s="31">
        <f t="shared" si="5"/>
        <v>0</v>
      </c>
    </row>
    <row r="41" spans="1:79" ht="45" x14ac:dyDescent="0.25">
      <c r="A41" s="17"/>
      <c r="B41" s="2">
        <v>40</v>
      </c>
      <c r="C41" s="18">
        <v>123</v>
      </c>
      <c r="D41" s="18">
        <v>181</v>
      </c>
      <c r="E41" s="19">
        <v>0.67847222222222225</v>
      </c>
      <c r="F41" s="19">
        <v>0.69374999999999998</v>
      </c>
      <c r="G41" s="18" t="s">
        <v>323</v>
      </c>
      <c r="H41" s="18" t="s">
        <v>290</v>
      </c>
      <c r="I41" s="20">
        <v>12</v>
      </c>
      <c r="J41" s="21" t="s">
        <v>81</v>
      </c>
      <c r="K41" s="22">
        <v>13</v>
      </c>
      <c r="L41" s="23">
        <f t="shared" si="0"/>
        <v>156</v>
      </c>
      <c r="M41" s="24" t="s">
        <v>82</v>
      </c>
      <c r="N41" s="25" t="s">
        <v>83</v>
      </c>
      <c r="O41" s="25">
        <v>50</v>
      </c>
      <c r="P41" s="25" t="s">
        <v>84</v>
      </c>
      <c r="Q41" s="25" t="s">
        <v>85</v>
      </c>
      <c r="R41" s="17"/>
      <c r="S41" s="25"/>
      <c r="T41" s="26" t="s">
        <v>319</v>
      </c>
      <c r="U41" s="26" t="s">
        <v>325</v>
      </c>
      <c r="V41" s="26" t="s">
        <v>86</v>
      </c>
      <c r="W41" s="26" t="s">
        <v>87</v>
      </c>
      <c r="X41" s="27">
        <v>44562</v>
      </c>
      <c r="Y41" s="27">
        <v>44815</v>
      </c>
      <c r="Z41" s="27">
        <v>45101</v>
      </c>
      <c r="AA41" s="27">
        <v>45169</v>
      </c>
      <c r="AB41" s="62" t="s">
        <v>291</v>
      </c>
      <c r="AC41" s="62"/>
      <c r="AD41" s="28"/>
      <c r="AE41" s="28" t="s">
        <v>90</v>
      </c>
      <c r="AF41" s="28"/>
      <c r="AG41" s="28"/>
      <c r="AH41" s="28"/>
      <c r="AI41" s="28"/>
      <c r="AJ41" s="28"/>
      <c r="AK41" s="28"/>
      <c r="AL41" s="28"/>
      <c r="AM41" s="28"/>
      <c r="AN41" s="28" t="s">
        <v>90</v>
      </c>
      <c r="AO41" s="28"/>
      <c r="AP41" s="28"/>
      <c r="AQ41" s="28"/>
      <c r="AR41" s="28"/>
      <c r="AS41" s="28"/>
      <c r="AT41" s="28"/>
      <c r="AU41" s="28"/>
      <c r="AV41" s="28"/>
      <c r="AW41" s="28"/>
      <c r="AX41" s="29">
        <v>36</v>
      </c>
      <c r="AY41" s="30"/>
      <c r="AZ41" s="30"/>
      <c r="BA41" s="29"/>
      <c r="BB41" s="29"/>
      <c r="BC41" s="30"/>
      <c r="BD41" s="31">
        <f t="shared" si="1"/>
        <v>468</v>
      </c>
      <c r="BE41" s="31"/>
      <c r="BF41" s="30"/>
      <c r="BG41" s="32">
        <v>2</v>
      </c>
      <c r="BH41" s="31">
        <f t="shared" si="6"/>
        <v>0</v>
      </c>
      <c r="BI41" s="31">
        <f t="shared" si="7"/>
        <v>0</v>
      </c>
      <c r="BJ41" s="33">
        <f t="shared" si="8"/>
        <v>0</v>
      </c>
      <c r="BK41" s="30"/>
      <c r="BL41" s="30"/>
      <c r="BM41" s="30"/>
      <c r="BN41" s="30"/>
      <c r="BO41" s="33">
        <f t="shared" si="2"/>
        <v>0</v>
      </c>
      <c r="BP41" s="30">
        <v>2</v>
      </c>
      <c r="BQ41" s="30">
        <v>0</v>
      </c>
      <c r="BR41" s="30"/>
      <c r="BS41" s="30"/>
      <c r="BT41" s="34">
        <f t="shared" si="3"/>
        <v>36</v>
      </c>
      <c r="BU41" s="34"/>
      <c r="BV41" s="34"/>
      <c r="BW41" s="34"/>
      <c r="BX41" s="34"/>
      <c r="BY41" s="30"/>
      <c r="BZ41" s="31">
        <f t="shared" si="4"/>
        <v>72</v>
      </c>
      <c r="CA41" s="31">
        <f t="shared" si="5"/>
        <v>0</v>
      </c>
    </row>
    <row r="42" spans="1:79" ht="45" x14ac:dyDescent="0.25">
      <c r="A42" s="17"/>
      <c r="B42" s="2">
        <v>41</v>
      </c>
      <c r="C42" s="18">
        <v>123</v>
      </c>
      <c r="D42" s="18">
        <v>182</v>
      </c>
      <c r="E42" s="19">
        <v>0.70138888888888884</v>
      </c>
      <c r="F42" s="19">
        <v>0.7270833333333333</v>
      </c>
      <c r="G42" s="18" t="s">
        <v>79</v>
      </c>
      <c r="H42" s="18" t="s">
        <v>316</v>
      </c>
      <c r="I42" s="20">
        <v>22</v>
      </c>
      <c r="J42" s="21" t="s">
        <v>81</v>
      </c>
      <c r="K42" s="22">
        <v>67</v>
      </c>
      <c r="L42" s="23">
        <f t="shared" si="0"/>
        <v>1474</v>
      </c>
      <c r="M42" s="24" t="s">
        <v>82</v>
      </c>
      <c r="N42" s="25" t="s">
        <v>83</v>
      </c>
      <c r="O42" s="25">
        <v>50</v>
      </c>
      <c r="P42" s="25" t="s">
        <v>84</v>
      </c>
      <c r="Q42" s="25" t="s">
        <v>85</v>
      </c>
      <c r="R42" s="17"/>
      <c r="S42" s="25"/>
      <c r="T42" s="26" t="s">
        <v>86</v>
      </c>
      <c r="U42" s="26" t="s">
        <v>87</v>
      </c>
      <c r="V42" s="26">
        <v>1255</v>
      </c>
      <c r="W42" s="26" t="s">
        <v>88</v>
      </c>
      <c r="X42" s="27">
        <v>44562</v>
      </c>
      <c r="Y42" s="27">
        <v>44815</v>
      </c>
      <c r="Z42" s="27">
        <v>45101</v>
      </c>
      <c r="AA42" s="27">
        <v>45169</v>
      </c>
      <c r="AB42" s="28" t="s">
        <v>89</v>
      </c>
      <c r="AC42" s="28"/>
      <c r="AD42" s="28"/>
      <c r="AE42" s="28" t="s">
        <v>90</v>
      </c>
      <c r="AF42" s="28" t="s">
        <v>90</v>
      </c>
      <c r="AG42" s="28"/>
      <c r="AH42" s="28" t="s">
        <v>90</v>
      </c>
      <c r="AI42" s="28" t="s">
        <v>90</v>
      </c>
      <c r="AJ42" s="28" t="s">
        <v>90</v>
      </c>
      <c r="AK42" s="28" t="s">
        <v>90</v>
      </c>
      <c r="AL42" s="28" t="s">
        <v>90</v>
      </c>
      <c r="AM42" s="28" t="s">
        <v>90</v>
      </c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9">
        <v>63.39</v>
      </c>
      <c r="AY42" s="30"/>
      <c r="AZ42" s="30"/>
      <c r="BA42" s="29"/>
      <c r="BB42" s="29"/>
      <c r="BC42" s="30"/>
      <c r="BD42" s="31">
        <f t="shared" si="1"/>
        <v>4247.13</v>
      </c>
      <c r="BE42" s="31"/>
      <c r="BF42" s="30"/>
      <c r="BG42" s="32">
        <v>2</v>
      </c>
      <c r="BH42" s="31">
        <f t="shared" si="6"/>
        <v>0</v>
      </c>
      <c r="BI42" s="31">
        <f t="shared" si="7"/>
        <v>2.6099999999999994</v>
      </c>
      <c r="BJ42" s="33">
        <f t="shared" si="8"/>
        <v>174.86999999999995</v>
      </c>
      <c r="BK42" s="30"/>
      <c r="BL42" s="30"/>
      <c r="BM42" s="30"/>
      <c r="BN42" s="30"/>
      <c r="BO42" s="33">
        <f t="shared" si="2"/>
        <v>0</v>
      </c>
      <c r="BP42" s="30">
        <v>9</v>
      </c>
      <c r="BQ42" s="30">
        <v>0</v>
      </c>
      <c r="BR42" s="30"/>
      <c r="BS42" s="30"/>
      <c r="BT42" s="34">
        <f t="shared" si="3"/>
        <v>66</v>
      </c>
      <c r="BU42" s="34"/>
      <c r="BV42" s="34"/>
      <c r="BW42" s="34"/>
      <c r="BX42" s="34"/>
      <c r="BY42" s="30"/>
      <c r="BZ42" s="31">
        <f t="shared" si="4"/>
        <v>594</v>
      </c>
      <c r="CA42" s="31">
        <f t="shared" si="5"/>
        <v>0</v>
      </c>
    </row>
    <row r="43" spans="1:79" ht="63.75" x14ac:dyDescent="0.25">
      <c r="A43" s="17"/>
      <c r="B43" s="2">
        <v>42</v>
      </c>
      <c r="C43" s="18">
        <v>123</v>
      </c>
      <c r="D43" s="18">
        <v>182</v>
      </c>
      <c r="E43" s="19">
        <v>0.70138888888888884</v>
      </c>
      <c r="F43" s="19">
        <v>0.7270833333333333</v>
      </c>
      <c r="G43" s="18" t="s">
        <v>314</v>
      </c>
      <c r="H43" s="18" t="s">
        <v>290</v>
      </c>
      <c r="I43" s="20">
        <v>22</v>
      </c>
      <c r="J43" s="21" t="s">
        <v>81</v>
      </c>
      <c r="K43" s="22">
        <v>13</v>
      </c>
      <c r="L43" s="23">
        <f t="shared" si="0"/>
        <v>286</v>
      </c>
      <c r="M43" s="24" t="s">
        <v>82</v>
      </c>
      <c r="N43" s="25" t="s">
        <v>83</v>
      </c>
      <c r="O43" s="25">
        <v>50</v>
      </c>
      <c r="P43" s="25" t="s">
        <v>84</v>
      </c>
      <c r="Q43" s="25" t="s">
        <v>85</v>
      </c>
      <c r="R43" s="17"/>
      <c r="S43" s="25"/>
      <c r="T43" s="26" t="s">
        <v>86</v>
      </c>
      <c r="U43" s="26" t="s">
        <v>87</v>
      </c>
      <c r="V43" s="26">
        <v>1255</v>
      </c>
      <c r="W43" s="26" t="s">
        <v>88</v>
      </c>
      <c r="X43" s="27">
        <v>44562</v>
      </c>
      <c r="Y43" s="27">
        <v>44815</v>
      </c>
      <c r="Z43" s="27">
        <v>45101</v>
      </c>
      <c r="AA43" s="27">
        <v>45169</v>
      </c>
      <c r="AB43" s="62" t="s">
        <v>291</v>
      </c>
      <c r="AC43" s="62"/>
      <c r="AD43" s="28"/>
      <c r="AE43" s="28" t="s">
        <v>90</v>
      </c>
      <c r="AF43" s="28"/>
      <c r="AG43" s="28"/>
      <c r="AH43" s="28"/>
      <c r="AI43" s="28"/>
      <c r="AJ43" s="28"/>
      <c r="AK43" s="28"/>
      <c r="AL43" s="28"/>
      <c r="AM43" s="28"/>
      <c r="AN43" s="28" t="s">
        <v>90</v>
      </c>
      <c r="AO43" s="28"/>
      <c r="AP43" s="28"/>
      <c r="AQ43" s="28"/>
      <c r="AR43" s="28"/>
      <c r="AS43" s="28"/>
      <c r="AT43" s="28"/>
      <c r="AU43" s="28"/>
      <c r="AV43" s="28"/>
      <c r="AW43" s="28"/>
      <c r="AX43" s="29">
        <v>66</v>
      </c>
      <c r="AY43" s="30"/>
      <c r="AZ43" s="30"/>
      <c r="BA43" s="29"/>
      <c r="BB43" s="29"/>
      <c r="BC43" s="30"/>
      <c r="BD43" s="31">
        <f t="shared" si="1"/>
        <v>858</v>
      </c>
      <c r="BE43" s="31"/>
      <c r="BF43" s="30"/>
      <c r="BG43" s="32">
        <v>2</v>
      </c>
      <c r="BH43" s="31">
        <f t="shared" si="6"/>
        <v>0</v>
      </c>
      <c r="BI43" s="31">
        <f t="shared" si="7"/>
        <v>0</v>
      </c>
      <c r="BJ43" s="33">
        <f t="shared" si="8"/>
        <v>0</v>
      </c>
      <c r="BK43" s="30"/>
      <c r="BL43" s="30"/>
      <c r="BM43" s="30"/>
      <c r="BN43" s="30"/>
      <c r="BO43" s="33">
        <f t="shared" si="2"/>
        <v>0</v>
      </c>
      <c r="BP43" s="30">
        <v>2</v>
      </c>
      <c r="BQ43" s="30">
        <v>0</v>
      </c>
      <c r="BR43" s="30"/>
      <c r="BS43" s="30"/>
      <c r="BT43" s="34">
        <f t="shared" si="3"/>
        <v>66</v>
      </c>
      <c r="BU43" s="34"/>
      <c r="BV43" s="34"/>
      <c r="BW43" s="34"/>
      <c r="BX43" s="34"/>
      <c r="BY43" s="30"/>
      <c r="BZ43" s="31">
        <f t="shared" si="4"/>
        <v>132</v>
      </c>
      <c r="CA43" s="31">
        <f t="shared" si="5"/>
        <v>0</v>
      </c>
    </row>
    <row r="44" spans="1:79" ht="51" x14ac:dyDescent="0.25">
      <c r="A44" s="17"/>
      <c r="B44" s="2">
        <v>43</v>
      </c>
      <c r="C44" s="18">
        <v>123</v>
      </c>
      <c r="D44" s="18">
        <v>183</v>
      </c>
      <c r="E44" s="19">
        <v>0.73402777777777783</v>
      </c>
      <c r="F44" s="19">
        <v>0.7597222222222223</v>
      </c>
      <c r="G44" s="18" t="s">
        <v>317</v>
      </c>
      <c r="H44" s="18" t="s">
        <v>316</v>
      </c>
      <c r="I44" s="20">
        <v>22</v>
      </c>
      <c r="J44" s="21" t="s">
        <v>81</v>
      </c>
      <c r="K44" s="22">
        <v>67</v>
      </c>
      <c r="L44" s="23">
        <f t="shared" si="0"/>
        <v>1474</v>
      </c>
      <c r="M44" s="24" t="s">
        <v>82</v>
      </c>
      <c r="N44" s="25" t="s">
        <v>83</v>
      </c>
      <c r="O44" s="25">
        <v>50</v>
      </c>
      <c r="P44" s="25" t="s">
        <v>84</v>
      </c>
      <c r="Q44" s="25" t="s">
        <v>85</v>
      </c>
      <c r="R44" s="17"/>
      <c r="S44" s="25"/>
      <c r="T44" s="26">
        <v>1255</v>
      </c>
      <c r="U44" s="26" t="s">
        <v>88</v>
      </c>
      <c r="V44" s="26" t="s">
        <v>86</v>
      </c>
      <c r="W44" s="26" t="s">
        <v>87</v>
      </c>
      <c r="X44" s="27">
        <v>44562</v>
      </c>
      <c r="Y44" s="27">
        <v>44815</v>
      </c>
      <c r="Z44" s="27">
        <v>45101</v>
      </c>
      <c r="AA44" s="27">
        <v>45169</v>
      </c>
      <c r="AB44" s="28" t="s">
        <v>89</v>
      </c>
      <c r="AC44" s="28"/>
      <c r="AD44" s="28"/>
      <c r="AE44" s="28" t="s">
        <v>90</v>
      </c>
      <c r="AF44" s="28" t="s">
        <v>90</v>
      </c>
      <c r="AG44" s="28"/>
      <c r="AH44" s="28" t="s">
        <v>90</v>
      </c>
      <c r="AI44" s="28" t="s">
        <v>90</v>
      </c>
      <c r="AJ44" s="28" t="s">
        <v>90</v>
      </c>
      <c r="AK44" s="28" t="s">
        <v>90</v>
      </c>
      <c r="AL44" s="28" t="s">
        <v>90</v>
      </c>
      <c r="AM44" s="28" t="s">
        <v>90</v>
      </c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9">
        <v>63.39</v>
      </c>
      <c r="AY44" s="30"/>
      <c r="AZ44" s="30"/>
      <c r="BA44" s="29"/>
      <c r="BB44" s="29"/>
      <c r="BC44" s="30"/>
      <c r="BD44" s="31">
        <f t="shared" si="1"/>
        <v>4247.13</v>
      </c>
      <c r="BE44" s="31"/>
      <c r="BF44" s="30"/>
      <c r="BG44" s="32">
        <v>2</v>
      </c>
      <c r="BH44" s="31">
        <f t="shared" si="6"/>
        <v>0</v>
      </c>
      <c r="BI44" s="31">
        <f t="shared" si="7"/>
        <v>2.6099999999999994</v>
      </c>
      <c r="BJ44" s="33">
        <f t="shared" si="8"/>
        <v>174.86999999999995</v>
      </c>
      <c r="BK44" s="30"/>
      <c r="BL44" s="30"/>
      <c r="BM44" s="30"/>
      <c r="BN44" s="30"/>
      <c r="BO44" s="33">
        <f t="shared" si="2"/>
        <v>0</v>
      </c>
      <c r="BP44" s="30">
        <v>9</v>
      </c>
      <c r="BQ44" s="30">
        <v>0</v>
      </c>
      <c r="BR44" s="30"/>
      <c r="BS44" s="30"/>
      <c r="BT44" s="34">
        <f t="shared" si="3"/>
        <v>66</v>
      </c>
      <c r="BU44" s="34"/>
      <c r="BV44" s="34"/>
      <c r="BW44" s="34"/>
      <c r="BX44" s="34"/>
      <c r="BY44" s="30"/>
      <c r="BZ44" s="31">
        <f t="shared" si="4"/>
        <v>594</v>
      </c>
      <c r="CA44" s="31">
        <f t="shared" si="5"/>
        <v>0</v>
      </c>
    </row>
    <row r="45" spans="1:79" ht="51" x14ac:dyDescent="0.25">
      <c r="A45" s="17"/>
      <c r="B45" s="2">
        <v>44</v>
      </c>
      <c r="C45" s="18">
        <v>123</v>
      </c>
      <c r="D45" s="18">
        <v>183</v>
      </c>
      <c r="E45" s="19">
        <v>0.73402777777777783</v>
      </c>
      <c r="F45" s="19">
        <v>0.7597222222222223</v>
      </c>
      <c r="G45" s="18" t="s">
        <v>317</v>
      </c>
      <c r="H45" s="18" t="s">
        <v>290</v>
      </c>
      <c r="I45" s="20">
        <v>22</v>
      </c>
      <c r="J45" s="21" t="s">
        <v>81</v>
      </c>
      <c r="K45" s="22">
        <v>13</v>
      </c>
      <c r="L45" s="23">
        <f t="shared" si="0"/>
        <v>286</v>
      </c>
      <c r="M45" s="24" t="s">
        <v>82</v>
      </c>
      <c r="N45" s="25" t="s">
        <v>83</v>
      </c>
      <c r="O45" s="25">
        <v>50</v>
      </c>
      <c r="P45" s="25" t="s">
        <v>84</v>
      </c>
      <c r="Q45" s="25" t="s">
        <v>85</v>
      </c>
      <c r="R45" s="17"/>
      <c r="S45" s="25"/>
      <c r="T45" s="26">
        <v>1255</v>
      </c>
      <c r="U45" s="26" t="s">
        <v>88</v>
      </c>
      <c r="V45" s="26" t="s">
        <v>86</v>
      </c>
      <c r="W45" s="26" t="s">
        <v>87</v>
      </c>
      <c r="X45" s="27">
        <v>44562</v>
      </c>
      <c r="Y45" s="27">
        <v>44815</v>
      </c>
      <c r="Z45" s="27">
        <v>45101</v>
      </c>
      <c r="AA45" s="27">
        <v>45169</v>
      </c>
      <c r="AB45" s="62" t="s">
        <v>291</v>
      </c>
      <c r="AC45" s="62"/>
      <c r="AD45" s="28"/>
      <c r="AE45" s="28" t="s">
        <v>90</v>
      </c>
      <c r="AF45" s="28"/>
      <c r="AG45" s="28"/>
      <c r="AH45" s="28"/>
      <c r="AI45" s="28"/>
      <c r="AJ45" s="28"/>
      <c r="AK45" s="28"/>
      <c r="AL45" s="28"/>
      <c r="AM45" s="28"/>
      <c r="AN45" s="28" t="s">
        <v>90</v>
      </c>
      <c r="AO45" s="28"/>
      <c r="AP45" s="28"/>
      <c r="AQ45" s="28"/>
      <c r="AR45" s="28"/>
      <c r="AS45" s="28"/>
      <c r="AT45" s="28"/>
      <c r="AU45" s="28"/>
      <c r="AV45" s="28"/>
      <c r="AW45" s="28"/>
      <c r="AX45" s="29">
        <v>66</v>
      </c>
      <c r="AY45" s="30"/>
      <c r="AZ45" s="30"/>
      <c r="BA45" s="29"/>
      <c r="BB45" s="29"/>
      <c r="BC45" s="30"/>
      <c r="BD45" s="31">
        <f t="shared" si="1"/>
        <v>858</v>
      </c>
      <c r="BE45" s="31"/>
      <c r="BF45" s="30"/>
      <c r="BG45" s="32">
        <v>2</v>
      </c>
      <c r="BH45" s="31">
        <f t="shared" si="6"/>
        <v>0</v>
      </c>
      <c r="BI45" s="31">
        <f t="shared" si="7"/>
        <v>0</v>
      </c>
      <c r="BJ45" s="33">
        <f t="shared" si="8"/>
        <v>0</v>
      </c>
      <c r="BK45" s="30"/>
      <c r="BL45" s="30"/>
      <c r="BM45" s="30"/>
      <c r="BN45" s="30"/>
      <c r="BO45" s="33">
        <f t="shared" si="2"/>
        <v>0</v>
      </c>
      <c r="BP45" s="30">
        <v>2</v>
      </c>
      <c r="BQ45" s="30">
        <v>0</v>
      </c>
      <c r="BR45" s="30"/>
      <c r="BS45" s="30"/>
      <c r="BT45" s="34">
        <f t="shared" si="3"/>
        <v>66</v>
      </c>
      <c r="BU45" s="34"/>
      <c r="BV45" s="34"/>
      <c r="BW45" s="34"/>
      <c r="BX45" s="34"/>
      <c r="BY45" s="30"/>
      <c r="BZ45" s="31">
        <f t="shared" si="4"/>
        <v>132</v>
      </c>
      <c r="CA45" s="31">
        <f t="shared" si="5"/>
        <v>0</v>
      </c>
    </row>
    <row r="46" spans="1:79" ht="45.75" x14ac:dyDescent="0.25">
      <c r="A46" s="17"/>
      <c r="B46" s="2">
        <v>45</v>
      </c>
      <c r="C46" s="18">
        <v>123</v>
      </c>
      <c r="D46" s="18">
        <v>184</v>
      </c>
      <c r="E46" s="19">
        <v>0.77083333333333337</v>
      </c>
      <c r="F46" s="19">
        <v>0.78611111111111109</v>
      </c>
      <c r="G46" s="18" t="s">
        <v>318</v>
      </c>
      <c r="H46" s="18" t="s">
        <v>316</v>
      </c>
      <c r="I46" s="20">
        <v>12</v>
      </c>
      <c r="J46" s="21" t="s">
        <v>81</v>
      </c>
      <c r="K46" s="22">
        <v>67</v>
      </c>
      <c r="L46" s="23">
        <f t="shared" si="0"/>
        <v>804</v>
      </c>
      <c r="M46" s="24" t="s">
        <v>82</v>
      </c>
      <c r="N46" s="25" t="s">
        <v>83</v>
      </c>
      <c r="O46" s="25">
        <v>50</v>
      </c>
      <c r="P46" s="25" t="s">
        <v>84</v>
      </c>
      <c r="Q46" s="25" t="s">
        <v>85</v>
      </c>
      <c r="R46" s="17"/>
      <c r="S46" s="25"/>
      <c r="T46" s="26" t="s">
        <v>86</v>
      </c>
      <c r="U46" s="26" t="s">
        <v>87</v>
      </c>
      <c r="V46" s="26" t="s">
        <v>319</v>
      </c>
      <c r="W46" s="26" t="s">
        <v>320</v>
      </c>
      <c r="X46" s="27">
        <v>44562</v>
      </c>
      <c r="Y46" s="27">
        <v>44815</v>
      </c>
      <c r="Z46" s="27">
        <v>45101</v>
      </c>
      <c r="AA46" s="27">
        <v>45169</v>
      </c>
      <c r="AB46" s="28" t="s">
        <v>89</v>
      </c>
      <c r="AC46" s="28"/>
      <c r="AD46" s="28"/>
      <c r="AE46" s="28" t="s">
        <v>90</v>
      </c>
      <c r="AF46" s="28" t="s">
        <v>90</v>
      </c>
      <c r="AG46" s="28"/>
      <c r="AH46" s="28" t="s">
        <v>90</v>
      </c>
      <c r="AI46" s="28" t="s">
        <v>90</v>
      </c>
      <c r="AJ46" s="28" t="s">
        <v>90</v>
      </c>
      <c r="AK46" s="28" t="s">
        <v>90</v>
      </c>
      <c r="AL46" s="28" t="s">
        <v>90</v>
      </c>
      <c r="AM46" s="28" t="s">
        <v>90</v>
      </c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9">
        <v>34.58</v>
      </c>
      <c r="AY46" s="30"/>
      <c r="AZ46" s="30"/>
      <c r="BA46" s="29"/>
      <c r="BB46" s="29"/>
      <c r="BC46" s="30"/>
      <c r="BD46" s="31">
        <f t="shared" si="1"/>
        <v>2316.8599999999997</v>
      </c>
      <c r="BE46" s="31"/>
      <c r="BF46" s="30"/>
      <c r="BG46" s="32">
        <v>2</v>
      </c>
      <c r="BH46" s="31">
        <f t="shared" si="6"/>
        <v>0</v>
      </c>
      <c r="BI46" s="31">
        <f t="shared" si="7"/>
        <v>1.4200000000000017</v>
      </c>
      <c r="BJ46" s="33">
        <f t="shared" si="8"/>
        <v>95.140000000000114</v>
      </c>
      <c r="BK46" s="30"/>
      <c r="BL46" s="30"/>
      <c r="BM46" s="30"/>
      <c r="BN46" s="30"/>
      <c r="BO46" s="33">
        <f t="shared" si="2"/>
        <v>0</v>
      </c>
      <c r="BP46" s="30">
        <v>9</v>
      </c>
      <c r="BQ46" s="30">
        <v>0</v>
      </c>
      <c r="BR46" s="30"/>
      <c r="BS46" s="30"/>
      <c r="BT46" s="34">
        <f t="shared" si="3"/>
        <v>36</v>
      </c>
      <c r="BU46" s="34"/>
      <c r="BV46" s="34"/>
      <c r="BW46" s="34"/>
      <c r="BX46" s="34"/>
      <c r="BY46" s="30"/>
      <c r="BZ46" s="31">
        <f t="shared" si="4"/>
        <v>324</v>
      </c>
      <c r="CA46" s="31">
        <f t="shared" si="5"/>
        <v>0</v>
      </c>
    </row>
    <row r="47" spans="1:79" ht="51" x14ac:dyDescent="0.25">
      <c r="A47" s="17"/>
      <c r="B47" s="2">
        <v>46</v>
      </c>
      <c r="C47" s="18">
        <v>123</v>
      </c>
      <c r="D47" s="18">
        <v>184</v>
      </c>
      <c r="E47" s="19">
        <v>0.77083333333333337</v>
      </c>
      <c r="F47" s="19">
        <v>0.78611111111111109</v>
      </c>
      <c r="G47" s="18" t="s">
        <v>321</v>
      </c>
      <c r="H47" s="18" t="s">
        <v>290</v>
      </c>
      <c r="I47" s="20">
        <v>12</v>
      </c>
      <c r="J47" s="21" t="s">
        <v>81</v>
      </c>
      <c r="K47" s="22">
        <v>13</v>
      </c>
      <c r="L47" s="23">
        <f t="shared" si="0"/>
        <v>156</v>
      </c>
      <c r="M47" s="24" t="s">
        <v>82</v>
      </c>
      <c r="N47" s="25" t="s">
        <v>83</v>
      </c>
      <c r="O47" s="25">
        <v>50</v>
      </c>
      <c r="P47" s="25" t="s">
        <v>84</v>
      </c>
      <c r="Q47" s="25" t="s">
        <v>85</v>
      </c>
      <c r="R47" s="17"/>
      <c r="S47" s="25"/>
      <c r="T47" s="26" t="s">
        <v>86</v>
      </c>
      <c r="U47" s="26" t="s">
        <v>87</v>
      </c>
      <c r="V47" s="26" t="s">
        <v>319</v>
      </c>
      <c r="W47" s="26" t="s">
        <v>320</v>
      </c>
      <c r="X47" s="27">
        <v>44562</v>
      </c>
      <c r="Y47" s="27">
        <v>44815</v>
      </c>
      <c r="Z47" s="27">
        <v>45101</v>
      </c>
      <c r="AA47" s="27">
        <v>45169</v>
      </c>
      <c r="AB47" s="62" t="s">
        <v>291</v>
      </c>
      <c r="AC47" s="62"/>
      <c r="AD47" s="28"/>
      <c r="AE47" s="28" t="s">
        <v>90</v>
      </c>
      <c r="AF47" s="28"/>
      <c r="AG47" s="28"/>
      <c r="AH47" s="28"/>
      <c r="AI47" s="28"/>
      <c r="AJ47" s="28"/>
      <c r="AK47" s="28"/>
      <c r="AL47" s="28"/>
      <c r="AM47" s="28"/>
      <c r="AN47" s="28" t="s">
        <v>90</v>
      </c>
      <c r="AO47" s="28"/>
      <c r="AP47" s="28"/>
      <c r="AQ47" s="28"/>
      <c r="AR47" s="28"/>
      <c r="AS47" s="28"/>
      <c r="AT47" s="28"/>
      <c r="AU47" s="28"/>
      <c r="AV47" s="28"/>
      <c r="AW47" s="28"/>
      <c r="AX47" s="29">
        <v>36</v>
      </c>
      <c r="AY47" s="30"/>
      <c r="AZ47" s="30"/>
      <c r="BA47" s="29"/>
      <c r="BB47" s="29"/>
      <c r="BC47" s="30"/>
      <c r="BD47" s="31">
        <f t="shared" si="1"/>
        <v>468</v>
      </c>
      <c r="BE47" s="31"/>
      <c r="BF47" s="30"/>
      <c r="BG47" s="32">
        <v>2</v>
      </c>
      <c r="BH47" s="31">
        <f t="shared" si="6"/>
        <v>0</v>
      </c>
      <c r="BI47" s="31">
        <f t="shared" si="7"/>
        <v>0</v>
      </c>
      <c r="BJ47" s="33">
        <f t="shared" si="8"/>
        <v>0</v>
      </c>
      <c r="BK47" s="30"/>
      <c r="BL47" s="30"/>
      <c r="BM47" s="30"/>
      <c r="BN47" s="30"/>
      <c r="BO47" s="33">
        <f t="shared" si="2"/>
        <v>0</v>
      </c>
      <c r="BP47" s="30">
        <v>2</v>
      </c>
      <c r="BQ47" s="30">
        <v>0</v>
      </c>
      <c r="BR47" s="30"/>
      <c r="BS47" s="30"/>
      <c r="BT47" s="34">
        <f t="shared" si="3"/>
        <v>36</v>
      </c>
      <c r="BU47" s="34"/>
      <c r="BV47" s="34"/>
      <c r="BW47" s="34"/>
      <c r="BX47" s="34"/>
      <c r="BY47" s="30"/>
      <c r="BZ47" s="31">
        <f t="shared" si="4"/>
        <v>72</v>
      </c>
      <c r="CA47" s="31">
        <f t="shared" si="5"/>
        <v>0</v>
      </c>
    </row>
    <row r="48" spans="1:79" ht="45" x14ac:dyDescent="0.25">
      <c r="A48" s="67" t="s">
        <v>322</v>
      </c>
      <c r="B48" s="2">
        <v>47</v>
      </c>
      <c r="C48" s="18">
        <v>123</v>
      </c>
      <c r="D48" s="18">
        <v>185</v>
      </c>
      <c r="E48" s="19">
        <v>0.78819444444444453</v>
      </c>
      <c r="F48" s="19">
        <v>0.80347222222222225</v>
      </c>
      <c r="G48" s="18" t="s">
        <v>323</v>
      </c>
      <c r="H48" s="58" t="s">
        <v>324</v>
      </c>
      <c r="I48" s="20">
        <v>12</v>
      </c>
      <c r="J48" s="21" t="s">
        <v>81</v>
      </c>
      <c r="K48" s="68">
        <v>67</v>
      </c>
      <c r="L48" s="23">
        <f t="shared" si="0"/>
        <v>804</v>
      </c>
      <c r="M48" s="24" t="s">
        <v>82</v>
      </c>
      <c r="N48" s="25" t="s">
        <v>83</v>
      </c>
      <c r="O48" s="25">
        <v>50</v>
      </c>
      <c r="P48" s="25" t="s">
        <v>84</v>
      </c>
      <c r="Q48" s="25" t="s">
        <v>85</v>
      </c>
      <c r="R48" s="17"/>
      <c r="S48" s="25"/>
      <c r="T48" s="26" t="s">
        <v>319</v>
      </c>
      <c r="U48" s="26" t="s">
        <v>325</v>
      </c>
      <c r="V48" s="26" t="s">
        <v>86</v>
      </c>
      <c r="W48" s="26" t="s">
        <v>87</v>
      </c>
      <c r="X48" s="27">
        <v>44562</v>
      </c>
      <c r="Y48" s="27">
        <v>44815</v>
      </c>
      <c r="Z48" s="27">
        <v>45101</v>
      </c>
      <c r="AA48" s="27">
        <v>45169</v>
      </c>
      <c r="AB48" s="28" t="s">
        <v>89</v>
      </c>
      <c r="AC48" s="28"/>
      <c r="AD48" s="28"/>
      <c r="AE48" s="28" t="s">
        <v>90</v>
      </c>
      <c r="AF48" s="28" t="s">
        <v>90</v>
      </c>
      <c r="AG48" s="28"/>
      <c r="AH48" s="28" t="s">
        <v>90</v>
      </c>
      <c r="AI48" s="28" t="s">
        <v>90</v>
      </c>
      <c r="AJ48" s="28" t="s">
        <v>90</v>
      </c>
      <c r="AK48" s="28" t="s">
        <v>90</v>
      </c>
      <c r="AL48" s="28" t="s">
        <v>90</v>
      </c>
      <c r="AM48" s="28" t="s">
        <v>90</v>
      </c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9">
        <v>34.58</v>
      </c>
      <c r="AY48" s="30"/>
      <c r="AZ48" s="30"/>
      <c r="BA48" s="29"/>
      <c r="BB48" s="29"/>
      <c r="BC48" s="30"/>
      <c r="BD48" s="31">
        <f t="shared" si="1"/>
        <v>2316.8599999999997</v>
      </c>
      <c r="BE48" s="31"/>
      <c r="BF48" s="30"/>
      <c r="BG48" s="32">
        <v>2</v>
      </c>
      <c r="BH48" s="31">
        <f t="shared" si="6"/>
        <v>0</v>
      </c>
      <c r="BI48" s="31">
        <f t="shared" si="7"/>
        <v>1.4200000000000017</v>
      </c>
      <c r="BJ48" s="33">
        <f t="shared" si="8"/>
        <v>95.140000000000114</v>
      </c>
      <c r="BK48" s="30"/>
      <c r="BL48" s="30"/>
      <c r="BM48" s="30"/>
      <c r="BN48" s="30"/>
      <c r="BO48" s="33">
        <f t="shared" si="2"/>
        <v>0</v>
      </c>
      <c r="BP48" s="30">
        <v>9</v>
      </c>
      <c r="BQ48" s="30">
        <v>0</v>
      </c>
      <c r="BR48" s="30"/>
      <c r="BS48" s="30"/>
      <c r="BT48" s="34">
        <f t="shared" si="3"/>
        <v>36</v>
      </c>
      <c r="BU48" s="34"/>
      <c r="BV48" s="34"/>
      <c r="BW48" s="34"/>
      <c r="BX48" s="34"/>
      <c r="BY48" s="30"/>
      <c r="BZ48" s="31">
        <f t="shared" si="4"/>
        <v>324</v>
      </c>
      <c r="CA48" s="31">
        <f t="shared" si="5"/>
        <v>0</v>
      </c>
    </row>
    <row r="49" spans="1:79" ht="45" x14ac:dyDescent="0.25">
      <c r="A49" s="17"/>
      <c r="B49" s="2">
        <v>48</v>
      </c>
      <c r="C49" s="18">
        <v>123</v>
      </c>
      <c r="D49" s="18">
        <v>185</v>
      </c>
      <c r="E49" s="19">
        <v>0.78819444444444453</v>
      </c>
      <c r="F49" s="19">
        <v>0.80347222222222225</v>
      </c>
      <c r="G49" s="18" t="s">
        <v>323</v>
      </c>
      <c r="H49" s="18" t="s">
        <v>290</v>
      </c>
      <c r="I49" s="20">
        <v>12</v>
      </c>
      <c r="J49" s="21" t="s">
        <v>81</v>
      </c>
      <c r="K49" s="22">
        <v>13</v>
      </c>
      <c r="L49" s="23">
        <f t="shared" si="0"/>
        <v>156</v>
      </c>
      <c r="M49" s="24" t="s">
        <v>82</v>
      </c>
      <c r="N49" s="25" t="s">
        <v>83</v>
      </c>
      <c r="O49" s="25">
        <v>50</v>
      </c>
      <c r="P49" s="25" t="s">
        <v>84</v>
      </c>
      <c r="Q49" s="25" t="s">
        <v>85</v>
      </c>
      <c r="R49" s="17"/>
      <c r="S49" s="25"/>
      <c r="T49" s="26" t="s">
        <v>319</v>
      </c>
      <c r="U49" s="26" t="s">
        <v>325</v>
      </c>
      <c r="V49" s="26" t="s">
        <v>86</v>
      </c>
      <c r="W49" s="26" t="s">
        <v>87</v>
      </c>
      <c r="X49" s="27">
        <v>44562</v>
      </c>
      <c r="Y49" s="27">
        <v>44815</v>
      </c>
      <c r="Z49" s="27">
        <v>45101</v>
      </c>
      <c r="AA49" s="27">
        <v>45169</v>
      </c>
      <c r="AB49" s="62" t="s">
        <v>291</v>
      </c>
      <c r="AC49" s="62"/>
      <c r="AD49" s="28"/>
      <c r="AE49" s="28" t="s">
        <v>90</v>
      </c>
      <c r="AF49" s="28"/>
      <c r="AG49" s="28"/>
      <c r="AH49" s="28"/>
      <c r="AI49" s="28"/>
      <c r="AJ49" s="28"/>
      <c r="AK49" s="28"/>
      <c r="AL49" s="28"/>
      <c r="AM49" s="28"/>
      <c r="AN49" s="28" t="s">
        <v>90</v>
      </c>
      <c r="AO49" s="28"/>
      <c r="AP49" s="28"/>
      <c r="AQ49" s="28"/>
      <c r="AR49" s="28"/>
      <c r="AS49" s="28"/>
      <c r="AT49" s="28"/>
      <c r="AU49" s="28"/>
      <c r="AV49" s="28"/>
      <c r="AW49" s="28"/>
      <c r="AX49" s="29">
        <v>36</v>
      </c>
      <c r="AY49" s="30"/>
      <c r="AZ49" s="30"/>
      <c r="BA49" s="29"/>
      <c r="BB49" s="29"/>
      <c r="BC49" s="30"/>
      <c r="BD49" s="31">
        <f t="shared" si="1"/>
        <v>468</v>
      </c>
      <c r="BE49" s="31"/>
      <c r="BF49" s="30"/>
      <c r="BG49" s="32">
        <v>2</v>
      </c>
      <c r="BH49" s="31">
        <f t="shared" si="6"/>
        <v>0</v>
      </c>
      <c r="BI49" s="31">
        <f t="shared" si="7"/>
        <v>0</v>
      </c>
      <c r="BJ49" s="33">
        <f t="shared" si="8"/>
        <v>0</v>
      </c>
      <c r="BK49" s="30"/>
      <c r="BL49" s="30"/>
      <c r="BM49" s="30"/>
      <c r="BN49" s="30"/>
      <c r="BO49" s="33">
        <f t="shared" si="2"/>
        <v>0</v>
      </c>
      <c r="BP49" s="30">
        <v>2</v>
      </c>
      <c r="BQ49" s="30">
        <v>0</v>
      </c>
      <c r="BR49" s="30"/>
      <c r="BS49" s="30"/>
      <c r="BT49" s="34">
        <f t="shared" si="3"/>
        <v>36</v>
      </c>
      <c r="BU49" s="34"/>
      <c r="BV49" s="34"/>
      <c r="BW49" s="34"/>
      <c r="BX49" s="34"/>
      <c r="BY49" s="30"/>
      <c r="BZ49" s="31">
        <f t="shared" si="4"/>
        <v>72</v>
      </c>
      <c r="CA49" s="31">
        <f t="shared" si="5"/>
        <v>0</v>
      </c>
    </row>
    <row r="50" spans="1:79" ht="25.5" x14ac:dyDescent="0.25">
      <c r="A50" s="17"/>
      <c r="B50" s="2">
        <v>49</v>
      </c>
      <c r="C50" s="48">
        <v>202</v>
      </c>
      <c r="D50" s="48">
        <v>92</v>
      </c>
      <c r="E50" s="49">
        <v>0.32291666666666669</v>
      </c>
      <c r="F50" s="49">
        <v>0.3611111111111111</v>
      </c>
      <c r="G50" s="51" t="s">
        <v>328</v>
      </c>
      <c r="H50" s="18" t="s">
        <v>290</v>
      </c>
      <c r="I50" s="48">
        <v>24</v>
      </c>
      <c r="J50" s="52">
        <v>30</v>
      </c>
      <c r="K50" s="22">
        <v>13</v>
      </c>
      <c r="L50" s="23">
        <f t="shared" si="0"/>
        <v>312</v>
      </c>
      <c r="M50" s="24" t="s">
        <v>129</v>
      </c>
      <c r="N50" s="25" t="s">
        <v>131</v>
      </c>
      <c r="O50" s="25">
        <v>45</v>
      </c>
      <c r="P50" s="25" t="s">
        <v>286</v>
      </c>
      <c r="Q50" s="25">
        <v>48</v>
      </c>
      <c r="R50" s="25" t="s">
        <v>287</v>
      </c>
      <c r="S50" s="35">
        <v>56</v>
      </c>
      <c r="T50" s="26">
        <v>1</v>
      </c>
      <c r="U50" s="26" t="s">
        <v>179</v>
      </c>
      <c r="V50" s="26">
        <v>2660</v>
      </c>
      <c r="W50" s="26" t="s">
        <v>329</v>
      </c>
      <c r="X50" s="27">
        <v>44562</v>
      </c>
      <c r="Y50" s="27">
        <v>44815</v>
      </c>
      <c r="Z50" s="27">
        <v>45101</v>
      </c>
      <c r="AA50" s="27">
        <v>45169</v>
      </c>
      <c r="AB50" s="62" t="s">
        <v>291</v>
      </c>
      <c r="AC50" s="62"/>
      <c r="AD50" s="28"/>
      <c r="AE50" s="28" t="s">
        <v>90</v>
      </c>
      <c r="AF50" s="28"/>
      <c r="AG50" s="28"/>
      <c r="AH50" s="28"/>
      <c r="AI50" s="28"/>
      <c r="AJ50" s="28"/>
      <c r="AK50" s="28"/>
      <c r="AL50" s="28"/>
      <c r="AM50" s="28"/>
      <c r="AN50" s="28" t="s">
        <v>90</v>
      </c>
      <c r="AO50" s="28"/>
      <c r="AP50" s="28"/>
      <c r="AQ50" s="28"/>
      <c r="AR50" s="28"/>
      <c r="AS50" s="28"/>
      <c r="AT50" s="28"/>
      <c r="AU50" s="28"/>
      <c r="AV50" s="28"/>
      <c r="AW50" s="28"/>
      <c r="AX50" s="31"/>
      <c r="AY50" s="30"/>
      <c r="AZ50" s="30"/>
      <c r="BA50" s="55" t="s">
        <v>330</v>
      </c>
      <c r="BB50" s="55"/>
      <c r="BC50" s="30"/>
      <c r="BD50" s="31">
        <f t="shared" si="1"/>
        <v>0</v>
      </c>
      <c r="BE50" s="30"/>
      <c r="BF50" s="30"/>
      <c r="BG50" s="36">
        <v>1</v>
      </c>
      <c r="BH50" s="30"/>
      <c r="BI50" s="31"/>
      <c r="BJ50" s="30"/>
      <c r="BK50" s="30"/>
      <c r="BL50" s="30"/>
      <c r="BM50" s="30"/>
      <c r="BN50" s="30"/>
      <c r="BO50" s="33">
        <f t="shared" si="2"/>
        <v>0</v>
      </c>
      <c r="BP50" s="30">
        <v>2</v>
      </c>
      <c r="BQ50" s="30">
        <v>0</v>
      </c>
      <c r="BR50" s="30"/>
      <c r="BS50" s="30"/>
      <c r="BT50" s="34">
        <f t="shared" si="3"/>
        <v>0</v>
      </c>
      <c r="BU50" s="34" t="s">
        <v>291</v>
      </c>
      <c r="BV50" s="30">
        <v>2</v>
      </c>
      <c r="BW50" s="30">
        <v>0</v>
      </c>
      <c r="BX50" s="34">
        <v>350</v>
      </c>
      <c r="BY50" s="30"/>
      <c r="BZ50" s="31">
        <f t="shared" si="4"/>
        <v>700</v>
      </c>
      <c r="CA50" s="31">
        <f t="shared" si="5"/>
        <v>0</v>
      </c>
    </row>
    <row r="51" spans="1:79" ht="25.5" x14ac:dyDescent="0.25">
      <c r="A51" s="17"/>
      <c r="B51" s="2">
        <v>50</v>
      </c>
      <c r="C51" s="48">
        <v>202</v>
      </c>
      <c r="D51" s="48">
        <v>85</v>
      </c>
      <c r="E51" s="49">
        <v>0.36458333333333331</v>
      </c>
      <c r="F51" s="49">
        <v>0.40277777777777773</v>
      </c>
      <c r="G51" s="51" t="s">
        <v>331</v>
      </c>
      <c r="H51" s="18" t="s">
        <v>290</v>
      </c>
      <c r="I51" s="48">
        <v>24</v>
      </c>
      <c r="J51" s="52">
        <v>30</v>
      </c>
      <c r="K51" s="22">
        <v>13</v>
      </c>
      <c r="L51" s="23">
        <f t="shared" si="0"/>
        <v>312</v>
      </c>
      <c r="M51" s="24" t="s">
        <v>129</v>
      </c>
      <c r="N51" s="25" t="s">
        <v>131</v>
      </c>
      <c r="O51" s="25">
        <v>45</v>
      </c>
      <c r="P51" s="25" t="s">
        <v>286</v>
      </c>
      <c r="Q51" s="25">
        <v>48</v>
      </c>
      <c r="R51" s="25" t="s">
        <v>287</v>
      </c>
      <c r="S51" s="35">
        <v>56</v>
      </c>
      <c r="T51" s="26">
        <v>2660</v>
      </c>
      <c r="U51" s="26" t="s">
        <v>329</v>
      </c>
      <c r="V51" s="26">
        <v>1</v>
      </c>
      <c r="W51" s="26" t="s">
        <v>300</v>
      </c>
      <c r="X51" s="27">
        <v>44562</v>
      </c>
      <c r="Y51" s="27">
        <v>44815</v>
      </c>
      <c r="Z51" s="27">
        <v>45101</v>
      </c>
      <c r="AA51" s="27">
        <v>45169</v>
      </c>
      <c r="AB51" s="62" t="s">
        <v>291</v>
      </c>
      <c r="AC51" s="62"/>
      <c r="AD51" s="28"/>
      <c r="AE51" s="28" t="s">
        <v>90</v>
      </c>
      <c r="AF51" s="28"/>
      <c r="AG51" s="28"/>
      <c r="AH51" s="28"/>
      <c r="AI51" s="28"/>
      <c r="AJ51" s="28"/>
      <c r="AK51" s="28"/>
      <c r="AL51" s="28"/>
      <c r="AM51" s="28"/>
      <c r="AN51" s="28" t="s">
        <v>90</v>
      </c>
      <c r="AO51" s="28"/>
      <c r="AP51" s="28"/>
      <c r="AQ51" s="28"/>
      <c r="AR51" s="28"/>
      <c r="AS51" s="28"/>
      <c r="AT51" s="28"/>
      <c r="AU51" s="28"/>
      <c r="AV51" s="28"/>
      <c r="AW51" s="28"/>
      <c r="AX51" s="31"/>
      <c r="AY51" s="30"/>
      <c r="AZ51" s="30"/>
      <c r="BA51" s="55" t="s">
        <v>330</v>
      </c>
      <c r="BB51" s="55"/>
      <c r="BC51" s="30"/>
      <c r="BD51" s="31">
        <f t="shared" si="1"/>
        <v>0</v>
      </c>
      <c r="BE51" s="30"/>
      <c r="BF51" s="30"/>
      <c r="BG51" s="36">
        <v>1</v>
      </c>
      <c r="BH51" s="30"/>
      <c r="BI51" s="31"/>
      <c r="BJ51" s="30"/>
      <c r="BK51" s="30"/>
      <c r="BL51" s="30"/>
      <c r="BM51" s="30"/>
      <c r="BN51" s="30"/>
      <c r="BO51" s="33">
        <f t="shared" si="2"/>
        <v>0</v>
      </c>
      <c r="BP51" s="30">
        <v>2</v>
      </c>
      <c r="BQ51" s="30">
        <v>0</v>
      </c>
      <c r="BR51" s="30"/>
      <c r="BS51" s="30"/>
      <c r="BT51" s="34">
        <f t="shared" si="3"/>
        <v>0</v>
      </c>
      <c r="BU51" s="34"/>
      <c r="BV51" s="34"/>
      <c r="BW51" s="34"/>
      <c r="BX51" s="34"/>
      <c r="BY51" s="30"/>
      <c r="BZ51" s="31">
        <f t="shared" si="4"/>
        <v>0</v>
      </c>
      <c r="CA51" s="31">
        <f t="shared" si="5"/>
        <v>0</v>
      </c>
    </row>
    <row r="52" spans="1:79" ht="51" x14ac:dyDescent="0.25">
      <c r="A52" s="17"/>
      <c r="B52" s="2">
        <v>51</v>
      </c>
      <c r="C52" s="18">
        <v>204</v>
      </c>
      <c r="D52" s="18">
        <v>148</v>
      </c>
      <c r="E52" s="19">
        <v>0.27777777777777779</v>
      </c>
      <c r="F52" s="19">
        <v>0.3263888888888889</v>
      </c>
      <c r="G52" s="18" t="s">
        <v>332</v>
      </c>
      <c r="H52" s="18" t="s">
        <v>306</v>
      </c>
      <c r="I52" s="20">
        <v>34</v>
      </c>
      <c r="J52" s="21" t="s">
        <v>81</v>
      </c>
      <c r="K52" s="22">
        <v>208</v>
      </c>
      <c r="L52" s="23">
        <f t="shared" si="0"/>
        <v>7072</v>
      </c>
      <c r="M52" s="24" t="s">
        <v>333</v>
      </c>
      <c r="N52" s="25" t="s">
        <v>334</v>
      </c>
      <c r="O52" s="25">
        <v>55</v>
      </c>
      <c r="P52" s="25" t="s">
        <v>335</v>
      </c>
      <c r="Q52" s="25">
        <v>54</v>
      </c>
      <c r="R52" s="25" t="s">
        <v>336</v>
      </c>
      <c r="S52" s="25">
        <v>57</v>
      </c>
      <c r="T52" s="26">
        <v>2048</v>
      </c>
      <c r="U52" s="26" t="s">
        <v>337</v>
      </c>
      <c r="V52" s="26">
        <v>960</v>
      </c>
      <c r="W52" s="26" t="s">
        <v>151</v>
      </c>
      <c r="X52" s="66">
        <v>44816</v>
      </c>
      <c r="Y52" s="66">
        <v>45086</v>
      </c>
      <c r="Z52" s="66"/>
      <c r="AA52" s="66"/>
      <c r="AB52" s="26" t="s">
        <v>309</v>
      </c>
      <c r="AC52" s="26"/>
      <c r="AD52" s="28"/>
      <c r="AE52" s="28"/>
      <c r="AF52" s="28"/>
      <c r="AG52" s="28" t="s">
        <v>90</v>
      </c>
      <c r="AH52" s="28" t="s">
        <v>90</v>
      </c>
      <c r="AI52" s="28" t="s">
        <v>90</v>
      </c>
      <c r="AJ52" s="28" t="s">
        <v>90</v>
      </c>
      <c r="AK52" s="28" t="s">
        <v>90</v>
      </c>
      <c r="AL52" s="28" t="s">
        <v>90</v>
      </c>
      <c r="AM52" s="28" t="s">
        <v>90</v>
      </c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9">
        <v>102</v>
      </c>
      <c r="AY52" s="30"/>
      <c r="AZ52" s="30"/>
      <c r="BA52" s="29"/>
      <c r="BB52" s="29"/>
      <c r="BC52" s="30"/>
      <c r="BD52" s="31">
        <f t="shared" si="1"/>
        <v>21216</v>
      </c>
      <c r="BE52" s="31"/>
      <c r="BF52" s="30"/>
      <c r="BG52" s="32">
        <v>2</v>
      </c>
      <c r="BH52" s="31">
        <f t="shared" ref="BH52:BH94" si="9">IF(AND((AX52/I52)&lt;2,BG52=1),(I52*2)-AX52,0)</f>
        <v>0</v>
      </c>
      <c r="BI52" s="31">
        <f t="shared" ref="BI52:BI94" si="10">IF(AND((AX52/I52)&lt;3,BG52=2),(I52*3)-AX52,0)</f>
        <v>0</v>
      </c>
      <c r="BJ52" s="33">
        <f t="shared" ref="BJ52:BJ94" si="11">(BH52+BI52)*K52</f>
        <v>0</v>
      </c>
      <c r="BK52" s="30"/>
      <c r="BL52" s="30"/>
      <c r="BM52" s="30"/>
      <c r="BN52" s="31">
        <f>IF((AX52+AY52+AZ52)&lt;20,(20-(AX52+AY52+AZ52)),0)</f>
        <v>0</v>
      </c>
      <c r="BO52" s="33">
        <f t="shared" si="2"/>
        <v>0</v>
      </c>
      <c r="BP52" s="30">
        <v>17</v>
      </c>
      <c r="BQ52" s="30">
        <v>25</v>
      </c>
      <c r="BR52" s="30"/>
      <c r="BS52" s="30"/>
      <c r="BT52" s="34">
        <f t="shared" si="3"/>
        <v>102</v>
      </c>
      <c r="BU52" s="34"/>
      <c r="BV52" s="34"/>
      <c r="BW52" s="34"/>
      <c r="BX52" s="34"/>
      <c r="BY52" s="30"/>
      <c r="BZ52" s="31">
        <f t="shared" si="4"/>
        <v>1734</v>
      </c>
      <c r="CA52" s="31">
        <f t="shared" si="5"/>
        <v>2550</v>
      </c>
    </row>
    <row r="53" spans="1:79" ht="51" x14ac:dyDescent="0.25">
      <c r="A53" s="69"/>
      <c r="B53" s="2">
        <v>52</v>
      </c>
      <c r="C53" s="18">
        <v>204</v>
      </c>
      <c r="D53" s="18">
        <v>281</v>
      </c>
      <c r="E53" s="19">
        <v>0.30416666666666664</v>
      </c>
      <c r="F53" s="59">
        <v>0.32500000000000001</v>
      </c>
      <c r="G53" s="18" t="s">
        <v>338</v>
      </c>
      <c r="H53" s="18" t="s">
        <v>268</v>
      </c>
      <c r="I53" s="20">
        <v>16.899999999999999</v>
      </c>
      <c r="J53" s="21" t="s">
        <v>81</v>
      </c>
      <c r="K53" s="22">
        <v>252</v>
      </c>
      <c r="L53" s="23">
        <f t="shared" si="0"/>
        <v>4258.7999999999993</v>
      </c>
      <c r="M53" s="24" t="s">
        <v>176</v>
      </c>
      <c r="N53" s="25" t="s">
        <v>339</v>
      </c>
      <c r="O53" s="25">
        <v>36</v>
      </c>
      <c r="P53" s="25" t="s">
        <v>276</v>
      </c>
      <c r="Q53" s="17">
        <v>50</v>
      </c>
      <c r="R53" s="25" t="s">
        <v>296</v>
      </c>
      <c r="S53" s="35">
        <v>45</v>
      </c>
      <c r="T53" s="26">
        <v>2057</v>
      </c>
      <c r="U53" s="26" t="s">
        <v>126</v>
      </c>
      <c r="V53" s="26" t="s">
        <v>340</v>
      </c>
      <c r="W53" s="26" t="s">
        <v>341</v>
      </c>
      <c r="X53" s="66">
        <v>44805</v>
      </c>
      <c r="Y53" s="66">
        <v>45169</v>
      </c>
      <c r="Z53" s="66"/>
      <c r="AA53" s="66"/>
      <c r="AB53" s="26" t="s">
        <v>269</v>
      </c>
      <c r="AC53" s="26"/>
      <c r="AD53" s="28" t="s">
        <v>90</v>
      </c>
      <c r="AE53" s="28" t="s">
        <v>90</v>
      </c>
      <c r="AF53" s="28" t="s">
        <v>90</v>
      </c>
      <c r="AG53" s="28"/>
      <c r="AH53" s="28" t="s">
        <v>90</v>
      </c>
      <c r="AI53" s="28" t="s">
        <v>90</v>
      </c>
      <c r="AJ53" s="28" t="s">
        <v>90</v>
      </c>
      <c r="AK53" s="28" t="s">
        <v>90</v>
      </c>
      <c r="AL53" s="28" t="s">
        <v>90</v>
      </c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9">
        <f>11.7+98.65</f>
        <v>110.35000000000001</v>
      </c>
      <c r="AY53" s="30"/>
      <c r="AZ53" s="30"/>
      <c r="BA53" s="29"/>
      <c r="BB53" s="29"/>
      <c r="BC53" s="30"/>
      <c r="BD53" s="31">
        <f t="shared" si="1"/>
        <v>27808.2</v>
      </c>
      <c r="BE53" s="31"/>
      <c r="BF53" s="30"/>
      <c r="BG53" s="32">
        <v>2</v>
      </c>
      <c r="BH53" s="31">
        <f t="shared" si="9"/>
        <v>0</v>
      </c>
      <c r="BI53" s="31">
        <f t="shared" si="10"/>
        <v>0</v>
      </c>
      <c r="BJ53" s="33">
        <f t="shared" si="11"/>
        <v>0</v>
      </c>
      <c r="BK53" s="30"/>
      <c r="BL53" s="30"/>
      <c r="BM53" s="30"/>
      <c r="BN53" s="30"/>
      <c r="BO53" s="33">
        <f t="shared" si="2"/>
        <v>0</v>
      </c>
      <c r="BP53" s="30">
        <v>22</v>
      </c>
      <c r="BQ53" s="30">
        <v>21</v>
      </c>
      <c r="BR53" s="30"/>
      <c r="BS53" s="30"/>
      <c r="BT53" s="34">
        <f t="shared" si="3"/>
        <v>110.35000000000001</v>
      </c>
      <c r="BU53" s="34"/>
      <c r="BV53" s="34"/>
      <c r="BW53" s="34"/>
      <c r="BX53" s="34"/>
      <c r="BY53" s="30"/>
      <c r="BZ53" s="31">
        <f t="shared" si="4"/>
        <v>2427.7000000000003</v>
      </c>
      <c r="CA53" s="31">
        <f t="shared" si="5"/>
        <v>2317.3500000000004</v>
      </c>
    </row>
    <row r="54" spans="1:79" ht="51" x14ac:dyDescent="0.25">
      <c r="A54" s="17"/>
      <c r="B54" s="2">
        <v>53</v>
      </c>
      <c r="C54" s="18">
        <v>204</v>
      </c>
      <c r="D54" s="18">
        <v>375</v>
      </c>
      <c r="E54" s="59">
        <v>0.59861111111111109</v>
      </c>
      <c r="F54" s="59">
        <v>0.60902777777777783</v>
      </c>
      <c r="G54" s="18" t="s">
        <v>342</v>
      </c>
      <c r="H54" s="18" t="s">
        <v>306</v>
      </c>
      <c r="I54" s="20">
        <v>10</v>
      </c>
      <c r="J54" s="21" t="s">
        <v>93</v>
      </c>
      <c r="K54" s="22">
        <v>208</v>
      </c>
      <c r="L54" s="23">
        <f t="shared" si="0"/>
        <v>2080</v>
      </c>
      <c r="M54" s="24" t="s">
        <v>262</v>
      </c>
      <c r="N54" s="17"/>
      <c r="O54" s="17"/>
      <c r="P54" s="17"/>
      <c r="Q54" s="17"/>
      <c r="R54" s="25" t="s">
        <v>343</v>
      </c>
      <c r="S54" s="35">
        <v>17</v>
      </c>
      <c r="T54" s="26">
        <v>2127</v>
      </c>
      <c r="U54" s="26" t="s">
        <v>344</v>
      </c>
      <c r="V54" s="26">
        <v>2054</v>
      </c>
      <c r="W54" s="26" t="s">
        <v>127</v>
      </c>
      <c r="X54" s="66">
        <v>44816</v>
      </c>
      <c r="Y54" s="66">
        <v>45086</v>
      </c>
      <c r="Z54" s="66"/>
      <c r="AA54" s="66"/>
      <c r="AB54" s="26" t="s">
        <v>309</v>
      </c>
      <c r="AC54" s="26"/>
      <c r="AD54" s="28"/>
      <c r="AE54" s="28"/>
      <c r="AF54" s="28"/>
      <c r="AG54" s="28" t="s">
        <v>90</v>
      </c>
      <c r="AH54" s="28" t="s">
        <v>90</v>
      </c>
      <c r="AI54" s="28" t="s">
        <v>90</v>
      </c>
      <c r="AJ54" s="28" t="s">
        <v>90</v>
      </c>
      <c r="AK54" s="28" t="s">
        <v>90</v>
      </c>
      <c r="AL54" s="28" t="s">
        <v>90</v>
      </c>
      <c r="AM54" s="28" t="s">
        <v>90</v>
      </c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9">
        <v>55.48</v>
      </c>
      <c r="AY54" s="30"/>
      <c r="AZ54" s="30"/>
      <c r="BA54" s="29"/>
      <c r="BB54" s="29"/>
      <c r="BC54" s="30"/>
      <c r="BD54" s="31">
        <f t="shared" si="1"/>
        <v>11539.84</v>
      </c>
      <c r="BE54" s="31"/>
      <c r="BF54" s="30"/>
      <c r="BG54" s="36">
        <v>1</v>
      </c>
      <c r="BH54" s="31">
        <f t="shared" si="9"/>
        <v>0</v>
      </c>
      <c r="BI54" s="31">
        <f t="shared" si="10"/>
        <v>0</v>
      </c>
      <c r="BJ54" s="33">
        <f t="shared" si="11"/>
        <v>0</v>
      </c>
      <c r="BK54" s="30"/>
      <c r="BL54" s="30"/>
      <c r="BM54" s="30"/>
      <c r="BN54" s="30"/>
      <c r="BO54" s="33">
        <f t="shared" si="2"/>
        <v>0</v>
      </c>
      <c r="BP54" s="30">
        <v>17</v>
      </c>
      <c r="BQ54" s="30">
        <v>25</v>
      </c>
      <c r="BR54" s="30"/>
      <c r="BS54" s="30"/>
      <c r="BT54" s="34">
        <f t="shared" si="3"/>
        <v>55.48</v>
      </c>
      <c r="BU54" s="34"/>
      <c r="BV54" s="34"/>
      <c r="BW54" s="34"/>
      <c r="BX54" s="34"/>
      <c r="BY54" s="30"/>
      <c r="BZ54" s="31">
        <f t="shared" si="4"/>
        <v>943.16</v>
      </c>
      <c r="CA54" s="31">
        <f t="shared" si="5"/>
        <v>1387</v>
      </c>
    </row>
    <row r="55" spans="1:79" ht="51" x14ac:dyDescent="0.25">
      <c r="A55" s="17"/>
      <c r="B55" s="2">
        <v>54</v>
      </c>
      <c r="C55" s="18">
        <v>204</v>
      </c>
      <c r="D55" s="18">
        <v>414</v>
      </c>
      <c r="E55" s="59">
        <v>0.60416666666666663</v>
      </c>
      <c r="F55" s="59">
        <v>0.62638888888888888</v>
      </c>
      <c r="G55" s="18" t="s">
        <v>345</v>
      </c>
      <c r="H55" s="18" t="s">
        <v>273</v>
      </c>
      <c r="I55" s="20">
        <v>16</v>
      </c>
      <c r="J55" s="21" t="s">
        <v>93</v>
      </c>
      <c r="K55" s="22">
        <v>174</v>
      </c>
      <c r="L55" s="23">
        <f t="shared" si="0"/>
        <v>2784</v>
      </c>
      <c r="M55" s="24" t="s">
        <v>262</v>
      </c>
      <c r="N55" s="17"/>
      <c r="O55" s="17"/>
      <c r="P55" s="25" t="s">
        <v>346</v>
      </c>
      <c r="Q55" s="25">
        <v>23</v>
      </c>
      <c r="R55" s="25" t="s">
        <v>347</v>
      </c>
      <c r="S55" s="35">
        <v>23</v>
      </c>
      <c r="T55" s="26">
        <v>2048</v>
      </c>
      <c r="U55" s="26" t="s">
        <v>337</v>
      </c>
      <c r="V55" s="26">
        <v>2127</v>
      </c>
      <c r="W55" s="26" t="s">
        <v>344</v>
      </c>
      <c r="X55" s="66">
        <v>44816</v>
      </c>
      <c r="Y55" s="66">
        <v>45086</v>
      </c>
      <c r="Z55" s="66"/>
      <c r="AA55" s="66"/>
      <c r="AB55" s="26" t="s">
        <v>282</v>
      </c>
      <c r="AC55" s="26"/>
      <c r="AD55" s="28"/>
      <c r="AE55" s="28"/>
      <c r="AF55" s="28"/>
      <c r="AG55" s="28" t="s">
        <v>90</v>
      </c>
      <c r="AH55" s="28" t="s">
        <v>90</v>
      </c>
      <c r="AI55" s="28" t="s">
        <v>90</v>
      </c>
      <c r="AJ55" s="28" t="s">
        <v>90</v>
      </c>
      <c r="AK55" s="28" t="s">
        <v>90</v>
      </c>
      <c r="AL55" s="28" t="s">
        <v>90</v>
      </c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9">
        <v>28.8</v>
      </c>
      <c r="AY55" s="30"/>
      <c r="AZ55" s="30"/>
      <c r="BA55" s="29"/>
      <c r="BB55" s="29"/>
      <c r="BC55" s="30"/>
      <c r="BD55" s="31">
        <f t="shared" si="1"/>
        <v>5011.2</v>
      </c>
      <c r="BE55" s="31"/>
      <c r="BF55" s="30"/>
      <c r="BG55" s="36">
        <v>1</v>
      </c>
      <c r="BH55" s="31">
        <f t="shared" si="9"/>
        <v>3.1999999999999993</v>
      </c>
      <c r="BI55" s="31">
        <f t="shared" si="10"/>
        <v>0</v>
      </c>
      <c r="BJ55" s="31">
        <f t="shared" si="11"/>
        <v>556.79999999999984</v>
      </c>
      <c r="BK55" s="30"/>
      <c r="BL55" s="30"/>
      <c r="BM55" s="30"/>
      <c r="BN55" s="30"/>
      <c r="BO55" s="33">
        <f t="shared" si="2"/>
        <v>0</v>
      </c>
      <c r="BP55" s="30">
        <v>15</v>
      </c>
      <c r="BQ55" s="30">
        <v>20</v>
      </c>
      <c r="BR55" s="30"/>
      <c r="BS55" s="30"/>
      <c r="BT55" s="34">
        <f t="shared" si="3"/>
        <v>32</v>
      </c>
      <c r="BU55" s="34"/>
      <c r="BV55" s="34"/>
      <c r="BW55" s="34"/>
      <c r="BX55" s="34"/>
      <c r="BY55" s="70">
        <v>8</v>
      </c>
      <c r="BZ55" s="70">
        <f>((BT55+BY55)*BP55)+(BV55*BX55)</f>
        <v>600</v>
      </c>
      <c r="CA55" s="31">
        <f>(BT55*BQ55)+(BQ55*(BX55+BY55))</f>
        <v>800</v>
      </c>
    </row>
    <row r="56" spans="1:79" ht="51" x14ac:dyDescent="0.25">
      <c r="A56" s="17"/>
      <c r="B56" s="2">
        <v>55</v>
      </c>
      <c r="C56" s="18">
        <v>204</v>
      </c>
      <c r="D56" s="18">
        <v>200</v>
      </c>
      <c r="E56" s="19">
        <v>0.68888888888888899</v>
      </c>
      <c r="F56" s="59">
        <v>0.7104166666666667</v>
      </c>
      <c r="G56" s="18" t="s">
        <v>348</v>
      </c>
      <c r="H56" s="18" t="s">
        <v>349</v>
      </c>
      <c r="I56" s="20">
        <v>17.899999999999999</v>
      </c>
      <c r="J56" s="21" t="s">
        <v>274</v>
      </c>
      <c r="K56" s="22">
        <v>202</v>
      </c>
      <c r="L56" s="23">
        <f t="shared" si="0"/>
        <v>3615.7999999999997</v>
      </c>
      <c r="M56" s="24" t="s">
        <v>176</v>
      </c>
      <c r="N56" s="25" t="s">
        <v>339</v>
      </c>
      <c r="O56" s="25">
        <v>36</v>
      </c>
      <c r="P56" s="25" t="s">
        <v>276</v>
      </c>
      <c r="Q56" s="17">
        <v>50</v>
      </c>
      <c r="R56" s="25" t="s">
        <v>296</v>
      </c>
      <c r="S56" s="25"/>
      <c r="T56" s="26" t="s">
        <v>340</v>
      </c>
      <c r="U56" s="26" t="s">
        <v>350</v>
      </c>
      <c r="V56" s="26">
        <v>2057</v>
      </c>
      <c r="W56" s="26" t="s">
        <v>126</v>
      </c>
      <c r="X56" s="27">
        <v>44816</v>
      </c>
      <c r="Y56" s="27">
        <v>45100</v>
      </c>
      <c r="Z56" s="27"/>
      <c r="AA56" s="27"/>
      <c r="AB56" s="26" t="s">
        <v>351</v>
      </c>
      <c r="AC56" s="26"/>
      <c r="AD56" s="28" t="s">
        <v>90</v>
      </c>
      <c r="AE56" s="28"/>
      <c r="AF56" s="28" t="s">
        <v>90</v>
      </c>
      <c r="AG56" s="28"/>
      <c r="AH56" s="28" t="s">
        <v>90</v>
      </c>
      <c r="AI56" s="28" t="s">
        <v>90</v>
      </c>
      <c r="AJ56" s="28" t="s">
        <v>90</v>
      </c>
      <c r="AK56" s="28" t="s">
        <v>90</v>
      </c>
      <c r="AL56" s="28" t="s">
        <v>90</v>
      </c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9">
        <f>44.52+11.7</f>
        <v>56.22</v>
      </c>
      <c r="AY56" s="30"/>
      <c r="AZ56" s="30"/>
      <c r="BA56" s="29"/>
      <c r="BB56" s="29"/>
      <c r="BC56" s="30"/>
      <c r="BD56" s="31">
        <f t="shared" si="1"/>
        <v>11356.44</v>
      </c>
      <c r="BE56" s="31"/>
      <c r="BF56" s="30"/>
      <c r="BG56" s="32">
        <v>2</v>
      </c>
      <c r="BH56" s="31">
        <f t="shared" si="9"/>
        <v>0</v>
      </c>
      <c r="BI56" s="31">
        <f t="shared" si="10"/>
        <v>0</v>
      </c>
      <c r="BJ56" s="33">
        <f t="shared" si="11"/>
        <v>0</v>
      </c>
      <c r="BK56" s="30"/>
      <c r="BL56" s="30"/>
      <c r="BM56" s="30"/>
      <c r="BN56" s="30"/>
      <c r="BO56" s="33">
        <f t="shared" si="2"/>
        <v>0</v>
      </c>
      <c r="BP56" s="30">
        <v>15</v>
      </c>
      <c r="BQ56" s="30">
        <v>21</v>
      </c>
      <c r="BR56" s="30"/>
      <c r="BS56" s="30"/>
      <c r="BT56" s="34">
        <f t="shared" si="3"/>
        <v>56.22</v>
      </c>
      <c r="BU56" s="34"/>
      <c r="BV56" s="34"/>
      <c r="BW56" s="34"/>
      <c r="BX56" s="34"/>
      <c r="BY56" s="30"/>
      <c r="BZ56" s="31">
        <f t="shared" ref="BZ56:BZ119" si="12">(BT56*BP56)+(BV56*BX56)</f>
        <v>843.3</v>
      </c>
      <c r="CA56" s="31">
        <f t="shared" si="5"/>
        <v>1180.6199999999999</v>
      </c>
    </row>
    <row r="57" spans="1:79" ht="51" x14ac:dyDescent="0.25">
      <c r="A57" s="17"/>
      <c r="B57" s="2">
        <v>56</v>
      </c>
      <c r="C57" s="18">
        <v>204</v>
      </c>
      <c r="D57" s="18">
        <v>282</v>
      </c>
      <c r="E57" s="19">
        <v>0.69374999999999998</v>
      </c>
      <c r="F57" s="59">
        <v>0.71458333333333324</v>
      </c>
      <c r="G57" s="18" t="s">
        <v>348</v>
      </c>
      <c r="H57" s="18" t="s">
        <v>352</v>
      </c>
      <c r="I57" s="20">
        <v>17.899999999999999</v>
      </c>
      <c r="J57" s="21" t="s">
        <v>274</v>
      </c>
      <c r="K57" s="22">
        <v>55</v>
      </c>
      <c r="L57" s="23">
        <f t="shared" si="0"/>
        <v>984.49999999999989</v>
      </c>
      <c r="M57" s="24" t="s">
        <v>176</v>
      </c>
      <c r="N57" s="25" t="s">
        <v>275</v>
      </c>
      <c r="O57" s="25">
        <v>57</v>
      </c>
      <c r="P57" s="25" t="s">
        <v>276</v>
      </c>
      <c r="Q57" s="17">
        <v>50</v>
      </c>
      <c r="R57" s="25" t="s">
        <v>296</v>
      </c>
      <c r="S57" s="25"/>
      <c r="T57" s="26" t="s">
        <v>340</v>
      </c>
      <c r="U57" s="26" t="s">
        <v>350</v>
      </c>
      <c r="V57" s="26">
        <v>2057</v>
      </c>
      <c r="W57" s="26" t="s">
        <v>126</v>
      </c>
      <c r="X57" s="27">
        <v>44562</v>
      </c>
      <c r="Y57" s="27">
        <v>44815</v>
      </c>
      <c r="Z57" s="27">
        <v>45101</v>
      </c>
      <c r="AA57" s="27">
        <v>45169</v>
      </c>
      <c r="AB57" s="26" t="s">
        <v>353</v>
      </c>
      <c r="AC57" s="26"/>
      <c r="AD57" s="28"/>
      <c r="AE57" s="28" t="s">
        <v>90</v>
      </c>
      <c r="AF57" s="28" t="s">
        <v>90</v>
      </c>
      <c r="AG57" s="28"/>
      <c r="AH57" s="28" t="s">
        <v>90</v>
      </c>
      <c r="AI57" s="28" t="s">
        <v>90</v>
      </c>
      <c r="AJ57" s="28" t="s">
        <v>90</v>
      </c>
      <c r="AK57" s="28" t="s">
        <v>90</v>
      </c>
      <c r="AL57" s="28" t="s">
        <v>90</v>
      </c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9">
        <f>44.52+11.7</f>
        <v>56.22</v>
      </c>
      <c r="AY57" s="30"/>
      <c r="AZ57" s="30"/>
      <c r="BA57" s="29"/>
      <c r="BB57" s="29"/>
      <c r="BC57" s="30"/>
      <c r="BD57" s="31">
        <f t="shared" si="1"/>
        <v>3092.1</v>
      </c>
      <c r="BE57" s="31"/>
      <c r="BF57" s="30"/>
      <c r="BG57" s="32">
        <v>2</v>
      </c>
      <c r="BH57" s="31">
        <f t="shared" si="9"/>
        <v>0</v>
      </c>
      <c r="BI57" s="31">
        <f t="shared" si="10"/>
        <v>0</v>
      </c>
      <c r="BJ57" s="33">
        <f t="shared" si="11"/>
        <v>0</v>
      </c>
      <c r="BK57" s="30"/>
      <c r="BL57" s="30"/>
      <c r="BM57" s="30"/>
      <c r="BN57" s="30"/>
      <c r="BO57" s="33">
        <f t="shared" si="2"/>
        <v>0</v>
      </c>
      <c r="BP57" s="30">
        <v>7</v>
      </c>
      <c r="BQ57" s="30">
        <v>0</v>
      </c>
      <c r="BR57" s="30"/>
      <c r="BS57" s="30"/>
      <c r="BT57" s="34">
        <f t="shared" si="3"/>
        <v>56.22</v>
      </c>
      <c r="BU57" s="34"/>
      <c r="BV57" s="34"/>
      <c r="BW57" s="34"/>
      <c r="BX57" s="34"/>
      <c r="BY57" s="30"/>
      <c r="BZ57" s="31">
        <f t="shared" si="12"/>
        <v>393.53999999999996</v>
      </c>
      <c r="CA57" s="31">
        <f t="shared" si="5"/>
        <v>0</v>
      </c>
    </row>
    <row r="58" spans="1:79" ht="51" x14ac:dyDescent="0.25">
      <c r="A58" s="17"/>
      <c r="B58" s="2">
        <v>57</v>
      </c>
      <c r="C58" s="18">
        <v>205</v>
      </c>
      <c r="D58" s="18">
        <v>59</v>
      </c>
      <c r="E58" s="19">
        <v>0.28611111111111115</v>
      </c>
      <c r="F58" s="19">
        <v>0.2902777777777778</v>
      </c>
      <c r="G58" s="18" t="s">
        <v>354</v>
      </c>
      <c r="H58" s="18" t="s">
        <v>355</v>
      </c>
      <c r="I58" s="20">
        <v>1</v>
      </c>
      <c r="J58" s="21" t="s">
        <v>93</v>
      </c>
      <c r="K58" s="22">
        <v>55</v>
      </c>
      <c r="L58" s="23">
        <f t="shared" si="0"/>
        <v>55</v>
      </c>
      <c r="M58" s="24" t="s">
        <v>176</v>
      </c>
      <c r="N58" s="25" t="s">
        <v>356</v>
      </c>
      <c r="O58" s="25">
        <v>20</v>
      </c>
      <c r="P58" s="25" t="s">
        <v>178</v>
      </c>
      <c r="Q58" s="25">
        <v>23</v>
      </c>
      <c r="R58" s="25" t="s">
        <v>177</v>
      </c>
      <c r="S58" s="35">
        <v>24</v>
      </c>
      <c r="T58" s="26">
        <v>2101</v>
      </c>
      <c r="U58" s="26" t="s">
        <v>357</v>
      </c>
      <c r="V58" s="26">
        <v>2100</v>
      </c>
      <c r="W58" s="26" t="s">
        <v>358</v>
      </c>
      <c r="X58" s="27">
        <v>44562</v>
      </c>
      <c r="Y58" s="27">
        <v>44815</v>
      </c>
      <c r="Z58" s="27">
        <v>45101</v>
      </c>
      <c r="AA58" s="27">
        <v>45169</v>
      </c>
      <c r="AB58" s="26" t="s">
        <v>353</v>
      </c>
      <c r="AC58" s="26"/>
      <c r="AD58" s="28"/>
      <c r="AE58" s="28" t="s">
        <v>90</v>
      </c>
      <c r="AF58" s="28" t="s">
        <v>90</v>
      </c>
      <c r="AG58" s="28"/>
      <c r="AH58" s="28" t="s">
        <v>90</v>
      </c>
      <c r="AI58" s="28" t="s">
        <v>90</v>
      </c>
      <c r="AJ58" s="28" t="s">
        <v>90</v>
      </c>
      <c r="AK58" s="28" t="s">
        <v>90</v>
      </c>
      <c r="AL58" s="28" t="s">
        <v>90</v>
      </c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9">
        <v>11.87</v>
      </c>
      <c r="AY58" s="30"/>
      <c r="AZ58" s="30"/>
      <c r="BA58" s="29"/>
      <c r="BB58" s="29"/>
      <c r="BC58" s="30"/>
      <c r="BD58" s="31">
        <f t="shared" si="1"/>
        <v>652.84999999999991</v>
      </c>
      <c r="BE58" s="31"/>
      <c r="BF58" s="30"/>
      <c r="BG58" s="36">
        <v>1</v>
      </c>
      <c r="BH58" s="31">
        <f t="shared" si="9"/>
        <v>0</v>
      </c>
      <c r="BI58" s="31">
        <f t="shared" si="10"/>
        <v>0</v>
      </c>
      <c r="BJ58" s="33">
        <f t="shared" si="11"/>
        <v>0</v>
      </c>
      <c r="BK58" s="30"/>
      <c r="BL58" s="30"/>
      <c r="BM58" s="30"/>
      <c r="BN58" s="31">
        <f>IF((AX58+AY58+AZ58)&lt;20,(20-(AX58+AY58+AZ58)),0)</f>
        <v>8.1300000000000008</v>
      </c>
      <c r="BO58" s="33">
        <f t="shared" si="2"/>
        <v>447.15000000000003</v>
      </c>
      <c r="BP58" s="30">
        <v>7</v>
      </c>
      <c r="BQ58" s="30">
        <v>0</v>
      </c>
      <c r="BR58" s="30"/>
      <c r="BS58" s="30"/>
      <c r="BT58" s="34">
        <f t="shared" si="3"/>
        <v>20</v>
      </c>
      <c r="BU58" s="34"/>
      <c r="BV58" s="34"/>
      <c r="BW58" s="34"/>
      <c r="BX58" s="34"/>
      <c r="BY58" s="30"/>
      <c r="BZ58" s="31">
        <f t="shared" si="12"/>
        <v>140</v>
      </c>
      <c r="CA58" s="31">
        <f t="shared" si="5"/>
        <v>0</v>
      </c>
    </row>
    <row r="59" spans="1:79" ht="76.5" x14ac:dyDescent="0.25">
      <c r="A59" s="17"/>
      <c r="B59" s="2">
        <v>58</v>
      </c>
      <c r="C59" s="18">
        <v>205</v>
      </c>
      <c r="D59" s="18">
        <v>397</v>
      </c>
      <c r="E59" s="19">
        <v>0.28611111111111115</v>
      </c>
      <c r="F59" s="59">
        <v>0.28819444444444448</v>
      </c>
      <c r="G59" s="18" t="s">
        <v>354</v>
      </c>
      <c r="H59" s="18" t="s">
        <v>359</v>
      </c>
      <c r="I59" s="20">
        <v>1</v>
      </c>
      <c r="J59" s="21" t="s">
        <v>93</v>
      </c>
      <c r="K59" s="22">
        <v>29</v>
      </c>
      <c r="L59" s="23">
        <f t="shared" si="0"/>
        <v>29</v>
      </c>
      <c r="M59" s="24" t="s">
        <v>176</v>
      </c>
      <c r="N59" s="25" t="s">
        <v>356</v>
      </c>
      <c r="O59" s="25">
        <v>20</v>
      </c>
      <c r="P59" s="25" t="s">
        <v>178</v>
      </c>
      <c r="Q59" s="25">
        <v>23</v>
      </c>
      <c r="R59" s="25" t="s">
        <v>177</v>
      </c>
      <c r="S59" s="35">
        <v>24</v>
      </c>
      <c r="T59" s="26">
        <v>2101</v>
      </c>
      <c r="U59" s="26" t="s">
        <v>357</v>
      </c>
      <c r="V59" s="26">
        <v>2100</v>
      </c>
      <c r="W59" s="26" t="s">
        <v>358</v>
      </c>
      <c r="X59" s="27">
        <v>44816</v>
      </c>
      <c r="Y59" s="27">
        <v>45100</v>
      </c>
      <c r="Z59" s="27"/>
      <c r="AA59" s="27"/>
      <c r="AB59" s="26" t="s">
        <v>360</v>
      </c>
      <c r="AC59" s="26"/>
      <c r="AD59" s="28" t="s">
        <v>90</v>
      </c>
      <c r="AE59" s="28"/>
      <c r="AF59" s="28" t="s">
        <v>90</v>
      </c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 t="s">
        <v>90</v>
      </c>
      <c r="AS59" s="28" t="s">
        <v>90</v>
      </c>
      <c r="AT59" s="28" t="s">
        <v>90</v>
      </c>
      <c r="AU59" s="28" t="s">
        <v>90</v>
      </c>
      <c r="AV59" s="28" t="s">
        <v>90</v>
      </c>
      <c r="AW59" s="28" t="s">
        <v>90</v>
      </c>
      <c r="AX59" s="29">
        <v>11.87</v>
      </c>
      <c r="AY59" s="30"/>
      <c r="AZ59" s="30"/>
      <c r="BA59" s="29"/>
      <c r="BB59" s="29"/>
      <c r="BC59" s="30"/>
      <c r="BD59" s="31">
        <f t="shared" si="1"/>
        <v>344.22999999999996</v>
      </c>
      <c r="BE59" s="31"/>
      <c r="BF59" s="30"/>
      <c r="BG59" s="36">
        <v>1</v>
      </c>
      <c r="BH59" s="31">
        <f t="shared" si="9"/>
        <v>0</v>
      </c>
      <c r="BI59" s="31">
        <f t="shared" si="10"/>
        <v>0</v>
      </c>
      <c r="BJ59" s="33">
        <f t="shared" si="11"/>
        <v>0</v>
      </c>
      <c r="BK59" s="30"/>
      <c r="BL59" s="30"/>
      <c r="BM59" s="30"/>
      <c r="BN59" s="31">
        <f>IF((AX59+AY59+AZ59)&lt;20,(20-(AX59+AY59+AZ59)),0)</f>
        <v>8.1300000000000008</v>
      </c>
      <c r="BO59" s="33">
        <f t="shared" si="2"/>
        <v>235.77</v>
      </c>
      <c r="BP59" s="30">
        <v>0</v>
      </c>
      <c r="BQ59" s="30">
        <v>1</v>
      </c>
      <c r="BR59" s="30"/>
      <c r="BS59" s="30"/>
      <c r="BT59" s="34">
        <f t="shared" si="3"/>
        <v>20</v>
      </c>
      <c r="BU59" s="34"/>
      <c r="BV59" s="34"/>
      <c r="BW59" s="34"/>
      <c r="BX59" s="34"/>
      <c r="BY59" s="30"/>
      <c r="BZ59" s="31">
        <f t="shared" si="12"/>
        <v>0</v>
      </c>
      <c r="CA59" s="31">
        <f t="shared" si="5"/>
        <v>20</v>
      </c>
    </row>
    <row r="60" spans="1:79" ht="51" x14ac:dyDescent="0.25">
      <c r="A60" s="17"/>
      <c r="B60" s="2">
        <v>59</v>
      </c>
      <c r="C60" s="18">
        <v>205</v>
      </c>
      <c r="D60" s="18">
        <v>400</v>
      </c>
      <c r="E60" s="19">
        <v>0.74305555555555547</v>
      </c>
      <c r="F60" s="19">
        <v>0.74444444444444446</v>
      </c>
      <c r="G60" s="18" t="s">
        <v>361</v>
      </c>
      <c r="H60" s="18" t="s">
        <v>273</v>
      </c>
      <c r="I60" s="20">
        <v>1.5</v>
      </c>
      <c r="J60" s="21" t="s">
        <v>93</v>
      </c>
      <c r="K60" s="22">
        <v>174</v>
      </c>
      <c r="L60" s="23">
        <f t="shared" si="0"/>
        <v>261</v>
      </c>
      <c r="M60" s="24" t="s">
        <v>176</v>
      </c>
      <c r="N60" s="25" t="s">
        <v>356</v>
      </c>
      <c r="O60" s="25">
        <v>20</v>
      </c>
      <c r="P60" s="25" t="s">
        <v>178</v>
      </c>
      <c r="Q60" s="25">
        <v>23</v>
      </c>
      <c r="R60" s="25" t="s">
        <v>177</v>
      </c>
      <c r="S60" s="35">
        <v>24</v>
      </c>
      <c r="T60" s="26">
        <v>2100</v>
      </c>
      <c r="U60" s="26" t="s">
        <v>358</v>
      </c>
      <c r="V60" s="26">
        <v>2101</v>
      </c>
      <c r="W60" s="26" t="s">
        <v>357</v>
      </c>
      <c r="X60" s="66">
        <v>44816</v>
      </c>
      <c r="Y60" s="66">
        <v>45086</v>
      </c>
      <c r="Z60" s="66"/>
      <c r="AA60" s="66"/>
      <c r="AB60" s="26" t="s">
        <v>282</v>
      </c>
      <c r="AC60" s="26"/>
      <c r="AD60" s="28"/>
      <c r="AE60" s="28"/>
      <c r="AF60" s="28"/>
      <c r="AG60" s="28" t="s">
        <v>90</v>
      </c>
      <c r="AH60" s="28" t="s">
        <v>90</v>
      </c>
      <c r="AI60" s="28" t="s">
        <v>90</v>
      </c>
      <c r="AJ60" s="28" t="s">
        <v>90</v>
      </c>
      <c r="AK60" s="28" t="s">
        <v>90</v>
      </c>
      <c r="AL60" s="28" t="s">
        <v>90</v>
      </c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9">
        <v>11.87</v>
      </c>
      <c r="AY60" s="30"/>
      <c r="AZ60" s="30"/>
      <c r="BA60" s="29"/>
      <c r="BB60" s="29"/>
      <c r="BC60" s="30"/>
      <c r="BD60" s="31">
        <f t="shared" si="1"/>
        <v>2065.3799999999997</v>
      </c>
      <c r="BE60" s="31"/>
      <c r="BF60" s="30"/>
      <c r="BG60" s="36">
        <v>1</v>
      </c>
      <c r="BH60" s="31">
        <f t="shared" si="9"/>
        <v>0</v>
      </c>
      <c r="BI60" s="31">
        <f t="shared" si="10"/>
        <v>0</v>
      </c>
      <c r="BJ60" s="33">
        <f t="shared" si="11"/>
        <v>0</v>
      </c>
      <c r="BK60" s="30"/>
      <c r="BL60" s="30"/>
      <c r="BM60" s="30"/>
      <c r="BN60" s="30"/>
      <c r="BO60" s="33">
        <f t="shared" si="2"/>
        <v>0</v>
      </c>
      <c r="BP60" s="30">
        <v>15</v>
      </c>
      <c r="BQ60" s="30">
        <v>20</v>
      </c>
      <c r="BR60" s="30"/>
      <c r="BS60" s="30"/>
      <c r="BT60" s="34">
        <f t="shared" si="3"/>
        <v>11.87</v>
      </c>
      <c r="BU60" s="34"/>
      <c r="BV60" s="34"/>
      <c r="BW60" s="34"/>
      <c r="BX60" s="34"/>
      <c r="BY60" s="30"/>
      <c r="BZ60" s="31">
        <f t="shared" si="12"/>
        <v>178.04999999999998</v>
      </c>
      <c r="CA60" s="31">
        <f t="shared" si="5"/>
        <v>237.39999999999998</v>
      </c>
    </row>
    <row r="61" spans="1:79" ht="51" x14ac:dyDescent="0.25">
      <c r="A61" s="17"/>
      <c r="B61" s="2">
        <v>60</v>
      </c>
      <c r="C61" s="18">
        <v>206</v>
      </c>
      <c r="D61" s="18">
        <v>124</v>
      </c>
      <c r="E61" s="19">
        <v>0.67361111111111116</v>
      </c>
      <c r="F61" s="19">
        <v>0.70138888888888884</v>
      </c>
      <c r="G61" s="18" t="s">
        <v>362</v>
      </c>
      <c r="H61" s="18" t="s">
        <v>349</v>
      </c>
      <c r="I61" s="20">
        <v>18.3</v>
      </c>
      <c r="J61" s="21" t="s">
        <v>363</v>
      </c>
      <c r="K61" s="22">
        <v>202</v>
      </c>
      <c r="L61" s="23">
        <f t="shared" si="0"/>
        <v>3696.6000000000004</v>
      </c>
      <c r="M61" s="24" t="s">
        <v>176</v>
      </c>
      <c r="N61" s="25" t="s">
        <v>177</v>
      </c>
      <c r="O61" s="25">
        <v>23</v>
      </c>
      <c r="P61" s="25" t="s">
        <v>339</v>
      </c>
      <c r="Q61" s="25">
        <v>36</v>
      </c>
      <c r="R61" s="17"/>
      <c r="S61" s="25"/>
      <c r="T61" s="26">
        <v>1</v>
      </c>
      <c r="U61" s="26" t="s">
        <v>179</v>
      </c>
      <c r="V61" s="26" t="s">
        <v>364</v>
      </c>
      <c r="W61" s="26" t="s">
        <v>365</v>
      </c>
      <c r="X61" s="27">
        <v>44816</v>
      </c>
      <c r="Y61" s="27">
        <v>45100</v>
      </c>
      <c r="Z61" s="27"/>
      <c r="AA61" s="27"/>
      <c r="AB61" s="26" t="s">
        <v>351</v>
      </c>
      <c r="AC61" s="26"/>
      <c r="AD61" s="28" t="s">
        <v>90</v>
      </c>
      <c r="AE61" s="28"/>
      <c r="AF61" s="28" t="s">
        <v>90</v>
      </c>
      <c r="AG61" s="28"/>
      <c r="AH61" s="28" t="s">
        <v>90</v>
      </c>
      <c r="AI61" s="28" t="s">
        <v>90</v>
      </c>
      <c r="AJ61" s="28" t="s">
        <v>90</v>
      </c>
      <c r="AK61" s="28" t="s">
        <v>90</v>
      </c>
      <c r="AL61" s="28" t="s">
        <v>90</v>
      </c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9">
        <v>75.33</v>
      </c>
      <c r="AY61" s="30"/>
      <c r="AZ61" s="30"/>
      <c r="BA61" s="29"/>
      <c r="BB61" s="29"/>
      <c r="BC61" s="30"/>
      <c r="BD61" s="31">
        <f t="shared" si="1"/>
        <v>15216.66</v>
      </c>
      <c r="BE61" s="31"/>
      <c r="BF61" s="30"/>
      <c r="BG61" s="36">
        <v>1</v>
      </c>
      <c r="BH61" s="31">
        <f t="shared" si="9"/>
        <v>0</v>
      </c>
      <c r="BI61" s="31">
        <f t="shared" si="10"/>
        <v>0</v>
      </c>
      <c r="BJ61" s="33">
        <f t="shared" si="11"/>
        <v>0</v>
      </c>
      <c r="BK61" s="30"/>
      <c r="BL61" s="30"/>
      <c r="BM61" s="30"/>
      <c r="BN61" s="30"/>
      <c r="BO61" s="33">
        <f t="shared" si="2"/>
        <v>0</v>
      </c>
      <c r="BP61" s="30">
        <v>15</v>
      </c>
      <c r="BQ61" s="30">
        <v>21</v>
      </c>
      <c r="BR61" s="30"/>
      <c r="BS61" s="30"/>
      <c r="BT61" s="34">
        <f t="shared" si="3"/>
        <v>75.33</v>
      </c>
      <c r="BU61" s="34"/>
      <c r="BV61" s="34"/>
      <c r="BW61" s="34"/>
      <c r="BX61" s="34"/>
      <c r="BY61" s="30"/>
      <c r="BZ61" s="31">
        <f t="shared" si="12"/>
        <v>1129.95</v>
      </c>
      <c r="CA61" s="31">
        <f t="shared" si="5"/>
        <v>1581.93</v>
      </c>
    </row>
    <row r="62" spans="1:79" ht="51" x14ac:dyDescent="0.25">
      <c r="A62" s="17"/>
      <c r="B62" s="2">
        <v>61</v>
      </c>
      <c r="C62" s="18">
        <v>213</v>
      </c>
      <c r="D62" s="18">
        <v>5</v>
      </c>
      <c r="E62" s="19">
        <v>0.28819444444444448</v>
      </c>
      <c r="F62" s="19">
        <v>0.2986111111111111</v>
      </c>
      <c r="G62" s="18" t="s">
        <v>366</v>
      </c>
      <c r="H62" s="18" t="s">
        <v>306</v>
      </c>
      <c r="I62" s="20">
        <v>3.7</v>
      </c>
      <c r="J62" s="21" t="s">
        <v>367</v>
      </c>
      <c r="K62" s="22">
        <v>208</v>
      </c>
      <c r="L62" s="23">
        <f t="shared" si="0"/>
        <v>769.6</v>
      </c>
      <c r="M62" s="24" t="s">
        <v>165</v>
      </c>
      <c r="N62" s="25" t="s">
        <v>168</v>
      </c>
      <c r="O62" s="25">
        <v>29</v>
      </c>
      <c r="P62" s="25" t="s">
        <v>368</v>
      </c>
      <c r="Q62" s="25">
        <v>21</v>
      </c>
      <c r="R62" s="25" t="s">
        <v>369</v>
      </c>
      <c r="S62" s="35">
        <v>9</v>
      </c>
      <c r="T62" s="26">
        <v>2324</v>
      </c>
      <c r="U62" s="26" t="s">
        <v>370</v>
      </c>
      <c r="V62" s="26">
        <v>2310</v>
      </c>
      <c r="W62" s="26" t="s">
        <v>371</v>
      </c>
      <c r="X62" s="66">
        <v>44816</v>
      </c>
      <c r="Y62" s="66">
        <v>45086</v>
      </c>
      <c r="Z62" s="66"/>
      <c r="AA62" s="66"/>
      <c r="AB62" s="26" t="s">
        <v>309</v>
      </c>
      <c r="AC62" s="26"/>
      <c r="AD62" s="28"/>
      <c r="AE62" s="28"/>
      <c r="AF62" s="28"/>
      <c r="AG62" s="28" t="s">
        <v>90</v>
      </c>
      <c r="AH62" s="28" t="s">
        <v>90</v>
      </c>
      <c r="AI62" s="28" t="s">
        <v>90</v>
      </c>
      <c r="AJ62" s="28" t="s">
        <v>90</v>
      </c>
      <c r="AK62" s="28" t="s">
        <v>90</v>
      </c>
      <c r="AL62" s="28" t="s">
        <v>90</v>
      </c>
      <c r="AM62" s="28" t="s">
        <v>90</v>
      </c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9">
        <v>25.6</v>
      </c>
      <c r="AY62" s="31"/>
      <c r="AZ62" s="30"/>
      <c r="BA62" s="29"/>
      <c r="BB62" s="29"/>
      <c r="BC62" s="30"/>
      <c r="BD62" s="31">
        <f t="shared" si="1"/>
        <v>5324.8</v>
      </c>
      <c r="BE62" s="31"/>
      <c r="BF62" s="30"/>
      <c r="BG62" s="36">
        <v>1</v>
      </c>
      <c r="BH62" s="31">
        <f t="shared" si="9"/>
        <v>0</v>
      </c>
      <c r="BI62" s="31">
        <f t="shared" si="10"/>
        <v>0</v>
      </c>
      <c r="BJ62" s="33">
        <f t="shared" si="11"/>
        <v>0</v>
      </c>
      <c r="BK62" s="30"/>
      <c r="BL62" s="30"/>
      <c r="BM62" s="30"/>
      <c r="BN62" s="31">
        <f>IF((AX62+AY62+AZ62)&lt;20,(20-(AX62+AY62+AZ62)),0)</f>
        <v>0</v>
      </c>
      <c r="BO62" s="33">
        <f t="shared" si="2"/>
        <v>0</v>
      </c>
      <c r="BP62" s="30">
        <v>17</v>
      </c>
      <c r="BQ62" s="30">
        <v>25</v>
      </c>
      <c r="BR62" s="30"/>
      <c r="BS62" s="30"/>
      <c r="BT62" s="34">
        <f t="shared" si="3"/>
        <v>25.6</v>
      </c>
      <c r="BU62" s="34"/>
      <c r="BV62" s="34"/>
      <c r="BW62" s="34"/>
      <c r="BX62" s="34"/>
      <c r="BY62" s="30"/>
      <c r="BZ62" s="31">
        <f t="shared" si="12"/>
        <v>435.20000000000005</v>
      </c>
      <c r="CA62" s="31">
        <f t="shared" si="5"/>
        <v>640</v>
      </c>
    </row>
    <row r="63" spans="1:79" ht="78.75" x14ac:dyDescent="0.25">
      <c r="A63" s="17"/>
      <c r="B63" s="2">
        <v>62</v>
      </c>
      <c r="C63" s="18">
        <v>214</v>
      </c>
      <c r="D63" s="18"/>
      <c r="E63" s="19">
        <v>0.30833333333333335</v>
      </c>
      <c r="F63" s="19">
        <v>0.32291666666666669</v>
      </c>
      <c r="G63" s="18" t="s">
        <v>372</v>
      </c>
      <c r="H63" s="18" t="s">
        <v>306</v>
      </c>
      <c r="I63" s="20">
        <v>10.5</v>
      </c>
      <c r="J63" s="21" t="s">
        <v>373</v>
      </c>
      <c r="K63" s="22">
        <v>208</v>
      </c>
      <c r="L63" s="23">
        <f t="shared" si="0"/>
        <v>2184</v>
      </c>
      <c r="M63" s="24" t="s">
        <v>374</v>
      </c>
      <c r="N63" s="25" t="s">
        <v>375</v>
      </c>
      <c r="O63" s="25">
        <v>9</v>
      </c>
      <c r="P63" s="25" t="s">
        <v>376</v>
      </c>
      <c r="Q63" s="25">
        <v>9</v>
      </c>
      <c r="R63" s="17"/>
      <c r="S63" s="25"/>
      <c r="T63" s="26">
        <v>2160</v>
      </c>
      <c r="U63" s="26" t="s">
        <v>377</v>
      </c>
      <c r="V63" s="26">
        <v>960</v>
      </c>
      <c r="W63" s="26" t="s">
        <v>151</v>
      </c>
      <c r="X63" s="66">
        <v>44816</v>
      </c>
      <c r="Y63" s="66">
        <v>45086</v>
      </c>
      <c r="Z63" s="66"/>
      <c r="AA63" s="66"/>
      <c r="AB63" s="26" t="s">
        <v>309</v>
      </c>
      <c r="AC63" s="26"/>
      <c r="AD63" s="28"/>
      <c r="AE63" s="28"/>
      <c r="AF63" s="28"/>
      <c r="AG63" s="28" t="s">
        <v>90</v>
      </c>
      <c r="AH63" s="28" t="s">
        <v>90</v>
      </c>
      <c r="AI63" s="28" t="s">
        <v>90</v>
      </c>
      <c r="AJ63" s="28" t="s">
        <v>90</v>
      </c>
      <c r="AK63" s="28" t="s">
        <v>90</v>
      </c>
      <c r="AL63" s="28" t="s">
        <v>90</v>
      </c>
      <c r="AM63" s="28" t="s">
        <v>90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9">
        <v>31.5</v>
      </c>
      <c r="AY63" s="31"/>
      <c r="AZ63" s="30"/>
      <c r="BA63" s="29"/>
      <c r="BB63" s="29"/>
      <c r="BC63" s="30"/>
      <c r="BD63" s="31">
        <f t="shared" si="1"/>
        <v>6552</v>
      </c>
      <c r="BE63" s="31"/>
      <c r="BF63" s="30"/>
      <c r="BG63" s="36">
        <v>1</v>
      </c>
      <c r="BH63" s="31">
        <f t="shared" si="9"/>
        <v>0</v>
      </c>
      <c r="BI63" s="31">
        <f t="shared" si="10"/>
        <v>0</v>
      </c>
      <c r="BJ63" s="33">
        <f t="shared" si="11"/>
        <v>0</v>
      </c>
      <c r="BK63" s="30"/>
      <c r="BL63" s="30"/>
      <c r="BM63" s="30"/>
      <c r="BN63" s="30"/>
      <c r="BO63" s="33">
        <f t="shared" si="2"/>
        <v>0</v>
      </c>
      <c r="BP63" s="30">
        <v>17</v>
      </c>
      <c r="BQ63" s="30">
        <v>25</v>
      </c>
      <c r="BR63" s="30"/>
      <c r="BS63" s="30"/>
      <c r="BT63" s="34">
        <f t="shared" si="3"/>
        <v>31.5</v>
      </c>
      <c r="BU63" s="34"/>
      <c r="BV63" s="34"/>
      <c r="BW63" s="34"/>
      <c r="BX63" s="34"/>
      <c r="BY63" s="30"/>
      <c r="BZ63" s="31">
        <f t="shared" si="12"/>
        <v>535.5</v>
      </c>
      <c r="CA63" s="31">
        <f t="shared" si="5"/>
        <v>787.5</v>
      </c>
    </row>
    <row r="64" spans="1:79" ht="78.75" x14ac:dyDescent="0.25">
      <c r="A64" s="17"/>
      <c r="B64" s="2">
        <v>63</v>
      </c>
      <c r="C64" s="18">
        <v>214</v>
      </c>
      <c r="D64" s="18">
        <v>616</v>
      </c>
      <c r="E64" s="19">
        <v>0.54305555555555551</v>
      </c>
      <c r="F64" s="19">
        <v>0.54583333333333328</v>
      </c>
      <c r="G64" s="18" t="s">
        <v>378</v>
      </c>
      <c r="H64" s="18" t="s">
        <v>379</v>
      </c>
      <c r="I64" s="20">
        <v>3.1</v>
      </c>
      <c r="J64" s="21" t="s">
        <v>380</v>
      </c>
      <c r="K64" s="22">
        <v>34</v>
      </c>
      <c r="L64" s="23">
        <f t="shared" si="0"/>
        <v>105.4</v>
      </c>
      <c r="M64" s="24" t="s">
        <v>374</v>
      </c>
      <c r="N64" s="25" t="s">
        <v>375</v>
      </c>
      <c r="O64" s="25">
        <v>9</v>
      </c>
      <c r="P64" s="25" t="s">
        <v>376</v>
      </c>
      <c r="Q64" s="25">
        <v>9</v>
      </c>
      <c r="R64" s="17"/>
      <c r="S64" s="25"/>
      <c r="T64" s="26">
        <v>2163</v>
      </c>
      <c r="U64" s="26" t="s">
        <v>381</v>
      </c>
      <c r="V64" s="26">
        <v>2160</v>
      </c>
      <c r="W64" s="26" t="s">
        <v>377</v>
      </c>
      <c r="X64" s="66">
        <v>44816</v>
      </c>
      <c r="Y64" s="66">
        <v>45086</v>
      </c>
      <c r="Z64" s="66"/>
      <c r="AA64" s="66"/>
      <c r="AB64" s="28" t="s">
        <v>382</v>
      </c>
      <c r="AC64" s="28"/>
      <c r="AD64" s="28"/>
      <c r="AE64" s="28"/>
      <c r="AF64" s="28"/>
      <c r="AG64" s="28" t="s">
        <v>90</v>
      </c>
      <c r="AH64" s="28"/>
      <c r="AI64" s="28"/>
      <c r="AJ64" s="28"/>
      <c r="AK64" s="28"/>
      <c r="AL64" s="28"/>
      <c r="AM64" s="28" t="s">
        <v>90</v>
      </c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9">
        <v>18.899999999999999</v>
      </c>
      <c r="AY64" s="31"/>
      <c r="AZ64" s="30"/>
      <c r="BA64" s="29"/>
      <c r="BB64" s="29"/>
      <c r="BC64" s="30"/>
      <c r="BD64" s="31">
        <f t="shared" si="1"/>
        <v>642.59999999999991</v>
      </c>
      <c r="BE64" s="31"/>
      <c r="BF64" s="30"/>
      <c r="BG64" s="36">
        <v>1</v>
      </c>
      <c r="BH64" s="31">
        <f t="shared" si="9"/>
        <v>0</v>
      </c>
      <c r="BI64" s="31">
        <f t="shared" si="10"/>
        <v>0</v>
      </c>
      <c r="BJ64" s="33">
        <f t="shared" si="11"/>
        <v>0</v>
      </c>
      <c r="BK64" s="30"/>
      <c r="BL64" s="30"/>
      <c r="BM64" s="30"/>
      <c r="BN64" s="30"/>
      <c r="BO64" s="33">
        <f t="shared" si="2"/>
        <v>0</v>
      </c>
      <c r="BP64" s="30">
        <v>2</v>
      </c>
      <c r="BQ64" s="30">
        <v>5</v>
      </c>
      <c r="BR64" s="30"/>
      <c r="BS64" s="30"/>
      <c r="BT64" s="34">
        <f t="shared" si="3"/>
        <v>18.899999999999999</v>
      </c>
      <c r="BU64" s="34"/>
      <c r="BV64" s="34"/>
      <c r="BW64" s="34"/>
      <c r="BX64" s="34"/>
      <c r="BY64" s="30"/>
      <c r="BZ64" s="31">
        <f t="shared" si="12"/>
        <v>37.799999999999997</v>
      </c>
      <c r="CA64" s="31">
        <f t="shared" si="5"/>
        <v>94.5</v>
      </c>
    </row>
    <row r="65" spans="1:79" ht="78.75" x14ac:dyDescent="0.25">
      <c r="A65" s="17"/>
      <c r="B65" s="2">
        <v>64</v>
      </c>
      <c r="C65" s="18">
        <v>214</v>
      </c>
      <c r="D65" s="18">
        <v>49</v>
      </c>
      <c r="E65" s="19">
        <v>0.54861111111111105</v>
      </c>
      <c r="F65" s="19">
        <v>0.58680555555555558</v>
      </c>
      <c r="G65" s="18" t="s">
        <v>372</v>
      </c>
      <c r="H65" s="18" t="s">
        <v>383</v>
      </c>
      <c r="I65" s="20">
        <v>10.5</v>
      </c>
      <c r="J65" s="21" t="s">
        <v>380</v>
      </c>
      <c r="K65" s="22">
        <v>34</v>
      </c>
      <c r="L65" s="23">
        <f t="shared" si="0"/>
        <v>357</v>
      </c>
      <c r="M65" s="24" t="s">
        <v>374</v>
      </c>
      <c r="N65" s="25" t="s">
        <v>375</v>
      </c>
      <c r="O65" s="25">
        <v>9</v>
      </c>
      <c r="P65" s="25" t="s">
        <v>376</v>
      </c>
      <c r="Q65" s="25">
        <v>9</v>
      </c>
      <c r="R65" s="17"/>
      <c r="S65" s="25"/>
      <c r="T65" s="26">
        <v>2160</v>
      </c>
      <c r="U65" s="26" t="s">
        <v>377</v>
      </c>
      <c r="V65" s="26">
        <v>960</v>
      </c>
      <c r="W65" s="26" t="s">
        <v>151</v>
      </c>
      <c r="X65" s="66">
        <v>44816</v>
      </c>
      <c r="Y65" s="66">
        <v>45086</v>
      </c>
      <c r="Z65" s="66"/>
      <c r="AA65" s="66"/>
      <c r="AB65" s="28" t="s">
        <v>382</v>
      </c>
      <c r="AC65" s="28"/>
      <c r="AD65" s="28"/>
      <c r="AE65" s="28"/>
      <c r="AF65" s="28"/>
      <c r="AG65" s="28" t="s">
        <v>90</v>
      </c>
      <c r="AH65" s="28"/>
      <c r="AI65" s="28"/>
      <c r="AJ65" s="28"/>
      <c r="AK65" s="28"/>
      <c r="AL65" s="28"/>
      <c r="AM65" s="28" t="s">
        <v>90</v>
      </c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9">
        <v>18.899999999999999</v>
      </c>
      <c r="AY65" s="31"/>
      <c r="AZ65" s="30"/>
      <c r="BA65" s="29"/>
      <c r="BB65" s="29"/>
      <c r="BC65" s="30"/>
      <c r="BD65" s="31">
        <f t="shared" si="1"/>
        <v>642.59999999999991</v>
      </c>
      <c r="BE65" s="31"/>
      <c r="BF65" s="30"/>
      <c r="BG65" s="36">
        <v>1</v>
      </c>
      <c r="BH65" s="31">
        <f t="shared" si="9"/>
        <v>2.1000000000000014</v>
      </c>
      <c r="BI65" s="31">
        <f t="shared" si="10"/>
        <v>0</v>
      </c>
      <c r="BJ65" s="31">
        <f t="shared" si="11"/>
        <v>71.400000000000048</v>
      </c>
      <c r="BK65" s="30"/>
      <c r="BL65" s="30"/>
      <c r="BM65" s="30"/>
      <c r="BN65" s="30"/>
      <c r="BO65" s="33">
        <f t="shared" si="2"/>
        <v>0</v>
      </c>
      <c r="BP65" s="30">
        <v>2</v>
      </c>
      <c r="BQ65" s="30">
        <v>5</v>
      </c>
      <c r="BR65" s="30"/>
      <c r="BS65" s="30"/>
      <c r="BT65" s="34">
        <f t="shared" si="3"/>
        <v>21</v>
      </c>
      <c r="BU65" s="34"/>
      <c r="BV65" s="34"/>
      <c r="BW65" s="34"/>
      <c r="BX65" s="34"/>
      <c r="BY65" s="30"/>
      <c r="BZ65" s="31">
        <f t="shared" si="12"/>
        <v>42</v>
      </c>
      <c r="CA65" s="31">
        <f t="shared" si="5"/>
        <v>105</v>
      </c>
    </row>
    <row r="66" spans="1:79" ht="63.75" x14ac:dyDescent="0.25">
      <c r="A66" s="17"/>
      <c r="B66" s="2">
        <v>65</v>
      </c>
      <c r="C66" s="18">
        <v>214</v>
      </c>
      <c r="D66" s="18">
        <v>618</v>
      </c>
      <c r="E66" s="19">
        <v>0.5708333333333333</v>
      </c>
      <c r="F66" s="19">
        <v>0.57361111111111118</v>
      </c>
      <c r="G66" s="18" t="s">
        <v>378</v>
      </c>
      <c r="H66" s="58" t="s">
        <v>384</v>
      </c>
      <c r="I66" s="20">
        <v>3.1</v>
      </c>
      <c r="J66" s="21" t="s">
        <v>380</v>
      </c>
      <c r="K66" s="68">
        <f>174-K67</f>
        <v>106</v>
      </c>
      <c r="L66" s="23">
        <f t="shared" ref="L66:L129" si="13">+K66*I66</f>
        <v>328.6</v>
      </c>
      <c r="M66" s="24" t="s">
        <v>385</v>
      </c>
      <c r="N66" s="25" t="s">
        <v>386</v>
      </c>
      <c r="O66" s="25">
        <v>9</v>
      </c>
      <c r="P66" s="25" t="s">
        <v>387</v>
      </c>
      <c r="Q66" s="25">
        <v>23</v>
      </c>
      <c r="R66" s="25" t="s">
        <v>388</v>
      </c>
      <c r="S66" s="25">
        <v>7</v>
      </c>
      <c r="T66" s="26">
        <v>2163</v>
      </c>
      <c r="U66" s="26" t="s">
        <v>381</v>
      </c>
      <c r="V66" s="26">
        <v>2160</v>
      </c>
      <c r="W66" s="26" t="s">
        <v>377</v>
      </c>
      <c r="X66" s="66">
        <v>44816</v>
      </c>
      <c r="Y66" s="66">
        <v>45086</v>
      </c>
      <c r="Z66" s="66"/>
      <c r="AA66" s="66"/>
      <c r="AB66" s="26" t="s">
        <v>389</v>
      </c>
      <c r="AC66" s="26"/>
      <c r="AD66" s="28"/>
      <c r="AE66" s="28"/>
      <c r="AF66" s="28"/>
      <c r="AG66" s="28" t="s">
        <v>90</v>
      </c>
      <c r="AH66" s="28" t="s">
        <v>90</v>
      </c>
      <c r="AI66" s="28"/>
      <c r="AJ66" s="28" t="s">
        <v>90</v>
      </c>
      <c r="AK66" s="28"/>
      <c r="AL66" s="28" t="s">
        <v>90</v>
      </c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31">
        <v>18.899999999999999</v>
      </c>
      <c r="AY66" s="31"/>
      <c r="AZ66" s="30"/>
      <c r="BA66" s="31"/>
      <c r="BB66" s="31"/>
      <c r="BC66" s="30"/>
      <c r="BD66" s="31">
        <f t="shared" ref="BD66:BD129" si="14">AX66*K66</f>
        <v>2003.3999999999999</v>
      </c>
      <c r="BE66" s="31"/>
      <c r="BF66" s="30"/>
      <c r="BG66" s="36">
        <v>1</v>
      </c>
      <c r="BH66" s="31">
        <f t="shared" si="9"/>
        <v>0</v>
      </c>
      <c r="BI66" s="31">
        <f t="shared" si="10"/>
        <v>0</v>
      </c>
      <c r="BJ66" s="33">
        <f t="shared" si="11"/>
        <v>0</v>
      </c>
      <c r="BK66" s="30"/>
      <c r="BL66" s="30"/>
      <c r="BM66" s="30"/>
      <c r="BN66" s="30"/>
      <c r="BO66" s="33">
        <f t="shared" ref="BO66:BO129" si="15">BN66*K66</f>
        <v>0</v>
      </c>
      <c r="BP66" s="30">
        <v>9</v>
      </c>
      <c r="BQ66" s="30">
        <v>12</v>
      </c>
      <c r="BR66" s="30"/>
      <c r="BS66" s="30"/>
      <c r="BT66" s="34">
        <f t="shared" ref="BT66:BT129" si="16">SUM(AX66:AZ66)+SUM(BH66:BI66)+SUM(BK66:BL66)+BN66</f>
        <v>18.899999999999999</v>
      </c>
      <c r="BU66" s="34"/>
      <c r="BV66" s="34"/>
      <c r="BW66" s="34"/>
      <c r="BX66" s="34"/>
      <c r="BY66" s="30"/>
      <c r="BZ66" s="31">
        <f t="shared" si="12"/>
        <v>170.1</v>
      </c>
      <c r="CA66" s="31">
        <f t="shared" si="5"/>
        <v>226.79999999999998</v>
      </c>
    </row>
    <row r="67" spans="1:79" ht="78.75" x14ac:dyDescent="0.25">
      <c r="A67" s="17"/>
      <c r="B67" s="71" t="s">
        <v>390</v>
      </c>
      <c r="C67" s="18">
        <v>214</v>
      </c>
      <c r="D67" s="18">
        <v>618</v>
      </c>
      <c r="E67" s="19">
        <v>0.5708333333333333</v>
      </c>
      <c r="F67" s="19">
        <v>0.57361111111111118</v>
      </c>
      <c r="G67" s="18" t="s">
        <v>378</v>
      </c>
      <c r="H67" s="58" t="s">
        <v>391</v>
      </c>
      <c r="I67" s="20">
        <v>3.1</v>
      </c>
      <c r="J67" s="21" t="s">
        <v>380</v>
      </c>
      <c r="K67" s="68">
        <v>68</v>
      </c>
      <c r="L67" s="23">
        <f t="shared" si="13"/>
        <v>210.8</v>
      </c>
      <c r="M67" s="24" t="s">
        <v>374</v>
      </c>
      <c r="N67" s="25" t="s">
        <v>392</v>
      </c>
      <c r="O67" s="25">
        <v>9</v>
      </c>
      <c r="P67" s="25" t="s">
        <v>393</v>
      </c>
      <c r="Q67" s="25">
        <v>9</v>
      </c>
      <c r="R67" s="25"/>
      <c r="S67" s="25"/>
      <c r="T67" s="26">
        <v>2163</v>
      </c>
      <c r="U67" s="26" t="s">
        <v>381</v>
      </c>
      <c r="V67" s="26">
        <v>2160</v>
      </c>
      <c r="W67" s="26" t="s">
        <v>377</v>
      </c>
      <c r="X67" s="66">
        <v>44816</v>
      </c>
      <c r="Y67" s="66">
        <v>45086</v>
      </c>
      <c r="Z67" s="66"/>
      <c r="AA67" s="66"/>
      <c r="AB67" s="26" t="s">
        <v>394</v>
      </c>
      <c r="AC67" s="26"/>
      <c r="AD67" s="28"/>
      <c r="AE67" s="28"/>
      <c r="AF67" s="28"/>
      <c r="AG67" s="28" t="s">
        <v>90</v>
      </c>
      <c r="AH67" s="28"/>
      <c r="AI67" s="28" t="s">
        <v>90</v>
      </c>
      <c r="AJ67" s="28"/>
      <c r="AK67" s="28" t="s">
        <v>90</v>
      </c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31">
        <v>18.899999999999999</v>
      </c>
      <c r="AY67" s="31"/>
      <c r="AZ67" s="30"/>
      <c r="BA67" s="31"/>
      <c r="BB67" s="31"/>
      <c r="BC67" s="30"/>
      <c r="BD67" s="31">
        <f t="shared" si="14"/>
        <v>1285.1999999999998</v>
      </c>
      <c r="BE67" s="31"/>
      <c r="BF67" s="30"/>
      <c r="BG67" s="36">
        <v>1</v>
      </c>
      <c r="BH67" s="31">
        <f t="shared" si="9"/>
        <v>0</v>
      </c>
      <c r="BI67" s="31">
        <f t="shared" si="10"/>
        <v>0</v>
      </c>
      <c r="BJ67" s="33">
        <f t="shared" si="11"/>
        <v>0</v>
      </c>
      <c r="BK67" s="30"/>
      <c r="BL67" s="30"/>
      <c r="BM67" s="30"/>
      <c r="BN67" s="30"/>
      <c r="BO67" s="33">
        <f t="shared" si="15"/>
        <v>0</v>
      </c>
      <c r="BP67" s="30">
        <v>6</v>
      </c>
      <c r="BQ67" s="30">
        <v>8</v>
      </c>
      <c r="BR67" s="30"/>
      <c r="BS67" s="30"/>
      <c r="BT67" s="34">
        <f t="shared" si="16"/>
        <v>18.899999999999999</v>
      </c>
      <c r="BU67" s="34"/>
      <c r="BV67" s="34"/>
      <c r="BW67" s="34"/>
      <c r="BX67" s="34"/>
      <c r="BY67" s="30"/>
      <c r="BZ67" s="31">
        <f t="shared" si="12"/>
        <v>113.39999999999999</v>
      </c>
      <c r="CA67" s="31">
        <f t="shared" ref="CA67:CA130" si="17">(BT67*BQ67)+(BW67*BX67)</f>
        <v>151.19999999999999</v>
      </c>
    </row>
    <row r="68" spans="1:79" ht="63.75" x14ac:dyDescent="0.25">
      <c r="A68" s="17"/>
      <c r="B68" s="2">
        <v>66</v>
      </c>
      <c r="C68" s="18">
        <v>214</v>
      </c>
      <c r="D68" s="18">
        <v>49</v>
      </c>
      <c r="E68" s="59">
        <v>0.60902777777777783</v>
      </c>
      <c r="F68" s="59">
        <v>0.62361111111111112</v>
      </c>
      <c r="G68" s="18" t="s">
        <v>372</v>
      </c>
      <c r="H68" s="58" t="s">
        <v>384</v>
      </c>
      <c r="I68" s="20">
        <v>10.5</v>
      </c>
      <c r="J68" s="21" t="s">
        <v>395</v>
      </c>
      <c r="K68" s="68">
        <f>174-K69</f>
        <v>106</v>
      </c>
      <c r="L68" s="23">
        <f t="shared" si="13"/>
        <v>1113</v>
      </c>
      <c r="M68" s="24" t="s">
        <v>385</v>
      </c>
      <c r="N68" s="25" t="s">
        <v>386</v>
      </c>
      <c r="O68" s="25">
        <v>9</v>
      </c>
      <c r="P68" s="25" t="s">
        <v>387</v>
      </c>
      <c r="Q68" s="25">
        <v>23</v>
      </c>
      <c r="R68" s="25" t="s">
        <v>388</v>
      </c>
      <c r="S68" s="25">
        <v>7</v>
      </c>
      <c r="T68" s="26">
        <v>2160</v>
      </c>
      <c r="U68" s="26" t="s">
        <v>377</v>
      </c>
      <c r="V68" s="26">
        <v>960</v>
      </c>
      <c r="W68" s="26" t="s">
        <v>151</v>
      </c>
      <c r="X68" s="66">
        <v>44816</v>
      </c>
      <c r="Y68" s="66">
        <v>45086</v>
      </c>
      <c r="Z68" s="66"/>
      <c r="AA68" s="66"/>
      <c r="AB68" s="26" t="s">
        <v>389</v>
      </c>
      <c r="AC68" s="26"/>
      <c r="AD68" s="28"/>
      <c r="AE68" s="28"/>
      <c r="AF68" s="28"/>
      <c r="AG68" s="28" t="s">
        <v>90</v>
      </c>
      <c r="AH68" s="28" t="s">
        <v>90</v>
      </c>
      <c r="AI68" s="28"/>
      <c r="AJ68" s="28" t="s">
        <v>90</v>
      </c>
      <c r="AK68" s="28"/>
      <c r="AL68" s="28" t="s">
        <v>90</v>
      </c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9">
        <v>18.899999999999999</v>
      </c>
      <c r="AY68" s="31"/>
      <c r="AZ68" s="30"/>
      <c r="BA68" s="29"/>
      <c r="BB68" s="29"/>
      <c r="BC68" s="30"/>
      <c r="BD68" s="31">
        <f t="shared" si="14"/>
        <v>2003.3999999999999</v>
      </c>
      <c r="BE68" s="31"/>
      <c r="BF68" s="30"/>
      <c r="BG68" s="36">
        <v>1</v>
      </c>
      <c r="BH68" s="31">
        <f t="shared" si="9"/>
        <v>2.1000000000000014</v>
      </c>
      <c r="BI68" s="31">
        <f t="shared" si="10"/>
        <v>0</v>
      </c>
      <c r="BJ68" s="31">
        <f t="shared" si="11"/>
        <v>222.60000000000014</v>
      </c>
      <c r="BK68" s="30"/>
      <c r="BL68" s="30"/>
      <c r="BM68" s="30"/>
      <c r="BN68" s="30"/>
      <c r="BO68" s="33">
        <f t="shared" si="15"/>
        <v>0</v>
      </c>
      <c r="BP68" s="30">
        <v>9</v>
      </c>
      <c r="BQ68" s="30">
        <v>12</v>
      </c>
      <c r="BR68" s="30"/>
      <c r="BS68" s="30"/>
      <c r="BT68" s="34">
        <f t="shared" si="16"/>
        <v>21</v>
      </c>
      <c r="BU68" s="34"/>
      <c r="BV68" s="34"/>
      <c r="BW68" s="34"/>
      <c r="BX68" s="34"/>
      <c r="BY68" s="30"/>
      <c r="BZ68" s="31">
        <f t="shared" si="12"/>
        <v>189</v>
      </c>
      <c r="CA68" s="31">
        <f t="shared" si="17"/>
        <v>252</v>
      </c>
    </row>
    <row r="69" spans="1:79" ht="78.75" x14ac:dyDescent="0.25">
      <c r="A69" s="17"/>
      <c r="B69" s="71" t="s">
        <v>396</v>
      </c>
      <c r="C69" s="18">
        <v>214</v>
      </c>
      <c r="D69" s="18">
        <v>49</v>
      </c>
      <c r="E69" s="59">
        <v>0.60902777777777783</v>
      </c>
      <c r="F69" s="59">
        <v>0.62361111111111112</v>
      </c>
      <c r="G69" s="18" t="s">
        <v>372</v>
      </c>
      <c r="H69" s="58" t="s">
        <v>391</v>
      </c>
      <c r="I69" s="20">
        <v>10.5</v>
      </c>
      <c r="J69" s="21" t="s">
        <v>395</v>
      </c>
      <c r="K69" s="68">
        <v>68</v>
      </c>
      <c r="L69" s="23">
        <f t="shared" si="13"/>
        <v>714</v>
      </c>
      <c r="M69" s="24" t="s">
        <v>374</v>
      </c>
      <c r="N69" s="25" t="s">
        <v>392</v>
      </c>
      <c r="O69" s="25">
        <v>9</v>
      </c>
      <c r="P69" s="25" t="s">
        <v>393</v>
      </c>
      <c r="Q69" s="25">
        <v>9</v>
      </c>
      <c r="R69" s="25"/>
      <c r="S69" s="25"/>
      <c r="T69" s="26">
        <v>2160</v>
      </c>
      <c r="U69" s="26" t="s">
        <v>377</v>
      </c>
      <c r="V69" s="26">
        <v>960</v>
      </c>
      <c r="W69" s="26" t="s">
        <v>151</v>
      </c>
      <c r="X69" s="66">
        <v>44816</v>
      </c>
      <c r="Y69" s="66">
        <v>45086</v>
      </c>
      <c r="Z69" s="66"/>
      <c r="AA69" s="66"/>
      <c r="AB69" s="26" t="s">
        <v>394</v>
      </c>
      <c r="AC69" s="26"/>
      <c r="AD69" s="28"/>
      <c r="AE69" s="28"/>
      <c r="AF69" s="28"/>
      <c r="AG69" s="28" t="s">
        <v>90</v>
      </c>
      <c r="AH69" s="28"/>
      <c r="AI69" s="28" t="s">
        <v>90</v>
      </c>
      <c r="AJ69" s="28"/>
      <c r="AK69" s="28" t="s">
        <v>90</v>
      </c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9">
        <v>18.899999999999999</v>
      </c>
      <c r="AY69" s="31"/>
      <c r="AZ69" s="30"/>
      <c r="BA69" s="29"/>
      <c r="BB69" s="29"/>
      <c r="BC69" s="30"/>
      <c r="BD69" s="31">
        <f t="shared" si="14"/>
        <v>1285.1999999999998</v>
      </c>
      <c r="BE69" s="31"/>
      <c r="BF69" s="30"/>
      <c r="BG69" s="36">
        <v>1</v>
      </c>
      <c r="BH69" s="31">
        <f t="shared" si="9"/>
        <v>2.1000000000000014</v>
      </c>
      <c r="BI69" s="31">
        <f t="shared" si="10"/>
        <v>0</v>
      </c>
      <c r="BJ69" s="31">
        <f t="shared" si="11"/>
        <v>142.8000000000001</v>
      </c>
      <c r="BK69" s="30"/>
      <c r="BL69" s="30"/>
      <c r="BM69" s="30"/>
      <c r="BN69" s="30"/>
      <c r="BO69" s="33">
        <f t="shared" si="15"/>
        <v>0</v>
      </c>
      <c r="BP69" s="30">
        <v>6</v>
      </c>
      <c r="BQ69" s="30">
        <v>8</v>
      </c>
      <c r="BR69" s="30"/>
      <c r="BS69" s="30"/>
      <c r="BT69" s="34">
        <f t="shared" si="16"/>
        <v>21</v>
      </c>
      <c r="BU69" s="34"/>
      <c r="BV69" s="34"/>
      <c r="BW69" s="34"/>
      <c r="BX69" s="34"/>
      <c r="BY69" s="30"/>
      <c r="BZ69" s="31">
        <f t="shared" si="12"/>
        <v>126</v>
      </c>
      <c r="CA69" s="31">
        <f t="shared" si="17"/>
        <v>168</v>
      </c>
    </row>
    <row r="70" spans="1:79" ht="63.75" x14ac:dyDescent="0.25">
      <c r="A70" s="17"/>
      <c r="B70" s="2">
        <v>67</v>
      </c>
      <c r="C70" s="18">
        <v>214</v>
      </c>
      <c r="D70" s="18">
        <v>680</v>
      </c>
      <c r="E70" s="19">
        <v>0.60416666666666663</v>
      </c>
      <c r="F70" s="19">
        <v>0.6069444444444444</v>
      </c>
      <c r="G70" s="18" t="s">
        <v>397</v>
      </c>
      <c r="H70" s="58" t="s">
        <v>384</v>
      </c>
      <c r="I70" s="20">
        <v>3.1</v>
      </c>
      <c r="J70" s="21" t="s">
        <v>395</v>
      </c>
      <c r="K70" s="68">
        <f>174-K71</f>
        <v>106</v>
      </c>
      <c r="L70" s="23">
        <f t="shared" si="13"/>
        <v>328.6</v>
      </c>
      <c r="M70" s="24" t="s">
        <v>385</v>
      </c>
      <c r="N70" s="25" t="s">
        <v>386</v>
      </c>
      <c r="O70" s="25">
        <v>9</v>
      </c>
      <c r="P70" s="25" t="s">
        <v>387</v>
      </c>
      <c r="Q70" s="25">
        <v>23</v>
      </c>
      <c r="R70" s="25" t="s">
        <v>388</v>
      </c>
      <c r="S70" s="25">
        <v>7</v>
      </c>
      <c r="T70" s="26">
        <v>2163</v>
      </c>
      <c r="U70" s="26" t="s">
        <v>381</v>
      </c>
      <c r="V70" s="26">
        <v>2160</v>
      </c>
      <c r="W70" s="26" t="s">
        <v>377</v>
      </c>
      <c r="X70" s="66">
        <v>44816</v>
      </c>
      <c r="Y70" s="66">
        <v>45086</v>
      </c>
      <c r="Z70" s="66"/>
      <c r="AA70" s="66"/>
      <c r="AB70" s="26" t="s">
        <v>389</v>
      </c>
      <c r="AC70" s="26"/>
      <c r="AD70" s="28"/>
      <c r="AE70" s="28"/>
      <c r="AF70" s="28"/>
      <c r="AG70" s="28" t="s">
        <v>90</v>
      </c>
      <c r="AH70" s="28" t="s">
        <v>90</v>
      </c>
      <c r="AI70" s="28"/>
      <c r="AJ70" s="28" t="s">
        <v>90</v>
      </c>
      <c r="AK70" s="28"/>
      <c r="AL70" s="28" t="s">
        <v>90</v>
      </c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9">
        <v>18.899999999999999</v>
      </c>
      <c r="AY70" s="31"/>
      <c r="AZ70" s="30"/>
      <c r="BA70" s="29"/>
      <c r="BB70" s="29"/>
      <c r="BC70" s="30"/>
      <c r="BD70" s="31">
        <f t="shared" si="14"/>
        <v>2003.3999999999999</v>
      </c>
      <c r="BE70" s="31"/>
      <c r="BF70" s="30"/>
      <c r="BG70" s="36">
        <v>1</v>
      </c>
      <c r="BH70" s="31">
        <f t="shared" si="9"/>
        <v>0</v>
      </c>
      <c r="BI70" s="31">
        <f t="shared" si="10"/>
        <v>0</v>
      </c>
      <c r="BJ70" s="33">
        <f t="shared" si="11"/>
        <v>0</v>
      </c>
      <c r="BK70" s="30"/>
      <c r="BL70" s="30"/>
      <c r="BM70" s="30"/>
      <c r="BN70" s="30"/>
      <c r="BO70" s="33">
        <f t="shared" si="15"/>
        <v>0</v>
      </c>
      <c r="BP70" s="30">
        <v>9</v>
      </c>
      <c r="BQ70" s="30">
        <v>12</v>
      </c>
      <c r="BR70" s="30"/>
      <c r="BS70" s="30"/>
      <c r="BT70" s="34">
        <f t="shared" si="16"/>
        <v>18.899999999999999</v>
      </c>
      <c r="BU70" s="34"/>
      <c r="BV70" s="34"/>
      <c r="BW70" s="34"/>
      <c r="BX70" s="34"/>
      <c r="BY70" s="30"/>
      <c r="BZ70" s="31">
        <f t="shared" si="12"/>
        <v>170.1</v>
      </c>
      <c r="CA70" s="31">
        <f t="shared" si="17"/>
        <v>226.79999999999998</v>
      </c>
    </row>
    <row r="71" spans="1:79" ht="78.75" x14ac:dyDescent="0.25">
      <c r="A71" s="17"/>
      <c r="B71" s="71" t="s">
        <v>398</v>
      </c>
      <c r="C71" s="18">
        <v>214</v>
      </c>
      <c r="D71" s="18">
        <v>680</v>
      </c>
      <c r="E71" s="19">
        <v>0.60416666666666663</v>
      </c>
      <c r="F71" s="19">
        <v>0.6069444444444444</v>
      </c>
      <c r="G71" s="18" t="s">
        <v>397</v>
      </c>
      <c r="H71" s="58" t="s">
        <v>391</v>
      </c>
      <c r="I71" s="20">
        <v>3.1</v>
      </c>
      <c r="J71" s="21" t="s">
        <v>395</v>
      </c>
      <c r="K71" s="68">
        <v>68</v>
      </c>
      <c r="L71" s="23">
        <f t="shared" si="13"/>
        <v>210.8</v>
      </c>
      <c r="M71" s="24" t="s">
        <v>374</v>
      </c>
      <c r="N71" s="25" t="s">
        <v>392</v>
      </c>
      <c r="O71" s="25">
        <v>9</v>
      </c>
      <c r="P71" s="25" t="s">
        <v>393</v>
      </c>
      <c r="Q71" s="25">
        <v>9</v>
      </c>
      <c r="R71" s="25"/>
      <c r="S71" s="25"/>
      <c r="T71" s="26">
        <v>2163</v>
      </c>
      <c r="U71" s="26" t="s">
        <v>381</v>
      </c>
      <c r="V71" s="26">
        <v>2160</v>
      </c>
      <c r="W71" s="26" t="s">
        <v>377</v>
      </c>
      <c r="X71" s="66">
        <v>44816</v>
      </c>
      <c r="Y71" s="66">
        <v>45086</v>
      </c>
      <c r="Z71" s="66"/>
      <c r="AA71" s="66"/>
      <c r="AB71" s="26" t="s">
        <v>394</v>
      </c>
      <c r="AC71" s="26"/>
      <c r="AD71" s="28"/>
      <c r="AE71" s="28"/>
      <c r="AF71" s="28"/>
      <c r="AG71" s="28" t="s">
        <v>90</v>
      </c>
      <c r="AH71" s="28"/>
      <c r="AI71" s="28" t="s">
        <v>90</v>
      </c>
      <c r="AJ71" s="28"/>
      <c r="AK71" s="28" t="s">
        <v>90</v>
      </c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9">
        <v>18.899999999999999</v>
      </c>
      <c r="AY71" s="31"/>
      <c r="AZ71" s="30"/>
      <c r="BA71" s="29"/>
      <c r="BB71" s="29"/>
      <c r="BC71" s="30"/>
      <c r="BD71" s="31">
        <f t="shared" si="14"/>
        <v>1285.1999999999998</v>
      </c>
      <c r="BE71" s="31"/>
      <c r="BF71" s="30"/>
      <c r="BG71" s="36">
        <v>1</v>
      </c>
      <c r="BH71" s="31">
        <f t="shared" si="9"/>
        <v>0</v>
      </c>
      <c r="BI71" s="31">
        <f t="shared" si="10"/>
        <v>0</v>
      </c>
      <c r="BJ71" s="33">
        <f t="shared" si="11"/>
        <v>0</v>
      </c>
      <c r="BK71" s="30"/>
      <c r="BL71" s="30"/>
      <c r="BM71" s="30"/>
      <c r="BN71" s="30"/>
      <c r="BO71" s="33">
        <f t="shared" si="15"/>
        <v>0</v>
      </c>
      <c r="BP71" s="30">
        <v>6</v>
      </c>
      <c r="BQ71" s="30">
        <v>8</v>
      </c>
      <c r="BR71" s="30"/>
      <c r="BS71" s="30"/>
      <c r="BT71" s="34">
        <f t="shared" si="16"/>
        <v>18.899999999999999</v>
      </c>
      <c r="BU71" s="34"/>
      <c r="BV71" s="34"/>
      <c r="BW71" s="34"/>
      <c r="BX71" s="34"/>
      <c r="BY71" s="30"/>
      <c r="BZ71" s="31">
        <f t="shared" si="12"/>
        <v>113.39999999999999</v>
      </c>
      <c r="CA71" s="31">
        <f t="shared" si="17"/>
        <v>151.19999999999999</v>
      </c>
    </row>
    <row r="72" spans="1:79" ht="38.25" x14ac:dyDescent="0.25">
      <c r="A72" s="17"/>
      <c r="B72" s="2">
        <v>68</v>
      </c>
      <c r="C72" s="18">
        <v>312</v>
      </c>
      <c r="D72" s="58">
        <v>730</v>
      </c>
      <c r="E72" s="19">
        <v>0.35416666666666669</v>
      </c>
      <c r="F72" s="19">
        <v>0.41250000000000003</v>
      </c>
      <c r="G72" s="51" t="s">
        <v>399</v>
      </c>
      <c r="H72" s="18" t="s">
        <v>400</v>
      </c>
      <c r="I72" s="20">
        <v>41</v>
      </c>
      <c r="J72" s="21" t="s">
        <v>104</v>
      </c>
      <c r="K72" s="22">
        <v>58</v>
      </c>
      <c r="L72" s="23">
        <f t="shared" si="13"/>
        <v>2378</v>
      </c>
      <c r="M72" s="24" t="s">
        <v>401</v>
      </c>
      <c r="N72" s="25" t="s">
        <v>402</v>
      </c>
      <c r="O72" s="25">
        <v>16</v>
      </c>
      <c r="P72" s="25" t="s">
        <v>403</v>
      </c>
      <c r="Q72" s="25">
        <v>21</v>
      </c>
      <c r="R72" s="25" t="s">
        <v>404</v>
      </c>
      <c r="S72" s="25">
        <v>15</v>
      </c>
      <c r="T72" s="26" t="s">
        <v>405</v>
      </c>
      <c r="U72" s="26" t="s">
        <v>406</v>
      </c>
      <c r="V72" s="26">
        <v>3169</v>
      </c>
      <c r="W72" s="26" t="s">
        <v>407</v>
      </c>
      <c r="X72" s="66">
        <v>44805</v>
      </c>
      <c r="Y72" s="66">
        <v>45169</v>
      </c>
      <c r="Z72" s="66"/>
      <c r="AA72" s="66"/>
      <c r="AB72" s="26" t="s">
        <v>408</v>
      </c>
      <c r="AC72" s="26"/>
      <c r="AD72" s="28" t="s">
        <v>90</v>
      </c>
      <c r="AE72" s="28" t="s">
        <v>90</v>
      </c>
      <c r="AF72" s="28"/>
      <c r="AG72" s="28"/>
      <c r="AH72" s="28"/>
      <c r="AI72" s="28"/>
      <c r="AJ72" s="28"/>
      <c r="AK72" s="28"/>
      <c r="AL72" s="28"/>
      <c r="AM72" s="28"/>
      <c r="AN72" s="28" t="s">
        <v>90</v>
      </c>
      <c r="AO72" s="28"/>
      <c r="AP72" s="28"/>
      <c r="AQ72" s="28"/>
      <c r="AR72" s="28"/>
      <c r="AS72" s="28"/>
      <c r="AT72" s="28"/>
      <c r="AU72" s="28"/>
      <c r="AV72" s="28"/>
      <c r="AW72" s="28"/>
      <c r="AX72" s="29">
        <v>123</v>
      </c>
      <c r="AY72" s="30"/>
      <c r="AZ72" s="30"/>
      <c r="BA72" s="29"/>
      <c r="BB72" s="29"/>
      <c r="BC72" s="30"/>
      <c r="BD72" s="31">
        <f t="shared" si="14"/>
        <v>7134</v>
      </c>
      <c r="BE72" s="31"/>
      <c r="BF72" s="30"/>
      <c r="BG72" s="36">
        <v>1</v>
      </c>
      <c r="BH72" s="31">
        <f t="shared" si="9"/>
        <v>0</v>
      </c>
      <c r="BI72" s="31">
        <f t="shared" si="10"/>
        <v>0</v>
      </c>
      <c r="BJ72" s="33">
        <f t="shared" si="11"/>
        <v>0</v>
      </c>
      <c r="BK72" s="30"/>
      <c r="BL72" s="30"/>
      <c r="BM72" s="30"/>
      <c r="BN72" s="30"/>
      <c r="BO72" s="33">
        <f t="shared" si="15"/>
        <v>0</v>
      </c>
      <c r="BP72" s="30">
        <v>4</v>
      </c>
      <c r="BQ72" s="30">
        <v>5</v>
      </c>
      <c r="BR72" s="30"/>
      <c r="BS72" s="30"/>
      <c r="BT72" s="34">
        <f t="shared" si="16"/>
        <v>123</v>
      </c>
      <c r="BU72" s="34"/>
      <c r="BV72" s="34"/>
      <c r="BW72" s="34"/>
      <c r="BX72" s="34"/>
      <c r="BY72" s="30"/>
      <c r="BZ72" s="31">
        <f t="shared" si="12"/>
        <v>492</v>
      </c>
      <c r="CA72" s="31">
        <f t="shared" si="17"/>
        <v>615</v>
      </c>
    </row>
    <row r="73" spans="1:79" ht="38.25" x14ac:dyDescent="0.25">
      <c r="A73" s="17"/>
      <c r="B73" s="2">
        <v>69</v>
      </c>
      <c r="C73" s="18">
        <v>312</v>
      </c>
      <c r="D73" s="58">
        <v>731</v>
      </c>
      <c r="E73" s="19">
        <v>0.41666666666666669</v>
      </c>
      <c r="F73" s="19">
        <v>0.46388888888888885</v>
      </c>
      <c r="G73" s="51" t="s">
        <v>409</v>
      </c>
      <c r="H73" s="18" t="s">
        <v>400</v>
      </c>
      <c r="I73" s="20">
        <v>32</v>
      </c>
      <c r="J73" s="21" t="s">
        <v>104</v>
      </c>
      <c r="K73" s="22">
        <v>58</v>
      </c>
      <c r="L73" s="23">
        <f t="shared" si="13"/>
        <v>1856</v>
      </c>
      <c r="M73" s="24" t="s">
        <v>401</v>
      </c>
      <c r="N73" s="25" t="s">
        <v>402</v>
      </c>
      <c r="O73" s="25">
        <v>16</v>
      </c>
      <c r="P73" s="25" t="s">
        <v>403</v>
      </c>
      <c r="Q73" s="25">
        <v>21</v>
      </c>
      <c r="R73" s="25" t="s">
        <v>404</v>
      </c>
      <c r="S73" s="25">
        <v>15</v>
      </c>
      <c r="T73" s="26">
        <v>3169</v>
      </c>
      <c r="U73" s="26" t="s">
        <v>407</v>
      </c>
      <c r="V73" s="26">
        <v>3100</v>
      </c>
      <c r="W73" s="26" t="s">
        <v>410</v>
      </c>
      <c r="X73" s="66">
        <v>44805</v>
      </c>
      <c r="Y73" s="66">
        <v>45169</v>
      </c>
      <c r="Z73" s="66"/>
      <c r="AA73" s="66"/>
      <c r="AB73" s="26" t="s">
        <v>408</v>
      </c>
      <c r="AC73" s="26"/>
      <c r="AD73" s="28" t="s">
        <v>90</v>
      </c>
      <c r="AE73" s="28" t="s">
        <v>90</v>
      </c>
      <c r="AF73" s="28"/>
      <c r="AG73" s="28"/>
      <c r="AH73" s="28"/>
      <c r="AI73" s="28"/>
      <c r="AJ73" s="28"/>
      <c r="AK73" s="28"/>
      <c r="AL73" s="28"/>
      <c r="AM73" s="28"/>
      <c r="AN73" s="28" t="s">
        <v>90</v>
      </c>
      <c r="AO73" s="28"/>
      <c r="AP73" s="28"/>
      <c r="AQ73" s="28"/>
      <c r="AR73" s="28"/>
      <c r="AS73" s="28"/>
      <c r="AT73" s="28"/>
      <c r="AU73" s="28"/>
      <c r="AV73" s="28"/>
      <c r="AW73" s="28"/>
      <c r="AX73" s="29">
        <v>96</v>
      </c>
      <c r="AY73" s="30"/>
      <c r="AZ73" s="30"/>
      <c r="BA73" s="29"/>
      <c r="BB73" s="29"/>
      <c r="BC73" s="30"/>
      <c r="BD73" s="31">
        <f t="shared" si="14"/>
        <v>5568</v>
      </c>
      <c r="BE73" s="31"/>
      <c r="BF73" s="30"/>
      <c r="BG73" s="36">
        <v>1</v>
      </c>
      <c r="BH73" s="31">
        <f t="shared" si="9"/>
        <v>0</v>
      </c>
      <c r="BI73" s="31">
        <f t="shared" si="10"/>
        <v>0</v>
      </c>
      <c r="BJ73" s="33">
        <f t="shared" si="11"/>
        <v>0</v>
      </c>
      <c r="BK73" s="30"/>
      <c r="BL73" s="30"/>
      <c r="BM73" s="30"/>
      <c r="BN73" s="30"/>
      <c r="BO73" s="33">
        <f t="shared" si="15"/>
        <v>0</v>
      </c>
      <c r="BP73" s="30">
        <v>4</v>
      </c>
      <c r="BQ73" s="30">
        <v>5</v>
      </c>
      <c r="BR73" s="30"/>
      <c r="BS73" s="30"/>
      <c r="BT73" s="34">
        <f t="shared" si="16"/>
        <v>96</v>
      </c>
      <c r="BU73" s="34"/>
      <c r="BV73" s="34"/>
      <c r="BW73" s="34"/>
      <c r="BX73" s="34"/>
      <c r="BY73" s="30"/>
      <c r="BZ73" s="31">
        <f t="shared" si="12"/>
        <v>384</v>
      </c>
      <c r="CA73" s="31">
        <f t="shared" si="17"/>
        <v>480</v>
      </c>
    </row>
    <row r="74" spans="1:79" ht="38.25" x14ac:dyDescent="0.25">
      <c r="A74" s="17"/>
      <c r="B74" s="2">
        <v>70</v>
      </c>
      <c r="C74" s="18">
        <v>312</v>
      </c>
      <c r="D74" s="58">
        <v>732</v>
      </c>
      <c r="E74" s="19">
        <v>0.67361111111111116</v>
      </c>
      <c r="F74" s="19">
        <v>0.7319444444444444</v>
      </c>
      <c r="G74" s="51" t="s">
        <v>399</v>
      </c>
      <c r="H74" s="18" t="s">
        <v>400</v>
      </c>
      <c r="I74" s="20">
        <v>41</v>
      </c>
      <c r="J74" s="21" t="s">
        <v>104</v>
      </c>
      <c r="K74" s="22">
        <v>58</v>
      </c>
      <c r="L74" s="23">
        <f t="shared" si="13"/>
        <v>2378</v>
      </c>
      <c r="M74" s="24" t="s">
        <v>401</v>
      </c>
      <c r="N74" s="25" t="s">
        <v>402</v>
      </c>
      <c r="O74" s="25">
        <v>16</v>
      </c>
      <c r="P74" s="25" t="s">
        <v>403</v>
      </c>
      <c r="Q74" s="25">
        <v>21</v>
      </c>
      <c r="R74" s="25" t="s">
        <v>404</v>
      </c>
      <c r="S74" s="25">
        <v>15</v>
      </c>
      <c r="T74" s="26" t="s">
        <v>405</v>
      </c>
      <c r="U74" s="26" t="s">
        <v>406</v>
      </c>
      <c r="V74" s="26">
        <v>3169</v>
      </c>
      <c r="W74" s="26" t="s">
        <v>407</v>
      </c>
      <c r="X74" s="66">
        <v>44805</v>
      </c>
      <c r="Y74" s="66">
        <v>45169</v>
      </c>
      <c r="Z74" s="66"/>
      <c r="AA74" s="66"/>
      <c r="AB74" s="26" t="s">
        <v>408</v>
      </c>
      <c r="AC74" s="26"/>
      <c r="AD74" s="28" t="s">
        <v>90</v>
      </c>
      <c r="AE74" s="28" t="s">
        <v>90</v>
      </c>
      <c r="AF74" s="28"/>
      <c r="AG74" s="28"/>
      <c r="AH74" s="28"/>
      <c r="AI74" s="28"/>
      <c r="AJ74" s="28"/>
      <c r="AK74" s="28"/>
      <c r="AL74" s="28"/>
      <c r="AM74" s="28"/>
      <c r="AN74" s="28" t="s">
        <v>90</v>
      </c>
      <c r="AO74" s="28"/>
      <c r="AP74" s="28"/>
      <c r="AQ74" s="28"/>
      <c r="AR74" s="28"/>
      <c r="AS74" s="28"/>
      <c r="AT74" s="28"/>
      <c r="AU74" s="28"/>
      <c r="AV74" s="28"/>
      <c r="AW74" s="28"/>
      <c r="AX74" s="29">
        <v>123</v>
      </c>
      <c r="AY74" s="30"/>
      <c r="AZ74" s="30"/>
      <c r="BA74" s="29"/>
      <c r="BB74" s="29"/>
      <c r="BC74" s="30"/>
      <c r="BD74" s="31">
        <f t="shared" si="14"/>
        <v>7134</v>
      </c>
      <c r="BE74" s="31"/>
      <c r="BF74" s="30"/>
      <c r="BG74" s="36">
        <v>1</v>
      </c>
      <c r="BH74" s="31">
        <f t="shared" si="9"/>
        <v>0</v>
      </c>
      <c r="BI74" s="31">
        <f t="shared" si="10"/>
        <v>0</v>
      </c>
      <c r="BJ74" s="33">
        <f t="shared" si="11"/>
        <v>0</v>
      </c>
      <c r="BK74" s="30"/>
      <c r="BL74" s="30"/>
      <c r="BM74" s="30"/>
      <c r="BN74" s="30"/>
      <c r="BO74" s="33">
        <f t="shared" si="15"/>
        <v>0</v>
      </c>
      <c r="BP74" s="30">
        <v>4</v>
      </c>
      <c r="BQ74" s="30">
        <v>5</v>
      </c>
      <c r="BR74" s="30"/>
      <c r="BS74" s="30"/>
      <c r="BT74" s="34">
        <f t="shared" si="16"/>
        <v>123</v>
      </c>
      <c r="BU74" s="34"/>
      <c r="BV74" s="34"/>
      <c r="BW74" s="34"/>
      <c r="BX74" s="34"/>
      <c r="BY74" s="30"/>
      <c r="BZ74" s="31">
        <f t="shared" si="12"/>
        <v>492</v>
      </c>
      <c r="CA74" s="31">
        <f t="shared" si="17"/>
        <v>615</v>
      </c>
    </row>
    <row r="75" spans="1:79" ht="38.25" x14ac:dyDescent="0.25">
      <c r="A75" s="17"/>
      <c r="B75" s="2">
        <v>71</v>
      </c>
      <c r="C75" s="18">
        <v>312</v>
      </c>
      <c r="D75" s="58">
        <v>733</v>
      </c>
      <c r="E75" s="19">
        <v>0.73611111111111116</v>
      </c>
      <c r="F75" s="19">
        <v>0.78333333333333333</v>
      </c>
      <c r="G75" s="51" t="s">
        <v>409</v>
      </c>
      <c r="H75" s="18" t="s">
        <v>400</v>
      </c>
      <c r="I75" s="20">
        <v>32</v>
      </c>
      <c r="J75" s="21" t="s">
        <v>104</v>
      </c>
      <c r="K75" s="22">
        <v>58</v>
      </c>
      <c r="L75" s="23">
        <f t="shared" si="13"/>
        <v>1856</v>
      </c>
      <c r="M75" s="24" t="s">
        <v>401</v>
      </c>
      <c r="N75" s="25" t="s">
        <v>402</v>
      </c>
      <c r="O75" s="25">
        <v>16</v>
      </c>
      <c r="P75" s="25" t="s">
        <v>403</v>
      </c>
      <c r="Q75" s="25">
        <v>21</v>
      </c>
      <c r="R75" s="25" t="s">
        <v>404</v>
      </c>
      <c r="S75" s="25">
        <v>15</v>
      </c>
      <c r="T75" s="26">
        <v>3169</v>
      </c>
      <c r="U75" s="26" t="s">
        <v>407</v>
      </c>
      <c r="V75" s="26">
        <v>3100</v>
      </c>
      <c r="W75" s="26" t="s">
        <v>410</v>
      </c>
      <c r="X75" s="66">
        <v>44805</v>
      </c>
      <c r="Y75" s="66">
        <v>45169</v>
      </c>
      <c r="Z75" s="66"/>
      <c r="AA75" s="66"/>
      <c r="AB75" s="26" t="s">
        <v>408</v>
      </c>
      <c r="AC75" s="26"/>
      <c r="AD75" s="28" t="s">
        <v>90</v>
      </c>
      <c r="AE75" s="28" t="s">
        <v>90</v>
      </c>
      <c r="AF75" s="28"/>
      <c r="AG75" s="28"/>
      <c r="AH75" s="28"/>
      <c r="AI75" s="28"/>
      <c r="AJ75" s="28"/>
      <c r="AK75" s="28"/>
      <c r="AL75" s="28"/>
      <c r="AM75" s="28"/>
      <c r="AN75" s="28" t="s">
        <v>90</v>
      </c>
      <c r="AO75" s="28"/>
      <c r="AP75" s="28"/>
      <c r="AQ75" s="28"/>
      <c r="AR75" s="28"/>
      <c r="AS75" s="28"/>
      <c r="AT75" s="28"/>
      <c r="AU75" s="28"/>
      <c r="AV75" s="28"/>
      <c r="AW75" s="28"/>
      <c r="AX75" s="29">
        <v>96</v>
      </c>
      <c r="AY75" s="30"/>
      <c r="AZ75" s="30"/>
      <c r="BA75" s="29"/>
      <c r="BB75" s="29"/>
      <c r="BC75" s="30"/>
      <c r="BD75" s="31">
        <f t="shared" si="14"/>
        <v>5568</v>
      </c>
      <c r="BE75" s="31"/>
      <c r="BF75" s="30"/>
      <c r="BG75" s="36">
        <v>1</v>
      </c>
      <c r="BH75" s="31">
        <f t="shared" si="9"/>
        <v>0</v>
      </c>
      <c r="BI75" s="31">
        <f t="shared" si="10"/>
        <v>0</v>
      </c>
      <c r="BJ75" s="33">
        <f t="shared" si="11"/>
        <v>0</v>
      </c>
      <c r="BK75" s="30"/>
      <c r="BL75" s="30"/>
      <c r="BM75" s="30"/>
      <c r="BN75" s="30"/>
      <c r="BO75" s="33">
        <f t="shared" si="15"/>
        <v>0</v>
      </c>
      <c r="BP75" s="30">
        <v>4</v>
      </c>
      <c r="BQ75" s="30">
        <v>5</v>
      </c>
      <c r="BR75" s="30"/>
      <c r="BS75" s="30"/>
      <c r="BT75" s="34">
        <f t="shared" si="16"/>
        <v>96</v>
      </c>
      <c r="BU75" s="34"/>
      <c r="BV75" s="34"/>
      <c r="BW75" s="34"/>
      <c r="BX75" s="34"/>
      <c r="BY75" s="30"/>
      <c r="BZ75" s="31">
        <f t="shared" si="12"/>
        <v>384</v>
      </c>
      <c r="CA75" s="31">
        <f t="shared" si="17"/>
        <v>480</v>
      </c>
    </row>
    <row r="76" spans="1:79" ht="51" x14ac:dyDescent="0.25">
      <c r="A76" s="17"/>
      <c r="B76" s="2">
        <v>72</v>
      </c>
      <c r="C76" s="18">
        <v>413</v>
      </c>
      <c r="D76" s="18">
        <v>11</v>
      </c>
      <c r="E76" s="19">
        <v>0.2673611111111111</v>
      </c>
      <c r="F76" s="19">
        <v>0.27291666666666664</v>
      </c>
      <c r="G76" s="18" t="s">
        <v>411</v>
      </c>
      <c r="H76" s="18" t="s">
        <v>306</v>
      </c>
      <c r="I76" s="20">
        <v>3</v>
      </c>
      <c r="J76" s="21" t="s">
        <v>93</v>
      </c>
      <c r="K76" s="22">
        <v>208</v>
      </c>
      <c r="L76" s="23">
        <f t="shared" si="13"/>
        <v>624</v>
      </c>
      <c r="M76" s="24" t="s">
        <v>412</v>
      </c>
      <c r="N76" s="72" t="s">
        <v>413</v>
      </c>
      <c r="O76" s="72">
        <v>17</v>
      </c>
      <c r="P76" s="25" t="s">
        <v>414</v>
      </c>
      <c r="Q76" s="25">
        <v>9</v>
      </c>
      <c r="R76" s="17"/>
      <c r="S76" s="25"/>
      <c r="T76" s="26">
        <v>1121</v>
      </c>
      <c r="U76" s="26" t="s">
        <v>415</v>
      </c>
      <c r="V76" s="26">
        <v>4060</v>
      </c>
      <c r="W76" s="26" t="s">
        <v>416</v>
      </c>
      <c r="X76" s="66">
        <v>44816</v>
      </c>
      <c r="Y76" s="66">
        <v>45086</v>
      </c>
      <c r="Z76" s="66"/>
      <c r="AA76" s="66"/>
      <c r="AB76" s="26" t="s">
        <v>309</v>
      </c>
      <c r="AC76" s="26"/>
      <c r="AD76" s="28"/>
      <c r="AE76" s="28"/>
      <c r="AF76" s="28"/>
      <c r="AG76" s="28" t="s">
        <v>90</v>
      </c>
      <c r="AH76" s="28" t="s">
        <v>90</v>
      </c>
      <c r="AI76" s="28" t="s">
        <v>90</v>
      </c>
      <c r="AJ76" s="28" t="s">
        <v>90</v>
      </c>
      <c r="AK76" s="28" t="s">
        <v>90</v>
      </c>
      <c r="AL76" s="28" t="s">
        <v>90</v>
      </c>
      <c r="AM76" s="28" t="s">
        <v>90</v>
      </c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9">
        <v>18.46</v>
      </c>
      <c r="AY76" s="30"/>
      <c r="AZ76" s="30"/>
      <c r="BA76" s="29"/>
      <c r="BB76" s="29"/>
      <c r="BC76" s="30"/>
      <c r="BD76" s="31">
        <f t="shared" si="14"/>
        <v>3839.6800000000003</v>
      </c>
      <c r="BE76" s="31"/>
      <c r="BF76" s="30"/>
      <c r="BG76" s="36">
        <v>1</v>
      </c>
      <c r="BH76" s="31">
        <f t="shared" si="9"/>
        <v>0</v>
      </c>
      <c r="BI76" s="31">
        <f t="shared" si="10"/>
        <v>0</v>
      </c>
      <c r="BJ76" s="33">
        <f t="shared" si="11"/>
        <v>0</v>
      </c>
      <c r="BK76" s="30"/>
      <c r="BL76" s="30"/>
      <c r="BM76" s="30"/>
      <c r="BN76" s="31">
        <f>IF((AX76+AY76+AZ76)&lt;20,(20-(AX76+AY76+AZ76)),0)</f>
        <v>1.5399999999999991</v>
      </c>
      <c r="BO76" s="33">
        <f t="shared" si="15"/>
        <v>320.31999999999982</v>
      </c>
      <c r="BP76" s="30">
        <v>17</v>
      </c>
      <c r="BQ76" s="30">
        <v>25</v>
      </c>
      <c r="BR76" s="30"/>
      <c r="BS76" s="30"/>
      <c r="BT76" s="34">
        <f t="shared" si="16"/>
        <v>20</v>
      </c>
      <c r="BU76" s="34"/>
      <c r="BV76" s="34"/>
      <c r="BW76" s="34"/>
      <c r="BX76" s="34"/>
      <c r="BY76" s="30"/>
      <c r="BZ76" s="31">
        <f t="shared" si="12"/>
        <v>340</v>
      </c>
      <c r="CA76" s="31">
        <f t="shared" si="17"/>
        <v>500</v>
      </c>
    </row>
    <row r="77" spans="1:79" ht="51" x14ac:dyDescent="0.25">
      <c r="A77" s="17"/>
      <c r="B77" s="2">
        <v>73</v>
      </c>
      <c r="C77" s="18">
        <v>428</v>
      </c>
      <c r="D77" s="18">
        <v>5</v>
      </c>
      <c r="E77" s="19">
        <v>0.27777777777777779</v>
      </c>
      <c r="F77" s="19">
        <v>0.28125</v>
      </c>
      <c r="G77" s="18" t="s">
        <v>417</v>
      </c>
      <c r="H77" s="18" t="s">
        <v>306</v>
      </c>
      <c r="I77" s="20">
        <v>2</v>
      </c>
      <c r="J77" s="21" t="s">
        <v>93</v>
      </c>
      <c r="K77" s="22">
        <v>208</v>
      </c>
      <c r="L77" s="23">
        <f t="shared" si="13"/>
        <v>416</v>
      </c>
      <c r="M77" s="24" t="s">
        <v>412</v>
      </c>
      <c r="N77" s="72" t="s">
        <v>413</v>
      </c>
      <c r="O77" s="72">
        <v>17</v>
      </c>
      <c r="P77" s="25" t="s">
        <v>414</v>
      </c>
      <c r="Q77" s="25">
        <v>9</v>
      </c>
      <c r="R77" s="17"/>
      <c r="S77" s="25"/>
      <c r="T77" s="26">
        <v>4061</v>
      </c>
      <c r="U77" s="26" t="s">
        <v>418</v>
      </c>
      <c r="V77" s="26">
        <v>4050</v>
      </c>
      <c r="W77" s="26" t="s">
        <v>419</v>
      </c>
      <c r="X77" s="66">
        <v>44816</v>
      </c>
      <c r="Y77" s="66">
        <v>45086</v>
      </c>
      <c r="Z77" s="66"/>
      <c r="AA77" s="66"/>
      <c r="AB77" s="26" t="s">
        <v>309</v>
      </c>
      <c r="AC77" s="26"/>
      <c r="AD77" s="28"/>
      <c r="AE77" s="28"/>
      <c r="AF77" s="28"/>
      <c r="AG77" s="28" t="s">
        <v>90</v>
      </c>
      <c r="AH77" s="28" t="s">
        <v>90</v>
      </c>
      <c r="AI77" s="28" t="s">
        <v>90</v>
      </c>
      <c r="AJ77" s="28" t="s">
        <v>90</v>
      </c>
      <c r="AK77" s="28" t="s">
        <v>90</v>
      </c>
      <c r="AL77" s="28" t="s">
        <v>90</v>
      </c>
      <c r="AM77" s="28" t="s">
        <v>90</v>
      </c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9">
        <v>11.41</v>
      </c>
      <c r="AY77" s="30"/>
      <c r="AZ77" s="30"/>
      <c r="BA77" s="29"/>
      <c r="BB77" s="29"/>
      <c r="BC77" s="30"/>
      <c r="BD77" s="31">
        <f t="shared" si="14"/>
        <v>2373.2800000000002</v>
      </c>
      <c r="BE77" s="31"/>
      <c r="BF77" s="30"/>
      <c r="BG77" s="36">
        <v>1</v>
      </c>
      <c r="BH77" s="31">
        <f t="shared" si="9"/>
        <v>0</v>
      </c>
      <c r="BI77" s="31">
        <f t="shared" si="10"/>
        <v>0</v>
      </c>
      <c r="BJ77" s="33">
        <f t="shared" si="11"/>
        <v>0</v>
      </c>
      <c r="BK77" s="30"/>
      <c r="BL77" s="30"/>
      <c r="BM77" s="30"/>
      <c r="BN77" s="31">
        <f>IF((AX77+AY77+AZ77)&lt;20,(20-(AX77+AY77+AZ77)),0)</f>
        <v>8.59</v>
      </c>
      <c r="BO77" s="33">
        <f t="shared" si="15"/>
        <v>1786.72</v>
      </c>
      <c r="BP77" s="30">
        <v>17</v>
      </c>
      <c r="BQ77" s="30">
        <v>25</v>
      </c>
      <c r="BR77" s="30"/>
      <c r="BS77" s="30"/>
      <c r="BT77" s="34">
        <f t="shared" si="16"/>
        <v>20</v>
      </c>
      <c r="BU77" s="34"/>
      <c r="BV77" s="34"/>
      <c r="BW77" s="34"/>
      <c r="BX77" s="34"/>
      <c r="BY77" s="30"/>
      <c r="BZ77" s="31">
        <f t="shared" si="12"/>
        <v>340</v>
      </c>
      <c r="CA77" s="31">
        <f t="shared" si="17"/>
        <v>500</v>
      </c>
    </row>
    <row r="78" spans="1:79" ht="51" x14ac:dyDescent="0.25">
      <c r="A78" s="17"/>
      <c r="B78" s="2">
        <v>74</v>
      </c>
      <c r="C78" s="18">
        <v>428</v>
      </c>
      <c r="D78" s="18">
        <v>7</v>
      </c>
      <c r="E78" s="19">
        <v>0.30416666666666664</v>
      </c>
      <c r="F78" s="19">
        <v>0.30625000000000002</v>
      </c>
      <c r="G78" s="18" t="s">
        <v>417</v>
      </c>
      <c r="H78" s="18" t="s">
        <v>306</v>
      </c>
      <c r="I78" s="20">
        <v>2</v>
      </c>
      <c r="J78" s="21" t="s">
        <v>93</v>
      </c>
      <c r="K78" s="22">
        <v>208</v>
      </c>
      <c r="L78" s="23">
        <f t="shared" si="13"/>
        <v>416</v>
      </c>
      <c r="M78" s="24" t="s">
        <v>412</v>
      </c>
      <c r="N78" s="72" t="s">
        <v>413</v>
      </c>
      <c r="O78" s="72">
        <v>17</v>
      </c>
      <c r="P78" s="25" t="s">
        <v>414</v>
      </c>
      <c r="Q78" s="25">
        <v>9</v>
      </c>
      <c r="R78" s="17"/>
      <c r="S78" s="25"/>
      <c r="T78" s="26">
        <v>4061</v>
      </c>
      <c r="U78" s="26" t="s">
        <v>418</v>
      </c>
      <c r="V78" s="26">
        <v>4050</v>
      </c>
      <c r="W78" s="26" t="s">
        <v>419</v>
      </c>
      <c r="X78" s="66">
        <v>44816</v>
      </c>
      <c r="Y78" s="66">
        <v>45086</v>
      </c>
      <c r="Z78" s="66"/>
      <c r="AA78" s="66"/>
      <c r="AB78" s="26" t="s">
        <v>309</v>
      </c>
      <c r="AC78" s="26"/>
      <c r="AD78" s="28"/>
      <c r="AE78" s="28"/>
      <c r="AF78" s="28"/>
      <c r="AG78" s="28" t="s">
        <v>90</v>
      </c>
      <c r="AH78" s="28" t="s">
        <v>90</v>
      </c>
      <c r="AI78" s="28" t="s">
        <v>90</v>
      </c>
      <c r="AJ78" s="28" t="s">
        <v>90</v>
      </c>
      <c r="AK78" s="28" t="s">
        <v>90</v>
      </c>
      <c r="AL78" s="28" t="s">
        <v>90</v>
      </c>
      <c r="AM78" s="28" t="s">
        <v>90</v>
      </c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9">
        <v>11.41</v>
      </c>
      <c r="AY78" s="30"/>
      <c r="AZ78" s="30"/>
      <c r="BA78" s="29"/>
      <c r="BB78" s="29"/>
      <c r="BC78" s="30"/>
      <c r="BD78" s="31">
        <f t="shared" si="14"/>
        <v>2373.2800000000002</v>
      </c>
      <c r="BE78" s="31"/>
      <c r="BF78" s="30"/>
      <c r="BG78" s="36">
        <v>1</v>
      </c>
      <c r="BH78" s="31">
        <f t="shared" si="9"/>
        <v>0</v>
      </c>
      <c r="BI78" s="31">
        <f t="shared" si="10"/>
        <v>0</v>
      </c>
      <c r="BJ78" s="33">
        <f t="shared" si="11"/>
        <v>0</v>
      </c>
      <c r="BK78" s="30"/>
      <c r="BL78" s="30"/>
      <c r="BM78" s="30"/>
      <c r="BN78" s="30"/>
      <c r="BO78" s="33">
        <f t="shared" si="15"/>
        <v>0</v>
      </c>
      <c r="BP78" s="30">
        <v>17</v>
      </c>
      <c r="BQ78" s="30">
        <v>25</v>
      </c>
      <c r="BR78" s="30"/>
      <c r="BS78" s="30"/>
      <c r="BT78" s="34">
        <f t="shared" si="16"/>
        <v>11.41</v>
      </c>
      <c r="BU78" s="34"/>
      <c r="BV78" s="34"/>
      <c r="BW78" s="34"/>
      <c r="BX78" s="34"/>
      <c r="BY78" s="30"/>
      <c r="BZ78" s="31">
        <f t="shared" si="12"/>
        <v>193.97</v>
      </c>
      <c r="CA78" s="31">
        <f t="shared" si="17"/>
        <v>285.25</v>
      </c>
    </row>
    <row r="79" spans="1:79" ht="51" x14ac:dyDescent="0.25">
      <c r="A79" s="17"/>
      <c r="B79" s="2">
        <v>75</v>
      </c>
      <c r="C79" s="18">
        <v>428</v>
      </c>
      <c r="D79" s="18">
        <v>6</v>
      </c>
      <c r="E79" s="19">
        <v>0.55902777777777779</v>
      </c>
      <c r="F79" s="19">
        <v>0.56180555555555556</v>
      </c>
      <c r="G79" s="18" t="s">
        <v>420</v>
      </c>
      <c r="H79" s="18" t="s">
        <v>306</v>
      </c>
      <c r="I79" s="20">
        <v>2</v>
      </c>
      <c r="J79" s="21" t="s">
        <v>93</v>
      </c>
      <c r="K79" s="22">
        <v>208</v>
      </c>
      <c r="L79" s="23">
        <f t="shared" si="13"/>
        <v>416</v>
      </c>
      <c r="M79" s="24" t="s">
        <v>412</v>
      </c>
      <c r="N79" s="72" t="s">
        <v>413</v>
      </c>
      <c r="O79" s="72">
        <v>17</v>
      </c>
      <c r="P79" s="25" t="s">
        <v>414</v>
      </c>
      <c r="Q79" s="25">
        <v>9</v>
      </c>
      <c r="R79" s="17"/>
      <c r="S79" s="25"/>
      <c r="T79" s="26">
        <v>4050</v>
      </c>
      <c r="U79" s="26" t="s">
        <v>419</v>
      </c>
      <c r="V79" s="26">
        <v>4061</v>
      </c>
      <c r="W79" s="26" t="s">
        <v>418</v>
      </c>
      <c r="X79" s="66">
        <v>44816</v>
      </c>
      <c r="Y79" s="66">
        <v>45086</v>
      </c>
      <c r="Z79" s="66"/>
      <c r="AA79" s="66"/>
      <c r="AB79" s="26" t="s">
        <v>309</v>
      </c>
      <c r="AC79" s="26"/>
      <c r="AD79" s="28"/>
      <c r="AE79" s="28"/>
      <c r="AF79" s="28"/>
      <c r="AG79" s="28" t="s">
        <v>90</v>
      </c>
      <c r="AH79" s="28" t="s">
        <v>90</v>
      </c>
      <c r="AI79" s="28" t="s">
        <v>90</v>
      </c>
      <c r="AJ79" s="28" t="s">
        <v>90</v>
      </c>
      <c r="AK79" s="28" t="s">
        <v>90</v>
      </c>
      <c r="AL79" s="28" t="s">
        <v>90</v>
      </c>
      <c r="AM79" s="28" t="s">
        <v>90</v>
      </c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9">
        <v>11.41</v>
      </c>
      <c r="AY79" s="30"/>
      <c r="AZ79" s="30"/>
      <c r="BA79" s="29"/>
      <c r="BB79" s="29"/>
      <c r="BC79" s="30"/>
      <c r="BD79" s="31">
        <f t="shared" si="14"/>
        <v>2373.2800000000002</v>
      </c>
      <c r="BE79" s="31"/>
      <c r="BF79" s="30"/>
      <c r="BG79" s="36">
        <v>1</v>
      </c>
      <c r="BH79" s="31">
        <f t="shared" si="9"/>
        <v>0</v>
      </c>
      <c r="BI79" s="31">
        <f t="shared" si="10"/>
        <v>0</v>
      </c>
      <c r="BJ79" s="33">
        <f t="shared" si="11"/>
        <v>0</v>
      </c>
      <c r="BK79" s="30"/>
      <c r="BL79" s="30"/>
      <c r="BM79" s="30"/>
      <c r="BN79" s="30"/>
      <c r="BO79" s="33">
        <f t="shared" si="15"/>
        <v>0</v>
      </c>
      <c r="BP79" s="30">
        <v>17</v>
      </c>
      <c r="BQ79" s="30">
        <v>25</v>
      </c>
      <c r="BR79" s="30"/>
      <c r="BS79" s="30"/>
      <c r="BT79" s="34">
        <f t="shared" si="16"/>
        <v>11.41</v>
      </c>
      <c r="BU79" s="34"/>
      <c r="BV79" s="34"/>
      <c r="BW79" s="34"/>
      <c r="BX79" s="34"/>
      <c r="BY79" s="30"/>
      <c r="BZ79" s="31">
        <f t="shared" si="12"/>
        <v>193.97</v>
      </c>
      <c r="CA79" s="31">
        <f t="shared" si="17"/>
        <v>285.25</v>
      </c>
    </row>
    <row r="80" spans="1:79" ht="51" x14ac:dyDescent="0.25">
      <c r="A80" s="17"/>
      <c r="B80" s="2">
        <v>76</v>
      </c>
      <c r="C80" s="18">
        <v>428</v>
      </c>
      <c r="D80" s="18">
        <v>8</v>
      </c>
      <c r="E80" s="19">
        <v>0.59722222222222221</v>
      </c>
      <c r="F80" s="19">
        <v>0.6</v>
      </c>
      <c r="G80" s="18" t="s">
        <v>420</v>
      </c>
      <c r="H80" s="18" t="s">
        <v>306</v>
      </c>
      <c r="I80" s="20">
        <v>2</v>
      </c>
      <c r="J80" s="21" t="s">
        <v>93</v>
      </c>
      <c r="K80" s="22">
        <v>208</v>
      </c>
      <c r="L80" s="23">
        <f t="shared" si="13"/>
        <v>416</v>
      </c>
      <c r="M80" s="24" t="s">
        <v>412</v>
      </c>
      <c r="N80" s="72" t="s">
        <v>413</v>
      </c>
      <c r="O80" s="72">
        <v>17</v>
      </c>
      <c r="P80" s="25" t="s">
        <v>414</v>
      </c>
      <c r="Q80" s="25">
        <v>9</v>
      </c>
      <c r="R80" s="17"/>
      <c r="S80" s="25"/>
      <c r="T80" s="26">
        <v>4050</v>
      </c>
      <c r="U80" s="26" t="s">
        <v>419</v>
      </c>
      <c r="V80" s="26">
        <v>4061</v>
      </c>
      <c r="W80" s="26" t="s">
        <v>418</v>
      </c>
      <c r="X80" s="66">
        <v>44816</v>
      </c>
      <c r="Y80" s="66">
        <v>45086</v>
      </c>
      <c r="Z80" s="66"/>
      <c r="AA80" s="66"/>
      <c r="AB80" s="26" t="s">
        <v>309</v>
      </c>
      <c r="AC80" s="26"/>
      <c r="AD80" s="28"/>
      <c r="AE80" s="28"/>
      <c r="AF80" s="28"/>
      <c r="AG80" s="28" t="s">
        <v>90</v>
      </c>
      <c r="AH80" s="28" t="s">
        <v>90</v>
      </c>
      <c r="AI80" s="28" t="s">
        <v>90</v>
      </c>
      <c r="AJ80" s="28" t="s">
        <v>90</v>
      </c>
      <c r="AK80" s="28" t="s">
        <v>90</v>
      </c>
      <c r="AL80" s="28" t="s">
        <v>90</v>
      </c>
      <c r="AM80" s="28" t="s">
        <v>90</v>
      </c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9">
        <v>11.41</v>
      </c>
      <c r="AY80" s="30"/>
      <c r="AZ80" s="30"/>
      <c r="BA80" s="29"/>
      <c r="BB80" s="29"/>
      <c r="BC80" s="30"/>
      <c r="BD80" s="31">
        <f t="shared" si="14"/>
        <v>2373.2800000000002</v>
      </c>
      <c r="BE80" s="31"/>
      <c r="BF80" s="30"/>
      <c r="BG80" s="36">
        <v>1</v>
      </c>
      <c r="BH80" s="31">
        <f t="shared" si="9"/>
        <v>0</v>
      </c>
      <c r="BI80" s="31">
        <f t="shared" si="10"/>
        <v>0</v>
      </c>
      <c r="BJ80" s="33">
        <f t="shared" si="11"/>
        <v>0</v>
      </c>
      <c r="BK80" s="30"/>
      <c r="BL80" s="30"/>
      <c r="BM80" s="30"/>
      <c r="BN80" s="30"/>
      <c r="BO80" s="33">
        <f t="shared" si="15"/>
        <v>0</v>
      </c>
      <c r="BP80" s="30">
        <v>17</v>
      </c>
      <c r="BQ80" s="30">
        <v>25</v>
      </c>
      <c r="BR80" s="30"/>
      <c r="BS80" s="30"/>
      <c r="BT80" s="34">
        <f t="shared" si="16"/>
        <v>11.41</v>
      </c>
      <c r="BU80" s="34"/>
      <c r="BV80" s="34"/>
      <c r="BW80" s="34"/>
      <c r="BX80" s="34"/>
      <c r="BY80" s="30"/>
      <c r="BZ80" s="31">
        <f t="shared" si="12"/>
        <v>193.97</v>
      </c>
      <c r="CA80" s="31">
        <f t="shared" si="17"/>
        <v>285.25</v>
      </c>
    </row>
    <row r="81" spans="1:79" ht="51" x14ac:dyDescent="0.25">
      <c r="A81" s="17"/>
      <c r="B81" s="2">
        <v>77</v>
      </c>
      <c r="C81" s="18">
        <v>428</v>
      </c>
      <c r="D81" s="18">
        <v>10</v>
      </c>
      <c r="E81" s="19">
        <v>0.77430555555555547</v>
      </c>
      <c r="F81" s="19">
        <v>0.77708333333333324</v>
      </c>
      <c r="G81" s="18" t="s">
        <v>420</v>
      </c>
      <c r="H81" s="18" t="s">
        <v>273</v>
      </c>
      <c r="I81" s="20">
        <v>2</v>
      </c>
      <c r="J81" s="21" t="s">
        <v>93</v>
      </c>
      <c r="K81" s="22">
        <v>174</v>
      </c>
      <c r="L81" s="23">
        <f t="shared" si="13"/>
        <v>348</v>
      </c>
      <c r="M81" s="24" t="s">
        <v>412</v>
      </c>
      <c r="N81" s="72" t="s">
        <v>413</v>
      </c>
      <c r="O81" s="72">
        <v>17</v>
      </c>
      <c r="P81" s="25" t="s">
        <v>414</v>
      </c>
      <c r="Q81" s="25">
        <v>9</v>
      </c>
      <c r="R81" s="17"/>
      <c r="S81" s="25"/>
      <c r="T81" s="26">
        <v>4050</v>
      </c>
      <c r="U81" s="26" t="s">
        <v>419</v>
      </c>
      <c r="V81" s="26">
        <v>4061</v>
      </c>
      <c r="W81" s="26" t="s">
        <v>418</v>
      </c>
      <c r="X81" s="66">
        <v>44816</v>
      </c>
      <c r="Y81" s="66">
        <v>45086</v>
      </c>
      <c r="Z81" s="66"/>
      <c r="AA81" s="66"/>
      <c r="AB81" s="26" t="s">
        <v>282</v>
      </c>
      <c r="AC81" s="26"/>
      <c r="AD81" s="28"/>
      <c r="AE81" s="28"/>
      <c r="AF81" s="28"/>
      <c r="AG81" s="28" t="s">
        <v>90</v>
      </c>
      <c r="AH81" s="28" t="s">
        <v>90</v>
      </c>
      <c r="AI81" s="28" t="s">
        <v>90</v>
      </c>
      <c r="AJ81" s="28" t="s">
        <v>90</v>
      </c>
      <c r="AK81" s="28" t="s">
        <v>90</v>
      </c>
      <c r="AL81" s="28" t="s">
        <v>90</v>
      </c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9">
        <v>10</v>
      </c>
      <c r="AY81" s="30"/>
      <c r="AZ81" s="30"/>
      <c r="BA81" s="29"/>
      <c r="BB81" s="29"/>
      <c r="BC81" s="30"/>
      <c r="BD81" s="31">
        <f t="shared" si="14"/>
        <v>1740</v>
      </c>
      <c r="BE81" s="31"/>
      <c r="BF81" s="30"/>
      <c r="BG81" s="36">
        <v>1</v>
      </c>
      <c r="BH81" s="31">
        <f t="shared" si="9"/>
        <v>0</v>
      </c>
      <c r="BI81" s="31">
        <f t="shared" si="10"/>
        <v>0</v>
      </c>
      <c r="BJ81" s="33">
        <f t="shared" si="11"/>
        <v>0</v>
      </c>
      <c r="BK81" s="30"/>
      <c r="BL81" s="30"/>
      <c r="BM81" s="30"/>
      <c r="BN81" s="30"/>
      <c r="BO81" s="33">
        <f t="shared" si="15"/>
        <v>0</v>
      </c>
      <c r="BP81" s="30">
        <v>15</v>
      </c>
      <c r="BQ81" s="30">
        <v>20</v>
      </c>
      <c r="BR81" s="30"/>
      <c r="BS81" s="30"/>
      <c r="BT81" s="34">
        <f t="shared" si="16"/>
        <v>10</v>
      </c>
      <c r="BU81" s="34"/>
      <c r="BV81" s="34"/>
      <c r="BW81" s="34"/>
      <c r="BX81" s="34"/>
      <c r="BY81" s="30"/>
      <c r="BZ81" s="31">
        <f t="shared" si="12"/>
        <v>150</v>
      </c>
      <c r="CA81" s="31">
        <f t="shared" si="17"/>
        <v>200</v>
      </c>
    </row>
    <row r="82" spans="1:79" ht="102" x14ac:dyDescent="0.25">
      <c r="A82" s="17"/>
      <c r="B82" s="2">
        <v>78</v>
      </c>
      <c r="C82" s="18">
        <v>601</v>
      </c>
      <c r="D82" s="58">
        <v>696</v>
      </c>
      <c r="E82" s="19">
        <v>0.86458333333333337</v>
      </c>
      <c r="F82" s="19">
        <v>0.88680555555555562</v>
      </c>
      <c r="G82" s="18" t="s">
        <v>421</v>
      </c>
      <c r="H82" s="18" t="s">
        <v>422</v>
      </c>
      <c r="I82" s="20">
        <v>22</v>
      </c>
      <c r="J82" s="21" t="s">
        <v>93</v>
      </c>
      <c r="K82" s="22">
        <v>240</v>
      </c>
      <c r="L82" s="23">
        <f t="shared" si="13"/>
        <v>5280</v>
      </c>
      <c r="M82" s="24" t="s">
        <v>176</v>
      </c>
      <c r="N82" s="25" t="s">
        <v>177</v>
      </c>
      <c r="O82" s="25">
        <v>24</v>
      </c>
      <c r="P82" s="25" t="s">
        <v>356</v>
      </c>
      <c r="Q82" s="25">
        <v>20</v>
      </c>
      <c r="R82" s="25" t="s">
        <v>276</v>
      </c>
      <c r="S82" s="17">
        <v>50</v>
      </c>
      <c r="T82" s="26" t="s">
        <v>199</v>
      </c>
      <c r="U82" s="26" t="s">
        <v>200</v>
      </c>
      <c r="V82" s="26">
        <v>6120</v>
      </c>
      <c r="W82" s="26" t="s">
        <v>98</v>
      </c>
      <c r="X82" s="27">
        <v>44816</v>
      </c>
      <c r="Y82" s="27">
        <v>45100</v>
      </c>
      <c r="Z82" s="27"/>
      <c r="AA82" s="27"/>
      <c r="AB82" s="26" t="s">
        <v>423</v>
      </c>
      <c r="AC82" s="26"/>
      <c r="AD82" s="28" t="s">
        <v>90</v>
      </c>
      <c r="AE82" s="28"/>
      <c r="AF82" s="28" t="s">
        <v>90</v>
      </c>
      <c r="AG82" s="28"/>
      <c r="AH82" s="28" t="s">
        <v>90</v>
      </c>
      <c r="AI82" s="28" t="s">
        <v>90</v>
      </c>
      <c r="AJ82" s="28" t="s">
        <v>90</v>
      </c>
      <c r="AK82" s="28" t="s">
        <v>90</v>
      </c>
      <c r="AL82" s="28" t="s">
        <v>90</v>
      </c>
      <c r="AM82" s="28" t="s">
        <v>90</v>
      </c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9">
        <v>55</v>
      </c>
      <c r="AY82" s="31"/>
      <c r="AZ82" s="30"/>
      <c r="BA82" s="29"/>
      <c r="BB82" s="29"/>
      <c r="BC82" s="30"/>
      <c r="BD82" s="31">
        <f t="shared" si="14"/>
        <v>13200</v>
      </c>
      <c r="BE82" s="31"/>
      <c r="BF82" s="30"/>
      <c r="BG82" s="36">
        <v>1</v>
      </c>
      <c r="BH82" s="31">
        <f t="shared" si="9"/>
        <v>0</v>
      </c>
      <c r="BI82" s="31">
        <f t="shared" si="10"/>
        <v>0</v>
      </c>
      <c r="BJ82" s="33">
        <f t="shared" si="11"/>
        <v>0</v>
      </c>
      <c r="BK82" s="30"/>
      <c r="BL82" s="30"/>
      <c r="BM82" s="30"/>
      <c r="BN82" s="30"/>
      <c r="BO82" s="33">
        <f t="shared" si="15"/>
        <v>0</v>
      </c>
      <c r="BP82" s="30">
        <v>17</v>
      </c>
      <c r="BQ82" s="30">
        <v>26</v>
      </c>
      <c r="BR82" s="30"/>
      <c r="BS82" s="30"/>
      <c r="BT82" s="34">
        <f t="shared" si="16"/>
        <v>55</v>
      </c>
      <c r="BU82" s="34"/>
      <c r="BV82" s="34"/>
      <c r="BW82" s="34"/>
      <c r="BX82" s="34"/>
      <c r="BY82" s="30"/>
      <c r="BZ82" s="31">
        <f t="shared" si="12"/>
        <v>935</v>
      </c>
      <c r="CA82" s="31">
        <f t="shared" si="17"/>
        <v>1430</v>
      </c>
    </row>
    <row r="83" spans="1:79" ht="51.75" x14ac:dyDescent="0.25">
      <c r="A83" s="17"/>
      <c r="B83" s="2">
        <v>79</v>
      </c>
      <c r="C83" s="18">
        <v>611</v>
      </c>
      <c r="D83" s="18">
        <v>67</v>
      </c>
      <c r="E83" s="59">
        <v>0.2722222222222222</v>
      </c>
      <c r="F83" s="19">
        <v>0.30208333333333331</v>
      </c>
      <c r="G83" s="73" t="s">
        <v>424</v>
      </c>
      <c r="H83" s="18" t="s">
        <v>306</v>
      </c>
      <c r="I83" s="20">
        <v>33</v>
      </c>
      <c r="J83" s="21" t="s">
        <v>104</v>
      </c>
      <c r="K83" s="22">
        <v>208</v>
      </c>
      <c r="L83" s="23">
        <f t="shared" si="13"/>
        <v>6864</v>
      </c>
      <c r="M83" s="24" t="s">
        <v>94</v>
      </c>
      <c r="N83" s="25" t="s">
        <v>96</v>
      </c>
      <c r="O83" s="25">
        <v>34</v>
      </c>
      <c r="P83" s="25" t="s">
        <v>425</v>
      </c>
      <c r="Q83" s="25">
        <v>31</v>
      </c>
      <c r="R83" s="17"/>
      <c r="S83" s="25"/>
      <c r="T83" s="74" t="s">
        <v>426</v>
      </c>
      <c r="U83" s="74" t="s">
        <v>427</v>
      </c>
      <c r="V83" s="26" t="s">
        <v>199</v>
      </c>
      <c r="W83" s="26" t="s">
        <v>200</v>
      </c>
      <c r="X83" s="66">
        <v>44816</v>
      </c>
      <c r="Y83" s="66">
        <v>45086</v>
      </c>
      <c r="Z83" s="66"/>
      <c r="AA83" s="66"/>
      <c r="AB83" s="26" t="s">
        <v>309</v>
      </c>
      <c r="AC83" s="26"/>
      <c r="AD83" s="28"/>
      <c r="AE83" s="28"/>
      <c r="AF83" s="28"/>
      <c r="AG83" s="28" t="s">
        <v>90</v>
      </c>
      <c r="AH83" s="28" t="s">
        <v>90</v>
      </c>
      <c r="AI83" s="28" t="s">
        <v>90</v>
      </c>
      <c r="AJ83" s="28" t="s">
        <v>90</v>
      </c>
      <c r="AK83" s="28" t="s">
        <v>90</v>
      </c>
      <c r="AL83" s="28" t="s">
        <v>90</v>
      </c>
      <c r="AM83" s="28" t="s">
        <v>90</v>
      </c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9">
        <v>79.5</v>
      </c>
      <c r="AY83" s="31"/>
      <c r="AZ83" s="30"/>
      <c r="BA83" s="29"/>
      <c r="BB83" s="29"/>
      <c r="BC83" s="30"/>
      <c r="BD83" s="31">
        <f t="shared" si="14"/>
        <v>16536</v>
      </c>
      <c r="BE83" s="31"/>
      <c r="BF83" s="30"/>
      <c r="BG83" s="36">
        <v>1</v>
      </c>
      <c r="BH83" s="31">
        <f t="shared" si="9"/>
        <v>0</v>
      </c>
      <c r="BI83" s="31">
        <f t="shared" si="10"/>
        <v>0</v>
      </c>
      <c r="BJ83" s="33">
        <f t="shared" si="11"/>
        <v>0</v>
      </c>
      <c r="BK83" s="30"/>
      <c r="BL83" s="30"/>
      <c r="BM83" s="30"/>
      <c r="BN83" s="31">
        <f>IF((AX83+AY83+AZ83)&lt;20,(20-(AX83+AY83+AZ83)),0)</f>
        <v>0</v>
      </c>
      <c r="BO83" s="33">
        <f t="shared" si="15"/>
        <v>0</v>
      </c>
      <c r="BP83" s="30">
        <v>17</v>
      </c>
      <c r="BQ83" s="30">
        <v>25</v>
      </c>
      <c r="BR83" s="30"/>
      <c r="BS83" s="30"/>
      <c r="BT83" s="34">
        <f t="shared" si="16"/>
        <v>79.5</v>
      </c>
      <c r="BU83" s="34"/>
      <c r="BV83" s="34"/>
      <c r="BW83" s="34"/>
      <c r="BX83" s="34"/>
      <c r="BY83" s="30"/>
      <c r="BZ83" s="31">
        <f t="shared" si="12"/>
        <v>1351.5</v>
      </c>
      <c r="CA83" s="31">
        <f t="shared" si="17"/>
        <v>1987.5</v>
      </c>
    </row>
    <row r="84" spans="1:79" ht="63.75" x14ac:dyDescent="0.25">
      <c r="A84" s="17"/>
      <c r="B84" s="2">
        <v>80</v>
      </c>
      <c r="C84" s="18">
        <v>621</v>
      </c>
      <c r="D84" s="18">
        <v>239</v>
      </c>
      <c r="E84" s="59">
        <v>0.28680555555555554</v>
      </c>
      <c r="F84" s="19">
        <v>0.30972222222222223</v>
      </c>
      <c r="G84" s="18" t="s">
        <v>428</v>
      </c>
      <c r="H84" s="18" t="s">
        <v>429</v>
      </c>
      <c r="I84" s="20">
        <v>21</v>
      </c>
      <c r="J84" s="21" t="s">
        <v>274</v>
      </c>
      <c r="K84" s="22">
        <v>34</v>
      </c>
      <c r="L84" s="23">
        <f t="shared" si="13"/>
        <v>714</v>
      </c>
      <c r="M84" s="24" t="s">
        <v>262</v>
      </c>
      <c r="N84" s="25"/>
      <c r="O84" s="25"/>
      <c r="P84" s="25" t="s">
        <v>295</v>
      </c>
      <c r="Q84" s="25">
        <v>48</v>
      </c>
      <c r="R84" s="25" t="s">
        <v>296</v>
      </c>
      <c r="S84" s="35">
        <v>45</v>
      </c>
      <c r="T84" s="26" t="s">
        <v>430</v>
      </c>
      <c r="U84" s="26" t="s">
        <v>431</v>
      </c>
      <c r="V84" s="26">
        <v>1</v>
      </c>
      <c r="W84" s="26" t="s">
        <v>300</v>
      </c>
      <c r="X84" s="66">
        <v>44816</v>
      </c>
      <c r="Y84" s="66">
        <v>45086</v>
      </c>
      <c r="Z84" s="66"/>
      <c r="AA84" s="66"/>
      <c r="AB84" s="26" t="s">
        <v>382</v>
      </c>
      <c r="AC84" s="26"/>
      <c r="AD84" s="28"/>
      <c r="AE84" s="28"/>
      <c r="AF84" s="28"/>
      <c r="AG84" s="28" t="s">
        <v>90</v>
      </c>
      <c r="AH84" s="28"/>
      <c r="AI84" s="28"/>
      <c r="AJ84" s="28"/>
      <c r="AK84" s="28"/>
      <c r="AL84" s="28"/>
      <c r="AM84" s="28" t="s">
        <v>90</v>
      </c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9">
        <v>63</v>
      </c>
      <c r="AY84" s="29"/>
      <c r="AZ84" s="30"/>
      <c r="BA84" s="30"/>
      <c r="BB84" s="30"/>
      <c r="BC84" s="30"/>
      <c r="BD84" s="31">
        <f t="shared" si="14"/>
        <v>2142</v>
      </c>
      <c r="BE84" s="31"/>
      <c r="BF84" s="30"/>
      <c r="BG84" s="32">
        <v>2</v>
      </c>
      <c r="BH84" s="31">
        <f t="shared" si="9"/>
        <v>0</v>
      </c>
      <c r="BI84" s="31">
        <f t="shared" si="10"/>
        <v>0</v>
      </c>
      <c r="BJ84" s="33">
        <f t="shared" si="11"/>
        <v>0</v>
      </c>
      <c r="BK84" s="30"/>
      <c r="BL84" s="30"/>
      <c r="BM84" s="30"/>
      <c r="BN84" s="31">
        <f>IF((AX84+AY84+AZ84)&lt;20,(20-(AX84+AY84+AZ84)),0)</f>
        <v>0</v>
      </c>
      <c r="BO84" s="33">
        <f t="shared" si="15"/>
        <v>0</v>
      </c>
      <c r="BP84" s="30">
        <v>2</v>
      </c>
      <c r="BQ84" s="30">
        <v>5</v>
      </c>
      <c r="BR84" s="30"/>
      <c r="BS84" s="30"/>
      <c r="BT84" s="34">
        <f t="shared" si="16"/>
        <v>63</v>
      </c>
      <c r="BU84" s="34"/>
      <c r="BV84" s="34"/>
      <c r="BW84" s="34"/>
      <c r="BX84" s="34"/>
      <c r="BY84" s="30"/>
      <c r="BZ84" s="31">
        <f t="shared" si="12"/>
        <v>126</v>
      </c>
      <c r="CA84" s="31">
        <f t="shared" si="17"/>
        <v>315</v>
      </c>
    </row>
    <row r="85" spans="1:79" ht="76.5" x14ac:dyDescent="0.25">
      <c r="A85" s="17"/>
      <c r="B85" s="2">
        <v>81</v>
      </c>
      <c r="C85" s="18">
        <v>621</v>
      </c>
      <c r="D85" s="18">
        <v>966</v>
      </c>
      <c r="E85" s="19">
        <v>0.35416666666666669</v>
      </c>
      <c r="F85" s="19">
        <v>0.37083333333333335</v>
      </c>
      <c r="G85" s="18" t="s">
        <v>432</v>
      </c>
      <c r="H85" s="18" t="s">
        <v>327</v>
      </c>
      <c r="I85" s="20">
        <v>13.2</v>
      </c>
      <c r="J85" s="21" t="s">
        <v>93</v>
      </c>
      <c r="K85" s="22">
        <v>67</v>
      </c>
      <c r="L85" s="23">
        <f t="shared" si="13"/>
        <v>884.4</v>
      </c>
      <c r="M85" s="24" t="s">
        <v>94</v>
      </c>
      <c r="N85" s="25" t="s">
        <v>96</v>
      </c>
      <c r="O85" s="25">
        <v>34</v>
      </c>
      <c r="P85" s="17" t="s">
        <v>97</v>
      </c>
      <c r="Q85" s="17">
        <v>21</v>
      </c>
      <c r="R85" s="25" t="s">
        <v>95</v>
      </c>
      <c r="S85" s="35">
        <v>24</v>
      </c>
      <c r="T85" s="26" t="s">
        <v>433</v>
      </c>
      <c r="U85" s="26" t="s">
        <v>434</v>
      </c>
      <c r="V85" s="26">
        <v>6120</v>
      </c>
      <c r="W85" s="26" t="s">
        <v>98</v>
      </c>
      <c r="X85" s="27">
        <v>44562</v>
      </c>
      <c r="Y85" s="27">
        <v>44815</v>
      </c>
      <c r="Z85" s="27">
        <v>45101</v>
      </c>
      <c r="AA85" s="27">
        <v>45169</v>
      </c>
      <c r="AB85" s="28" t="s">
        <v>89</v>
      </c>
      <c r="AC85" s="28"/>
      <c r="AD85" s="28"/>
      <c r="AE85" s="28" t="s">
        <v>90</v>
      </c>
      <c r="AF85" s="28" t="s">
        <v>90</v>
      </c>
      <c r="AG85" s="28"/>
      <c r="AH85" s="28" t="s">
        <v>90</v>
      </c>
      <c r="AI85" s="28" t="s">
        <v>90</v>
      </c>
      <c r="AJ85" s="28" t="s">
        <v>90</v>
      </c>
      <c r="AK85" s="28" t="s">
        <v>90</v>
      </c>
      <c r="AL85" s="28" t="s">
        <v>90</v>
      </c>
      <c r="AM85" s="28" t="s">
        <v>90</v>
      </c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9">
        <v>39.6</v>
      </c>
      <c r="AY85" s="29"/>
      <c r="AZ85" s="30"/>
      <c r="BA85" s="30"/>
      <c r="BB85" s="30"/>
      <c r="BC85" s="30"/>
      <c r="BD85" s="31">
        <f t="shared" si="14"/>
        <v>2653.2000000000003</v>
      </c>
      <c r="BE85" s="31"/>
      <c r="BF85" s="30"/>
      <c r="BG85" s="36">
        <v>1</v>
      </c>
      <c r="BH85" s="31">
        <f t="shared" si="9"/>
        <v>0</v>
      </c>
      <c r="BI85" s="31">
        <f t="shared" si="10"/>
        <v>0</v>
      </c>
      <c r="BJ85" s="33">
        <f t="shared" si="11"/>
        <v>0</v>
      </c>
      <c r="BK85" s="30"/>
      <c r="BL85" s="30"/>
      <c r="BM85" s="30"/>
      <c r="BN85" s="30"/>
      <c r="BO85" s="33">
        <f t="shared" si="15"/>
        <v>0</v>
      </c>
      <c r="BP85" s="30">
        <v>9</v>
      </c>
      <c r="BQ85" s="30">
        <v>0</v>
      </c>
      <c r="BR85" s="30"/>
      <c r="BS85" s="30"/>
      <c r="BT85" s="34">
        <f t="shared" si="16"/>
        <v>39.6</v>
      </c>
      <c r="BU85" s="34"/>
      <c r="BV85" s="34"/>
      <c r="BW85" s="34"/>
      <c r="BX85" s="34"/>
      <c r="BY85" s="30"/>
      <c r="BZ85" s="31">
        <f t="shared" si="12"/>
        <v>356.40000000000003</v>
      </c>
      <c r="CA85" s="31">
        <f t="shared" si="17"/>
        <v>0</v>
      </c>
    </row>
    <row r="86" spans="1:79" ht="76.5" x14ac:dyDescent="0.25">
      <c r="A86" s="17"/>
      <c r="B86" s="2">
        <v>82</v>
      </c>
      <c r="C86" s="18">
        <v>621</v>
      </c>
      <c r="D86" s="18">
        <v>966</v>
      </c>
      <c r="E86" s="19">
        <v>0.35416666666666669</v>
      </c>
      <c r="F86" s="59">
        <v>0.37083333333333335</v>
      </c>
      <c r="G86" s="18" t="s">
        <v>432</v>
      </c>
      <c r="H86" s="18" t="s">
        <v>422</v>
      </c>
      <c r="I86" s="20">
        <v>13.2</v>
      </c>
      <c r="J86" s="21" t="s">
        <v>93</v>
      </c>
      <c r="K86" s="22">
        <v>240</v>
      </c>
      <c r="L86" s="23">
        <f t="shared" si="13"/>
        <v>3168</v>
      </c>
      <c r="M86" s="24" t="s">
        <v>94</v>
      </c>
      <c r="N86" s="25" t="s">
        <v>96</v>
      </c>
      <c r="O86" s="25">
        <v>34</v>
      </c>
      <c r="P86" s="25" t="s">
        <v>97</v>
      </c>
      <c r="Q86" s="25">
        <v>21</v>
      </c>
      <c r="R86" s="25" t="s">
        <v>95</v>
      </c>
      <c r="S86" s="35">
        <v>24</v>
      </c>
      <c r="T86" s="26" t="s">
        <v>433</v>
      </c>
      <c r="U86" s="26" t="s">
        <v>434</v>
      </c>
      <c r="V86" s="26">
        <v>6120</v>
      </c>
      <c r="W86" s="26" t="s">
        <v>98</v>
      </c>
      <c r="X86" s="27">
        <v>44816</v>
      </c>
      <c r="Y86" s="27">
        <v>45100</v>
      </c>
      <c r="Z86" s="27"/>
      <c r="AA86" s="27"/>
      <c r="AB86" s="26" t="s">
        <v>423</v>
      </c>
      <c r="AC86" s="26"/>
      <c r="AD86" s="28" t="s">
        <v>90</v>
      </c>
      <c r="AE86" s="28"/>
      <c r="AF86" s="28" t="s">
        <v>90</v>
      </c>
      <c r="AG86" s="28"/>
      <c r="AH86" s="28" t="s">
        <v>90</v>
      </c>
      <c r="AI86" s="28" t="s">
        <v>90</v>
      </c>
      <c r="AJ86" s="28" t="s">
        <v>90</v>
      </c>
      <c r="AK86" s="28" t="s">
        <v>90</v>
      </c>
      <c r="AL86" s="28" t="s">
        <v>90</v>
      </c>
      <c r="AM86" s="28" t="s">
        <v>90</v>
      </c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9">
        <v>39.6</v>
      </c>
      <c r="AY86" s="29"/>
      <c r="AZ86" s="30"/>
      <c r="BA86" s="30"/>
      <c r="BB86" s="30"/>
      <c r="BC86" s="30"/>
      <c r="BD86" s="31">
        <f t="shared" si="14"/>
        <v>9504</v>
      </c>
      <c r="BE86" s="31"/>
      <c r="BF86" s="30"/>
      <c r="BG86" s="36">
        <v>1</v>
      </c>
      <c r="BH86" s="31">
        <f t="shared" si="9"/>
        <v>0</v>
      </c>
      <c r="BI86" s="31">
        <f t="shared" si="10"/>
        <v>0</v>
      </c>
      <c r="BJ86" s="33">
        <f t="shared" si="11"/>
        <v>0</v>
      </c>
      <c r="BK86" s="30"/>
      <c r="BL86" s="30"/>
      <c r="BM86" s="30"/>
      <c r="BN86" s="30"/>
      <c r="BO86" s="33">
        <f t="shared" si="15"/>
        <v>0</v>
      </c>
      <c r="BP86" s="30">
        <v>17</v>
      </c>
      <c r="BQ86" s="30">
        <v>26</v>
      </c>
      <c r="BR86" s="30"/>
      <c r="BS86" s="30"/>
      <c r="BT86" s="34">
        <f t="shared" si="16"/>
        <v>39.6</v>
      </c>
      <c r="BU86" s="34"/>
      <c r="BV86" s="34"/>
      <c r="BW86" s="34"/>
      <c r="BX86" s="34"/>
      <c r="BY86" s="30"/>
      <c r="BZ86" s="31">
        <f t="shared" si="12"/>
        <v>673.2</v>
      </c>
      <c r="CA86" s="31">
        <f t="shared" si="17"/>
        <v>1029.6000000000001</v>
      </c>
    </row>
    <row r="87" spans="1:79" ht="89.25" x14ac:dyDescent="0.25">
      <c r="A87" s="17"/>
      <c r="B87" s="2">
        <v>83</v>
      </c>
      <c r="C87" s="18">
        <v>621</v>
      </c>
      <c r="D87" s="18">
        <v>241</v>
      </c>
      <c r="E87" s="19">
        <v>0.36458333333333331</v>
      </c>
      <c r="F87" s="19">
        <v>0.38958333333333334</v>
      </c>
      <c r="G87" s="18" t="s">
        <v>435</v>
      </c>
      <c r="H87" s="18" t="s">
        <v>436</v>
      </c>
      <c r="I87" s="20">
        <v>22</v>
      </c>
      <c r="J87" s="21" t="s">
        <v>285</v>
      </c>
      <c r="K87" s="22">
        <v>45</v>
      </c>
      <c r="L87" s="23">
        <f t="shared" si="13"/>
        <v>990</v>
      </c>
      <c r="M87" s="24" t="s">
        <v>129</v>
      </c>
      <c r="N87" s="25" t="s">
        <v>131</v>
      </c>
      <c r="O87" s="25">
        <v>45</v>
      </c>
      <c r="P87" s="25" t="s">
        <v>286</v>
      </c>
      <c r="Q87" s="25">
        <v>48</v>
      </c>
      <c r="R87" s="25" t="s">
        <v>287</v>
      </c>
      <c r="S87" s="35">
        <v>56</v>
      </c>
      <c r="T87" s="26">
        <v>6120</v>
      </c>
      <c r="U87" s="26" t="s">
        <v>98</v>
      </c>
      <c r="V87" s="26">
        <v>1</v>
      </c>
      <c r="W87" s="26" t="s">
        <v>300</v>
      </c>
      <c r="X87" s="27">
        <v>44816</v>
      </c>
      <c r="Y87" s="27">
        <v>45100</v>
      </c>
      <c r="Z87" s="27"/>
      <c r="AA87" s="27"/>
      <c r="AB87" s="62" t="s">
        <v>289</v>
      </c>
      <c r="AC87" s="62"/>
      <c r="AD87" s="28" t="s">
        <v>90</v>
      </c>
      <c r="AE87" s="28"/>
      <c r="AF87" s="28"/>
      <c r="AG87" s="28"/>
      <c r="AH87" s="28"/>
      <c r="AI87" s="28"/>
      <c r="AJ87" s="28"/>
      <c r="AK87" s="28"/>
      <c r="AL87" s="28"/>
      <c r="AM87" s="28"/>
      <c r="AN87" s="28" t="s">
        <v>90</v>
      </c>
      <c r="AO87" s="28"/>
      <c r="AP87" s="28"/>
      <c r="AQ87" s="28"/>
      <c r="AR87" s="28"/>
      <c r="AS87" s="28"/>
      <c r="AT87" s="28"/>
      <c r="AU87" s="28"/>
      <c r="AV87" s="28"/>
      <c r="AW87" s="28"/>
      <c r="AX87" s="29">
        <v>66</v>
      </c>
      <c r="AY87" s="29"/>
      <c r="AZ87" s="30"/>
      <c r="BA87" s="30"/>
      <c r="BB87" s="30"/>
      <c r="BC87" s="30"/>
      <c r="BD87" s="31">
        <f t="shared" si="14"/>
        <v>2970</v>
      </c>
      <c r="BE87" s="31"/>
      <c r="BF87" s="30"/>
      <c r="BG87" s="32">
        <v>2</v>
      </c>
      <c r="BH87" s="31">
        <f t="shared" si="9"/>
        <v>0</v>
      </c>
      <c r="BI87" s="31">
        <f t="shared" si="10"/>
        <v>0</v>
      </c>
      <c r="BJ87" s="33">
        <f t="shared" si="11"/>
        <v>0</v>
      </c>
      <c r="BK87" s="30"/>
      <c r="BL87" s="30"/>
      <c r="BM87" s="30"/>
      <c r="BN87" s="30"/>
      <c r="BO87" s="33">
        <f t="shared" si="15"/>
        <v>0</v>
      </c>
      <c r="BP87" s="30">
        <v>2</v>
      </c>
      <c r="BQ87" s="30">
        <v>5</v>
      </c>
      <c r="BR87" s="30"/>
      <c r="BS87" s="30"/>
      <c r="BT87" s="34">
        <f t="shared" si="16"/>
        <v>66</v>
      </c>
      <c r="BU87" s="34"/>
      <c r="BV87" s="34"/>
      <c r="BW87" s="34"/>
      <c r="BX87" s="34"/>
      <c r="BY87" s="30"/>
      <c r="BZ87" s="31">
        <f t="shared" si="12"/>
        <v>132</v>
      </c>
      <c r="CA87" s="31">
        <f t="shared" si="17"/>
        <v>330</v>
      </c>
    </row>
    <row r="88" spans="1:79" ht="76.5" x14ac:dyDescent="0.25">
      <c r="A88" s="17"/>
      <c r="B88" s="2">
        <v>84</v>
      </c>
      <c r="C88" s="18">
        <v>621</v>
      </c>
      <c r="D88" s="18">
        <v>987</v>
      </c>
      <c r="E88" s="19">
        <v>0.3743055555555555</v>
      </c>
      <c r="F88" s="59">
        <v>0.3888888888888889</v>
      </c>
      <c r="G88" s="18" t="s">
        <v>437</v>
      </c>
      <c r="H88" s="18" t="s">
        <v>422</v>
      </c>
      <c r="I88" s="20">
        <v>11.3</v>
      </c>
      <c r="J88" s="21" t="s">
        <v>93</v>
      </c>
      <c r="K88" s="22">
        <v>240</v>
      </c>
      <c r="L88" s="23">
        <f t="shared" si="13"/>
        <v>2712</v>
      </c>
      <c r="M88" s="24" t="s">
        <v>94</v>
      </c>
      <c r="N88" s="25" t="s">
        <v>96</v>
      </c>
      <c r="O88" s="25">
        <v>34</v>
      </c>
      <c r="P88" s="25" t="s">
        <v>97</v>
      </c>
      <c r="Q88" s="25">
        <v>21</v>
      </c>
      <c r="R88" s="25" t="s">
        <v>95</v>
      </c>
      <c r="S88" s="35">
        <v>24</v>
      </c>
      <c r="T88" s="26">
        <v>6120</v>
      </c>
      <c r="U88" s="26" t="s">
        <v>98</v>
      </c>
      <c r="V88" s="26" t="s">
        <v>438</v>
      </c>
      <c r="W88" s="26" t="s">
        <v>439</v>
      </c>
      <c r="X88" s="27">
        <v>44816</v>
      </c>
      <c r="Y88" s="27">
        <v>45100</v>
      </c>
      <c r="Z88" s="27"/>
      <c r="AA88" s="27"/>
      <c r="AB88" s="26" t="s">
        <v>423</v>
      </c>
      <c r="AC88" s="26"/>
      <c r="AD88" s="28" t="s">
        <v>90</v>
      </c>
      <c r="AE88" s="28"/>
      <c r="AF88" s="28" t="s">
        <v>90</v>
      </c>
      <c r="AG88" s="28"/>
      <c r="AH88" s="28" t="s">
        <v>90</v>
      </c>
      <c r="AI88" s="28" t="s">
        <v>90</v>
      </c>
      <c r="AJ88" s="28" t="s">
        <v>90</v>
      </c>
      <c r="AK88" s="28" t="s">
        <v>90</v>
      </c>
      <c r="AL88" s="28" t="s">
        <v>90</v>
      </c>
      <c r="AM88" s="28" t="s">
        <v>90</v>
      </c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9">
        <v>33.9</v>
      </c>
      <c r="AY88" s="29"/>
      <c r="AZ88" s="30"/>
      <c r="BA88" s="30"/>
      <c r="BB88" s="30"/>
      <c r="BC88" s="30"/>
      <c r="BD88" s="31">
        <f t="shared" si="14"/>
        <v>8136</v>
      </c>
      <c r="BE88" s="31"/>
      <c r="BF88" s="30"/>
      <c r="BG88" s="36">
        <v>1</v>
      </c>
      <c r="BH88" s="31">
        <f t="shared" si="9"/>
        <v>0</v>
      </c>
      <c r="BI88" s="31">
        <f t="shared" si="10"/>
        <v>0</v>
      </c>
      <c r="BJ88" s="33">
        <f t="shared" si="11"/>
        <v>0</v>
      </c>
      <c r="BK88" s="30"/>
      <c r="BL88" s="30"/>
      <c r="BM88" s="30"/>
      <c r="BN88" s="30"/>
      <c r="BO88" s="33">
        <f t="shared" si="15"/>
        <v>0</v>
      </c>
      <c r="BP88" s="30">
        <v>17</v>
      </c>
      <c r="BQ88" s="30">
        <v>26</v>
      </c>
      <c r="BR88" s="30"/>
      <c r="BS88" s="30"/>
      <c r="BT88" s="34">
        <f t="shared" si="16"/>
        <v>33.9</v>
      </c>
      <c r="BU88" s="34"/>
      <c r="BV88" s="34"/>
      <c r="BW88" s="34"/>
      <c r="BX88" s="34"/>
      <c r="BY88" s="30"/>
      <c r="BZ88" s="31">
        <f t="shared" si="12"/>
        <v>576.29999999999995</v>
      </c>
      <c r="CA88" s="31">
        <f t="shared" si="17"/>
        <v>881.4</v>
      </c>
    </row>
    <row r="89" spans="1:79" ht="76.5" x14ac:dyDescent="0.25">
      <c r="A89" s="17"/>
      <c r="B89" s="2">
        <v>85</v>
      </c>
      <c r="C89" s="18">
        <v>621</v>
      </c>
      <c r="D89" s="18">
        <v>987</v>
      </c>
      <c r="E89" s="19">
        <v>0.3743055555555555</v>
      </c>
      <c r="F89" s="19">
        <v>0.3888888888888889</v>
      </c>
      <c r="G89" s="18" t="s">
        <v>437</v>
      </c>
      <c r="H89" s="18" t="s">
        <v>327</v>
      </c>
      <c r="I89" s="20">
        <v>11.3</v>
      </c>
      <c r="J89" s="21" t="s">
        <v>93</v>
      </c>
      <c r="K89" s="22">
        <v>67</v>
      </c>
      <c r="L89" s="23">
        <f t="shared" si="13"/>
        <v>757.1</v>
      </c>
      <c r="M89" s="24" t="s">
        <v>94</v>
      </c>
      <c r="N89" s="25" t="s">
        <v>96</v>
      </c>
      <c r="O89" s="25">
        <v>34</v>
      </c>
      <c r="P89" s="25" t="s">
        <v>97</v>
      </c>
      <c r="Q89" s="25">
        <v>21</v>
      </c>
      <c r="R89" s="25" t="s">
        <v>95</v>
      </c>
      <c r="S89" s="35">
        <v>24</v>
      </c>
      <c r="T89" s="26">
        <v>6120</v>
      </c>
      <c r="U89" s="26" t="s">
        <v>98</v>
      </c>
      <c r="V89" s="26" t="s">
        <v>438</v>
      </c>
      <c r="W89" s="26" t="s">
        <v>439</v>
      </c>
      <c r="X89" s="27">
        <v>44562</v>
      </c>
      <c r="Y89" s="27">
        <v>44815</v>
      </c>
      <c r="Z89" s="27">
        <v>45101</v>
      </c>
      <c r="AA89" s="27">
        <v>45169</v>
      </c>
      <c r="AB89" s="28" t="s">
        <v>89</v>
      </c>
      <c r="AC89" s="28"/>
      <c r="AD89" s="28"/>
      <c r="AE89" s="28" t="s">
        <v>90</v>
      </c>
      <c r="AF89" s="28" t="s">
        <v>90</v>
      </c>
      <c r="AG89" s="28"/>
      <c r="AH89" s="28" t="s">
        <v>90</v>
      </c>
      <c r="AI89" s="28" t="s">
        <v>90</v>
      </c>
      <c r="AJ89" s="28" t="s">
        <v>90</v>
      </c>
      <c r="AK89" s="28" t="s">
        <v>90</v>
      </c>
      <c r="AL89" s="28" t="s">
        <v>90</v>
      </c>
      <c r="AM89" s="28" t="s">
        <v>90</v>
      </c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9">
        <v>33.9</v>
      </c>
      <c r="AY89" s="29"/>
      <c r="AZ89" s="30"/>
      <c r="BA89" s="30"/>
      <c r="BB89" s="30"/>
      <c r="BC89" s="30"/>
      <c r="BD89" s="31">
        <f t="shared" si="14"/>
        <v>2271.2999999999997</v>
      </c>
      <c r="BE89" s="31"/>
      <c r="BF89" s="30"/>
      <c r="BG89" s="36">
        <v>1</v>
      </c>
      <c r="BH89" s="31">
        <f t="shared" si="9"/>
        <v>0</v>
      </c>
      <c r="BI89" s="31">
        <f t="shared" si="10"/>
        <v>0</v>
      </c>
      <c r="BJ89" s="33">
        <f t="shared" si="11"/>
        <v>0</v>
      </c>
      <c r="BK89" s="30"/>
      <c r="BL89" s="30"/>
      <c r="BM89" s="30"/>
      <c r="BN89" s="30"/>
      <c r="BO89" s="33">
        <f t="shared" si="15"/>
        <v>0</v>
      </c>
      <c r="BP89" s="30">
        <v>9</v>
      </c>
      <c r="BQ89" s="30">
        <v>0</v>
      </c>
      <c r="BR89" s="30"/>
      <c r="BS89" s="30"/>
      <c r="BT89" s="34">
        <f t="shared" si="16"/>
        <v>33.9</v>
      </c>
      <c r="BU89" s="34"/>
      <c r="BV89" s="34"/>
      <c r="BW89" s="34"/>
      <c r="BX89" s="34"/>
      <c r="BY89" s="30"/>
      <c r="BZ89" s="31">
        <f t="shared" si="12"/>
        <v>305.09999999999997</v>
      </c>
      <c r="CA89" s="31">
        <f t="shared" si="17"/>
        <v>0</v>
      </c>
    </row>
    <row r="90" spans="1:79" ht="76.5" x14ac:dyDescent="0.25">
      <c r="A90" s="17"/>
      <c r="B90" s="2">
        <v>86</v>
      </c>
      <c r="C90" s="18">
        <v>621</v>
      </c>
      <c r="D90" s="18">
        <v>968</v>
      </c>
      <c r="E90" s="19">
        <v>0.39305555555555555</v>
      </c>
      <c r="F90" s="19">
        <v>0.40972222222222227</v>
      </c>
      <c r="G90" s="18" t="s">
        <v>432</v>
      </c>
      <c r="H90" s="18" t="s">
        <v>327</v>
      </c>
      <c r="I90" s="20">
        <v>13.2</v>
      </c>
      <c r="J90" s="21" t="s">
        <v>93</v>
      </c>
      <c r="K90" s="22">
        <v>67</v>
      </c>
      <c r="L90" s="23">
        <f t="shared" si="13"/>
        <v>884.4</v>
      </c>
      <c r="M90" s="24" t="s">
        <v>94</v>
      </c>
      <c r="N90" s="25" t="s">
        <v>96</v>
      </c>
      <c r="O90" s="25">
        <v>34</v>
      </c>
      <c r="P90" s="25" t="s">
        <v>97</v>
      </c>
      <c r="Q90" s="25">
        <v>21</v>
      </c>
      <c r="R90" s="25" t="s">
        <v>95</v>
      </c>
      <c r="S90" s="35">
        <v>24</v>
      </c>
      <c r="T90" s="26" t="s">
        <v>433</v>
      </c>
      <c r="U90" s="26" t="s">
        <v>434</v>
      </c>
      <c r="V90" s="26">
        <v>6120</v>
      </c>
      <c r="W90" s="26" t="s">
        <v>98</v>
      </c>
      <c r="X90" s="27">
        <v>44562</v>
      </c>
      <c r="Y90" s="27">
        <v>44815</v>
      </c>
      <c r="Z90" s="27">
        <v>45101</v>
      </c>
      <c r="AA90" s="27">
        <v>45169</v>
      </c>
      <c r="AB90" s="28" t="s">
        <v>89</v>
      </c>
      <c r="AC90" s="28"/>
      <c r="AD90" s="28"/>
      <c r="AE90" s="28" t="s">
        <v>90</v>
      </c>
      <c r="AF90" s="28" t="s">
        <v>90</v>
      </c>
      <c r="AG90" s="28"/>
      <c r="AH90" s="28" t="s">
        <v>90</v>
      </c>
      <c r="AI90" s="28" t="s">
        <v>90</v>
      </c>
      <c r="AJ90" s="28" t="s">
        <v>90</v>
      </c>
      <c r="AK90" s="28" t="s">
        <v>90</v>
      </c>
      <c r="AL90" s="28" t="s">
        <v>90</v>
      </c>
      <c r="AM90" s="28" t="s">
        <v>90</v>
      </c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9">
        <v>39.6</v>
      </c>
      <c r="AY90" s="29"/>
      <c r="AZ90" s="30"/>
      <c r="BA90" s="30"/>
      <c r="BB90" s="30"/>
      <c r="BC90" s="30"/>
      <c r="BD90" s="31">
        <f t="shared" si="14"/>
        <v>2653.2000000000003</v>
      </c>
      <c r="BE90" s="31"/>
      <c r="BF90" s="30"/>
      <c r="BG90" s="36">
        <v>1</v>
      </c>
      <c r="BH90" s="31">
        <f t="shared" si="9"/>
        <v>0</v>
      </c>
      <c r="BI90" s="31">
        <f t="shared" si="10"/>
        <v>0</v>
      </c>
      <c r="BJ90" s="33">
        <f t="shared" si="11"/>
        <v>0</v>
      </c>
      <c r="BK90" s="30"/>
      <c r="BL90" s="30"/>
      <c r="BM90" s="30"/>
      <c r="BN90" s="30"/>
      <c r="BO90" s="33">
        <f t="shared" si="15"/>
        <v>0</v>
      </c>
      <c r="BP90" s="30">
        <v>9</v>
      </c>
      <c r="BQ90" s="30">
        <v>0</v>
      </c>
      <c r="BR90" s="30"/>
      <c r="BS90" s="30"/>
      <c r="BT90" s="34">
        <f t="shared" si="16"/>
        <v>39.6</v>
      </c>
      <c r="BU90" s="34"/>
      <c r="BV90" s="34"/>
      <c r="BW90" s="34"/>
      <c r="BX90" s="34"/>
      <c r="BY90" s="30"/>
      <c r="BZ90" s="31">
        <f t="shared" si="12"/>
        <v>356.40000000000003</v>
      </c>
      <c r="CA90" s="31">
        <f t="shared" si="17"/>
        <v>0</v>
      </c>
    </row>
    <row r="91" spans="1:79" ht="76.5" x14ac:dyDescent="0.25">
      <c r="A91" s="17"/>
      <c r="B91" s="2">
        <v>87</v>
      </c>
      <c r="C91" s="18">
        <v>621</v>
      </c>
      <c r="D91" s="18">
        <v>989</v>
      </c>
      <c r="E91" s="19">
        <v>0.49305555555555558</v>
      </c>
      <c r="F91" s="19">
        <v>0.50624999999999998</v>
      </c>
      <c r="G91" s="18" t="s">
        <v>437</v>
      </c>
      <c r="H91" s="18" t="s">
        <v>327</v>
      </c>
      <c r="I91" s="20">
        <v>11.3</v>
      </c>
      <c r="J91" s="21" t="s">
        <v>93</v>
      </c>
      <c r="K91" s="22">
        <v>67</v>
      </c>
      <c r="L91" s="23">
        <f t="shared" si="13"/>
        <v>757.1</v>
      </c>
      <c r="M91" s="24" t="s">
        <v>94</v>
      </c>
      <c r="N91" s="25" t="s">
        <v>96</v>
      </c>
      <c r="O91" s="25">
        <v>34</v>
      </c>
      <c r="P91" s="25" t="s">
        <v>97</v>
      </c>
      <c r="Q91" s="25">
        <v>21</v>
      </c>
      <c r="R91" s="25" t="s">
        <v>95</v>
      </c>
      <c r="S91" s="35">
        <v>24</v>
      </c>
      <c r="T91" s="26">
        <v>6120</v>
      </c>
      <c r="U91" s="26" t="s">
        <v>98</v>
      </c>
      <c r="V91" s="26" t="s">
        <v>433</v>
      </c>
      <c r="W91" s="26" t="s">
        <v>434</v>
      </c>
      <c r="X91" s="27">
        <v>44562</v>
      </c>
      <c r="Y91" s="27">
        <v>44815</v>
      </c>
      <c r="Z91" s="27">
        <v>45101</v>
      </c>
      <c r="AA91" s="27">
        <v>45169</v>
      </c>
      <c r="AB91" s="28" t="s">
        <v>89</v>
      </c>
      <c r="AC91" s="28"/>
      <c r="AD91" s="28"/>
      <c r="AE91" s="28" t="s">
        <v>90</v>
      </c>
      <c r="AF91" s="28" t="s">
        <v>90</v>
      </c>
      <c r="AG91" s="28"/>
      <c r="AH91" s="28" t="s">
        <v>90</v>
      </c>
      <c r="AI91" s="28" t="s">
        <v>90</v>
      </c>
      <c r="AJ91" s="28" t="s">
        <v>90</v>
      </c>
      <c r="AK91" s="28" t="s">
        <v>90</v>
      </c>
      <c r="AL91" s="28" t="s">
        <v>90</v>
      </c>
      <c r="AM91" s="28" t="s">
        <v>90</v>
      </c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9">
        <v>33.9</v>
      </c>
      <c r="AY91" s="29"/>
      <c r="AZ91" s="30"/>
      <c r="BA91" s="30"/>
      <c r="BB91" s="30"/>
      <c r="BC91" s="30"/>
      <c r="BD91" s="31">
        <f t="shared" si="14"/>
        <v>2271.2999999999997</v>
      </c>
      <c r="BE91" s="31"/>
      <c r="BF91" s="30"/>
      <c r="BG91" s="36">
        <v>1</v>
      </c>
      <c r="BH91" s="31">
        <f t="shared" si="9"/>
        <v>0</v>
      </c>
      <c r="BI91" s="31">
        <f t="shared" si="10"/>
        <v>0</v>
      </c>
      <c r="BJ91" s="33">
        <f t="shared" si="11"/>
        <v>0</v>
      </c>
      <c r="BK91" s="30"/>
      <c r="BL91" s="30"/>
      <c r="BM91" s="30"/>
      <c r="BN91" s="30"/>
      <c r="BO91" s="33">
        <f t="shared" si="15"/>
        <v>0</v>
      </c>
      <c r="BP91" s="30">
        <v>9</v>
      </c>
      <c r="BQ91" s="30">
        <v>0</v>
      </c>
      <c r="BR91" s="30"/>
      <c r="BS91" s="30"/>
      <c r="BT91" s="34">
        <f t="shared" si="16"/>
        <v>33.9</v>
      </c>
      <c r="BU91" s="34"/>
      <c r="BV91" s="34"/>
      <c r="BW91" s="34"/>
      <c r="BX91" s="34"/>
      <c r="BY91" s="30"/>
      <c r="BZ91" s="31">
        <f t="shared" si="12"/>
        <v>305.09999999999997</v>
      </c>
      <c r="CA91" s="31">
        <f t="shared" si="17"/>
        <v>0</v>
      </c>
    </row>
    <row r="92" spans="1:79" ht="76.5" x14ac:dyDescent="0.25">
      <c r="A92" s="17"/>
      <c r="B92" s="2">
        <v>88</v>
      </c>
      <c r="C92" s="18">
        <v>621</v>
      </c>
      <c r="D92" s="18">
        <v>970</v>
      </c>
      <c r="E92" s="19">
        <v>0.70138888888888884</v>
      </c>
      <c r="F92" s="59">
        <v>0.71805555555555556</v>
      </c>
      <c r="G92" s="18" t="s">
        <v>432</v>
      </c>
      <c r="H92" s="18" t="s">
        <v>422</v>
      </c>
      <c r="I92" s="20">
        <v>13.2</v>
      </c>
      <c r="J92" s="21" t="s">
        <v>93</v>
      </c>
      <c r="K92" s="22">
        <v>240</v>
      </c>
      <c r="L92" s="23">
        <f t="shared" si="13"/>
        <v>3168</v>
      </c>
      <c r="M92" s="24" t="s">
        <v>94</v>
      </c>
      <c r="N92" s="25" t="s">
        <v>96</v>
      </c>
      <c r="O92" s="25">
        <v>34</v>
      </c>
      <c r="P92" s="25" t="s">
        <v>440</v>
      </c>
      <c r="Q92" s="25">
        <v>24</v>
      </c>
      <c r="R92" s="17"/>
      <c r="S92" s="25"/>
      <c r="T92" s="26" t="s">
        <v>433</v>
      </c>
      <c r="U92" s="26" t="s">
        <v>434</v>
      </c>
      <c r="V92" s="26">
        <v>6120</v>
      </c>
      <c r="W92" s="26" t="s">
        <v>98</v>
      </c>
      <c r="X92" s="27">
        <v>44816</v>
      </c>
      <c r="Y92" s="27">
        <v>45100</v>
      </c>
      <c r="Z92" s="27"/>
      <c r="AA92" s="27"/>
      <c r="AB92" s="26" t="s">
        <v>423</v>
      </c>
      <c r="AC92" s="26"/>
      <c r="AD92" s="28" t="s">
        <v>90</v>
      </c>
      <c r="AE92" s="28"/>
      <c r="AF92" s="28" t="s">
        <v>90</v>
      </c>
      <c r="AG92" s="28"/>
      <c r="AH92" s="28" t="s">
        <v>90</v>
      </c>
      <c r="AI92" s="28" t="s">
        <v>90</v>
      </c>
      <c r="AJ92" s="28" t="s">
        <v>90</v>
      </c>
      <c r="AK92" s="28" t="s">
        <v>90</v>
      </c>
      <c r="AL92" s="28" t="s">
        <v>90</v>
      </c>
      <c r="AM92" s="28" t="s">
        <v>90</v>
      </c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9">
        <v>39.6</v>
      </c>
      <c r="AY92" s="29"/>
      <c r="AZ92" s="30"/>
      <c r="BA92" s="30"/>
      <c r="BB92" s="30"/>
      <c r="BC92" s="30"/>
      <c r="BD92" s="31">
        <f t="shared" si="14"/>
        <v>9504</v>
      </c>
      <c r="BE92" s="31"/>
      <c r="BF92" s="30"/>
      <c r="BG92" s="36">
        <v>1</v>
      </c>
      <c r="BH92" s="31">
        <f t="shared" si="9"/>
        <v>0</v>
      </c>
      <c r="BI92" s="31">
        <f t="shared" si="10"/>
        <v>0</v>
      </c>
      <c r="BJ92" s="33">
        <f t="shared" si="11"/>
        <v>0</v>
      </c>
      <c r="BK92" s="30"/>
      <c r="BL92" s="30"/>
      <c r="BM92" s="30"/>
      <c r="BN92" s="30"/>
      <c r="BO92" s="33">
        <f t="shared" si="15"/>
        <v>0</v>
      </c>
      <c r="BP92" s="30">
        <v>17</v>
      </c>
      <c r="BQ92" s="30">
        <v>26</v>
      </c>
      <c r="BR92" s="30"/>
      <c r="BS92" s="30"/>
      <c r="BT92" s="34">
        <f t="shared" si="16"/>
        <v>39.6</v>
      </c>
      <c r="BU92" s="34"/>
      <c r="BV92" s="34"/>
      <c r="BW92" s="34"/>
      <c r="BX92" s="34"/>
      <c r="BY92" s="30"/>
      <c r="BZ92" s="31">
        <f t="shared" si="12"/>
        <v>673.2</v>
      </c>
      <c r="CA92" s="31">
        <f t="shared" si="17"/>
        <v>1029.6000000000001</v>
      </c>
    </row>
    <row r="93" spans="1:79" ht="76.5" x14ac:dyDescent="0.25">
      <c r="A93" s="17"/>
      <c r="B93" s="2">
        <v>89</v>
      </c>
      <c r="C93" s="18">
        <v>621</v>
      </c>
      <c r="D93" s="18">
        <v>970</v>
      </c>
      <c r="E93" s="19">
        <v>0.7055555555555556</v>
      </c>
      <c r="F93" s="19">
        <v>0.72222222222222221</v>
      </c>
      <c r="G93" s="18" t="s">
        <v>432</v>
      </c>
      <c r="H93" s="18" t="s">
        <v>327</v>
      </c>
      <c r="I93" s="20">
        <v>13.2</v>
      </c>
      <c r="J93" s="21" t="s">
        <v>93</v>
      </c>
      <c r="K93" s="22">
        <v>67</v>
      </c>
      <c r="L93" s="23">
        <f t="shared" si="13"/>
        <v>884.4</v>
      </c>
      <c r="M93" s="24" t="s">
        <v>94</v>
      </c>
      <c r="N93" s="25" t="s">
        <v>96</v>
      </c>
      <c r="O93" s="25">
        <v>34</v>
      </c>
      <c r="P93" s="25" t="s">
        <v>97</v>
      </c>
      <c r="Q93" s="25">
        <v>21</v>
      </c>
      <c r="R93" s="25" t="s">
        <v>95</v>
      </c>
      <c r="S93" s="35">
        <v>24</v>
      </c>
      <c r="T93" s="26" t="s">
        <v>433</v>
      </c>
      <c r="U93" s="26" t="s">
        <v>434</v>
      </c>
      <c r="V93" s="26">
        <v>6120</v>
      </c>
      <c r="W93" s="26" t="s">
        <v>98</v>
      </c>
      <c r="X93" s="27">
        <v>44562</v>
      </c>
      <c r="Y93" s="27">
        <v>44815</v>
      </c>
      <c r="Z93" s="27">
        <v>45101</v>
      </c>
      <c r="AA93" s="27">
        <v>45169</v>
      </c>
      <c r="AB93" s="28" t="s">
        <v>89</v>
      </c>
      <c r="AC93" s="28"/>
      <c r="AD93" s="28"/>
      <c r="AE93" s="28" t="s">
        <v>90</v>
      </c>
      <c r="AF93" s="28" t="s">
        <v>90</v>
      </c>
      <c r="AG93" s="28"/>
      <c r="AH93" s="28" t="s">
        <v>90</v>
      </c>
      <c r="AI93" s="28" t="s">
        <v>90</v>
      </c>
      <c r="AJ93" s="28" t="s">
        <v>90</v>
      </c>
      <c r="AK93" s="28" t="s">
        <v>90</v>
      </c>
      <c r="AL93" s="28" t="s">
        <v>90</v>
      </c>
      <c r="AM93" s="28" t="s">
        <v>90</v>
      </c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9">
        <v>39.6</v>
      </c>
      <c r="AY93" s="29"/>
      <c r="AZ93" s="30"/>
      <c r="BA93" s="30"/>
      <c r="BB93" s="30"/>
      <c r="BC93" s="30"/>
      <c r="BD93" s="31">
        <f t="shared" si="14"/>
        <v>2653.2000000000003</v>
      </c>
      <c r="BE93" s="31"/>
      <c r="BF93" s="30"/>
      <c r="BG93" s="36">
        <v>1</v>
      </c>
      <c r="BH93" s="31">
        <f t="shared" si="9"/>
        <v>0</v>
      </c>
      <c r="BI93" s="31">
        <f t="shared" si="10"/>
        <v>0</v>
      </c>
      <c r="BJ93" s="33">
        <f t="shared" si="11"/>
        <v>0</v>
      </c>
      <c r="BK93" s="30"/>
      <c r="BL93" s="30"/>
      <c r="BM93" s="30"/>
      <c r="BN93" s="30"/>
      <c r="BO93" s="33">
        <f t="shared" si="15"/>
        <v>0</v>
      </c>
      <c r="BP93" s="30">
        <v>9</v>
      </c>
      <c r="BQ93" s="30">
        <v>0</v>
      </c>
      <c r="BR93" s="30"/>
      <c r="BS93" s="30"/>
      <c r="BT93" s="34">
        <f t="shared" si="16"/>
        <v>39.6</v>
      </c>
      <c r="BU93" s="34"/>
      <c r="BV93" s="34"/>
      <c r="BW93" s="34"/>
      <c r="BX93" s="34"/>
      <c r="BY93" s="30"/>
      <c r="BZ93" s="31">
        <f t="shared" si="12"/>
        <v>356.40000000000003</v>
      </c>
      <c r="CA93" s="31">
        <f t="shared" si="17"/>
        <v>0</v>
      </c>
    </row>
    <row r="94" spans="1:79" ht="76.5" x14ac:dyDescent="0.25">
      <c r="A94" s="17"/>
      <c r="B94" s="2">
        <v>90</v>
      </c>
      <c r="C94" s="18">
        <v>621</v>
      </c>
      <c r="D94" s="18">
        <v>991</v>
      </c>
      <c r="E94" s="19">
        <v>0.72916666666666663</v>
      </c>
      <c r="F94" s="59">
        <v>0.74236111111111114</v>
      </c>
      <c r="G94" s="18" t="s">
        <v>437</v>
      </c>
      <c r="H94" s="18" t="s">
        <v>422</v>
      </c>
      <c r="I94" s="20">
        <v>11.3</v>
      </c>
      <c r="J94" s="21" t="s">
        <v>93</v>
      </c>
      <c r="K94" s="22">
        <v>240</v>
      </c>
      <c r="L94" s="23">
        <f t="shared" si="13"/>
        <v>2712</v>
      </c>
      <c r="M94" s="24" t="s">
        <v>94</v>
      </c>
      <c r="N94" s="25" t="s">
        <v>96</v>
      </c>
      <c r="O94" s="25">
        <v>34</v>
      </c>
      <c r="P94" s="25" t="s">
        <v>97</v>
      </c>
      <c r="Q94" s="25">
        <v>21</v>
      </c>
      <c r="R94" s="17"/>
      <c r="S94" s="25"/>
      <c r="T94" s="26">
        <v>6120</v>
      </c>
      <c r="U94" s="26" t="s">
        <v>98</v>
      </c>
      <c r="V94" s="26" t="s">
        <v>433</v>
      </c>
      <c r="W94" s="26" t="s">
        <v>434</v>
      </c>
      <c r="X94" s="27">
        <v>44816</v>
      </c>
      <c r="Y94" s="27">
        <v>45100</v>
      </c>
      <c r="Z94" s="27"/>
      <c r="AA94" s="27"/>
      <c r="AB94" s="26" t="s">
        <v>423</v>
      </c>
      <c r="AC94" s="26"/>
      <c r="AD94" s="28" t="s">
        <v>90</v>
      </c>
      <c r="AE94" s="28"/>
      <c r="AF94" s="28" t="s">
        <v>90</v>
      </c>
      <c r="AG94" s="28"/>
      <c r="AH94" s="28" t="s">
        <v>90</v>
      </c>
      <c r="AI94" s="28" t="s">
        <v>90</v>
      </c>
      <c r="AJ94" s="28" t="s">
        <v>90</v>
      </c>
      <c r="AK94" s="28" t="s">
        <v>90</v>
      </c>
      <c r="AL94" s="28" t="s">
        <v>90</v>
      </c>
      <c r="AM94" s="28" t="s">
        <v>90</v>
      </c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9">
        <v>33.9</v>
      </c>
      <c r="AY94" s="29"/>
      <c r="AZ94" s="30"/>
      <c r="BA94" s="30"/>
      <c r="BB94" s="30"/>
      <c r="BC94" s="30"/>
      <c r="BD94" s="31">
        <f t="shared" si="14"/>
        <v>8136</v>
      </c>
      <c r="BE94" s="31"/>
      <c r="BF94" s="30"/>
      <c r="BG94" s="36">
        <v>1</v>
      </c>
      <c r="BH94" s="31">
        <f t="shared" si="9"/>
        <v>0</v>
      </c>
      <c r="BI94" s="31">
        <f t="shared" si="10"/>
        <v>0</v>
      </c>
      <c r="BJ94" s="33">
        <f t="shared" si="11"/>
        <v>0</v>
      </c>
      <c r="BK94" s="30"/>
      <c r="BL94" s="30"/>
      <c r="BM94" s="30"/>
      <c r="BN94" s="30"/>
      <c r="BO94" s="33">
        <f t="shared" si="15"/>
        <v>0</v>
      </c>
      <c r="BP94" s="30">
        <v>17</v>
      </c>
      <c r="BQ94" s="30">
        <v>26</v>
      </c>
      <c r="BR94" s="30"/>
      <c r="BS94" s="30"/>
      <c r="BT94" s="34">
        <f t="shared" si="16"/>
        <v>33.9</v>
      </c>
      <c r="BU94" s="34"/>
      <c r="BV94" s="34"/>
      <c r="BW94" s="34"/>
      <c r="BX94" s="34"/>
      <c r="BY94" s="30"/>
      <c r="BZ94" s="31">
        <f t="shared" si="12"/>
        <v>576.29999999999995</v>
      </c>
      <c r="CA94" s="31">
        <f t="shared" si="17"/>
        <v>881.4</v>
      </c>
    </row>
    <row r="95" spans="1:79" ht="67.5" x14ac:dyDescent="0.25">
      <c r="A95" s="17"/>
      <c r="B95" s="2">
        <v>91</v>
      </c>
      <c r="C95" s="48">
        <v>634</v>
      </c>
      <c r="D95" s="48">
        <v>537</v>
      </c>
      <c r="E95" s="49">
        <v>0.3611111111111111</v>
      </c>
      <c r="F95" s="49">
        <v>0.38472222222222219</v>
      </c>
      <c r="G95" s="51" t="s">
        <v>244</v>
      </c>
      <c r="H95" s="18" t="s">
        <v>441</v>
      </c>
      <c r="I95" s="48">
        <v>20</v>
      </c>
      <c r="J95" s="52">
        <v>19</v>
      </c>
      <c r="K95" s="22">
        <v>47</v>
      </c>
      <c r="L95" s="23">
        <f t="shared" si="13"/>
        <v>940</v>
      </c>
      <c r="M95" s="24" t="s">
        <v>442</v>
      </c>
      <c r="N95" s="25" t="s">
        <v>443</v>
      </c>
      <c r="O95" s="25">
        <v>21</v>
      </c>
      <c r="P95" s="25" t="s">
        <v>444</v>
      </c>
      <c r="Q95" s="25">
        <v>31</v>
      </c>
      <c r="R95" s="25"/>
      <c r="S95" s="25"/>
      <c r="T95" s="26">
        <v>6755</v>
      </c>
      <c r="U95" s="26" t="s">
        <v>241</v>
      </c>
      <c r="V95" s="26">
        <v>6220</v>
      </c>
      <c r="W95" s="26" t="s">
        <v>216</v>
      </c>
      <c r="X95" s="27">
        <v>44816</v>
      </c>
      <c r="Y95" s="27">
        <v>45100</v>
      </c>
      <c r="Z95" s="27"/>
      <c r="AA95" s="27"/>
      <c r="AB95" s="62" t="s">
        <v>289</v>
      </c>
      <c r="AC95" s="62"/>
      <c r="AD95" s="28" t="s">
        <v>90</v>
      </c>
      <c r="AE95" s="28"/>
      <c r="AF95" s="28"/>
      <c r="AG95" s="28"/>
      <c r="AH95" s="28"/>
      <c r="AI95" s="28"/>
      <c r="AJ95" s="28"/>
      <c r="AK95" s="28"/>
      <c r="AL95" s="28"/>
      <c r="AM95" s="28"/>
      <c r="AN95" s="28" t="s">
        <v>90</v>
      </c>
      <c r="AO95" s="62"/>
      <c r="AP95" s="62"/>
      <c r="AQ95" s="62"/>
      <c r="AR95" s="28"/>
      <c r="AS95" s="28"/>
      <c r="AT95" s="28"/>
      <c r="AU95" s="28"/>
      <c r="AV95" s="28"/>
      <c r="AW95" s="28"/>
      <c r="AX95" s="31"/>
      <c r="AY95" s="31"/>
      <c r="AZ95" s="63"/>
      <c r="BA95" s="55" t="s">
        <v>445</v>
      </c>
      <c r="BB95" s="55"/>
      <c r="BC95" s="63"/>
      <c r="BD95" s="31">
        <f t="shared" si="14"/>
        <v>0</v>
      </c>
      <c r="BE95" s="63"/>
      <c r="BF95" s="63"/>
      <c r="BG95" s="36">
        <v>1</v>
      </c>
      <c r="BH95" s="30"/>
      <c r="BI95" s="31"/>
      <c r="BJ95" s="30"/>
      <c r="BK95" s="30"/>
      <c r="BL95" s="30"/>
      <c r="BM95" s="30"/>
      <c r="BN95" s="30"/>
      <c r="BO95" s="33">
        <f t="shared" si="15"/>
        <v>0</v>
      </c>
      <c r="BP95" s="30">
        <v>2</v>
      </c>
      <c r="BQ95" s="30">
        <v>5</v>
      </c>
      <c r="BR95" s="30"/>
      <c r="BS95" s="30"/>
      <c r="BT95" s="34">
        <f t="shared" si="16"/>
        <v>0</v>
      </c>
      <c r="BU95" s="34" t="s">
        <v>446</v>
      </c>
      <c r="BV95" s="30">
        <v>1</v>
      </c>
      <c r="BW95" s="30">
        <v>1</v>
      </c>
      <c r="BX95" s="34">
        <v>1666.6666666666667</v>
      </c>
      <c r="BY95" s="30"/>
      <c r="BZ95" s="31">
        <f t="shared" si="12"/>
        <v>1666.6666666666667</v>
      </c>
      <c r="CA95" s="31">
        <f t="shared" si="17"/>
        <v>1666.6666666666667</v>
      </c>
    </row>
    <row r="96" spans="1:79" ht="67.5" x14ac:dyDescent="0.25">
      <c r="A96" s="17"/>
      <c r="B96" s="2">
        <v>92</v>
      </c>
      <c r="C96" s="48">
        <v>634</v>
      </c>
      <c r="D96" s="48">
        <v>535</v>
      </c>
      <c r="E96" s="49">
        <v>0.3611111111111111</v>
      </c>
      <c r="F96" s="49">
        <v>0.38472222222222219</v>
      </c>
      <c r="G96" s="51" t="s">
        <v>244</v>
      </c>
      <c r="H96" s="18" t="s">
        <v>290</v>
      </c>
      <c r="I96" s="48">
        <v>20</v>
      </c>
      <c r="J96" s="52">
        <v>19</v>
      </c>
      <c r="K96" s="22">
        <v>13</v>
      </c>
      <c r="L96" s="23">
        <f t="shared" si="13"/>
        <v>260</v>
      </c>
      <c r="M96" s="24" t="s">
        <v>442</v>
      </c>
      <c r="N96" s="25" t="s">
        <v>443</v>
      </c>
      <c r="O96" s="25">
        <v>21</v>
      </c>
      <c r="P96" s="25" t="s">
        <v>444</v>
      </c>
      <c r="Q96" s="25">
        <v>31</v>
      </c>
      <c r="R96" s="25"/>
      <c r="S96" s="25"/>
      <c r="T96" s="26">
        <v>6755</v>
      </c>
      <c r="U96" s="26" t="s">
        <v>241</v>
      </c>
      <c r="V96" s="26">
        <v>6220</v>
      </c>
      <c r="W96" s="26" t="s">
        <v>216</v>
      </c>
      <c r="X96" s="27">
        <v>44562</v>
      </c>
      <c r="Y96" s="27">
        <v>44815</v>
      </c>
      <c r="Z96" s="27">
        <v>45101</v>
      </c>
      <c r="AA96" s="27">
        <v>45169</v>
      </c>
      <c r="AB96" s="62" t="s">
        <v>291</v>
      </c>
      <c r="AC96" s="62"/>
      <c r="AD96" s="62"/>
      <c r="AE96" s="28" t="s">
        <v>90</v>
      </c>
      <c r="AF96" s="28"/>
      <c r="AG96" s="28"/>
      <c r="AH96" s="28"/>
      <c r="AI96" s="28"/>
      <c r="AJ96" s="28"/>
      <c r="AK96" s="28"/>
      <c r="AL96" s="28"/>
      <c r="AM96" s="28"/>
      <c r="AN96" s="28" t="s">
        <v>90</v>
      </c>
      <c r="AO96" s="62"/>
      <c r="AP96" s="62"/>
      <c r="AQ96" s="62"/>
      <c r="AR96" s="28"/>
      <c r="AS96" s="28"/>
      <c r="AT96" s="28"/>
      <c r="AU96" s="28"/>
      <c r="AV96" s="28"/>
      <c r="AW96" s="28"/>
      <c r="AX96" s="31"/>
      <c r="AY96" s="31"/>
      <c r="AZ96" s="63"/>
      <c r="BA96" s="55" t="s">
        <v>445</v>
      </c>
      <c r="BB96" s="55"/>
      <c r="BC96" s="63"/>
      <c r="BD96" s="31">
        <f t="shared" si="14"/>
        <v>0</v>
      </c>
      <c r="BE96" s="63"/>
      <c r="BF96" s="63"/>
      <c r="BG96" s="36">
        <v>1</v>
      </c>
      <c r="BH96" s="30"/>
      <c r="BI96" s="31"/>
      <c r="BJ96" s="30"/>
      <c r="BK96" s="30"/>
      <c r="BL96" s="30"/>
      <c r="BM96" s="30"/>
      <c r="BN96" s="30"/>
      <c r="BO96" s="33">
        <f t="shared" si="15"/>
        <v>0</v>
      </c>
      <c r="BP96" s="30">
        <v>2</v>
      </c>
      <c r="BQ96" s="30">
        <v>0</v>
      </c>
      <c r="BR96" s="30"/>
      <c r="BS96" s="30"/>
      <c r="BT96" s="34">
        <f t="shared" si="16"/>
        <v>0</v>
      </c>
      <c r="BU96" s="34"/>
      <c r="BV96" s="34"/>
      <c r="BW96" s="34"/>
      <c r="BX96" s="34"/>
      <c r="BY96" s="30"/>
      <c r="BZ96" s="31">
        <f t="shared" si="12"/>
        <v>0</v>
      </c>
      <c r="CA96" s="31">
        <f t="shared" si="17"/>
        <v>0</v>
      </c>
    </row>
    <row r="97" spans="1:79" ht="67.5" x14ac:dyDescent="0.25">
      <c r="A97" s="17"/>
      <c r="B97" s="2">
        <v>93</v>
      </c>
      <c r="C97" s="48">
        <v>634</v>
      </c>
      <c r="D97" s="48">
        <v>532</v>
      </c>
      <c r="E97" s="49">
        <v>0.40277777777777773</v>
      </c>
      <c r="F97" s="49">
        <v>0.44444444444444442</v>
      </c>
      <c r="G97" s="51" t="s">
        <v>447</v>
      </c>
      <c r="H97" s="18" t="s">
        <v>290</v>
      </c>
      <c r="I97" s="48">
        <v>28</v>
      </c>
      <c r="J97" s="52">
        <v>19</v>
      </c>
      <c r="K97" s="22">
        <v>13</v>
      </c>
      <c r="L97" s="23">
        <f t="shared" si="13"/>
        <v>364</v>
      </c>
      <c r="M97" s="24" t="s">
        <v>442</v>
      </c>
      <c r="N97" s="25" t="s">
        <v>443</v>
      </c>
      <c r="O97" s="25">
        <v>21</v>
      </c>
      <c r="P97" s="25" t="s">
        <v>444</v>
      </c>
      <c r="Q97" s="25">
        <v>31</v>
      </c>
      <c r="R97" s="25"/>
      <c r="S97" s="25"/>
      <c r="T97" s="26">
        <v>6220</v>
      </c>
      <c r="U97" s="26" t="s">
        <v>216</v>
      </c>
      <c r="V97" s="26">
        <v>6755</v>
      </c>
      <c r="W97" s="26" t="s">
        <v>241</v>
      </c>
      <c r="X97" s="27">
        <v>44562</v>
      </c>
      <c r="Y97" s="27">
        <v>44815</v>
      </c>
      <c r="Z97" s="27">
        <v>45101</v>
      </c>
      <c r="AA97" s="27">
        <v>45169</v>
      </c>
      <c r="AB97" s="62" t="s">
        <v>291</v>
      </c>
      <c r="AC97" s="62"/>
      <c r="AD97" s="62"/>
      <c r="AE97" s="28" t="s">
        <v>90</v>
      </c>
      <c r="AF97" s="28"/>
      <c r="AG97" s="28"/>
      <c r="AH97" s="28"/>
      <c r="AI97" s="28"/>
      <c r="AJ97" s="28"/>
      <c r="AK97" s="28"/>
      <c r="AL97" s="28"/>
      <c r="AM97" s="28"/>
      <c r="AN97" s="28" t="s">
        <v>90</v>
      </c>
      <c r="AO97" s="62"/>
      <c r="AP97" s="62"/>
      <c r="AQ97" s="62"/>
      <c r="AR97" s="28"/>
      <c r="AS97" s="28"/>
      <c r="AT97" s="28"/>
      <c r="AU97" s="28"/>
      <c r="AV97" s="28"/>
      <c r="AW97" s="28"/>
      <c r="AX97" s="31"/>
      <c r="AY97" s="31"/>
      <c r="AZ97" s="63"/>
      <c r="BA97" s="55" t="s">
        <v>445</v>
      </c>
      <c r="BB97" s="55"/>
      <c r="BC97" s="63"/>
      <c r="BD97" s="31">
        <f t="shared" si="14"/>
        <v>0</v>
      </c>
      <c r="BE97" s="63"/>
      <c r="BF97" s="63"/>
      <c r="BG97" s="36">
        <v>1</v>
      </c>
      <c r="BH97" s="30"/>
      <c r="BI97" s="31"/>
      <c r="BJ97" s="30"/>
      <c r="BK97" s="30"/>
      <c r="BL97" s="30"/>
      <c r="BM97" s="30"/>
      <c r="BN97" s="30"/>
      <c r="BO97" s="33">
        <f t="shared" si="15"/>
        <v>0</v>
      </c>
      <c r="BP97" s="30">
        <v>2</v>
      </c>
      <c r="BQ97" s="30">
        <v>0</v>
      </c>
      <c r="BR97" s="30"/>
      <c r="BS97" s="30"/>
      <c r="BT97" s="34">
        <f t="shared" si="16"/>
        <v>0</v>
      </c>
      <c r="BU97" s="34"/>
      <c r="BV97" s="34"/>
      <c r="BW97" s="34"/>
      <c r="BX97" s="34"/>
      <c r="BY97" s="30"/>
      <c r="BZ97" s="31">
        <f t="shared" si="12"/>
        <v>0</v>
      </c>
      <c r="CA97" s="31">
        <f t="shared" si="17"/>
        <v>0</v>
      </c>
    </row>
    <row r="98" spans="1:79" ht="67.5" x14ac:dyDescent="0.25">
      <c r="A98" s="17"/>
      <c r="B98" s="2">
        <v>94</v>
      </c>
      <c r="C98" s="48">
        <v>634</v>
      </c>
      <c r="D98" s="48">
        <v>530</v>
      </c>
      <c r="E98" s="49">
        <v>0.40277777777777773</v>
      </c>
      <c r="F98" s="49">
        <v>0.44444444444444442</v>
      </c>
      <c r="G98" s="51" t="s">
        <v>447</v>
      </c>
      <c r="H98" s="18" t="s">
        <v>441</v>
      </c>
      <c r="I98" s="48">
        <v>28</v>
      </c>
      <c r="J98" s="52">
        <v>19</v>
      </c>
      <c r="K98" s="22">
        <v>47</v>
      </c>
      <c r="L98" s="23">
        <f t="shared" si="13"/>
        <v>1316</v>
      </c>
      <c r="M98" s="24" t="s">
        <v>442</v>
      </c>
      <c r="N98" s="25" t="s">
        <v>443</v>
      </c>
      <c r="O98" s="25">
        <v>21</v>
      </c>
      <c r="P98" s="25" t="s">
        <v>444</v>
      </c>
      <c r="Q98" s="25">
        <v>31</v>
      </c>
      <c r="R98" s="25"/>
      <c r="S98" s="25"/>
      <c r="T98" s="26">
        <v>6220</v>
      </c>
      <c r="U98" s="26" t="s">
        <v>216</v>
      </c>
      <c r="V98" s="26">
        <v>6755</v>
      </c>
      <c r="W98" s="26" t="s">
        <v>241</v>
      </c>
      <c r="X98" s="27">
        <v>44816</v>
      </c>
      <c r="Y98" s="27">
        <v>45100</v>
      </c>
      <c r="Z98" s="27"/>
      <c r="AA98" s="27"/>
      <c r="AB98" s="62" t="s">
        <v>289</v>
      </c>
      <c r="AC98" s="62"/>
      <c r="AD98" s="28" t="s">
        <v>90</v>
      </c>
      <c r="AE98" s="28"/>
      <c r="AF98" s="28"/>
      <c r="AG98" s="28"/>
      <c r="AH98" s="28"/>
      <c r="AI98" s="28"/>
      <c r="AJ98" s="28"/>
      <c r="AK98" s="28"/>
      <c r="AL98" s="28"/>
      <c r="AM98" s="28"/>
      <c r="AN98" s="28" t="s">
        <v>90</v>
      </c>
      <c r="AO98" s="62"/>
      <c r="AP98" s="62"/>
      <c r="AQ98" s="62"/>
      <c r="AR98" s="28"/>
      <c r="AS98" s="28"/>
      <c r="AT98" s="28"/>
      <c r="AU98" s="28"/>
      <c r="AV98" s="28"/>
      <c r="AW98" s="28"/>
      <c r="AX98" s="31"/>
      <c r="AY98" s="31"/>
      <c r="AZ98" s="63"/>
      <c r="BA98" s="55" t="s">
        <v>445</v>
      </c>
      <c r="BB98" s="55"/>
      <c r="BC98" s="63"/>
      <c r="BD98" s="31">
        <f t="shared" si="14"/>
        <v>0</v>
      </c>
      <c r="BE98" s="63"/>
      <c r="BF98" s="63"/>
      <c r="BG98" s="36">
        <v>1</v>
      </c>
      <c r="BH98" s="30"/>
      <c r="BI98" s="31"/>
      <c r="BJ98" s="30"/>
      <c r="BK98" s="30"/>
      <c r="BL98" s="30"/>
      <c r="BM98" s="30"/>
      <c r="BN98" s="30"/>
      <c r="BO98" s="33">
        <f t="shared" si="15"/>
        <v>0</v>
      </c>
      <c r="BP98" s="30">
        <v>2</v>
      </c>
      <c r="BQ98" s="30">
        <v>5</v>
      </c>
      <c r="BR98" s="30"/>
      <c r="BS98" s="30"/>
      <c r="BT98" s="34">
        <f t="shared" si="16"/>
        <v>0</v>
      </c>
      <c r="BU98" s="34"/>
      <c r="BV98" s="34"/>
      <c r="BW98" s="34"/>
      <c r="BX98" s="34"/>
      <c r="BY98" s="30"/>
      <c r="BZ98" s="31">
        <f t="shared" si="12"/>
        <v>0</v>
      </c>
      <c r="CA98" s="31">
        <f t="shared" si="17"/>
        <v>0</v>
      </c>
    </row>
    <row r="99" spans="1:79" ht="67.5" x14ac:dyDescent="0.25">
      <c r="A99" s="17"/>
      <c r="B99" s="2">
        <v>95</v>
      </c>
      <c r="C99" s="48">
        <v>634</v>
      </c>
      <c r="D99" s="48">
        <v>539</v>
      </c>
      <c r="E99" s="49">
        <v>0.51388888888888895</v>
      </c>
      <c r="F99" s="49">
        <v>0.55138888888888882</v>
      </c>
      <c r="G99" s="51" t="s">
        <v>448</v>
      </c>
      <c r="H99" s="18" t="s">
        <v>441</v>
      </c>
      <c r="I99" s="48">
        <v>28</v>
      </c>
      <c r="J99" s="52">
        <v>19</v>
      </c>
      <c r="K99" s="22">
        <v>47</v>
      </c>
      <c r="L99" s="23">
        <f t="shared" si="13"/>
        <v>1316</v>
      </c>
      <c r="M99" s="24" t="s">
        <v>442</v>
      </c>
      <c r="N99" s="25" t="s">
        <v>443</v>
      </c>
      <c r="O99" s="25">
        <v>21</v>
      </c>
      <c r="P99" s="25" t="s">
        <v>444</v>
      </c>
      <c r="Q99" s="25">
        <v>31</v>
      </c>
      <c r="R99" s="25"/>
      <c r="S99" s="25"/>
      <c r="T99" s="26">
        <v>6755</v>
      </c>
      <c r="U99" s="26" t="s">
        <v>241</v>
      </c>
      <c r="V99" s="26">
        <v>6220</v>
      </c>
      <c r="W99" s="26" t="s">
        <v>216</v>
      </c>
      <c r="X99" s="27">
        <v>44816</v>
      </c>
      <c r="Y99" s="27">
        <v>45100</v>
      </c>
      <c r="Z99" s="27"/>
      <c r="AA99" s="27"/>
      <c r="AB99" s="62" t="s">
        <v>289</v>
      </c>
      <c r="AC99" s="62"/>
      <c r="AD99" s="28" t="s">
        <v>90</v>
      </c>
      <c r="AE99" s="28"/>
      <c r="AF99" s="28"/>
      <c r="AG99" s="28"/>
      <c r="AH99" s="28"/>
      <c r="AI99" s="28"/>
      <c r="AJ99" s="28"/>
      <c r="AK99" s="28"/>
      <c r="AL99" s="28"/>
      <c r="AM99" s="28"/>
      <c r="AN99" s="28" t="s">
        <v>90</v>
      </c>
      <c r="AO99" s="62"/>
      <c r="AP99" s="62"/>
      <c r="AQ99" s="62"/>
      <c r="AR99" s="28"/>
      <c r="AS99" s="28"/>
      <c r="AT99" s="28"/>
      <c r="AU99" s="28"/>
      <c r="AV99" s="28"/>
      <c r="AW99" s="28"/>
      <c r="AX99" s="31"/>
      <c r="AY99" s="31"/>
      <c r="AZ99" s="63"/>
      <c r="BA99" s="55" t="s">
        <v>445</v>
      </c>
      <c r="BB99" s="55"/>
      <c r="BC99" s="63"/>
      <c r="BD99" s="31">
        <f t="shared" si="14"/>
        <v>0</v>
      </c>
      <c r="BE99" s="63"/>
      <c r="BF99" s="63"/>
      <c r="BG99" s="36">
        <v>1</v>
      </c>
      <c r="BH99" s="30"/>
      <c r="BI99" s="31"/>
      <c r="BJ99" s="30"/>
      <c r="BK99" s="30"/>
      <c r="BL99" s="30"/>
      <c r="BM99" s="30"/>
      <c r="BN99" s="30"/>
      <c r="BO99" s="33">
        <f t="shared" si="15"/>
        <v>0</v>
      </c>
      <c r="BP99" s="30">
        <v>2</v>
      </c>
      <c r="BQ99" s="30">
        <v>5</v>
      </c>
      <c r="BR99" s="30"/>
      <c r="BS99" s="30"/>
      <c r="BT99" s="34">
        <f t="shared" si="16"/>
        <v>0</v>
      </c>
      <c r="BU99" s="34"/>
      <c r="BV99" s="34"/>
      <c r="BW99" s="34"/>
      <c r="BX99" s="34"/>
      <c r="BY99" s="30"/>
      <c r="BZ99" s="31">
        <f t="shared" si="12"/>
        <v>0</v>
      </c>
      <c r="CA99" s="31">
        <f t="shared" si="17"/>
        <v>0</v>
      </c>
    </row>
    <row r="100" spans="1:79" ht="67.5" x14ac:dyDescent="0.25">
      <c r="A100" s="17"/>
      <c r="B100" s="2">
        <v>96</v>
      </c>
      <c r="C100" s="48">
        <v>634</v>
      </c>
      <c r="D100" s="48">
        <v>539</v>
      </c>
      <c r="E100" s="49">
        <v>0.51736111111111105</v>
      </c>
      <c r="F100" s="49">
        <v>0.55486111111111114</v>
      </c>
      <c r="G100" s="51" t="s">
        <v>448</v>
      </c>
      <c r="H100" s="18" t="s">
        <v>290</v>
      </c>
      <c r="I100" s="48">
        <v>28</v>
      </c>
      <c r="J100" s="52">
        <v>19</v>
      </c>
      <c r="K100" s="22">
        <v>13</v>
      </c>
      <c r="L100" s="23">
        <f t="shared" si="13"/>
        <v>364</v>
      </c>
      <c r="M100" s="24" t="s">
        <v>442</v>
      </c>
      <c r="N100" s="25" t="s">
        <v>443</v>
      </c>
      <c r="O100" s="25">
        <v>21</v>
      </c>
      <c r="P100" s="25" t="s">
        <v>444</v>
      </c>
      <c r="Q100" s="25">
        <v>31</v>
      </c>
      <c r="R100" s="25"/>
      <c r="S100" s="25"/>
      <c r="T100" s="26">
        <v>6755</v>
      </c>
      <c r="U100" s="26" t="s">
        <v>241</v>
      </c>
      <c r="V100" s="26">
        <v>6220</v>
      </c>
      <c r="W100" s="26" t="s">
        <v>216</v>
      </c>
      <c r="X100" s="27">
        <v>44562</v>
      </c>
      <c r="Y100" s="27">
        <v>44815</v>
      </c>
      <c r="Z100" s="27">
        <v>45101</v>
      </c>
      <c r="AA100" s="27">
        <v>45169</v>
      </c>
      <c r="AB100" s="62" t="s">
        <v>291</v>
      </c>
      <c r="AC100" s="62"/>
      <c r="AD100" s="62"/>
      <c r="AE100" s="28" t="s">
        <v>90</v>
      </c>
      <c r="AF100" s="28"/>
      <c r="AG100" s="28"/>
      <c r="AH100" s="28"/>
      <c r="AI100" s="28"/>
      <c r="AJ100" s="28"/>
      <c r="AK100" s="28"/>
      <c r="AL100" s="28"/>
      <c r="AM100" s="28"/>
      <c r="AN100" s="28" t="s">
        <v>90</v>
      </c>
      <c r="AO100" s="62"/>
      <c r="AP100" s="62"/>
      <c r="AQ100" s="62"/>
      <c r="AR100" s="28"/>
      <c r="AS100" s="28"/>
      <c r="AT100" s="28"/>
      <c r="AU100" s="28"/>
      <c r="AV100" s="28"/>
      <c r="AW100" s="28"/>
      <c r="AX100" s="31"/>
      <c r="AY100" s="31"/>
      <c r="AZ100" s="63"/>
      <c r="BA100" s="55" t="s">
        <v>445</v>
      </c>
      <c r="BB100" s="55"/>
      <c r="BC100" s="63"/>
      <c r="BD100" s="31">
        <f t="shared" si="14"/>
        <v>0</v>
      </c>
      <c r="BE100" s="63"/>
      <c r="BF100" s="63"/>
      <c r="BG100" s="36">
        <v>1</v>
      </c>
      <c r="BH100" s="30"/>
      <c r="BI100" s="31"/>
      <c r="BJ100" s="30"/>
      <c r="BK100" s="30"/>
      <c r="BL100" s="30"/>
      <c r="BM100" s="30"/>
      <c r="BN100" s="30"/>
      <c r="BO100" s="33">
        <f t="shared" si="15"/>
        <v>0</v>
      </c>
      <c r="BP100" s="30">
        <v>2</v>
      </c>
      <c r="BQ100" s="30">
        <v>0</v>
      </c>
      <c r="BR100" s="30"/>
      <c r="BS100" s="30"/>
      <c r="BT100" s="34">
        <f t="shared" si="16"/>
        <v>0</v>
      </c>
      <c r="BU100" s="34"/>
      <c r="BV100" s="34"/>
      <c r="BW100" s="34"/>
      <c r="BX100" s="34"/>
      <c r="BY100" s="30"/>
      <c r="BZ100" s="31">
        <f t="shared" si="12"/>
        <v>0</v>
      </c>
      <c r="CA100" s="31">
        <f t="shared" si="17"/>
        <v>0</v>
      </c>
    </row>
    <row r="101" spans="1:79" ht="67.5" x14ac:dyDescent="0.25">
      <c r="A101" s="17"/>
      <c r="B101" s="2">
        <v>97</v>
      </c>
      <c r="C101" s="48">
        <v>634</v>
      </c>
      <c r="D101" s="48">
        <v>538</v>
      </c>
      <c r="E101" s="49">
        <v>0.65277777777777779</v>
      </c>
      <c r="F101" s="49">
        <v>0.69097222222222221</v>
      </c>
      <c r="G101" s="51" t="s">
        <v>447</v>
      </c>
      <c r="H101" s="18" t="s">
        <v>441</v>
      </c>
      <c r="I101" s="48">
        <v>28</v>
      </c>
      <c r="J101" s="52">
        <v>19</v>
      </c>
      <c r="K101" s="22">
        <v>47</v>
      </c>
      <c r="L101" s="23">
        <f t="shared" si="13"/>
        <v>1316</v>
      </c>
      <c r="M101" s="24" t="s">
        <v>442</v>
      </c>
      <c r="N101" s="25" t="s">
        <v>443</v>
      </c>
      <c r="O101" s="25">
        <v>21</v>
      </c>
      <c r="P101" s="25" t="s">
        <v>444</v>
      </c>
      <c r="Q101" s="25">
        <v>31</v>
      </c>
      <c r="R101" s="25"/>
      <c r="S101" s="25"/>
      <c r="T101" s="26">
        <v>6220</v>
      </c>
      <c r="U101" s="26" t="s">
        <v>216</v>
      </c>
      <c r="V101" s="26">
        <v>6755</v>
      </c>
      <c r="W101" s="26" t="s">
        <v>241</v>
      </c>
      <c r="X101" s="27">
        <v>44816</v>
      </c>
      <c r="Y101" s="27">
        <v>45100</v>
      </c>
      <c r="Z101" s="27"/>
      <c r="AA101" s="27"/>
      <c r="AB101" s="62" t="s">
        <v>289</v>
      </c>
      <c r="AC101" s="62"/>
      <c r="AD101" s="28" t="s">
        <v>90</v>
      </c>
      <c r="AE101" s="28"/>
      <c r="AF101" s="28"/>
      <c r="AG101" s="28"/>
      <c r="AH101" s="28"/>
      <c r="AI101" s="28"/>
      <c r="AJ101" s="28"/>
      <c r="AK101" s="28"/>
      <c r="AL101" s="28"/>
      <c r="AM101" s="28"/>
      <c r="AN101" s="28" t="s">
        <v>90</v>
      </c>
      <c r="AO101" s="62"/>
      <c r="AP101" s="62"/>
      <c r="AQ101" s="62"/>
      <c r="AR101" s="28"/>
      <c r="AS101" s="28"/>
      <c r="AT101" s="28"/>
      <c r="AU101" s="28"/>
      <c r="AV101" s="28"/>
      <c r="AW101" s="28"/>
      <c r="AX101" s="31"/>
      <c r="AY101" s="31"/>
      <c r="AZ101" s="63"/>
      <c r="BA101" s="55" t="s">
        <v>445</v>
      </c>
      <c r="BB101" s="55"/>
      <c r="BC101" s="63"/>
      <c r="BD101" s="31">
        <f t="shared" si="14"/>
        <v>0</v>
      </c>
      <c r="BE101" s="63"/>
      <c r="BF101" s="63"/>
      <c r="BG101" s="36">
        <v>1</v>
      </c>
      <c r="BH101" s="30"/>
      <c r="BI101" s="31"/>
      <c r="BJ101" s="30"/>
      <c r="BK101" s="30"/>
      <c r="BL101" s="30"/>
      <c r="BM101" s="30"/>
      <c r="BN101" s="30"/>
      <c r="BO101" s="33">
        <f t="shared" si="15"/>
        <v>0</v>
      </c>
      <c r="BP101" s="30">
        <v>2</v>
      </c>
      <c r="BQ101" s="30">
        <v>5</v>
      </c>
      <c r="BR101" s="30"/>
      <c r="BS101" s="30"/>
      <c r="BT101" s="34">
        <f t="shared" si="16"/>
        <v>0</v>
      </c>
      <c r="BU101" s="34"/>
      <c r="BV101" s="34"/>
      <c r="BW101" s="34"/>
      <c r="BX101" s="34"/>
      <c r="BY101" s="30"/>
      <c r="BZ101" s="31">
        <f t="shared" si="12"/>
        <v>0</v>
      </c>
      <c r="CA101" s="31">
        <f t="shared" si="17"/>
        <v>0</v>
      </c>
    </row>
    <row r="102" spans="1:79" ht="67.5" x14ac:dyDescent="0.25">
      <c r="A102" s="17"/>
      <c r="B102" s="2">
        <v>98</v>
      </c>
      <c r="C102" s="48">
        <v>634</v>
      </c>
      <c r="D102" s="48">
        <v>543</v>
      </c>
      <c r="E102" s="49">
        <v>0.69444444444444453</v>
      </c>
      <c r="F102" s="49">
        <v>0.71805555555555556</v>
      </c>
      <c r="G102" s="51" t="s">
        <v>244</v>
      </c>
      <c r="H102" s="18" t="s">
        <v>441</v>
      </c>
      <c r="I102" s="48">
        <v>20</v>
      </c>
      <c r="J102" s="52">
        <v>19</v>
      </c>
      <c r="K102" s="22">
        <v>47</v>
      </c>
      <c r="L102" s="23">
        <f t="shared" si="13"/>
        <v>940</v>
      </c>
      <c r="M102" s="24" t="s">
        <v>442</v>
      </c>
      <c r="N102" s="25" t="s">
        <v>443</v>
      </c>
      <c r="O102" s="25">
        <v>21</v>
      </c>
      <c r="P102" s="25" t="s">
        <v>444</v>
      </c>
      <c r="Q102" s="25">
        <v>31</v>
      </c>
      <c r="R102" s="25"/>
      <c r="S102" s="25"/>
      <c r="T102" s="26">
        <v>6755</v>
      </c>
      <c r="U102" s="26" t="s">
        <v>241</v>
      </c>
      <c r="V102" s="26">
        <v>6220</v>
      </c>
      <c r="W102" s="26" t="s">
        <v>216</v>
      </c>
      <c r="X102" s="27">
        <v>44816</v>
      </c>
      <c r="Y102" s="27">
        <v>45100</v>
      </c>
      <c r="Z102" s="27"/>
      <c r="AA102" s="27"/>
      <c r="AB102" s="62" t="s">
        <v>289</v>
      </c>
      <c r="AC102" s="62"/>
      <c r="AD102" s="28" t="s">
        <v>90</v>
      </c>
      <c r="AE102" s="28"/>
      <c r="AF102" s="28"/>
      <c r="AG102" s="28"/>
      <c r="AH102" s="28"/>
      <c r="AI102" s="28"/>
      <c r="AJ102" s="28"/>
      <c r="AK102" s="28"/>
      <c r="AL102" s="28"/>
      <c r="AM102" s="28"/>
      <c r="AN102" s="28" t="s">
        <v>90</v>
      </c>
      <c r="AO102" s="62"/>
      <c r="AP102" s="62"/>
      <c r="AQ102" s="62"/>
      <c r="AR102" s="28"/>
      <c r="AS102" s="28"/>
      <c r="AT102" s="28"/>
      <c r="AU102" s="28"/>
      <c r="AV102" s="28"/>
      <c r="AW102" s="28"/>
      <c r="AX102" s="31"/>
      <c r="AY102" s="31"/>
      <c r="AZ102" s="63"/>
      <c r="BA102" s="55" t="s">
        <v>445</v>
      </c>
      <c r="BB102" s="55"/>
      <c r="BC102" s="63"/>
      <c r="BD102" s="31">
        <f t="shared" si="14"/>
        <v>0</v>
      </c>
      <c r="BE102" s="63"/>
      <c r="BF102" s="63"/>
      <c r="BG102" s="36">
        <v>1</v>
      </c>
      <c r="BH102" s="30"/>
      <c r="BI102" s="31"/>
      <c r="BJ102" s="30"/>
      <c r="BK102" s="30"/>
      <c r="BL102" s="30"/>
      <c r="BM102" s="30"/>
      <c r="BN102" s="30"/>
      <c r="BO102" s="33">
        <f t="shared" si="15"/>
        <v>0</v>
      </c>
      <c r="BP102" s="30">
        <v>2</v>
      </c>
      <c r="BQ102" s="30">
        <v>5</v>
      </c>
      <c r="BR102" s="30"/>
      <c r="BS102" s="30"/>
      <c r="BT102" s="34">
        <f t="shared" si="16"/>
        <v>0</v>
      </c>
      <c r="BU102" s="34"/>
      <c r="BV102" s="34"/>
      <c r="BW102" s="34"/>
      <c r="BX102" s="34"/>
      <c r="BY102" s="30"/>
      <c r="BZ102" s="31">
        <f t="shared" si="12"/>
        <v>0</v>
      </c>
      <c r="CA102" s="31">
        <f t="shared" si="17"/>
        <v>0</v>
      </c>
    </row>
    <row r="103" spans="1:79" ht="67.5" x14ac:dyDescent="0.25">
      <c r="A103" s="17"/>
      <c r="B103" s="2">
        <v>99</v>
      </c>
      <c r="C103" s="48">
        <v>634</v>
      </c>
      <c r="D103" s="48">
        <v>536</v>
      </c>
      <c r="E103" s="49">
        <v>0.72569444444444453</v>
      </c>
      <c r="F103" s="49">
        <v>0.76388888888888884</v>
      </c>
      <c r="G103" s="51" t="s">
        <v>447</v>
      </c>
      <c r="H103" s="18" t="s">
        <v>290</v>
      </c>
      <c r="I103" s="48">
        <v>28</v>
      </c>
      <c r="J103" s="52">
        <v>19</v>
      </c>
      <c r="K103" s="22">
        <v>13</v>
      </c>
      <c r="L103" s="23">
        <f t="shared" si="13"/>
        <v>364</v>
      </c>
      <c r="M103" s="24" t="s">
        <v>442</v>
      </c>
      <c r="N103" s="25" t="s">
        <v>443</v>
      </c>
      <c r="O103" s="25">
        <v>21</v>
      </c>
      <c r="P103" s="25" t="s">
        <v>444</v>
      </c>
      <c r="Q103" s="25">
        <v>31</v>
      </c>
      <c r="R103" s="25"/>
      <c r="S103" s="25"/>
      <c r="T103" s="26">
        <v>6220</v>
      </c>
      <c r="U103" s="26" t="s">
        <v>216</v>
      </c>
      <c r="V103" s="26">
        <v>6755</v>
      </c>
      <c r="W103" s="26" t="s">
        <v>241</v>
      </c>
      <c r="X103" s="27">
        <v>44562</v>
      </c>
      <c r="Y103" s="27">
        <v>44815</v>
      </c>
      <c r="Z103" s="27">
        <v>45101</v>
      </c>
      <c r="AA103" s="27">
        <v>45169</v>
      </c>
      <c r="AB103" s="62" t="s">
        <v>291</v>
      </c>
      <c r="AC103" s="62"/>
      <c r="AD103" s="62"/>
      <c r="AE103" s="28" t="s">
        <v>90</v>
      </c>
      <c r="AF103" s="28"/>
      <c r="AG103" s="28"/>
      <c r="AH103" s="28"/>
      <c r="AI103" s="28"/>
      <c r="AJ103" s="28"/>
      <c r="AK103" s="28"/>
      <c r="AL103" s="28"/>
      <c r="AM103" s="28"/>
      <c r="AN103" s="28" t="s">
        <v>90</v>
      </c>
      <c r="AO103" s="62"/>
      <c r="AP103" s="62"/>
      <c r="AQ103" s="62"/>
      <c r="AR103" s="28"/>
      <c r="AS103" s="28"/>
      <c r="AT103" s="28"/>
      <c r="AU103" s="28"/>
      <c r="AV103" s="28"/>
      <c r="AW103" s="28"/>
      <c r="AX103" s="31"/>
      <c r="AY103" s="31"/>
      <c r="AZ103" s="63"/>
      <c r="BA103" s="55" t="s">
        <v>445</v>
      </c>
      <c r="BB103" s="55"/>
      <c r="BC103" s="63"/>
      <c r="BD103" s="31">
        <f t="shared" si="14"/>
        <v>0</v>
      </c>
      <c r="BE103" s="63"/>
      <c r="BF103" s="63"/>
      <c r="BG103" s="36">
        <v>1</v>
      </c>
      <c r="BH103" s="30"/>
      <c r="BI103" s="31"/>
      <c r="BJ103" s="30"/>
      <c r="BK103" s="30"/>
      <c r="BL103" s="30"/>
      <c r="BM103" s="30"/>
      <c r="BN103" s="30"/>
      <c r="BO103" s="33">
        <f t="shared" si="15"/>
        <v>0</v>
      </c>
      <c r="BP103" s="30">
        <v>2</v>
      </c>
      <c r="BQ103" s="30">
        <v>0</v>
      </c>
      <c r="BR103" s="30"/>
      <c r="BS103" s="30"/>
      <c r="BT103" s="34">
        <f t="shared" si="16"/>
        <v>0</v>
      </c>
      <c r="BU103" s="34"/>
      <c r="BV103" s="34"/>
      <c r="BW103" s="34"/>
      <c r="BX103" s="34"/>
      <c r="BY103" s="30"/>
      <c r="BZ103" s="31">
        <f t="shared" si="12"/>
        <v>0</v>
      </c>
      <c r="CA103" s="31">
        <f t="shared" si="17"/>
        <v>0</v>
      </c>
    </row>
    <row r="104" spans="1:79" ht="67.5" x14ac:dyDescent="0.25">
      <c r="A104" s="17"/>
      <c r="B104" s="2">
        <v>100</v>
      </c>
      <c r="C104" s="48">
        <v>634</v>
      </c>
      <c r="D104" s="48">
        <v>544</v>
      </c>
      <c r="E104" s="49">
        <v>0.74305555555555547</v>
      </c>
      <c r="F104" s="50">
        <v>0.76666666666666661</v>
      </c>
      <c r="G104" s="51" t="s">
        <v>235</v>
      </c>
      <c r="H104" s="18" t="s">
        <v>441</v>
      </c>
      <c r="I104" s="48">
        <v>20</v>
      </c>
      <c r="J104" s="52">
        <v>19</v>
      </c>
      <c r="K104" s="22">
        <v>47</v>
      </c>
      <c r="L104" s="23">
        <f t="shared" si="13"/>
        <v>940</v>
      </c>
      <c r="M104" s="24" t="s">
        <v>442</v>
      </c>
      <c r="N104" s="25" t="s">
        <v>443</v>
      </c>
      <c r="O104" s="25">
        <v>21</v>
      </c>
      <c r="P104" s="25" t="s">
        <v>444</v>
      </c>
      <c r="Q104" s="25">
        <v>31</v>
      </c>
      <c r="R104" s="25"/>
      <c r="S104" s="25"/>
      <c r="T104" s="26">
        <v>6220</v>
      </c>
      <c r="U104" s="26" t="s">
        <v>216</v>
      </c>
      <c r="V104" s="26">
        <v>6755</v>
      </c>
      <c r="W104" s="26" t="s">
        <v>241</v>
      </c>
      <c r="X104" s="27">
        <v>44816</v>
      </c>
      <c r="Y104" s="27">
        <v>45100</v>
      </c>
      <c r="Z104" s="27"/>
      <c r="AA104" s="27"/>
      <c r="AB104" s="62" t="s">
        <v>289</v>
      </c>
      <c r="AC104" s="62"/>
      <c r="AD104" s="28" t="s">
        <v>90</v>
      </c>
      <c r="AE104" s="28"/>
      <c r="AF104" s="28"/>
      <c r="AG104" s="28"/>
      <c r="AH104" s="28"/>
      <c r="AI104" s="28"/>
      <c r="AJ104" s="28"/>
      <c r="AK104" s="28"/>
      <c r="AL104" s="28"/>
      <c r="AM104" s="28"/>
      <c r="AN104" s="28" t="s">
        <v>90</v>
      </c>
      <c r="AO104" s="62"/>
      <c r="AP104" s="62"/>
      <c r="AQ104" s="62"/>
      <c r="AR104" s="28"/>
      <c r="AS104" s="28"/>
      <c r="AT104" s="28"/>
      <c r="AU104" s="28"/>
      <c r="AV104" s="28"/>
      <c r="AW104" s="28"/>
      <c r="AX104" s="31"/>
      <c r="AY104" s="31"/>
      <c r="AZ104" s="63"/>
      <c r="BA104" s="55" t="s">
        <v>445</v>
      </c>
      <c r="BB104" s="55"/>
      <c r="BC104" s="63"/>
      <c r="BD104" s="31">
        <f t="shared" si="14"/>
        <v>0</v>
      </c>
      <c r="BE104" s="63"/>
      <c r="BF104" s="63"/>
      <c r="BG104" s="36">
        <v>1</v>
      </c>
      <c r="BH104" s="30"/>
      <c r="BI104" s="31"/>
      <c r="BJ104" s="30"/>
      <c r="BK104" s="30"/>
      <c r="BL104" s="30"/>
      <c r="BM104" s="30"/>
      <c r="BN104" s="30"/>
      <c r="BO104" s="33">
        <f t="shared" si="15"/>
        <v>0</v>
      </c>
      <c r="BP104" s="30">
        <v>2</v>
      </c>
      <c r="BQ104" s="30">
        <v>5</v>
      </c>
      <c r="BR104" s="30"/>
      <c r="BS104" s="30"/>
      <c r="BT104" s="34">
        <f t="shared" si="16"/>
        <v>0</v>
      </c>
      <c r="BU104" s="34"/>
      <c r="BV104" s="34"/>
      <c r="BW104" s="34"/>
      <c r="BX104" s="34"/>
      <c r="BY104" s="30"/>
      <c r="BZ104" s="31">
        <f t="shared" si="12"/>
        <v>0</v>
      </c>
      <c r="CA104" s="31">
        <f t="shared" si="17"/>
        <v>0</v>
      </c>
    </row>
    <row r="105" spans="1:79" ht="51" x14ac:dyDescent="0.25">
      <c r="A105" s="17"/>
      <c r="B105" s="2">
        <v>101</v>
      </c>
      <c r="C105" s="18">
        <v>640</v>
      </c>
      <c r="D105" s="18">
        <v>659</v>
      </c>
      <c r="E105" s="19">
        <v>0.76041666666666663</v>
      </c>
      <c r="F105" s="19">
        <v>0.77986111111111101</v>
      </c>
      <c r="G105" s="18" t="s">
        <v>449</v>
      </c>
      <c r="H105" s="18" t="s">
        <v>273</v>
      </c>
      <c r="I105" s="20">
        <v>16</v>
      </c>
      <c r="J105" s="21" t="s">
        <v>104</v>
      </c>
      <c r="K105" s="22">
        <v>174</v>
      </c>
      <c r="L105" s="23">
        <f t="shared" si="13"/>
        <v>2784</v>
      </c>
      <c r="M105" s="24" t="s">
        <v>445</v>
      </c>
      <c r="N105" s="25" t="s">
        <v>450</v>
      </c>
      <c r="O105" s="25">
        <v>45</v>
      </c>
      <c r="P105" s="17" t="s">
        <v>451</v>
      </c>
      <c r="Q105" s="17">
        <v>21</v>
      </c>
      <c r="R105" s="17" t="s">
        <v>452</v>
      </c>
      <c r="S105" s="35">
        <v>9</v>
      </c>
      <c r="T105" s="26">
        <v>6300</v>
      </c>
      <c r="U105" s="26" t="s">
        <v>250</v>
      </c>
      <c r="V105" s="26">
        <v>6328</v>
      </c>
      <c r="W105" s="26" t="s">
        <v>453</v>
      </c>
      <c r="X105" s="66">
        <v>44816</v>
      </c>
      <c r="Y105" s="66">
        <v>45086</v>
      </c>
      <c r="Z105" s="66"/>
      <c r="AA105" s="66"/>
      <c r="AB105" s="26" t="s">
        <v>282</v>
      </c>
      <c r="AC105" s="26"/>
      <c r="AD105" s="62"/>
      <c r="AE105" s="62"/>
      <c r="AF105" s="62"/>
      <c r="AG105" s="28" t="s">
        <v>90</v>
      </c>
      <c r="AH105" s="28" t="s">
        <v>90</v>
      </c>
      <c r="AI105" s="28" t="s">
        <v>90</v>
      </c>
      <c r="AJ105" s="28" t="s">
        <v>90</v>
      </c>
      <c r="AK105" s="28" t="s">
        <v>90</v>
      </c>
      <c r="AL105" s="28" t="s">
        <v>90</v>
      </c>
      <c r="AM105" s="62"/>
      <c r="AN105" s="62"/>
      <c r="AO105" s="62"/>
      <c r="AP105" s="62"/>
      <c r="AQ105" s="62"/>
      <c r="AR105" s="28"/>
      <c r="AS105" s="28"/>
      <c r="AT105" s="28"/>
      <c r="AU105" s="28"/>
      <c r="AV105" s="28"/>
      <c r="AW105" s="62"/>
      <c r="AX105" s="29">
        <v>48</v>
      </c>
      <c r="AY105" s="29"/>
      <c r="AZ105" s="63"/>
      <c r="BA105" s="63"/>
      <c r="BB105" s="63"/>
      <c r="BC105" s="63"/>
      <c r="BD105" s="31">
        <f t="shared" si="14"/>
        <v>8352</v>
      </c>
      <c r="BE105" s="31"/>
      <c r="BF105" s="63"/>
      <c r="BG105" s="36">
        <v>1</v>
      </c>
      <c r="BH105" s="31">
        <f>IF(AND((AX105/I105)&lt;2,BG105=1),(I105*2)-AX105,0)</f>
        <v>0</v>
      </c>
      <c r="BI105" s="31">
        <f>IF(AND((AX105/I105)&lt;3,BG105=2),(I105*3)-AX105,0)</f>
        <v>0</v>
      </c>
      <c r="BJ105" s="33">
        <f>(BH105+BI105)*K105</f>
        <v>0</v>
      </c>
      <c r="BK105" s="30"/>
      <c r="BL105" s="30"/>
      <c r="BM105" s="30"/>
      <c r="BN105" s="30"/>
      <c r="BO105" s="33">
        <f t="shared" si="15"/>
        <v>0</v>
      </c>
      <c r="BP105" s="30">
        <v>15</v>
      </c>
      <c r="BQ105" s="30">
        <v>20</v>
      </c>
      <c r="BR105" s="30"/>
      <c r="BS105" s="30"/>
      <c r="BT105" s="34">
        <f t="shared" si="16"/>
        <v>48</v>
      </c>
      <c r="BU105" s="34"/>
      <c r="BV105" s="34"/>
      <c r="BW105" s="34"/>
      <c r="BX105" s="34"/>
      <c r="BY105" s="30"/>
      <c r="BZ105" s="31">
        <f t="shared" si="12"/>
        <v>720</v>
      </c>
      <c r="CA105" s="31">
        <f t="shared" si="17"/>
        <v>960</v>
      </c>
    </row>
    <row r="106" spans="1:79" ht="34.5" x14ac:dyDescent="0.25">
      <c r="A106" s="17"/>
      <c r="B106" s="2">
        <v>102</v>
      </c>
      <c r="C106" s="65">
        <v>91</v>
      </c>
      <c r="D106" s="60">
        <v>490</v>
      </c>
      <c r="E106" s="49">
        <v>0.19791666666666666</v>
      </c>
      <c r="F106" s="49">
        <v>0.23958333333333334</v>
      </c>
      <c r="G106" s="51" t="s">
        <v>260</v>
      </c>
      <c r="H106" s="48" t="s">
        <v>454</v>
      </c>
      <c r="I106" s="48">
        <v>50</v>
      </c>
      <c r="J106" s="52">
        <v>50</v>
      </c>
      <c r="K106" s="22">
        <v>296</v>
      </c>
      <c r="L106" s="23">
        <f t="shared" si="13"/>
        <v>14800</v>
      </c>
      <c r="M106" s="24" t="s">
        <v>455</v>
      </c>
      <c r="N106" s="25" t="s">
        <v>456</v>
      </c>
      <c r="O106" s="25">
        <v>53</v>
      </c>
      <c r="P106" s="25" t="s">
        <v>457</v>
      </c>
      <c r="Q106" s="25">
        <v>54</v>
      </c>
      <c r="R106" s="17" t="s">
        <v>458</v>
      </c>
      <c r="S106" s="75">
        <v>53</v>
      </c>
      <c r="T106" s="26" t="s">
        <v>199</v>
      </c>
      <c r="U106" s="26" t="s">
        <v>200</v>
      </c>
      <c r="V106" s="26" t="s">
        <v>265</v>
      </c>
      <c r="W106" s="26" t="s">
        <v>266</v>
      </c>
      <c r="X106" s="66">
        <v>44805</v>
      </c>
      <c r="Y106" s="66">
        <v>45169</v>
      </c>
      <c r="Z106" s="66"/>
      <c r="AA106" s="66"/>
      <c r="AB106" s="28" t="s">
        <v>459</v>
      </c>
      <c r="AC106" s="28"/>
      <c r="AD106" s="28" t="s">
        <v>90</v>
      </c>
      <c r="AE106" s="28" t="s">
        <v>90</v>
      </c>
      <c r="AF106" s="28" t="s">
        <v>90</v>
      </c>
      <c r="AG106" s="28"/>
      <c r="AH106" s="28" t="s">
        <v>90</v>
      </c>
      <c r="AI106" s="28" t="s">
        <v>90</v>
      </c>
      <c r="AJ106" s="28" t="s">
        <v>90</v>
      </c>
      <c r="AK106" s="28" t="s">
        <v>90</v>
      </c>
      <c r="AL106" s="28" t="s">
        <v>90</v>
      </c>
      <c r="AM106" s="28" t="s">
        <v>90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31"/>
      <c r="AY106" s="31"/>
      <c r="AZ106" s="30"/>
      <c r="BA106" s="55" t="s">
        <v>455</v>
      </c>
      <c r="BB106" s="55"/>
      <c r="BC106" s="30"/>
      <c r="BD106" s="31">
        <f t="shared" si="14"/>
        <v>0</v>
      </c>
      <c r="BE106" s="30"/>
      <c r="BF106" s="30"/>
      <c r="BG106" s="32">
        <v>2</v>
      </c>
      <c r="BH106" s="30"/>
      <c r="BI106" s="31"/>
      <c r="BJ106" s="30"/>
      <c r="BK106" s="30"/>
      <c r="BL106" s="30"/>
      <c r="BM106" s="30"/>
      <c r="BN106" s="31"/>
      <c r="BO106" s="33">
        <f t="shared" si="15"/>
        <v>0</v>
      </c>
      <c r="BP106" s="30">
        <v>26</v>
      </c>
      <c r="BQ106" s="36">
        <v>25</v>
      </c>
      <c r="BR106" s="30"/>
      <c r="BS106" s="30"/>
      <c r="BT106" s="34">
        <f t="shared" si="16"/>
        <v>0</v>
      </c>
      <c r="BU106" s="34" t="s">
        <v>459</v>
      </c>
      <c r="BV106" s="30">
        <v>26</v>
      </c>
      <c r="BW106" s="30">
        <v>25</v>
      </c>
      <c r="BX106" s="34">
        <v>220</v>
      </c>
      <c r="BY106" s="30"/>
      <c r="BZ106" s="31">
        <f t="shared" si="12"/>
        <v>5720</v>
      </c>
      <c r="CA106" s="31">
        <f t="shared" si="17"/>
        <v>5500</v>
      </c>
    </row>
    <row r="107" spans="1:79" ht="51" x14ac:dyDescent="0.25">
      <c r="A107" s="17"/>
      <c r="B107" s="2">
        <v>103</v>
      </c>
      <c r="C107" s="65">
        <v>91</v>
      </c>
      <c r="D107" s="60">
        <v>491</v>
      </c>
      <c r="E107" s="49">
        <v>0.25694444444444448</v>
      </c>
      <c r="F107" s="49">
        <v>0.2986111111111111</v>
      </c>
      <c r="G107" s="51" t="s">
        <v>271</v>
      </c>
      <c r="H107" s="51" t="s">
        <v>460</v>
      </c>
      <c r="I107" s="48">
        <v>50</v>
      </c>
      <c r="J107" s="52">
        <v>50</v>
      </c>
      <c r="K107" s="22">
        <v>255</v>
      </c>
      <c r="L107" s="23">
        <f t="shared" si="13"/>
        <v>12750</v>
      </c>
      <c r="M107" s="24" t="s">
        <v>455</v>
      </c>
      <c r="N107" s="25" t="s">
        <v>456</v>
      </c>
      <c r="O107" s="25">
        <v>53</v>
      </c>
      <c r="P107" s="25" t="s">
        <v>457</v>
      </c>
      <c r="Q107" s="25">
        <v>54</v>
      </c>
      <c r="R107" s="17" t="s">
        <v>458</v>
      </c>
      <c r="S107" s="75">
        <v>53</v>
      </c>
      <c r="T107" s="26" t="s">
        <v>265</v>
      </c>
      <c r="U107" s="26" t="s">
        <v>266</v>
      </c>
      <c r="V107" s="26" t="s">
        <v>199</v>
      </c>
      <c r="W107" s="26" t="s">
        <v>200</v>
      </c>
      <c r="X107" s="66">
        <v>44805</v>
      </c>
      <c r="Y107" s="66">
        <v>45169</v>
      </c>
      <c r="Z107" s="66"/>
      <c r="AA107" s="66"/>
      <c r="AB107" s="28" t="s">
        <v>461</v>
      </c>
      <c r="AC107" s="28"/>
      <c r="AD107" s="28" t="s">
        <v>90</v>
      </c>
      <c r="AE107" s="28" t="s">
        <v>90</v>
      </c>
      <c r="AF107" s="28" t="s">
        <v>90</v>
      </c>
      <c r="AG107" s="28"/>
      <c r="AH107" s="28"/>
      <c r="AI107" s="28" t="s">
        <v>90</v>
      </c>
      <c r="AJ107" s="28" t="s">
        <v>90</v>
      </c>
      <c r="AK107" s="28" t="s">
        <v>90</v>
      </c>
      <c r="AL107" s="28" t="s">
        <v>90</v>
      </c>
      <c r="AM107" s="28" t="s">
        <v>90</v>
      </c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31"/>
      <c r="AY107" s="31"/>
      <c r="AZ107" s="30"/>
      <c r="BA107" s="55" t="s">
        <v>455</v>
      </c>
      <c r="BB107" s="55"/>
      <c r="BC107" s="30"/>
      <c r="BD107" s="31">
        <f t="shared" si="14"/>
        <v>0</v>
      </c>
      <c r="BE107" s="30"/>
      <c r="BF107" s="30"/>
      <c r="BG107" s="32">
        <v>2</v>
      </c>
      <c r="BH107" s="30"/>
      <c r="BI107" s="31"/>
      <c r="BJ107" s="30"/>
      <c r="BK107" s="30"/>
      <c r="BL107" s="30"/>
      <c r="BM107" s="30"/>
      <c r="BN107" s="31"/>
      <c r="BO107" s="33">
        <f t="shared" si="15"/>
        <v>0</v>
      </c>
      <c r="BP107" s="30">
        <v>22</v>
      </c>
      <c r="BQ107" s="30">
        <v>21</v>
      </c>
      <c r="BR107" s="30"/>
      <c r="BS107" s="30"/>
      <c r="BT107" s="34">
        <f t="shared" si="16"/>
        <v>0</v>
      </c>
      <c r="BU107" s="34"/>
      <c r="BV107" s="34"/>
      <c r="BW107" s="34"/>
      <c r="BX107" s="34"/>
      <c r="BY107" s="30"/>
      <c r="BZ107" s="31">
        <f t="shared" si="12"/>
        <v>0</v>
      </c>
      <c r="CA107" s="31">
        <f t="shared" si="17"/>
        <v>0</v>
      </c>
    </row>
    <row r="108" spans="1:79" ht="90" x14ac:dyDescent="0.25">
      <c r="A108" s="17"/>
      <c r="B108" s="2">
        <v>104</v>
      </c>
      <c r="C108" s="18">
        <v>101</v>
      </c>
      <c r="D108" s="18">
        <v>656</v>
      </c>
      <c r="E108" s="76">
        <v>0.29375000000000001</v>
      </c>
      <c r="F108" s="77">
        <v>0.30902777777777779</v>
      </c>
      <c r="G108" s="73" t="s">
        <v>462</v>
      </c>
      <c r="H108" s="18" t="s">
        <v>306</v>
      </c>
      <c r="I108" s="20">
        <v>15</v>
      </c>
      <c r="J108" s="21" t="s">
        <v>463</v>
      </c>
      <c r="K108" s="22">
        <v>208</v>
      </c>
      <c r="L108" s="23">
        <f t="shared" si="13"/>
        <v>3120</v>
      </c>
      <c r="M108" s="24" t="s">
        <v>464</v>
      </c>
      <c r="N108" s="25" t="s">
        <v>465</v>
      </c>
      <c r="O108" s="25">
        <v>17</v>
      </c>
      <c r="P108" s="25" t="s">
        <v>466</v>
      </c>
      <c r="Q108" s="25">
        <v>24</v>
      </c>
      <c r="R108" s="25" t="s">
        <v>467</v>
      </c>
      <c r="S108" s="35">
        <v>9</v>
      </c>
      <c r="T108" s="78" t="s">
        <v>468</v>
      </c>
      <c r="U108" s="74" t="s">
        <v>469</v>
      </c>
      <c r="V108" s="26">
        <v>1070</v>
      </c>
      <c r="W108" s="26" t="s">
        <v>288</v>
      </c>
      <c r="X108" s="66">
        <v>44816</v>
      </c>
      <c r="Y108" s="66">
        <v>45086</v>
      </c>
      <c r="Z108" s="66"/>
      <c r="AA108" s="66"/>
      <c r="AB108" s="26" t="s">
        <v>309</v>
      </c>
      <c r="AC108" s="26"/>
      <c r="AD108" s="28"/>
      <c r="AE108" s="28"/>
      <c r="AF108" s="28"/>
      <c r="AG108" s="28" t="s">
        <v>90</v>
      </c>
      <c r="AH108" s="28" t="s">
        <v>90</v>
      </c>
      <c r="AI108" s="28" t="s">
        <v>90</v>
      </c>
      <c r="AJ108" s="28" t="s">
        <v>90</v>
      </c>
      <c r="AK108" s="28" t="s">
        <v>90</v>
      </c>
      <c r="AL108" s="28" t="s">
        <v>90</v>
      </c>
      <c r="AM108" s="28" t="s">
        <v>90</v>
      </c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9">
        <v>38.54</v>
      </c>
      <c r="AY108" s="31"/>
      <c r="AZ108" s="30"/>
      <c r="BA108" s="29"/>
      <c r="BB108" s="29"/>
      <c r="BC108" s="30"/>
      <c r="BD108" s="31">
        <f t="shared" si="14"/>
        <v>8016.32</v>
      </c>
      <c r="BE108" s="31"/>
      <c r="BF108" s="30"/>
      <c r="BG108" s="36">
        <v>1</v>
      </c>
      <c r="BH108" s="31">
        <f>IF(AND((AX108/I108)&lt;2,BG108=1),(I108*2)-AX108,0)</f>
        <v>0</v>
      </c>
      <c r="BI108" s="31">
        <f>IF(AND((AX108/I108)&lt;3,BG108=2),(I108*3)-AX108,0)</f>
        <v>0</v>
      </c>
      <c r="BJ108" s="33">
        <f>(BH108+BI108)*K108</f>
        <v>0</v>
      </c>
      <c r="BK108" s="30"/>
      <c r="BL108" s="30"/>
      <c r="BM108" s="30"/>
      <c r="BN108" s="30"/>
      <c r="BO108" s="33">
        <f t="shared" si="15"/>
        <v>0</v>
      </c>
      <c r="BP108" s="30">
        <v>17</v>
      </c>
      <c r="BQ108" s="30">
        <v>25</v>
      </c>
      <c r="BR108" s="30"/>
      <c r="BS108" s="30"/>
      <c r="BT108" s="34">
        <f t="shared" si="16"/>
        <v>38.54</v>
      </c>
      <c r="BU108" s="34"/>
      <c r="BV108" s="34"/>
      <c r="BW108" s="34"/>
      <c r="BX108" s="34"/>
      <c r="BY108" s="30"/>
      <c r="BZ108" s="31">
        <f t="shared" si="12"/>
        <v>655.17999999999995</v>
      </c>
      <c r="CA108" s="31">
        <f t="shared" si="17"/>
        <v>963.5</v>
      </c>
    </row>
    <row r="109" spans="1:79" ht="63.75" x14ac:dyDescent="0.25">
      <c r="A109" s="17"/>
      <c r="B109" s="2">
        <v>105</v>
      </c>
      <c r="C109" s="18">
        <v>101</v>
      </c>
      <c r="D109" s="18">
        <v>661</v>
      </c>
      <c r="E109" s="19">
        <v>0.57638888888888895</v>
      </c>
      <c r="F109" s="19">
        <v>0.58680555555555558</v>
      </c>
      <c r="G109" s="18" t="s">
        <v>470</v>
      </c>
      <c r="H109" s="18" t="s">
        <v>306</v>
      </c>
      <c r="I109" s="20">
        <v>15</v>
      </c>
      <c r="J109" s="21" t="s">
        <v>380</v>
      </c>
      <c r="K109" s="22">
        <v>208</v>
      </c>
      <c r="L109" s="23">
        <f t="shared" si="13"/>
        <v>3120</v>
      </c>
      <c r="M109" s="24" t="s">
        <v>471</v>
      </c>
      <c r="N109" s="25" t="s">
        <v>472</v>
      </c>
      <c r="O109" s="25">
        <v>9</v>
      </c>
      <c r="P109" s="25" t="s">
        <v>473</v>
      </c>
      <c r="Q109" s="25">
        <v>17</v>
      </c>
      <c r="R109" s="17"/>
      <c r="S109" s="25"/>
      <c r="T109" s="26">
        <v>1070</v>
      </c>
      <c r="U109" s="26" t="s">
        <v>288</v>
      </c>
      <c r="V109" s="26" t="s">
        <v>474</v>
      </c>
      <c r="W109" s="26" t="s">
        <v>475</v>
      </c>
      <c r="X109" s="66">
        <v>44816</v>
      </c>
      <c r="Y109" s="66">
        <v>45086</v>
      </c>
      <c r="Z109" s="66"/>
      <c r="AA109" s="66"/>
      <c r="AB109" s="26" t="s">
        <v>309</v>
      </c>
      <c r="AC109" s="26"/>
      <c r="AD109" s="28"/>
      <c r="AE109" s="28"/>
      <c r="AF109" s="28"/>
      <c r="AG109" s="28" t="s">
        <v>90</v>
      </c>
      <c r="AH109" s="28" t="s">
        <v>90</v>
      </c>
      <c r="AI109" s="28" t="s">
        <v>90</v>
      </c>
      <c r="AJ109" s="28" t="s">
        <v>90</v>
      </c>
      <c r="AK109" s="28" t="s">
        <v>90</v>
      </c>
      <c r="AL109" s="28" t="s">
        <v>90</v>
      </c>
      <c r="AM109" s="28" t="s">
        <v>90</v>
      </c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9">
        <v>27</v>
      </c>
      <c r="AY109" s="31"/>
      <c r="AZ109" s="30"/>
      <c r="BA109" s="29"/>
      <c r="BB109" s="29"/>
      <c r="BC109" s="30"/>
      <c r="BD109" s="31">
        <f t="shared" si="14"/>
        <v>5616</v>
      </c>
      <c r="BE109" s="31"/>
      <c r="BF109" s="30"/>
      <c r="BG109" s="36">
        <v>1</v>
      </c>
      <c r="BH109" s="31">
        <f>IF(AND((AX109/I109)&lt;2,BG109=1),(I109*2)-AX109,0)</f>
        <v>3</v>
      </c>
      <c r="BI109" s="31">
        <f>IF(AND((AX109/I109)&lt;3,BG109=2),(I109*3)-AX109,0)</f>
        <v>0</v>
      </c>
      <c r="BJ109" s="31">
        <f>(BH109+BI109)*K109</f>
        <v>624</v>
      </c>
      <c r="BK109" s="30"/>
      <c r="BL109" s="30"/>
      <c r="BM109" s="30"/>
      <c r="BN109" s="30"/>
      <c r="BO109" s="33">
        <f t="shared" si="15"/>
        <v>0</v>
      </c>
      <c r="BP109" s="30">
        <v>17</v>
      </c>
      <c r="BQ109" s="30">
        <v>25</v>
      </c>
      <c r="BR109" s="30"/>
      <c r="BS109" s="30"/>
      <c r="BT109" s="34">
        <f t="shared" si="16"/>
        <v>30</v>
      </c>
      <c r="BU109" s="34"/>
      <c r="BV109" s="34"/>
      <c r="BW109" s="34"/>
      <c r="BX109" s="34"/>
      <c r="BY109" s="30"/>
      <c r="BZ109" s="31">
        <f t="shared" si="12"/>
        <v>510</v>
      </c>
      <c r="CA109" s="31">
        <f t="shared" si="17"/>
        <v>750</v>
      </c>
    </row>
    <row r="110" spans="1:79" ht="63.75" x14ac:dyDescent="0.25">
      <c r="A110" s="17"/>
      <c r="B110" s="2">
        <v>106</v>
      </c>
      <c r="C110" s="18">
        <v>101</v>
      </c>
      <c r="D110" s="18">
        <v>662</v>
      </c>
      <c r="E110" s="19">
        <v>0.59027777777777779</v>
      </c>
      <c r="F110" s="19">
        <v>0.60069444444444442</v>
      </c>
      <c r="G110" s="18" t="s">
        <v>476</v>
      </c>
      <c r="H110" s="18" t="s">
        <v>306</v>
      </c>
      <c r="I110" s="20">
        <v>15</v>
      </c>
      <c r="J110" s="21" t="s">
        <v>380</v>
      </c>
      <c r="K110" s="22">
        <v>208</v>
      </c>
      <c r="L110" s="23">
        <f t="shared" si="13"/>
        <v>3120</v>
      </c>
      <c r="M110" s="24" t="s">
        <v>471</v>
      </c>
      <c r="N110" s="25" t="s">
        <v>472</v>
      </c>
      <c r="O110" s="25">
        <v>9</v>
      </c>
      <c r="P110" s="25" t="s">
        <v>473</v>
      </c>
      <c r="Q110" s="25">
        <v>17</v>
      </c>
      <c r="R110" s="17"/>
      <c r="S110" s="25"/>
      <c r="T110" s="26" t="s">
        <v>474</v>
      </c>
      <c r="U110" s="26" t="s">
        <v>475</v>
      </c>
      <c r="V110" s="26">
        <v>1070</v>
      </c>
      <c r="W110" s="26" t="s">
        <v>288</v>
      </c>
      <c r="X110" s="66">
        <v>44816</v>
      </c>
      <c r="Y110" s="66">
        <v>45086</v>
      </c>
      <c r="Z110" s="66"/>
      <c r="AA110" s="66"/>
      <c r="AB110" s="26" t="s">
        <v>309</v>
      </c>
      <c r="AC110" s="26"/>
      <c r="AD110" s="28"/>
      <c r="AE110" s="28"/>
      <c r="AF110" s="28"/>
      <c r="AG110" s="28" t="s">
        <v>90</v>
      </c>
      <c r="AH110" s="28" t="s">
        <v>90</v>
      </c>
      <c r="AI110" s="28" t="s">
        <v>90</v>
      </c>
      <c r="AJ110" s="28" t="s">
        <v>90</v>
      </c>
      <c r="AK110" s="28" t="s">
        <v>90</v>
      </c>
      <c r="AL110" s="28" t="s">
        <v>90</v>
      </c>
      <c r="AM110" s="28" t="s">
        <v>90</v>
      </c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9">
        <v>27</v>
      </c>
      <c r="AY110" s="31"/>
      <c r="AZ110" s="30"/>
      <c r="BA110" s="29"/>
      <c r="BB110" s="29"/>
      <c r="BC110" s="30"/>
      <c r="BD110" s="31">
        <f t="shared" si="14"/>
        <v>5616</v>
      </c>
      <c r="BE110" s="31"/>
      <c r="BF110" s="30"/>
      <c r="BG110" s="36">
        <v>1</v>
      </c>
      <c r="BH110" s="31">
        <f>IF(AND((AX110/I110)&lt;2,BG110=1),(I110*2)-AX110,0)</f>
        <v>3</v>
      </c>
      <c r="BI110" s="31">
        <f>IF(AND((AX110/I110)&lt;3,BG110=2),(I110*3)-AX110,0)</f>
        <v>0</v>
      </c>
      <c r="BJ110" s="31">
        <f>(BH110+BI110)*K110</f>
        <v>624</v>
      </c>
      <c r="BK110" s="30"/>
      <c r="BL110" s="30"/>
      <c r="BM110" s="30"/>
      <c r="BN110" s="30"/>
      <c r="BO110" s="33">
        <f t="shared" si="15"/>
        <v>0</v>
      </c>
      <c r="BP110" s="30">
        <v>17</v>
      </c>
      <c r="BQ110" s="30">
        <v>25</v>
      </c>
      <c r="BR110" s="30"/>
      <c r="BS110" s="30"/>
      <c r="BT110" s="34">
        <f t="shared" si="16"/>
        <v>30</v>
      </c>
      <c r="BU110" s="34"/>
      <c r="BV110" s="34"/>
      <c r="BW110" s="34"/>
      <c r="BX110" s="34"/>
      <c r="BY110" s="30"/>
      <c r="BZ110" s="31">
        <f t="shared" si="12"/>
        <v>510</v>
      </c>
      <c r="CA110" s="31">
        <f t="shared" si="17"/>
        <v>750</v>
      </c>
    </row>
    <row r="111" spans="1:79" ht="51" x14ac:dyDescent="0.25">
      <c r="A111" s="17"/>
      <c r="B111" s="2">
        <v>107</v>
      </c>
      <c r="C111" s="18">
        <v>102</v>
      </c>
      <c r="D111" s="18">
        <v>664</v>
      </c>
      <c r="E111" s="19">
        <v>0.25694444444444448</v>
      </c>
      <c r="F111" s="19">
        <v>0.2638888888888889</v>
      </c>
      <c r="G111" s="18" t="s">
        <v>477</v>
      </c>
      <c r="H111" s="18" t="s">
        <v>306</v>
      </c>
      <c r="I111" s="20">
        <v>5.3</v>
      </c>
      <c r="J111" s="21" t="s">
        <v>380</v>
      </c>
      <c r="K111" s="22">
        <v>208</v>
      </c>
      <c r="L111" s="23">
        <f t="shared" si="13"/>
        <v>1102.3999999999999</v>
      </c>
      <c r="M111" s="24" t="s">
        <v>478</v>
      </c>
      <c r="N111" s="25" t="s">
        <v>479</v>
      </c>
      <c r="O111" s="25">
        <v>17</v>
      </c>
      <c r="P111" s="25" t="s">
        <v>480</v>
      </c>
      <c r="Q111" s="25">
        <v>9</v>
      </c>
      <c r="R111" s="17"/>
      <c r="S111" s="25"/>
      <c r="T111" s="26" t="s">
        <v>481</v>
      </c>
      <c r="U111" s="26" t="s">
        <v>482</v>
      </c>
      <c r="V111" s="26" t="s">
        <v>483</v>
      </c>
      <c r="W111" s="26" t="s">
        <v>484</v>
      </c>
      <c r="X111" s="66">
        <v>44816</v>
      </c>
      <c r="Y111" s="66">
        <v>45086</v>
      </c>
      <c r="Z111" s="66"/>
      <c r="AA111" s="66"/>
      <c r="AB111" s="26" t="s">
        <v>309</v>
      </c>
      <c r="AC111" s="26"/>
      <c r="AD111" s="28"/>
      <c r="AE111" s="28"/>
      <c r="AF111" s="28"/>
      <c r="AG111" s="28" t="s">
        <v>90</v>
      </c>
      <c r="AH111" s="28" t="s">
        <v>90</v>
      </c>
      <c r="AI111" s="28" t="s">
        <v>90</v>
      </c>
      <c r="AJ111" s="28" t="s">
        <v>90</v>
      </c>
      <c r="AK111" s="28" t="s">
        <v>90</v>
      </c>
      <c r="AL111" s="28" t="s">
        <v>90</v>
      </c>
      <c r="AM111" s="28" t="s">
        <v>90</v>
      </c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9">
        <v>20.27</v>
      </c>
      <c r="AY111" s="31"/>
      <c r="AZ111" s="30"/>
      <c r="BA111" s="29"/>
      <c r="BB111" s="29"/>
      <c r="BC111" s="30"/>
      <c r="BD111" s="31">
        <f t="shared" si="14"/>
        <v>4216.16</v>
      </c>
      <c r="BE111" s="31"/>
      <c r="BF111" s="30"/>
      <c r="BG111" s="36">
        <v>1</v>
      </c>
      <c r="BH111" s="31">
        <f>IF(AND((AX111/I111)&lt;2,BG111=1),(I111*2)-AX111,0)</f>
        <v>0</v>
      </c>
      <c r="BI111" s="31">
        <f>IF(AND((AX111/I111)&lt;3,BG111=2),(I111*3)-AX111,0)</f>
        <v>0</v>
      </c>
      <c r="BJ111" s="33">
        <f>(BH111+BI111)*K111</f>
        <v>0</v>
      </c>
      <c r="BK111" s="30"/>
      <c r="BL111" s="30"/>
      <c r="BM111" s="30"/>
      <c r="BN111" s="31">
        <f>IF((AX111+AY111+AZ111)&lt;20,(20-(AX111+AY111+AZ111)),0)</f>
        <v>0</v>
      </c>
      <c r="BO111" s="33">
        <f t="shared" si="15"/>
        <v>0</v>
      </c>
      <c r="BP111" s="30">
        <v>17</v>
      </c>
      <c r="BQ111" s="30">
        <v>25</v>
      </c>
      <c r="BR111" s="30"/>
      <c r="BS111" s="30"/>
      <c r="BT111" s="34">
        <f t="shared" si="16"/>
        <v>20.27</v>
      </c>
      <c r="BU111" s="34"/>
      <c r="BV111" s="34"/>
      <c r="BW111" s="34"/>
      <c r="BX111" s="34"/>
      <c r="BY111" s="30"/>
      <c r="BZ111" s="31">
        <f t="shared" si="12"/>
        <v>344.59</v>
      </c>
      <c r="CA111" s="31">
        <f t="shared" si="17"/>
        <v>506.75</v>
      </c>
    </row>
    <row r="112" spans="1:79" ht="76.5" x14ac:dyDescent="0.25">
      <c r="A112" s="67"/>
      <c r="B112" s="2">
        <v>108</v>
      </c>
      <c r="C112" s="18">
        <v>102</v>
      </c>
      <c r="D112" s="79">
        <v>131</v>
      </c>
      <c r="E112" s="59">
        <v>0.2638888888888889</v>
      </c>
      <c r="F112" s="59">
        <v>0.27083333333333331</v>
      </c>
      <c r="G112" s="18" t="s">
        <v>485</v>
      </c>
      <c r="H112" s="18" t="s">
        <v>306</v>
      </c>
      <c r="I112" s="20">
        <v>5</v>
      </c>
      <c r="J112" s="21" t="s">
        <v>380</v>
      </c>
      <c r="K112" s="22">
        <v>208</v>
      </c>
      <c r="L112" s="23">
        <f t="shared" si="13"/>
        <v>1040</v>
      </c>
      <c r="M112" s="24" t="s">
        <v>486</v>
      </c>
      <c r="N112" s="25" t="s">
        <v>487</v>
      </c>
      <c r="O112" s="25">
        <v>9</v>
      </c>
      <c r="P112" s="25" t="s">
        <v>488</v>
      </c>
      <c r="Q112" s="25">
        <v>9</v>
      </c>
      <c r="R112" s="17"/>
      <c r="S112" s="25"/>
      <c r="T112" s="26" t="s">
        <v>489</v>
      </c>
      <c r="U112" s="26" t="s">
        <v>490</v>
      </c>
      <c r="V112" s="26" t="s">
        <v>491</v>
      </c>
      <c r="W112" s="26" t="s">
        <v>492</v>
      </c>
      <c r="X112" s="66">
        <v>44816</v>
      </c>
      <c r="Y112" s="66">
        <v>45086</v>
      </c>
      <c r="Z112" s="66"/>
      <c r="AA112" s="66"/>
      <c r="AB112" s="26" t="s">
        <v>309</v>
      </c>
      <c r="AC112" s="26"/>
      <c r="AD112" s="28"/>
      <c r="AE112" s="28"/>
      <c r="AF112" s="28"/>
      <c r="AG112" s="28" t="s">
        <v>90</v>
      </c>
      <c r="AH112" s="28" t="s">
        <v>90</v>
      </c>
      <c r="AI112" s="28" t="s">
        <v>90</v>
      </c>
      <c r="AJ112" s="28" t="s">
        <v>90</v>
      </c>
      <c r="AK112" s="28" t="s">
        <v>90</v>
      </c>
      <c r="AL112" s="28" t="s">
        <v>90</v>
      </c>
      <c r="AM112" s="28" t="s">
        <v>90</v>
      </c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9">
        <v>12</v>
      </c>
      <c r="AY112" s="30"/>
      <c r="AZ112" s="30"/>
      <c r="BA112" s="29"/>
      <c r="BB112" s="29"/>
      <c r="BC112" s="30"/>
      <c r="BD112" s="31">
        <f t="shared" si="14"/>
        <v>2496</v>
      </c>
      <c r="BE112" s="31"/>
      <c r="BF112" s="30"/>
      <c r="BG112" s="36">
        <v>1</v>
      </c>
      <c r="BH112" s="31">
        <f>IF(AND((AX112/I112)&lt;2,BG112=1),(I112*2)-AX112,0)</f>
        <v>0</v>
      </c>
      <c r="BI112" s="31">
        <f>IF(AND((AX112/I112)&lt;3,BG112=2),(I112*3)-AX112,0)</f>
        <v>0</v>
      </c>
      <c r="BJ112" s="33">
        <f>(BH112+BI112)*K112</f>
        <v>0</v>
      </c>
      <c r="BK112" s="30"/>
      <c r="BL112" s="30"/>
      <c r="BM112" s="30"/>
      <c r="BN112" s="31">
        <f>IF((AX112+AY112+AZ112)&lt;20,(20-(AX112+AY112+AZ112)),0)</f>
        <v>8</v>
      </c>
      <c r="BO112" s="33">
        <f t="shared" si="15"/>
        <v>1664</v>
      </c>
      <c r="BP112" s="30">
        <v>17</v>
      </c>
      <c r="BQ112" s="30">
        <v>25</v>
      </c>
      <c r="BR112" s="30"/>
      <c r="BS112" s="30"/>
      <c r="BT112" s="34">
        <f t="shared" si="16"/>
        <v>20</v>
      </c>
      <c r="BU112" s="34"/>
      <c r="BV112" s="34"/>
      <c r="BW112" s="34"/>
      <c r="BX112" s="34"/>
      <c r="BY112" s="30"/>
      <c r="BZ112" s="31">
        <f t="shared" si="12"/>
        <v>340</v>
      </c>
      <c r="CA112" s="31">
        <f t="shared" si="17"/>
        <v>500</v>
      </c>
    </row>
    <row r="113" spans="1:79" ht="67.5" x14ac:dyDescent="0.25">
      <c r="A113" s="17"/>
      <c r="B113" s="2">
        <v>109</v>
      </c>
      <c r="C113" s="58">
        <v>102</v>
      </c>
      <c r="D113" s="21">
        <v>639</v>
      </c>
      <c r="E113" s="59">
        <v>0.27083333333333331</v>
      </c>
      <c r="F113" s="59">
        <v>0.29375000000000001</v>
      </c>
      <c r="G113" s="18" t="s">
        <v>493</v>
      </c>
      <c r="H113" s="18" t="s">
        <v>273</v>
      </c>
      <c r="I113" s="20">
        <v>22</v>
      </c>
      <c r="J113" s="21" t="s">
        <v>494</v>
      </c>
      <c r="K113" s="22">
        <v>174</v>
      </c>
      <c r="L113" s="23">
        <f t="shared" si="13"/>
        <v>3828</v>
      </c>
      <c r="M113" s="24" t="s">
        <v>486</v>
      </c>
      <c r="N113" s="25" t="s">
        <v>495</v>
      </c>
      <c r="O113" s="45">
        <v>46</v>
      </c>
      <c r="P113" s="25" t="s">
        <v>496</v>
      </c>
      <c r="Q113" s="45">
        <v>45</v>
      </c>
      <c r="R113" s="17"/>
      <c r="S113" s="45"/>
      <c r="T113" s="26" t="s">
        <v>491</v>
      </c>
      <c r="U113" s="26" t="s">
        <v>497</v>
      </c>
      <c r="V113" s="26">
        <v>1084</v>
      </c>
      <c r="W113" s="26" t="s">
        <v>498</v>
      </c>
      <c r="X113" s="66">
        <v>44816</v>
      </c>
      <c r="Y113" s="66">
        <v>45086</v>
      </c>
      <c r="Z113" s="66"/>
      <c r="AA113" s="66"/>
      <c r="AB113" s="26" t="s">
        <v>282</v>
      </c>
      <c r="AC113" s="26"/>
      <c r="AD113" s="28"/>
      <c r="AE113" s="28"/>
      <c r="AF113" s="28"/>
      <c r="AG113" s="28" t="s">
        <v>90</v>
      </c>
      <c r="AH113" s="28" t="s">
        <v>90</v>
      </c>
      <c r="AI113" s="28" t="s">
        <v>90</v>
      </c>
      <c r="AJ113" s="28" t="s">
        <v>90</v>
      </c>
      <c r="AK113" s="28" t="s">
        <v>90</v>
      </c>
      <c r="AL113" s="28" t="s">
        <v>90</v>
      </c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53">
        <v>40.21</v>
      </c>
      <c r="AY113" s="30"/>
      <c r="AZ113" s="30"/>
      <c r="BA113" s="29"/>
      <c r="BB113" s="29"/>
      <c r="BC113" s="30"/>
      <c r="BD113" s="31">
        <f t="shared" si="14"/>
        <v>6996.54</v>
      </c>
      <c r="BE113" s="31"/>
      <c r="BF113" s="30"/>
      <c r="BG113" s="32">
        <v>2</v>
      </c>
      <c r="BH113" s="53"/>
      <c r="BI113" s="53"/>
      <c r="BJ113" s="54"/>
      <c r="BK113" s="30"/>
      <c r="BL113" s="30"/>
      <c r="BM113" s="30"/>
      <c r="BN113" s="31">
        <f>IF((AX113+AY113+AZ113)&lt;20,(20-(AX113+AY113+AZ113)),0)</f>
        <v>0</v>
      </c>
      <c r="BO113" s="33">
        <f t="shared" si="15"/>
        <v>0</v>
      </c>
      <c r="BP113" s="30">
        <v>15</v>
      </c>
      <c r="BQ113" s="30">
        <v>20</v>
      </c>
      <c r="BR113" s="30"/>
      <c r="BS113" s="30"/>
      <c r="BT113" s="34">
        <f t="shared" si="16"/>
        <v>40.21</v>
      </c>
      <c r="BU113" s="34"/>
      <c r="BV113" s="34"/>
      <c r="BW113" s="34"/>
      <c r="BX113" s="34"/>
      <c r="BY113" s="30"/>
      <c r="BZ113" s="31">
        <f t="shared" si="12"/>
        <v>603.15</v>
      </c>
      <c r="CA113" s="31">
        <f t="shared" si="17"/>
        <v>804.2</v>
      </c>
    </row>
    <row r="114" spans="1:79" ht="67.5" x14ac:dyDescent="0.25">
      <c r="A114" s="17"/>
      <c r="B114" s="2">
        <v>110</v>
      </c>
      <c r="C114" s="18">
        <v>102</v>
      </c>
      <c r="D114" s="21">
        <v>131</v>
      </c>
      <c r="E114" s="19">
        <v>0.27986111111111112</v>
      </c>
      <c r="F114" s="19">
        <v>0.30624999999999997</v>
      </c>
      <c r="G114" s="18" t="s">
        <v>499</v>
      </c>
      <c r="H114" s="18" t="s">
        <v>273</v>
      </c>
      <c r="I114" s="20">
        <v>24</v>
      </c>
      <c r="J114" s="21" t="s">
        <v>500</v>
      </c>
      <c r="K114" s="22">
        <v>174</v>
      </c>
      <c r="L114" s="23">
        <f t="shared" si="13"/>
        <v>4176</v>
      </c>
      <c r="M114" s="24" t="s">
        <v>486</v>
      </c>
      <c r="N114" s="25" t="s">
        <v>501</v>
      </c>
      <c r="O114" s="25">
        <v>47</v>
      </c>
      <c r="P114" s="25" t="s">
        <v>296</v>
      </c>
      <c r="Q114" s="25">
        <v>45</v>
      </c>
      <c r="R114" s="17"/>
      <c r="S114" s="25"/>
      <c r="T114" s="26" t="s">
        <v>491</v>
      </c>
      <c r="U114" s="26" t="s">
        <v>497</v>
      </c>
      <c r="V114" s="26">
        <v>1</v>
      </c>
      <c r="W114" s="26" t="s">
        <v>300</v>
      </c>
      <c r="X114" s="66">
        <v>44816</v>
      </c>
      <c r="Y114" s="66">
        <v>45086</v>
      </c>
      <c r="Z114" s="66"/>
      <c r="AA114" s="66"/>
      <c r="AB114" s="26" t="s">
        <v>282</v>
      </c>
      <c r="AC114" s="26"/>
      <c r="AD114" s="28"/>
      <c r="AE114" s="28"/>
      <c r="AF114" s="28"/>
      <c r="AG114" s="28" t="s">
        <v>90</v>
      </c>
      <c r="AH114" s="28" t="s">
        <v>90</v>
      </c>
      <c r="AI114" s="28" t="s">
        <v>90</v>
      </c>
      <c r="AJ114" s="28" t="s">
        <v>90</v>
      </c>
      <c r="AK114" s="28" t="s">
        <v>90</v>
      </c>
      <c r="AL114" s="28" t="s">
        <v>90</v>
      </c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9">
        <v>161.41999999999999</v>
      </c>
      <c r="AY114" s="30"/>
      <c r="AZ114" s="30"/>
      <c r="BA114" s="29"/>
      <c r="BB114" s="29"/>
      <c r="BC114" s="30"/>
      <c r="BD114" s="31">
        <f t="shared" si="14"/>
        <v>28087.079999999998</v>
      </c>
      <c r="BE114" s="31"/>
      <c r="BF114" s="30"/>
      <c r="BG114" s="32">
        <v>2</v>
      </c>
      <c r="BH114" s="31">
        <f>IF(AND((AX114/I114)&lt;2,BG114=1),(I114*2)-AX114,0)</f>
        <v>0</v>
      </c>
      <c r="BI114" s="31">
        <f>IF(AND((AX114/I114)&lt;3,BG114=2),(I114*3)-AX114,0)</f>
        <v>0</v>
      </c>
      <c r="BJ114" s="33">
        <f>(BH114+BI114)*K114</f>
        <v>0</v>
      </c>
      <c r="BK114" s="30"/>
      <c r="BL114" s="30"/>
      <c r="BM114" s="30"/>
      <c r="BN114" s="31">
        <f>IF((AX114+AY114+AZ114)&lt;20,(20-(AX114+AY114+AZ114)),0)</f>
        <v>0</v>
      </c>
      <c r="BO114" s="33">
        <f t="shared" si="15"/>
        <v>0</v>
      </c>
      <c r="BP114" s="30">
        <v>15</v>
      </c>
      <c r="BQ114" s="30">
        <v>20</v>
      </c>
      <c r="BR114" s="30"/>
      <c r="BS114" s="30"/>
      <c r="BT114" s="34">
        <f t="shared" si="16"/>
        <v>161.41999999999999</v>
      </c>
      <c r="BU114" s="34"/>
      <c r="BV114" s="34"/>
      <c r="BW114" s="34"/>
      <c r="BX114" s="34"/>
      <c r="BY114" s="30"/>
      <c r="BZ114" s="31">
        <f t="shared" si="12"/>
        <v>2421.2999999999997</v>
      </c>
      <c r="CA114" s="31">
        <f t="shared" si="17"/>
        <v>3228.3999999999996</v>
      </c>
    </row>
    <row r="115" spans="1:79" ht="51" x14ac:dyDescent="0.25">
      <c r="A115" s="17"/>
      <c r="B115" s="2">
        <v>111</v>
      </c>
      <c r="C115" s="18">
        <v>102</v>
      </c>
      <c r="D115" s="18">
        <v>131</v>
      </c>
      <c r="E115" s="19">
        <v>0.28541666666666665</v>
      </c>
      <c r="F115" s="19">
        <v>0.3125</v>
      </c>
      <c r="G115" s="80" t="s">
        <v>502</v>
      </c>
      <c r="H115" s="18" t="s">
        <v>273</v>
      </c>
      <c r="I115" s="20">
        <v>21</v>
      </c>
      <c r="J115" s="21" t="s">
        <v>274</v>
      </c>
      <c r="K115" s="22">
        <v>174</v>
      </c>
      <c r="L115" s="23">
        <f t="shared" si="13"/>
        <v>3654</v>
      </c>
      <c r="M115" s="24" t="s">
        <v>176</v>
      </c>
      <c r="N115" s="25" t="s">
        <v>275</v>
      </c>
      <c r="O115" s="25">
        <v>57</v>
      </c>
      <c r="P115" s="25" t="s">
        <v>503</v>
      </c>
      <c r="Q115" s="25">
        <v>57</v>
      </c>
      <c r="R115" s="17"/>
      <c r="S115" s="25"/>
      <c r="T115" s="26" t="s">
        <v>504</v>
      </c>
      <c r="U115" s="26" t="s">
        <v>505</v>
      </c>
      <c r="V115" s="26">
        <v>1</v>
      </c>
      <c r="W115" s="26" t="s">
        <v>300</v>
      </c>
      <c r="X115" s="66">
        <v>44816</v>
      </c>
      <c r="Y115" s="66">
        <v>45086</v>
      </c>
      <c r="Z115" s="66"/>
      <c r="AA115" s="66"/>
      <c r="AB115" s="26" t="s">
        <v>282</v>
      </c>
      <c r="AC115" s="26"/>
      <c r="AD115" s="28"/>
      <c r="AE115" s="28"/>
      <c r="AF115" s="28"/>
      <c r="AG115" s="28" t="s">
        <v>90</v>
      </c>
      <c r="AH115" s="28" t="s">
        <v>90</v>
      </c>
      <c r="AI115" s="28" t="s">
        <v>90</v>
      </c>
      <c r="AJ115" s="28" t="s">
        <v>90</v>
      </c>
      <c r="AK115" s="28" t="s">
        <v>90</v>
      </c>
      <c r="AL115" s="28" t="s">
        <v>90</v>
      </c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9">
        <v>153.79</v>
      </c>
      <c r="AY115" s="30"/>
      <c r="AZ115" s="30"/>
      <c r="BA115" s="29"/>
      <c r="BB115" s="29"/>
      <c r="BC115" s="30"/>
      <c r="BD115" s="31">
        <f t="shared" si="14"/>
        <v>26759.46</v>
      </c>
      <c r="BE115" s="31"/>
      <c r="BF115" s="30"/>
      <c r="BG115" s="32">
        <v>2</v>
      </c>
      <c r="BH115" s="31">
        <f>IF(AND((AX115/I115)&lt;2,BG115=1),(I115*2)-AX115,0)</f>
        <v>0</v>
      </c>
      <c r="BI115" s="31">
        <f>IF(AND((AX115/I115)&lt;3,BG115=2),(I115*3)-AX115,0)</f>
        <v>0</v>
      </c>
      <c r="BJ115" s="33">
        <f>(BH115+BI115)*K115</f>
        <v>0</v>
      </c>
      <c r="BK115" s="30"/>
      <c r="BL115" s="30"/>
      <c r="BM115" s="30"/>
      <c r="BN115" s="31">
        <f>IF((AX115+AY115+AZ115)&lt;20,(20-(AX115+AY115+AZ115)),0)</f>
        <v>0</v>
      </c>
      <c r="BO115" s="33">
        <f t="shared" si="15"/>
        <v>0</v>
      </c>
      <c r="BP115" s="30">
        <v>15</v>
      </c>
      <c r="BQ115" s="30">
        <v>20</v>
      </c>
      <c r="BR115" s="30"/>
      <c r="BS115" s="30"/>
      <c r="BT115" s="34">
        <f t="shared" si="16"/>
        <v>153.79</v>
      </c>
      <c r="BU115" s="34"/>
      <c r="BV115" s="34"/>
      <c r="BW115" s="34"/>
      <c r="BX115" s="34"/>
      <c r="BY115" s="30"/>
      <c r="BZ115" s="31">
        <f t="shared" si="12"/>
        <v>2306.85</v>
      </c>
      <c r="CA115" s="31">
        <f t="shared" si="17"/>
        <v>3075.7999999999997</v>
      </c>
    </row>
    <row r="116" spans="1:79" ht="76.5" x14ac:dyDescent="0.25">
      <c r="A116" s="17"/>
      <c r="B116" s="2">
        <v>112</v>
      </c>
      <c r="C116" s="58">
        <v>102</v>
      </c>
      <c r="D116" s="21">
        <v>640</v>
      </c>
      <c r="E116" s="19">
        <v>0.3125</v>
      </c>
      <c r="F116" s="19">
        <v>0.34375</v>
      </c>
      <c r="G116" s="18" t="s">
        <v>506</v>
      </c>
      <c r="H116" s="18" t="s">
        <v>306</v>
      </c>
      <c r="I116" s="20">
        <v>26</v>
      </c>
      <c r="J116" s="21" t="s">
        <v>494</v>
      </c>
      <c r="K116" s="22">
        <v>208</v>
      </c>
      <c r="L116" s="23">
        <f t="shared" si="13"/>
        <v>5408</v>
      </c>
      <c r="M116" s="24" t="s">
        <v>486</v>
      </c>
      <c r="N116" s="25" t="s">
        <v>495</v>
      </c>
      <c r="O116" s="45">
        <v>46</v>
      </c>
      <c r="P116" s="25" t="s">
        <v>496</v>
      </c>
      <c r="Q116" s="45">
        <v>45</v>
      </c>
      <c r="R116" s="17"/>
      <c r="S116" s="45"/>
      <c r="T116" s="26">
        <v>1080</v>
      </c>
      <c r="U116" s="26" t="s">
        <v>507</v>
      </c>
      <c r="V116" s="26">
        <v>954</v>
      </c>
      <c r="W116" s="26" t="s">
        <v>508</v>
      </c>
      <c r="X116" s="66">
        <v>44816</v>
      </c>
      <c r="Y116" s="66">
        <v>45086</v>
      </c>
      <c r="Z116" s="66"/>
      <c r="AA116" s="66"/>
      <c r="AB116" s="26" t="s">
        <v>309</v>
      </c>
      <c r="AC116" s="26"/>
      <c r="AD116" s="28"/>
      <c r="AE116" s="28"/>
      <c r="AF116" s="28"/>
      <c r="AG116" s="28" t="s">
        <v>90</v>
      </c>
      <c r="AH116" s="28" t="s">
        <v>90</v>
      </c>
      <c r="AI116" s="28" t="s">
        <v>90</v>
      </c>
      <c r="AJ116" s="28" t="s">
        <v>90</v>
      </c>
      <c r="AK116" s="28" t="s">
        <v>90</v>
      </c>
      <c r="AL116" s="28" t="s">
        <v>90</v>
      </c>
      <c r="AM116" s="28" t="s">
        <v>90</v>
      </c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53">
        <v>173.7</v>
      </c>
      <c r="AY116" s="30"/>
      <c r="AZ116" s="30"/>
      <c r="BA116" s="29"/>
      <c r="BB116" s="29"/>
      <c r="BC116" s="30"/>
      <c r="BD116" s="31">
        <f t="shared" si="14"/>
        <v>36129.599999999999</v>
      </c>
      <c r="BE116" s="31"/>
      <c r="BF116" s="30"/>
      <c r="BG116" s="32">
        <v>2</v>
      </c>
      <c r="BH116" s="53"/>
      <c r="BI116" s="53"/>
      <c r="BJ116" s="54"/>
      <c r="BK116" s="30"/>
      <c r="BL116" s="30"/>
      <c r="BM116" s="30"/>
      <c r="BN116" s="30"/>
      <c r="BO116" s="33">
        <f t="shared" si="15"/>
        <v>0</v>
      </c>
      <c r="BP116" s="30">
        <v>17</v>
      </c>
      <c r="BQ116" s="30">
        <v>25</v>
      </c>
      <c r="BR116" s="30"/>
      <c r="BS116" s="30"/>
      <c r="BT116" s="34">
        <f t="shared" si="16"/>
        <v>173.7</v>
      </c>
      <c r="BU116" s="34"/>
      <c r="BV116" s="34"/>
      <c r="BW116" s="34"/>
      <c r="BX116" s="34"/>
      <c r="BY116" s="30"/>
      <c r="BZ116" s="31">
        <f t="shared" si="12"/>
        <v>2952.8999999999996</v>
      </c>
      <c r="CA116" s="31">
        <f t="shared" si="17"/>
        <v>4342.5</v>
      </c>
    </row>
    <row r="117" spans="1:79" ht="67.5" x14ac:dyDescent="0.25">
      <c r="A117" s="17"/>
      <c r="B117" s="2">
        <v>113</v>
      </c>
      <c r="C117" s="18">
        <v>102</v>
      </c>
      <c r="D117" s="21">
        <v>137</v>
      </c>
      <c r="E117" s="19">
        <v>0.35833333333333334</v>
      </c>
      <c r="F117" s="19">
        <v>0.40763888888888888</v>
      </c>
      <c r="G117" s="18" t="s">
        <v>509</v>
      </c>
      <c r="H117" s="18" t="s">
        <v>510</v>
      </c>
      <c r="I117" s="20">
        <v>37</v>
      </c>
      <c r="J117" s="21" t="s">
        <v>122</v>
      </c>
      <c r="K117" s="22">
        <v>58</v>
      </c>
      <c r="L117" s="23">
        <f t="shared" si="13"/>
        <v>2146</v>
      </c>
      <c r="M117" s="24" t="s">
        <v>486</v>
      </c>
      <c r="N117" s="25" t="s">
        <v>501</v>
      </c>
      <c r="O117" s="25">
        <v>47</v>
      </c>
      <c r="P117" s="25" t="s">
        <v>511</v>
      </c>
      <c r="Q117" s="25">
        <v>24</v>
      </c>
      <c r="R117" s="17"/>
      <c r="S117" s="25"/>
      <c r="T117" s="26">
        <v>1082</v>
      </c>
      <c r="U117" s="26" t="s">
        <v>512</v>
      </c>
      <c r="V117" s="26">
        <v>1</v>
      </c>
      <c r="W117" s="26" t="s">
        <v>300</v>
      </c>
      <c r="X117" s="66">
        <v>44805</v>
      </c>
      <c r="Y117" s="66">
        <v>45169</v>
      </c>
      <c r="Z117" s="66"/>
      <c r="AA117" s="66"/>
      <c r="AB117" s="28" t="s">
        <v>408</v>
      </c>
      <c r="AC117" s="28"/>
      <c r="AD117" s="28" t="s">
        <v>90</v>
      </c>
      <c r="AE117" s="28" t="s">
        <v>90</v>
      </c>
      <c r="AF117" s="28"/>
      <c r="AG117" s="28"/>
      <c r="AH117" s="28"/>
      <c r="AI117" s="28"/>
      <c r="AJ117" s="28"/>
      <c r="AK117" s="28"/>
      <c r="AL117" s="28"/>
      <c r="AM117" s="28"/>
      <c r="AN117" s="28" t="s">
        <v>90</v>
      </c>
      <c r="AO117" s="28"/>
      <c r="AP117" s="28"/>
      <c r="AQ117" s="28"/>
      <c r="AR117" s="28"/>
      <c r="AS117" s="28"/>
      <c r="AT117" s="28"/>
      <c r="AU117" s="28"/>
      <c r="AV117" s="28"/>
      <c r="AW117" s="28"/>
      <c r="AX117" s="29">
        <f>((132.76*45)+(92.76*13))/58</f>
        <v>123.79448275862069</v>
      </c>
      <c r="AY117" s="30"/>
      <c r="AZ117" s="30"/>
      <c r="BA117" s="29"/>
      <c r="BB117" s="29"/>
      <c r="BC117" s="30"/>
      <c r="BD117" s="31">
        <f t="shared" si="14"/>
        <v>7180.08</v>
      </c>
      <c r="BE117" s="31"/>
      <c r="BF117" s="30"/>
      <c r="BG117" s="36">
        <v>1</v>
      </c>
      <c r="BH117" s="31">
        <f>IF(AND((AX117/I117)&lt;2,BG117=1),(I117*2)-AX117,0)</f>
        <v>0</v>
      </c>
      <c r="BI117" s="31">
        <f>IF(AND((AX117/I117)&lt;3,BG117=2),(I117*3)-AX117,0)</f>
        <v>0</v>
      </c>
      <c r="BJ117" s="33">
        <f>(BH117+BI117)*K117</f>
        <v>0</v>
      </c>
      <c r="BK117" s="30"/>
      <c r="BL117" s="30"/>
      <c r="BM117" s="30"/>
      <c r="BN117" s="30"/>
      <c r="BO117" s="33">
        <f t="shared" si="15"/>
        <v>0</v>
      </c>
      <c r="BP117" s="30">
        <v>4</v>
      </c>
      <c r="BQ117" s="30">
        <v>5</v>
      </c>
      <c r="BR117" s="30"/>
      <c r="BS117" s="30"/>
      <c r="BT117" s="34">
        <f t="shared" si="16"/>
        <v>123.79448275862069</v>
      </c>
      <c r="BU117" s="34"/>
      <c r="BV117" s="34"/>
      <c r="BW117" s="34"/>
      <c r="BX117" s="34"/>
      <c r="BY117" s="30"/>
      <c r="BZ117" s="31">
        <f t="shared" si="12"/>
        <v>495.17793103448275</v>
      </c>
      <c r="CA117" s="31">
        <f t="shared" si="17"/>
        <v>618.97241379310344</v>
      </c>
    </row>
    <row r="118" spans="1:79" ht="38.25" x14ac:dyDescent="0.25">
      <c r="A118" s="17"/>
      <c r="B118" s="2">
        <v>114</v>
      </c>
      <c r="C118" s="48">
        <v>102</v>
      </c>
      <c r="D118" s="48">
        <v>142</v>
      </c>
      <c r="E118" s="49">
        <v>0.51388888888888895</v>
      </c>
      <c r="F118" s="49">
        <v>0.59722222222222221</v>
      </c>
      <c r="G118" s="81" t="s">
        <v>513</v>
      </c>
      <c r="H118" s="18" t="s">
        <v>290</v>
      </c>
      <c r="I118" s="48">
        <v>62</v>
      </c>
      <c r="J118" s="52">
        <v>30</v>
      </c>
      <c r="K118" s="22">
        <v>13</v>
      </c>
      <c r="L118" s="23">
        <f t="shared" si="13"/>
        <v>806</v>
      </c>
      <c r="M118" s="24" t="s">
        <v>129</v>
      </c>
      <c r="N118" s="25" t="s">
        <v>131</v>
      </c>
      <c r="O118" s="25">
        <v>45</v>
      </c>
      <c r="P118" s="25" t="s">
        <v>286</v>
      </c>
      <c r="Q118" s="25">
        <v>48</v>
      </c>
      <c r="R118" s="25" t="s">
        <v>287</v>
      </c>
      <c r="S118" s="35">
        <v>56</v>
      </c>
      <c r="T118" s="26">
        <v>1</v>
      </c>
      <c r="U118" s="26" t="s">
        <v>179</v>
      </c>
      <c r="V118" s="26">
        <v>1070</v>
      </c>
      <c r="W118" s="26" t="s">
        <v>288</v>
      </c>
      <c r="X118" s="27">
        <v>44562</v>
      </c>
      <c r="Y118" s="27">
        <v>44815</v>
      </c>
      <c r="Z118" s="27">
        <v>45101</v>
      </c>
      <c r="AA118" s="27">
        <v>45169</v>
      </c>
      <c r="AB118" s="62" t="s">
        <v>291</v>
      </c>
      <c r="AC118" s="62"/>
      <c r="AD118" s="28"/>
      <c r="AE118" s="28" t="s">
        <v>90</v>
      </c>
      <c r="AF118" s="28"/>
      <c r="AG118" s="28"/>
      <c r="AH118" s="28"/>
      <c r="AI118" s="28"/>
      <c r="AJ118" s="28"/>
      <c r="AK118" s="28"/>
      <c r="AL118" s="28"/>
      <c r="AM118" s="28"/>
      <c r="AN118" s="28" t="s">
        <v>90</v>
      </c>
      <c r="AO118" s="28"/>
      <c r="AP118" s="28"/>
      <c r="AQ118" s="28"/>
      <c r="AR118" s="28"/>
      <c r="AS118" s="28"/>
      <c r="AT118" s="28"/>
      <c r="AU118" s="28"/>
      <c r="AV118" s="28"/>
      <c r="AW118" s="28"/>
      <c r="AX118" s="31"/>
      <c r="AY118" s="30"/>
      <c r="AZ118" s="30"/>
      <c r="BA118" s="55" t="s">
        <v>292</v>
      </c>
      <c r="BB118" s="55"/>
      <c r="BC118" s="30"/>
      <c r="BD118" s="31">
        <f t="shared" si="14"/>
        <v>0</v>
      </c>
      <c r="BE118" s="30"/>
      <c r="BF118" s="30"/>
      <c r="BG118" s="36">
        <v>1</v>
      </c>
      <c r="BH118" s="30"/>
      <c r="BI118" s="31"/>
      <c r="BJ118" s="30"/>
      <c r="BK118" s="30"/>
      <c r="BL118" s="30"/>
      <c r="BM118" s="30"/>
      <c r="BN118" s="30"/>
      <c r="BO118" s="33">
        <f t="shared" si="15"/>
        <v>0</v>
      </c>
      <c r="BP118" s="30">
        <v>2</v>
      </c>
      <c r="BQ118" s="30">
        <v>0</v>
      </c>
      <c r="BR118" s="30"/>
      <c r="BS118" s="30"/>
      <c r="BT118" s="34">
        <f t="shared" si="16"/>
        <v>0</v>
      </c>
      <c r="BU118" s="34"/>
      <c r="BV118" s="34"/>
      <c r="BW118" s="34"/>
      <c r="BX118" s="34"/>
      <c r="BY118" s="30"/>
      <c r="BZ118" s="31">
        <f t="shared" si="12"/>
        <v>0</v>
      </c>
      <c r="CA118" s="31">
        <f t="shared" si="17"/>
        <v>0</v>
      </c>
    </row>
    <row r="119" spans="1:79" ht="101.25" x14ac:dyDescent="0.25">
      <c r="A119" s="17"/>
      <c r="B119" s="2">
        <v>115</v>
      </c>
      <c r="C119" s="18">
        <v>102</v>
      </c>
      <c r="D119" s="18">
        <v>145</v>
      </c>
      <c r="E119" s="19">
        <v>0.59097222222222223</v>
      </c>
      <c r="F119" s="19">
        <v>0.60277777777777775</v>
      </c>
      <c r="G119" s="18" t="s">
        <v>514</v>
      </c>
      <c r="H119" s="18" t="s">
        <v>515</v>
      </c>
      <c r="I119" s="20">
        <v>8</v>
      </c>
      <c r="J119" s="21" t="s">
        <v>516</v>
      </c>
      <c r="K119" s="22">
        <v>70</v>
      </c>
      <c r="L119" s="23">
        <f t="shared" si="13"/>
        <v>560</v>
      </c>
      <c r="M119" s="24" t="s">
        <v>517</v>
      </c>
      <c r="N119" s="25" t="s">
        <v>518</v>
      </c>
      <c r="O119" s="25">
        <v>9</v>
      </c>
      <c r="P119" s="25" t="s">
        <v>519</v>
      </c>
      <c r="Q119" s="25">
        <v>9</v>
      </c>
      <c r="R119" s="25"/>
      <c r="S119" s="25"/>
      <c r="T119" s="26">
        <v>1084</v>
      </c>
      <c r="U119" s="26" t="s">
        <v>498</v>
      </c>
      <c r="V119" s="26">
        <v>1082</v>
      </c>
      <c r="W119" s="26" t="s">
        <v>512</v>
      </c>
      <c r="X119" s="66">
        <v>44816</v>
      </c>
      <c r="Y119" s="66">
        <v>45086</v>
      </c>
      <c r="Z119" s="66"/>
      <c r="AA119" s="66"/>
      <c r="AB119" s="26" t="s">
        <v>520</v>
      </c>
      <c r="AC119" s="26"/>
      <c r="AD119" s="28"/>
      <c r="AE119" s="28"/>
      <c r="AF119" s="28"/>
      <c r="AG119" s="28" t="s">
        <v>90</v>
      </c>
      <c r="AH119" s="28"/>
      <c r="AI119" s="28" t="s">
        <v>90</v>
      </c>
      <c r="AJ119" s="28" t="s">
        <v>90</v>
      </c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9">
        <v>24</v>
      </c>
      <c r="AY119" s="30"/>
      <c r="AZ119" s="30"/>
      <c r="BA119" s="29"/>
      <c r="BB119" s="29"/>
      <c r="BC119" s="30">
        <v>57</v>
      </c>
      <c r="BD119" s="31">
        <f t="shared" si="14"/>
        <v>1680</v>
      </c>
      <c r="BE119" s="31"/>
      <c r="BF119" s="30"/>
      <c r="BG119" s="36">
        <v>1</v>
      </c>
      <c r="BH119" s="31">
        <f>IF(AND((AX119/I119)&lt;2,BG119=1),(I119*2)-AX119,0)</f>
        <v>0</v>
      </c>
      <c r="BI119" s="31">
        <f>IF(AND((AX119/I119)&lt;3,BG119=2),(I119*3)-AX119,0)</f>
        <v>0</v>
      </c>
      <c r="BJ119" s="33">
        <f>(BH119+BI119)*K119</f>
        <v>0</v>
      </c>
      <c r="BK119" s="30"/>
      <c r="BL119" s="30"/>
      <c r="BM119" s="30"/>
      <c r="BN119" s="30"/>
      <c r="BO119" s="33">
        <f t="shared" si="15"/>
        <v>0</v>
      </c>
      <c r="BP119" s="30">
        <v>6</v>
      </c>
      <c r="BQ119" s="30">
        <v>8</v>
      </c>
      <c r="BR119" s="30"/>
      <c r="BS119" s="30"/>
      <c r="BT119" s="34">
        <f t="shared" si="16"/>
        <v>24</v>
      </c>
      <c r="BU119" s="82" t="s">
        <v>520</v>
      </c>
      <c r="BV119" s="30">
        <v>6</v>
      </c>
      <c r="BW119" s="30">
        <v>8</v>
      </c>
      <c r="BX119" s="34">
        <v>21</v>
      </c>
      <c r="BY119" s="30"/>
      <c r="BZ119" s="31">
        <f t="shared" si="12"/>
        <v>270</v>
      </c>
      <c r="CA119" s="31">
        <f t="shared" si="17"/>
        <v>360</v>
      </c>
    </row>
    <row r="120" spans="1:79" ht="51" x14ac:dyDescent="0.25">
      <c r="A120" s="17"/>
      <c r="B120" s="2">
        <v>116</v>
      </c>
      <c r="C120" s="18">
        <v>102</v>
      </c>
      <c r="D120" s="18">
        <v>665</v>
      </c>
      <c r="E120" s="19">
        <v>0.60555555555555551</v>
      </c>
      <c r="F120" s="59">
        <v>0.61875000000000002</v>
      </c>
      <c r="G120" s="18" t="s">
        <v>477</v>
      </c>
      <c r="H120" s="18" t="s">
        <v>273</v>
      </c>
      <c r="I120" s="20">
        <v>7.3</v>
      </c>
      <c r="J120" s="21" t="s">
        <v>380</v>
      </c>
      <c r="K120" s="22">
        <v>174</v>
      </c>
      <c r="L120" s="23">
        <f t="shared" si="13"/>
        <v>1270.2</v>
      </c>
      <c r="M120" s="24" t="s">
        <v>478</v>
      </c>
      <c r="N120" s="25" t="s">
        <v>479</v>
      </c>
      <c r="O120" s="25">
        <v>17</v>
      </c>
      <c r="P120" s="25" t="s">
        <v>480</v>
      </c>
      <c r="Q120" s="25">
        <v>9</v>
      </c>
      <c r="R120" s="17"/>
      <c r="S120" s="25"/>
      <c r="T120" s="26">
        <v>1081</v>
      </c>
      <c r="U120" s="26" t="s">
        <v>484</v>
      </c>
      <c r="V120" s="26" t="s">
        <v>521</v>
      </c>
      <c r="W120" s="26" t="s">
        <v>522</v>
      </c>
      <c r="X120" s="66">
        <v>44816</v>
      </c>
      <c r="Y120" s="66">
        <v>45086</v>
      </c>
      <c r="Z120" s="66"/>
      <c r="AA120" s="66"/>
      <c r="AB120" s="26" t="s">
        <v>282</v>
      </c>
      <c r="AC120" s="26"/>
      <c r="AD120" s="28"/>
      <c r="AE120" s="28"/>
      <c r="AF120" s="28"/>
      <c r="AG120" s="28" t="s">
        <v>90</v>
      </c>
      <c r="AH120" s="28" t="s">
        <v>90</v>
      </c>
      <c r="AI120" s="28" t="s">
        <v>90</v>
      </c>
      <c r="AJ120" s="28" t="s">
        <v>90</v>
      </c>
      <c r="AK120" s="28" t="s">
        <v>90</v>
      </c>
      <c r="AL120" s="28" t="s">
        <v>90</v>
      </c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9">
        <v>13.14</v>
      </c>
      <c r="AY120" s="30"/>
      <c r="AZ120" s="30"/>
      <c r="BA120" s="29"/>
      <c r="BB120" s="29"/>
      <c r="BC120" s="30"/>
      <c r="BD120" s="31">
        <f t="shared" si="14"/>
        <v>2286.36</v>
      </c>
      <c r="BE120" s="31"/>
      <c r="BF120" s="30"/>
      <c r="BG120" s="36">
        <v>1</v>
      </c>
      <c r="BH120" s="31">
        <f>IF(AND((AX120/I120)&lt;2,BG120=1),(I120*2)-AX120,0)</f>
        <v>1.4599999999999991</v>
      </c>
      <c r="BI120" s="31">
        <f>IF(AND((AX120/I120)&lt;3,BG120=2),(I120*3)-AX120,0)</f>
        <v>0</v>
      </c>
      <c r="BJ120" s="31">
        <f>(BH120+BI120)*K120</f>
        <v>254.03999999999985</v>
      </c>
      <c r="BK120" s="30"/>
      <c r="BL120" s="30"/>
      <c r="BM120" s="30"/>
      <c r="BN120" s="30"/>
      <c r="BO120" s="33">
        <f t="shared" si="15"/>
        <v>0</v>
      </c>
      <c r="BP120" s="30">
        <v>15</v>
      </c>
      <c r="BQ120" s="30">
        <v>20</v>
      </c>
      <c r="BR120" s="30"/>
      <c r="BS120" s="30"/>
      <c r="BT120" s="34">
        <f t="shared" si="16"/>
        <v>14.6</v>
      </c>
      <c r="BU120" s="34"/>
      <c r="BV120" s="34"/>
      <c r="BW120" s="34"/>
      <c r="BX120" s="34"/>
      <c r="BY120" s="30"/>
      <c r="BZ120" s="31">
        <f t="shared" ref="BZ120:BZ183" si="18">(BT120*BP120)+(BV120*BX120)</f>
        <v>219</v>
      </c>
      <c r="CA120" s="31">
        <f t="shared" si="17"/>
        <v>292</v>
      </c>
    </row>
    <row r="121" spans="1:79" ht="67.5" x14ac:dyDescent="0.25">
      <c r="A121" s="17"/>
      <c r="B121" s="2">
        <v>117</v>
      </c>
      <c r="C121" s="18">
        <v>102</v>
      </c>
      <c r="D121" s="21">
        <v>176</v>
      </c>
      <c r="E121" s="19">
        <v>0.60555555555555551</v>
      </c>
      <c r="F121" s="19">
        <v>0.61805555555555558</v>
      </c>
      <c r="G121" s="18" t="s">
        <v>523</v>
      </c>
      <c r="H121" s="18" t="s">
        <v>273</v>
      </c>
      <c r="I121" s="20">
        <v>10</v>
      </c>
      <c r="J121" s="21" t="s">
        <v>516</v>
      </c>
      <c r="K121" s="22">
        <v>174</v>
      </c>
      <c r="L121" s="23">
        <f t="shared" si="13"/>
        <v>1740</v>
      </c>
      <c r="M121" s="24" t="s">
        <v>486</v>
      </c>
      <c r="N121" s="25" t="s">
        <v>495</v>
      </c>
      <c r="O121" s="45">
        <v>46</v>
      </c>
      <c r="P121" s="25" t="s">
        <v>501</v>
      </c>
      <c r="Q121" s="45">
        <v>47</v>
      </c>
      <c r="R121" s="25" t="s">
        <v>511</v>
      </c>
      <c r="S121" s="35">
        <v>24</v>
      </c>
      <c r="T121" s="26">
        <v>1081</v>
      </c>
      <c r="U121" s="26" t="s">
        <v>484</v>
      </c>
      <c r="V121" s="26">
        <v>1084</v>
      </c>
      <c r="W121" s="26" t="s">
        <v>498</v>
      </c>
      <c r="X121" s="66">
        <v>44816</v>
      </c>
      <c r="Y121" s="66">
        <v>45086</v>
      </c>
      <c r="Z121" s="66"/>
      <c r="AA121" s="66"/>
      <c r="AB121" s="26" t="s">
        <v>282</v>
      </c>
      <c r="AC121" s="26"/>
      <c r="AD121" s="28"/>
      <c r="AE121" s="28"/>
      <c r="AF121" s="28"/>
      <c r="AG121" s="28" t="s">
        <v>90</v>
      </c>
      <c r="AH121" s="28" t="s">
        <v>90</v>
      </c>
      <c r="AI121" s="28" t="s">
        <v>90</v>
      </c>
      <c r="AJ121" s="28" t="s">
        <v>90</v>
      </c>
      <c r="AK121" s="28" t="s">
        <v>90</v>
      </c>
      <c r="AL121" s="28" t="s">
        <v>90</v>
      </c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9">
        <v>18</v>
      </c>
      <c r="AY121" s="30"/>
      <c r="AZ121" s="30"/>
      <c r="BA121" s="29"/>
      <c r="BB121" s="29"/>
      <c r="BC121" s="30"/>
      <c r="BD121" s="31">
        <f t="shared" si="14"/>
        <v>3132</v>
      </c>
      <c r="BE121" s="31"/>
      <c r="BF121" s="30"/>
      <c r="BG121" s="36">
        <v>1</v>
      </c>
      <c r="BH121" s="31">
        <f>IF(AND((AX121/I121)&lt;2,BG121=1),(I121*2)-AX121,0)</f>
        <v>2</v>
      </c>
      <c r="BI121" s="31">
        <f>IF(AND((AX121/I121)&lt;3,BG121=2),(I121*3)-AX121,0)</f>
        <v>0</v>
      </c>
      <c r="BJ121" s="31">
        <f>(BH121+BI121)*K121</f>
        <v>348</v>
      </c>
      <c r="BK121" s="30"/>
      <c r="BL121" s="30"/>
      <c r="BM121" s="30"/>
      <c r="BN121" s="30"/>
      <c r="BO121" s="33">
        <f t="shared" si="15"/>
        <v>0</v>
      </c>
      <c r="BP121" s="30">
        <v>15</v>
      </c>
      <c r="BQ121" s="30">
        <v>20</v>
      </c>
      <c r="BR121" s="30"/>
      <c r="BS121" s="30"/>
      <c r="BT121" s="34">
        <f t="shared" si="16"/>
        <v>20</v>
      </c>
      <c r="BU121" s="34"/>
      <c r="BV121" s="34"/>
      <c r="BW121" s="34"/>
      <c r="BX121" s="34"/>
      <c r="BY121" s="30"/>
      <c r="BZ121" s="31">
        <f t="shared" si="18"/>
        <v>300</v>
      </c>
      <c r="CA121" s="31">
        <f t="shared" si="17"/>
        <v>400</v>
      </c>
    </row>
    <row r="122" spans="1:79" ht="67.5" x14ac:dyDescent="0.25">
      <c r="A122" s="17"/>
      <c r="B122" s="2">
        <v>118</v>
      </c>
      <c r="C122" s="48">
        <v>102</v>
      </c>
      <c r="D122" s="48">
        <v>538</v>
      </c>
      <c r="E122" s="49">
        <v>0.64374999999999993</v>
      </c>
      <c r="F122" s="49">
        <v>0.69236111111111109</v>
      </c>
      <c r="G122" s="51" t="s">
        <v>524</v>
      </c>
      <c r="H122" s="51" t="s">
        <v>355</v>
      </c>
      <c r="I122" s="48">
        <v>35</v>
      </c>
      <c r="J122" s="52">
        <v>19</v>
      </c>
      <c r="K122" s="22">
        <v>55</v>
      </c>
      <c r="L122" s="23">
        <f t="shared" si="13"/>
        <v>1925</v>
      </c>
      <c r="M122" s="24" t="s">
        <v>486</v>
      </c>
      <c r="N122" s="25" t="s">
        <v>511</v>
      </c>
      <c r="O122" s="25">
        <v>24</v>
      </c>
      <c r="P122" s="25" t="s">
        <v>525</v>
      </c>
      <c r="Q122" s="25">
        <v>21</v>
      </c>
      <c r="R122" s="25" t="s">
        <v>501</v>
      </c>
      <c r="S122" s="35">
        <v>47</v>
      </c>
      <c r="T122" s="26">
        <v>1</v>
      </c>
      <c r="U122" s="26" t="s">
        <v>179</v>
      </c>
      <c r="V122" s="26">
        <v>1082</v>
      </c>
      <c r="W122" s="26" t="s">
        <v>512</v>
      </c>
      <c r="X122" s="27">
        <v>44562</v>
      </c>
      <c r="Y122" s="27">
        <v>44815</v>
      </c>
      <c r="Z122" s="27">
        <v>45101</v>
      </c>
      <c r="AA122" s="27">
        <v>45169</v>
      </c>
      <c r="AB122" s="26" t="s">
        <v>353</v>
      </c>
      <c r="AC122" s="26"/>
      <c r="AD122" s="28"/>
      <c r="AE122" s="28" t="s">
        <v>90</v>
      </c>
      <c r="AF122" s="28" t="s">
        <v>90</v>
      </c>
      <c r="AG122" s="28"/>
      <c r="AH122" s="28" t="s">
        <v>90</v>
      </c>
      <c r="AI122" s="28" t="s">
        <v>90</v>
      </c>
      <c r="AJ122" s="28" t="s">
        <v>90</v>
      </c>
      <c r="AK122" s="28" t="s">
        <v>90</v>
      </c>
      <c r="AL122" s="28" t="s">
        <v>90</v>
      </c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31"/>
      <c r="AY122" s="31">
        <f>1.9*35</f>
        <v>66.5</v>
      </c>
      <c r="AZ122" s="30"/>
      <c r="BA122" s="31"/>
      <c r="BB122" s="31"/>
      <c r="BC122" s="30"/>
      <c r="BD122" s="31">
        <f t="shared" si="14"/>
        <v>0</v>
      </c>
      <c r="BE122" s="31">
        <f>AY122*K122</f>
        <v>3657.5</v>
      </c>
      <c r="BF122" s="30"/>
      <c r="BG122" s="36">
        <v>1</v>
      </c>
      <c r="BH122" s="30"/>
      <c r="BI122" s="31"/>
      <c r="BJ122" s="30"/>
      <c r="BK122" s="31">
        <f>IF(AND((AY122/I122)&lt;2,BG122=1),(I122*2)-AY122,0)</f>
        <v>3.5</v>
      </c>
      <c r="BL122" s="31">
        <f>IF(AND((AY122/I122)&lt;3,BG122=2),(I122*3)-AY122,0)</f>
        <v>0</v>
      </c>
      <c r="BM122" s="33">
        <f>(BK122+BL122)*K122</f>
        <v>192.5</v>
      </c>
      <c r="BN122" s="30"/>
      <c r="BO122" s="33">
        <f t="shared" si="15"/>
        <v>0</v>
      </c>
      <c r="BP122" s="30">
        <v>7</v>
      </c>
      <c r="BQ122" s="30">
        <v>0</v>
      </c>
      <c r="BR122" s="30"/>
      <c r="BS122" s="30"/>
      <c r="BT122" s="34">
        <f t="shared" si="16"/>
        <v>70</v>
      </c>
      <c r="BU122" s="34"/>
      <c r="BV122" s="34"/>
      <c r="BW122" s="34"/>
      <c r="BX122" s="34"/>
      <c r="BY122" s="30"/>
      <c r="BZ122" s="31">
        <f t="shared" si="18"/>
        <v>490</v>
      </c>
      <c r="CA122" s="31">
        <f t="shared" si="17"/>
        <v>0</v>
      </c>
    </row>
    <row r="123" spans="1:79" ht="67.5" x14ac:dyDescent="0.25">
      <c r="A123" s="17"/>
      <c r="B123" s="2">
        <v>119</v>
      </c>
      <c r="C123" s="18">
        <v>102</v>
      </c>
      <c r="D123" s="21">
        <v>185</v>
      </c>
      <c r="E123" s="19">
        <v>0.65972222222222221</v>
      </c>
      <c r="F123" s="19">
        <v>0.72291666666666676</v>
      </c>
      <c r="G123" s="18" t="s">
        <v>526</v>
      </c>
      <c r="H123" s="18" t="s">
        <v>294</v>
      </c>
      <c r="I123" s="20">
        <v>51</v>
      </c>
      <c r="J123" s="21" t="s">
        <v>494</v>
      </c>
      <c r="K123" s="22">
        <f>34+34+36+33</f>
        <v>137</v>
      </c>
      <c r="L123" s="23">
        <f t="shared" si="13"/>
        <v>6987</v>
      </c>
      <c r="M123" s="24" t="s">
        <v>486</v>
      </c>
      <c r="N123" s="25" t="s">
        <v>495</v>
      </c>
      <c r="O123" s="45">
        <v>46</v>
      </c>
      <c r="P123" s="25" t="s">
        <v>501</v>
      </c>
      <c r="Q123" s="45">
        <v>47</v>
      </c>
      <c r="R123" s="17"/>
      <c r="S123" s="45"/>
      <c r="T123" s="26">
        <v>1190</v>
      </c>
      <c r="U123" s="26" t="s">
        <v>527</v>
      </c>
      <c r="V123" s="26" t="s">
        <v>528</v>
      </c>
      <c r="W123" s="26" t="s">
        <v>529</v>
      </c>
      <c r="X123" s="66">
        <v>44816</v>
      </c>
      <c r="Y123" s="66">
        <v>45086</v>
      </c>
      <c r="Z123" s="66"/>
      <c r="AA123" s="66"/>
      <c r="AB123" s="62" t="s">
        <v>298</v>
      </c>
      <c r="AC123" s="62"/>
      <c r="AD123" s="28"/>
      <c r="AE123" s="28"/>
      <c r="AF123" s="28"/>
      <c r="AG123" s="28" t="s">
        <v>90</v>
      </c>
      <c r="AH123" s="28" t="s">
        <v>90</v>
      </c>
      <c r="AI123" s="28" t="s">
        <v>90</v>
      </c>
      <c r="AJ123" s="28" t="s">
        <v>90</v>
      </c>
      <c r="AK123" s="28" t="s">
        <v>90</v>
      </c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9">
        <v>91.8</v>
      </c>
      <c r="AY123" s="30"/>
      <c r="AZ123" s="30"/>
      <c r="BA123" s="29"/>
      <c r="BB123" s="29"/>
      <c r="BC123" s="30"/>
      <c r="BD123" s="31">
        <f t="shared" si="14"/>
        <v>12576.6</v>
      </c>
      <c r="BE123" s="31"/>
      <c r="BF123" s="30"/>
      <c r="BG123" s="32">
        <v>2</v>
      </c>
      <c r="BH123" s="31">
        <f>IF(AND((AX123/I123)&lt;2,BG123=1),(I123*2)-AX123,0)</f>
        <v>0</v>
      </c>
      <c r="BI123" s="31">
        <f>IF(AND((AX123/I123)&lt;3,BG123=2),(I123*3)-AX123,0)</f>
        <v>61.2</v>
      </c>
      <c r="BJ123" s="33">
        <f>(BH123+BI123)*K123</f>
        <v>8384.4</v>
      </c>
      <c r="BK123" s="30"/>
      <c r="BL123" s="30"/>
      <c r="BM123" s="30"/>
      <c r="BN123" s="30"/>
      <c r="BO123" s="33">
        <f t="shared" si="15"/>
        <v>0</v>
      </c>
      <c r="BP123" s="30">
        <v>12</v>
      </c>
      <c r="BQ123" s="30">
        <v>16</v>
      </c>
      <c r="BR123" s="30"/>
      <c r="BS123" s="30"/>
      <c r="BT123" s="34">
        <f t="shared" si="16"/>
        <v>153</v>
      </c>
      <c r="BU123" s="34"/>
      <c r="BV123" s="34"/>
      <c r="BW123" s="34"/>
      <c r="BX123" s="34"/>
      <c r="BY123" s="30"/>
      <c r="BZ123" s="31">
        <f t="shared" si="18"/>
        <v>1836</v>
      </c>
      <c r="CA123" s="31">
        <f t="shared" si="17"/>
        <v>2448</v>
      </c>
    </row>
    <row r="124" spans="1:79" ht="25.5" x14ac:dyDescent="0.25">
      <c r="A124" s="17"/>
      <c r="B124" s="2">
        <v>120</v>
      </c>
      <c r="C124" s="48">
        <v>102</v>
      </c>
      <c r="D124" s="48">
        <v>147</v>
      </c>
      <c r="E124" s="49">
        <v>0.70833333333333337</v>
      </c>
      <c r="F124" s="49">
        <v>0.79861111111111116</v>
      </c>
      <c r="G124" s="51" t="s">
        <v>299</v>
      </c>
      <c r="H124" s="18" t="s">
        <v>290</v>
      </c>
      <c r="I124" s="48">
        <v>62</v>
      </c>
      <c r="J124" s="52">
        <v>30</v>
      </c>
      <c r="K124" s="22">
        <v>13</v>
      </c>
      <c r="L124" s="23">
        <f t="shared" si="13"/>
        <v>806</v>
      </c>
      <c r="M124" s="24" t="s">
        <v>129</v>
      </c>
      <c r="N124" s="25" t="s">
        <v>131</v>
      </c>
      <c r="O124" s="25">
        <v>45</v>
      </c>
      <c r="P124" s="25" t="s">
        <v>286</v>
      </c>
      <c r="Q124" s="25">
        <v>48</v>
      </c>
      <c r="R124" s="25" t="s">
        <v>287</v>
      </c>
      <c r="S124" s="35">
        <v>56</v>
      </c>
      <c r="T124" s="26">
        <v>1070</v>
      </c>
      <c r="U124" s="26" t="s">
        <v>288</v>
      </c>
      <c r="V124" s="26">
        <v>1</v>
      </c>
      <c r="W124" s="26" t="s">
        <v>300</v>
      </c>
      <c r="X124" s="27">
        <v>44562</v>
      </c>
      <c r="Y124" s="27">
        <v>44815</v>
      </c>
      <c r="Z124" s="27">
        <v>45101</v>
      </c>
      <c r="AA124" s="27">
        <v>45169</v>
      </c>
      <c r="AB124" s="62" t="s">
        <v>291</v>
      </c>
      <c r="AC124" s="62"/>
      <c r="AD124" s="28"/>
      <c r="AE124" s="28" t="s">
        <v>90</v>
      </c>
      <c r="AF124" s="28"/>
      <c r="AG124" s="28"/>
      <c r="AH124" s="28"/>
      <c r="AI124" s="28"/>
      <c r="AJ124" s="28"/>
      <c r="AK124" s="28"/>
      <c r="AL124" s="28"/>
      <c r="AM124" s="28"/>
      <c r="AN124" s="28" t="s">
        <v>90</v>
      </c>
      <c r="AO124" s="28"/>
      <c r="AP124" s="28"/>
      <c r="AQ124" s="28"/>
      <c r="AR124" s="28"/>
      <c r="AS124" s="28"/>
      <c r="AT124" s="28"/>
      <c r="AU124" s="28"/>
      <c r="AV124" s="28"/>
      <c r="AW124" s="28"/>
      <c r="AX124" s="31"/>
      <c r="AY124" s="30"/>
      <c r="AZ124" s="30"/>
      <c r="BA124" s="55" t="s">
        <v>301</v>
      </c>
      <c r="BB124" s="55"/>
      <c r="BC124" s="30"/>
      <c r="BD124" s="31">
        <f t="shared" si="14"/>
        <v>0</v>
      </c>
      <c r="BE124" s="30"/>
      <c r="BF124" s="30"/>
      <c r="BG124" s="36">
        <v>1</v>
      </c>
      <c r="BH124" s="30"/>
      <c r="BI124" s="31"/>
      <c r="BJ124" s="30"/>
      <c r="BK124" s="30"/>
      <c r="BL124" s="30"/>
      <c r="BM124" s="30"/>
      <c r="BN124" s="30"/>
      <c r="BO124" s="33">
        <f t="shared" si="15"/>
        <v>0</v>
      </c>
      <c r="BP124" s="30">
        <v>2</v>
      </c>
      <c r="BQ124" s="30">
        <v>0</v>
      </c>
      <c r="BR124" s="30"/>
      <c r="BS124" s="30"/>
      <c r="BT124" s="34">
        <f t="shared" si="16"/>
        <v>0</v>
      </c>
      <c r="BU124" s="34"/>
      <c r="BV124" s="34"/>
      <c r="BW124" s="34"/>
      <c r="BX124" s="34"/>
      <c r="BY124" s="30"/>
      <c r="BZ124" s="31">
        <f t="shared" si="18"/>
        <v>0</v>
      </c>
      <c r="CA124" s="31">
        <f t="shared" si="17"/>
        <v>0</v>
      </c>
    </row>
    <row r="125" spans="1:79" ht="51" x14ac:dyDescent="0.25">
      <c r="A125" s="17"/>
      <c r="B125" s="2">
        <v>121</v>
      </c>
      <c r="C125" s="18">
        <v>103</v>
      </c>
      <c r="D125" s="18">
        <v>928</v>
      </c>
      <c r="E125" s="19">
        <v>0.2590277777777778</v>
      </c>
      <c r="F125" s="19">
        <v>0.27083333333333331</v>
      </c>
      <c r="G125" s="18" t="s">
        <v>530</v>
      </c>
      <c r="H125" s="18" t="s">
        <v>273</v>
      </c>
      <c r="I125" s="20">
        <v>13.3</v>
      </c>
      <c r="J125" s="21" t="s">
        <v>531</v>
      </c>
      <c r="K125" s="22">
        <v>174</v>
      </c>
      <c r="L125" s="23">
        <f t="shared" si="13"/>
        <v>2314.2000000000003</v>
      </c>
      <c r="M125" s="83" t="s">
        <v>532</v>
      </c>
      <c r="N125" s="25" t="s">
        <v>533</v>
      </c>
      <c r="O125" s="45">
        <v>57</v>
      </c>
      <c r="P125" s="45" t="s">
        <v>534</v>
      </c>
      <c r="Q125" s="45">
        <v>54</v>
      </c>
      <c r="R125" s="25" t="s">
        <v>535</v>
      </c>
      <c r="S125" s="35">
        <v>55</v>
      </c>
      <c r="T125" s="26" t="s">
        <v>536</v>
      </c>
      <c r="U125" s="26" t="s">
        <v>537</v>
      </c>
      <c r="V125" s="26" t="s">
        <v>538</v>
      </c>
      <c r="W125" s="26" t="s">
        <v>539</v>
      </c>
      <c r="X125" s="66">
        <v>44816</v>
      </c>
      <c r="Y125" s="66">
        <v>45086</v>
      </c>
      <c r="Z125" s="66"/>
      <c r="AA125" s="66"/>
      <c r="AB125" s="26" t="s">
        <v>282</v>
      </c>
      <c r="AC125" s="26"/>
      <c r="AD125" s="28"/>
      <c r="AE125" s="28"/>
      <c r="AF125" s="28"/>
      <c r="AG125" s="28" t="s">
        <v>90</v>
      </c>
      <c r="AH125" s="28" t="s">
        <v>90</v>
      </c>
      <c r="AI125" s="28" t="s">
        <v>90</v>
      </c>
      <c r="AJ125" s="28" t="s">
        <v>90</v>
      </c>
      <c r="AK125" s="28" t="s">
        <v>90</v>
      </c>
      <c r="AL125" s="28" t="s">
        <v>90</v>
      </c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9">
        <f>15.9+24</f>
        <v>39.9</v>
      </c>
      <c r="AY125" s="30"/>
      <c r="AZ125" s="30"/>
      <c r="BA125" s="29"/>
      <c r="BB125" s="29"/>
      <c r="BC125" s="30"/>
      <c r="BD125" s="31">
        <f t="shared" si="14"/>
        <v>6942.5999999999995</v>
      </c>
      <c r="BE125" s="31"/>
      <c r="BF125" s="30"/>
      <c r="BG125" s="32">
        <v>2</v>
      </c>
      <c r="BH125" s="31">
        <f>IF(AND((AX125/I125)&lt;2,BG125=1),(I125*2)-AX125,0)</f>
        <v>0</v>
      </c>
      <c r="BI125" s="31">
        <f>IF(AND((AX125/I125)&lt;3,BG125=2),(I125*3)-AX125,0)</f>
        <v>0</v>
      </c>
      <c r="BJ125" s="33">
        <f>(BH125+BI125)*K125</f>
        <v>0</v>
      </c>
      <c r="BK125" s="30"/>
      <c r="BL125" s="30"/>
      <c r="BM125" s="30"/>
      <c r="BN125" s="31">
        <f>IF((AX125+AY125+AZ125)&lt;20,(20-(AX125+AY125+AZ125)),0)</f>
        <v>0</v>
      </c>
      <c r="BO125" s="33">
        <f t="shared" si="15"/>
        <v>0</v>
      </c>
      <c r="BP125" s="30">
        <v>15</v>
      </c>
      <c r="BQ125" s="30">
        <v>20</v>
      </c>
      <c r="BR125" s="30"/>
      <c r="BS125" s="30"/>
      <c r="BT125" s="34">
        <f t="shared" si="16"/>
        <v>39.9</v>
      </c>
      <c r="BU125" s="34"/>
      <c r="BV125" s="34"/>
      <c r="BW125" s="34"/>
      <c r="BX125" s="34"/>
      <c r="BY125" s="30"/>
      <c r="BZ125" s="31">
        <f t="shared" si="18"/>
        <v>598.5</v>
      </c>
      <c r="CA125" s="31">
        <f t="shared" si="17"/>
        <v>798</v>
      </c>
    </row>
    <row r="126" spans="1:79" ht="45" x14ac:dyDescent="0.25">
      <c r="A126" s="17"/>
      <c r="B126" s="2">
        <v>122</v>
      </c>
      <c r="C126" s="18">
        <v>103</v>
      </c>
      <c r="D126" s="18">
        <v>101</v>
      </c>
      <c r="E126" s="19">
        <v>0.2638888888888889</v>
      </c>
      <c r="F126" s="19">
        <v>0.2673611111111111</v>
      </c>
      <c r="G126" s="18" t="s">
        <v>540</v>
      </c>
      <c r="H126" s="18" t="s">
        <v>422</v>
      </c>
      <c r="I126" s="20">
        <v>2.5</v>
      </c>
      <c r="J126" s="21" t="s">
        <v>541</v>
      </c>
      <c r="K126" s="22">
        <v>240</v>
      </c>
      <c r="L126" s="23">
        <f t="shared" si="13"/>
        <v>600</v>
      </c>
      <c r="M126" s="24" t="s">
        <v>542</v>
      </c>
      <c r="N126" s="25" t="s">
        <v>543</v>
      </c>
      <c r="O126" s="25">
        <v>9</v>
      </c>
      <c r="P126" s="25" t="s">
        <v>544</v>
      </c>
      <c r="Q126" s="25">
        <v>18</v>
      </c>
      <c r="R126" s="17"/>
      <c r="S126" s="25"/>
      <c r="T126" s="26">
        <v>1126</v>
      </c>
      <c r="U126" s="26" t="s">
        <v>545</v>
      </c>
      <c r="V126" s="26">
        <v>1122</v>
      </c>
      <c r="W126" s="26" t="s">
        <v>304</v>
      </c>
      <c r="X126" s="27">
        <v>44816</v>
      </c>
      <c r="Y126" s="27">
        <v>45100</v>
      </c>
      <c r="Z126" s="27"/>
      <c r="AA126" s="27"/>
      <c r="AB126" s="26" t="s">
        <v>423</v>
      </c>
      <c r="AC126" s="26"/>
      <c r="AD126" s="28" t="s">
        <v>90</v>
      </c>
      <c r="AE126" s="28"/>
      <c r="AF126" s="28" t="s">
        <v>90</v>
      </c>
      <c r="AG126" s="28"/>
      <c r="AH126" s="28" t="s">
        <v>90</v>
      </c>
      <c r="AI126" s="28" t="s">
        <v>90</v>
      </c>
      <c r="AJ126" s="28" t="s">
        <v>90</v>
      </c>
      <c r="AK126" s="28" t="s">
        <v>90</v>
      </c>
      <c r="AL126" s="28" t="s">
        <v>90</v>
      </c>
      <c r="AM126" s="28" t="s">
        <v>90</v>
      </c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9">
        <v>20.68</v>
      </c>
      <c r="AY126" s="30"/>
      <c r="AZ126" s="30"/>
      <c r="BA126" s="29"/>
      <c r="BB126" s="29"/>
      <c r="BC126" s="30"/>
      <c r="BD126" s="31">
        <f t="shared" si="14"/>
        <v>4963.2</v>
      </c>
      <c r="BE126" s="31"/>
      <c r="BF126" s="30"/>
      <c r="BG126" s="36">
        <v>1</v>
      </c>
      <c r="BH126" s="31">
        <f>IF(AND((AX126/I126)&lt;2,BG126=1),(I126*2)-AX126,0)</f>
        <v>0</v>
      </c>
      <c r="BI126" s="31">
        <f>IF(AND((AX126/I126)&lt;3,BG126=2),(I126*3)-AX126,0)</f>
        <v>0</v>
      </c>
      <c r="BJ126" s="33">
        <f>(BH126+BI126)*K126</f>
        <v>0</v>
      </c>
      <c r="BK126" s="30"/>
      <c r="BL126" s="30"/>
      <c r="BM126" s="30"/>
      <c r="BN126" s="31">
        <f>IF((AX126+AY126+AZ126)&lt;20,(20-(AX126+AY126+AZ126)),0)</f>
        <v>0</v>
      </c>
      <c r="BO126" s="33">
        <f t="shared" si="15"/>
        <v>0</v>
      </c>
      <c r="BP126" s="30">
        <v>17</v>
      </c>
      <c r="BQ126" s="30">
        <v>26</v>
      </c>
      <c r="BR126" s="30"/>
      <c r="BS126" s="30"/>
      <c r="BT126" s="34">
        <f t="shared" si="16"/>
        <v>20.68</v>
      </c>
      <c r="BU126" s="34"/>
      <c r="BV126" s="34"/>
      <c r="BW126" s="34"/>
      <c r="BX126" s="34"/>
      <c r="BY126" s="30"/>
      <c r="BZ126" s="31">
        <f t="shared" si="18"/>
        <v>351.56</v>
      </c>
      <c r="CA126" s="31">
        <f t="shared" si="17"/>
        <v>537.67999999999995</v>
      </c>
    </row>
    <row r="127" spans="1:79" ht="114.75" x14ac:dyDescent="0.25">
      <c r="A127" s="17"/>
      <c r="B127" s="2">
        <v>123</v>
      </c>
      <c r="C127" s="18">
        <v>103</v>
      </c>
      <c r="D127" s="18">
        <v>101</v>
      </c>
      <c r="E127" s="19">
        <v>0.27986111111111112</v>
      </c>
      <c r="F127" s="19">
        <v>0.32083333333333336</v>
      </c>
      <c r="G127" s="18" t="s">
        <v>546</v>
      </c>
      <c r="H127" s="18" t="s">
        <v>273</v>
      </c>
      <c r="I127" s="20">
        <v>31</v>
      </c>
      <c r="J127" s="21" t="s">
        <v>531</v>
      </c>
      <c r="K127" s="22">
        <v>174</v>
      </c>
      <c r="L127" s="23">
        <f t="shared" si="13"/>
        <v>5394</v>
      </c>
      <c r="M127" s="24" t="s">
        <v>532</v>
      </c>
      <c r="N127" s="25" t="s">
        <v>533</v>
      </c>
      <c r="O127" s="45">
        <v>57</v>
      </c>
      <c r="P127" s="45" t="s">
        <v>534</v>
      </c>
      <c r="Q127" s="45">
        <v>54</v>
      </c>
      <c r="R127" s="25" t="s">
        <v>535</v>
      </c>
      <c r="S127" s="35">
        <v>55</v>
      </c>
      <c r="T127" s="26" t="s">
        <v>547</v>
      </c>
      <c r="U127" s="26" t="s">
        <v>548</v>
      </c>
      <c r="V127" s="26">
        <v>1</v>
      </c>
      <c r="W127" s="26" t="s">
        <v>300</v>
      </c>
      <c r="X127" s="66">
        <v>44816</v>
      </c>
      <c r="Y127" s="66">
        <v>45086</v>
      </c>
      <c r="Z127" s="66"/>
      <c r="AA127" s="66"/>
      <c r="AB127" s="26" t="s">
        <v>282</v>
      </c>
      <c r="AC127" s="26"/>
      <c r="AD127" s="28"/>
      <c r="AE127" s="28"/>
      <c r="AF127" s="28"/>
      <c r="AG127" s="28" t="s">
        <v>90</v>
      </c>
      <c r="AH127" s="28" t="s">
        <v>90</v>
      </c>
      <c r="AI127" s="28" t="s">
        <v>90</v>
      </c>
      <c r="AJ127" s="28" t="s">
        <v>90</v>
      </c>
      <c r="AK127" s="28" t="s">
        <v>90</v>
      </c>
      <c r="AL127" s="28" t="s">
        <v>90</v>
      </c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9">
        <v>161.41999999999999</v>
      </c>
      <c r="AY127" s="31"/>
      <c r="AZ127" s="30"/>
      <c r="BA127" s="29"/>
      <c r="BB127" s="29"/>
      <c r="BC127" s="30"/>
      <c r="BD127" s="31">
        <f t="shared" si="14"/>
        <v>28087.079999999998</v>
      </c>
      <c r="BE127" s="31"/>
      <c r="BF127" s="30"/>
      <c r="BG127" s="32">
        <v>2</v>
      </c>
      <c r="BH127" s="31">
        <f>IF(AND((AX127/I127)&lt;2,BG127=1),(I127*2)-AX127,0)</f>
        <v>0</v>
      </c>
      <c r="BI127" s="31">
        <f>IF(AND((AX127/I127)&lt;3,BG127=2),(I127*3)-AX127,0)</f>
        <v>0</v>
      </c>
      <c r="BJ127" s="33">
        <f>(BH127+BI127)*K127</f>
        <v>0</v>
      </c>
      <c r="BK127" s="30"/>
      <c r="BL127" s="30"/>
      <c r="BM127" s="30"/>
      <c r="BN127" s="31">
        <f>IF((AX127+AY127+AZ127)&lt;20,(20-(AX127+AY127+AZ127)),0)</f>
        <v>0</v>
      </c>
      <c r="BO127" s="33">
        <f t="shared" si="15"/>
        <v>0</v>
      </c>
      <c r="BP127" s="30">
        <v>15</v>
      </c>
      <c r="BQ127" s="30">
        <v>20</v>
      </c>
      <c r="BR127" s="30"/>
      <c r="BS127" s="30"/>
      <c r="BT127" s="34">
        <f t="shared" si="16"/>
        <v>161.41999999999999</v>
      </c>
      <c r="BU127" s="34"/>
      <c r="BV127" s="34"/>
      <c r="BW127" s="34"/>
      <c r="BX127" s="34"/>
      <c r="BY127" s="30"/>
      <c r="BZ127" s="31">
        <f t="shared" si="18"/>
        <v>2421.2999999999997</v>
      </c>
      <c r="CA127" s="31">
        <f t="shared" si="17"/>
        <v>3228.3999999999996</v>
      </c>
    </row>
    <row r="128" spans="1:79" ht="63.75" x14ac:dyDescent="0.25">
      <c r="A128" s="17"/>
      <c r="B128" s="2">
        <v>124</v>
      </c>
      <c r="C128" s="18">
        <v>103</v>
      </c>
      <c r="D128" s="21">
        <v>99</v>
      </c>
      <c r="E128" s="19">
        <v>0.28819444444444448</v>
      </c>
      <c r="F128" s="19">
        <v>0.30833333333333335</v>
      </c>
      <c r="G128" s="18" t="s">
        <v>549</v>
      </c>
      <c r="H128" s="18" t="s">
        <v>273</v>
      </c>
      <c r="I128" s="20">
        <v>18</v>
      </c>
      <c r="J128" s="21" t="s">
        <v>122</v>
      </c>
      <c r="K128" s="22">
        <v>174</v>
      </c>
      <c r="L128" s="23">
        <f t="shared" si="13"/>
        <v>3132</v>
      </c>
      <c r="M128" s="24" t="s">
        <v>550</v>
      </c>
      <c r="N128" s="25" t="s">
        <v>551</v>
      </c>
      <c r="O128" s="25">
        <v>21</v>
      </c>
      <c r="P128" s="25" t="s">
        <v>191</v>
      </c>
      <c r="Q128" s="25">
        <v>21</v>
      </c>
      <c r="R128" s="17"/>
      <c r="S128" s="25"/>
      <c r="T128" s="26" t="s">
        <v>552</v>
      </c>
      <c r="U128" s="26" t="s">
        <v>553</v>
      </c>
      <c r="V128" s="26" t="s">
        <v>554</v>
      </c>
      <c r="W128" s="26" t="s">
        <v>555</v>
      </c>
      <c r="X128" s="66">
        <v>44816</v>
      </c>
      <c r="Y128" s="66">
        <v>45086</v>
      </c>
      <c r="Z128" s="66"/>
      <c r="AA128" s="66"/>
      <c r="AB128" s="26" t="s">
        <v>282</v>
      </c>
      <c r="AC128" s="26"/>
      <c r="AD128" s="28"/>
      <c r="AE128" s="28"/>
      <c r="AF128" s="28"/>
      <c r="AG128" s="28" t="s">
        <v>90</v>
      </c>
      <c r="AH128" s="28" t="s">
        <v>90</v>
      </c>
      <c r="AI128" s="28" t="s">
        <v>90</v>
      </c>
      <c r="AJ128" s="28" t="s">
        <v>90</v>
      </c>
      <c r="AK128" s="28" t="s">
        <v>90</v>
      </c>
      <c r="AL128" s="28" t="s">
        <v>90</v>
      </c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9">
        <v>172.02</v>
      </c>
      <c r="AY128" s="31"/>
      <c r="AZ128" s="30"/>
      <c r="BA128" s="29"/>
      <c r="BB128" s="29"/>
      <c r="BC128" s="30"/>
      <c r="BD128" s="31">
        <f t="shared" si="14"/>
        <v>29931.480000000003</v>
      </c>
      <c r="BE128" s="31"/>
      <c r="BF128" s="30"/>
      <c r="BG128" s="36">
        <v>1</v>
      </c>
      <c r="BH128" s="31">
        <f>IF(AND((AX128/I128)&lt;2,BG128=1),(I128*2)-AX128,0)</f>
        <v>0</v>
      </c>
      <c r="BI128" s="31">
        <f>IF(AND((AX128/I128)&lt;3,BG128=2),(I128*3)-AX128,0)</f>
        <v>0</v>
      </c>
      <c r="BJ128" s="33">
        <f>(BH128+BI128)*K128</f>
        <v>0</v>
      </c>
      <c r="BK128" s="30"/>
      <c r="BL128" s="30"/>
      <c r="BM128" s="30"/>
      <c r="BN128" s="31">
        <f>IF((AX128+AY128+AZ128)&lt;20,(20-(AX128+AY128+AZ128)),0)</f>
        <v>0</v>
      </c>
      <c r="BO128" s="33">
        <f t="shared" si="15"/>
        <v>0</v>
      </c>
      <c r="BP128" s="30">
        <v>15</v>
      </c>
      <c r="BQ128" s="30">
        <v>20</v>
      </c>
      <c r="BR128" s="30"/>
      <c r="BS128" s="30"/>
      <c r="BT128" s="34">
        <f t="shared" si="16"/>
        <v>172.02</v>
      </c>
      <c r="BU128" s="34"/>
      <c r="BV128" s="34"/>
      <c r="BW128" s="34"/>
      <c r="BX128" s="34"/>
      <c r="BY128" s="30"/>
      <c r="BZ128" s="31">
        <f t="shared" si="18"/>
        <v>2580.3000000000002</v>
      </c>
      <c r="CA128" s="31">
        <f t="shared" si="17"/>
        <v>3440.4</v>
      </c>
    </row>
    <row r="129" spans="1:79" ht="89.25" x14ac:dyDescent="0.25">
      <c r="A129" s="17"/>
      <c r="B129" s="2">
        <v>125</v>
      </c>
      <c r="C129" s="58">
        <v>103</v>
      </c>
      <c r="D129" s="21">
        <v>183</v>
      </c>
      <c r="E129" s="19">
        <v>0.2951388888888889</v>
      </c>
      <c r="F129" s="19">
        <v>0.31666666666666665</v>
      </c>
      <c r="G129" s="18" t="s">
        <v>556</v>
      </c>
      <c r="H129" s="18" t="s">
        <v>306</v>
      </c>
      <c r="I129" s="20">
        <v>16</v>
      </c>
      <c r="J129" s="21" t="s">
        <v>122</v>
      </c>
      <c r="K129" s="22">
        <v>208</v>
      </c>
      <c r="L129" s="23">
        <f t="shared" si="13"/>
        <v>3328</v>
      </c>
      <c r="M129" s="24" t="s">
        <v>557</v>
      </c>
      <c r="N129" s="25" t="s">
        <v>558</v>
      </c>
      <c r="O129" s="25">
        <v>17</v>
      </c>
      <c r="P129" s="25" t="s">
        <v>559</v>
      </c>
      <c r="Q129" s="25">
        <v>18</v>
      </c>
      <c r="R129" s="25" t="s">
        <v>560</v>
      </c>
      <c r="S129" s="35">
        <v>23</v>
      </c>
      <c r="T129" s="26">
        <v>1122</v>
      </c>
      <c r="U129" s="26" t="s">
        <v>304</v>
      </c>
      <c r="V129" s="26" t="s">
        <v>561</v>
      </c>
      <c r="W129" s="26" t="s">
        <v>562</v>
      </c>
      <c r="X129" s="66">
        <v>44816</v>
      </c>
      <c r="Y129" s="66">
        <v>45086</v>
      </c>
      <c r="Z129" s="66"/>
      <c r="AA129" s="66"/>
      <c r="AB129" s="26" t="s">
        <v>309</v>
      </c>
      <c r="AC129" s="26"/>
      <c r="AD129" s="28"/>
      <c r="AE129" s="28"/>
      <c r="AF129" s="28"/>
      <c r="AG129" s="28" t="s">
        <v>90</v>
      </c>
      <c r="AH129" s="28" t="s">
        <v>90</v>
      </c>
      <c r="AI129" s="28" t="s">
        <v>90</v>
      </c>
      <c r="AJ129" s="28" t="s">
        <v>90</v>
      </c>
      <c r="AK129" s="28" t="s">
        <v>90</v>
      </c>
      <c r="AL129" s="28" t="s">
        <v>90</v>
      </c>
      <c r="AM129" s="28" t="s">
        <v>90</v>
      </c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9">
        <v>88.88</v>
      </c>
      <c r="AY129" s="31"/>
      <c r="AZ129" s="30"/>
      <c r="BA129" s="29"/>
      <c r="BB129" s="29"/>
      <c r="BC129" s="55">
        <v>3</v>
      </c>
      <c r="BD129" s="31">
        <f t="shared" si="14"/>
        <v>18487.04</v>
      </c>
      <c r="BE129" s="31"/>
      <c r="BF129" s="30"/>
      <c r="BG129" s="36">
        <v>1</v>
      </c>
      <c r="BH129" s="31">
        <f>IF(AND((AX129/I129)&lt;2,BG129=1),(I129*2)-AX129,0)</f>
        <v>0</v>
      </c>
      <c r="BI129" s="31">
        <f>IF(AND((AX129/I129)&lt;3,BG129=2),(I129*3)-AX129,0)</f>
        <v>0</v>
      </c>
      <c r="BJ129" s="33">
        <f>(BH129+BI129)*K129</f>
        <v>0</v>
      </c>
      <c r="BK129" s="30"/>
      <c r="BL129" s="30"/>
      <c r="BM129" s="30"/>
      <c r="BN129" s="30"/>
      <c r="BO129" s="33">
        <f t="shared" si="15"/>
        <v>0</v>
      </c>
      <c r="BP129" s="30">
        <v>17</v>
      </c>
      <c r="BQ129" s="30">
        <v>25</v>
      </c>
      <c r="BR129" s="30"/>
      <c r="BS129" s="30"/>
      <c r="BT129" s="34">
        <f t="shared" si="16"/>
        <v>88.88</v>
      </c>
      <c r="BU129" s="34" t="s">
        <v>446</v>
      </c>
      <c r="BV129" s="30">
        <v>1</v>
      </c>
      <c r="BW129" s="30">
        <v>1</v>
      </c>
      <c r="BX129" s="34">
        <v>1191.3</v>
      </c>
      <c r="BY129" s="30"/>
      <c r="BZ129" s="31">
        <f t="shared" si="18"/>
        <v>2702.26</v>
      </c>
      <c r="CA129" s="31">
        <f t="shared" si="17"/>
        <v>3413.3</v>
      </c>
    </row>
    <row r="130" spans="1:79" ht="90" x14ac:dyDescent="0.25">
      <c r="A130" s="17"/>
      <c r="B130" s="2">
        <v>126</v>
      </c>
      <c r="C130" s="48">
        <v>103</v>
      </c>
      <c r="D130" s="48">
        <v>224</v>
      </c>
      <c r="E130" s="49">
        <v>0.43055555555555558</v>
      </c>
      <c r="F130" s="49">
        <v>0.44444444444444442</v>
      </c>
      <c r="G130" s="51" t="s">
        <v>563</v>
      </c>
      <c r="H130" s="48" t="s">
        <v>316</v>
      </c>
      <c r="I130" s="48">
        <v>11</v>
      </c>
      <c r="J130" s="52">
        <v>30</v>
      </c>
      <c r="K130" s="22">
        <v>67</v>
      </c>
      <c r="L130" s="23">
        <f t="shared" ref="L130:L193" si="19">+K130*I130</f>
        <v>737</v>
      </c>
      <c r="M130" s="24" t="s">
        <v>105</v>
      </c>
      <c r="N130" s="25" t="s">
        <v>106</v>
      </c>
      <c r="O130" s="25">
        <v>35</v>
      </c>
      <c r="P130" s="25" t="s">
        <v>107</v>
      </c>
      <c r="Q130" s="25">
        <v>23</v>
      </c>
      <c r="R130" s="25" t="s">
        <v>108</v>
      </c>
      <c r="S130" s="35">
        <v>21</v>
      </c>
      <c r="T130" s="26">
        <v>1</v>
      </c>
      <c r="U130" s="26" t="s">
        <v>179</v>
      </c>
      <c r="V130" s="26">
        <v>1100</v>
      </c>
      <c r="W130" s="26" t="s">
        <v>109</v>
      </c>
      <c r="X130" s="27">
        <v>44562</v>
      </c>
      <c r="Y130" s="27">
        <v>44815</v>
      </c>
      <c r="Z130" s="27">
        <v>45101</v>
      </c>
      <c r="AA130" s="27">
        <v>45169</v>
      </c>
      <c r="AB130" s="28" t="s">
        <v>89</v>
      </c>
      <c r="AC130" s="28"/>
      <c r="AD130" s="28"/>
      <c r="AE130" s="28" t="s">
        <v>90</v>
      </c>
      <c r="AF130" s="28" t="s">
        <v>90</v>
      </c>
      <c r="AG130" s="28"/>
      <c r="AH130" s="28" t="s">
        <v>90</v>
      </c>
      <c r="AI130" s="28" t="s">
        <v>90</v>
      </c>
      <c r="AJ130" s="28" t="s">
        <v>90</v>
      </c>
      <c r="AK130" s="28" t="s">
        <v>90</v>
      </c>
      <c r="AL130" s="28" t="s">
        <v>90</v>
      </c>
      <c r="AM130" s="28" t="s">
        <v>90</v>
      </c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30"/>
      <c r="AY130" s="31">
        <f>2.2*11</f>
        <v>24.200000000000003</v>
      </c>
      <c r="AZ130" s="30"/>
      <c r="BA130" s="42"/>
      <c r="BB130" s="42"/>
      <c r="BC130" s="30"/>
      <c r="BD130" s="31">
        <f t="shared" ref="BD130:BD193" si="20">AX130*K130</f>
        <v>0</v>
      </c>
      <c r="BE130" s="31">
        <f>AY130*K130</f>
        <v>1621.4</v>
      </c>
      <c r="BF130" s="30"/>
      <c r="BG130" s="36">
        <v>1</v>
      </c>
      <c r="BH130" s="30"/>
      <c r="BI130" s="31"/>
      <c r="BJ130" s="30"/>
      <c r="BK130" s="31">
        <f>IF(AND((AY130/I130)&lt;2,BG130=1),(I130*2)-AY130,0)</f>
        <v>0</v>
      </c>
      <c r="BL130" s="31">
        <f>IF(AND((AY130/I130)&lt;3,BG130=2),(I130*3)-AY130,0)</f>
        <v>0</v>
      </c>
      <c r="BM130" s="33">
        <f>(BK130+BL130)*K130</f>
        <v>0</v>
      </c>
      <c r="BN130" s="30"/>
      <c r="BO130" s="33">
        <f t="shared" ref="BO130:BO193" si="21">BN130*K130</f>
        <v>0</v>
      </c>
      <c r="BP130" s="30">
        <v>9</v>
      </c>
      <c r="BQ130" s="30">
        <v>0</v>
      </c>
      <c r="BR130" s="30"/>
      <c r="BS130" s="30"/>
      <c r="BT130" s="34">
        <f t="shared" ref="BT130:BT193" si="22">SUM(AX130:AZ130)+SUM(BH130:BI130)+SUM(BK130:BL130)+BN130</f>
        <v>24.200000000000003</v>
      </c>
      <c r="BU130" s="34"/>
      <c r="BV130" s="34"/>
      <c r="BW130" s="34"/>
      <c r="BX130" s="34"/>
      <c r="BY130" s="30"/>
      <c r="BZ130" s="31">
        <f t="shared" si="18"/>
        <v>217.8</v>
      </c>
      <c r="CA130" s="31">
        <f t="shared" si="17"/>
        <v>0</v>
      </c>
    </row>
    <row r="131" spans="1:79" ht="90" x14ac:dyDescent="0.25">
      <c r="A131" s="17"/>
      <c r="B131" s="2">
        <v>127</v>
      </c>
      <c r="C131" s="18">
        <v>103</v>
      </c>
      <c r="D131" s="18">
        <v>442</v>
      </c>
      <c r="E131" s="59">
        <v>0.58124999999999993</v>
      </c>
      <c r="F131" s="59">
        <v>0.58958333333333335</v>
      </c>
      <c r="G131" s="18" t="s">
        <v>564</v>
      </c>
      <c r="H131" s="18" t="s">
        <v>306</v>
      </c>
      <c r="I131" s="20">
        <v>2</v>
      </c>
      <c r="J131" s="21">
        <v>19</v>
      </c>
      <c r="K131" s="22">
        <v>208</v>
      </c>
      <c r="L131" s="23">
        <f t="shared" si="19"/>
        <v>416</v>
      </c>
      <c r="M131" s="24" t="s">
        <v>105</v>
      </c>
      <c r="N131" s="25" t="s">
        <v>565</v>
      </c>
      <c r="O131" s="25">
        <v>30</v>
      </c>
      <c r="P131" s="25" t="s">
        <v>566</v>
      </c>
      <c r="Q131" s="25">
        <v>20</v>
      </c>
      <c r="R131" s="17"/>
      <c r="S131" s="25"/>
      <c r="T131" s="26">
        <v>1111</v>
      </c>
      <c r="U131" s="26" t="s">
        <v>567</v>
      </c>
      <c r="V131" s="26" t="s">
        <v>568</v>
      </c>
      <c r="W131" s="26" t="s">
        <v>569</v>
      </c>
      <c r="X131" s="66">
        <v>44816</v>
      </c>
      <c r="Y131" s="66">
        <v>45086</v>
      </c>
      <c r="Z131" s="66"/>
      <c r="AA131" s="66"/>
      <c r="AB131" s="26" t="s">
        <v>309</v>
      </c>
      <c r="AC131" s="26"/>
      <c r="AD131" s="28"/>
      <c r="AE131" s="28"/>
      <c r="AF131" s="28"/>
      <c r="AG131" s="28" t="s">
        <v>90</v>
      </c>
      <c r="AH131" s="28" t="s">
        <v>90</v>
      </c>
      <c r="AI131" s="28" t="s">
        <v>90</v>
      </c>
      <c r="AJ131" s="28" t="s">
        <v>90</v>
      </c>
      <c r="AK131" s="28" t="s">
        <v>90</v>
      </c>
      <c r="AL131" s="28" t="s">
        <v>90</v>
      </c>
      <c r="AM131" s="28" t="s">
        <v>90</v>
      </c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9">
        <v>31.98</v>
      </c>
      <c r="AY131" s="31"/>
      <c r="AZ131" s="30"/>
      <c r="BA131" s="29"/>
      <c r="BB131" s="29"/>
      <c r="BC131" s="30"/>
      <c r="BD131" s="31">
        <f t="shared" si="20"/>
        <v>6651.84</v>
      </c>
      <c r="BE131" s="31"/>
      <c r="BF131" s="30"/>
      <c r="BG131" s="36">
        <v>1</v>
      </c>
      <c r="BH131" s="31">
        <f t="shared" ref="BH131:BH136" si="23">IF(AND((AX131/I131)&lt;2,BG131=1),(I131*2)-AX131,0)</f>
        <v>0</v>
      </c>
      <c r="BI131" s="31">
        <f t="shared" ref="BI131:BI136" si="24">IF(AND((AX131/I131)&lt;3,BG131=2),(I131*3)-AX131,0)</f>
        <v>0</v>
      </c>
      <c r="BJ131" s="33">
        <f t="shared" ref="BJ131:BJ136" si="25">(BH131+BI131)*K131</f>
        <v>0</v>
      </c>
      <c r="BK131" s="30"/>
      <c r="BL131" s="30"/>
      <c r="BM131" s="30"/>
      <c r="BN131" s="30"/>
      <c r="BO131" s="33">
        <f t="shared" si="21"/>
        <v>0</v>
      </c>
      <c r="BP131" s="30">
        <v>17</v>
      </c>
      <c r="BQ131" s="30">
        <v>25</v>
      </c>
      <c r="BR131" s="30"/>
      <c r="BS131" s="30"/>
      <c r="BT131" s="34">
        <f t="shared" si="22"/>
        <v>31.98</v>
      </c>
      <c r="BU131" s="34"/>
      <c r="BV131" s="34"/>
      <c r="BW131" s="34"/>
      <c r="BX131" s="34"/>
      <c r="BY131" s="30"/>
      <c r="BZ131" s="31">
        <f t="shared" si="18"/>
        <v>543.66</v>
      </c>
      <c r="CA131" s="31">
        <f t="shared" ref="CA131:CA194" si="26">(BT131*BQ131)+(BW131*BX131)</f>
        <v>799.5</v>
      </c>
    </row>
    <row r="132" spans="1:79" ht="51" x14ac:dyDescent="0.25">
      <c r="A132" s="17"/>
      <c r="B132" s="2">
        <v>128</v>
      </c>
      <c r="C132" s="18">
        <v>103</v>
      </c>
      <c r="D132" s="18">
        <v>203</v>
      </c>
      <c r="E132" s="19">
        <v>0.58333333333333337</v>
      </c>
      <c r="F132" s="19">
        <v>0.58888888888888891</v>
      </c>
      <c r="G132" s="18" t="s">
        <v>570</v>
      </c>
      <c r="H132" s="18" t="s">
        <v>306</v>
      </c>
      <c r="I132" s="20">
        <v>6.5</v>
      </c>
      <c r="J132" s="21" t="s">
        <v>571</v>
      </c>
      <c r="K132" s="22">
        <v>208</v>
      </c>
      <c r="L132" s="23">
        <f t="shared" si="19"/>
        <v>1352</v>
      </c>
      <c r="M132" s="24" t="s">
        <v>478</v>
      </c>
      <c r="N132" s="25" t="s">
        <v>572</v>
      </c>
      <c r="O132" s="25">
        <v>21</v>
      </c>
      <c r="P132" s="25" t="s">
        <v>573</v>
      </c>
      <c r="Q132" s="25">
        <v>21</v>
      </c>
      <c r="R132" s="17"/>
      <c r="S132" s="25"/>
      <c r="T132" s="26" t="s">
        <v>574</v>
      </c>
      <c r="U132" s="26" t="s">
        <v>575</v>
      </c>
      <c r="V132" s="26">
        <v>1127</v>
      </c>
      <c r="W132" s="26" t="s">
        <v>576</v>
      </c>
      <c r="X132" s="66">
        <v>44816</v>
      </c>
      <c r="Y132" s="66">
        <v>45086</v>
      </c>
      <c r="Z132" s="66"/>
      <c r="AA132" s="66"/>
      <c r="AB132" s="26" t="s">
        <v>309</v>
      </c>
      <c r="AC132" s="26"/>
      <c r="AD132" s="28"/>
      <c r="AE132" s="28"/>
      <c r="AF132" s="28"/>
      <c r="AG132" s="28" t="s">
        <v>90</v>
      </c>
      <c r="AH132" s="28" t="s">
        <v>90</v>
      </c>
      <c r="AI132" s="28" t="s">
        <v>90</v>
      </c>
      <c r="AJ132" s="28" t="s">
        <v>90</v>
      </c>
      <c r="AK132" s="28" t="s">
        <v>90</v>
      </c>
      <c r="AL132" s="28" t="s">
        <v>90</v>
      </c>
      <c r="AM132" s="28" t="s">
        <v>90</v>
      </c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9">
        <v>49.38</v>
      </c>
      <c r="AY132" s="31"/>
      <c r="AZ132" s="30"/>
      <c r="BA132" s="29"/>
      <c r="BB132" s="29"/>
      <c r="BC132" s="30"/>
      <c r="BD132" s="31">
        <f t="shared" si="20"/>
        <v>10271.040000000001</v>
      </c>
      <c r="BE132" s="31"/>
      <c r="BF132" s="30"/>
      <c r="BG132" s="36">
        <v>1</v>
      </c>
      <c r="BH132" s="31">
        <f t="shared" si="23"/>
        <v>0</v>
      </c>
      <c r="BI132" s="31">
        <f t="shared" si="24"/>
        <v>0</v>
      </c>
      <c r="BJ132" s="33">
        <f t="shared" si="25"/>
        <v>0</v>
      </c>
      <c r="BK132" s="30"/>
      <c r="BL132" s="30"/>
      <c r="BM132" s="30"/>
      <c r="BN132" s="30"/>
      <c r="BO132" s="33">
        <f t="shared" si="21"/>
        <v>0</v>
      </c>
      <c r="BP132" s="30">
        <v>17</v>
      </c>
      <c r="BQ132" s="30">
        <v>25</v>
      </c>
      <c r="BR132" s="30"/>
      <c r="BS132" s="30"/>
      <c r="BT132" s="34">
        <f t="shared" si="22"/>
        <v>49.38</v>
      </c>
      <c r="BU132" s="34"/>
      <c r="BV132" s="34"/>
      <c r="BW132" s="34"/>
      <c r="BX132" s="34"/>
      <c r="BY132" s="30"/>
      <c r="BZ132" s="31">
        <f t="shared" si="18"/>
        <v>839.46</v>
      </c>
      <c r="CA132" s="31">
        <f t="shared" si="26"/>
        <v>1234.5</v>
      </c>
    </row>
    <row r="133" spans="1:79" ht="51" x14ac:dyDescent="0.25">
      <c r="A133" s="17"/>
      <c r="B133" s="2">
        <v>129</v>
      </c>
      <c r="C133" s="18">
        <v>103</v>
      </c>
      <c r="D133" s="18">
        <v>203</v>
      </c>
      <c r="E133" s="19">
        <v>0.58888888888888891</v>
      </c>
      <c r="F133" s="19">
        <v>0.59583333333333333</v>
      </c>
      <c r="G133" s="18" t="s">
        <v>577</v>
      </c>
      <c r="H133" s="18" t="s">
        <v>306</v>
      </c>
      <c r="I133" s="20">
        <v>6</v>
      </c>
      <c r="J133" s="21" t="s">
        <v>541</v>
      </c>
      <c r="K133" s="22">
        <v>208</v>
      </c>
      <c r="L133" s="23">
        <f t="shared" si="19"/>
        <v>1248</v>
      </c>
      <c r="M133" s="24" t="s">
        <v>542</v>
      </c>
      <c r="N133" s="25" t="s">
        <v>544</v>
      </c>
      <c r="O133" s="25">
        <v>18</v>
      </c>
      <c r="P133" s="25" t="s">
        <v>543</v>
      </c>
      <c r="Q133" s="25">
        <v>9</v>
      </c>
      <c r="R133" s="17"/>
      <c r="S133" s="25"/>
      <c r="T133" s="26">
        <v>1127</v>
      </c>
      <c r="U133" s="26" t="s">
        <v>576</v>
      </c>
      <c r="V133" s="26">
        <v>1122</v>
      </c>
      <c r="W133" s="26" t="s">
        <v>304</v>
      </c>
      <c r="X133" s="66">
        <v>44816</v>
      </c>
      <c r="Y133" s="66">
        <v>45086</v>
      </c>
      <c r="Z133" s="66"/>
      <c r="AA133" s="66"/>
      <c r="AB133" s="26" t="s">
        <v>309</v>
      </c>
      <c r="AC133" s="26"/>
      <c r="AD133" s="28"/>
      <c r="AE133" s="28"/>
      <c r="AF133" s="28"/>
      <c r="AG133" s="28" t="s">
        <v>90</v>
      </c>
      <c r="AH133" s="28" t="s">
        <v>90</v>
      </c>
      <c r="AI133" s="28" t="s">
        <v>90</v>
      </c>
      <c r="AJ133" s="28" t="s">
        <v>90</v>
      </c>
      <c r="AK133" s="28" t="s">
        <v>90</v>
      </c>
      <c r="AL133" s="28" t="s">
        <v>90</v>
      </c>
      <c r="AM133" s="28" t="s">
        <v>90</v>
      </c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9">
        <v>40.119999999999997</v>
      </c>
      <c r="AY133" s="30"/>
      <c r="AZ133" s="30"/>
      <c r="BA133" s="29"/>
      <c r="BB133" s="29"/>
      <c r="BC133" s="30"/>
      <c r="BD133" s="31">
        <f t="shared" si="20"/>
        <v>8344.9599999999991</v>
      </c>
      <c r="BE133" s="31"/>
      <c r="BF133" s="30"/>
      <c r="BG133" s="36">
        <v>1</v>
      </c>
      <c r="BH133" s="31">
        <f t="shared" si="23"/>
        <v>0</v>
      </c>
      <c r="BI133" s="31">
        <f t="shared" si="24"/>
        <v>0</v>
      </c>
      <c r="BJ133" s="33">
        <f t="shared" si="25"/>
        <v>0</v>
      </c>
      <c r="BK133" s="30"/>
      <c r="BL133" s="30"/>
      <c r="BM133" s="30"/>
      <c r="BN133" s="30"/>
      <c r="BO133" s="33">
        <f t="shared" si="21"/>
        <v>0</v>
      </c>
      <c r="BP133" s="30">
        <v>17</v>
      </c>
      <c r="BQ133" s="30">
        <v>25</v>
      </c>
      <c r="BR133" s="30"/>
      <c r="BS133" s="30"/>
      <c r="BT133" s="34">
        <f t="shared" si="22"/>
        <v>40.119999999999997</v>
      </c>
      <c r="BU133" s="34"/>
      <c r="BV133" s="34"/>
      <c r="BW133" s="34"/>
      <c r="BX133" s="34"/>
      <c r="BY133" s="30"/>
      <c r="BZ133" s="31">
        <f t="shared" si="18"/>
        <v>682.04</v>
      </c>
      <c r="CA133" s="31">
        <f t="shared" si="26"/>
        <v>1002.9999999999999</v>
      </c>
    </row>
    <row r="134" spans="1:79" ht="90" x14ac:dyDescent="0.25">
      <c r="A134" s="17"/>
      <c r="B134" s="2">
        <v>130</v>
      </c>
      <c r="C134" s="18">
        <v>103</v>
      </c>
      <c r="D134" s="18">
        <v>232</v>
      </c>
      <c r="E134" s="19">
        <v>0.60763888888888895</v>
      </c>
      <c r="F134" s="19">
        <v>0.61805555555555558</v>
      </c>
      <c r="G134" s="18" t="s">
        <v>578</v>
      </c>
      <c r="H134" s="18" t="s">
        <v>273</v>
      </c>
      <c r="I134" s="20">
        <v>8</v>
      </c>
      <c r="J134" s="21" t="s">
        <v>122</v>
      </c>
      <c r="K134" s="22">
        <v>174</v>
      </c>
      <c r="L134" s="23">
        <f t="shared" si="19"/>
        <v>1392</v>
      </c>
      <c r="M134" s="24" t="s">
        <v>105</v>
      </c>
      <c r="N134" s="25" t="s">
        <v>565</v>
      </c>
      <c r="O134" s="25">
        <v>30</v>
      </c>
      <c r="P134" s="25" t="s">
        <v>566</v>
      </c>
      <c r="Q134" s="25">
        <v>20</v>
      </c>
      <c r="R134" s="25" t="s">
        <v>106</v>
      </c>
      <c r="S134" s="35">
        <v>35</v>
      </c>
      <c r="T134" s="26">
        <v>1100</v>
      </c>
      <c r="U134" s="26" t="s">
        <v>109</v>
      </c>
      <c r="V134" s="26">
        <v>1111</v>
      </c>
      <c r="W134" s="26" t="s">
        <v>567</v>
      </c>
      <c r="X134" s="66">
        <v>44816</v>
      </c>
      <c r="Y134" s="66">
        <v>45086</v>
      </c>
      <c r="Z134" s="66"/>
      <c r="AA134" s="66"/>
      <c r="AB134" s="26" t="s">
        <v>282</v>
      </c>
      <c r="AC134" s="26"/>
      <c r="AD134" s="28"/>
      <c r="AE134" s="28"/>
      <c r="AF134" s="28"/>
      <c r="AG134" s="28" t="s">
        <v>90</v>
      </c>
      <c r="AH134" s="28" t="s">
        <v>90</v>
      </c>
      <c r="AI134" s="28" t="s">
        <v>90</v>
      </c>
      <c r="AJ134" s="28" t="s">
        <v>90</v>
      </c>
      <c r="AK134" s="28" t="s">
        <v>90</v>
      </c>
      <c r="AL134" s="28" t="s">
        <v>90</v>
      </c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31">
        <f>((24*33)+(16*141))/K437</f>
        <v>17.517241379310345</v>
      </c>
      <c r="AY134" s="31"/>
      <c r="AZ134" s="30"/>
      <c r="BA134" s="31"/>
      <c r="BB134" s="31"/>
      <c r="BC134" s="30"/>
      <c r="BD134" s="31">
        <f t="shared" si="20"/>
        <v>3048</v>
      </c>
      <c r="BE134" s="31"/>
      <c r="BF134" s="30"/>
      <c r="BG134" s="36">
        <v>1</v>
      </c>
      <c r="BH134" s="31">
        <f t="shared" si="23"/>
        <v>0</v>
      </c>
      <c r="BI134" s="31">
        <f t="shared" si="24"/>
        <v>0</v>
      </c>
      <c r="BJ134" s="33">
        <f t="shared" si="25"/>
        <v>0</v>
      </c>
      <c r="BK134" s="30"/>
      <c r="BL134" s="30"/>
      <c r="BM134" s="30"/>
      <c r="BN134" s="30"/>
      <c r="BO134" s="33">
        <f t="shared" si="21"/>
        <v>0</v>
      </c>
      <c r="BP134" s="30">
        <v>15</v>
      </c>
      <c r="BQ134" s="30">
        <v>20</v>
      </c>
      <c r="BR134" s="30"/>
      <c r="BS134" s="30"/>
      <c r="BT134" s="34">
        <f t="shared" si="22"/>
        <v>17.517241379310345</v>
      </c>
      <c r="BU134" s="34"/>
      <c r="BV134" s="34"/>
      <c r="BW134" s="34"/>
      <c r="BX134" s="34"/>
      <c r="BY134" s="30"/>
      <c r="BZ134" s="31">
        <f t="shared" si="18"/>
        <v>262.75862068965517</v>
      </c>
      <c r="CA134" s="31">
        <f t="shared" si="26"/>
        <v>350.34482758620692</v>
      </c>
    </row>
    <row r="135" spans="1:79" ht="63.75" x14ac:dyDescent="0.25">
      <c r="A135" s="17"/>
      <c r="B135" s="2">
        <v>131</v>
      </c>
      <c r="C135" s="18">
        <v>103</v>
      </c>
      <c r="D135" s="18">
        <v>185</v>
      </c>
      <c r="E135" s="19">
        <v>0.67986111111111114</v>
      </c>
      <c r="F135" s="19">
        <v>0.68819444444444444</v>
      </c>
      <c r="G135" s="18" t="s">
        <v>579</v>
      </c>
      <c r="H135" s="18" t="s">
        <v>294</v>
      </c>
      <c r="I135" s="20">
        <v>8.8000000000000007</v>
      </c>
      <c r="J135" s="21" t="s">
        <v>494</v>
      </c>
      <c r="K135" s="22">
        <f>34+34+36+33</f>
        <v>137</v>
      </c>
      <c r="L135" s="23">
        <f t="shared" si="19"/>
        <v>1205.6000000000001</v>
      </c>
      <c r="M135" s="24" t="s">
        <v>478</v>
      </c>
      <c r="N135" s="25" t="s">
        <v>572</v>
      </c>
      <c r="O135" s="25">
        <v>21</v>
      </c>
      <c r="P135" s="25" t="s">
        <v>573</v>
      </c>
      <c r="Q135" s="25">
        <v>21</v>
      </c>
      <c r="R135" s="17"/>
      <c r="S135" s="25"/>
      <c r="T135" s="26">
        <v>1122</v>
      </c>
      <c r="U135" s="26" t="s">
        <v>304</v>
      </c>
      <c r="V135" s="26">
        <v>1118</v>
      </c>
      <c r="W135" s="26" t="s">
        <v>580</v>
      </c>
      <c r="X135" s="66">
        <v>44816</v>
      </c>
      <c r="Y135" s="66">
        <v>45086</v>
      </c>
      <c r="Z135" s="66"/>
      <c r="AA135" s="66"/>
      <c r="AB135" s="62" t="s">
        <v>298</v>
      </c>
      <c r="AC135" s="62"/>
      <c r="AD135" s="28"/>
      <c r="AE135" s="28"/>
      <c r="AF135" s="28"/>
      <c r="AG135" s="28" t="s">
        <v>90</v>
      </c>
      <c r="AH135" s="28" t="s">
        <v>90</v>
      </c>
      <c r="AI135" s="28" t="s">
        <v>90</v>
      </c>
      <c r="AJ135" s="28" t="s">
        <v>90</v>
      </c>
      <c r="AK135" s="28" t="s">
        <v>90</v>
      </c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9">
        <v>55.8</v>
      </c>
      <c r="AY135" s="31"/>
      <c r="AZ135" s="30"/>
      <c r="BA135" s="29"/>
      <c r="BB135" s="29"/>
      <c r="BC135" s="30"/>
      <c r="BD135" s="31">
        <f t="shared" si="20"/>
        <v>7644.5999999999995</v>
      </c>
      <c r="BE135" s="31"/>
      <c r="BF135" s="30"/>
      <c r="BG135" s="32">
        <v>2</v>
      </c>
      <c r="BH135" s="31">
        <f t="shared" si="23"/>
        <v>0</v>
      </c>
      <c r="BI135" s="31">
        <f t="shared" si="24"/>
        <v>0</v>
      </c>
      <c r="BJ135" s="33">
        <f t="shared" si="25"/>
        <v>0</v>
      </c>
      <c r="BK135" s="30"/>
      <c r="BL135" s="30"/>
      <c r="BM135" s="30"/>
      <c r="BN135" s="30"/>
      <c r="BO135" s="33">
        <f t="shared" si="21"/>
        <v>0</v>
      </c>
      <c r="BP135" s="30">
        <v>12</v>
      </c>
      <c r="BQ135" s="30">
        <v>16</v>
      </c>
      <c r="BR135" s="30"/>
      <c r="BS135" s="30"/>
      <c r="BT135" s="34">
        <f t="shared" si="22"/>
        <v>55.8</v>
      </c>
      <c r="BU135" s="34"/>
      <c r="BV135" s="34"/>
      <c r="BW135" s="34"/>
      <c r="BX135" s="34"/>
      <c r="BY135" s="30"/>
      <c r="BZ135" s="31">
        <f t="shared" si="18"/>
        <v>669.59999999999991</v>
      </c>
      <c r="CA135" s="31">
        <f t="shared" si="26"/>
        <v>892.8</v>
      </c>
    </row>
    <row r="136" spans="1:79" ht="127.5" x14ac:dyDescent="0.25">
      <c r="A136" s="17" t="s">
        <v>206</v>
      </c>
      <c r="B136" s="2">
        <v>132</v>
      </c>
      <c r="C136" s="18">
        <v>103</v>
      </c>
      <c r="D136" s="18">
        <v>191</v>
      </c>
      <c r="E136" s="19">
        <v>0.68958333333333333</v>
      </c>
      <c r="F136" s="19">
        <v>0.6972222222222223</v>
      </c>
      <c r="G136" s="18" t="s">
        <v>581</v>
      </c>
      <c r="H136" s="18" t="s">
        <v>582</v>
      </c>
      <c r="I136" s="57">
        <v>7.5</v>
      </c>
      <c r="J136" s="21" t="s">
        <v>104</v>
      </c>
      <c r="K136" s="22">
        <v>34</v>
      </c>
      <c r="L136" s="23">
        <f t="shared" si="19"/>
        <v>255</v>
      </c>
      <c r="M136" s="24" t="s">
        <v>105</v>
      </c>
      <c r="N136" s="25" t="s">
        <v>565</v>
      </c>
      <c r="O136" s="25">
        <v>30</v>
      </c>
      <c r="P136" s="25" t="s">
        <v>566</v>
      </c>
      <c r="Q136" s="25">
        <v>20</v>
      </c>
      <c r="R136" s="25" t="s">
        <v>108</v>
      </c>
      <c r="S136" s="35">
        <v>21</v>
      </c>
      <c r="T136" s="26">
        <v>1118</v>
      </c>
      <c r="U136" s="26" t="s">
        <v>580</v>
      </c>
      <c r="V136" s="26" t="s">
        <v>552</v>
      </c>
      <c r="W136" s="26" t="s">
        <v>583</v>
      </c>
      <c r="X136" s="66">
        <v>44816</v>
      </c>
      <c r="Y136" s="66">
        <v>45086</v>
      </c>
      <c r="Z136" s="66"/>
      <c r="AA136" s="66"/>
      <c r="AB136" s="62" t="s">
        <v>584</v>
      </c>
      <c r="AC136" s="62"/>
      <c r="AD136" s="28"/>
      <c r="AE136" s="28"/>
      <c r="AF136" s="28"/>
      <c r="AG136" s="28" t="s">
        <v>90</v>
      </c>
      <c r="AH136" s="28"/>
      <c r="AI136" s="28" t="s">
        <v>90</v>
      </c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9">
        <v>9.9</v>
      </c>
      <c r="AY136" s="31"/>
      <c r="AZ136" s="30"/>
      <c r="BA136" s="29"/>
      <c r="BB136" s="29"/>
      <c r="BC136" s="30"/>
      <c r="BD136" s="31">
        <f t="shared" si="20"/>
        <v>336.6</v>
      </c>
      <c r="BE136" s="31"/>
      <c r="BF136" s="30"/>
      <c r="BG136" s="36">
        <v>1</v>
      </c>
      <c r="BH136" s="31">
        <f t="shared" si="23"/>
        <v>5.0999999999999996</v>
      </c>
      <c r="BI136" s="31">
        <f t="shared" si="24"/>
        <v>0</v>
      </c>
      <c r="BJ136" s="31">
        <f t="shared" si="25"/>
        <v>173.39999999999998</v>
      </c>
      <c r="BK136" s="30"/>
      <c r="BL136" s="30"/>
      <c r="BM136" s="30"/>
      <c r="BN136" s="30"/>
      <c r="BO136" s="33">
        <f t="shared" si="21"/>
        <v>0</v>
      </c>
      <c r="BP136" s="30">
        <v>3</v>
      </c>
      <c r="BQ136" s="30">
        <v>4</v>
      </c>
      <c r="BR136" s="30"/>
      <c r="BS136" s="30"/>
      <c r="BT136" s="34">
        <f t="shared" si="22"/>
        <v>15</v>
      </c>
      <c r="BU136" s="34"/>
      <c r="BV136" s="34"/>
      <c r="BW136" s="34"/>
      <c r="BX136" s="34"/>
      <c r="BY136" s="30"/>
      <c r="BZ136" s="31">
        <f t="shared" si="18"/>
        <v>45</v>
      </c>
      <c r="CA136" s="31">
        <f t="shared" si="26"/>
        <v>60</v>
      </c>
    </row>
    <row r="137" spans="1:79" ht="90" x14ac:dyDescent="0.25">
      <c r="A137" s="17"/>
      <c r="B137" s="2">
        <v>133</v>
      </c>
      <c r="C137" s="48">
        <v>103</v>
      </c>
      <c r="D137" s="60">
        <v>123</v>
      </c>
      <c r="E137" s="49">
        <v>0.78819444444444453</v>
      </c>
      <c r="F137" s="49">
        <v>0.80208333333333337</v>
      </c>
      <c r="G137" s="51" t="s">
        <v>585</v>
      </c>
      <c r="H137" s="18" t="s">
        <v>349</v>
      </c>
      <c r="I137" s="48">
        <v>11</v>
      </c>
      <c r="J137" s="52">
        <v>30</v>
      </c>
      <c r="K137" s="22">
        <v>202</v>
      </c>
      <c r="L137" s="23">
        <f t="shared" si="19"/>
        <v>2222</v>
      </c>
      <c r="M137" s="24" t="s">
        <v>105</v>
      </c>
      <c r="N137" s="25" t="s">
        <v>565</v>
      </c>
      <c r="O137" s="25">
        <v>30</v>
      </c>
      <c r="P137" s="25" t="s">
        <v>108</v>
      </c>
      <c r="Q137" s="25">
        <v>21</v>
      </c>
      <c r="R137" s="25" t="s">
        <v>106</v>
      </c>
      <c r="S137" s="35">
        <v>35</v>
      </c>
      <c r="T137" s="26">
        <v>1100</v>
      </c>
      <c r="U137" s="26" t="s">
        <v>586</v>
      </c>
      <c r="V137" s="26">
        <v>1</v>
      </c>
      <c r="W137" s="26" t="s">
        <v>587</v>
      </c>
      <c r="X137" s="27">
        <v>44816</v>
      </c>
      <c r="Y137" s="27">
        <v>45100</v>
      </c>
      <c r="Z137" s="27"/>
      <c r="AA137" s="27"/>
      <c r="AB137" s="26" t="s">
        <v>351</v>
      </c>
      <c r="AC137" s="26"/>
      <c r="AD137" s="26" t="s">
        <v>90</v>
      </c>
      <c r="AE137" s="26"/>
      <c r="AF137" s="26" t="s">
        <v>90</v>
      </c>
      <c r="AG137" s="26"/>
      <c r="AH137" s="26" t="s">
        <v>90</v>
      </c>
      <c r="AI137" s="26" t="s">
        <v>90</v>
      </c>
      <c r="AJ137" s="26" t="s">
        <v>90</v>
      </c>
      <c r="AK137" s="26" t="s">
        <v>90</v>
      </c>
      <c r="AL137" s="26" t="s">
        <v>90</v>
      </c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30"/>
      <c r="AY137" s="31">
        <f>2.2*11</f>
        <v>24.200000000000003</v>
      </c>
      <c r="AZ137" s="30"/>
      <c r="BA137" s="42"/>
      <c r="BB137" s="42"/>
      <c r="BC137" s="30"/>
      <c r="BD137" s="31">
        <f t="shared" si="20"/>
        <v>0</v>
      </c>
      <c r="BE137" s="31">
        <f>AY137*K137</f>
        <v>4888.4000000000005</v>
      </c>
      <c r="BF137" s="30"/>
      <c r="BG137" s="36">
        <v>1</v>
      </c>
      <c r="BH137" s="30"/>
      <c r="BI137" s="31"/>
      <c r="BJ137" s="30"/>
      <c r="BK137" s="31">
        <f>IF(AND((AY137/I137)&lt;2,BG137=1),(I137*2)-AY137,0)</f>
        <v>0</v>
      </c>
      <c r="BL137" s="31">
        <f>IF(AND((AY137/I137)&lt;3,BG137=2),(I137*3)-AY137,0)</f>
        <v>0</v>
      </c>
      <c r="BM137" s="33">
        <f>(BK137+BL137)*K137</f>
        <v>0</v>
      </c>
      <c r="BN137" s="30"/>
      <c r="BO137" s="33">
        <f t="shared" si="21"/>
        <v>0</v>
      </c>
      <c r="BP137" s="30">
        <v>15</v>
      </c>
      <c r="BQ137" s="30">
        <v>21</v>
      </c>
      <c r="BR137" s="30"/>
      <c r="BS137" s="30"/>
      <c r="BT137" s="34">
        <f t="shared" si="22"/>
        <v>24.200000000000003</v>
      </c>
      <c r="BU137" s="34"/>
      <c r="BV137" s="34"/>
      <c r="BW137" s="34"/>
      <c r="BX137" s="34"/>
      <c r="BY137" s="30"/>
      <c r="BZ137" s="31">
        <f t="shared" si="18"/>
        <v>363.00000000000006</v>
      </c>
      <c r="CA137" s="31">
        <f t="shared" si="26"/>
        <v>508.20000000000005</v>
      </c>
    </row>
    <row r="138" spans="1:79" ht="90.75" x14ac:dyDescent="0.25">
      <c r="A138" s="17"/>
      <c r="B138" s="2">
        <v>134</v>
      </c>
      <c r="C138" s="48">
        <v>103</v>
      </c>
      <c r="D138" s="48">
        <v>325</v>
      </c>
      <c r="E138" s="49">
        <v>0.78819444444444453</v>
      </c>
      <c r="F138" s="49">
        <v>0.80208333333333337</v>
      </c>
      <c r="G138" s="51" t="s">
        <v>585</v>
      </c>
      <c r="H138" s="51" t="s">
        <v>588</v>
      </c>
      <c r="I138" s="48">
        <v>11</v>
      </c>
      <c r="J138" s="52">
        <v>19</v>
      </c>
      <c r="K138" s="22">
        <v>55</v>
      </c>
      <c r="L138" s="23">
        <f t="shared" si="19"/>
        <v>605</v>
      </c>
      <c r="M138" s="24" t="s">
        <v>589</v>
      </c>
      <c r="N138" s="25" t="s">
        <v>590</v>
      </c>
      <c r="O138" s="25">
        <v>21</v>
      </c>
      <c r="P138" s="25" t="s">
        <v>591</v>
      </c>
      <c r="Q138" s="25">
        <v>23</v>
      </c>
      <c r="R138" s="17"/>
      <c r="S138" s="25"/>
      <c r="T138" s="26">
        <v>1100</v>
      </c>
      <c r="U138" s="26" t="s">
        <v>109</v>
      </c>
      <c r="V138" s="26">
        <v>1</v>
      </c>
      <c r="W138" s="26" t="s">
        <v>300</v>
      </c>
      <c r="X138" s="27">
        <v>44562</v>
      </c>
      <c r="Y138" s="27">
        <v>44815</v>
      </c>
      <c r="Z138" s="27">
        <v>45101</v>
      </c>
      <c r="AA138" s="27">
        <v>45169</v>
      </c>
      <c r="AB138" s="28" t="s">
        <v>353</v>
      </c>
      <c r="AC138" s="28"/>
      <c r="AD138" s="28"/>
      <c r="AE138" s="28" t="s">
        <v>90</v>
      </c>
      <c r="AF138" s="28" t="s">
        <v>90</v>
      </c>
      <c r="AG138" s="28"/>
      <c r="AH138" s="28" t="s">
        <v>90</v>
      </c>
      <c r="AI138" s="28" t="s">
        <v>90</v>
      </c>
      <c r="AJ138" s="28" t="s">
        <v>90</v>
      </c>
      <c r="AK138" s="28" t="s">
        <v>90</v>
      </c>
      <c r="AL138" s="28" t="s">
        <v>90</v>
      </c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31"/>
      <c r="AY138" s="31"/>
      <c r="AZ138" s="30"/>
      <c r="BA138" s="55" t="s">
        <v>589</v>
      </c>
      <c r="BB138" s="55"/>
      <c r="BC138" s="30"/>
      <c r="BD138" s="31">
        <f t="shared" si="20"/>
        <v>0</v>
      </c>
      <c r="BE138" s="30"/>
      <c r="BF138" s="30"/>
      <c r="BG138" s="36">
        <v>1</v>
      </c>
      <c r="BH138" s="30"/>
      <c r="BI138" s="31"/>
      <c r="BJ138" s="30"/>
      <c r="BK138" s="30"/>
      <c r="BL138" s="30"/>
      <c r="BM138" s="30"/>
      <c r="BN138" s="30"/>
      <c r="BO138" s="33">
        <f t="shared" si="21"/>
        <v>0</v>
      </c>
      <c r="BP138" s="30">
        <v>7</v>
      </c>
      <c r="BQ138" s="30">
        <v>0</v>
      </c>
      <c r="BR138" s="30"/>
      <c r="BS138" s="30"/>
      <c r="BT138" s="34">
        <f t="shared" si="22"/>
        <v>0</v>
      </c>
      <c r="BU138" s="34" t="s">
        <v>446</v>
      </c>
      <c r="BV138" s="30">
        <v>1</v>
      </c>
      <c r="BW138" s="30">
        <v>1</v>
      </c>
      <c r="BX138" s="34">
        <v>3250</v>
      </c>
      <c r="BY138" s="30"/>
      <c r="BZ138" s="31">
        <f t="shared" si="18"/>
        <v>3250</v>
      </c>
      <c r="CA138" s="31">
        <f t="shared" si="26"/>
        <v>3250</v>
      </c>
    </row>
    <row r="139" spans="1:79" ht="90" x14ac:dyDescent="0.25">
      <c r="A139" s="17"/>
      <c r="B139" s="2">
        <v>135</v>
      </c>
      <c r="C139" s="48">
        <v>103</v>
      </c>
      <c r="D139" s="60">
        <v>248</v>
      </c>
      <c r="E139" s="49">
        <v>0.8125</v>
      </c>
      <c r="F139" s="49">
        <v>0.82638888888888884</v>
      </c>
      <c r="G139" s="51" t="s">
        <v>563</v>
      </c>
      <c r="H139" s="48" t="s">
        <v>454</v>
      </c>
      <c r="I139" s="48">
        <v>11</v>
      </c>
      <c r="J139" s="52">
        <v>30</v>
      </c>
      <c r="K139" s="22">
        <v>304</v>
      </c>
      <c r="L139" s="23">
        <f t="shared" si="19"/>
        <v>3344</v>
      </c>
      <c r="M139" s="24" t="s">
        <v>105</v>
      </c>
      <c r="N139" s="25" t="s">
        <v>565</v>
      </c>
      <c r="O139" s="25">
        <v>30</v>
      </c>
      <c r="P139" s="25" t="s">
        <v>108</v>
      </c>
      <c r="Q139" s="25">
        <v>21</v>
      </c>
      <c r="R139" s="25" t="s">
        <v>107</v>
      </c>
      <c r="S139" s="25">
        <v>23</v>
      </c>
      <c r="T139" s="26">
        <v>1</v>
      </c>
      <c r="U139" s="26" t="s">
        <v>179</v>
      </c>
      <c r="V139" s="26">
        <v>1100</v>
      </c>
      <c r="W139" s="26" t="s">
        <v>109</v>
      </c>
      <c r="X139" s="66">
        <v>44805</v>
      </c>
      <c r="Y139" s="66">
        <v>45169</v>
      </c>
      <c r="Z139" s="66"/>
      <c r="AA139" s="66"/>
      <c r="AB139" s="28" t="s">
        <v>459</v>
      </c>
      <c r="AC139" s="28"/>
      <c r="AD139" s="28" t="s">
        <v>90</v>
      </c>
      <c r="AE139" s="28" t="s">
        <v>90</v>
      </c>
      <c r="AF139" s="28" t="s">
        <v>90</v>
      </c>
      <c r="AG139" s="28"/>
      <c r="AH139" s="28" t="s">
        <v>90</v>
      </c>
      <c r="AI139" s="28" t="s">
        <v>90</v>
      </c>
      <c r="AJ139" s="28" t="s">
        <v>90</v>
      </c>
      <c r="AK139" s="28" t="s">
        <v>90</v>
      </c>
      <c r="AL139" s="28" t="s">
        <v>90</v>
      </c>
      <c r="AM139" s="28" t="s">
        <v>90</v>
      </c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31"/>
      <c r="AY139" s="31">
        <f>2.2*11</f>
        <v>24.200000000000003</v>
      </c>
      <c r="AZ139" s="30"/>
      <c r="BA139" s="42"/>
      <c r="BB139" s="42"/>
      <c r="BC139" s="30"/>
      <c r="BD139" s="31">
        <f t="shared" si="20"/>
        <v>0</v>
      </c>
      <c r="BE139" s="31">
        <f>AY139*K139</f>
        <v>7356.8000000000011</v>
      </c>
      <c r="BF139" s="30"/>
      <c r="BG139" s="36">
        <v>1</v>
      </c>
      <c r="BH139" s="30"/>
      <c r="BI139" s="31"/>
      <c r="BJ139" s="30"/>
      <c r="BK139" s="31">
        <f>IF(AND((AY139/I139)&lt;2,BG139=1),(I139*2)-AY139,0)</f>
        <v>0</v>
      </c>
      <c r="BL139" s="31">
        <f>IF(AND((AY139/I139)&lt;3,BG139=2),(I139*3)-AY139,0)</f>
        <v>0</v>
      </c>
      <c r="BM139" s="33">
        <f>(BK139+BL139)*K139</f>
        <v>0</v>
      </c>
      <c r="BN139" s="30"/>
      <c r="BO139" s="33">
        <f t="shared" si="21"/>
        <v>0</v>
      </c>
      <c r="BP139" s="30">
        <v>26</v>
      </c>
      <c r="BQ139" s="30">
        <v>26</v>
      </c>
      <c r="BR139" s="30"/>
      <c r="BS139" s="30"/>
      <c r="BT139" s="34">
        <f t="shared" si="22"/>
        <v>24.200000000000003</v>
      </c>
      <c r="BU139" s="34"/>
      <c r="BV139" s="34"/>
      <c r="BW139" s="34"/>
      <c r="BX139" s="34"/>
      <c r="BY139" s="30"/>
      <c r="BZ139" s="31">
        <f t="shared" si="18"/>
        <v>629.20000000000005</v>
      </c>
      <c r="CA139" s="31">
        <f t="shared" si="26"/>
        <v>629.20000000000005</v>
      </c>
    </row>
    <row r="140" spans="1:79" ht="67.5" x14ac:dyDescent="0.25">
      <c r="A140" s="17"/>
      <c r="B140" s="2">
        <v>136</v>
      </c>
      <c r="C140" s="18">
        <v>105</v>
      </c>
      <c r="D140" s="21">
        <v>639</v>
      </c>
      <c r="E140" s="19">
        <v>0.25138888888888888</v>
      </c>
      <c r="F140" s="19">
        <v>0.27083333333333331</v>
      </c>
      <c r="G140" s="18" t="s">
        <v>592</v>
      </c>
      <c r="H140" s="18" t="s">
        <v>273</v>
      </c>
      <c r="I140" s="20">
        <v>13.5</v>
      </c>
      <c r="J140" s="21" t="s">
        <v>494</v>
      </c>
      <c r="K140" s="22">
        <v>174</v>
      </c>
      <c r="L140" s="23">
        <f t="shared" si="19"/>
        <v>2349</v>
      </c>
      <c r="M140" s="24" t="s">
        <v>486</v>
      </c>
      <c r="N140" s="25" t="s">
        <v>495</v>
      </c>
      <c r="O140" s="45">
        <v>46</v>
      </c>
      <c r="P140" s="25" t="s">
        <v>496</v>
      </c>
      <c r="Q140" s="45">
        <v>45</v>
      </c>
      <c r="R140" s="17"/>
      <c r="S140" s="45"/>
      <c r="T140" s="26">
        <v>1074</v>
      </c>
      <c r="U140" s="26" t="s">
        <v>593</v>
      </c>
      <c r="V140" s="26" t="s">
        <v>491</v>
      </c>
      <c r="W140" s="26" t="s">
        <v>492</v>
      </c>
      <c r="X140" s="66">
        <v>44816</v>
      </c>
      <c r="Y140" s="66">
        <v>45086</v>
      </c>
      <c r="Z140" s="66"/>
      <c r="AA140" s="66"/>
      <c r="AB140" s="26" t="s">
        <v>282</v>
      </c>
      <c r="AC140" s="26"/>
      <c r="AD140" s="28"/>
      <c r="AE140" s="28"/>
      <c r="AF140" s="28"/>
      <c r="AG140" s="28" t="s">
        <v>90</v>
      </c>
      <c r="AH140" s="28" t="s">
        <v>90</v>
      </c>
      <c r="AI140" s="28" t="s">
        <v>90</v>
      </c>
      <c r="AJ140" s="28" t="s">
        <v>90</v>
      </c>
      <c r="AK140" s="28" t="s">
        <v>90</v>
      </c>
      <c r="AL140" s="28" t="s">
        <v>90</v>
      </c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31">
        <f>25+3*3.5</f>
        <v>35.5</v>
      </c>
      <c r="AY140" s="31"/>
      <c r="AZ140" s="30"/>
      <c r="BA140" s="29"/>
      <c r="BB140" s="29"/>
      <c r="BC140" s="30"/>
      <c r="BD140" s="31">
        <f t="shared" si="20"/>
        <v>6177</v>
      </c>
      <c r="BE140" s="31"/>
      <c r="BF140" s="30"/>
      <c r="BG140" s="32">
        <v>2</v>
      </c>
      <c r="BH140" s="53"/>
      <c r="BI140" s="53"/>
      <c r="BJ140" s="54"/>
      <c r="BK140" s="30"/>
      <c r="BL140" s="30"/>
      <c r="BM140" s="30"/>
      <c r="BN140" s="31">
        <f>IF((AX140+AY140+AZ140)&lt;20,(20-(AX140+AY140+AZ140)),0)</f>
        <v>0</v>
      </c>
      <c r="BO140" s="33">
        <f t="shared" si="21"/>
        <v>0</v>
      </c>
      <c r="BP140" s="30">
        <v>15</v>
      </c>
      <c r="BQ140" s="30">
        <v>20</v>
      </c>
      <c r="BR140" s="30"/>
      <c r="BS140" s="30"/>
      <c r="BT140" s="34">
        <f t="shared" si="22"/>
        <v>35.5</v>
      </c>
      <c r="BU140" s="34"/>
      <c r="BV140" s="34"/>
      <c r="BW140" s="34"/>
      <c r="BX140" s="34"/>
      <c r="BY140" s="30"/>
      <c r="BZ140" s="31">
        <f t="shared" si="18"/>
        <v>532.5</v>
      </c>
      <c r="CA140" s="31">
        <f t="shared" si="26"/>
        <v>710</v>
      </c>
    </row>
    <row r="141" spans="1:79" ht="67.5" x14ac:dyDescent="0.25">
      <c r="A141" s="17"/>
      <c r="B141" s="2">
        <v>137</v>
      </c>
      <c r="C141" s="18">
        <v>105</v>
      </c>
      <c r="D141" s="21">
        <v>233</v>
      </c>
      <c r="E141" s="19">
        <v>0.29583333333333334</v>
      </c>
      <c r="F141" s="19">
        <v>0.30486111111111108</v>
      </c>
      <c r="G141" s="18" t="s">
        <v>594</v>
      </c>
      <c r="H141" s="18" t="s">
        <v>273</v>
      </c>
      <c r="I141" s="20">
        <v>6</v>
      </c>
      <c r="J141" s="21" t="s">
        <v>122</v>
      </c>
      <c r="K141" s="22">
        <v>174</v>
      </c>
      <c r="L141" s="23">
        <f t="shared" si="19"/>
        <v>1044</v>
      </c>
      <c r="M141" s="24" t="s">
        <v>486</v>
      </c>
      <c r="N141" s="25" t="s">
        <v>511</v>
      </c>
      <c r="O141" s="25">
        <v>24</v>
      </c>
      <c r="P141" s="25" t="s">
        <v>525</v>
      </c>
      <c r="Q141" s="25">
        <v>21</v>
      </c>
      <c r="R141" s="17"/>
      <c r="S141" s="25"/>
      <c r="T141" s="26">
        <v>1075</v>
      </c>
      <c r="U141" s="26" t="s">
        <v>595</v>
      </c>
      <c r="V141" s="26">
        <v>1072</v>
      </c>
      <c r="W141" s="26" t="s">
        <v>281</v>
      </c>
      <c r="X141" s="66">
        <v>44816</v>
      </c>
      <c r="Y141" s="66">
        <v>45086</v>
      </c>
      <c r="Z141" s="66"/>
      <c r="AA141" s="66"/>
      <c r="AB141" s="26" t="s">
        <v>282</v>
      </c>
      <c r="AC141" s="26"/>
      <c r="AD141" s="28"/>
      <c r="AE141" s="28"/>
      <c r="AF141" s="28"/>
      <c r="AG141" s="28" t="s">
        <v>90</v>
      </c>
      <c r="AH141" s="28" t="s">
        <v>90</v>
      </c>
      <c r="AI141" s="28" t="s">
        <v>90</v>
      </c>
      <c r="AJ141" s="28" t="s">
        <v>90</v>
      </c>
      <c r="AK141" s="28" t="s">
        <v>90</v>
      </c>
      <c r="AL141" s="28" t="s">
        <v>90</v>
      </c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9">
        <v>18.87</v>
      </c>
      <c r="AY141" s="31"/>
      <c r="AZ141" s="30"/>
      <c r="BA141" s="29"/>
      <c r="BB141" s="29"/>
      <c r="BC141" s="30"/>
      <c r="BD141" s="31">
        <f t="shared" si="20"/>
        <v>3283.38</v>
      </c>
      <c r="BE141" s="31"/>
      <c r="BF141" s="30"/>
      <c r="BG141" s="36">
        <v>1</v>
      </c>
      <c r="BH141" s="31">
        <f t="shared" ref="BH141:BH146" si="27">IF(AND((AX141/I141)&lt;2,BG141=1),(I141*2)-AX141,0)</f>
        <v>0</v>
      </c>
      <c r="BI141" s="31">
        <f t="shared" ref="BI141:BI146" si="28">IF(AND((AX141/I141)&lt;3,BG141=2),(I141*3)-AX141,0)</f>
        <v>0</v>
      </c>
      <c r="BJ141" s="33">
        <f t="shared" ref="BJ141:BJ146" si="29">(BH141+BI141)*K141</f>
        <v>0</v>
      </c>
      <c r="BK141" s="30"/>
      <c r="BL141" s="30"/>
      <c r="BM141" s="30"/>
      <c r="BN141" s="30"/>
      <c r="BO141" s="33">
        <f t="shared" si="21"/>
        <v>0</v>
      </c>
      <c r="BP141" s="30">
        <v>15</v>
      </c>
      <c r="BQ141" s="30">
        <v>20</v>
      </c>
      <c r="BR141" s="30"/>
      <c r="BS141" s="30"/>
      <c r="BT141" s="34">
        <f t="shared" si="22"/>
        <v>18.87</v>
      </c>
      <c r="BU141" s="34"/>
      <c r="BV141" s="34"/>
      <c r="BW141" s="34"/>
      <c r="BX141" s="34"/>
      <c r="BY141" s="30"/>
      <c r="BZ141" s="31">
        <f t="shared" si="18"/>
        <v>283.05</v>
      </c>
      <c r="CA141" s="31">
        <f t="shared" si="26"/>
        <v>377.40000000000003</v>
      </c>
    </row>
    <row r="142" spans="1:79" ht="67.5" x14ac:dyDescent="0.25">
      <c r="A142" s="17"/>
      <c r="B142" s="2">
        <v>138</v>
      </c>
      <c r="C142" s="18">
        <v>105</v>
      </c>
      <c r="D142" s="21">
        <v>234</v>
      </c>
      <c r="E142" s="19">
        <v>0.32013888888888892</v>
      </c>
      <c r="F142" s="19">
        <v>0.33055555555555555</v>
      </c>
      <c r="G142" s="18" t="s">
        <v>596</v>
      </c>
      <c r="H142" s="18" t="s">
        <v>306</v>
      </c>
      <c r="I142" s="20">
        <v>5.5</v>
      </c>
      <c r="J142" s="21" t="s">
        <v>122</v>
      </c>
      <c r="K142" s="22">
        <v>208</v>
      </c>
      <c r="L142" s="23">
        <f t="shared" si="19"/>
        <v>1144</v>
      </c>
      <c r="M142" s="24" t="s">
        <v>486</v>
      </c>
      <c r="N142" s="25" t="s">
        <v>511</v>
      </c>
      <c r="O142" s="25">
        <v>24</v>
      </c>
      <c r="P142" s="25" t="s">
        <v>525</v>
      </c>
      <c r="Q142" s="25">
        <v>21</v>
      </c>
      <c r="R142" s="17"/>
      <c r="S142" s="25"/>
      <c r="T142" s="26">
        <v>1072</v>
      </c>
      <c r="U142" s="26" t="s">
        <v>281</v>
      </c>
      <c r="V142" s="26">
        <v>1075</v>
      </c>
      <c r="W142" s="26" t="s">
        <v>595</v>
      </c>
      <c r="X142" s="66">
        <v>44816</v>
      </c>
      <c r="Y142" s="66">
        <v>45086</v>
      </c>
      <c r="Z142" s="66"/>
      <c r="AA142" s="66"/>
      <c r="AB142" s="26" t="s">
        <v>309</v>
      </c>
      <c r="AC142" s="26"/>
      <c r="AD142" s="28"/>
      <c r="AE142" s="28"/>
      <c r="AF142" s="28"/>
      <c r="AG142" s="28" t="s">
        <v>90</v>
      </c>
      <c r="AH142" s="28" t="s">
        <v>90</v>
      </c>
      <c r="AI142" s="28" t="s">
        <v>90</v>
      </c>
      <c r="AJ142" s="28" t="s">
        <v>90</v>
      </c>
      <c r="AK142" s="28" t="s">
        <v>90</v>
      </c>
      <c r="AL142" s="28" t="s">
        <v>90</v>
      </c>
      <c r="AM142" s="28" t="s">
        <v>90</v>
      </c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9">
        <v>11.3</v>
      </c>
      <c r="AY142" s="31"/>
      <c r="AZ142" s="30"/>
      <c r="BA142" s="29"/>
      <c r="BB142" s="29"/>
      <c r="BC142" s="30"/>
      <c r="BD142" s="31">
        <f t="shared" si="20"/>
        <v>2350.4</v>
      </c>
      <c r="BE142" s="31"/>
      <c r="BF142" s="30"/>
      <c r="BG142" s="36">
        <v>1</v>
      </c>
      <c r="BH142" s="31">
        <f t="shared" si="27"/>
        <v>0</v>
      </c>
      <c r="BI142" s="31">
        <f t="shared" si="28"/>
        <v>0</v>
      </c>
      <c r="BJ142" s="33">
        <f t="shared" si="29"/>
        <v>0</v>
      </c>
      <c r="BK142" s="30"/>
      <c r="BL142" s="30"/>
      <c r="BM142" s="30"/>
      <c r="BN142" s="30"/>
      <c r="BO142" s="33">
        <f t="shared" si="21"/>
        <v>0</v>
      </c>
      <c r="BP142" s="30">
        <v>17</v>
      </c>
      <c r="BQ142" s="30">
        <v>25</v>
      </c>
      <c r="BR142" s="30"/>
      <c r="BS142" s="30"/>
      <c r="BT142" s="34">
        <f t="shared" si="22"/>
        <v>11.3</v>
      </c>
      <c r="BU142" s="34"/>
      <c r="BV142" s="34"/>
      <c r="BW142" s="34"/>
      <c r="BX142" s="34"/>
      <c r="BY142" s="30"/>
      <c r="BZ142" s="31">
        <f t="shared" si="18"/>
        <v>192.10000000000002</v>
      </c>
      <c r="CA142" s="31">
        <f t="shared" si="26"/>
        <v>282.5</v>
      </c>
    </row>
    <row r="143" spans="1:79" ht="67.5" x14ac:dyDescent="0.25">
      <c r="A143" s="17"/>
      <c r="B143" s="2">
        <v>139</v>
      </c>
      <c r="C143" s="18">
        <v>105</v>
      </c>
      <c r="D143" s="21">
        <v>151</v>
      </c>
      <c r="E143" s="19">
        <v>0.33055555555555555</v>
      </c>
      <c r="F143" s="19">
        <v>0.33958333333333335</v>
      </c>
      <c r="G143" s="18" t="s">
        <v>594</v>
      </c>
      <c r="H143" s="18" t="s">
        <v>306</v>
      </c>
      <c r="I143" s="20">
        <v>5.5</v>
      </c>
      <c r="J143" s="21" t="s">
        <v>122</v>
      </c>
      <c r="K143" s="22">
        <v>208</v>
      </c>
      <c r="L143" s="23">
        <f t="shared" si="19"/>
        <v>1144</v>
      </c>
      <c r="M143" s="24" t="s">
        <v>486</v>
      </c>
      <c r="N143" s="25" t="s">
        <v>511</v>
      </c>
      <c r="O143" s="25">
        <v>24</v>
      </c>
      <c r="P143" s="25" t="s">
        <v>525</v>
      </c>
      <c r="Q143" s="25">
        <v>21</v>
      </c>
      <c r="R143" s="17"/>
      <c r="S143" s="25"/>
      <c r="T143" s="26">
        <v>1075</v>
      </c>
      <c r="U143" s="26" t="s">
        <v>595</v>
      </c>
      <c r="V143" s="26">
        <v>1072</v>
      </c>
      <c r="W143" s="26" t="s">
        <v>281</v>
      </c>
      <c r="X143" s="66">
        <v>44816</v>
      </c>
      <c r="Y143" s="66">
        <v>45086</v>
      </c>
      <c r="Z143" s="66"/>
      <c r="AA143" s="66"/>
      <c r="AB143" s="26" t="s">
        <v>309</v>
      </c>
      <c r="AC143" s="26"/>
      <c r="AD143" s="28"/>
      <c r="AE143" s="28"/>
      <c r="AF143" s="28"/>
      <c r="AG143" s="28" t="s">
        <v>90</v>
      </c>
      <c r="AH143" s="28" t="s">
        <v>90</v>
      </c>
      <c r="AI143" s="28" t="s">
        <v>90</v>
      </c>
      <c r="AJ143" s="28" t="s">
        <v>90</v>
      </c>
      <c r="AK143" s="28" t="s">
        <v>90</v>
      </c>
      <c r="AL143" s="28" t="s">
        <v>90</v>
      </c>
      <c r="AM143" s="28" t="s">
        <v>90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9">
        <v>33.94</v>
      </c>
      <c r="AY143" s="31"/>
      <c r="AZ143" s="30"/>
      <c r="BA143" s="29"/>
      <c r="BB143" s="29"/>
      <c r="BC143" s="30"/>
      <c r="BD143" s="31">
        <f t="shared" si="20"/>
        <v>7059.5199999999995</v>
      </c>
      <c r="BE143" s="31"/>
      <c r="BF143" s="30"/>
      <c r="BG143" s="36">
        <v>1</v>
      </c>
      <c r="BH143" s="31">
        <f t="shared" si="27"/>
        <v>0</v>
      </c>
      <c r="BI143" s="31">
        <f t="shared" si="28"/>
        <v>0</v>
      </c>
      <c r="BJ143" s="33">
        <f t="shared" si="29"/>
        <v>0</v>
      </c>
      <c r="BK143" s="30"/>
      <c r="BL143" s="30"/>
      <c r="BM143" s="30"/>
      <c r="BN143" s="30"/>
      <c r="BO143" s="33">
        <f t="shared" si="21"/>
        <v>0</v>
      </c>
      <c r="BP143" s="30">
        <v>17</v>
      </c>
      <c r="BQ143" s="30">
        <v>25</v>
      </c>
      <c r="BR143" s="30"/>
      <c r="BS143" s="30"/>
      <c r="BT143" s="34">
        <f t="shared" si="22"/>
        <v>33.94</v>
      </c>
      <c r="BU143" s="34"/>
      <c r="BV143" s="34"/>
      <c r="BW143" s="34"/>
      <c r="BX143" s="34"/>
      <c r="BY143" s="30"/>
      <c r="BZ143" s="31">
        <f t="shared" si="18"/>
        <v>576.98</v>
      </c>
      <c r="CA143" s="31">
        <f t="shared" si="26"/>
        <v>848.5</v>
      </c>
    </row>
    <row r="144" spans="1:79" ht="67.5" x14ac:dyDescent="0.25">
      <c r="A144" s="17"/>
      <c r="B144" s="2">
        <v>140</v>
      </c>
      <c r="C144" s="18">
        <v>105</v>
      </c>
      <c r="D144" s="21">
        <v>216</v>
      </c>
      <c r="E144" s="19">
        <v>0.49375000000000002</v>
      </c>
      <c r="F144" s="19">
        <v>0.50416666666666665</v>
      </c>
      <c r="G144" s="18" t="s">
        <v>596</v>
      </c>
      <c r="H144" s="18" t="s">
        <v>273</v>
      </c>
      <c r="I144" s="20">
        <v>5.5</v>
      </c>
      <c r="J144" s="21" t="s">
        <v>122</v>
      </c>
      <c r="K144" s="22">
        <v>174</v>
      </c>
      <c r="L144" s="23">
        <f t="shared" si="19"/>
        <v>957</v>
      </c>
      <c r="M144" s="24" t="s">
        <v>486</v>
      </c>
      <c r="N144" s="25" t="s">
        <v>511</v>
      </c>
      <c r="O144" s="25">
        <v>24</v>
      </c>
      <c r="P144" s="25" t="s">
        <v>525</v>
      </c>
      <c r="Q144" s="25">
        <v>21</v>
      </c>
      <c r="R144" s="17"/>
      <c r="S144" s="25"/>
      <c r="T144" s="26">
        <v>1072</v>
      </c>
      <c r="U144" s="26" t="s">
        <v>281</v>
      </c>
      <c r="V144" s="26">
        <v>1075</v>
      </c>
      <c r="W144" s="26" t="s">
        <v>595</v>
      </c>
      <c r="X144" s="66">
        <v>44816</v>
      </c>
      <c r="Y144" s="66">
        <v>45086</v>
      </c>
      <c r="Z144" s="66"/>
      <c r="AA144" s="66"/>
      <c r="AB144" s="26" t="s">
        <v>282</v>
      </c>
      <c r="AC144" s="26"/>
      <c r="AD144" s="28"/>
      <c r="AE144" s="28"/>
      <c r="AF144" s="28"/>
      <c r="AG144" s="28" t="s">
        <v>90</v>
      </c>
      <c r="AH144" s="28" t="s">
        <v>90</v>
      </c>
      <c r="AI144" s="28" t="s">
        <v>90</v>
      </c>
      <c r="AJ144" s="28" t="s">
        <v>90</v>
      </c>
      <c r="AK144" s="28" t="s">
        <v>90</v>
      </c>
      <c r="AL144" s="28" t="s">
        <v>90</v>
      </c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9">
        <v>33.94</v>
      </c>
      <c r="AY144" s="31"/>
      <c r="AZ144" s="30"/>
      <c r="BA144" s="29"/>
      <c r="BB144" s="29"/>
      <c r="BC144" s="30"/>
      <c r="BD144" s="31">
        <f t="shared" si="20"/>
        <v>5905.5599999999995</v>
      </c>
      <c r="BE144" s="31"/>
      <c r="BF144" s="30"/>
      <c r="BG144" s="36">
        <v>1</v>
      </c>
      <c r="BH144" s="31">
        <f t="shared" si="27"/>
        <v>0</v>
      </c>
      <c r="BI144" s="31">
        <f t="shared" si="28"/>
        <v>0</v>
      </c>
      <c r="BJ144" s="33">
        <f t="shared" si="29"/>
        <v>0</v>
      </c>
      <c r="BK144" s="30"/>
      <c r="BL144" s="30"/>
      <c r="BM144" s="30"/>
      <c r="BN144" s="30"/>
      <c r="BO144" s="33">
        <f t="shared" si="21"/>
        <v>0</v>
      </c>
      <c r="BP144" s="30">
        <v>15</v>
      </c>
      <c r="BQ144" s="30">
        <v>20</v>
      </c>
      <c r="BR144" s="30"/>
      <c r="BS144" s="30"/>
      <c r="BT144" s="34">
        <f t="shared" si="22"/>
        <v>33.94</v>
      </c>
      <c r="BU144" s="34"/>
      <c r="BV144" s="34"/>
      <c r="BW144" s="34"/>
      <c r="BX144" s="34"/>
      <c r="BY144" s="30"/>
      <c r="BZ144" s="31">
        <f t="shared" si="18"/>
        <v>509.09999999999997</v>
      </c>
      <c r="CA144" s="31">
        <f t="shared" si="26"/>
        <v>678.8</v>
      </c>
    </row>
    <row r="145" spans="1:79" ht="114.75" x14ac:dyDescent="0.25">
      <c r="A145" s="17"/>
      <c r="B145" s="2">
        <v>141</v>
      </c>
      <c r="C145" s="58">
        <v>105</v>
      </c>
      <c r="D145" s="21">
        <v>500</v>
      </c>
      <c r="E145" s="19">
        <v>0.66388888888888886</v>
      </c>
      <c r="F145" s="19">
        <v>0.67013888888888884</v>
      </c>
      <c r="G145" s="18" t="s">
        <v>597</v>
      </c>
      <c r="H145" s="18" t="s">
        <v>598</v>
      </c>
      <c r="I145" s="20">
        <v>5.5</v>
      </c>
      <c r="J145" s="21" t="s">
        <v>380</v>
      </c>
      <c r="K145" s="22">
        <f>55+26</f>
        <v>81</v>
      </c>
      <c r="L145" s="23">
        <f t="shared" si="19"/>
        <v>445.5</v>
      </c>
      <c r="M145" s="24" t="s">
        <v>486</v>
      </c>
      <c r="N145" s="25" t="s">
        <v>488</v>
      </c>
      <c r="O145" s="25">
        <v>9</v>
      </c>
      <c r="P145" s="25" t="s">
        <v>487</v>
      </c>
      <c r="Q145" s="25">
        <v>9</v>
      </c>
      <c r="R145" s="17"/>
      <c r="S145" s="25"/>
      <c r="T145" s="26">
        <v>1072</v>
      </c>
      <c r="U145" s="26" t="s">
        <v>281</v>
      </c>
      <c r="V145" s="26">
        <v>1075</v>
      </c>
      <c r="W145" s="26" t="s">
        <v>595</v>
      </c>
      <c r="X145" s="27">
        <v>44562</v>
      </c>
      <c r="Y145" s="27">
        <v>44815</v>
      </c>
      <c r="Z145" s="27">
        <v>45101</v>
      </c>
      <c r="AA145" s="27">
        <v>45169</v>
      </c>
      <c r="AB145" s="28" t="s">
        <v>599</v>
      </c>
      <c r="AC145" s="28"/>
      <c r="AD145" s="28"/>
      <c r="AE145" s="28" t="s">
        <v>90</v>
      </c>
      <c r="AF145" s="28" t="s">
        <v>90</v>
      </c>
      <c r="AG145" s="28"/>
      <c r="AH145" s="28" t="s">
        <v>90</v>
      </c>
      <c r="AI145" s="28" t="s">
        <v>90</v>
      </c>
      <c r="AJ145" s="28" t="s">
        <v>90</v>
      </c>
      <c r="AK145" s="28" t="s">
        <v>90</v>
      </c>
      <c r="AL145" s="28" t="s">
        <v>90</v>
      </c>
      <c r="AM145" s="28"/>
      <c r="AN145" s="28"/>
      <c r="AO145" s="28"/>
      <c r="AP145" s="28"/>
      <c r="AQ145" s="28"/>
      <c r="AR145" s="28" t="s">
        <v>90</v>
      </c>
      <c r="AS145" s="28" t="s">
        <v>90</v>
      </c>
      <c r="AT145" s="28" t="s">
        <v>90</v>
      </c>
      <c r="AU145" s="28" t="s">
        <v>90</v>
      </c>
      <c r="AV145" s="28" t="s">
        <v>90</v>
      </c>
      <c r="AW145" s="28"/>
      <c r="AX145" s="29">
        <v>44.62</v>
      </c>
      <c r="AY145" s="31"/>
      <c r="AZ145" s="30"/>
      <c r="BA145" s="29"/>
      <c r="BB145" s="29"/>
      <c r="BC145" s="30"/>
      <c r="BD145" s="31">
        <f t="shared" si="20"/>
        <v>3614.22</v>
      </c>
      <c r="BE145" s="31"/>
      <c r="BF145" s="30"/>
      <c r="BG145" s="36">
        <v>1</v>
      </c>
      <c r="BH145" s="31">
        <f t="shared" si="27"/>
        <v>0</v>
      </c>
      <c r="BI145" s="31">
        <f t="shared" si="28"/>
        <v>0</v>
      </c>
      <c r="BJ145" s="33">
        <f t="shared" si="29"/>
        <v>0</v>
      </c>
      <c r="BK145" s="30"/>
      <c r="BL145" s="30"/>
      <c r="BM145" s="30"/>
      <c r="BN145" s="30"/>
      <c r="BO145" s="33">
        <f t="shared" si="21"/>
        <v>0</v>
      </c>
      <c r="BP145" s="30">
        <v>9</v>
      </c>
      <c r="BQ145" s="30">
        <v>1</v>
      </c>
      <c r="BR145" s="30"/>
      <c r="BS145" s="30"/>
      <c r="BT145" s="34">
        <f t="shared" si="22"/>
        <v>44.62</v>
      </c>
      <c r="BU145" s="34"/>
      <c r="BV145" s="34"/>
      <c r="BW145" s="34"/>
      <c r="BX145" s="34"/>
      <c r="BY145" s="30"/>
      <c r="BZ145" s="31">
        <f t="shared" si="18"/>
        <v>401.58</v>
      </c>
      <c r="CA145" s="31">
        <f t="shared" si="26"/>
        <v>44.62</v>
      </c>
    </row>
    <row r="146" spans="1:79" ht="67.5" x14ac:dyDescent="0.25">
      <c r="A146" s="17"/>
      <c r="B146" s="2">
        <v>142</v>
      </c>
      <c r="C146" s="18">
        <v>105</v>
      </c>
      <c r="D146" s="21">
        <v>628</v>
      </c>
      <c r="E146" s="19">
        <v>0.66597222222222219</v>
      </c>
      <c r="F146" s="59">
        <v>0.66736111111111107</v>
      </c>
      <c r="G146" s="18" t="s">
        <v>600</v>
      </c>
      <c r="H146" s="18" t="s">
        <v>273</v>
      </c>
      <c r="I146" s="20">
        <v>2</v>
      </c>
      <c r="J146" s="21" t="s">
        <v>380</v>
      </c>
      <c r="K146" s="22">
        <v>174</v>
      </c>
      <c r="L146" s="23">
        <f t="shared" si="19"/>
        <v>348</v>
      </c>
      <c r="M146" s="24" t="s">
        <v>486</v>
      </c>
      <c r="N146" s="25" t="s">
        <v>511</v>
      </c>
      <c r="O146" s="25">
        <v>24</v>
      </c>
      <c r="P146" s="25" t="s">
        <v>488</v>
      </c>
      <c r="Q146" s="25">
        <v>9</v>
      </c>
      <c r="R146" s="25" t="s">
        <v>487</v>
      </c>
      <c r="S146" s="35">
        <v>9</v>
      </c>
      <c r="T146" s="26">
        <v>1072</v>
      </c>
      <c r="U146" s="26" t="s">
        <v>281</v>
      </c>
      <c r="V146" s="26">
        <v>1075</v>
      </c>
      <c r="W146" s="26" t="s">
        <v>595</v>
      </c>
      <c r="X146" s="66">
        <v>44816</v>
      </c>
      <c r="Y146" s="66">
        <v>45086</v>
      </c>
      <c r="Z146" s="66"/>
      <c r="AA146" s="66"/>
      <c r="AB146" s="26" t="s">
        <v>282</v>
      </c>
      <c r="AC146" s="26"/>
      <c r="AD146" s="28"/>
      <c r="AE146" s="28"/>
      <c r="AF146" s="28"/>
      <c r="AG146" s="28" t="s">
        <v>90</v>
      </c>
      <c r="AH146" s="28" t="s">
        <v>90</v>
      </c>
      <c r="AI146" s="28" t="s">
        <v>90</v>
      </c>
      <c r="AJ146" s="28" t="s">
        <v>90</v>
      </c>
      <c r="AK146" s="28" t="s">
        <v>90</v>
      </c>
      <c r="AL146" s="28" t="s">
        <v>90</v>
      </c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84">
        <v>44.62</v>
      </c>
      <c r="AY146" s="31"/>
      <c r="AZ146" s="30"/>
      <c r="BA146" s="29"/>
      <c r="BB146" s="29"/>
      <c r="BC146" s="30"/>
      <c r="BD146" s="31">
        <f t="shared" si="20"/>
        <v>7763.8799999999992</v>
      </c>
      <c r="BE146" s="31"/>
      <c r="BF146" s="30"/>
      <c r="BG146" s="36">
        <v>1</v>
      </c>
      <c r="BH146" s="31">
        <f t="shared" si="27"/>
        <v>0</v>
      </c>
      <c r="BI146" s="84">
        <f t="shared" si="28"/>
        <v>0</v>
      </c>
      <c r="BJ146" s="85">
        <f t="shared" si="29"/>
        <v>0</v>
      </c>
      <c r="BK146" s="30"/>
      <c r="BL146" s="30"/>
      <c r="BM146" s="30"/>
      <c r="BN146" s="30"/>
      <c r="BO146" s="33">
        <f t="shared" si="21"/>
        <v>0</v>
      </c>
      <c r="BP146" s="30">
        <v>15</v>
      </c>
      <c r="BQ146" s="30">
        <v>20</v>
      </c>
      <c r="BR146" s="30"/>
      <c r="BS146" s="30"/>
      <c r="BT146" s="34">
        <f t="shared" si="22"/>
        <v>44.62</v>
      </c>
      <c r="BU146" s="34"/>
      <c r="BV146" s="34"/>
      <c r="BW146" s="34"/>
      <c r="BX146" s="34"/>
      <c r="BY146" s="30"/>
      <c r="BZ146" s="31">
        <f t="shared" si="18"/>
        <v>669.3</v>
      </c>
      <c r="CA146" s="31">
        <f t="shared" si="26"/>
        <v>892.4</v>
      </c>
    </row>
    <row r="147" spans="1:79" ht="67.5" x14ac:dyDescent="0.25">
      <c r="A147" s="17"/>
      <c r="B147" s="2">
        <v>143</v>
      </c>
      <c r="C147" s="18">
        <v>105</v>
      </c>
      <c r="D147" s="21">
        <v>181</v>
      </c>
      <c r="E147" s="19">
        <v>0.66736111111111107</v>
      </c>
      <c r="F147" s="19">
        <v>0.67638888888888893</v>
      </c>
      <c r="G147" s="18" t="s">
        <v>601</v>
      </c>
      <c r="H147" s="18" t="s">
        <v>273</v>
      </c>
      <c r="I147" s="20">
        <v>5.5</v>
      </c>
      <c r="J147" s="21" t="s">
        <v>380</v>
      </c>
      <c r="K147" s="22">
        <v>174</v>
      </c>
      <c r="L147" s="23">
        <f t="shared" si="19"/>
        <v>957</v>
      </c>
      <c r="M147" s="24" t="s">
        <v>486</v>
      </c>
      <c r="N147" s="25" t="s">
        <v>511</v>
      </c>
      <c r="O147" s="25">
        <v>24</v>
      </c>
      <c r="P147" s="25" t="s">
        <v>488</v>
      </c>
      <c r="Q147" s="25">
        <v>9</v>
      </c>
      <c r="R147" s="25" t="s">
        <v>487</v>
      </c>
      <c r="S147" s="35">
        <v>9</v>
      </c>
      <c r="T147" s="26">
        <v>1075</v>
      </c>
      <c r="U147" s="26" t="s">
        <v>595</v>
      </c>
      <c r="V147" s="26">
        <v>1072</v>
      </c>
      <c r="W147" s="26" t="s">
        <v>281</v>
      </c>
      <c r="X147" s="66">
        <v>44816</v>
      </c>
      <c r="Y147" s="66">
        <v>45086</v>
      </c>
      <c r="Z147" s="66"/>
      <c r="AA147" s="66"/>
      <c r="AB147" s="26" t="s">
        <v>282</v>
      </c>
      <c r="AC147" s="26"/>
      <c r="AD147" s="28"/>
      <c r="AE147" s="28"/>
      <c r="AF147" s="28"/>
      <c r="AG147" s="28" t="s">
        <v>90</v>
      </c>
      <c r="AH147" s="28" t="s">
        <v>90</v>
      </c>
      <c r="AI147" s="28" t="s">
        <v>90</v>
      </c>
      <c r="AJ147" s="28" t="s">
        <v>90</v>
      </c>
      <c r="AK147" s="28" t="s">
        <v>90</v>
      </c>
      <c r="AL147" s="28" t="s">
        <v>90</v>
      </c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84">
        <v>9.9</v>
      </c>
      <c r="AY147" s="31"/>
      <c r="AZ147" s="30"/>
      <c r="BA147" s="29"/>
      <c r="BB147" s="29"/>
      <c r="BC147" s="30"/>
      <c r="BD147" s="31">
        <f t="shared" si="20"/>
        <v>1722.6000000000001</v>
      </c>
      <c r="BE147" s="31"/>
      <c r="BF147" s="30"/>
      <c r="BG147" s="36">
        <v>1</v>
      </c>
      <c r="BH147" s="31"/>
      <c r="BI147" s="84"/>
      <c r="BJ147" s="84"/>
      <c r="BK147" s="30"/>
      <c r="BL147" s="30"/>
      <c r="BM147" s="30"/>
      <c r="BN147" s="30"/>
      <c r="BO147" s="33">
        <f t="shared" si="21"/>
        <v>0</v>
      </c>
      <c r="BP147" s="30">
        <v>15</v>
      </c>
      <c r="BQ147" s="30">
        <v>20</v>
      </c>
      <c r="BR147" s="30"/>
      <c r="BS147" s="30"/>
      <c r="BT147" s="34">
        <f t="shared" si="22"/>
        <v>9.9</v>
      </c>
      <c r="BU147" s="34"/>
      <c r="BV147" s="34"/>
      <c r="BW147" s="34"/>
      <c r="BX147" s="34"/>
      <c r="BY147" s="30"/>
      <c r="BZ147" s="31">
        <f t="shared" si="18"/>
        <v>148.5</v>
      </c>
      <c r="CA147" s="31">
        <f t="shared" si="26"/>
        <v>198</v>
      </c>
    </row>
    <row r="148" spans="1:79" ht="67.5" x14ac:dyDescent="0.25">
      <c r="A148" s="17"/>
      <c r="B148" s="2">
        <v>144</v>
      </c>
      <c r="C148" s="18">
        <v>105</v>
      </c>
      <c r="D148" s="79">
        <v>150</v>
      </c>
      <c r="E148" s="19">
        <v>0.74375000000000002</v>
      </c>
      <c r="F148" s="19">
        <v>0.75416666666666676</v>
      </c>
      <c r="G148" s="18" t="s">
        <v>596</v>
      </c>
      <c r="H148" s="18" t="s">
        <v>349</v>
      </c>
      <c r="I148" s="20">
        <v>5.5</v>
      </c>
      <c r="J148" s="21" t="s">
        <v>380</v>
      </c>
      <c r="K148" s="22">
        <v>202</v>
      </c>
      <c r="L148" s="23">
        <f t="shared" si="19"/>
        <v>1111</v>
      </c>
      <c r="M148" s="24" t="s">
        <v>486</v>
      </c>
      <c r="N148" s="25" t="s">
        <v>511</v>
      </c>
      <c r="O148" s="25">
        <v>24</v>
      </c>
      <c r="P148" s="25" t="s">
        <v>488</v>
      </c>
      <c r="Q148" s="25">
        <v>9</v>
      </c>
      <c r="R148" s="25" t="s">
        <v>487</v>
      </c>
      <c r="S148" s="35">
        <v>9</v>
      </c>
      <c r="T148" s="26">
        <v>1072</v>
      </c>
      <c r="U148" s="26" t="s">
        <v>281</v>
      </c>
      <c r="V148" s="26">
        <v>1075</v>
      </c>
      <c r="W148" s="26" t="s">
        <v>595</v>
      </c>
      <c r="X148" s="27">
        <v>44816</v>
      </c>
      <c r="Y148" s="27">
        <v>45100</v>
      </c>
      <c r="Z148" s="27"/>
      <c r="AA148" s="27"/>
      <c r="AB148" s="26" t="s">
        <v>351</v>
      </c>
      <c r="AC148" s="26"/>
      <c r="AD148" s="28" t="s">
        <v>90</v>
      </c>
      <c r="AE148" s="28"/>
      <c r="AF148" s="28" t="s">
        <v>90</v>
      </c>
      <c r="AG148" s="28"/>
      <c r="AH148" s="28" t="s">
        <v>90</v>
      </c>
      <c r="AI148" s="28" t="s">
        <v>90</v>
      </c>
      <c r="AJ148" s="28" t="s">
        <v>90</v>
      </c>
      <c r="AK148" s="28" t="s">
        <v>90</v>
      </c>
      <c r="AL148" s="28" t="s">
        <v>90</v>
      </c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9">
        <v>9.9</v>
      </c>
      <c r="AY148" s="31"/>
      <c r="AZ148" s="30"/>
      <c r="BA148" s="29"/>
      <c r="BB148" s="29"/>
      <c r="BC148" s="30"/>
      <c r="BD148" s="31">
        <f t="shared" si="20"/>
        <v>1999.8000000000002</v>
      </c>
      <c r="BE148" s="31"/>
      <c r="BF148" s="30"/>
      <c r="BG148" s="36">
        <v>1</v>
      </c>
      <c r="BH148" s="31">
        <f t="shared" ref="BH148:BH153" si="30">IF(AND((AX148/I148)&lt;2,BG148=1),(I148*2)-AX148,0)</f>
        <v>1.0999999999999996</v>
      </c>
      <c r="BI148" s="31">
        <f t="shared" ref="BI148:BI153" si="31">IF(AND((AX148/I148)&lt;3,BG148=2),(I148*3)-AX148,0)</f>
        <v>0</v>
      </c>
      <c r="BJ148" s="31">
        <f t="shared" ref="BJ148:BJ153" si="32">(BH148+BI148)*K148</f>
        <v>222.19999999999993</v>
      </c>
      <c r="BK148" s="30"/>
      <c r="BL148" s="30"/>
      <c r="BM148" s="30"/>
      <c r="BN148" s="30"/>
      <c r="BO148" s="33">
        <f t="shared" si="21"/>
        <v>0</v>
      </c>
      <c r="BP148" s="30">
        <v>15</v>
      </c>
      <c r="BQ148" s="30">
        <v>21</v>
      </c>
      <c r="BR148" s="30"/>
      <c r="BS148" s="30"/>
      <c r="BT148" s="34">
        <f t="shared" si="22"/>
        <v>11</v>
      </c>
      <c r="BU148" s="34"/>
      <c r="BV148" s="34"/>
      <c r="BW148" s="34"/>
      <c r="BX148" s="34"/>
      <c r="BY148" s="30"/>
      <c r="BZ148" s="31">
        <f t="shared" si="18"/>
        <v>165</v>
      </c>
      <c r="CA148" s="31">
        <f t="shared" si="26"/>
        <v>231</v>
      </c>
    </row>
    <row r="149" spans="1:79" ht="67.5" x14ac:dyDescent="0.25">
      <c r="A149" s="17"/>
      <c r="B149" s="2">
        <v>145</v>
      </c>
      <c r="C149" s="18">
        <v>105</v>
      </c>
      <c r="D149" s="21">
        <v>150</v>
      </c>
      <c r="E149" s="19">
        <v>0.74652777777777779</v>
      </c>
      <c r="F149" s="19">
        <v>0.75416666666666676</v>
      </c>
      <c r="G149" s="18" t="s">
        <v>596</v>
      </c>
      <c r="H149" s="18" t="s">
        <v>352</v>
      </c>
      <c r="I149" s="20">
        <v>5.5</v>
      </c>
      <c r="J149" s="21" t="s">
        <v>380</v>
      </c>
      <c r="K149" s="22">
        <v>55</v>
      </c>
      <c r="L149" s="23">
        <f t="shared" si="19"/>
        <v>302.5</v>
      </c>
      <c r="M149" s="24" t="s">
        <v>486</v>
      </c>
      <c r="N149" s="25" t="s">
        <v>511</v>
      </c>
      <c r="O149" s="25">
        <v>24</v>
      </c>
      <c r="P149" s="25" t="s">
        <v>525</v>
      </c>
      <c r="Q149" s="25">
        <v>21</v>
      </c>
      <c r="R149" s="17"/>
      <c r="S149" s="25"/>
      <c r="T149" s="26">
        <v>1072</v>
      </c>
      <c r="U149" s="26" t="s">
        <v>281</v>
      </c>
      <c r="V149" s="26">
        <v>1075</v>
      </c>
      <c r="W149" s="26" t="s">
        <v>595</v>
      </c>
      <c r="X149" s="27">
        <v>44562</v>
      </c>
      <c r="Y149" s="27">
        <v>44815</v>
      </c>
      <c r="Z149" s="27">
        <v>45101</v>
      </c>
      <c r="AA149" s="27">
        <v>45169</v>
      </c>
      <c r="AB149" s="26" t="s">
        <v>353</v>
      </c>
      <c r="AC149" s="26"/>
      <c r="AD149" s="28"/>
      <c r="AE149" s="28" t="s">
        <v>90</v>
      </c>
      <c r="AF149" s="28" t="s">
        <v>90</v>
      </c>
      <c r="AG149" s="28"/>
      <c r="AH149" s="28" t="s">
        <v>90</v>
      </c>
      <c r="AI149" s="28" t="s">
        <v>90</v>
      </c>
      <c r="AJ149" s="28" t="s">
        <v>90</v>
      </c>
      <c r="AK149" s="28" t="s">
        <v>90</v>
      </c>
      <c r="AL149" s="28" t="s">
        <v>90</v>
      </c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9">
        <v>13.75</v>
      </c>
      <c r="AY149" s="31"/>
      <c r="AZ149" s="30"/>
      <c r="BA149" s="29"/>
      <c r="BB149" s="29"/>
      <c r="BC149" s="30"/>
      <c r="BD149" s="31">
        <f t="shared" si="20"/>
        <v>756.25</v>
      </c>
      <c r="BE149" s="31"/>
      <c r="BF149" s="30"/>
      <c r="BG149" s="36">
        <v>1</v>
      </c>
      <c r="BH149" s="31">
        <f t="shared" si="30"/>
        <v>0</v>
      </c>
      <c r="BI149" s="31">
        <f t="shared" si="31"/>
        <v>0</v>
      </c>
      <c r="BJ149" s="33">
        <f t="shared" si="32"/>
        <v>0</v>
      </c>
      <c r="BK149" s="30"/>
      <c r="BL149" s="30"/>
      <c r="BM149" s="30"/>
      <c r="BN149" s="30"/>
      <c r="BO149" s="33">
        <f t="shared" si="21"/>
        <v>0</v>
      </c>
      <c r="BP149" s="30">
        <v>7</v>
      </c>
      <c r="BQ149" s="30">
        <v>0</v>
      </c>
      <c r="BR149" s="30"/>
      <c r="BS149" s="30"/>
      <c r="BT149" s="34">
        <f t="shared" si="22"/>
        <v>13.75</v>
      </c>
      <c r="BU149" s="34"/>
      <c r="BV149" s="34"/>
      <c r="BW149" s="34"/>
      <c r="BX149" s="34"/>
      <c r="BY149" s="30"/>
      <c r="BZ149" s="31">
        <f t="shared" si="18"/>
        <v>96.25</v>
      </c>
      <c r="CA149" s="31">
        <f t="shared" si="26"/>
        <v>0</v>
      </c>
    </row>
    <row r="150" spans="1:79" ht="67.5" x14ac:dyDescent="0.25">
      <c r="A150" s="17"/>
      <c r="B150" s="2">
        <v>146</v>
      </c>
      <c r="C150" s="18">
        <v>105</v>
      </c>
      <c r="D150" s="21">
        <v>218</v>
      </c>
      <c r="E150" s="19">
        <v>0.76111111111111107</v>
      </c>
      <c r="F150" s="19">
        <v>0.7715277777777777</v>
      </c>
      <c r="G150" s="18" t="s">
        <v>596</v>
      </c>
      <c r="H150" s="18" t="s">
        <v>349</v>
      </c>
      <c r="I150" s="20">
        <v>5.5</v>
      </c>
      <c r="J150" s="21" t="s">
        <v>93</v>
      </c>
      <c r="K150" s="22">
        <v>202</v>
      </c>
      <c r="L150" s="23">
        <f t="shared" si="19"/>
        <v>1111</v>
      </c>
      <c r="M150" s="24" t="s">
        <v>486</v>
      </c>
      <c r="N150" s="25" t="s">
        <v>511</v>
      </c>
      <c r="O150" s="25">
        <v>24</v>
      </c>
      <c r="P150" s="25" t="s">
        <v>525</v>
      </c>
      <c r="Q150" s="25">
        <v>21</v>
      </c>
      <c r="R150" s="17"/>
      <c r="S150" s="25"/>
      <c r="T150" s="26">
        <v>1072</v>
      </c>
      <c r="U150" s="26" t="s">
        <v>281</v>
      </c>
      <c r="V150" s="26">
        <v>1075</v>
      </c>
      <c r="W150" s="26" t="s">
        <v>595</v>
      </c>
      <c r="X150" s="27">
        <v>44816</v>
      </c>
      <c r="Y150" s="27">
        <v>45100</v>
      </c>
      <c r="Z150" s="27"/>
      <c r="AA150" s="27"/>
      <c r="AB150" s="26" t="s">
        <v>351</v>
      </c>
      <c r="AC150" s="26"/>
      <c r="AD150" s="28" t="s">
        <v>90</v>
      </c>
      <c r="AE150" s="28"/>
      <c r="AF150" s="28" t="s">
        <v>90</v>
      </c>
      <c r="AG150" s="28"/>
      <c r="AH150" s="28" t="s">
        <v>90</v>
      </c>
      <c r="AI150" s="28" t="s">
        <v>90</v>
      </c>
      <c r="AJ150" s="28" t="s">
        <v>90</v>
      </c>
      <c r="AK150" s="28" t="s">
        <v>90</v>
      </c>
      <c r="AL150" s="28" t="s">
        <v>90</v>
      </c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9">
        <v>12.5</v>
      </c>
      <c r="AY150" s="31"/>
      <c r="AZ150" s="30"/>
      <c r="BA150" s="29"/>
      <c r="BB150" s="29"/>
      <c r="BC150" s="30"/>
      <c r="BD150" s="31">
        <f t="shared" si="20"/>
        <v>2525</v>
      </c>
      <c r="BE150" s="31"/>
      <c r="BF150" s="30"/>
      <c r="BG150" s="36">
        <v>1</v>
      </c>
      <c r="BH150" s="31">
        <f t="shared" si="30"/>
        <v>0</v>
      </c>
      <c r="BI150" s="31">
        <f t="shared" si="31"/>
        <v>0</v>
      </c>
      <c r="BJ150" s="33">
        <f t="shared" si="32"/>
        <v>0</v>
      </c>
      <c r="BK150" s="30"/>
      <c r="BL150" s="30"/>
      <c r="BM150" s="30"/>
      <c r="BN150" s="30"/>
      <c r="BO150" s="33">
        <f t="shared" si="21"/>
        <v>0</v>
      </c>
      <c r="BP150" s="30">
        <v>15</v>
      </c>
      <c r="BQ150" s="30">
        <v>21</v>
      </c>
      <c r="BR150" s="30"/>
      <c r="BS150" s="30"/>
      <c r="BT150" s="34">
        <f t="shared" si="22"/>
        <v>12.5</v>
      </c>
      <c r="BU150" s="34"/>
      <c r="BV150" s="34"/>
      <c r="BW150" s="34"/>
      <c r="BX150" s="34"/>
      <c r="BY150" s="30"/>
      <c r="BZ150" s="31">
        <f t="shared" si="18"/>
        <v>187.5</v>
      </c>
      <c r="CA150" s="31">
        <f t="shared" si="26"/>
        <v>262.5</v>
      </c>
    </row>
    <row r="151" spans="1:79" ht="67.5" x14ac:dyDescent="0.25">
      <c r="A151" s="17"/>
      <c r="B151" s="2">
        <v>147</v>
      </c>
      <c r="C151" s="18">
        <v>105</v>
      </c>
      <c r="D151" s="21">
        <v>218</v>
      </c>
      <c r="E151" s="19">
        <v>0.76111111111111107</v>
      </c>
      <c r="F151" s="19">
        <v>0.7715277777777777</v>
      </c>
      <c r="G151" s="18" t="s">
        <v>596</v>
      </c>
      <c r="H151" s="18" t="s">
        <v>352</v>
      </c>
      <c r="I151" s="20">
        <v>5.5</v>
      </c>
      <c r="J151" s="21" t="s">
        <v>93</v>
      </c>
      <c r="K151" s="22">
        <v>55</v>
      </c>
      <c r="L151" s="23">
        <f t="shared" si="19"/>
        <v>302.5</v>
      </c>
      <c r="M151" s="24" t="s">
        <v>486</v>
      </c>
      <c r="N151" s="25" t="s">
        <v>511</v>
      </c>
      <c r="O151" s="25">
        <v>24</v>
      </c>
      <c r="P151" s="25" t="s">
        <v>525</v>
      </c>
      <c r="Q151" s="25">
        <v>21</v>
      </c>
      <c r="R151" s="17"/>
      <c r="S151" s="25"/>
      <c r="T151" s="26">
        <v>1072</v>
      </c>
      <c r="U151" s="26" t="s">
        <v>281</v>
      </c>
      <c r="V151" s="26">
        <v>1075</v>
      </c>
      <c r="W151" s="26" t="s">
        <v>595</v>
      </c>
      <c r="X151" s="27">
        <v>44562</v>
      </c>
      <c r="Y151" s="27">
        <v>44815</v>
      </c>
      <c r="Z151" s="27">
        <v>45101</v>
      </c>
      <c r="AA151" s="27">
        <v>45169</v>
      </c>
      <c r="AB151" s="26" t="s">
        <v>353</v>
      </c>
      <c r="AC151" s="26"/>
      <c r="AD151" s="28"/>
      <c r="AE151" s="28" t="s">
        <v>90</v>
      </c>
      <c r="AF151" s="28" t="s">
        <v>90</v>
      </c>
      <c r="AG151" s="28"/>
      <c r="AH151" s="28" t="s">
        <v>90</v>
      </c>
      <c r="AI151" s="28" t="s">
        <v>90</v>
      </c>
      <c r="AJ151" s="28" t="s">
        <v>90</v>
      </c>
      <c r="AK151" s="28" t="s">
        <v>90</v>
      </c>
      <c r="AL151" s="28" t="s">
        <v>90</v>
      </c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9">
        <v>13.75</v>
      </c>
      <c r="AY151" s="31"/>
      <c r="AZ151" s="30"/>
      <c r="BA151" s="29"/>
      <c r="BB151" s="29"/>
      <c r="BC151" s="30"/>
      <c r="BD151" s="31">
        <f t="shared" si="20"/>
        <v>756.25</v>
      </c>
      <c r="BE151" s="31"/>
      <c r="BF151" s="30"/>
      <c r="BG151" s="36">
        <v>1</v>
      </c>
      <c r="BH151" s="31">
        <f t="shared" si="30"/>
        <v>0</v>
      </c>
      <c r="BI151" s="31">
        <f t="shared" si="31"/>
        <v>0</v>
      </c>
      <c r="BJ151" s="33">
        <f t="shared" si="32"/>
        <v>0</v>
      </c>
      <c r="BK151" s="30"/>
      <c r="BL151" s="30"/>
      <c r="BM151" s="30"/>
      <c r="BN151" s="30"/>
      <c r="BO151" s="33">
        <f t="shared" si="21"/>
        <v>0</v>
      </c>
      <c r="BP151" s="30">
        <v>7</v>
      </c>
      <c r="BQ151" s="30">
        <v>0</v>
      </c>
      <c r="BR151" s="30"/>
      <c r="BS151" s="30"/>
      <c r="BT151" s="34">
        <f t="shared" si="22"/>
        <v>13.75</v>
      </c>
      <c r="BU151" s="34"/>
      <c r="BV151" s="34"/>
      <c r="BW151" s="34"/>
      <c r="BX151" s="34"/>
      <c r="BY151" s="30"/>
      <c r="BZ151" s="31">
        <f t="shared" si="18"/>
        <v>96.25</v>
      </c>
      <c r="CA151" s="31">
        <f t="shared" si="26"/>
        <v>0</v>
      </c>
    </row>
    <row r="152" spans="1:79" ht="67.5" x14ac:dyDescent="0.25">
      <c r="A152" s="17"/>
      <c r="B152" s="2">
        <v>148</v>
      </c>
      <c r="C152" s="18">
        <v>105</v>
      </c>
      <c r="D152" s="21">
        <v>158</v>
      </c>
      <c r="E152" s="19">
        <v>0.8027777777777777</v>
      </c>
      <c r="F152" s="19">
        <v>0.81319444444444444</v>
      </c>
      <c r="G152" s="18" t="s">
        <v>596</v>
      </c>
      <c r="H152" s="18" t="s">
        <v>349</v>
      </c>
      <c r="I152" s="20">
        <v>5.5</v>
      </c>
      <c r="J152" s="21" t="s">
        <v>93</v>
      </c>
      <c r="K152" s="22">
        <v>202</v>
      </c>
      <c r="L152" s="23">
        <f t="shared" si="19"/>
        <v>1111</v>
      </c>
      <c r="M152" s="24" t="s">
        <v>486</v>
      </c>
      <c r="N152" s="25" t="s">
        <v>511</v>
      </c>
      <c r="O152" s="25">
        <v>24</v>
      </c>
      <c r="P152" s="25" t="s">
        <v>525</v>
      </c>
      <c r="Q152" s="25">
        <v>21</v>
      </c>
      <c r="R152" s="17"/>
      <c r="S152" s="25"/>
      <c r="T152" s="26">
        <v>1072</v>
      </c>
      <c r="U152" s="26" t="s">
        <v>281</v>
      </c>
      <c r="V152" s="26">
        <v>1075</v>
      </c>
      <c r="W152" s="26" t="s">
        <v>595</v>
      </c>
      <c r="X152" s="27">
        <v>44816</v>
      </c>
      <c r="Y152" s="27">
        <v>45100</v>
      </c>
      <c r="Z152" s="27"/>
      <c r="AA152" s="27"/>
      <c r="AB152" s="26" t="s">
        <v>351</v>
      </c>
      <c r="AC152" s="26"/>
      <c r="AD152" s="28" t="s">
        <v>90</v>
      </c>
      <c r="AE152" s="28"/>
      <c r="AF152" s="28" t="s">
        <v>90</v>
      </c>
      <c r="AG152" s="28"/>
      <c r="AH152" s="28" t="s">
        <v>90</v>
      </c>
      <c r="AI152" s="28" t="s">
        <v>90</v>
      </c>
      <c r="AJ152" s="28" t="s">
        <v>90</v>
      </c>
      <c r="AK152" s="28" t="s">
        <v>90</v>
      </c>
      <c r="AL152" s="28" t="s">
        <v>90</v>
      </c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9">
        <v>12.5</v>
      </c>
      <c r="AY152" s="30"/>
      <c r="AZ152" s="30"/>
      <c r="BA152" s="29"/>
      <c r="BB152" s="29"/>
      <c r="BC152" s="30"/>
      <c r="BD152" s="31">
        <f t="shared" si="20"/>
        <v>2525</v>
      </c>
      <c r="BE152" s="31"/>
      <c r="BF152" s="30"/>
      <c r="BG152" s="36">
        <v>1</v>
      </c>
      <c r="BH152" s="31">
        <f t="shared" si="30"/>
        <v>0</v>
      </c>
      <c r="BI152" s="31">
        <f t="shared" si="31"/>
        <v>0</v>
      </c>
      <c r="BJ152" s="33">
        <f t="shared" si="32"/>
        <v>0</v>
      </c>
      <c r="BK152" s="30"/>
      <c r="BL152" s="30"/>
      <c r="BM152" s="30"/>
      <c r="BN152" s="30"/>
      <c r="BO152" s="33">
        <f t="shared" si="21"/>
        <v>0</v>
      </c>
      <c r="BP152" s="30">
        <v>15</v>
      </c>
      <c r="BQ152" s="30">
        <v>21</v>
      </c>
      <c r="BR152" s="30"/>
      <c r="BS152" s="30"/>
      <c r="BT152" s="34">
        <f t="shared" si="22"/>
        <v>12.5</v>
      </c>
      <c r="BU152" s="34"/>
      <c r="BV152" s="34"/>
      <c r="BW152" s="34"/>
      <c r="BX152" s="34"/>
      <c r="BY152" s="30"/>
      <c r="BZ152" s="31">
        <f t="shared" si="18"/>
        <v>187.5</v>
      </c>
      <c r="CA152" s="31">
        <f t="shared" si="26"/>
        <v>262.5</v>
      </c>
    </row>
    <row r="153" spans="1:79" ht="67.5" x14ac:dyDescent="0.25">
      <c r="A153" s="17"/>
      <c r="B153" s="2">
        <v>149</v>
      </c>
      <c r="C153" s="18">
        <v>105</v>
      </c>
      <c r="D153" s="21">
        <v>158</v>
      </c>
      <c r="E153" s="19">
        <v>0.8027777777777777</v>
      </c>
      <c r="F153" s="19">
        <v>0.81319444444444444</v>
      </c>
      <c r="G153" s="18" t="s">
        <v>596</v>
      </c>
      <c r="H153" s="18" t="s">
        <v>352</v>
      </c>
      <c r="I153" s="20">
        <v>5.5</v>
      </c>
      <c r="J153" s="21" t="s">
        <v>93</v>
      </c>
      <c r="K153" s="22">
        <v>55</v>
      </c>
      <c r="L153" s="23">
        <f t="shared" si="19"/>
        <v>302.5</v>
      </c>
      <c r="M153" s="24" t="s">
        <v>486</v>
      </c>
      <c r="N153" s="25" t="s">
        <v>511</v>
      </c>
      <c r="O153" s="25">
        <v>24</v>
      </c>
      <c r="P153" s="25" t="s">
        <v>525</v>
      </c>
      <c r="Q153" s="25">
        <v>21</v>
      </c>
      <c r="R153" s="17"/>
      <c r="S153" s="25"/>
      <c r="T153" s="26">
        <v>1072</v>
      </c>
      <c r="U153" s="26" t="s">
        <v>281</v>
      </c>
      <c r="V153" s="26">
        <v>1075</v>
      </c>
      <c r="W153" s="26" t="s">
        <v>595</v>
      </c>
      <c r="X153" s="27">
        <v>44562</v>
      </c>
      <c r="Y153" s="27">
        <v>44815</v>
      </c>
      <c r="Z153" s="27">
        <v>45101</v>
      </c>
      <c r="AA153" s="27">
        <v>45169</v>
      </c>
      <c r="AB153" s="26" t="s">
        <v>353</v>
      </c>
      <c r="AC153" s="26"/>
      <c r="AD153" s="28"/>
      <c r="AE153" s="28" t="s">
        <v>90</v>
      </c>
      <c r="AF153" s="28" t="s">
        <v>90</v>
      </c>
      <c r="AG153" s="28"/>
      <c r="AH153" s="28" t="s">
        <v>90</v>
      </c>
      <c r="AI153" s="28" t="s">
        <v>90</v>
      </c>
      <c r="AJ153" s="28" t="s">
        <v>90</v>
      </c>
      <c r="AK153" s="28" t="s">
        <v>90</v>
      </c>
      <c r="AL153" s="28" t="s">
        <v>90</v>
      </c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9">
        <v>13.75</v>
      </c>
      <c r="AY153" s="30"/>
      <c r="AZ153" s="30"/>
      <c r="BA153" s="29"/>
      <c r="BB153" s="29"/>
      <c r="BC153" s="30"/>
      <c r="BD153" s="31">
        <f t="shared" si="20"/>
        <v>756.25</v>
      </c>
      <c r="BE153" s="31"/>
      <c r="BF153" s="30"/>
      <c r="BG153" s="36">
        <v>1</v>
      </c>
      <c r="BH153" s="31">
        <f t="shared" si="30"/>
        <v>0</v>
      </c>
      <c r="BI153" s="31">
        <f t="shared" si="31"/>
        <v>0</v>
      </c>
      <c r="BJ153" s="33">
        <f t="shared" si="32"/>
        <v>0</v>
      </c>
      <c r="BK153" s="30"/>
      <c r="BL153" s="30"/>
      <c r="BM153" s="30"/>
      <c r="BN153" s="30"/>
      <c r="BO153" s="33">
        <f t="shared" si="21"/>
        <v>0</v>
      </c>
      <c r="BP153" s="30">
        <v>7</v>
      </c>
      <c r="BQ153" s="30">
        <v>0</v>
      </c>
      <c r="BR153" s="30"/>
      <c r="BS153" s="30"/>
      <c r="BT153" s="34">
        <f t="shared" si="22"/>
        <v>13.75</v>
      </c>
      <c r="BU153" s="34"/>
      <c r="BV153" s="34"/>
      <c r="BW153" s="34"/>
      <c r="BX153" s="34"/>
      <c r="BY153" s="30"/>
      <c r="BZ153" s="31">
        <f t="shared" si="18"/>
        <v>96.25</v>
      </c>
      <c r="CA153" s="31">
        <f t="shared" si="26"/>
        <v>0</v>
      </c>
    </row>
    <row r="154" spans="1:79" ht="45.75" x14ac:dyDescent="0.25">
      <c r="A154" s="17"/>
      <c r="B154" s="2">
        <v>150</v>
      </c>
      <c r="C154" s="48">
        <v>106</v>
      </c>
      <c r="D154" s="48">
        <v>295</v>
      </c>
      <c r="E154" s="49">
        <v>0.25416666666666665</v>
      </c>
      <c r="F154" s="49">
        <v>0.2673611111111111</v>
      </c>
      <c r="G154" s="51" t="s">
        <v>602</v>
      </c>
      <c r="H154" s="48" t="s">
        <v>316</v>
      </c>
      <c r="I154" s="48">
        <v>8</v>
      </c>
      <c r="J154" s="52">
        <v>19</v>
      </c>
      <c r="K154" s="22">
        <v>67</v>
      </c>
      <c r="L154" s="23">
        <f t="shared" si="19"/>
        <v>536</v>
      </c>
      <c r="M154" s="24" t="s">
        <v>94</v>
      </c>
      <c r="N154" s="25" t="s">
        <v>603</v>
      </c>
      <c r="O154" s="25">
        <v>25</v>
      </c>
      <c r="P154" s="25" t="s">
        <v>604</v>
      </c>
      <c r="Q154" s="25">
        <v>23</v>
      </c>
      <c r="R154" s="17" t="s">
        <v>605</v>
      </c>
      <c r="S154" s="35">
        <v>23</v>
      </c>
      <c r="T154" s="26">
        <v>6096</v>
      </c>
      <c r="U154" s="26" t="s">
        <v>606</v>
      </c>
      <c r="V154" s="26">
        <v>6100</v>
      </c>
      <c r="W154" s="26" t="s">
        <v>607</v>
      </c>
      <c r="X154" s="27">
        <v>44562</v>
      </c>
      <c r="Y154" s="27">
        <v>44815</v>
      </c>
      <c r="Z154" s="27">
        <v>45101</v>
      </c>
      <c r="AA154" s="27">
        <v>45169</v>
      </c>
      <c r="AB154" s="28" t="s">
        <v>89</v>
      </c>
      <c r="AC154" s="28"/>
      <c r="AD154" s="28"/>
      <c r="AE154" s="28" t="s">
        <v>90</v>
      </c>
      <c r="AF154" s="28" t="s">
        <v>90</v>
      </c>
      <c r="AG154" s="28"/>
      <c r="AH154" s="28" t="s">
        <v>90</v>
      </c>
      <c r="AI154" s="28" t="s">
        <v>90</v>
      </c>
      <c r="AJ154" s="28" t="s">
        <v>90</v>
      </c>
      <c r="AK154" s="28" t="s">
        <v>90</v>
      </c>
      <c r="AL154" s="28" t="s">
        <v>90</v>
      </c>
      <c r="AM154" s="28" t="s">
        <v>90</v>
      </c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31"/>
      <c r="AY154" s="31">
        <f>1.9*8</f>
        <v>15.2</v>
      </c>
      <c r="AZ154" s="30"/>
      <c r="BA154" s="31"/>
      <c r="BB154" s="31"/>
      <c r="BC154" s="30">
        <v>24</v>
      </c>
      <c r="BD154" s="31">
        <f t="shared" si="20"/>
        <v>0</v>
      </c>
      <c r="BE154" s="31">
        <f>AY154*K154</f>
        <v>1018.4</v>
      </c>
      <c r="BF154" s="30"/>
      <c r="BG154" s="36">
        <v>1</v>
      </c>
      <c r="BH154" s="30"/>
      <c r="BI154" s="31"/>
      <c r="BJ154" s="30"/>
      <c r="BK154" s="53"/>
      <c r="BL154" s="53"/>
      <c r="BM154" s="54"/>
      <c r="BN154" s="31">
        <f>IF((AX154+AY154+AZ154)&lt;20,(20-(AX154+AY154+AZ154)),0)</f>
        <v>4.8000000000000007</v>
      </c>
      <c r="BO154" s="33">
        <f t="shared" si="21"/>
        <v>321.60000000000002</v>
      </c>
      <c r="BP154" s="30">
        <v>9</v>
      </c>
      <c r="BQ154" s="30">
        <v>0</v>
      </c>
      <c r="BR154" s="30"/>
      <c r="BS154" s="30"/>
      <c r="BT154" s="34">
        <f t="shared" si="22"/>
        <v>20</v>
      </c>
      <c r="BU154" s="34"/>
      <c r="BV154" s="34"/>
      <c r="BW154" s="34"/>
      <c r="BX154" s="34"/>
      <c r="BY154" s="30"/>
      <c r="BZ154" s="31">
        <f t="shared" si="18"/>
        <v>180</v>
      </c>
      <c r="CA154" s="31">
        <f t="shared" si="26"/>
        <v>0</v>
      </c>
    </row>
    <row r="155" spans="1:79" ht="76.5" x14ac:dyDescent="0.25">
      <c r="A155" s="17"/>
      <c r="B155" s="2">
        <v>151</v>
      </c>
      <c r="C155" s="18">
        <v>106</v>
      </c>
      <c r="D155" s="21">
        <v>281</v>
      </c>
      <c r="E155" s="19">
        <v>0.27083333333333331</v>
      </c>
      <c r="F155" s="19">
        <v>0.28402777777777777</v>
      </c>
      <c r="G155" s="18" t="s">
        <v>608</v>
      </c>
      <c r="H155" s="18" t="s">
        <v>306</v>
      </c>
      <c r="I155" s="20">
        <v>8</v>
      </c>
      <c r="J155" s="21" t="s">
        <v>93</v>
      </c>
      <c r="K155" s="22">
        <v>208</v>
      </c>
      <c r="L155" s="23">
        <f t="shared" si="19"/>
        <v>1664</v>
      </c>
      <c r="M155" s="24" t="s">
        <v>94</v>
      </c>
      <c r="N155" s="25" t="s">
        <v>603</v>
      </c>
      <c r="O155" s="25">
        <v>25</v>
      </c>
      <c r="P155" s="25" t="s">
        <v>604</v>
      </c>
      <c r="Q155" s="25">
        <v>23</v>
      </c>
      <c r="R155" s="17" t="s">
        <v>605</v>
      </c>
      <c r="S155" s="35">
        <v>23</v>
      </c>
      <c r="T155" s="26">
        <v>6096</v>
      </c>
      <c r="U155" s="26" t="s">
        <v>606</v>
      </c>
      <c r="V155" s="26">
        <v>6100</v>
      </c>
      <c r="W155" s="26" t="s">
        <v>607</v>
      </c>
      <c r="X155" s="66">
        <v>44816</v>
      </c>
      <c r="Y155" s="66">
        <v>45086</v>
      </c>
      <c r="Z155" s="66"/>
      <c r="AA155" s="66"/>
      <c r="AB155" s="26" t="s">
        <v>309</v>
      </c>
      <c r="AC155" s="26"/>
      <c r="AD155" s="28"/>
      <c r="AE155" s="28"/>
      <c r="AF155" s="28"/>
      <c r="AG155" s="28" t="s">
        <v>90</v>
      </c>
      <c r="AH155" s="28" t="s">
        <v>90</v>
      </c>
      <c r="AI155" s="28" t="s">
        <v>90</v>
      </c>
      <c r="AJ155" s="28" t="s">
        <v>90</v>
      </c>
      <c r="AK155" s="28" t="s">
        <v>90</v>
      </c>
      <c r="AL155" s="28" t="s">
        <v>90</v>
      </c>
      <c r="AM155" s="28" t="s">
        <v>90</v>
      </c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31">
        <v>24</v>
      </c>
      <c r="AY155" s="31"/>
      <c r="AZ155" s="30"/>
      <c r="BA155" s="31"/>
      <c r="BB155" s="31"/>
      <c r="BC155" s="30"/>
      <c r="BD155" s="31">
        <f t="shared" si="20"/>
        <v>4992</v>
      </c>
      <c r="BE155" s="31"/>
      <c r="BF155" s="30"/>
      <c r="BG155" s="36">
        <v>1</v>
      </c>
      <c r="BH155" s="31">
        <f>IF(AND((AX155/I155)&lt;2,BG155=1),(I155*2)-AX155,0)</f>
        <v>0</v>
      </c>
      <c r="BI155" s="31">
        <f>IF(AND((AX155/I155)&lt;3,BG155=2),(I155*3)-AX155,0)</f>
        <v>0</v>
      </c>
      <c r="BJ155" s="33">
        <f>(BH155+BI155)*K155</f>
        <v>0</v>
      </c>
      <c r="BK155" s="53"/>
      <c r="BL155" s="53"/>
      <c r="BM155" s="54"/>
      <c r="BN155" s="31">
        <f>IF((AX155+AY155+AZ155)&lt;20,(20-(AX155+AY155+AZ155)),0)</f>
        <v>0</v>
      </c>
      <c r="BO155" s="33">
        <f t="shared" si="21"/>
        <v>0</v>
      </c>
      <c r="BP155" s="30">
        <v>17</v>
      </c>
      <c r="BQ155" s="30">
        <v>25</v>
      </c>
      <c r="BR155" s="30"/>
      <c r="BS155" s="30"/>
      <c r="BT155" s="34">
        <f t="shared" si="22"/>
        <v>24</v>
      </c>
      <c r="BU155" s="34"/>
      <c r="BV155" s="34"/>
      <c r="BW155" s="34"/>
      <c r="BX155" s="34"/>
      <c r="BY155" s="30"/>
      <c r="BZ155" s="31">
        <f t="shared" si="18"/>
        <v>408</v>
      </c>
      <c r="CA155" s="31">
        <f t="shared" si="26"/>
        <v>600</v>
      </c>
    </row>
    <row r="156" spans="1:79" ht="51" x14ac:dyDescent="0.25">
      <c r="A156" s="17"/>
      <c r="B156" s="2">
        <v>152</v>
      </c>
      <c r="C156" s="48">
        <v>106</v>
      </c>
      <c r="D156" s="48">
        <v>290</v>
      </c>
      <c r="E156" s="49">
        <v>0.27986111111111112</v>
      </c>
      <c r="F156" s="49">
        <v>0.29444444444444445</v>
      </c>
      <c r="G156" s="51" t="s">
        <v>609</v>
      </c>
      <c r="H156" s="51" t="s">
        <v>355</v>
      </c>
      <c r="I156" s="48">
        <v>9</v>
      </c>
      <c r="J156" s="52">
        <v>19</v>
      </c>
      <c r="K156" s="22">
        <v>55</v>
      </c>
      <c r="L156" s="23">
        <f t="shared" si="19"/>
        <v>495</v>
      </c>
      <c r="M156" s="24" t="s">
        <v>94</v>
      </c>
      <c r="N156" s="25" t="s">
        <v>603</v>
      </c>
      <c r="O156" s="25">
        <v>25</v>
      </c>
      <c r="P156" s="25" t="s">
        <v>604</v>
      </c>
      <c r="Q156" s="25">
        <v>23</v>
      </c>
      <c r="R156" s="17" t="s">
        <v>605</v>
      </c>
      <c r="S156" s="35">
        <v>23</v>
      </c>
      <c r="T156" s="26" t="s">
        <v>204</v>
      </c>
      <c r="U156" s="26" t="s">
        <v>205</v>
      </c>
      <c r="V156" s="26">
        <v>6096</v>
      </c>
      <c r="W156" s="26" t="s">
        <v>606</v>
      </c>
      <c r="X156" s="27">
        <v>44562</v>
      </c>
      <c r="Y156" s="27">
        <v>44815</v>
      </c>
      <c r="Z156" s="27">
        <v>45101</v>
      </c>
      <c r="AA156" s="27">
        <v>45169</v>
      </c>
      <c r="AB156" s="26" t="s">
        <v>353</v>
      </c>
      <c r="AC156" s="26"/>
      <c r="AD156" s="28"/>
      <c r="AE156" s="28" t="s">
        <v>90</v>
      </c>
      <c r="AF156" s="28" t="s">
        <v>90</v>
      </c>
      <c r="AG156" s="28"/>
      <c r="AH156" s="28" t="s">
        <v>90</v>
      </c>
      <c r="AI156" s="28" t="s">
        <v>90</v>
      </c>
      <c r="AJ156" s="28" t="s">
        <v>90</v>
      </c>
      <c r="AK156" s="28" t="s">
        <v>90</v>
      </c>
      <c r="AL156" s="28" t="s">
        <v>90</v>
      </c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31"/>
      <c r="AY156" s="31">
        <f>1.9*9</f>
        <v>17.099999999999998</v>
      </c>
      <c r="AZ156" s="30"/>
      <c r="BA156" s="31"/>
      <c r="BB156" s="31"/>
      <c r="BC156" s="30">
        <v>25</v>
      </c>
      <c r="BD156" s="31">
        <f t="shared" si="20"/>
        <v>0</v>
      </c>
      <c r="BE156" s="31">
        <f t="shared" ref="BE156:BE161" si="33">AY156*K156</f>
        <v>940.49999999999989</v>
      </c>
      <c r="BF156" s="30"/>
      <c r="BG156" s="36">
        <v>1</v>
      </c>
      <c r="BH156" s="30"/>
      <c r="BI156" s="31"/>
      <c r="BJ156" s="30"/>
      <c r="BK156" s="53"/>
      <c r="BL156" s="53"/>
      <c r="BM156" s="54"/>
      <c r="BN156" s="31">
        <f>IF((AX156+AY156+AZ156)&lt;20,(20-(AX156+AY156+AZ156)),0)</f>
        <v>2.9000000000000021</v>
      </c>
      <c r="BO156" s="33">
        <f t="shared" si="21"/>
        <v>159.50000000000011</v>
      </c>
      <c r="BP156" s="30">
        <v>7</v>
      </c>
      <c r="BQ156" s="30">
        <v>0</v>
      </c>
      <c r="BR156" s="30"/>
      <c r="BS156" s="30"/>
      <c r="BT156" s="34">
        <f t="shared" si="22"/>
        <v>20</v>
      </c>
      <c r="BU156" s="34"/>
      <c r="BV156" s="34"/>
      <c r="BW156" s="34"/>
      <c r="BX156" s="34"/>
      <c r="BY156" s="30"/>
      <c r="BZ156" s="31">
        <f t="shared" si="18"/>
        <v>140</v>
      </c>
      <c r="CA156" s="31">
        <f t="shared" si="26"/>
        <v>0</v>
      </c>
    </row>
    <row r="157" spans="1:79" ht="51" x14ac:dyDescent="0.25">
      <c r="A157" s="17"/>
      <c r="B157" s="2">
        <v>153</v>
      </c>
      <c r="C157" s="48">
        <v>106</v>
      </c>
      <c r="D157" s="48">
        <v>285</v>
      </c>
      <c r="E157" s="49">
        <v>0.29375000000000001</v>
      </c>
      <c r="F157" s="49">
        <v>0.30694444444444441</v>
      </c>
      <c r="G157" s="51" t="s">
        <v>602</v>
      </c>
      <c r="H157" s="51" t="s">
        <v>355</v>
      </c>
      <c r="I157" s="48">
        <v>8</v>
      </c>
      <c r="J157" s="52">
        <v>19</v>
      </c>
      <c r="K157" s="22">
        <v>55</v>
      </c>
      <c r="L157" s="23">
        <f t="shared" si="19"/>
        <v>440</v>
      </c>
      <c r="M157" s="24" t="s">
        <v>94</v>
      </c>
      <c r="N157" s="25" t="s">
        <v>603</v>
      </c>
      <c r="O157" s="25">
        <v>25</v>
      </c>
      <c r="P157" s="25" t="s">
        <v>604</v>
      </c>
      <c r="Q157" s="25">
        <v>23</v>
      </c>
      <c r="R157" s="17" t="s">
        <v>605</v>
      </c>
      <c r="S157" s="35">
        <v>23</v>
      </c>
      <c r="T157" s="26">
        <v>6096</v>
      </c>
      <c r="U157" s="26" t="s">
        <v>606</v>
      </c>
      <c r="V157" s="26">
        <v>6100</v>
      </c>
      <c r="W157" s="26" t="s">
        <v>607</v>
      </c>
      <c r="X157" s="27">
        <v>44562</v>
      </c>
      <c r="Y157" s="27">
        <v>44815</v>
      </c>
      <c r="Z157" s="27">
        <v>45101</v>
      </c>
      <c r="AA157" s="27">
        <v>45169</v>
      </c>
      <c r="AB157" s="26" t="s">
        <v>353</v>
      </c>
      <c r="AC157" s="26"/>
      <c r="AD157" s="28"/>
      <c r="AE157" s="28" t="s">
        <v>90</v>
      </c>
      <c r="AF157" s="28" t="s">
        <v>90</v>
      </c>
      <c r="AG157" s="28"/>
      <c r="AH157" s="28" t="s">
        <v>90</v>
      </c>
      <c r="AI157" s="28" t="s">
        <v>90</v>
      </c>
      <c r="AJ157" s="28" t="s">
        <v>90</v>
      </c>
      <c r="AK157" s="28" t="s">
        <v>90</v>
      </c>
      <c r="AL157" s="28" t="s">
        <v>90</v>
      </c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31"/>
      <c r="AY157" s="31">
        <f>1.9*8</f>
        <v>15.2</v>
      </c>
      <c r="AZ157" s="30"/>
      <c r="BA157" s="31"/>
      <c r="BB157" s="31"/>
      <c r="BC157" s="30">
        <v>26</v>
      </c>
      <c r="BD157" s="31">
        <f t="shared" si="20"/>
        <v>0</v>
      </c>
      <c r="BE157" s="31">
        <f t="shared" si="33"/>
        <v>836</v>
      </c>
      <c r="BF157" s="30"/>
      <c r="BG157" s="36">
        <v>1</v>
      </c>
      <c r="BH157" s="30"/>
      <c r="BI157" s="31"/>
      <c r="BJ157" s="30"/>
      <c r="BK157" s="53"/>
      <c r="BL157" s="53"/>
      <c r="BM157" s="54"/>
      <c r="BN157" s="30"/>
      <c r="BO157" s="33">
        <f t="shared" si="21"/>
        <v>0</v>
      </c>
      <c r="BP157" s="30">
        <v>7</v>
      </c>
      <c r="BQ157" s="30">
        <v>0</v>
      </c>
      <c r="BR157" s="30"/>
      <c r="BS157" s="30"/>
      <c r="BT157" s="34">
        <f t="shared" si="22"/>
        <v>15.2</v>
      </c>
      <c r="BU157" s="34"/>
      <c r="BV157" s="34"/>
      <c r="BW157" s="34"/>
      <c r="BX157" s="34"/>
      <c r="BY157" s="30"/>
      <c r="BZ157" s="31">
        <f t="shared" si="18"/>
        <v>106.39999999999999</v>
      </c>
      <c r="CA157" s="31">
        <f t="shared" si="26"/>
        <v>0</v>
      </c>
    </row>
    <row r="158" spans="1:79" ht="51" x14ac:dyDescent="0.25">
      <c r="A158" s="17"/>
      <c r="B158" s="2">
        <v>154</v>
      </c>
      <c r="C158" s="48">
        <v>106</v>
      </c>
      <c r="D158" s="48">
        <v>302</v>
      </c>
      <c r="E158" s="49">
        <v>0.34027777777777773</v>
      </c>
      <c r="F158" s="49">
        <v>0.35347222222222219</v>
      </c>
      <c r="G158" s="51" t="s">
        <v>609</v>
      </c>
      <c r="H158" s="51" t="s">
        <v>355</v>
      </c>
      <c r="I158" s="48">
        <v>9</v>
      </c>
      <c r="J158" s="52">
        <v>19</v>
      </c>
      <c r="K158" s="22">
        <v>55</v>
      </c>
      <c r="L158" s="23">
        <f t="shared" si="19"/>
        <v>495</v>
      </c>
      <c r="M158" s="24" t="s">
        <v>94</v>
      </c>
      <c r="N158" s="25" t="s">
        <v>603</v>
      </c>
      <c r="O158" s="25">
        <v>25</v>
      </c>
      <c r="P158" s="25" t="s">
        <v>604</v>
      </c>
      <c r="Q158" s="25">
        <v>23</v>
      </c>
      <c r="R158" s="17" t="s">
        <v>605</v>
      </c>
      <c r="S158" s="35">
        <v>23</v>
      </c>
      <c r="T158" s="26" t="s">
        <v>204</v>
      </c>
      <c r="U158" s="26" t="s">
        <v>205</v>
      </c>
      <c r="V158" s="26">
        <v>6096</v>
      </c>
      <c r="W158" s="26" t="s">
        <v>606</v>
      </c>
      <c r="X158" s="27">
        <v>44562</v>
      </c>
      <c r="Y158" s="27">
        <v>44815</v>
      </c>
      <c r="Z158" s="27">
        <v>45101</v>
      </c>
      <c r="AA158" s="27">
        <v>45169</v>
      </c>
      <c r="AB158" s="26" t="s">
        <v>353</v>
      </c>
      <c r="AC158" s="26"/>
      <c r="AD158" s="28"/>
      <c r="AE158" s="28" t="s">
        <v>90</v>
      </c>
      <c r="AF158" s="28" t="s">
        <v>90</v>
      </c>
      <c r="AG158" s="28"/>
      <c r="AH158" s="28" t="s">
        <v>90</v>
      </c>
      <c r="AI158" s="28" t="s">
        <v>90</v>
      </c>
      <c r="AJ158" s="28" t="s">
        <v>90</v>
      </c>
      <c r="AK158" s="28" t="s">
        <v>90</v>
      </c>
      <c r="AL158" s="28" t="s">
        <v>90</v>
      </c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31"/>
      <c r="AY158" s="31">
        <f>1.9*9</f>
        <v>17.099999999999998</v>
      </c>
      <c r="AZ158" s="30"/>
      <c r="BA158" s="31"/>
      <c r="BB158" s="31"/>
      <c r="BC158" s="30">
        <v>27</v>
      </c>
      <c r="BD158" s="31">
        <f t="shared" si="20"/>
        <v>0</v>
      </c>
      <c r="BE158" s="31">
        <f t="shared" si="33"/>
        <v>940.49999999999989</v>
      </c>
      <c r="BF158" s="30"/>
      <c r="BG158" s="36">
        <v>1</v>
      </c>
      <c r="BH158" s="30"/>
      <c r="BI158" s="31"/>
      <c r="BJ158" s="30"/>
      <c r="BK158" s="53"/>
      <c r="BL158" s="53"/>
      <c r="BM158" s="54"/>
      <c r="BN158" s="30"/>
      <c r="BO158" s="33">
        <f t="shared" si="21"/>
        <v>0</v>
      </c>
      <c r="BP158" s="30">
        <v>7</v>
      </c>
      <c r="BQ158" s="30">
        <v>0</v>
      </c>
      <c r="BR158" s="30"/>
      <c r="BS158" s="30"/>
      <c r="BT158" s="34">
        <f t="shared" si="22"/>
        <v>17.099999999999998</v>
      </c>
      <c r="BU158" s="34"/>
      <c r="BV158" s="34"/>
      <c r="BW158" s="34"/>
      <c r="BX158" s="34"/>
      <c r="BY158" s="30"/>
      <c r="BZ158" s="31">
        <f t="shared" si="18"/>
        <v>119.69999999999999</v>
      </c>
      <c r="CA158" s="31">
        <f t="shared" si="26"/>
        <v>0</v>
      </c>
    </row>
    <row r="159" spans="1:79" ht="51" x14ac:dyDescent="0.25">
      <c r="A159" s="17"/>
      <c r="B159" s="2">
        <v>155</v>
      </c>
      <c r="C159" s="48">
        <v>106</v>
      </c>
      <c r="D159" s="48">
        <v>303</v>
      </c>
      <c r="E159" s="49">
        <v>0.37847222222222227</v>
      </c>
      <c r="F159" s="49">
        <v>0.39166666666666666</v>
      </c>
      <c r="G159" s="51" t="s">
        <v>602</v>
      </c>
      <c r="H159" s="51" t="s">
        <v>355</v>
      </c>
      <c r="I159" s="48">
        <v>8</v>
      </c>
      <c r="J159" s="52">
        <v>19</v>
      </c>
      <c r="K159" s="22">
        <v>55</v>
      </c>
      <c r="L159" s="23">
        <f t="shared" si="19"/>
        <v>440</v>
      </c>
      <c r="M159" s="24" t="s">
        <v>94</v>
      </c>
      <c r="N159" s="25" t="s">
        <v>603</v>
      </c>
      <c r="O159" s="25">
        <v>25</v>
      </c>
      <c r="P159" s="25" t="s">
        <v>604</v>
      </c>
      <c r="Q159" s="25">
        <v>23</v>
      </c>
      <c r="R159" s="17" t="s">
        <v>605</v>
      </c>
      <c r="S159" s="35">
        <v>23</v>
      </c>
      <c r="T159" s="26">
        <v>6096</v>
      </c>
      <c r="U159" s="26" t="s">
        <v>606</v>
      </c>
      <c r="V159" s="26">
        <v>6100</v>
      </c>
      <c r="W159" s="26" t="s">
        <v>607</v>
      </c>
      <c r="X159" s="27">
        <v>44562</v>
      </c>
      <c r="Y159" s="27">
        <v>44815</v>
      </c>
      <c r="Z159" s="27">
        <v>45101</v>
      </c>
      <c r="AA159" s="27">
        <v>45169</v>
      </c>
      <c r="AB159" s="26" t="s">
        <v>353</v>
      </c>
      <c r="AC159" s="26"/>
      <c r="AD159" s="28"/>
      <c r="AE159" s="28" t="s">
        <v>90</v>
      </c>
      <c r="AF159" s="28" t="s">
        <v>90</v>
      </c>
      <c r="AG159" s="28"/>
      <c r="AH159" s="28" t="s">
        <v>90</v>
      </c>
      <c r="AI159" s="28" t="s">
        <v>90</v>
      </c>
      <c r="AJ159" s="28" t="s">
        <v>90</v>
      </c>
      <c r="AK159" s="28" t="s">
        <v>90</v>
      </c>
      <c r="AL159" s="28" t="s">
        <v>90</v>
      </c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31"/>
      <c r="AY159" s="31">
        <f>1.9*8</f>
        <v>15.2</v>
      </c>
      <c r="AZ159" s="30"/>
      <c r="BA159" s="31"/>
      <c r="BB159" s="31"/>
      <c r="BC159" s="30">
        <v>28</v>
      </c>
      <c r="BD159" s="31">
        <f t="shared" si="20"/>
        <v>0</v>
      </c>
      <c r="BE159" s="31">
        <f t="shared" si="33"/>
        <v>836</v>
      </c>
      <c r="BF159" s="30"/>
      <c r="BG159" s="36">
        <v>1</v>
      </c>
      <c r="BH159" s="30"/>
      <c r="BI159" s="31"/>
      <c r="BJ159" s="30"/>
      <c r="BK159" s="53"/>
      <c r="BL159" s="53"/>
      <c r="BM159" s="54"/>
      <c r="BN159" s="30"/>
      <c r="BO159" s="33">
        <f t="shared" si="21"/>
        <v>0</v>
      </c>
      <c r="BP159" s="30">
        <v>7</v>
      </c>
      <c r="BQ159" s="30">
        <v>0</v>
      </c>
      <c r="BR159" s="30"/>
      <c r="BS159" s="30"/>
      <c r="BT159" s="34">
        <f t="shared" si="22"/>
        <v>15.2</v>
      </c>
      <c r="BU159" s="34" t="s">
        <v>353</v>
      </c>
      <c r="BV159" s="30">
        <v>7</v>
      </c>
      <c r="BW159" s="30">
        <v>0</v>
      </c>
      <c r="BX159" s="34">
        <v>20.8</v>
      </c>
      <c r="BY159" s="30"/>
      <c r="BZ159" s="31">
        <f t="shared" si="18"/>
        <v>252</v>
      </c>
      <c r="CA159" s="31">
        <f t="shared" si="26"/>
        <v>0</v>
      </c>
    </row>
    <row r="160" spans="1:79" ht="45.75" x14ac:dyDescent="0.25">
      <c r="A160" s="17"/>
      <c r="B160" s="2">
        <v>156</v>
      </c>
      <c r="C160" s="48">
        <v>106</v>
      </c>
      <c r="D160" s="48">
        <v>286</v>
      </c>
      <c r="E160" s="49">
        <v>0.56944444444444442</v>
      </c>
      <c r="F160" s="49">
        <v>0.58263888888888882</v>
      </c>
      <c r="G160" s="51" t="s">
        <v>609</v>
      </c>
      <c r="H160" s="48" t="s">
        <v>316</v>
      </c>
      <c r="I160" s="48">
        <v>9</v>
      </c>
      <c r="J160" s="52">
        <v>19</v>
      </c>
      <c r="K160" s="22">
        <v>67</v>
      </c>
      <c r="L160" s="23">
        <f t="shared" si="19"/>
        <v>603</v>
      </c>
      <c r="M160" s="24" t="s">
        <v>94</v>
      </c>
      <c r="N160" s="25" t="s">
        <v>603</v>
      </c>
      <c r="O160" s="25">
        <v>25</v>
      </c>
      <c r="P160" s="25" t="s">
        <v>604</v>
      </c>
      <c r="Q160" s="25">
        <v>23</v>
      </c>
      <c r="R160" s="17" t="s">
        <v>605</v>
      </c>
      <c r="S160" s="35">
        <v>23</v>
      </c>
      <c r="T160" s="26" t="s">
        <v>204</v>
      </c>
      <c r="U160" s="26" t="s">
        <v>205</v>
      </c>
      <c r="V160" s="26">
        <v>6096</v>
      </c>
      <c r="W160" s="26" t="s">
        <v>606</v>
      </c>
      <c r="X160" s="27">
        <v>44562</v>
      </c>
      <c r="Y160" s="27">
        <v>44815</v>
      </c>
      <c r="Z160" s="27">
        <v>45101</v>
      </c>
      <c r="AA160" s="27">
        <v>45169</v>
      </c>
      <c r="AB160" s="28" t="s">
        <v>89</v>
      </c>
      <c r="AC160" s="28"/>
      <c r="AD160" s="28"/>
      <c r="AE160" s="28" t="s">
        <v>90</v>
      </c>
      <c r="AF160" s="28" t="s">
        <v>90</v>
      </c>
      <c r="AG160" s="28"/>
      <c r="AH160" s="28" t="s">
        <v>90</v>
      </c>
      <c r="AI160" s="28" t="s">
        <v>90</v>
      </c>
      <c r="AJ160" s="28" t="s">
        <v>90</v>
      </c>
      <c r="AK160" s="28" t="s">
        <v>90</v>
      </c>
      <c r="AL160" s="28" t="s">
        <v>90</v>
      </c>
      <c r="AM160" s="28" t="s">
        <v>90</v>
      </c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31"/>
      <c r="AY160" s="31">
        <f>1.9*9</f>
        <v>17.099999999999998</v>
      </c>
      <c r="AZ160" s="30"/>
      <c r="BA160" s="31"/>
      <c r="BB160" s="31"/>
      <c r="BC160" s="30">
        <v>29</v>
      </c>
      <c r="BD160" s="31">
        <f t="shared" si="20"/>
        <v>0</v>
      </c>
      <c r="BE160" s="31">
        <f t="shared" si="33"/>
        <v>1145.6999999999998</v>
      </c>
      <c r="BF160" s="30"/>
      <c r="BG160" s="36">
        <v>1</v>
      </c>
      <c r="BH160" s="30"/>
      <c r="BI160" s="31"/>
      <c r="BJ160" s="30"/>
      <c r="BK160" s="53"/>
      <c r="BL160" s="53"/>
      <c r="BM160" s="54"/>
      <c r="BN160" s="30"/>
      <c r="BO160" s="33">
        <f t="shared" si="21"/>
        <v>0</v>
      </c>
      <c r="BP160" s="30">
        <v>9</v>
      </c>
      <c r="BQ160" s="30">
        <v>0</v>
      </c>
      <c r="BR160" s="30"/>
      <c r="BS160" s="30"/>
      <c r="BT160" s="34">
        <f t="shared" si="22"/>
        <v>17.099999999999998</v>
      </c>
      <c r="BU160" s="34" t="s">
        <v>101</v>
      </c>
      <c r="BV160" s="30">
        <v>2</v>
      </c>
      <c r="BW160" s="30">
        <v>0</v>
      </c>
      <c r="BX160" s="34">
        <v>102.5</v>
      </c>
      <c r="BY160" s="30"/>
      <c r="BZ160" s="31">
        <f t="shared" si="18"/>
        <v>358.9</v>
      </c>
      <c r="CA160" s="31">
        <f t="shared" si="26"/>
        <v>0</v>
      </c>
    </row>
    <row r="161" spans="1:79" ht="45.75" x14ac:dyDescent="0.25">
      <c r="A161" s="17"/>
      <c r="B161" s="2">
        <v>157</v>
      </c>
      <c r="C161" s="48">
        <v>106</v>
      </c>
      <c r="D161" s="48">
        <v>287</v>
      </c>
      <c r="E161" s="49">
        <v>0.64236111111111105</v>
      </c>
      <c r="F161" s="49">
        <v>0.65555555555555556</v>
      </c>
      <c r="G161" s="51" t="s">
        <v>602</v>
      </c>
      <c r="H161" s="48" t="s">
        <v>316</v>
      </c>
      <c r="I161" s="48">
        <v>8</v>
      </c>
      <c r="J161" s="52">
        <v>19</v>
      </c>
      <c r="K161" s="22">
        <v>67</v>
      </c>
      <c r="L161" s="23">
        <f t="shared" si="19"/>
        <v>536</v>
      </c>
      <c r="M161" s="24" t="s">
        <v>94</v>
      </c>
      <c r="N161" s="25" t="s">
        <v>603</v>
      </c>
      <c r="O161" s="25">
        <v>25</v>
      </c>
      <c r="P161" s="25" t="s">
        <v>604</v>
      </c>
      <c r="Q161" s="25">
        <v>23</v>
      </c>
      <c r="R161" s="17" t="s">
        <v>605</v>
      </c>
      <c r="S161" s="35">
        <v>23</v>
      </c>
      <c r="T161" s="26">
        <v>6096</v>
      </c>
      <c r="U161" s="26" t="s">
        <v>606</v>
      </c>
      <c r="V161" s="26">
        <v>6100</v>
      </c>
      <c r="W161" s="26" t="s">
        <v>607</v>
      </c>
      <c r="X161" s="27">
        <v>44562</v>
      </c>
      <c r="Y161" s="27">
        <v>44815</v>
      </c>
      <c r="Z161" s="27">
        <v>45101</v>
      </c>
      <c r="AA161" s="27">
        <v>45169</v>
      </c>
      <c r="AB161" s="28" t="s">
        <v>89</v>
      </c>
      <c r="AC161" s="28"/>
      <c r="AD161" s="28"/>
      <c r="AE161" s="28" t="s">
        <v>90</v>
      </c>
      <c r="AF161" s="28" t="s">
        <v>90</v>
      </c>
      <c r="AG161" s="28"/>
      <c r="AH161" s="28" t="s">
        <v>90</v>
      </c>
      <c r="AI161" s="28" t="s">
        <v>90</v>
      </c>
      <c r="AJ161" s="28" t="s">
        <v>90</v>
      </c>
      <c r="AK161" s="28" t="s">
        <v>90</v>
      </c>
      <c r="AL161" s="28" t="s">
        <v>90</v>
      </c>
      <c r="AM161" s="28" t="s">
        <v>90</v>
      </c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31"/>
      <c r="AY161" s="31">
        <f>1.9*8</f>
        <v>15.2</v>
      </c>
      <c r="AZ161" s="30"/>
      <c r="BA161" s="31"/>
      <c r="BB161" s="31"/>
      <c r="BC161" s="30">
        <v>30</v>
      </c>
      <c r="BD161" s="31">
        <f t="shared" si="20"/>
        <v>0</v>
      </c>
      <c r="BE161" s="31">
        <f t="shared" si="33"/>
        <v>1018.4</v>
      </c>
      <c r="BF161" s="30"/>
      <c r="BG161" s="36">
        <v>1</v>
      </c>
      <c r="BH161" s="30"/>
      <c r="BI161" s="31"/>
      <c r="BJ161" s="30"/>
      <c r="BK161" s="53"/>
      <c r="BL161" s="53"/>
      <c r="BM161" s="54"/>
      <c r="BN161" s="30"/>
      <c r="BO161" s="33">
        <f t="shared" si="21"/>
        <v>0</v>
      </c>
      <c r="BP161" s="30">
        <v>9</v>
      </c>
      <c r="BQ161" s="30">
        <v>0</v>
      </c>
      <c r="BR161" s="30"/>
      <c r="BS161" s="30"/>
      <c r="BT161" s="34">
        <f t="shared" si="22"/>
        <v>15.2</v>
      </c>
      <c r="BU161" s="34"/>
      <c r="BV161" s="34"/>
      <c r="BW161" s="34"/>
      <c r="BX161" s="34"/>
      <c r="BY161" s="30"/>
      <c r="BZ161" s="31">
        <f t="shared" si="18"/>
        <v>136.79999999999998</v>
      </c>
      <c r="CA161" s="31">
        <f t="shared" si="26"/>
        <v>0</v>
      </c>
    </row>
    <row r="162" spans="1:79" ht="45.75" x14ac:dyDescent="0.25">
      <c r="A162" s="17"/>
      <c r="B162" s="2">
        <v>158</v>
      </c>
      <c r="C162" s="18">
        <v>106</v>
      </c>
      <c r="D162" s="18">
        <v>288</v>
      </c>
      <c r="E162" s="19">
        <v>0.74722222222222223</v>
      </c>
      <c r="F162" s="19">
        <v>0.76041666666666663</v>
      </c>
      <c r="G162" s="18" t="s">
        <v>610</v>
      </c>
      <c r="H162" s="18" t="s">
        <v>422</v>
      </c>
      <c r="I162" s="20">
        <v>9</v>
      </c>
      <c r="J162" s="21" t="s">
        <v>571</v>
      </c>
      <c r="K162" s="22">
        <v>240</v>
      </c>
      <c r="L162" s="23">
        <f t="shared" si="19"/>
        <v>2160</v>
      </c>
      <c r="M162" s="24" t="s">
        <v>195</v>
      </c>
      <c r="N162" s="25" t="s">
        <v>196</v>
      </c>
      <c r="O162" s="25">
        <v>24</v>
      </c>
      <c r="P162" s="25" t="s">
        <v>198</v>
      </c>
      <c r="Q162" s="25">
        <v>21</v>
      </c>
      <c r="R162" s="17"/>
      <c r="S162" s="25"/>
      <c r="T162" s="26" t="s">
        <v>204</v>
      </c>
      <c r="U162" s="26" t="s">
        <v>205</v>
      </c>
      <c r="V162" s="26">
        <v>6096</v>
      </c>
      <c r="W162" s="26" t="s">
        <v>606</v>
      </c>
      <c r="X162" s="27">
        <v>44816</v>
      </c>
      <c r="Y162" s="27">
        <v>45100</v>
      </c>
      <c r="Z162" s="27"/>
      <c r="AA162" s="27"/>
      <c r="AB162" s="26" t="s">
        <v>423</v>
      </c>
      <c r="AC162" s="26"/>
      <c r="AD162" s="28" t="s">
        <v>90</v>
      </c>
      <c r="AE162" s="28"/>
      <c r="AF162" s="28" t="s">
        <v>90</v>
      </c>
      <c r="AG162" s="28"/>
      <c r="AH162" s="28" t="s">
        <v>90</v>
      </c>
      <c r="AI162" s="28" t="s">
        <v>90</v>
      </c>
      <c r="AJ162" s="28" t="s">
        <v>90</v>
      </c>
      <c r="AK162" s="28" t="s">
        <v>90</v>
      </c>
      <c r="AL162" s="28" t="s">
        <v>90</v>
      </c>
      <c r="AM162" s="28" t="s">
        <v>90</v>
      </c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9">
        <v>22.5</v>
      </c>
      <c r="AY162" s="30"/>
      <c r="AZ162" s="30"/>
      <c r="BA162" s="29"/>
      <c r="BB162" s="29"/>
      <c r="BC162" s="30"/>
      <c r="BD162" s="31">
        <f t="shared" si="20"/>
        <v>5400</v>
      </c>
      <c r="BE162" s="31"/>
      <c r="BF162" s="30"/>
      <c r="BG162" s="36">
        <v>1</v>
      </c>
      <c r="BH162" s="31">
        <f>IF(AND((AX162/I162)&lt;2,BG162=1),(I162*2)-AX162,0)</f>
        <v>0</v>
      </c>
      <c r="BI162" s="31">
        <f>IF(AND((AX162/I162)&lt;3,BG162=2),(I162*3)-AX162,0)</f>
        <v>0</v>
      </c>
      <c r="BJ162" s="33">
        <f>(BH162+BI162)*K162</f>
        <v>0</v>
      </c>
      <c r="BK162" s="30"/>
      <c r="BL162" s="30"/>
      <c r="BM162" s="30"/>
      <c r="BN162" s="30"/>
      <c r="BO162" s="33">
        <f t="shared" si="21"/>
        <v>0</v>
      </c>
      <c r="BP162" s="30">
        <v>17</v>
      </c>
      <c r="BQ162" s="30">
        <v>26</v>
      </c>
      <c r="BR162" s="30"/>
      <c r="BS162" s="30"/>
      <c r="BT162" s="34">
        <f t="shared" si="22"/>
        <v>22.5</v>
      </c>
      <c r="BU162" s="34"/>
      <c r="BV162" s="34"/>
      <c r="BW162" s="34"/>
      <c r="BX162" s="34"/>
      <c r="BY162" s="30"/>
      <c r="BZ162" s="31">
        <f t="shared" si="18"/>
        <v>382.5</v>
      </c>
      <c r="CA162" s="31">
        <f t="shared" si="26"/>
        <v>585</v>
      </c>
    </row>
    <row r="163" spans="1:79" ht="45.75" x14ac:dyDescent="0.25">
      <c r="A163" s="17"/>
      <c r="B163" s="2">
        <v>159</v>
      </c>
      <c r="C163" s="18">
        <v>106</v>
      </c>
      <c r="D163" s="18">
        <v>289</v>
      </c>
      <c r="E163" s="19">
        <v>0.76111111111111107</v>
      </c>
      <c r="F163" s="19">
        <v>0.77430555555555547</v>
      </c>
      <c r="G163" s="18" t="s">
        <v>611</v>
      </c>
      <c r="H163" s="18" t="s">
        <v>422</v>
      </c>
      <c r="I163" s="20">
        <v>8</v>
      </c>
      <c r="J163" s="21" t="s">
        <v>571</v>
      </c>
      <c r="K163" s="22">
        <v>240</v>
      </c>
      <c r="L163" s="23">
        <f t="shared" si="19"/>
        <v>1920</v>
      </c>
      <c r="M163" s="24" t="s">
        <v>195</v>
      </c>
      <c r="N163" s="25" t="s">
        <v>196</v>
      </c>
      <c r="O163" s="25">
        <v>24</v>
      </c>
      <c r="P163" s="25" t="s">
        <v>198</v>
      </c>
      <c r="Q163" s="25">
        <v>21</v>
      </c>
      <c r="R163" s="17"/>
      <c r="S163" s="25"/>
      <c r="T163" s="26">
        <v>6096</v>
      </c>
      <c r="U163" s="26" t="s">
        <v>606</v>
      </c>
      <c r="V163" s="26">
        <v>6100</v>
      </c>
      <c r="W163" s="26" t="s">
        <v>607</v>
      </c>
      <c r="X163" s="27">
        <v>44816</v>
      </c>
      <c r="Y163" s="27">
        <v>45100</v>
      </c>
      <c r="Z163" s="27"/>
      <c r="AA163" s="27"/>
      <c r="AB163" s="26" t="s">
        <v>423</v>
      </c>
      <c r="AC163" s="26"/>
      <c r="AD163" s="28" t="s">
        <v>90</v>
      </c>
      <c r="AE163" s="28"/>
      <c r="AF163" s="28" t="s">
        <v>90</v>
      </c>
      <c r="AG163" s="28"/>
      <c r="AH163" s="28" t="s">
        <v>90</v>
      </c>
      <c r="AI163" s="28" t="s">
        <v>90</v>
      </c>
      <c r="AJ163" s="28" t="s">
        <v>90</v>
      </c>
      <c r="AK163" s="28" t="s">
        <v>90</v>
      </c>
      <c r="AL163" s="28" t="s">
        <v>90</v>
      </c>
      <c r="AM163" s="28" t="s">
        <v>90</v>
      </c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9">
        <v>20</v>
      </c>
      <c r="AY163" s="30"/>
      <c r="AZ163" s="30"/>
      <c r="BA163" s="29"/>
      <c r="BB163" s="29"/>
      <c r="BC163" s="30"/>
      <c r="BD163" s="31">
        <f t="shared" si="20"/>
        <v>4800</v>
      </c>
      <c r="BE163" s="31"/>
      <c r="BF163" s="30"/>
      <c r="BG163" s="36">
        <v>1</v>
      </c>
      <c r="BH163" s="31">
        <f>IF(AND((AX163/I163)&lt;2,BG163=1),(I163*2)-AX163,0)</f>
        <v>0</v>
      </c>
      <c r="BI163" s="31">
        <f>IF(AND((AX163/I163)&lt;3,BG163=2),(I163*3)-AX163,0)</f>
        <v>0</v>
      </c>
      <c r="BJ163" s="33">
        <f>(BH163+BI163)*K163</f>
        <v>0</v>
      </c>
      <c r="BK163" s="30"/>
      <c r="BL163" s="30"/>
      <c r="BM163" s="30"/>
      <c r="BN163" s="30"/>
      <c r="BO163" s="33">
        <f t="shared" si="21"/>
        <v>0</v>
      </c>
      <c r="BP163" s="30">
        <v>17</v>
      </c>
      <c r="BQ163" s="30">
        <v>26</v>
      </c>
      <c r="BR163" s="30"/>
      <c r="BS163" s="30"/>
      <c r="BT163" s="34">
        <f t="shared" si="22"/>
        <v>20</v>
      </c>
      <c r="BU163" s="34"/>
      <c r="BV163" s="34"/>
      <c r="BW163" s="34"/>
      <c r="BX163" s="34"/>
      <c r="BY163" s="30"/>
      <c r="BZ163" s="31">
        <f t="shared" si="18"/>
        <v>340</v>
      </c>
      <c r="CA163" s="31">
        <f t="shared" si="26"/>
        <v>520</v>
      </c>
    </row>
    <row r="164" spans="1:79" ht="45.75" x14ac:dyDescent="0.25">
      <c r="A164" s="17"/>
      <c r="B164" s="2">
        <v>160</v>
      </c>
      <c r="C164" s="18">
        <v>106</v>
      </c>
      <c r="D164" s="18">
        <v>304</v>
      </c>
      <c r="E164" s="19">
        <v>0.78472222222222221</v>
      </c>
      <c r="F164" s="19">
        <v>0.79791666666666661</v>
      </c>
      <c r="G164" s="18" t="s">
        <v>610</v>
      </c>
      <c r="H164" s="18" t="s">
        <v>349</v>
      </c>
      <c r="I164" s="20">
        <v>9</v>
      </c>
      <c r="J164" s="21" t="s">
        <v>571</v>
      </c>
      <c r="K164" s="22">
        <v>202</v>
      </c>
      <c r="L164" s="23">
        <f t="shared" si="19"/>
        <v>1818</v>
      </c>
      <c r="M164" s="24" t="s">
        <v>195</v>
      </c>
      <c r="N164" s="25" t="s">
        <v>196</v>
      </c>
      <c r="O164" s="25">
        <v>24</v>
      </c>
      <c r="P164" s="25" t="s">
        <v>198</v>
      </c>
      <c r="Q164" s="25">
        <v>21</v>
      </c>
      <c r="R164" s="17"/>
      <c r="S164" s="25"/>
      <c r="T164" s="26" t="s">
        <v>204</v>
      </c>
      <c r="U164" s="26" t="s">
        <v>205</v>
      </c>
      <c r="V164" s="26">
        <v>6096</v>
      </c>
      <c r="W164" s="26" t="s">
        <v>606</v>
      </c>
      <c r="X164" s="27">
        <v>44816</v>
      </c>
      <c r="Y164" s="27">
        <v>45100</v>
      </c>
      <c r="Z164" s="27"/>
      <c r="AA164" s="27"/>
      <c r="AB164" s="26" t="s">
        <v>351</v>
      </c>
      <c r="AC164" s="26"/>
      <c r="AD164" s="28" t="s">
        <v>90</v>
      </c>
      <c r="AE164" s="28"/>
      <c r="AF164" s="28" t="s">
        <v>90</v>
      </c>
      <c r="AG164" s="28"/>
      <c r="AH164" s="28" t="s">
        <v>90</v>
      </c>
      <c r="AI164" s="28" t="s">
        <v>90</v>
      </c>
      <c r="AJ164" s="28" t="s">
        <v>90</v>
      </c>
      <c r="AK164" s="28" t="s">
        <v>90</v>
      </c>
      <c r="AL164" s="28" t="s">
        <v>90</v>
      </c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9">
        <v>22.5</v>
      </c>
      <c r="AY164" s="30"/>
      <c r="AZ164" s="30"/>
      <c r="BA164" s="29"/>
      <c r="BB164" s="29"/>
      <c r="BC164" s="30"/>
      <c r="BD164" s="31">
        <f t="shared" si="20"/>
        <v>4545</v>
      </c>
      <c r="BE164" s="31"/>
      <c r="BF164" s="30"/>
      <c r="BG164" s="36">
        <v>1</v>
      </c>
      <c r="BH164" s="31">
        <f>IF(AND((AX164/I164)&lt;2,BG164=1),(I164*2)-AX164,0)</f>
        <v>0</v>
      </c>
      <c r="BI164" s="31">
        <f>IF(AND((AX164/I164)&lt;3,BG164=2),(I164*3)-AX164,0)</f>
        <v>0</v>
      </c>
      <c r="BJ164" s="33">
        <f>(BH164+BI164)*K164</f>
        <v>0</v>
      </c>
      <c r="BK164" s="30"/>
      <c r="BL164" s="30"/>
      <c r="BM164" s="30"/>
      <c r="BN164" s="30"/>
      <c r="BO164" s="33">
        <f t="shared" si="21"/>
        <v>0</v>
      </c>
      <c r="BP164" s="30">
        <v>15</v>
      </c>
      <c r="BQ164" s="30">
        <v>21</v>
      </c>
      <c r="BR164" s="30"/>
      <c r="BS164" s="30"/>
      <c r="BT164" s="34">
        <f t="shared" si="22"/>
        <v>22.5</v>
      </c>
      <c r="BU164" s="34"/>
      <c r="BV164" s="34"/>
      <c r="BW164" s="34"/>
      <c r="BX164" s="34"/>
      <c r="BY164" s="30"/>
      <c r="BZ164" s="31">
        <f t="shared" si="18"/>
        <v>337.5</v>
      </c>
      <c r="CA164" s="31">
        <f t="shared" si="26"/>
        <v>472.5</v>
      </c>
    </row>
    <row r="165" spans="1:79" ht="51" x14ac:dyDescent="0.25">
      <c r="A165" s="17"/>
      <c r="B165" s="2">
        <v>161</v>
      </c>
      <c r="C165" s="48">
        <v>106</v>
      </c>
      <c r="D165" s="48">
        <v>288</v>
      </c>
      <c r="E165" s="49">
        <v>0.79861111111111116</v>
      </c>
      <c r="F165" s="49">
        <v>0.81180555555555556</v>
      </c>
      <c r="G165" s="51" t="s">
        <v>609</v>
      </c>
      <c r="H165" s="51" t="s">
        <v>355</v>
      </c>
      <c r="I165" s="48">
        <v>9</v>
      </c>
      <c r="J165" s="52">
        <v>19</v>
      </c>
      <c r="K165" s="22">
        <v>55</v>
      </c>
      <c r="L165" s="23">
        <f t="shared" si="19"/>
        <v>495</v>
      </c>
      <c r="M165" s="24" t="s">
        <v>94</v>
      </c>
      <c r="N165" s="25" t="s">
        <v>603</v>
      </c>
      <c r="O165" s="25">
        <v>25</v>
      </c>
      <c r="P165" s="25" t="s">
        <v>604</v>
      </c>
      <c r="Q165" s="25">
        <v>23</v>
      </c>
      <c r="R165" s="17" t="s">
        <v>605</v>
      </c>
      <c r="S165" s="35">
        <v>23</v>
      </c>
      <c r="T165" s="26" t="s">
        <v>204</v>
      </c>
      <c r="U165" s="26" t="s">
        <v>205</v>
      </c>
      <c r="V165" s="26">
        <v>6096</v>
      </c>
      <c r="W165" s="26" t="s">
        <v>606</v>
      </c>
      <c r="X165" s="27">
        <v>44562</v>
      </c>
      <c r="Y165" s="27">
        <v>44815</v>
      </c>
      <c r="Z165" s="27">
        <v>45101</v>
      </c>
      <c r="AA165" s="27">
        <v>45169</v>
      </c>
      <c r="AB165" s="26" t="s">
        <v>353</v>
      </c>
      <c r="AC165" s="26"/>
      <c r="AD165" s="28"/>
      <c r="AE165" s="28" t="s">
        <v>90</v>
      </c>
      <c r="AF165" s="28" t="s">
        <v>90</v>
      </c>
      <c r="AG165" s="28"/>
      <c r="AH165" s="28" t="s">
        <v>90</v>
      </c>
      <c r="AI165" s="28" t="s">
        <v>90</v>
      </c>
      <c r="AJ165" s="28" t="s">
        <v>90</v>
      </c>
      <c r="AK165" s="28" t="s">
        <v>90</v>
      </c>
      <c r="AL165" s="28" t="s">
        <v>90</v>
      </c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31"/>
      <c r="AY165" s="31">
        <f>1.9*9</f>
        <v>17.099999999999998</v>
      </c>
      <c r="AZ165" s="30"/>
      <c r="BA165" s="31"/>
      <c r="BB165" s="31"/>
      <c r="BC165" s="30">
        <v>31</v>
      </c>
      <c r="BD165" s="31">
        <f t="shared" si="20"/>
        <v>0</v>
      </c>
      <c r="BE165" s="31">
        <f>AY165*K165</f>
        <v>940.49999999999989</v>
      </c>
      <c r="BF165" s="30"/>
      <c r="BG165" s="36">
        <v>1</v>
      </c>
      <c r="BH165" s="30"/>
      <c r="BI165" s="31"/>
      <c r="BJ165" s="30"/>
      <c r="BK165" s="53"/>
      <c r="BL165" s="53"/>
      <c r="BM165" s="54"/>
      <c r="BN165" s="30"/>
      <c r="BO165" s="33">
        <f t="shared" si="21"/>
        <v>0</v>
      </c>
      <c r="BP165" s="30">
        <v>7</v>
      </c>
      <c r="BQ165" s="30">
        <v>0</v>
      </c>
      <c r="BR165" s="30"/>
      <c r="BS165" s="30"/>
      <c r="BT165" s="34">
        <f t="shared" si="22"/>
        <v>17.099999999999998</v>
      </c>
      <c r="BU165" s="34"/>
      <c r="BV165" s="34"/>
      <c r="BW165" s="34"/>
      <c r="BX165" s="34"/>
      <c r="BY165" s="30"/>
      <c r="BZ165" s="31">
        <f t="shared" si="18"/>
        <v>119.69999999999999</v>
      </c>
      <c r="CA165" s="31">
        <f t="shared" si="26"/>
        <v>0</v>
      </c>
    </row>
    <row r="166" spans="1:79" ht="67.5" x14ac:dyDescent="0.25">
      <c r="A166" s="17"/>
      <c r="B166" s="2">
        <v>162</v>
      </c>
      <c r="C166" s="18">
        <v>107</v>
      </c>
      <c r="D166" s="18">
        <v>566</v>
      </c>
      <c r="E166" s="19">
        <v>0.54999999999999993</v>
      </c>
      <c r="F166" s="19">
        <v>0.55833333333333335</v>
      </c>
      <c r="G166" s="18" t="s">
        <v>612</v>
      </c>
      <c r="H166" s="18" t="s">
        <v>273</v>
      </c>
      <c r="I166" s="20">
        <v>3</v>
      </c>
      <c r="J166" s="21" t="s">
        <v>500</v>
      </c>
      <c r="K166" s="22">
        <v>174</v>
      </c>
      <c r="L166" s="23">
        <f t="shared" si="19"/>
        <v>522</v>
      </c>
      <c r="M166" s="24" t="s">
        <v>486</v>
      </c>
      <c r="N166" s="25" t="s">
        <v>495</v>
      </c>
      <c r="O166" s="45">
        <v>46</v>
      </c>
      <c r="P166" s="25" t="s">
        <v>501</v>
      </c>
      <c r="Q166" s="45">
        <v>47</v>
      </c>
      <c r="R166" s="17"/>
      <c r="S166" s="45"/>
      <c r="T166" s="26" t="s">
        <v>613</v>
      </c>
      <c r="U166" s="26" t="s">
        <v>614</v>
      </c>
      <c r="V166" s="26" t="s">
        <v>204</v>
      </c>
      <c r="W166" s="26" t="s">
        <v>205</v>
      </c>
      <c r="X166" s="66">
        <v>44816</v>
      </c>
      <c r="Y166" s="66">
        <v>45086</v>
      </c>
      <c r="Z166" s="66"/>
      <c r="AA166" s="66"/>
      <c r="AB166" s="26" t="s">
        <v>282</v>
      </c>
      <c r="AC166" s="26"/>
      <c r="AD166" s="28"/>
      <c r="AE166" s="28"/>
      <c r="AF166" s="28"/>
      <c r="AG166" s="28" t="s">
        <v>90</v>
      </c>
      <c r="AH166" s="28" t="s">
        <v>90</v>
      </c>
      <c r="AI166" s="28" t="s">
        <v>90</v>
      </c>
      <c r="AJ166" s="28" t="s">
        <v>90</v>
      </c>
      <c r="AK166" s="28" t="s">
        <v>90</v>
      </c>
      <c r="AL166" s="28" t="s">
        <v>90</v>
      </c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84">
        <v>9</v>
      </c>
      <c r="AY166" s="30"/>
      <c r="AZ166" s="30"/>
      <c r="BA166" s="29"/>
      <c r="BB166" s="29"/>
      <c r="BC166" s="30"/>
      <c r="BD166" s="31">
        <f t="shared" si="20"/>
        <v>1566</v>
      </c>
      <c r="BE166" s="31"/>
      <c r="BF166" s="30"/>
      <c r="BG166" s="32">
        <v>2</v>
      </c>
      <c r="BH166" s="31">
        <f>IF(AND((AX166/I166)&lt;2,BG166=1),(I166*2)-AX166,0)</f>
        <v>0</v>
      </c>
      <c r="BI166" s="84">
        <f>IF(AND((AX166/I166)&lt;3,BG166=2),(I166*3)-AX166,0)</f>
        <v>0</v>
      </c>
      <c r="BJ166" s="85">
        <f>(BH166+BI166)*K166</f>
        <v>0</v>
      </c>
      <c r="BK166" s="30"/>
      <c r="BL166" s="30"/>
      <c r="BM166" s="30"/>
      <c r="BN166" s="30"/>
      <c r="BO166" s="33">
        <f t="shared" si="21"/>
        <v>0</v>
      </c>
      <c r="BP166" s="30">
        <v>15</v>
      </c>
      <c r="BQ166" s="30">
        <v>20</v>
      </c>
      <c r="BR166" s="30"/>
      <c r="BS166" s="30"/>
      <c r="BT166" s="34">
        <f t="shared" si="22"/>
        <v>9</v>
      </c>
      <c r="BU166" s="34"/>
      <c r="BV166" s="34"/>
      <c r="BW166" s="34"/>
      <c r="BX166" s="34"/>
      <c r="BY166" s="30"/>
      <c r="BZ166" s="31">
        <f t="shared" si="18"/>
        <v>135</v>
      </c>
      <c r="CA166" s="31">
        <f t="shared" si="26"/>
        <v>180</v>
      </c>
    </row>
    <row r="167" spans="1:79" ht="63.75" x14ac:dyDescent="0.25">
      <c r="A167" s="17"/>
      <c r="B167" s="2">
        <v>163</v>
      </c>
      <c r="C167" s="18">
        <v>107</v>
      </c>
      <c r="D167" s="18">
        <v>570</v>
      </c>
      <c r="E167" s="19">
        <v>0.61111111111111105</v>
      </c>
      <c r="F167" s="19">
        <v>0.62430555555555556</v>
      </c>
      <c r="G167" s="18" t="s">
        <v>91</v>
      </c>
      <c r="H167" s="18" t="s">
        <v>92</v>
      </c>
      <c r="I167" s="20">
        <v>15</v>
      </c>
      <c r="J167" s="21" t="s">
        <v>93</v>
      </c>
      <c r="K167" s="22">
        <v>12</v>
      </c>
      <c r="L167" s="23">
        <f t="shared" si="19"/>
        <v>180</v>
      </c>
      <c r="M167" s="24" t="s">
        <v>94</v>
      </c>
      <c r="N167" s="25" t="s">
        <v>95</v>
      </c>
      <c r="O167" s="25">
        <v>24</v>
      </c>
      <c r="P167" s="25" t="s">
        <v>96</v>
      </c>
      <c r="Q167" s="25">
        <v>34</v>
      </c>
      <c r="R167" s="25" t="s">
        <v>97</v>
      </c>
      <c r="S167" s="35">
        <v>21</v>
      </c>
      <c r="T167" s="26">
        <v>6120</v>
      </c>
      <c r="U167" s="26" t="s">
        <v>98</v>
      </c>
      <c r="V167" s="26" t="s">
        <v>99</v>
      </c>
      <c r="W167" s="26" t="s">
        <v>100</v>
      </c>
      <c r="X167" s="27">
        <v>44562</v>
      </c>
      <c r="Y167" s="27">
        <v>44815</v>
      </c>
      <c r="Z167" s="27">
        <v>45101</v>
      </c>
      <c r="AA167" s="27">
        <v>45169</v>
      </c>
      <c r="AB167" s="26" t="s">
        <v>101</v>
      </c>
      <c r="AC167" s="26"/>
      <c r="AD167" s="28"/>
      <c r="AE167" s="28" t="s">
        <v>90</v>
      </c>
      <c r="AF167" s="28" t="s">
        <v>90</v>
      </c>
      <c r="AG167" s="28"/>
      <c r="AH167" s="28"/>
      <c r="AI167" s="28"/>
      <c r="AJ167" s="28"/>
      <c r="AK167" s="28"/>
      <c r="AL167" s="28"/>
      <c r="AM167" s="28" t="s">
        <v>90</v>
      </c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9">
        <v>45</v>
      </c>
      <c r="AY167" s="30"/>
      <c r="AZ167" s="30"/>
      <c r="BA167" s="29"/>
      <c r="BB167" s="29"/>
      <c r="BC167" s="30"/>
      <c r="BD167" s="31">
        <f t="shared" si="20"/>
        <v>540</v>
      </c>
      <c r="BE167" s="31"/>
      <c r="BF167" s="30"/>
      <c r="BG167" s="36">
        <v>1</v>
      </c>
      <c r="BH167" s="31">
        <f>IF(AND((AX167/I167)&lt;2,BG167=1),(I167*2)-AX167,0)</f>
        <v>0</v>
      </c>
      <c r="BI167" s="31">
        <f>IF(AND((AX167/I167)&lt;3,BG167=2),(I167*3)-AX167,0)</f>
        <v>0</v>
      </c>
      <c r="BJ167" s="33">
        <f>(BH167+BI167)*K167</f>
        <v>0</v>
      </c>
      <c r="BK167" s="30"/>
      <c r="BL167" s="30"/>
      <c r="BM167" s="30"/>
      <c r="BN167" s="30"/>
      <c r="BO167" s="33">
        <f t="shared" si="21"/>
        <v>0</v>
      </c>
      <c r="BP167" s="30">
        <v>2</v>
      </c>
      <c r="BQ167" s="30">
        <v>0</v>
      </c>
      <c r="BR167" s="30"/>
      <c r="BS167" s="30"/>
      <c r="BT167" s="34">
        <f t="shared" si="22"/>
        <v>45</v>
      </c>
      <c r="BU167" s="34"/>
      <c r="BV167" s="34"/>
      <c r="BW167" s="34"/>
      <c r="BX167" s="34"/>
      <c r="BY167" s="30"/>
      <c r="BZ167" s="31">
        <f t="shared" si="18"/>
        <v>90</v>
      </c>
      <c r="CA167" s="31">
        <f t="shared" si="26"/>
        <v>0</v>
      </c>
    </row>
    <row r="168" spans="1:79" ht="63.75" x14ac:dyDescent="0.25">
      <c r="A168" s="17"/>
      <c r="B168" s="2">
        <v>164</v>
      </c>
      <c r="C168" s="18">
        <v>107</v>
      </c>
      <c r="D168" s="18">
        <v>571</v>
      </c>
      <c r="E168" s="19">
        <v>0.62916666666666665</v>
      </c>
      <c r="F168" s="19">
        <v>0.64374999999999993</v>
      </c>
      <c r="G168" s="18" t="s">
        <v>102</v>
      </c>
      <c r="H168" s="18" t="s">
        <v>92</v>
      </c>
      <c r="I168" s="20">
        <v>15</v>
      </c>
      <c r="J168" s="21" t="s">
        <v>93</v>
      </c>
      <c r="K168" s="22">
        <v>12</v>
      </c>
      <c r="L168" s="23">
        <f t="shared" si="19"/>
        <v>180</v>
      </c>
      <c r="M168" s="24" t="s">
        <v>94</v>
      </c>
      <c r="N168" s="25" t="s">
        <v>95</v>
      </c>
      <c r="O168" s="25">
        <v>24</v>
      </c>
      <c r="P168" s="25" t="s">
        <v>96</v>
      </c>
      <c r="Q168" s="25">
        <v>34</v>
      </c>
      <c r="R168" s="25" t="s">
        <v>97</v>
      </c>
      <c r="S168" s="35">
        <v>21</v>
      </c>
      <c r="T168" s="26" t="s">
        <v>99</v>
      </c>
      <c r="U168" s="26" t="s">
        <v>100</v>
      </c>
      <c r="V168" s="26">
        <v>6120</v>
      </c>
      <c r="W168" s="26" t="s">
        <v>98</v>
      </c>
      <c r="X168" s="27">
        <v>44562</v>
      </c>
      <c r="Y168" s="27">
        <v>44815</v>
      </c>
      <c r="Z168" s="27">
        <v>45101</v>
      </c>
      <c r="AA168" s="27">
        <v>45169</v>
      </c>
      <c r="AB168" s="26" t="s">
        <v>101</v>
      </c>
      <c r="AC168" s="26"/>
      <c r="AD168" s="28"/>
      <c r="AE168" s="28" t="s">
        <v>90</v>
      </c>
      <c r="AF168" s="28" t="s">
        <v>90</v>
      </c>
      <c r="AG168" s="28"/>
      <c r="AH168" s="28"/>
      <c r="AI168" s="28"/>
      <c r="AJ168" s="28"/>
      <c r="AK168" s="28"/>
      <c r="AL168" s="28"/>
      <c r="AM168" s="28" t="s">
        <v>90</v>
      </c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9">
        <v>45</v>
      </c>
      <c r="AY168" s="30"/>
      <c r="AZ168" s="30"/>
      <c r="BA168" s="29"/>
      <c r="BB168" s="29"/>
      <c r="BC168" s="30"/>
      <c r="BD168" s="31">
        <f t="shared" si="20"/>
        <v>540</v>
      </c>
      <c r="BE168" s="31"/>
      <c r="BF168" s="30"/>
      <c r="BG168" s="36">
        <v>1</v>
      </c>
      <c r="BH168" s="31">
        <f>IF(AND((AX168/I168)&lt;2,BG168=1),(I168*2)-AX168,0)</f>
        <v>0</v>
      </c>
      <c r="BI168" s="31">
        <f>IF(AND((AX168/I168)&lt;3,BG168=2),(I168*3)-AX168,0)</f>
        <v>0</v>
      </c>
      <c r="BJ168" s="33">
        <f>(BH168+BI168)*K168</f>
        <v>0</v>
      </c>
      <c r="BK168" s="30"/>
      <c r="BL168" s="30"/>
      <c r="BM168" s="30"/>
      <c r="BN168" s="30"/>
      <c r="BO168" s="33">
        <f t="shared" si="21"/>
        <v>0</v>
      </c>
      <c r="BP168" s="30">
        <v>2</v>
      </c>
      <c r="BQ168" s="30">
        <v>0</v>
      </c>
      <c r="BR168" s="30"/>
      <c r="BS168" s="30"/>
      <c r="BT168" s="34">
        <f t="shared" si="22"/>
        <v>45</v>
      </c>
      <c r="BU168" s="34"/>
      <c r="BV168" s="34"/>
      <c r="BW168" s="34"/>
      <c r="BX168" s="34"/>
      <c r="BY168" s="30"/>
      <c r="BZ168" s="31">
        <f t="shared" si="18"/>
        <v>90</v>
      </c>
      <c r="CA168" s="31">
        <f t="shared" si="26"/>
        <v>0</v>
      </c>
    </row>
    <row r="169" spans="1:79" ht="63.75" x14ac:dyDescent="0.25">
      <c r="A169" s="17"/>
      <c r="B169" s="2">
        <v>165</v>
      </c>
      <c r="C169" s="48">
        <v>107</v>
      </c>
      <c r="D169" s="48">
        <v>570</v>
      </c>
      <c r="E169" s="49">
        <v>0.71180555555555547</v>
      </c>
      <c r="F169" s="49">
        <v>0.72638888888888886</v>
      </c>
      <c r="G169" s="51" t="s">
        <v>91</v>
      </c>
      <c r="H169" s="51" t="s">
        <v>615</v>
      </c>
      <c r="I169" s="48">
        <v>15</v>
      </c>
      <c r="J169" s="52">
        <v>19</v>
      </c>
      <c r="K169" s="22">
        <v>29</v>
      </c>
      <c r="L169" s="23">
        <f t="shared" si="19"/>
        <v>435</v>
      </c>
      <c r="M169" s="24" t="s">
        <v>94</v>
      </c>
      <c r="N169" s="25" t="s">
        <v>95</v>
      </c>
      <c r="O169" s="25">
        <v>24</v>
      </c>
      <c r="P169" s="25" t="s">
        <v>96</v>
      </c>
      <c r="Q169" s="25">
        <v>34</v>
      </c>
      <c r="R169" s="17"/>
      <c r="S169" s="25"/>
      <c r="T169" s="26">
        <v>6120</v>
      </c>
      <c r="U169" s="26" t="s">
        <v>98</v>
      </c>
      <c r="V169" s="26" t="s">
        <v>99</v>
      </c>
      <c r="W169" s="26" t="s">
        <v>100</v>
      </c>
      <c r="X169" s="27">
        <v>44816</v>
      </c>
      <c r="Y169" s="27">
        <v>45100</v>
      </c>
      <c r="Z169" s="27"/>
      <c r="AA169" s="27"/>
      <c r="AB169" s="26" t="s">
        <v>360</v>
      </c>
      <c r="AC169" s="26"/>
      <c r="AD169" s="28" t="s">
        <v>90</v>
      </c>
      <c r="AE169" s="28"/>
      <c r="AF169" s="28" t="s">
        <v>90</v>
      </c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 t="s">
        <v>90</v>
      </c>
      <c r="AS169" s="28" t="s">
        <v>90</v>
      </c>
      <c r="AT169" s="28" t="s">
        <v>90</v>
      </c>
      <c r="AU169" s="28" t="s">
        <v>90</v>
      </c>
      <c r="AV169" s="28" t="s">
        <v>90</v>
      </c>
      <c r="AW169" s="28" t="s">
        <v>90</v>
      </c>
      <c r="AX169" s="31"/>
      <c r="AY169" s="30"/>
      <c r="AZ169" s="30"/>
      <c r="BA169" s="55" t="s">
        <v>94</v>
      </c>
      <c r="BB169" s="55"/>
      <c r="BC169" s="30"/>
      <c r="BD169" s="31">
        <f t="shared" si="20"/>
        <v>0</v>
      </c>
      <c r="BE169" s="30"/>
      <c r="BF169" s="30"/>
      <c r="BG169" s="36">
        <v>1</v>
      </c>
      <c r="BH169" s="30"/>
      <c r="BI169" s="31"/>
      <c r="BJ169" s="30"/>
      <c r="BK169" s="30"/>
      <c r="BL169" s="30"/>
      <c r="BM169" s="30"/>
      <c r="BN169" s="30"/>
      <c r="BO169" s="33">
        <f t="shared" si="21"/>
        <v>0</v>
      </c>
      <c r="BP169" s="30">
        <v>0</v>
      </c>
      <c r="BQ169" s="30">
        <v>1</v>
      </c>
      <c r="BR169" s="30"/>
      <c r="BS169" s="30"/>
      <c r="BT169" s="34">
        <f t="shared" si="22"/>
        <v>0</v>
      </c>
      <c r="BU169" s="34" t="s">
        <v>446</v>
      </c>
      <c r="BV169" s="30">
        <v>1</v>
      </c>
      <c r="BW169" s="30">
        <v>1</v>
      </c>
      <c r="BX169" s="34">
        <v>2500</v>
      </c>
      <c r="BY169" s="30"/>
      <c r="BZ169" s="31">
        <f t="shared" si="18"/>
        <v>2500</v>
      </c>
      <c r="CA169" s="31">
        <f t="shared" si="26"/>
        <v>2500</v>
      </c>
    </row>
    <row r="170" spans="1:79" ht="63.75" x14ac:dyDescent="0.25">
      <c r="A170" s="17"/>
      <c r="B170" s="2">
        <v>166</v>
      </c>
      <c r="C170" s="48">
        <v>107</v>
      </c>
      <c r="D170" s="48">
        <v>571</v>
      </c>
      <c r="E170" s="49">
        <v>0.72638888888888886</v>
      </c>
      <c r="F170" s="49">
        <v>0.7402777777777777</v>
      </c>
      <c r="G170" s="51" t="s">
        <v>102</v>
      </c>
      <c r="H170" s="51" t="s">
        <v>616</v>
      </c>
      <c r="I170" s="48">
        <v>15</v>
      </c>
      <c r="J170" s="52">
        <v>19</v>
      </c>
      <c r="K170" s="22">
        <v>29</v>
      </c>
      <c r="L170" s="23">
        <f t="shared" si="19"/>
        <v>435</v>
      </c>
      <c r="M170" s="24" t="s">
        <v>94</v>
      </c>
      <c r="N170" s="25" t="s">
        <v>95</v>
      </c>
      <c r="O170" s="25">
        <v>24</v>
      </c>
      <c r="P170" s="25" t="s">
        <v>96</v>
      </c>
      <c r="Q170" s="25">
        <v>34</v>
      </c>
      <c r="R170" s="17"/>
      <c r="S170" s="25"/>
      <c r="T170" s="26" t="s">
        <v>99</v>
      </c>
      <c r="U170" s="26" t="s">
        <v>100</v>
      </c>
      <c r="V170" s="26">
        <v>6120</v>
      </c>
      <c r="W170" s="26" t="s">
        <v>98</v>
      </c>
      <c r="X170" s="27">
        <v>44816</v>
      </c>
      <c r="Y170" s="27">
        <v>45100</v>
      </c>
      <c r="Z170" s="27"/>
      <c r="AA170" s="27"/>
      <c r="AB170" s="26" t="s">
        <v>360</v>
      </c>
      <c r="AC170" s="26"/>
      <c r="AD170" s="28" t="s">
        <v>90</v>
      </c>
      <c r="AE170" s="28"/>
      <c r="AF170" s="28" t="s">
        <v>90</v>
      </c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 t="s">
        <v>90</v>
      </c>
      <c r="AS170" s="28" t="s">
        <v>90</v>
      </c>
      <c r="AT170" s="28" t="s">
        <v>90</v>
      </c>
      <c r="AU170" s="28" t="s">
        <v>90</v>
      </c>
      <c r="AV170" s="28" t="s">
        <v>90</v>
      </c>
      <c r="AW170" s="28" t="s">
        <v>90</v>
      </c>
      <c r="AX170" s="31"/>
      <c r="AY170" s="30"/>
      <c r="AZ170" s="30"/>
      <c r="BA170" s="55" t="s">
        <v>94</v>
      </c>
      <c r="BB170" s="55"/>
      <c r="BC170" s="30"/>
      <c r="BD170" s="31">
        <f t="shared" si="20"/>
        <v>0</v>
      </c>
      <c r="BE170" s="30"/>
      <c r="BF170" s="30"/>
      <c r="BG170" s="36">
        <v>1</v>
      </c>
      <c r="BH170" s="30"/>
      <c r="BI170" s="31"/>
      <c r="BJ170" s="30"/>
      <c r="BK170" s="30"/>
      <c r="BL170" s="30"/>
      <c r="BM170" s="30"/>
      <c r="BN170" s="30"/>
      <c r="BO170" s="33">
        <f t="shared" si="21"/>
        <v>0</v>
      </c>
      <c r="BP170" s="30">
        <v>0</v>
      </c>
      <c r="BQ170" s="30">
        <v>1</v>
      </c>
      <c r="BR170" s="30"/>
      <c r="BS170" s="30"/>
      <c r="BT170" s="34">
        <f t="shared" si="22"/>
        <v>0</v>
      </c>
      <c r="BU170" s="34"/>
      <c r="BV170" s="34"/>
      <c r="BW170" s="34"/>
      <c r="BX170" s="34"/>
      <c r="BY170" s="30"/>
      <c r="BZ170" s="31">
        <f t="shared" si="18"/>
        <v>0</v>
      </c>
      <c r="CA170" s="31">
        <f t="shared" si="26"/>
        <v>0</v>
      </c>
    </row>
    <row r="171" spans="1:79" ht="45" x14ac:dyDescent="0.25">
      <c r="A171" s="17"/>
      <c r="B171" s="2">
        <v>167</v>
      </c>
      <c r="C171" s="18">
        <v>109</v>
      </c>
      <c r="D171" s="18">
        <v>60</v>
      </c>
      <c r="E171" s="19">
        <v>0.79166666666666663</v>
      </c>
      <c r="F171" s="19">
        <v>0.79791666666666661</v>
      </c>
      <c r="G171" s="18" t="s">
        <v>617</v>
      </c>
      <c r="H171" s="18" t="s">
        <v>422</v>
      </c>
      <c r="I171" s="20">
        <v>4</v>
      </c>
      <c r="J171" s="21" t="s">
        <v>571</v>
      </c>
      <c r="K171" s="22">
        <v>240</v>
      </c>
      <c r="L171" s="23">
        <f t="shared" si="19"/>
        <v>960</v>
      </c>
      <c r="M171" s="24" t="s">
        <v>618</v>
      </c>
      <c r="N171" s="25" t="s">
        <v>619</v>
      </c>
      <c r="O171" s="25">
        <v>17</v>
      </c>
      <c r="P171" s="25" t="s">
        <v>620</v>
      </c>
      <c r="Q171" s="25">
        <v>17</v>
      </c>
      <c r="R171" s="17"/>
      <c r="S171" s="25"/>
      <c r="T171" s="26">
        <v>1070</v>
      </c>
      <c r="U171" s="26" t="s">
        <v>288</v>
      </c>
      <c r="V171" s="26">
        <v>1151</v>
      </c>
      <c r="W171" s="26" t="s">
        <v>621</v>
      </c>
      <c r="X171" s="27">
        <v>44816</v>
      </c>
      <c r="Y171" s="27">
        <v>45100</v>
      </c>
      <c r="Z171" s="27"/>
      <c r="AA171" s="27"/>
      <c r="AB171" s="26" t="s">
        <v>423</v>
      </c>
      <c r="AC171" s="26"/>
      <c r="AD171" s="28" t="s">
        <v>90</v>
      </c>
      <c r="AE171" s="28"/>
      <c r="AF171" s="28" t="s">
        <v>90</v>
      </c>
      <c r="AG171" s="28"/>
      <c r="AH171" s="28" t="s">
        <v>90</v>
      </c>
      <c r="AI171" s="28" t="s">
        <v>90</v>
      </c>
      <c r="AJ171" s="28" t="s">
        <v>90</v>
      </c>
      <c r="AK171" s="28" t="s">
        <v>90</v>
      </c>
      <c r="AL171" s="28" t="s">
        <v>90</v>
      </c>
      <c r="AM171" s="28" t="s">
        <v>90</v>
      </c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9">
        <v>9.5299999999999994</v>
      </c>
      <c r="AY171" s="30"/>
      <c r="AZ171" s="30"/>
      <c r="BA171" s="29"/>
      <c r="BB171" s="29"/>
      <c r="BC171" s="30"/>
      <c r="BD171" s="31">
        <f t="shared" si="20"/>
        <v>2287.1999999999998</v>
      </c>
      <c r="BE171" s="31"/>
      <c r="BF171" s="30"/>
      <c r="BG171" s="36">
        <v>1</v>
      </c>
      <c r="BH171" s="31">
        <f t="shared" ref="BH171:BH206" si="34">IF(AND((AX171/I171)&lt;2,BG171=1),(I171*2)-AX171,0)</f>
        <v>0</v>
      </c>
      <c r="BI171" s="31">
        <f t="shared" ref="BI171:BI206" si="35">IF(AND((AX171/I171)&lt;3,BG171=2),(I171*3)-AX171,0)</f>
        <v>0</v>
      </c>
      <c r="BJ171" s="33">
        <f t="shared" ref="BJ171:BJ206" si="36">(BH171+BI171)*K171</f>
        <v>0</v>
      </c>
      <c r="BK171" s="30"/>
      <c r="BL171" s="30"/>
      <c r="BM171" s="30"/>
      <c r="BN171" s="30"/>
      <c r="BO171" s="33">
        <f t="shared" si="21"/>
        <v>0</v>
      </c>
      <c r="BP171" s="30">
        <v>17</v>
      </c>
      <c r="BQ171" s="30">
        <v>26</v>
      </c>
      <c r="BR171" s="30"/>
      <c r="BS171" s="30"/>
      <c r="BT171" s="34">
        <f t="shared" si="22"/>
        <v>9.5299999999999994</v>
      </c>
      <c r="BU171" s="34"/>
      <c r="BV171" s="34"/>
      <c r="BW171" s="34"/>
      <c r="BX171" s="34"/>
      <c r="BY171" s="30"/>
      <c r="BZ171" s="31">
        <f t="shared" si="18"/>
        <v>162.01</v>
      </c>
      <c r="CA171" s="31">
        <f t="shared" si="26"/>
        <v>247.77999999999997</v>
      </c>
    </row>
    <row r="172" spans="1:79" ht="45" x14ac:dyDescent="0.25">
      <c r="A172" s="17"/>
      <c r="B172" s="2">
        <v>168</v>
      </c>
      <c r="C172" s="18">
        <v>109</v>
      </c>
      <c r="D172" s="18">
        <v>63</v>
      </c>
      <c r="E172" s="19">
        <v>0.8</v>
      </c>
      <c r="F172" s="19">
        <v>0.80486111111111114</v>
      </c>
      <c r="G172" s="18" t="s">
        <v>622</v>
      </c>
      <c r="H172" s="18" t="s">
        <v>422</v>
      </c>
      <c r="I172" s="20">
        <v>4</v>
      </c>
      <c r="J172" s="21" t="s">
        <v>571</v>
      </c>
      <c r="K172" s="22">
        <v>240</v>
      </c>
      <c r="L172" s="23">
        <f t="shared" si="19"/>
        <v>960</v>
      </c>
      <c r="M172" s="24" t="s">
        <v>618</v>
      </c>
      <c r="N172" s="25" t="s">
        <v>619</v>
      </c>
      <c r="O172" s="25">
        <v>17</v>
      </c>
      <c r="P172" s="25" t="s">
        <v>620</v>
      </c>
      <c r="Q172" s="25">
        <v>17</v>
      </c>
      <c r="R172" s="17"/>
      <c r="S172" s="25"/>
      <c r="T172" s="26">
        <v>1151</v>
      </c>
      <c r="U172" s="26" t="s">
        <v>621</v>
      </c>
      <c r="V172" s="26">
        <v>1070</v>
      </c>
      <c r="W172" s="26" t="s">
        <v>288</v>
      </c>
      <c r="X172" s="27">
        <v>44816</v>
      </c>
      <c r="Y172" s="27">
        <v>45100</v>
      </c>
      <c r="Z172" s="27"/>
      <c r="AA172" s="27"/>
      <c r="AB172" s="26" t="s">
        <v>423</v>
      </c>
      <c r="AC172" s="26"/>
      <c r="AD172" s="28" t="s">
        <v>90</v>
      </c>
      <c r="AE172" s="28"/>
      <c r="AF172" s="28" t="s">
        <v>90</v>
      </c>
      <c r="AG172" s="28"/>
      <c r="AH172" s="28" t="s">
        <v>90</v>
      </c>
      <c r="AI172" s="28" t="s">
        <v>90</v>
      </c>
      <c r="AJ172" s="28" t="s">
        <v>90</v>
      </c>
      <c r="AK172" s="28" t="s">
        <v>90</v>
      </c>
      <c r="AL172" s="28" t="s">
        <v>90</v>
      </c>
      <c r="AM172" s="28" t="s">
        <v>90</v>
      </c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9">
        <v>9.5299999999999994</v>
      </c>
      <c r="AY172" s="30"/>
      <c r="AZ172" s="30"/>
      <c r="BA172" s="29"/>
      <c r="BB172" s="29"/>
      <c r="BC172" s="30"/>
      <c r="BD172" s="31">
        <f t="shared" si="20"/>
        <v>2287.1999999999998</v>
      </c>
      <c r="BE172" s="31"/>
      <c r="BF172" s="30"/>
      <c r="BG172" s="36">
        <v>1</v>
      </c>
      <c r="BH172" s="31">
        <f t="shared" si="34"/>
        <v>0</v>
      </c>
      <c r="BI172" s="31">
        <f t="shared" si="35"/>
        <v>0</v>
      </c>
      <c r="BJ172" s="33">
        <f t="shared" si="36"/>
        <v>0</v>
      </c>
      <c r="BK172" s="30"/>
      <c r="BL172" s="30"/>
      <c r="BM172" s="30"/>
      <c r="BN172" s="30"/>
      <c r="BO172" s="33">
        <f t="shared" si="21"/>
        <v>0</v>
      </c>
      <c r="BP172" s="30">
        <v>17</v>
      </c>
      <c r="BQ172" s="30">
        <v>26</v>
      </c>
      <c r="BR172" s="30"/>
      <c r="BS172" s="30"/>
      <c r="BT172" s="34">
        <f t="shared" si="22"/>
        <v>9.5299999999999994</v>
      </c>
      <c r="BU172" s="34"/>
      <c r="BV172" s="34"/>
      <c r="BW172" s="34"/>
      <c r="BX172" s="34"/>
      <c r="BY172" s="30"/>
      <c r="BZ172" s="31">
        <f t="shared" si="18"/>
        <v>162.01</v>
      </c>
      <c r="CA172" s="31">
        <f t="shared" si="26"/>
        <v>247.77999999999997</v>
      </c>
    </row>
    <row r="173" spans="1:79" ht="63.75" x14ac:dyDescent="0.25">
      <c r="A173" s="17"/>
      <c r="B173" s="2">
        <v>169</v>
      </c>
      <c r="C173" s="18">
        <v>111</v>
      </c>
      <c r="D173" s="21">
        <v>20</v>
      </c>
      <c r="E173" s="19">
        <v>0.34027777777777773</v>
      </c>
      <c r="F173" s="59">
        <v>0.35833333333333334</v>
      </c>
      <c r="G173" s="18" t="s">
        <v>623</v>
      </c>
      <c r="H173" s="58" t="s">
        <v>624</v>
      </c>
      <c r="I173" s="20">
        <v>5.3</v>
      </c>
      <c r="J173" s="21" t="s">
        <v>93</v>
      </c>
      <c r="K173" s="68">
        <v>34</v>
      </c>
      <c r="L173" s="23">
        <f t="shared" si="19"/>
        <v>180.2</v>
      </c>
      <c r="M173" s="24" t="s">
        <v>618</v>
      </c>
      <c r="N173" s="25" t="s">
        <v>619</v>
      </c>
      <c r="O173" s="25">
        <v>17</v>
      </c>
      <c r="P173" s="25" t="s">
        <v>620</v>
      </c>
      <c r="Q173" s="25">
        <v>17</v>
      </c>
      <c r="R173" s="25"/>
      <c r="S173" s="25"/>
      <c r="T173" s="26">
        <v>1070</v>
      </c>
      <c r="U173" s="26" t="s">
        <v>288</v>
      </c>
      <c r="V173" s="26" t="s">
        <v>625</v>
      </c>
      <c r="W173" s="26" t="s">
        <v>626</v>
      </c>
      <c r="X173" s="27">
        <v>44562</v>
      </c>
      <c r="Y173" s="27">
        <v>44815</v>
      </c>
      <c r="Z173" s="27">
        <v>45139</v>
      </c>
      <c r="AA173" s="27">
        <v>45169</v>
      </c>
      <c r="AB173" s="28" t="s">
        <v>627</v>
      </c>
      <c r="AC173" s="28" t="s">
        <v>628</v>
      </c>
      <c r="AD173" s="28"/>
      <c r="AE173" s="28" t="s">
        <v>90</v>
      </c>
      <c r="AF173" s="28" t="s">
        <v>90</v>
      </c>
      <c r="AG173" s="28"/>
      <c r="AH173" s="28" t="s">
        <v>90</v>
      </c>
      <c r="AI173" s="28" t="s">
        <v>90</v>
      </c>
      <c r="AJ173" s="28" t="s">
        <v>90</v>
      </c>
      <c r="AK173" s="28" t="s">
        <v>90</v>
      </c>
      <c r="AL173" s="28" t="s">
        <v>90</v>
      </c>
      <c r="AM173" s="28" t="s">
        <v>90</v>
      </c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9">
        <v>15.9</v>
      </c>
      <c r="AY173" s="30"/>
      <c r="AZ173" s="30"/>
      <c r="BA173" s="29"/>
      <c r="BB173" s="29"/>
      <c r="BC173" s="30"/>
      <c r="BD173" s="31">
        <f t="shared" si="20"/>
        <v>540.6</v>
      </c>
      <c r="BE173" s="31"/>
      <c r="BF173" s="30"/>
      <c r="BG173" s="36">
        <v>1</v>
      </c>
      <c r="BH173" s="31">
        <f t="shared" si="34"/>
        <v>0</v>
      </c>
      <c r="BI173" s="31">
        <f t="shared" si="35"/>
        <v>0</v>
      </c>
      <c r="BJ173" s="33">
        <f t="shared" si="36"/>
        <v>0</v>
      </c>
      <c r="BK173" s="30"/>
      <c r="BL173" s="30"/>
      <c r="BM173" s="30"/>
      <c r="BN173" s="30"/>
      <c r="BO173" s="33">
        <f t="shared" si="21"/>
        <v>0</v>
      </c>
      <c r="BP173" s="30">
        <v>9</v>
      </c>
      <c r="BQ173" s="30">
        <v>0</v>
      </c>
      <c r="BR173" s="30"/>
      <c r="BS173" s="30"/>
      <c r="BT173" s="34">
        <f t="shared" si="22"/>
        <v>15.9</v>
      </c>
      <c r="BU173" s="34"/>
      <c r="BV173" s="34"/>
      <c r="BW173" s="34"/>
      <c r="BX173" s="34"/>
      <c r="BY173" s="30"/>
      <c r="BZ173" s="31">
        <f t="shared" si="18"/>
        <v>143.1</v>
      </c>
      <c r="CA173" s="31">
        <f t="shared" si="26"/>
        <v>0</v>
      </c>
    </row>
    <row r="174" spans="1:79" ht="63.75" x14ac:dyDescent="0.25">
      <c r="A174" s="17"/>
      <c r="B174" s="71" t="s">
        <v>629</v>
      </c>
      <c r="C174" s="18">
        <v>111</v>
      </c>
      <c r="D174" s="21">
        <v>20</v>
      </c>
      <c r="E174" s="19">
        <v>0.34027777777777773</v>
      </c>
      <c r="F174" s="59">
        <v>0.35833333333333334</v>
      </c>
      <c r="G174" s="18" t="s">
        <v>623</v>
      </c>
      <c r="H174" s="58" t="s">
        <v>630</v>
      </c>
      <c r="I174" s="20">
        <v>5.3</v>
      </c>
      <c r="J174" s="21" t="s">
        <v>93</v>
      </c>
      <c r="K174" s="68">
        <v>33</v>
      </c>
      <c r="L174" s="23">
        <f t="shared" si="19"/>
        <v>174.9</v>
      </c>
      <c r="M174" s="24" t="s">
        <v>82</v>
      </c>
      <c r="N174" s="25" t="s">
        <v>631</v>
      </c>
      <c r="O174" s="25">
        <v>20</v>
      </c>
      <c r="P174" s="25" t="s">
        <v>620</v>
      </c>
      <c r="Q174" s="25">
        <v>17</v>
      </c>
      <c r="R174" s="25"/>
      <c r="S174" s="25"/>
      <c r="T174" s="26">
        <v>1070</v>
      </c>
      <c r="U174" s="26" t="s">
        <v>288</v>
      </c>
      <c r="V174" s="26" t="s">
        <v>625</v>
      </c>
      <c r="W174" s="26" t="s">
        <v>626</v>
      </c>
      <c r="X174" s="27">
        <v>45101</v>
      </c>
      <c r="Y174" s="27">
        <v>45138</v>
      </c>
      <c r="Z174" s="27"/>
      <c r="AA174" s="27"/>
      <c r="AB174" s="28" t="s">
        <v>632</v>
      </c>
      <c r="AC174" s="28" t="s">
        <v>628</v>
      </c>
      <c r="AD174" s="28"/>
      <c r="AE174" s="28" t="s">
        <v>90</v>
      </c>
      <c r="AF174" s="28" t="s">
        <v>90</v>
      </c>
      <c r="AG174" s="28"/>
      <c r="AH174" s="28" t="s">
        <v>90</v>
      </c>
      <c r="AI174" s="28" t="s">
        <v>90</v>
      </c>
      <c r="AJ174" s="28" t="s">
        <v>90</v>
      </c>
      <c r="AK174" s="28" t="s">
        <v>90</v>
      </c>
      <c r="AL174" s="28" t="s">
        <v>90</v>
      </c>
      <c r="AM174" s="28" t="s">
        <v>90</v>
      </c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9">
        <v>42.75</v>
      </c>
      <c r="AY174" s="30"/>
      <c r="AZ174" s="30"/>
      <c r="BA174" s="29"/>
      <c r="BB174" s="29"/>
      <c r="BC174" s="30"/>
      <c r="BD174" s="31">
        <f t="shared" si="20"/>
        <v>1410.75</v>
      </c>
      <c r="BE174" s="31"/>
      <c r="BF174" s="30"/>
      <c r="BG174" s="36">
        <v>1</v>
      </c>
      <c r="BH174" s="31">
        <f t="shared" si="34"/>
        <v>0</v>
      </c>
      <c r="BI174" s="31">
        <f t="shared" si="35"/>
        <v>0</v>
      </c>
      <c r="BJ174" s="33">
        <f t="shared" si="36"/>
        <v>0</v>
      </c>
      <c r="BK174" s="30"/>
      <c r="BL174" s="30"/>
      <c r="BM174" s="30"/>
      <c r="BN174" s="30"/>
      <c r="BO174" s="33">
        <f t="shared" si="21"/>
        <v>0</v>
      </c>
      <c r="BP174" s="30">
        <v>0</v>
      </c>
      <c r="BQ174" s="30">
        <v>0</v>
      </c>
      <c r="BR174" s="30"/>
      <c r="BS174" s="30"/>
      <c r="BT174" s="34">
        <f t="shared" si="22"/>
        <v>42.75</v>
      </c>
      <c r="BU174" s="34"/>
      <c r="BV174" s="34"/>
      <c r="BW174" s="34"/>
      <c r="BX174" s="34"/>
      <c r="BY174" s="30"/>
      <c r="BZ174" s="31">
        <f t="shared" si="18"/>
        <v>0</v>
      </c>
      <c r="CA174" s="31">
        <f t="shared" si="26"/>
        <v>0</v>
      </c>
    </row>
    <row r="175" spans="1:79" ht="63.75" x14ac:dyDescent="0.25">
      <c r="A175" s="17"/>
      <c r="B175" s="2">
        <v>170</v>
      </c>
      <c r="C175" s="18">
        <v>111</v>
      </c>
      <c r="D175" s="21">
        <v>21</v>
      </c>
      <c r="E175" s="19">
        <v>0.35138888888888892</v>
      </c>
      <c r="F175" s="19">
        <v>0.36805555555555558</v>
      </c>
      <c r="G175" s="58" t="s">
        <v>633</v>
      </c>
      <c r="H175" s="58" t="s">
        <v>624</v>
      </c>
      <c r="I175" s="20">
        <v>10.199999999999999</v>
      </c>
      <c r="J175" s="21" t="s">
        <v>93</v>
      </c>
      <c r="K175" s="68">
        <v>34</v>
      </c>
      <c r="L175" s="23">
        <f t="shared" si="19"/>
        <v>346.79999999999995</v>
      </c>
      <c r="M175" s="24" t="s">
        <v>618</v>
      </c>
      <c r="N175" s="25" t="s">
        <v>619</v>
      </c>
      <c r="O175" s="25">
        <v>17</v>
      </c>
      <c r="P175" s="25" t="s">
        <v>620</v>
      </c>
      <c r="Q175" s="25">
        <v>17</v>
      </c>
      <c r="R175" s="25"/>
      <c r="S175" s="25"/>
      <c r="T175" s="26" t="s">
        <v>625</v>
      </c>
      <c r="U175" s="26" t="s">
        <v>626</v>
      </c>
      <c r="V175" s="26">
        <v>1070</v>
      </c>
      <c r="W175" s="26" t="s">
        <v>288</v>
      </c>
      <c r="X175" s="27">
        <v>44562</v>
      </c>
      <c r="Y175" s="27">
        <v>44815</v>
      </c>
      <c r="Z175" s="27">
        <v>45139</v>
      </c>
      <c r="AA175" s="27">
        <v>45169</v>
      </c>
      <c r="AB175" s="28" t="s">
        <v>627</v>
      </c>
      <c r="AC175" s="28" t="s">
        <v>628</v>
      </c>
      <c r="AD175" s="28"/>
      <c r="AE175" s="28" t="s">
        <v>90</v>
      </c>
      <c r="AF175" s="28" t="s">
        <v>90</v>
      </c>
      <c r="AG175" s="28"/>
      <c r="AH175" s="28" t="s">
        <v>90</v>
      </c>
      <c r="AI175" s="28" t="s">
        <v>90</v>
      </c>
      <c r="AJ175" s="28" t="s">
        <v>90</v>
      </c>
      <c r="AK175" s="28" t="s">
        <v>90</v>
      </c>
      <c r="AL175" s="28" t="s">
        <v>90</v>
      </c>
      <c r="AM175" s="28" t="s">
        <v>90</v>
      </c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9">
        <v>30.6</v>
      </c>
      <c r="AY175" s="30"/>
      <c r="AZ175" s="30"/>
      <c r="BA175" s="29"/>
      <c r="BB175" s="29"/>
      <c r="BC175" s="30"/>
      <c r="BD175" s="31">
        <f t="shared" si="20"/>
        <v>1040.4000000000001</v>
      </c>
      <c r="BE175" s="31"/>
      <c r="BF175" s="30"/>
      <c r="BG175" s="36">
        <v>1</v>
      </c>
      <c r="BH175" s="31">
        <f t="shared" si="34"/>
        <v>0</v>
      </c>
      <c r="BI175" s="31">
        <f t="shared" si="35"/>
        <v>0</v>
      </c>
      <c r="BJ175" s="33">
        <f t="shared" si="36"/>
        <v>0</v>
      </c>
      <c r="BK175" s="30"/>
      <c r="BL175" s="30"/>
      <c r="BM175" s="30"/>
      <c r="BN175" s="30"/>
      <c r="BO175" s="33">
        <f t="shared" si="21"/>
        <v>0</v>
      </c>
      <c r="BP175" s="30">
        <v>9</v>
      </c>
      <c r="BQ175" s="30">
        <v>0</v>
      </c>
      <c r="BR175" s="30"/>
      <c r="BS175" s="30"/>
      <c r="BT175" s="34">
        <f t="shared" si="22"/>
        <v>30.6</v>
      </c>
      <c r="BU175" s="34"/>
      <c r="BV175" s="34"/>
      <c r="BW175" s="34"/>
      <c r="BX175" s="34"/>
      <c r="BY175" s="30"/>
      <c r="BZ175" s="31">
        <f t="shared" si="18"/>
        <v>275.40000000000003</v>
      </c>
      <c r="CA175" s="31">
        <f t="shared" si="26"/>
        <v>0</v>
      </c>
    </row>
    <row r="176" spans="1:79" ht="63.75" x14ac:dyDescent="0.25">
      <c r="A176" s="17"/>
      <c r="B176" s="71" t="s">
        <v>634</v>
      </c>
      <c r="C176" s="18">
        <v>111</v>
      </c>
      <c r="D176" s="21">
        <v>21</v>
      </c>
      <c r="E176" s="19">
        <v>0.35138888888888892</v>
      </c>
      <c r="F176" s="19">
        <v>0.36805555555555558</v>
      </c>
      <c r="G176" s="58" t="s">
        <v>633</v>
      </c>
      <c r="H176" s="58" t="s">
        <v>630</v>
      </c>
      <c r="I176" s="20">
        <v>10.199999999999999</v>
      </c>
      <c r="J176" s="21" t="s">
        <v>93</v>
      </c>
      <c r="K176" s="68">
        <v>33</v>
      </c>
      <c r="L176" s="23">
        <f t="shared" si="19"/>
        <v>336.59999999999997</v>
      </c>
      <c r="M176" s="24" t="s">
        <v>82</v>
      </c>
      <c r="N176" s="25" t="s">
        <v>631</v>
      </c>
      <c r="O176" s="25">
        <v>20</v>
      </c>
      <c r="P176" s="25" t="s">
        <v>620</v>
      </c>
      <c r="Q176" s="25">
        <v>17</v>
      </c>
      <c r="R176" s="25"/>
      <c r="S176" s="25"/>
      <c r="T176" s="26" t="s">
        <v>625</v>
      </c>
      <c r="U176" s="26" t="s">
        <v>626</v>
      </c>
      <c r="V176" s="26">
        <v>1070</v>
      </c>
      <c r="W176" s="26" t="s">
        <v>288</v>
      </c>
      <c r="X176" s="27">
        <v>45101</v>
      </c>
      <c r="Y176" s="27">
        <v>45138</v>
      </c>
      <c r="Z176" s="27"/>
      <c r="AA176" s="27"/>
      <c r="AB176" s="28" t="s">
        <v>632</v>
      </c>
      <c r="AC176" s="28" t="s">
        <v>628</v>
      </c>
      <c r="AD176" s="28"/>
      <c r="AE176" s="28" t="s">
        <v>90</v>
      </c>
      <c r="AF176" s="28" t="s">
        <v>90</v>
      </c>
      <c r="AG176" s="28"/>
      <c r="AH176" s="28" t="s">
        <v>90</v>
      </c>
      <c r="AI176" s="28" t="s">
        <v>90</v>
      </c>
      <c r="AJ176" s="28" t="s">
        <v>90</v>
      </c>
      <c r="AK176" s="28" t="s">
        <v>90</v>
      </c>
      <c r="AL176" s="28" t="s">
        <v>90</v>
      </c>
      <c r="AM176" s="28" t="s">
        <v>90</v>
      </c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9">
        <v>42.75</v>
      </c>
      <c r="AY176" s="30"/>
      <c r="AZ176" s="30"/>
      <c r="BA176" s="29"/>
      <c r="BB176" s="29"/>
      <c r="BC176" s="30"/>
      <c r="BD176" s="31">
        <f t="shared" si="20"/>
        <v>1410.75</v>
      </c>
      <c r="BE176" s="31"/>
      <c r="BF176" s="30"/>
      <c r="BG176" s="36">
        <v>1</v>
      </c>
      <c r="BH176" s="31">
        <f t="shared" si="34"/>
        <v>0</v>
      </c>
      <c r="BI176" s="31">
        <f t="shared" si="35"/>
        <v>0</v>
      </c>
      <c r="BJ176" s="33">
        <f t="shared" si="36"/>
        <v>0</v>
      </c>
      <c r="BK176" s="30"/>
      <c r="BL176" s="30"/>
      <c r="BM176" s="30"/>
      <c r="BN176" s="30"/>
      <c r="BO176" s="33">
        <f t="shared" si="21"/>
        <v>0</v>
      </c>
      <c r="BP176" s="30">
        <v>0</v>
      </c>
      <c r="BQ176" s="30">
        <v>0</v>
      </c>
      <c r="BR176" s="30"/>
      <c r="BS176" s="30"/>
      <c r="BT176" s="34">
        <f t="shared" si="22"/>
        <v>42.75</v>
      </c>
      <c r="BU176" s="34"/>
      <c r="BV176" s="34"/>
      <c r="BW176" s="34"/>
      <c r="BX176" s="34"/>
      <c r="BY176" s="30"/>
      <c r="BZ176" s="31">
        <f t="shared" si="18"/>
        <v>0</v>
      </c>
      <c r="CA176" s="31">
        <f t="shared" si="26"/>
        <v>0</v>
      </c>
    </row>
    <row r="177" spans="1:79" ht="45" x14ac:dyDescent="0.25">
      <c r="A177" s="17"/>
      <c r="B177" s="2">
        <v>171</v>
      </c>
      <c r="C177" s="58">
        <v>112</v>
      </c>
      <c r="D177" s="18">
        <v>64</v>
      </c>
      <c r="E177" s="59">
        <v>0.72569444444444453</v>
      </c>
      <c r="F177" s="59">
        <v>0.74652777777777779</v>
      </c>
      <c r="G177" s="18" t="s">
        <v>635</v>
      </c>
      <c r="H177" s="18" t="s">
        <v>422</v>
      </c>
      <c r="I177" s="20">
        <v>13</v>
      </c>
      <c r="J177" s="21" t="s">
        <v>571</v>
      </c>
      <c r="K177" s="22">
        <v>240</v>
      </c>
      <c r="L177" s="23">
        <f t="shared" si="19"/>
        <v>3120</v>
      </c>
      <c r="M177" s="24" t="s">
        <v>618</v>
      </c>
      <c r="N177" s="25" t="s">
        <v>619</v>
      </c>
      <c r="O177" s="25">
        <v>17</v>
      </c>
      <c r="P177" s="25" t="s">
        <v>620</v>
      </c>
      <c r="Q177" s="25">
        <v>17</v>
      </c>
      <c r="R177" s="17"/>
      <c r="S177" s="25"/>
      <c r="T177" s="26">
        <v>1070</v>
      </c>
      <c r="U177" s="26" t="s">
        <v>288</v>
      </c>
      <c r="V177" s="26">
        <v>1070</v>
      </c>
      <c r="W177" s="26" t="s">
        <v>288</v>
      </c>
      <c r="X177" s="27">
        <v>44816</v>
      </c>
      <c r="Y177" s="27">
        <v>45100</v>
      </c>
      <c r="Z177" s="27"/>
      <c r="AA177" s="27"/>
      <c r="AB177" s="26" t="s">
        <v>423</v>
      </c>
      <c r="AC177" s="26"/>
      <c r="AD177" s="28" t="s">
        <v>90</v>
      </c>
      <c r="AE177" s="28"/>
      <c r="AF177" s="28" t="s">
        <v>90</v>
      </c>
      <c r="AG177" s="28"/>
      <c r="AH177" s="28" t="s">
        <v>90</v>
      </c>
      <c r="AI177" s="28" t="s">
        <v>90</v>
      </c>
      <c r="AJ177" s="28" t="s">
        <v>90</v>
      </c>
      <c r="AK177" s="28" t="s">
        <v>90</v>
      </c>
      <c r="AL177" s="28" t="s">
        <v>90</v>
      </c>
      <c r="AM177" s="28" t="s">
        <v>90</v>
      </c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9">
        <v>30.97</v>
      </c>
      <c r="AY177" s="30"/>
      <c r="AZ177" s="30"/>
      <c r="BA177" s="29"/>
      <c r="BB177" s="29"/>
      <c r="BC177" s="30"/>
      <c r="BD177" s="31">
        <f t="shared" si="20"/>
        <v>7432.7999999999993</v>
      </c>
      <c r="BE177" s="31"/>
      <c r="BF177" s="30"/>
      <c r="BG177" s="36">
        <v>1</v>
      </c>
      <c r="BH177" s="31">
        <f t="shared" si="34"/>
        <v>0</v>
      </c>
      <c r="BI177" s="31">
        <f t="shared" si="35"/>
        <v>0</v>
      </c>
      <c r="BJ177" s="33">
        <f t="shared" si="36"/>
        <v>0</v>
      </c>
      <c r="BK177" s="30"/>
      <c r="BL177" s="30"/>
      <c r="BM177" s="30"/>
      <c r="BN177" s="30"/>
      <c r="BO177" s="33">
        <f t="shared" si="21"/>
        <v>0</v>
      </c>
      <c r="BP177" s="30">
        <v>17</v>
      </c>
      <c r="BQ177" s="30">
        <v>26</v>
      </c>
      <c r="BR177" s="30"/>
      <c r="BS177" s="30"/>
      <c r="BT177" s="34">
        <f t="shared" si="22"/>
        <v>30.97</v>
      </c>
      <c r="BU177" s="34"/>
      <c r="BV177" s="34"/>
      <c r="BW177" s="34"/>
      <c r="BX177" s="34"/>
      <c r="BY177" s="30"/>
      <c r="BZ177" s="31">
        <f t="shared" si="18"/>
        <v>526.49</v>
      </c>
      <c r="CA177" s="31">
        <f t="shared" si="26"/>
        <v>805.22</v>
      </c>
    </row>
    <row r="178" spans="1:79" ht="101.25" x14ac:dyDescent="0.25">
      <c r="A178" s="17"/>
      <c r="B178" s="2">
        <v>172</v>
      </c>
      <c r="C178" s="58">
        <v>110</v>
      </c>
      <c r="D178" s="21">
        <v>440</v>
      </c>
      <c r="E178" s="19">
        <v>0.27361111111111108</v>
      </c>
      <c r="F178" s="19">
        <v>0.27847222222222223</v>
      </c>
      <c r="G178" s="18" t="s">
        <v>636</v>
      </c>
      <c r="H178" s="18" t="s">
        <v>306</v>
      </c>
      <c r="I178" s="20">
        <v>4</v>
      </c>
      <c r="J178" s="21" t="s">
        <v>516</v>
      </c>
      <c r="K178" s="22">
        <v>208</v>
      </c>
      <c r="L178" s="23">
        <f t="shared" si="19"/>
        <v>832</v>
      </c>
      <c r="M178" s="24" t="s">
        <v>517</v>
      </c>
      <c r="N178" s="25" t="s">
        <v>637</v>
      </c>
      <c r="O178" s="25">
        <v>9</v>
      </c>
      <c r="P178" s="25" t="s">
        <v>518</v>
      </c>
      <c r="Q178" s="25">
        <v>9</v>
      </c>
      <c r="R178" s="25" t="s">
        <v>519</v>
      </c>
      <c r="S178" s="35">
        <v>9</v>
      </c>
      <c r="T178" s="26">
        <v>1190</v>
      </c>
      <c r="U178" s="26" t="s">
        <v>527</v>
      </c>
      <c r="V178" s="26">
        <v>1182</v>
      </c>
      <c r="W178" s="26" t="s">
        <v>638</v>
      </c>
      <c r="X178" s="66">
        <v>44816</v>
      </c>
      <c r="Y178" s="66">
        <v>45086</v>
      </c>
      <c r="Z178" s="66"/>
      <c r="AA178" s="66"/>
      <c r="AB178" s="26" t="s">
        <v>309</v>
      </c>
      <c r="AC178" s="26"/>
      <c r="AD178" s="28"/>
      <c r="AE178" s="28"/>
      <c r="AF178" s="28"/>
      <c r="AG178" s="28" t="s">
        <v>90</v>
      </c>
      <c r="AH178" s="28" t="s">
        <v>90</v>
      </c>
      <c r="AI178" s="28" t="s">
        <v>90</v>
      </c>
      <c r="AJ178" s="28" t="s">
        <v>90</v>
      </c>
      <c r="AK178" s="28" t="s">
        <v>90</v>
      </c>
      <c r="AL178" s="28" t="s">
        <v>90</v>
      </c>
      <c r="AM178" s="28" t="s">
        <v>90</v>
      </c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9">
        <v>12</v>
      </c>
      <c r="AY178" s="30"/>
      <c r="AZ178" s="30"/>
      <c r="BA178" s="29"/>
      <c r="BB178" s="29"/>
      <c r="BC178" s="30"/>
      <c r="BD178" s="31">
        <f t="shared" si="20"/>
        <v>2496</v>
      </c>
      <c r="BE178" s="31"/>
      <c r="BF178" s="30"/>
      <c r="BG178" s="36">
        <v>1</v>
      </c>
      <c r="BH178" s="31">
        <f t="shared" si="34"/>
        <v>0</v>
      </c>
      <c r="BI178" s="31">
        <f t="shared" si="35"/>
        <v>0</v>
      </c>
      <c r="BJ178" s="33">
        <f t="shared" si="36"/>
        <v>0</v>
      </c>
      <c r="BK178" s="30"/>
      <c r="BL178" s="30"/>
      <c r="BM178" s="30"/>
      <c r="BN178" s="31">
        <f>IF((AX178+AY178+AZ178)&lt;20,(20-(AX178+AY178+AZ178)),0)</f>
        <v>8</v>
      </c>
      <c r="BO178" s="33">
        <f t="shared" si="21"/>
        <v>1664</v>
      </c>
      <c r="BP178" s="30">
        <v>17</v>
      </c>
      <c r="BQ178" s="30">
        <v>25</v>
      </c>
      <c r="BR178" s="30"/>
      <c r="BS178" s="30"/>
      <c r="BT178" s="34">
        <f t="shared" si="22"/>
        <v>20</v>
      </c>
      <c r="BU178" s="34"/>
      <c r="BV178" s="34"/>
      <c r="BW178" s="34"/>
      <c r="BX178" s="34"/>
      <c r="BY178" s="30"/>
      <c r="BZ178" s="31">
        <f t="shared" si="18"/>
        <v>340</v>
      </c>
      <c r="CA178" s="31">
        <f t="shared" si="26"/>
        <v>500</v>
      </c>
    </row>
    <row r="179" spans="1:79" ht="101.25" x14ac:dyDescent="0.25">
      <c r="A179" s="17"/>
      <c r="B179" s="2">
        <v>173</v>
      </c>
      <c r="C179" s="58">
        <v>110</v>
      </c>
      <c r="D179" s="79">
        <v>449</v>
      </c>
      <c r="E179" s="19">
        <v>0.27916666666666667</v>
      </c>
      <c r="F179" s="19">
        <v>0.2902777777777778</v>
      </c>
      <c r="G179" s="18" t="s">
        <v>639</v>
      </c>
      <c r="H179" s="18" t="s">
        <v>306</v>
      </c>
      <c r="I179" s="20">
        <v>9</v>
      </c>
      <c r="J179" s="21" t="s">
        <v>516</v>
      </c>
      <c r="K179" s="22">
        <v>208</v>
      </c>
      <c r="L179" s="23">
        <f t="shared" si="19"/>
        <v>1872</v>
      </c>
      <c r="M179" s="24" t="s">
        <v>517</v>
      </c>
      <c r="N179" s="25" t="s">
        <v>637</v>
      </c>
      <c r="O179" s="25">
        <v>9</v>
      </c>
      <c r="P179" s="25" t="s">
        <v>518</v>
      </c>
      <c r="Q179" s="25">
        <v>9</v>
      </c>
      <c r="R179" s="25" t="s">
        <v>519</v>
      </c>
      <c r="S179" s="35">
        <v>9</v>
      </c>
      <c r="T179" s="26">
        <v>1182</v>
      </c>
      <c r="U179" s="26" t="s">
        <v>638</v>
      </c>
      <c r="V179" s="26" t="s">
        <v>640</v>
      </c>
      <c r="W179" s="26" t="s">
        <v>288</v>
      </c>
      <c r="X179" s="66">
        <v>44816</v>
      </c>
      <c r="Y179" s="66">
        <v>45086</v>
      </c>
      <c r="Z179" s="66"/>
      <c r="AA179" s="66"/>
      <c r="AB179" s="26" t="s">
        <v>309</v>
      </c>
      <c r="AC179" s="26"/>
      <c r="AD179" s="28"/>
      <c r="AE179" s="28"/>
      <c r="AF179" s="28"/>
      <c r="AG179" s="28" t="s">
        <v>90</v>
      </c>
      <c r="AH179" s="28" t="s">
        <v>90</v>
      </c>
      <c r="AI179" s="28" t="s">
        <v>90</v>
      </c>
      <c r="AJ179" s="28" t="s">
        <v>90</v>
      </c>
      <c r="AK179" s="28" t="s">
        <v>90</v>
      </c>
      <c r="AL179" s="28" t="s">
        <v>90</v>
      </c>
      <c r="AM179" s="28" t="s">
        <v>90</v>
      </c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9">
        <v>27</v>
      </c>
      <c r="AY179" s="30"/>
      <c r="AZ179" s="30"/>
      <c r="BA179" s="29"/>
      <c r="BB179" s="29"/>
      <c r="BC179" s="30"/>
      <c r="BD179" s="31">
        <f t="shared" si="20"/>
        <v>5616</v>
      </c>
      <c r="BE179" s="31"/>
      <c r="BF179" s="30"/>
      <c r="BG179" s="36">
        <v>1</v>
      </c>
      <c r="BH179" s="31">
        <f t="shared" si="34"/>
        <v>0</v>
      </c>
      <c r="BI179" s="31">
        <f t="shared" si="35"/>
        <v>0</v>
      </c>
      <c r="BJ179" s="33">
        <f t="shared" si="36"/>
        <v>0</v>
      </c>
      <c r="BK179" s="30"/>
      <c r="BL179" s="30"/>
      <c r="BM179" s="30"/>
      <c r="BN179" s="31">
        <f>IF((AX179+AY179+AZ179)&lt;20,(20-(AX179+AY179+AZ179)),0)</f>
        <v>0</v>
      </c>
      <c r="BO179" s="33">
        <f t="shared" si="21"/>
        <v>0</v>
      </c>
      <c r="BP179" s="30">
        <v>17</v>
      </c>
      <c r="BQ179" s="30">
        <v>25</v>
      </c>
      <c r="BR179" s="30"/>
      <c r="BS179" s="30"/>
      <c r="BT179" s="34">
        <f t="shared" si="22"/>
        <v>27</v>
      </c>
      <c r="BU179" s="34"/>
      <c r="BV179" s="34"/>
      <c r="BW179" s="34"/>
      <c r="BX179" s="34"/>
      <c r="BY179" s="30"/>
      <c r="BZ179" s="31">
        <f t="shared" si="18"/>
        <v>459</v>
      </c>
      <c r="CA179" s="31">
        <f t="shared" si="26"/>
        <v>675</v>
      </c>
    </row>
    <row r="180" spans="1:79" ht="51" x14ac:dyDescent="0.25">
      <c r="A180" s="17"/>
      <c r="B180" s="2">
        <v>174</v>
      </c>
      <c r="C180" s="58">
        <v>110</v>
      </c>
      <c r="D180" s="18">
        <v>445</v>
      </c>
      <c r="E180" s="19">
        <v>0.30555555555555552</v>
      </c>
      <c r="F180" s="59">
        <v>0.31041666666666667</v>
      </c>
      <c r="G180" s="18" t="s">
        <v>641</v>
      </c>
      <c r="H180" s="18" t="s">
        <v>306</v>
      </c>
      <c r="I180" s="20">
        <v>4</v>
      </c>
      <c r="J180" s="21" t="s">
        <v>571</v>
      </c>
      <c r="K180" s="22">
        <v>208</v>
      </c>
      <c r="L180" s="23">
        <f t="shared" si="19"/>
        <v>832</v>
      </c>
      <c r="M180" s="24" t="s">
        <v>618</v>
      </c>
      <c r="N180" s="25" t="s">
        <v>619</v>
      </c>
      <c r="O180" s="25">
        <v>17</v>
      </c>
      <c r="P180" s="25" t="s">
        <v>620</v>
      </c>
      <c r="Q180" s="25">
        <v>17</v>
      </c>
      <c r="R180" s="17"/>
      <c r="S180" s="25"/>
      <c r="T180" s="26">
        <v>1182</v>
      </c>
      <c r="U180" s="26" t="s">
        <v>638</v>
      </c>
      <c r="V180" s="26">
        <v>1190</v>
      </c>
      <c r="W180" s="26" t="s">
        <v>527</v>
      </c>
      <c r="X180" s="66">
        <v>44816</v>
      </c>
      <c r="Y180" s="66">
        <v>45086</v>
      </c>
      <c r="Z180" s="66"/>
      <c r="AA180" s="66"/>
      <c r="AB180" s="26" t="s">
        <v>309</v>
      </c>
      <c r="AC180" s="26"/>
      <c r="AD180" s="28"/>
      <c r="AE180" s="28"/>
      <c r="AF180" s="28"/>
      <c r="AG180" s="28" t="s">
        <v>90</v>
      </c>
      <c r="AH180" s="28" t="s">
        <v>90</v>
      </c>
      <c r="AI180" s="28" t="s">
        <v>90</v>
      </c>
      <c r="AJ180" s="28" t="s">
        <v>90</v>
      </c>
      <c r="AK180" s="28" t="s">
        <v>90</v>
      </c>
      <c r="AL180" s="28" t="s">
        <v>90</v>
      </c>
      <c r="AM180" s="28" t="s">
        <v>90</v>
      </c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9">
        <v>24.02</v>
      </c>
      <c r="AY180" s="30"/>
      <c r="AZ180" s="30"/>
      <c r="BA180" s="29"/>
      <c r="BB180" s="29"/>
      <c r="BC180" s="30"/>
      <c r="BD180" s="31">
        <f t="shared" si="20"/>
        <v>4996.16</v>
      </c>
      <c r="BE180" s="31"/>
      <c r="BF180" s="30"/>
      <c r="BG180" s="36">
        <v>1</v>
      </c>
      <c r="BH180" s="31">
        <f t="shared" si="34"/>
        <v>0</v>
      </c>
      <c r="BI180" s="31">
        <f t="shared" si="35"/>
        <v>0</v>
      </c>
      <c r="BJ180" s="33">
        <f t="shared" si="36"/>
        <v>0</v>
      </c>
      <c r="BK180" s="30"/>
      <c r="BL180" s="30"/>
      <c r="BM180" s="30"/>
      <c r="BN180" s="30"/>
      <c r="BO180" s="33">
        <f t="shared" si="21"/>
        <v>0</v>
      </c>
      <c r="BP180" s="30">
        <v>17</v>
      </c>
      <c r="BQ180" s="30">
        <v>25</v>
      </c>
      <c r="BR180" s="30"/>
      <c r="BS180" s="30"/>
      <c r="BT180" s="34">
        <f t="shared" si="22"/>
        <v>24.02</v>
      </c>
      <c r="BU180" s="34"/>
      <c r="BV180" s="34"/>
      <c r="BW180" s="34"/>
      <c r="BX180" s="34"/>
      <c r="BY180" s="30"/>
      <c r="BZ180" s="31">
        <f t="shared" si="18"/>
        <v>408.34</v>
      </c>
      <c r="CA180" s="31">
        <f t="shared" si="26"/>
        <v>600.5</v>
      </c>
    </row>
    <row r="181" spans="1:79" ht="51" x14ac:dyDescent="0.25">
      <c r="A181" s="17"/>
      <c r="B181" s="2">
        <v>175</v>
      </c>
      <c r="C181" s="58">
        <v>110</v>
      </c>
      <c r="D181" s="18">
        <v>448</v>
      </c>
      <c r="E181" s="19">
        <v>0.58680555555555558</v>
      </c>
      <c r="F181" s="19">
        <v>0.59166666666666667</v>
      </c>
      <c r="G181" s="18" t="s">
        <v>642</v>
      </c>
      <c r="H181" s="18" t="s">
        <v>273</v>
      </c>
      <c r="I181" s="20">
        <v>4</v>
      </c>
      <c r="J181" s="21" t="s">
        <v>571</v>
      </c>
      <c r="K181" s="22">
        <v>174</v>
      </c>
      <c r="L181" s="23">
        <f t="shared" si="19"/>
        <v>696</v>
      </c>
      <c r="M181" s="24" t="s">
        <v>618</v>
      </c>
      <c r="N181" s="25" t="s">
        <v>619</v>
      </c>
      <c r="O181" s="25">
        <v>17</v>
      </c>
      <c r="P181" s="25" t="s">
        <v>620</v>
      </c>
      <c r="Q181" s="25">
        <v>17</v>
      </c>
      <c r="R181" s="25" t="s">
        <v>643</v>
      </c>
      <c r="S181" s="25"/>
      <c r="T181" s="26">
        <v>1190</v>
      </c>
      <c r="U181" s="26" t="s">
        <v>527</v>
      </c>
      <c r="V181" s="26">
        <v>1182</v>
      </c>
      <c r="W181" s="26" t="s">
        <v>638</v>
      </c>
      <c r="X181" s="66">
        <v>44816</v>
      </c>
      <c r="Y181" s="66">
        <v>45086</v>
      </c>
      <c r="Z181" s="66"/>
      <c r="AA181" s="66"/>
      <c r="AB181" s="26" t="s">
        <v>282</v>
      </c>
      <c r="AC181" s="26"/>
      <c r="AD181" s="28"/>
      <c r="AE181" s="28"/>
      <c r="AF181" s="28"/>
      <c r="AG181" s="28" t="s">
        <v>90</v>
      </c>
      <c r="AH181" s="28" t="s">
        <v>90</v>
      </c>
      <c r="AI181" s="28" t="s">
        <v>90</v>
      </c>
      <c r="AJ181" s="28" t="s">
        <v>90</v>
      </c>
      <c r="AK181" s="28" t="s">
        <v>90</v>
      </c>
      <c r="AL181" s="28" t="s">
        <v>90</v>
      </c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9">
        <v>24.02</v>
      </c>
      <c r="AY181" s="30"/>
      <c r="AZ181" s="30"/>
      <c r="BA181" s="29"/>
      <c r="BB181" s="29"/>
      <c r="BC181" s="30"/>
      <c r="BD181" s="31">
        <f t="shared" si="20"/>
        <v>4179.4799999999996</v>
      </c>
      <c r="BE181" s="31"/>
      <c r="BF181" s="30"/>
      <c r="BG181" s="36">
        <v>1</v>
      </c>
      <c r="BH181" s="31">
        <f t="shared" si="34"/>
        <v>0</v>
      </c>
      <c r="BI181" s="31">
        <f t="shared" si="35"/>
        <v>0</v>
      </c>
      <c r="BJ181" s="33">
        <f t="shared" si="36"/>
        <v>0</v>
      </c>
      <c r="BK181" s="30"/>
      <c r="BL181" s="30"/>
      <c r="BM181" s="30"/>
      <c r="BN181" s="30"/>
      <c r="BO181" s="33">
        <f t="shared" si="21"/>
        <v>0</v>
      </c>
      <c r="BP181" s="30">
        <v>15</v>
      </c>
      <c r="BQ181" s="30">
        <v>20</v>
      </c>
      <c r="BR181" s="30"/>
      <c r="BS181" s="30"/>
      <c r="BT181" s="34">
        <f t="shared" si="22"/>
        <v>24.02</v>
      </c>
      <c r="BU181" s="34"/>
      <c r="BV181" s="34"/>
      <c r="BW181" s="34"/>
      <c r="BX181" s="34"/>
      <c r="BY181" s="30"/>
      <c r="BZ181" s="31">
        <f t="shared" si="18"/>
        <v>360.3</v>
      </c>
      <c r="CA181" s="31">
        <f t="shared" si="26"/>
        <v>480.4</v>
      </c>
    </row>
    <row r="182" spans="1:79" ht="45" x14ac:dyDescent="0.25">
      <c r="A182" s="17"/>
      <c r="B182" s="2">
        <v>176</v>
      </c>
      <c r="C182" s="58">
        <v>110</v>
      </c>
      <c r="D182" s="18">
        <v>448</v>
      </c>
      <c r="E182" s="19">
        <v>0.71527777777777779</v>
      </c>
      <c r="F182" s="19">
        <v>0.72013888888888899</v>
      </c>
      <c r="G182" s="18" t="s">
        <v>642</v>
      </c>
      <c r="H182" s="18" t="s">
        <v>644</v>
      </c>
      <c r="I182" s="20">
        <v>4</v>
      </c>
      <c r="J182" s="21" t="s">
        <v>571</v>
      </c>
      <c r="K182" s="22">
        <v>33</v>
      </c>
      <c r="L182" s="23">
        <f t="shared" si="19"/>
        <v>132</v>
      </c>
      <c r="M182" s="24" t="s">
        <v>618</v>
      </c>
      <c r="N182" s="25" t="s">
        <v>619</v>
      </c>
      <c r="O182" s="25">
        <v>17</v>
      </c>
      <c r="P182" s="25" t="s">
        <v>620</v>
      </c>
      <c r="Q182" s="25">
        <v>17</v>
      </c>
      <c r="R182" s="25" t="s">
        <v>645</v>
      </c>
      <c r="S182" s="25"/>
      <c r="T182" s="26">
        <v>1190</v>
      </c>
      <c r="U182" s="26" t="s">
        <v>527</v>
      </c>
      <c r="V182" s="26">
        <v>1182</v>
      </c>
      <c r="W182" s="26" t="s">
        <v>638</v>
      </c>
      <c r="X182" s="66">
        <v>44816</v>
      </c>
      <c r="Y182" s="66">
        <v>45086</v>
      </c>
      <c r="Z182" s="66"/>
      <c r="AA182" s="66"/>
      <c r="AB182" s="62" t="s">
        <v>646</v>
      </c>
      <c r="AC182" s="62"/>
      <c r="AD182" s="28"/>
      <c r="AE182" s="28"/>
      <c r="AF182" s="28"/>
      <c r="AG182" s="28" t="s">
        <v>90</v>
      </c>
      <c r="AH182" s="28" t="s">
        <v>90</v>
      </c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9">
        <v>24.02</v>
      </c>
      <c r="AY182" s="30"/>
      <c r="AZ182" s="30"/>
      <c r="BA182" s="29"/>
      <c r="BB182" s="29"/>
      <c r="BC182" s="30"/>
      <c r="BD182" s="31">
        <f t="shared" si="20"/>
        <v>792.66</v>
      </c>
      <c r="BE182" s="31"/>
      <c r="BF182" s="30"/>
      <c r="BG182" s="36">
        <v>1</v>
      </c>
      <c r="BH182" s="31">
        <f t="shared" si="34"/>
        <v>0</v>
      </c>
      <c r="BI182" s="31">
        <f t="shared" si="35"/>
        <v>0</v>
      </c>
      <c r="BJ182" s="33">
        <f t="shared" si="36"/>
        <v>0</v>
      </c>
      <c r="BK182" s="30"/>
      <c r="BL182" s="30"/>
      <c r="BM182" s="30"/>
      <c r="BN182" s="30"/>
      <c r="BO182" s="33">
        <f t="shared" si="21"/>
        <v>0</v>
      </c>
      <c r="BP182" s="30">
        <v>3</v>
      </c>
      <c r="BQ182" s="30">
        <v>4</v>
      </c>
      <c r="BR182" s="30"/>
      <c r="BS182" s="30"/>
      <c r="BT182" s="34">
        <f t="shared" si="22"/>
        <v>24.02</v>
      </c>
      <c r="BU182" s="34"/>
      <c r="BV182" s="34"/>
      <c r="BW182" s="34"/>
      <c r="BX182" s="34"/>
      <c r="BY182" s="30"/>
      <c r="BZ182" s="31">
        <f t="shared" si="18"/>
        <v>72.06</v>
      </c>
      <c r="CA182" s="31">
        <f t="shared" si="26"/>
        <v>96.08</v>
      </c>
    </row>
    <row r="183" spans="1:79" ht="89.25" x14ac:dyDescent="0.25">
      <c r="A183" s="17"/>
      <c r="B183" s="2">
        <v>177</v>
      </c>
      <c r="C183" s="18">
        <v>113</v>
      </c>
      <c r="D183" s="18">
        <v>64</v>
      </c>
      <c r="E183" s="59">
        <v>0.74652777777777779</v>
      </c>
      <c r="F183" s="59">
        <v>0.77361111111111114</v>
      </c>
      <c r="G183" s="18" t="s">
        <v>647</v>
      </c>
      <c r="H183" s="18" t="s">
        <v>422</v>
      </c>
      <c r="I183" s="20">
        <v>16</v>
      </c>
      <c r="J183" s="21" t="s">
        <v>571</v>
      </c>
      <c r="K183" s="22">
        <v>240</v>
      </c>
      <c r="L183" s="23">
        <f t="shared" si="19"/>
        <v>3840</v>
      </c>
      <c r="M183" s="24" t="s">
        <v>618</v>
      </c>
      <c r="N183" s="25" t="s">
        <v>619</v>
      </c>
      <c r="O183" s="25">
        <v>17</v>
      </c>
      <c r="P183" s="25" t="s">
        <v>620</v>
      </c>
      <c r="Q183" s="25">
        <v>17</v>
      </c>
      <c r="R183" s="17"/>
      <c r="S183" s="25"/>
      <c r="T183" s="26">
        <v>1070</v>
      </c>
      <c r="U183" s="26" t="s">
        <v>288</v>
      </c>
      <c r="V183" s="26">
        <v>1070</v>
      </c>
      <c r="W183" s="26" t="s">
        <v>288</v>
      </c>
      <c r="X183" s="27">
        <v>44816</v>
      </c>
      <c r="Y183" s="27">
        <v>45100</v>
      </c>
      <c r="Z183" s="27"/>
      <c r="AA183" s="27"/>
      <c r="AB183" s="26" t="s">
        <v>423</v>
      </c>
      <c r="AC183" s="26"/>
      <c r="AD183" s="28" t="s">
        <v>90</v>
      </c>
      <c r="AE183" s="28"/>
      <c r="AF183" s="28" t="s">
        <v>90</v>
      </c>
      <c r="AG183" s="28"/>
      <c r="AH183" s="28" t="s">
        <v>90</v>
      </c>
      <c r="AI183" s="28" t="s">
        <v>90</v>
      </c>
      <c r="AJ183" s="28" t="s">
        <v>90</v>
      </c>
      <c r="AK183" s="28" t="s">
        <v>90</v>
      </c>
      <c r="AL183" s="28" t="s">
        <v>90</v>
      </c>
      <c r="AM183" s="28" t="s">
        <v>90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9">
        <f>30.97+9+30.97</f>
        <v>70.94</v>
      </c>
      <c r="AY183" s="30"/>
      <c r="AZ183" s="30"/>
      <c r="BA183" s="29"/>
      <c r="BB183" s="29"/>
      <c r="BC183" s="30"/>
      <c r="BD183" s="31">
        <f t="shared" si="20"/>
        <v>17025.599999999999</v>
      </c>
      <c r="BE183" s="31"/>
      <c r="BF183" s="30"/>
      <c r="BG183" s="36">
        <v>1</v>
      </c>
      <c r="BH183" s="31">
        <f t="shared" si="34"/>
        <v>0</v>
      </c>
      <c r="BI183" s="31">
        <f t="shared" si="35"/>
        <v>0</v>
      </c>
      <c r="BJ183" s="33">
        <f t="shared" si="36"/>
        <v>0</v>
      </c>
      <c r="BK183" s="30"/>
      <c r="BL183" s="30"/>
      <c r="BM183" s="30"/>
      <c r="BN183" s="30"/>
      <c r="BO183" s="33">
        <f t="shared" si="21"/>
        <v>0</v>
      </c>
      <c r="BP183" s="30">
        <v>17</v>
      </c>
      <c r="BQ183" s="30">
        <v>26</v>
      </c>
      <c r="BR183" s="30"/>
      <c r="BS183" s="30"/>
      <c r="BT183" s="34">
        <f t="shared" si="22"/>
        <v>70.94</v>
      </c>
      <c r="BU183" s="34"/>
      <c r="BV183" s="34"/>
      <c r="BW183" s="34"/>
      <c r="BX183" s="34"/>
      <c r="BY183" s="30"/>
      <c r="BZ183" s="31">
        <f t="shared" si="18"/>
        <v>1205.98</v>
      </c>
      <c r="CA183" s="31">
        <f t="shared" si="26"/>
        <v>1844.44</v>
      </c>
    </row>
    <row r="184" spans="1:79" ht="38.25" x14ac:dyDescent="0.25">
      <c r="A184" s="17"/>
      <c r="B184" s="2">
        <v>178</v>
      </c>
      <c r="C184" s="18">
        <v>114</v>
      </c>
      <c r="D184" s="18">
        <v>8</v>
      </c>
      <c r="E184" s="19">
        <v>0.25694444444444448</v>
      </c>
      <c r="F184" s="19">
        <v>0.27777777777777779</v>
      </c>
      <c r="G184" s="18" t="s">
        <v>648</v>
      </c>
      <c r="H184" s="18" t="s">
        <v>422</v>
      </c>
      <c r="I184" s="20">
        <v>8</v>
      </c>
      <c r="J184" s="21" t="s">
        <v>571</v>
      </c>
      <c r="K184" s="22">
        <v>240</v>
      </c>
      <c r="L184" s="23">
        <f t="shared" si="19"/>
        <v>1920</v>
      </c>
      <c r="M184" s="24" t="s">
        <v>478</v>
      </c>
      <c r="N184" s="25" t="s">
        <v>572</v>
      </c>
      <c r="O184" s="25">
        <v>21</v>
      </c>
      <c r="P184" s="25" t="s">
        <v>479</v>
      </c>
      <c r="Q184" s="25">
        <v>17</v>
      </c>
      <c r="R184" s="17"/>
      <c r="S184" s="25"/>
      <c r="T184" s="26">
        <v>1127</v>
      </c>
      <c r="U184" s="26" t="s">
        <v>576</v>
      </c>
      <c r="V184" s="26">
        <v>1135</v>
      </c>
      <c r="W184" s="26" t="s">
        <v>649</v>
      </c>
      <c r="X184" s="27">
        <v>44816</v>
      </c>
      <c r="Y184" s="27">
        <v>45100</v>
      </c>
      <c r="Z184" s="27"/>
      <c r="AA184" s="27"/>
      <c r="AB184" s="26" t="s">
        <v>423</v>
      </c>
      <c r="AC184" s="26"/>
      <c r="AD184" s="28" t="s">
        <v>90</v>
      </c>
      <c r="AE184" s="28"/>
      <c r="AF184" s="28" t="s">
        <v>90</v>
      </c>
      <c r="AG184" s="28"/>
      <c r="AH184" s="28" t="s">
        <v>90</v>
      </c>
      <c r="AI184" s="28" t="s">
        <v>90</v>
      </c>
      <c r="AJ184" s="28" t="s">
        <v>90</v>
      </c>
      <c r="AK184" s="28" t="s">
        <v>90</v>
      </c>
      <c r="AL184" s="28" t="s">
        <v>90</v>
      </c>
      <c r="AM184" s="28" t="s">
        <v>90</v>
      </c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9">
        <v>15.2</v>
      </c>
      <c r="AY184" s="30"/>
      <c r="AZ184" s="30"/>
      <c r="BA184" s="29"/>
      <c r="BB184" s="29"/>
      <c r="BC184" s="30"/>
      <c r="BD184" s="31">
        <f t="shared" si="20"/>
        <v>3648</v>
      </c>
      <c r="BE184" s="31"/>
      <c r="BF184" s="30"/>
      <c r="BG184" s="36">
        <v>1</v>
      </c>
      <c r="BH184" s="31">
        <f t="shared" si="34"/>
        <v>0.80000000000000071</v>
      </c>
      <c r="BI184" s="31">
        <f t="shared" si="35"/>
        <v>0</v>
      </c>
      <c r="BJ184" s="31">
        <f t="shared" si="36"/>
        <v>192.00000000000017</v>
      </c>
      <c r="BK184" s="30"/>
      <c r="BL184" s="30"/>
      <c r="BM184" s="30"/>
      <c r="BN184" s="31">
        <f>IF((AX184+AY184+AZ184+BH184)&lt;20,(20-(AX184+AY184+AZ184)),0)</f>
        <v>4.8000000000000007</v>
      </c>
      <c r="BO184" s="33">
        <f t="shared" si="21"/>
        <v>1152.0000000000002</v>
      </c>
      <c r="BP184" s="30">
        <v>17</v>
      </c>
      <c r="BQ184" s="30">
        <v>26</v>
      </c>
      <c r="BR184" s="30"/>
      <c r="BS184" s="30"/>
      <c r="BT184" s="34">
        <f t="shared" si="22"/>
        <v>20.8</v>
      </c>
      <c r="BU184" s="34"/>
      <c r="BV184" s="34"/>
      <c r="BW184" s="34"/>
      <c r="BX184" s="34"/>
      <c r="BY184" s="30"/>
      <c r="BZ184" s="31">
        <f t="shared" ref="BZ184:BZ247" si="37">(BT184*BP184)+(BV184*BX184)</f>
        <v>353.6</v>
      </c>
      <c r="CA184" s="31">
        <f t="shared" si="26"/>
        <v>540.80000000000007</v>
      </c>
    </row>
    <row r="185" spans="1:79" ht="25.5" x14ac:dyDescent="0.25">
      <c r="A185" s="17"/>
      <c r="B185" s="2">
        <v>179</v>
      </c>
      <c r="C185" s="18">
        <v>114</v>
      </c>
      <c r="D185" s="18">
        <v>8</v>
      </c>
      <c r="E185" s="19">
        <v>0.26041666666666669</v>
      </c>
      <c r="F185" s="19">
        <v>0.28125</v>
      </c>
      <c r="G185" s="18" t="s">
        <v>648</v>
      </c>
      <c r="H185" s="18" t="s">
        <v>316</v>
      </c>
      <c r="I185" s="20">
        <v>8</v>
      </c>
      <c r="J185" s="21" t="s">
        <v>571</v>
      </c>
      <c r="K185" s="22">
        <v>67</v>
      </c>
      <c r="L185" s="23">
        <f t="shared" si="19"/>
        <v>536</v>
      </c>
      <c r="M185" s="24" t="s">
        <v>478</v>
      </c>
      <c r="N185" s="25" t="s">
        <v>572</v>
      </c>
      <c r="O185" s="25">
        <v>21</v>
      </c>
      <c r="P185" s="25" t="s">
        <v>573</v>
      </c>
      <c r="Q185" s="25">
        <v>21</v>
      </c>
      <c r="R185" s="17"/>
      <c r="S185" s="25"/>
      <c r="T185" s="26">
        <v>1127</v>
      </c>
      <c r="U185" s="26" t="s">
        <v>576</v>
      </c>
      <c r="V185" s="26">
        <v>1135</v>
      </c>
      <c r="W185" s="26" t="s">
        <v>649</v>
      </c>
      <c r="X185" s="27">
        <v>44562</v>
      </c>
      <c r="Y185" s="27">
        <v>44815</v>
      </c>
      <c r="Z185" s="27">
        <v>45101</v>
      </c>
      <c r="AA185" s="27">
        <v>45169</v>
      </c>
      <c r="AB185" s="28" t="s">
        <v>89</v>
      </c>
      <c r="AC185" s="28"/>
      <c r="AD185" s="28"/>
      <c r="AE185" s="28" t="s">
        <v>90</v>
      </c>
      <c r="AF185" s="28" t="s">
        <v>90</v>
      </c>
      <c r="AG185" s="28"/>
      <c r="AH185" s="28" t="s">
        <v>90</v>
      </c>
      <c r="AI185" s="28" t="s">
        <v>90</v>
      </c>
      <c r="AJ185" s="28" t="s">
        <v>90</v>
      </c>
      <c r="AK185" s="28" t="s">
        <v>90</v>
      </c>
      <c r="AL185" s="28" t="s">
        <v>90</v>
      </c>
      <c r="AM185" s="28" t="s">
        <v>90</v>
      </c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9">
        <v>15.2</v>
      </c>
      <c r="AY185" s="30"/>
      <c r="AZ185" s="30"/>
      <c r="BA185" s="29"/>
      <c r="BB185" s="29"/>
      <c r="BC185" s="30"/>
      <c r="BD185" s="31">
        <f t="shared" si="20"/>
        <v>1018.4</v>
      </c>
      <c r="BE185" s="31"/>
      <c r="BF185" s="30"/>
      <c r="BG185" s="36">
        <v>1</v>
      </c>
      <c r="BH185" s="31">
        <f t="shared" si="34"/>
        <v>0.80000000000000071</v>
      </c>
      <c r="BI185" s="31">
        <f t="shared" si="35"/>
        <v>0</v>
      </c>
      <c r="BJ185" s="31">
        <f t="shared" si="36"/>
        <v>53.600000000000051</v>
      </c>
      <c r="BK185" s="30"/>
      <c r="BL185" s="30"/>
      <c r="BM185" s="30"/>
      <c r="BN185" s="31">
        <f>IF((AX185+AY185+AZ185+BH185)&lt;20,(20-(AX185+AY185+AZ185)),0)</f>
        <v>4.8000000000000007</v>
      </c>
      <c r="BO185" s="33">
        <f t="shared" si="21"/>
        <v>321.60000000000002</v>
      </c>
      <c r="BP185" s="30">
        <v>9</v>
      </c>
      <c r="BQ185" s="30">
        <v>0</v>
      </c>
      <c r="BR185" s="30"/>
      <c r="BS185" s="30"/>
      <c r="BT185" s="34">
        <f t="shared" si="22"/>
        <v>20.8</v>
      </c>
      <c r="BU185" s="34"/>
      <c r="BV185" s="34"/>
      <c r="BW185" s="34"/>
      <c r="BX185" s="34"/>
      <c r="BY185" s="30"/>
      <c r="BZ185" s="31">
        <f t="shared" si="37"/>
        <v>187.20000000000002</v>
      </c>
      <c r="CA185" s="31">
        <f t="shared" si="26"/>
        <v>0</v>
      </c>
    </row>
    <row r="186" spans="1:79" ht="38.25" x14ac:dyDescent="0.25">
      <c r="A186" s="17"/>
      <c r="B186" s="2">
        <v>180</v>
      </c>
      <c r="C186" s="18">
        <v>114</v>
      </c>
      <c r="D186" s="18">
        <v>7</v>
      </c>
      <c r="E186" s="19">
        <v>0.28125</v>
      </c>
      <c r="F186" s="19">
        <v>0.29166666666666669</v>
      </c>
      <c r="G186" s="18" t="s">
        <v>650</v>
      </c>
      <c r="H186" s="18" t="s">
        <v>422</v>
      </c>
      <c r="I186" s="20">
        <v>8</v>
      </c>
      <c r="J186" s="21" t="s">
        <v>571</v>
      </c>
      <c r="K186" s="22">
        <v>240</v>
      </c>
      <c r="L186" s="23">
        <f t="shared" si="19"/>
        <v>1920</v>
      </c>
      <c r="M186" s="24" t="s">
        <v>478</v>
      </c>
      <c r="N186" s="25" t="s">
        <v>572</v>
      </c>
      <c r="O186" s="25">
        <v>21</v>
      </c>
      <c r="P186" s="25" t="s">
        <v>573</v>
      </c>
      <c r="Q186" s="25">
        <v>21</v>
      </c>
      <c r="R186" s="17"/>
      <c r="S186" s="25"/>
      <c r="T186" s="26">
        <v>1135</v>
      </c>
      <c r="U186" s="26" t="s">
        <v>649</v>
      </c>
      <c r="V186" s="26">
        <v>1127</v>
      </c>
      <c r="W186" s="26" t="s">
        <v>576</v>
      </c>
      <c r="X186" s="27">
        <v>44816</v>
      </c>
      <c r="Y186" s="27">
        <v>45100</v>
      </c>
      <c r="Z186" s="27"/>
      <c r="AA186" s="27"/>
      <c r="AB186" s="26" t="s">
        <v>423</v>
      </c>
      <c r="AC186" s="26"/>
      <c r="AD186" s="28" t="s">
        <v>90</v>
      </c>
      <c r="AE186" s="28"/>
      <c r="AF186" s="28" t="s">
        <v>90</v>
      </c>
      <c r="AG186" s="28"/>
      <c r="AH186" s="28" t="s">
        <v>90</v>
      </c>
      <c r="AI186" s="28" t="s">
        <v>90</v>
      </c>
      <c r="AJ186" s="28" t="s">
        <v>90</v>
      </c>
      <c r="AK186" s="28" t="s">
        <v>90</v>
      </c>
      <c r="AL186" s="28" t="s">
        <v>90</v>
      </c>
      <c r="AM186" s="28" t="s">
        <v>90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9">
        <v>15.2</v>
      </c>
      <c r="AY186" s="30"/>
      <c r="AZ186" s="30"/>
      <c r="BA186" s="29"/>
      <c r="BB186" s="29"/>
      <c r="BC186" s="30"/>
      <c r="BD186" s="31">
        <f t="shared" si="20"/>
        <v>3648</v>
      </c>
      <c r="BE186" s="31"/>
      <c r="BF186" s="30"/>
      <c r="BG186" s="36">
        <v>1</v>
      </c>
      <c r="BH186" s="31">
        <f t="shared" si="34"/>
        <v>0.80000000000000071</v>
      </c>
      <c r="BI186" s="31">
        <f t="shared" si="35"/>
        <v>0</v>
      </c>
      <c r="BJ186" s="31">
        <f t="shared" si="36"/>
        <v>192.00000000000017</v>
      </c>
      <c r="BK186" s="30"/>
      <c r="BL186" s="30"/>
      <c r="BM186" s="30"/>
      <c r="BN186" s="31">
        <f>IF((AX186+AY186+AZ186+BH186)&lt;20,(20-(AX186+AY186+AZ186)),0)</f>
        <v>4.8000000000000007</v>
      </c>
      <c r="BO186" s="33">
        <f t="shared" si="21"/>
        <v>1152.0000000000002</v>
      </c>
      <c r="BP186" s="30">
        <v>17</v>
      </c>
      <c r="BQ186" s="30">
        <v>26</v>
      </c>
      <c r="BR186" s="30"/>
      <c r="BS186" s="30"/>
      <c r="BT186" s="34">
        <f t="shared" si="22"/>
        <v>20.8</v>
      </c>
      <c r="BU186" s="34"/>
      <c r="BV186" s="34"/>
      <c r="BW186" s="34"/>
      <c r="BX186" s="34"/>
      <c r="BY186" s="30"/>
      <c r="BZ186" s="31">
        <f t="shared" si="37"/>
        <v>353.6</v>
      </c>
      <c r="CA186" s="31">
        <f t="shared" si="26"/>
        <v>540.80000000000007</v>
      </c>
    </row>
    <row r="187" spans="1:79" ht="25.5" x14ac:dyDescent="0.25">
      <c r="A187" s="17"/>
      <c r="B187" s="2">
        <v>181</v>
      </c>
      <c r="C187" s="18">
        <v>114</v>
      </c>
      <c r="D187" s="18">
        <v>7</v>
      </c>
      <c r="E187" s="19">
        <v>0.28472222222222221</v>
      </c>
      <c r="F187" s="19">
        <v>0.2951388888888889</v>
      </c>
      <c r="G187" s="18" t="s">
        <v>650</v>
      </c>
      <c r="H187" s="18" t="s">
        <v>316</v>
      </c>
      <c r="I187" s="20">
        <v>8</v>
      </c>
      <c r="J187" s="21" t="s">
        <v>571</v>
      </c>
      <c r="K187" s="22">
        <v>67</v>
      </c>
      <c r="L187" s="23">
        <f t="shared" si="19"/>
        <v>536</v>
      </c>
      <c r="M187" s="24" t="s">
        <v>478</v>
      </c>
      <c r="N187" s="25" t="s">
        <v>572</v>
      </c>
      <c r="O187" s="25">
        <v>21</v>
      </c>
      <c r="P187" s="25" t="s">
        <v>573</v>
      </c>
      <c r="Q187" s="25">
        <v>21</v>
      </c>
      <c r="R187" s="17"/>
      <c r="S187" s="25"/>
      <c r="T187" s="26">
        <v>1135</v>
      </c>
      <c r="U187" s="26" t="s">
        <v>649</v>
      </c>
      <c r="V187" s="26">
        <v>1127</v>
      </c>
      <c r="W187" s="26" t="s">
        <v>576</v>
      </c>
      <c r="X187" s="27">
        <v>44562</v>
      </c>
      <c r="Y187" s="27">
        <v>44815</v>
      </c>
      <c r="Z187" s="27">
        <v>45101</v>
      </c>
      <c r="AA187" s="27">
        <v>45169</v>
      </c>
      <c r="AB187" s="28" t="s">
        <v>89</v>
      </c>
      <c r="AC187" s="28"/>
      <c r="AD187" s="28"/>
      <c r="AE187" s="28" t="s">
        <v>90</v>
      </c>
      <c r="AF187" s="28" t="s">
        <v>90</v>
      </c>
      <c r="AG187" s="28"/>
      <c r="AH187" s="28" t="s">
        <v>90</v>
      </c>
      <c r="AI187" s="28" t="s">
        <v>90</v>
      </c>
      <c r="AJ187" s="28" t="s">
        <v>90</v>
      </c>
      <c r="AK187" s="28" t="s">
        <v>90</v>
      </c>
      <c r="AL187" s="28" t="s">
        <v>90</v>
      </c>
      <c r="AM187" s="28" t="s">
        <v>90</v>
      </c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9">
        <v>15.2</v>
      </c>
      <c r="AY187" s="30"/>
      <c r="AZ187" s="30"/>
      <c r="BA187" s="29"/>
      <c r="BB187" s="29"/>
      <c r="BC187" s="30"/>
      <c r="BD187" s="31">
        <f t="shared" si="20"/>
        <v>1018.4</v>
      </c>
      <c r="BE187" s="31"/>
      <c r="BF187" s="30"/>
      <c r="BG187" s="36">
        <v>1</v>
      </c>
      <c r="BH187" s="31">
        <f t="shared" si="34"/>
        <v>0.80000000000000071</v>
      </c>
      <c r="BI187" s="31">
        <f t="shared" si="35"/>
        <v>0</v>
      </c>
      <c r="BJ187" s="31">
        <f t="shared" si="36"/>
        <v>53.600000000000051</v>
      </c>
      <c r="BK187" s="30"/>
      <c r="BL187" s="30"/>
      <c r="BM187" s="30"/>
      <c r="BN187" s="31">
        <f>IF((AX187+AY187+AZ187+BH187)&lt;20,(20-(AX187+AY187+AZ187)),0)</f>
        <v>4.8000000000000007</v>
      </c>
      <c r="BO187" s="33">
        <f t="shared" si="21"/>
        <v>321.60000000000002</v>
      </c>
      <c r="BP187" s="30">
        <v>9</v>
      </c>
      <c r="BQ187" s="30">
        <v>0</v>
      </c>
      <c r="BR187" s="30"/>
      <c r="BS187" s="30"/>
      <c r="BT187" s="34">
        <f t="shared" si="22"/>
        <v>20.8</v>
      </c>
      <c r="BU187" s="34"/>
      <c r="BV187" s="34"/>
      <c r="BW187" s="34"/>
      <c r="BX187" s="34"/>
      <c r="BY187" s="30"/>
      <c r="BZ187" s="31">
        <f t="shared" si="37"/>
        <v>187.20000000000002</v>
      </c>
      <c r="CA187" s="31">
        <f t="shared" si="26"/>
        <v>0</v>
      </c>
    </row>
    <row r="188" spans="1:79" ht="38.25" x14ac:dyDescent="0.25">
      <c r="A188" s="17"/>
      <c r="B188" s="2">
        <v>182</v>
      </c>
      <c r="C188" s="18">
        <v>114</v>
      </c>
      <c r="D188" s="18">
        <v>10</v>
      </c>
      <c r="E188" s="19">
        <v>0.30555555555555552</v>
      </c>
      <c r="F188" s="59">
        <v>0.31597222222222221</v>
      </c>
      <c r="G188" s="18" t="s">
        <v>648</v>
      </c>
      <c r="H188" s="18" t="s">
        <v>422</v>
      </c>
      <c r="I188" s="20">
        <v>8</v>
      </c>
      <c r="J188" s="21" t="s">
        <v>571</v>
      </c>
      <c r="K188" s="22">
        <v>240</v>
      </c>
      <c r="L188" s="23">
        <f t="shared" si="19"/>
        <v>1920</v>
      </c>
      <c r="M188" s="24" t="s">
        <v>478</v>
      </c>
      <c r="N188" s="25" t="s">
        <v>572</v>
      </c>
      <c r="O188" s="25">
        <v>21</v>
      </c>
      <c r="P188" s="25" t="s">
        <v>573</v>
      </c>
      <c r="Q188" s="25">
        <v>21</v>
      </c>
      <c r="R188" s="17"/>
      <c r="S188" s="25"/>
      <c r="T188" s="26">
        <v>1127</v>
      </c>
      <c r="U188" s="26" t="s">
        <v>576</v>
      </c>
      <c r="V188" s="26">
        <v>1135</v>
      </c>
      <c r="W188" s="26" t="s">
        <v>649</v>
      </c>
      <c r="X188" s="27">
        <v>44816</v>
      </c>
      <c r="Y188" s="27">
        <v>45100</v>
      </c>
      <c r="Z188" s="27"/>
      <c r="AA188" s="27"/>
      <c r="AB188" s="26" t="s">
        <v>423</v>
      </c>
      <c r="AC188" s="26"/>
      <c r="AD188" s="28" t="s">
        <v>90</v>
      </c>
      <c r="AE188" s="28"/>
      <c r="AF188" s="28" t="s">
        <v>90</v>
      </c>
      <c r="AG188" s="28"/>
      <c r="AH188" s="28" t="s">
        <v>90</v>
      </c>
      <c r="AI188" s="28" t="s">
        <v>90</v>
      </c>
      <c r="AJ188" s="28" t="s">
        <v>90</v>
      </c>
      <c r="AK188" s="28" t="s">
        <v>90</v>
      </c>
      <c r="AL188" s="28" t="s">
        <v>90</v>
      </c>
      <c r="AM188" s="28" t="s">
        <v>90</v>
      </c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9">
        <v>15.2</v>
      </c>
      <c r="AY188" s="30"/>
      <c r="AZ188" s="30"/>
      <c r="BA188" s="29"/>
      <c r="BB188" s="29"/>
      <c r="BC188" s="30"/>
      <c r="BD188" s="31">
        <f t="shared" si="20"/>
        <v>3648</v>
      </c>
      <c r="BE188" s="31"/>
      <c r="BF188" s="30"/>
      <c r="BG188" s="36">
        <v>1</v>
      </c>
      <c r="BH188" s="31">
        <f t="shared" si="34"/>
        <v>0.80000000000000071</v>
      </c>
      <c r="BI188" s="31">
        <f t="shared" si="35"/>
        <v>0</v>
      </c>
      <c r="BJ188" s="31">
        <f t="shared" si="36"/>
        <v>192.00000000000017</v>
      </c>
      <c r="BK188" s="30"/>
      <c r="BL188" s="30"/>
      <c r="BM188" s="30"/>
      <c r="BN188" s="30"/>
      <c r="BO188" s="33">
        <f t="shared" si="21"/>
        <v>0</v>
      </c>
      <c r="BP188" s="30">
        <v>17</v>
      </c>
      <c r="BQ188" s="30">
        <v>26</v>
      </c>
      <c r="BR188" s="30"/>
      <c r="BS188" s="30"/>
      <c r="BT188" s="34">
        <f t="shared" si="22"/>
        <v>16</v>
      </c>
      <c r="BU188" s="34"/>
      <c r="BV188" s="34"/>
      <c r="BW188" s="34"/>
      <c r="BX188" s="34"/>
      <c r="BY188" s="30"/>
      <c r="BZ188" s="31">
        <f t="shared" si="37"/>
        <v>272</v>
      </c>
      <c r="CA188" s="31">
        <f t="shared" si="26"/>
        <v>416</v>
      </c>
    </row>
    <row r="189" spans="1:79" ht="25.5" x14ac:dyDescent="0.25">
      <c r="A189" s="17"/>
      <c r="B189" s="2">
        <v>183</v>
      </c>
      <c r="C189" s="18">
        <v>114</v>
      </c>
      <c r="D189" s="18">
        <v>10</v>
      </c>
      <c r="E189" s="19">
        <v>0.31319444444444444</v>
      </c>
      <c r="F189" s="19">
        <v>0.32361111111111113</v>
      </c>
      <c r="G189" s="18" t="s">
        <v>648</v>
      </c>
      <c r="H189" s="18" t="s">
        <v>316</v>
      </c>
      <c r="I189" s="20">
        <v>8</v>
      </c>
      <c r="J189" s="21" t="s">
        <v>571</v>
      </c>
      <c r="K189" s="22">
        <v>67</v>
      </c>
      <c r="L189" s="23">
        <f t="shared" si="19"/>
        <v>536</v>
      </c>
      <c r="M189" s="24" t="s">
        <v>478</v>
      </c>
      <c r="N189" s="25" t="s">
        <v>572</v>
      </c>
      <c r="O189" s="25">
        <v>21</v>
      </c>
      <c r="P189" s="25" t="s">
        <v>573</v>
      </c>
      <c r="Q189" s="25">
        <v>21</v>
      </c>
      <c r="R189" s="17"/>
      <c r="S189" s="25"/>
      <c r="T189" s="26">
        <v>1127</v>
      </c>
      <c r="U189" s="26" t="s">
        <v>576</v>
      </c>
      <c r="V189" s="26">
        <v>1135</v>
      </c>
      <c r="W189" s="26" t="s">
        <v>649</v>
      </c>
      <c r="X189" s="27">
        <v>44562</v>
      </c>
      <c r="Y189" s="27">
        <v>44815</v>
      </c>
      <c r="Z189" s="27">
        <v>45101</v>
      </c>
      <c r="AA189" s="27">
        <v>45169</v>
      </c>
      <c r="AB189" s="28" t="s">
        <v>89</v>
      </c>
      <c r="AC189" s="28"/>
      <c r="AD189" s="28"/>
      <c r="AE189" s="28" t="s">
        <v>90</v>
      </c>
      <c r="AF189" s="28" t="s">
        <v>90</v>
      </c>
      <c r="AG189" s="28"/>
      <c r="AH189" s="28" t="s">
        <v>90</v>
      </c>
      <c r="AI189" s="28" t="s">
        <v>90</v>
      </c>
      <c r="AJ189" s="28" t="s">
        <v>90</v>
      </c>
      <c r="AK189" s="28" t="s">
        <v>90</v>
      </c>
      <c r="AL189" s="28" t="s">
        <v>90</v>
      </c>
      <c r="AM189" s="28" t="s">
        <v>90</v>
      </c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9">
        <v>15.2</v>
      </c>
      <c r="AY189" s="30"/>
      <c r="AZ189" s="30"/>
      <c r="BA189" s="29"/>
      <c r="BB189" s="29"/>
      <c r="BC189" s="30"/>
      <c r="BD189" s="31">
        <f t="shared" si="20"/>
        <v>1018.4</v>
      </c>
      <c r="BE189" s="31"/>
      <c r="BF189" s="30"/>
      <c r="BG189" s="36">
        <v>1</v>
      </c>
      <c r="BH189" s="31">
        <f t="shared" si="34"/>
        <v>0.80000000000000071</v>
      </c>
      <c r="BI189" s="31">
        <f t="shared" si="35"/>
        <v>0</v>
      </c>
      <c r="BJ189" s="31">
        <f t="shared" si="36"/>
        <v>53.600000000000051</v>
      </c>
      <c r="BK189" s="30"/>
      <c r="BL189" s="30"/>
      <c r="BM189" s="30"/>
      <c r="BN189" s="30"/>
      <c r="BO189" s="33">
        <f t="shared" si="21"/>
        <v>0</v>
      </c>
      <c r="BP189" s="30">
        <v>9</v>
      </c>
      <c r="BQ189" s="30">
        <v>0</v>
      </c>
      <c r="BR189" s="30"/>
      <c r="BS189" s="30"/>
      <c r="BT189" s="34">
        <f t="shared" si="22"/>
        <v>16</v>
      </c>
      <c r="BU189" s="34"/>
      <c r="BV189" s="34"/>
      <c r="BW189" s="34"/>
      <c r="BX189" s="34"/>
      <c r="BY189" s="30"/>
      <c r="BZ189" s="31">
        <f t="shared" si="37"/>
        <v>144</v>
      </c>
      <c r="CA189" s="31">
        <f t="shared" si="26"/>
        <v>0</v>
      </c>
    </row>
    <row r="190" spans="1:79" ht="38.25" x14ac:dyDescent="0.25">
      <c r="A190" s="17"/>
      <c r="B190" s="2">
        <v>184</v>
      </c>
      <c r="C190" s="18">
        <v>114</v>
      </c>
      <c r="D190" s="18">
        <v>9</v>
      </c>
      <c r="E190" s="19">
        <v>0.31944444444444448</v>
      </c>
      <c r="F190" s="19">
        <v>0.34027777777777773</v>
      </c>
      <c r="G190" s="18" t="s">
        <v>650</v>
      </c>
      <c r="H190" s="18" t="s">
        <v>422</v>
      </c>
      <c r="I190" s="20">
        <v>8</v>
      </c>
      <c r="J190" s="21" t="s">
        <v>571</v>
      </c>
      <c r="K190" s="22">
        <v>240</v>
      </c>
      <c r="L190" s="23">
        <f t="shared" si="19"/>
        <v>1920</v>
      </c>
      <c r="M190" s="24" t="s">
        <v>478</v>
      </c>
      <c r="N190" s="25" t="s">
        <v>572</v>
      </c>
      <c r="O190" s="25">
        <v>21</v>
      </c>
      <c r="P190" s="25" t="s">
        <v>573</v>
      </c>
      <c r="Q190" s="25">
        <v>21</v>
      </c>
      <c r="R190" s="17"/>
      <c r="S190" s="25"/>
      <c r="T190" s="26">
        <v>1135</v>
      </c>
      <c r="U190" s="26" t="s">
        <v>649</v>
      </c>
      <c r="V190" s="26">
        <v>1127</v>
      </c>
      <c r="W190" s="26" t="s">
        <v>576</v>
      </c>
      <c r="X190" s="27">
        <v>44816</v>
      </c>
      <c r="Y190" s="27">
        <v>45100</v>
      </c>
      <c r="Z190" s="27"/>
      <c r="AA190" s="27"/>
      <c r="AB190" s="26" t="s">
        <v>423</v>
      </c>
      <c r="AC190" s="26"/>
      <c r="AD190" s="28" t="s">
        <v>90</v>
      </c>
      <c r="AE190" s="28"/>
      <c r="AF190" s="28" t="s">
        <v>90</v>
      </c>
      <c r="AG190" s="28"/>
      <c r="AH190" s="28" t="s">
        <v>90</v>
      </c>
      <c r="AI190" s="28" t="s">
        <v>90</v>
      </c>
      <c r="AJ190" s="28" t="s">
        <v>90</v>
      </c>
      <c r="AK190" s="28" t="s">
        <v>90</v>
      </c>
      <c r="AL190" s="28" t="s">
        <v>90</v>
      </c>
      <c r="AM190" s="28" t="s">
        <v>90</v>
      </c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9">
        <v>15.2</v>
      </c>
      <c r="AY190" s="30"/>
      <c r="AZ190" s="30"/>
      <c r="BA190" s="29"/>
      <c r="BB190" s="29"/>
      <c r="BC190" s="30"/>
      <c r="BD190" s="31">
        <f t="shared" si="20"/>
        <v>3648</v>
      </c>
      <c r="BE190" s="31"/>
      <c r="BF190" s="30"/>
      <c r="BG190" s="36">
        <v>1</v>
      </c>
      <c r="BH190" s="31">
        <f t="shared" si="34"/>
        <v>0.80000000000000071</v>
      </c>
      <c r="BI190" s="31">
        <f t="shared" si="35"/>
        <v>0</v>
      </c>
      <c r="BJ190" s="31">
        <f t="shared" si="36"/>
        <v>192.00000000000017</v>
      </c>
      <c r="BK190" s="30"/>
      <c r="BL190" s="30"/>
      <c r="BM190" s="30"/>
      <c r="BN190" s="30"/>
      <c r="BO190" s="33">
        <f t="shared" si="21"/>
        <v>0</v>
      </c>
      <c r="BP190" s="30">
        <v>17</v>
      </c>
      <c r="BQ190" s="30">
        <v>26</v>
      </c>
      <c r="BR190" s="30"/>
      <c r="BS190" s="30"/>
      <c r="BT190" s="34">
        <f t="shared" si="22"/>
        <v>16</v>
      </c>
      <c r="BU190" s="34"/>
      <c r="BV190" s="34"/>
      <c r="BW190" s="34"/>
      <c r="BX190" s="34"/>
      <c r="BY190" s="30"/>
      <c r="BZ190" s="31">
        <f t="shared" si="37"/>
        <v>272</v>
      </c>
      <c r="CA190" s="31">
        <f t="shared" si="26"/>
        <v>416</v>
      </c>
    </row>
    <row r="191" spans="1:79" ht="25.5" x14ac:dyDescent="0.25">
      <c r="A191" s="17"/>
      <c r="B191" s="2">
        <v>185</v>
      </c>
      <c r="C191" s="18">
        <v>114</v>
      </c>
      <c r="D191" s="18">
        <v>9</v>
      </c>
      <c r="E191" s="19">
        <v>0.32361111111111113</v>
      </c>
      <c r="F191" s="19">
        <v>0.3444444444444445</v>
      </c>
      <c r="G191" s="18" t="s">
        <v>650</v>
      </c>
      <c r="H191" s="18" t="s">
        <v>316</v>
      </c>
      <c r="I191" s="20">
        <v>8</v>
      </c>
      <c r="J191" s="21" t="s">
        <v>571</v>
      </c>
      <c r="K191" s="22">
        <v>67</v>
      </c>
      <c r="L191" s="23">
        <f t="shared" si="19"/>
        <v>536</v>
      </c>
      <c r="M191" s="24" t="s">
        <v>478</v>
      </c>
      <c r="N191" s="25" t="s">
        <v>572</v>
      </c>
      <c r="O191" s="25">
        <v>21</v>
      </c>
      <c r="P191" s="25" t="s">
        <v>573</v>
      </c>
      <c r="Q191" s="25">
        <v>21</v>
      </c>
      <c r="R191" s="17"/>
      <c r="S191" s="25"/>
      <c r="T191" s="26">
        <v>1135</v>
      </c>
      <c r="U191" s="26" t="s">
        <v>649</v>
      </c>
      <c r="V191" s="26">
        <v>1127</v>
      </c>
      <c r="W191" s="26" t="s">
        <v>576</v>
      </c>
      <c r="X191" s="27">
        <v>44562</v>
      </c>
      <c r="Y191" s="27">
        <v>44815</v>
      </c>
      <c r="Z191" s="27">
        <v>45101</v>
      </c>
      <c r="AA191" s="27">
        <v>45169</v>
      </c>
      <c r="AB191" s="28" t="s">
        <v>89</v>
      </c>
      <c r="AC191" s="28"/>
      <c r="AD191" s="28"/>
      <c r="AE191" s="28" t="s">
        <v>90</v>
      </c>
      <c r="AF191" s="28" t="s">
        <v>90</v>
      </c>
      <c r="AG191" s="28"/>
      <c r="AH191" s="28" t="s">
        <v>90</v>
      </c>
      <c r="AI191" s="28" t="s">
        <v>90</v>
      </c>
      <c r="AJ191" s="28" t="s">
        <v>90</v>
      </c>
      <c r="AK191" s="28" t="s">
        <v>90</v>
      </c>
      <c r="AL191" s="28" t="s">
        <v>90</v>
      </c>
      <c r="AM191" s="28" t="s">
        <v>90</v>
      </c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9">
        <v>15.2</v>
      </c>
      <c r="AY191" s="30"/>
      <c r="AZ191" s="30"/>
      <c r="BA191" s="29"/>
      <c r="BB191" s="29"/>
      <c r="BC191" s="30"/>
      <c r="BD191" s="31">
        <f t="shared" si="20"/>
        <v>1018.4</v>
      </c>
      <c r="BE191" s="31"/>
      <c r="BF191" s="30"/>
      <c r="BG191" s="36">
        <v>1</v>
      </c>
      <c r="BH191" s="31">
        <f t="shared" si="34"/>
        <v>0.80000000000000071</v>
      </c>
      <c r="BI191" s="31">
        <f t="shared" si="35"/>
        <v>0</v>
      </c>
      <c r="BJ191" s="31">
        <f t="shared" si="36"/>
        <v>53.600000000000051</v>
      </c>
      <c r="BK191" s="30"/>
      <c r="BL191" s="30"/>
      <c r="BM191" s="30"/>
      <c r="BN191" s="30"/>
      <c r="BO191" s="33">
        <f t="shared" si="21"/>
        <v>0</v>
      </c>
      <c r="BP191" s="30">
        <v>9</v>
      </c>
      <c r="BQ191" s="30">
        <v>0</v>
      </c>
      <c r="BR191" s="30"/>
      <c r="BS191" s="30"/>
      <c r="BT191" s="34">
        <f t="shared" si="22"/>
        <v>16</v>
      </c>
      <c r="BU191" s="34"/>
      <c r="BV191" s="34"/>
      <c r="BW191" s="34"/>
      <c r="BX191" s="34"/>
      <c r="BY191" s="30"/>
      <c r="BZ191" s="31">
        <f t="shared" si="37"/>
        <v>144</v>
      </c>
      <c r="CA191" s="31">
        <f t="shared" si="26"/>
        <v>0</v>
      </c>
    </row>
    <row r="192" spans="1:79" ht="51" x14ac:dyDescent="0.25">
      <c r="A192" s="17"/>
      <c r="B192" s="2">
        <v>186</v>
      </c>
      <c r="C192" s="18">
        <v>114</v>
      </c>
      <c r="D192" s="18">
        <v>12</v>
      </c>
      <c r="E192" s="19">
        <v>0.4861111111111111</v>
      </c>
      <c r="F192" s="19">
        <v>0.49652777777777773</v>
      </c>
      <c r="G192" s="18" t="s">
        <v>648</v>
      </c>
      <c r="H192" s="18" t="s">
        <v>355</v>
      </c>
      <c r="I192" s="20">
        <v>8</v>
      </c>
      <c r="J192" s="21" t="s">
        <v>571</v>
      </c>
      <c r="K192" s="22">
        <v>55</v>
      </c>
      <c r="L192" s="23">
        <f t="shared" si="19"/>
        <v>440</v>
      </c>
      <c r="M192" s="24" t="s">
        <v>478</v>
      </c>
      <c r="N192" s="25" t="s">
        <v>572</v>
      </c>
      <c r="O192" s="25">
        <v>21</v>
      </c>
      <c r="P192" s="25" t="s">
        <v>573</v>
      </c>
      <c r="Q192" s="25">
        <v>21</v>
      </c>
      <c r="R192" s="17"/>
      <c r="S192" s="25"/>
      <c r="T192" s="26">
        <v>1127</v>
      </c>
      <c r="U192" s="26" t="s">
        <v>576</v>
      </c>
      <c r="V192" s="26">
        <v>1135</v>
      </c>
      <c r="W192" s="26" t="s">
        <v>649</v>
      </c>
      <c r="X192" s="27">
        <v>44562</v>
      </c>
      <c r="Y192" s="27">
        <v>44815</v>
      </c>
      <c r="Z192" s="27">
        <v>45101</v>
      </c>
      <c r="AA192" s="27">
        <v>45169</v>
      </c>
      <c r="AB192" s="26" t="s">
        <v>353</v>
      </c>
      <c r="AC192" s="26"/>
      <c r="AD192" s="28"/>
      <c r="AE192" s="28" t="s">
        <v>90</v>
      </c>
      <c r="AF192" s="28" t="s">
        <v>90</v>
      </c>
      <c r="AG192" s="28"/>
      <c r="AH192" s="28" t="s">
        <v>90</v>
      </c>
      <c r="AI192" s="28" t="s">
        <v>90</v>
      </c>
      <c r="AJ192" s="28" t="s">
        <v>90</v>
      </c>
      <c r="AK192" s="28" t="s">
        <v>90</v>
      </c>
      <c r="AL192" s="28" t="s">
        <v>90</v>
      </c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9">
        <v>15.2</v>
      </c>
      <c r="AY192" s="30"/>
      <c r="AZ192" s="30"/>
      <c r="BA192" s="29"/>
      <c r="BB192" s="29"/>
      <c r="BC192" s="30"/>
      <c r="BD192" s="31">
        <f t="shared" si="20"/>
        <v>836</v>
      </c>
      <c r="BE192" s="31"/>
      <c r="BF192" s="30"/>
      <c r="BG192" s="36">
        <v>1</v>
      </c>
      <c r="BH192" s="31">
        <f t="shared" si="34"/>
        <v>0.80000000000000071</v>
      </c>
      <c r="BI192" s="31">
        <f t="shared" si="35"/>
        <v>0</v>
      </c>
      <c r="BJ192" s="31">
        <f t="shared" si="36"/>
        <v>44.000000000000043</v>
      </c>
      <c r="BK192" s="30"/>
      <c r="BL192" s="30"/>
      <c r="BM192" s="30"/>
      <c r="BN192" s="30"/>
      <c r="BO192" s="33">
        <f t="shared" si="21"/>
        <v>0</v>
      </c>
      <c r="BP192" s="30">
        <v>7</v>
      </c>
      <c r="BQ192" s="30">
        <v>0</v>
      </c>
      <c r="BR192" s="30"/>
      <c r="BS192" s="30"/>
      <c r="BT192" s="34">
        <f t="shared" si="22"/>
        <v>16</v>
      </c>
      <c r="BU192" s="34"/>
      <c r="BV192" s="34"/>
      <c r="BW192" s="34"/>
      <c r="BX192" s="34"/>
      <c r="BY192" s="30"/>
      <c r="BZ192" s="31">
        <f t="shared" si="37"/>
        <v>112</v>
      </c>
      <c r="CA192" s="31">
        <f t="shared" si="26"/>
        <v>0</v>
      </c>
    </row>
    <row r="193" spans="1:79" ht="38.25" x14ac:dyDescent="0.25">
      <c r="A193" s="17"/>
      <c r="B193" s="2">
        <v>187</v>
      </c>
      <c r="C193" s="18">
        <v>114</v>
      </c>
      <c r="D193" s="18">
        <v>12</v>
      </c>
      <c r="E193" s="19">
        <v>0.48958333333333331</v>
      </c>
      <c r="F193" s="19">
        <v>0.5</v>
      </c>
      <c r="G193" s="18" t="s">
        <v>648</v>
      </c>
      <c r="H193" s="18" t="s">
        <v>422</v>
      </c>
      <c r="I193" s="20">
        <v>8</v>
      </c>
      <c r="J193" s="21" t="s">
        <v>571</v>
      </c>
      <c r="K193" s="22">
        <v>240</v>
      </c>
      <c r="L193" s="23">
        <f t="shared" si="19"/>
        <v>1920</v>
      </c>
      <c r="M193" s="24" t="s">
        <v>478</v>
      </c>
      <c r="N193" s="25" t="s">
        <v>572</v>
      </c>
      <c r="O193" s="25">
        <v>21</v>
      </c>
      <c r="P193" s="25" t="s">
        <v>573</v>
      </c>
      <c r="Q193" s="25">
        <v>21</v>
      </c>
      <c r="R193" s="17"/>
      <c r="S193" s="25"/>
      <c r="T193" s="26">
        <v>1127</v>
      </c>
      <c r="U193" s="26" t="s">
        <v>576</v>
      </c>
      <c r="V193" s="26">
        <v>1135</v>
      </c>
      <c r="W193" s="26" t="s">
        <v>649</v>
      </c>
      <c r="X193" s="27">
        <v>44816</v>
      </c>
      <c r="Y193" s="27">
        <v>45100</v>
      </c>
      <c r="Z193" s="27"/>
      <c r="AA193" s="27"/>
      <c r="AB193" s="26" t="s">
        <v>423</v>
      </c>
      <c r="AC193" s="26"/>
      <c r="AD193" s="28" t="s">
        <v>90</v>
      </c>
      <c r="AE193" s="28"/>
      <c r="AF193" s="28" t="s">
        <v>90</v>
      </c>
      <c r="AG193" s="28"/>
      <c r="AH193" s="28" t="s">
        <v>90</v>
      </c>
      <c r="AI193" s="28" t="s">
        <v>90</v>
      </c>
      <c r="AJ193" s="28" t="s">
        <v>90</v>
      </c>
      <c r="AK193" s="28" t="s">
        <v>90</v>
      </c>
      <c r="AL193" s="28" t="s">
        <v>90</v>
      </c>
      <c r="AM193" s="28" t="s">
        <v>90</v>
      </c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9">
        <v>15.2</v>
      </c>
      <c r="AY193" s="30"/>
      <c r="AZ193" s="30"/>
      <c r="BA193" s="29"/>
      <c r="BB193" s="29"/>
      <c r="BC193" s="30"/>
      <c r="BD193" s="31">
        <f t="shared" si="20"/>
        <v>3648</v>
      </c>
      <c r="BE193" s="31"/>
      <c r="BF193" s="30"/>
      <c r="BG193" s="36">
        <v>1</v>
      </c>
      <c r="BH193" s="31">
        <f t="shared" si="34"/>
        <v>0.80000000000000071</v>
      </c>
      <c r="BI193" s="31">
        <f t="shared" si="35"/>
        <v>0</v>
      </c>
      <c r="BJ193" s="31">
        <f t="shared" si="36"/>
        <v>192.00000000000017</v>
      </c>
      <c r="BK193" s="30"/>
      <c r="BL193" s="30"/>
      <c r="BM193" s="30"/>
      <c r="BN193" s="30"/>
      <c r="BO193" s="33">
        <f t="shared" si="21"/>
        <v>0</v>
      </c>
      <c r="BP193" s="30">
        <v>17</v>
      </c>
      <c r="BQ193" s="30">
        <v>26</v>
      </c>
      <c r="BR193" s="30"/>
      <c r="BS193" s="30"/>
      <c r="BT193" s="34">
        <f t="shared" si="22"/>
        <v>16</v>
      </c>
      <c r="BU193" s="34"/>
      <c r="BV193" s="34"/>
      <c r="BW193" s="34"/>
      <c r="BX193" s="34"/>
      <c r="BY193" s="30"/>
      <c r="BZ193" s="31">
        <f t="shared" si="37"/>
        <v>272</v>
      </c>
      <c r="CA193" s="31">
        <f t="shared" si="26"/>
        <v>416</v>
      </c>
    </row>
    <row r="194" spans="1:79" ht="38.25" x14ac:dyDescent="0.25">
      <c r="A194" s="17"/>
      <c r="B194" s="2">
        <v>188</v>
      </c>
      <c r="C194" s="18">
        <v>114</v>
      </c>
      <c r="D194" s="18">
        <v>11</v>
      </c>
      <c r="E194" s="19">
        <v>0.50347222222222221</v>
      </c>
      <c r="F194" s="19">
        <v>0.52083333333333337</v>
      </c>
      <c r="G194" s="18" t="s">
        <v>650</v>
      </c>
      <c r="H194" s="18" t="s">
        <v>422</v>
      </c>
      <c r="I194" s="20">
        <v>8</v>
      </c>
      <c r="J194" s="21" t="s">
        <v>571</v>
      </c>
      <c r="K194" s="22">
        <v>240</v>
      </c>
      <c r="L194" s="23">
        <f t="shared" ref="L194:L259" si="38">+K194*I194</f>
        <v>1920</v>
      </c>
      <c r="M194" s="24" t="s">
        <v>478</v>
      </c>
      <c r="N194" s="25" t="s">
        <v>572</v>
      </c>
      <c r="O194" s="25">
        <v>21</v>
      </c>
      <c r="P194" s="25" t="s">
        <v>573</v>
      </c>
      <c r="Q194" s="25">
        <v>21</v>
      </c>
      <c r="R194" s="17"/>
      <c r="S194" s="25"/>
      <c r="T194" s="26">
        <v>1135</v>
      </c>
      <c r="U194" s="26" t="s">
        <v>649</v>
      </c>
      <c r="V194" s="26">
        <v>1127</v>
      </c>
      <c r="W194" s="26" t="s">
        <v>576</v>
      </c>
      <c r="X194" s="27">
        <v>44816</v>
      </c>
      <c r="Y194" s="27">
        <v>45100</v>
      </c>
      <c r="Z194" s="27"/>
      <c r="AA194" s="27"/>
      <c r="AB194" s="26" t="s">
        <v>423</v>
      </c>
      <c r="AC194" s="26"/>
      <c r="AD194" s="28" t="s">
        <v>90</v>
      </c>
      <c r="AE194" s="28"/>
      <c r="AF194" s="28" t="s">
        <v>90</v>
      </c>
      <c r="AG194" s="28"/>
      <c r="AH194" s="28" t="s">
        <v>90</v>
      </c>
      <c r="AI194" s="28" t="s">
        <v>90</v>
      </c>
      <c r="AJ194" s="28" t="s">
        <v>90</v>
      </c>
      <c r="AK194" s="28" t="s">
        <v>90</v>
      </c>
      <c r="AL194" s="28" t="s">
        <v>90</v>
      </c>
      <c r="AM194" s="28" t="s">
        <v>90</v>
      </c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9">
        <v>15.2</v>
      </c>
      <c r="AY194" s="30"/>
      <c r="AZ194" s="30"/>
      <c r="BA194" s="29"/>
      <c r="BB194" s="29"/>
      <c r="BC194" s="30"/>
      <c r="BD194" s="31">
        <f t="shared" ref="BD194:BD257" si="39">AX194*K194</f>
        <v>3648</v>
      </c>
      <c r="BE194" s="31"/>
      <c r="BF194" s="30"/>
      <c r="BG194" s="36">
        <v>1</v>
      </c>
      <c r="BH194" s="31">
        <f t="shared" si="34"/>
        <v>0.80000000000000071</v>
      </c>
      <c r="BI194" s="31">
        <f t="shared" si="35"/>
        <v>0</v>
      </c>
      <c r="BJ194" s="31">
        <f t="shared" si="36"/>
        <v>192.00000000000017</v>
      </c>
      <c r="BK194" s="30"/>
      <c r="BL194" s="30"/>
      <c r="BM194" s="30"/>
      <c r="BN194" s="30"/>
      <c r="BO194" s="33">
        <f t="shared" ref="BO194:BO257" si="40">BN194*K194</f>
        <v>0</v>
      </c>
      <c r="BP194" s="30">
        <v>17</v>
      </c>
      <c r="BQ194" s="30">
        <v>26</v>
      </c>
      <c r="BR194" s="30"/>
      <c r="BS194" s="30"/>
      <c r="BT194" s="34">
        <f t="shared" ref="BT194:BT257" si="41">SUM(AX194:AZ194)+SUM(BH194:BI194)+SUM(BK194:BL194)+BN194</f>
        <v>16</v>
      </c>
      <c r="BU194" s="34"/>
      <c r="BV194" s="34"/>
      <c r="BW194" s="34"/>
      <c r="BX194" s="34"/>
      <c r="BY194" s="30"/>
      <c r="BZ194" s="31">
        <f t="shared" si="37"/>
        <v>272</v>
      </c>
      <c r="CA194" s="31">
        <f t="shared" si="26"/>
        <v>416</v>
      </c>
    </row>
    <row r="195" spans="1:79" ht="51" x14ac:dyDescent="0.25">
      <c r="A195" s="17"/>
      <c r="B195" s="2">
        <v>189</v>
      </c>
      <c r="C195" s="18">
        <v>114</v>
      </c>
      <c r="D195" s="18">
        <v>11</v>
      </c>
      <c r="E195" s="19">
        <v>0.50347222222222221</v>
      </c>
      <c r="F195" s="19">
        <v>0.52430555555555558</v>
      </c>
      <c r="G195" s="18" t="s">
        <v>650</v>
      </c>
      <c r="H195" s="18" t="s">
        <v>355</v>
      </c>
      <c r="I195" s="20">
        <v>8</v>
      </c>
      <c r="J195" s="21" t="s">
        <v>571</v>
      </c>
      <c r="K195" s="22">
        <v>55</v>
      </c>
      <c r="L195" s="23">
        <f t="shared" si="38"/>
        <v>440</v>
      </c>
      <c r="M195" s="24" t="s">
        <v>478</v>
      </c>
      <c r="N195" s="25" t="s">
        <v>572</v>
      </c>
      <c r="O195" s="25">
        <v>21</v>
      </c>
      <c r="P195" s="25" t="s">
        <v>573</v>
      </c>
      <c r="Q195" s="25">
        <v>21</v>
      </c>
      <c r="R195" s="17"/>
      <c r="S195" s="25"/>
      <c r="T195" s="26">
        <v>1135</v>
      </c>
      <c r="U195" s="26" t="s">
        <v>649</v>
      </c>
      <c r="V195" s="26">
        <v>1127</v>
      </c>
      <c r="W195" s="26" t="s">
        <v>576</v>
      </c>
      <c r="X195" s="27">
        <v>44562</v>
      </c>
      <c r="Y195" s="27">
        <v>44815</v>
      </c>
      <c r="Z195" s="27">
        <v>45101</v>
      </c>
      <c r="AA195" s="27">
        <v>45169</v>
      </c>
      <c r="AB195" s="26" t="s">
        <v>353</v>
      </c>
      <c r="AC195" s="26"/>
      <c r="AD195" s="28"/>
      <c r="AE195" s="28" t="s">
        <v>90</v>
      </c>
      <c r="AF195" s="28" t="s">
        <v>90</v>
      </c>
      <c r="AG195" s="28"/>
      <c r="AH195" s="28" t="s">
        <v>90</v>
      </c>
      <c r="AI195" s="28" t="s">
        <v>90</v>
      </c>
      <c r="AJ195" s="28" t="s">
        <v>90</v>
      </c>
      <c r="AK195" s="28" t="s">
        <v>90</v>
      </c>
      <c r="AL195" s="28" t="s">
        <v>90</v>
      </c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9">
        <v>15.2</v>
      </c>
      <c r="AY195" s="30"/>
      <c r="AZ195" s="30"/>
      <c r="BA195" s="29"/>
      <c r="BB195" s="29"/>
      <c r="BC195" s="30"/>
      <c r="BD195" s="31">
        <f t="shared" si="39"/>
        <v>836</v>
      </c>
      <c r="BE195" s="31"/>
      <c r="BF195" s="30"/>
      <c r="BG195" s="36">
        <v>1</v>
      </c>
      <c r="BH195" s="31">
        <f t="shared" si="34"/>
        <v>0.80000000000000071</v>
      </c>
      <c r="BI195" s="31">
        <f t="shared" si="35"/>
        <v>0</v>
      </c>
      <c r="BJ195" s="31">
        <f t="shared" si="36"/>
        <v>44.000000000000043</v>
      </c>
      <c r="BK195" s="30"/>
      <c r="BL195" s="30"/>
      <c r="BM195" s="30"/>
      <c r="BN195" s="30"/>
      <c r="BO195" s="33">
        <f t="shared" si="40"/>
        <v>0</v>
      </c>
      <c r="BP195" s="30">
        <v>7</v>
      </c>
      <c r="BQ195" s="30">
        <v>0</v>
      </c>
      <c r="BR195" s="30"/>
      <c r="BS195" s="30"/>
      <c r="BT195" s="34">
        <f t="shared" si="41"/>
        <v>16</v>
      </c>
      <c r="BU195" s="34"/>
      <c r="BV195" s="34"/>
      <c r="BW195" s="34"/>
      <c r="BX195" s="34"/>
      <c r="BY195" s="30"/>
      <c r="BZ195" s="31">
        <f t="shared" si="37"/>
        <v>112</v>
      </c>
      <c r="CA195" s="31">
        <f t="shared" ref="CA195:CA258" si="42">(BT195*BQ195)+(BW195*BX195)</f>
        <v>0</v>
      </c>
    </row>
    <row r="196" spans="1:79" ht="25.5" x14ac:dyDescent="0.25">
      <c r="A196" s="17"/>
      <c r="B196" s="2">
        <v>190</v>
      </c>
      <c r="C196" s="18">
        <v>114</v>
      </c>
      <c r="D196" s="18">
        <v>14</v>
      </c>
      <c r="E196" s="19">
        <v>0.54999999999999993</v>
      </c>
      <c r="F196" s="19">
        <v>0.56458333333333333</v>
      </c>
      <c r="G196" s="18" t="s">
        <v>648</v>
      </c>
      <c r="H196" s="18" t="s">
        <v>316</v>
      </c>
      <c r="I196" s="20">
        <v>8</v>
      </c>
      <c r="J196" s="21" t="s">
        <v>571</v>
      </c>
      <c r="K196" s="22">
        <v>67</v>
      </c>
      <c r="L196" s="23">
        <f t="shared" si="38"/>
        <v>536</v>
      </c>
      <c r="M196" s="24" t="s">
        <v>478</v>
      </c>
      <c r="N196" s="25" t="s">
        <v>572</v>
      </c>
      <c r="O196" s="25">
        <v>21</v>
      </c>
      <c r="P196" s="25" t="s">
        <v>573</v>
      </c>
      <c r="Q196" s="25">
        <v>21</v>
      </c>
      <c r="R196" s="17"/>
      <c r="S196" s="25"/>
      <c r="T196" s="26">
        <v>1127</v>
      </c>
      <c r="U196" s="26" t="s">
        <v>576</v>
      </c>
      <c r="V196" s="26">
        <v>1135</v>
      </c>
      <c r="W196" s="26" t="s">
        <v>649</v>
      </c>
      <c r="X196" s="27">
        <v>44562</v>
      </c>
      <c r="Y196" s="27">
        <v>44815</v>
      </c>
      <c r="Z196" s="27">
        <v>45101</v>
      </c>
      <c r="AA196" s="27">
        <v>45169</v>
      </c>
      <c r="AB196" s="28" t="s">
        <v>89</v>
      </c>
      <c r="AC196" s="28"/>
      <c r="AD196" s="28"/>
      <c r="AE196" s="28" t="s">
        <v>90</v>
      </c>
      <c r="AF196" s="28" t="s">
        <v>90</v>
      </c>
      <c r="AG196" s="28"/>
      <c r="AH196" s="28" t="s">
        <v>90</v>
      </c>
      <c r="AI196" s="28" t="s">
        <v>90</v>
      </c>
      <c r="AJ196" s="28" t="s">
        <v>90</v>
      </c>
      <c r="AK196" s="28" t="s">
        <v>90</v>
      </c>
      <c r="AL196" s="28" t="s">
        <v>90</v>
      </c>
      <c r="AM196" s="28" t="s">
        <v>90</v>
      </c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9">
        <v>15.2</v>
      </c>
      <c r="AY196" s="30"/>
      <c r="AZ196" s="30"/>
      <c r="BA196" s="29"/>
      <c r="BB196" s="29"/>
      <c r="BC196" s="30"/>
      <c r="BD196" s="31">
        <f t="shared" si="39"/>
        <v>1018.4</v>
      </c>
      <c r="BE196" s="31"/>
      <c r="BF196" s="30"/>
      <c r="BG196" s="36">
        <v>1</v>
      </c>
      <c r="BH196" s="31">
        <f t="shared" si="34"/>
        <v>0.80000000000000071</v>
      </c>
      <c r="BI196" s="31">
        <f t="shared" si="35"/>
        <v>0</v>
      </c>
      <c r="BJ196" s="31">
        <f t="shared" si="36"/>
        <v>53.600000000000051</v>
      </c>
      <c r="BK196" s="30"/>
      <c r="BL196" s="30"/>
      <c r="BM196" s="30"/>
      <c r="BN196" s="30"/>
      <c r="BO196" s="33">
        <f t="shared" si="40"/>
        <v>0</v>
      </c>
      <c r="BP196" s="30">
        <v>9</v>
      </c>
      <c r="BQ196" s="30">
        <v>0</v>
      </c>
      <c r="BR196" s="30"/>
      <c r="BS196" s="30"/>
      <c r="BT196" s="34">
        <f t="shared" si="41"/>
        <v>16</v>
      </c>
      <c r="BU196" s="34"/>
      <c r="BV196" s="34"/>
      <c r="BW196" s="34"/>
      <c r="BX196" s="34"/>
      <c r="BY196" s="30"/>
      <c r="BZ196" s="31">
        <f t="shared" si="37"/>
        <v>144</v>
      </c>
      <c r="CA196" s="31">
        <f t="shared" si="42"/>
        <v>0</v>
      </c>
    </row>
    <row r="197" spans="1:79" ht="38.25" x14ac:dyDescent="0.25">
      <c r="A197" s="17"/>
      <c r="B197" s="2">
        <v>191</v>
      </c>
      <c r="C197" s="18">
        <v>114</v>
      </c>
      <c r="D197" s="18">
        <v>14</v>
      </c>
      <c r="E197" s="19">
        <v>0.54999999999999993</v>
      </c>
      <c r="F197" s="19">
        <v>0.56458333333333333</v>
      </c>
      <c r="G197" s="18" t="s">
        <v>648</v>
      </c>
      <c r="H197" s="18" t="s">
        <v>422</v>
      </c>
      <c r="I197" s="20">
        <v>8</v>
      </c>
      <c r="J197" s="21" t="s">
        <v>571</v>
      </c>
      <c r="K197" s="22">
        <v>240</v>
      </c>
      <c r="L197" s="23">
        <f t="shared" si="38"/>
        <v>1920</v>
      </c>
      <c r="M197" s="24" t="s">
        <v>478</v>
      </c>
      <c r="N197" s="25" t="s">
        <v>572</v>
      </c>
      <c r="O197" s="25">
        <v>21</v>
      </c>
      <c r="P197" s="25" t="s">
        <v>573</v>
      </c>
      <c r="Q197" s="25">
        <v>21</v>
      </c>
      <c r="R197" s="17"/>
      <c r="S197" s="25"/>
      <c r="T197" s="26">
        <v>1127</v>
      </c>
      <c r="U197" s="26" t="s">
        <v>576</v>
      </c>
      <c r="V197" s="26">
        <v>1135</v>
      </c>
      <c r="W197" s="26" t="s">
        <v>649</v>
      </c>
      <c r="X197" s="27">
        <v>44816</v>
      </c>
      <c r="Y197" s="27">
        <v>45100</v>
      </c>
      <c r="Z197" s="27"/>
      <c r="AA197" s="27"/>
      <c r="AB197" s="26" t="s">
        <v>423</v>
      </c>
      <c r="AC197" s="26"/>
      <c r="AD197" s="28" t="s">
        <v>90</v>
      </c>
      <c r="AE197" s="28"/>
      <c r="AF197" s="28" t="s">
        <v>90</v>
      </c>
      <c r="AG197" s="28"/>
      <c r="AH197" s="28" t="s">
        <v>90</v>
      </c>
      <c r="AI197" s="28" t="s">
        <v>90</v>
      </c>
      <c r="AJ197" s="28" t="s">
        <v>90</v>
      </c>
      <c r="AK197" s="28" t="s">
        <v>90</v>
      </c>
      <c r="AL197" s="28" t="s">
        <v>90</v>
      </c>
      <c r="AM197" s="28" t="s">
        <v>90</v>
      </c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9">
        <v>15.2</v>
      </c>
      <c r="AY197" s="30"/>
      <c r="AZ197" s="30"/>
      <c r="BA197" s="29"/>
      <c r="BB197" s="29"/>
      <c r="BC197" s="30"/>
      <c r="BD197" s="31">
        <f t="shared" si="39"/>
        <v>3648</v>
      </c>
      <c r="BE197" s="31"/>
      <c r="BF197" s="30"/>
      <c r="BG197" s="36">
        <v>1</v>
      </c>
      <c r="BH197" s="31">
        <f t="shared" si="34"/>
        <v>0.80000000000000071</v>
      </c>
      <c r="BI197" s="31">
        <f t="shared" si="35"/>
        <v>0</v>
      </c>
      <c r="BJ197" s="31">
        <f t="shared" si="36"/>
        <v>192.00000000000017</v>
      </c>
      <c r="BK197" s="30"/>
      <c r="BL197" s="30"/>
      <c r="BM197" s="30"/>
      <c r="BN197" s="30"/>
      <c r="BO197" s="33">
        <f t="shared" si="40"/>
        <v>0</v>
      </c>
      <c r="BP197" s="30">
        <v>17</v>
      </c>
      <c r="BQ197" s="30">
        <v>26</v>
      </c>
      <c r="BR197" s="30"/>
      <c r="BS197" s="30"/>
      <c r="BT197" s="34">
        <f t="shared" si="41"/>
        <v>16</v>
      </c>
      <c r="BU197" s="34"/>
      <c r="BV197" s="34"/>
      <c r="BW197" s="34"/>
      <c r="BX197" s="34"/>
      <c r="BY197" s="30"/>
      <c r="BZ197" s="31">
        <f t="shared" si="37"/>
        <v>272</v>
      </c>
      <c r="CA197" s="31">
        <f t="shared" si="42"/>
        <v>416</v>
      </c>
    </row>
    <row r="198" spans="1:79" ht="25.5" x14ac:dyDescent="0.25">
      <c r="A198" s="17"/>
      <c r="B198" s="2">
        <v>192</v>
      </c>
      <c r="C198" s="18">
        <v>114</v>
      </c>
      <c r="D198" s="18">
        <v>13</v>
      </c>
      <c r="E198" s="19">
        <v>0.56458333333333333</v>
      </c>
      <c r="F198" s="59">
        <v>0.57291666666666663</v>
      </c>
      <c r="G198" s="18" t="s">
        <v>650</v>
      </c>
      <c r="H198" s="18" t="s">
        <v>651</v>
      </c>
      <c r="I198" s="20">
        <v>8</v>
      </c>
      <c r="J198" s="21" t="s">
        <v>571</v>
      </c>
      <c r="K198" s="22">
        <v>67</v>
      </c>
      <c r="L198" s="23">
        <f t="shared" si="38"/>
        <v>536</v>
      </c>
      <c r="M198" s="24" t="s">
        <v>478</v>
      </c>
      <c r="N198" s="25" t="s">
        <v>572</v>
      </c>
      <c r="O198" s="25">
        <v>21</v>
      </c>
      <c r="P198" s="25" t="s">
        <v>573</v>
      </c>
      <c r="Q198" s="25">
        <v>21</v>
      </c>
      <c r="R198" s="17"/>
      <c r="S198" s="25"/>
      <c r="T198" s="26">
        <v>1135</v>
      </c>
      <c r="U198" s="26" t="s">
        <v>649</v>
      </c>
      <c r="V198" s="26">
        <v>1127</v>
      </c>
      <c r="W198" s="26" t="s">
        <v>576</v>
      </c>
      <c r="X198" s="27">
        <v>44562</v>
      </c>
      <c r="Y198" s="27">
        <v>44815</v>
      </c>
      <c r="Z198" s="27">
        <v>45101</v>
      </c>
      <c r="AA198" s="27">
        <v>45169</v>
      </c>
      <c r="AB198" s="28" t="s">
        <v>89</v>
      </c>
      <c r="AC198" s="28"/>
      <c r="AD198" s="28"/>
      <c r="AE198" s="28" t="s">
        <v>90</v>
      </c>
      <c r="AF198" s="28" t="s">
        <v>90</v>
      </c>
      <c r="AG198" s="28"/>
      <c r="AH198" s="28" t="s">
        <v>90</v>
      </c>
      <c r="AI198" s="28" t="s">
        <v>90</v>
      </c>
      <c r="AJ198" s="28" t="s">
        <v>90</v>
      </c>
      <c r="AK198" s="28" t="s">
        <v>90</v>
      </c>
      <c r="AL198" s="28" t="s">
        <v>90</v>
      </c>
      <c r="AM198" s="28" t="s">
        <v>90</v>
      </c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9">
        <v>15.2</v>
      </c>
      <c r="AY198" s="30"/>
      <c r="AZ198" s="30"/>
      <c r="BA198" s="29"/>
      <c r="BB198" s="29"/>
      <c r="BC198" s="30"/>
      <c r="BD198" s="31">
        <f t="shared" si="39"/>
        <v>1018.4</v>
      </c>
      <c r="BE198" s="31"/>
      <c r="BF198" s="30"/>
      <c r="BG198" s="36">
        <v>1</v>
      </c>
      <c r="BH198" s="31">
        <f t="shared" si="34"/>
        <v>0.80000000000000071</v>
      </c>
      <c r="BI198" s="31">
        <f t="shared" si="35"/>
        <v>0</v>
      </c>
      <c r="BJ198" s="31">
        <f t="shared" si="36"/>
        <v>53.600000000000051</v>
      </c>
      <c r="BK198" s="30"/>
      <c r="BL198" s="30"/>
      <c r="BM198" s="30"/>
      <c r="BN198" s="30"/>
      <c r="BO198" s="33">
        <f t="shared" si="40"/>
        <v>0</v>
      </c>
      <c r="BP198" s="30">
        <v>9</v>
      </c>
      <c r="BQ198" s="30">
        <v>0</v>
      </c>
      <c r="BR198" s="30"/>
      <c r="BS198" s="30"/>
      <c r="BT198" s="34">
        <f t="shared" si="41"/>
        <v>16</v>
      </c>
      <c r="BU198" s="34"/>
      <c r="BV198" s="34"/>
      <c r="BW198" s="34"/>
      <c r="BX198" s="34"/>
      <c r="BY198" s="30"/>
      <c r="BZ198" s="31">
        <f t="shared" si="37"/>
        <v>144</v>
      </c>
      <c r="CA198" s="31">
        <f t="shared" si="42"/>
        <v>0</v>
      </c>
    </row>
    <row r="199" spans="1:79" ht="38.25" x14ac:dyDescent="0.25">
      <c r="A199" s="17"/>
      <c r="B199" s="2">
        <v>193</v>
      </c>
      <c r="C199" s="18">
        <v>114</v>
      </c>
      <c r="D199" s="18">
        <v>13</v>
      </c>
      <c r="E199" s="19">
        <v>0.56458333333333333</v>
      </c>
      <c r="F199" s="19">
        <v>0.57499999999999996</v>
      </c>
      <c r="G199" s="18" t="s">
        <v>652</v>
      </c>
      <c r="H199" s="18" t="s">
        <v>422</v>
      </c>
      <c r="I199" s="20">
        <v>10</v>
      </c>
      <c r="J199" s="21" t="s">
        <v>571</v>
      </c>
      <c r="K199" s="22">
        <v>240</v>
      </c>
      <c r="L199" s="23">
        <f t="shared" si="38"/>
        <v>2400</v>
      </c>
      <c r="M199" s="24" t="s">
        <v>478</v>
      </c>
      <c r="N199" s="25" t="s">
        <v>572</v>
      </c>
      <c r="O199" s="25">
        <v>21</v>
      </c>
      <c r="P199" s="25" t="s">
        <v>573</v>
      </c>
      <c r="Q199" s="25">
        <v>21</v>
      </c>
      <c r="R199" s="17"/>
      <c r="S199" s="25"/>
      <c r="T199" s="26">
        <v>1135</v>
      </c>
      <c r="U199" s="26" t="s">
        <v>649</v>
      </c>
      <c r="V199" s="26">
        <v>1136</v>
      </c>
      <c r="W199" s="26" t="s">
        <v>653</v>
      </c>
      <c r="X199" s="27">
        <v>44816</v>
      </c>
      <c r="Y199" s="27">
        <v>45100</v>
      </c>
      <c r="Z199" s="27"/>
      <c r="AA199" s="27"/>
      <c r="AB199" s="26" t="s">
        <v>423</v>
      </c>
      <c r="AC199" s="26"/>
      <c r="AD199" s="28" t="s">
        <v>90</v>
      </c>
      <c r="AE199" s="28"/>
      <c r="AF199" s="28" t="s">
        <v>90</v>
      </c>
      <c r="AG199" s="28"/>
      <c r="AH199" s="28" t="s">
        <v>90</v>
      </c>
      <c r="AI199" s="28" t="s">
        <v>90</v>
      </c>
      <c r="AJ199" s="28" t="s">
        <v>90</v>
      </c>
      <c r="AK199" s="28" t="s">
        <v>90</v>
      </c>
      <c r="AL199" s="28" t="s">
        <v>90</v>
      </c>
      <c r="AM199" s="28" t="s">
        <v>90</v>
      </c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9">
        <v>19</v>
      </c>
      <c r="AY199" s="30"/>
      <c r="AZ199" s="30"/>
      <c r="BA199" s="29"/>
      <c r="BB199" s="29"/>
      <c r="BC199" s="30"/>
      <c r="BD199" s="31">
        <f t="shared" si="39"/>
        <v>4560</v>
      </c>
      <c r="BE199" s="31"/>
      <c r="BF199" s="30"/>
      <c r="BG199" s="36">
        <v>1</v>
      </c>
      <c r="BH199" s="31">
        <f t="shared" si="34"/>
        <v>1</v>
      </c>
      <c r="BI199" s="31">
        <f t="shared" si="35"/>
        <v>0</v>
      </c>
      <c r="BJ199" s="31">
        <f t="shared" si="36"/>
        <v>240</v>
      </c>
      <c r="BK199" s="30"/>
      <c r="BL199" s="30"/>
      <c r="BM199" s="30"/>
      <c r="BN199" s="30"/>
      <c r="BO199" s="33">
        <f t="shared" si="40"/>
        <v>0</v>
      </c>
      <c r="BP199" s="30">
        <v>17</v>
      </c>
      <c r="BQ199" s="30">
        <v>26</v>
      </c>
      <c r="BR199" s="30"/>
      <c r="BS199" s="30"/>
      <c r="BT199" s="34">
        <f t="shared" si="41"/>
        <v>20</v>
      </c>
      <c r="BU199" s="34"/>
      <c r="BV199" s="34"/>
      <c r="BW199" s="34"/>
      <c r="BX199" s="34"/>
      <c r="BY199" s="30"/>
      <c r="BZ199" s="31">
        <f t="shared" si="37"/>
        <v>340</v>
      </c>
      <c r="CA199" s="31">
        <f t="shared" si="42"/>
        <v>520</v>
      </c>
    </row>
    <row r="200" spans="1:79" ht="51" x14ac:dyDescent="0.25">
      <c r="A200" s="17"/>
      <c r="B200" s="2">
        <v>194</v>
      </c>
      <c r="C200" s="58">
        <v>114</v>
      </c>
      <c r="D200" s="58">
        <v>16</v>
      </c>
      <c r="E200" s="19">
        <v>0.58888888888888891</v>
      </c>
      <c r="F200" s="59">
        <v>0.59930555555555554</v>
      </c>
      <c r="G200" s="18" t="s">
        <v>648</v>
      </c>
      <c r="H200" s="18" t="s">
        <v>273</v>
      </c>
      <c r="I200" s="20">
        <v>8</v>
      </c>
      <c r="J200" s="21" t="s">
        <v>571</v>
      </c>
      <c r="K200" s="22">
        <v>174</v>
      </c>
      <c r="L200" s="23">
        <f t="shared" si="38"/>
        <v>1392</v>
      </c>
      <c r="M200" s="24" t="s">
        <v>478</v>
      </c>
      <c r="N200" s="25" t="s">
        <v>572</v>
      </c>
      <c r="O200" s="25">
        <v>21</v>
      </c>
      <c r="P200" s="25" t="s">
        <v>573</v>
      </c>
      <c r="Q200" s="25">
        <v>21</v>
      </c>
      <c r="R200" s="17"/>
      <c r="S200" s="25"/>
      <c r="T200" s="26">
        <v>1127</v>
      </c>
      <c r="U200" s="26" t="s">
        <v>576</v>
      </c>
      <c r="V200" s="26">
        <v>1135</v>
      </c>
      <c r="W200" s="26" t="s">
        <v>649</v>
      </c>
      <c r="X200" s="66">
        <v>44816</v>
      </c>
      <c r="Y200" s="66">
        <v>45086</v>
      </c>
      <c r="Z200" s="66"/>
      <c r="AA200" s="66"/>
      <c r="AB200" s="26" t="s">
        <v>282</v>
      </c>
      <c r="AC200" s="26"/>
      <c r="AD200" s="28"/>
      <c r="AE200" s="28"/>
      <c r="AF200" s="28"/>
      <c r="AG200" s="28" t="s">
        <v>90</v>
      </c>
      <c r="AH200" s="28" t="s">
        <v>90</v>
      </c>
      <c r="AI200" s="28" t="s">
        <v>90</v>
      </c>
      <c r="AJ200" s="28" t="s">
        <v>90</v>
      </c>
      <c r="AK200" s="28" t="s">
        <v>90</v>
      </c>
      <c r="AL200" s="28" t="s">
        <v>90</v>
      </c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9">
        <v>0</v>
      </c>
      <c r="AY200" s="31"/>
      <c r="AZ200" s="30"/>
      <c r="BA200" s="29"/>
      <c r="BB200" s="29"/>
      <c r="BC200" s="30"/>
      <c r="BD200" s="31">
        <f t="shared" si="39"/>
        <v>0</v>
      </c>
      <c r="BE200" s="31"/>
      <c r="BF200" s="30"/>
      <c r="BG200" s="36">
        <v>1</v>
      </c>
      <c r="BH200" s="31">
        <f t="shared" si="34"/>
        <v>16</v>
      </c>
      <c r="BI200" s="31">
        <f t="shared" si="35"/>
        <v>0</v>
      </c>
      <c r="BJ200" s="31">
        <f t="shared" si="36"/>
        <v>2784</v>
      </c>
      <c r="BK200" s="30"/>
      <c r="BL200" s="30"/>
      <c r="BM200" s="30"/>
      <c r="BN200" s="30"/>
      <c r="BO200" s="33">
        <f t="shared" si="40"/>
        <v>0</v>
      </c>
      <c r="BP200" s="30">
        <v>15</v>
      </c>
      <c r="BQ200" s="30">
        <v>20</v>
      </c>
      <c r="BR200" s="30"/>
      <c r="BS200" s="30"/>
      <c r="BT200" s="34">
        <f t="shared" si="41"/>
        <v>16</v>
      </c>
      <c r="BU200" s="34"/>
      <c r="BV200" s="34"/>
      <c r="BW200" s="34"/>
      <c r="BX200" s="34"/>
      <c r="BY200" s="30"/>
      <c r="BZ200" s="31">
        <f t="shared" si="37"/>
        <v>240</v>
      </c>
      <c r="CA200" s="31">
        <f t="shared" si="42"/>
        <v>320</v>
      </c>
    </row>
    <row r="201" spans="1:79" ht="38.25" x14ac:dyDescent="0.25">
      <c r="A201" s="17"/>
      <c r="B201" s="2">
        <v>195</v>
      </c>
      <c r="C201" s="18">
        <v>114</v>
      </c>
      <c r="D201" s="18">
        <v>18</v>
      </c>
      <c r="E201" s="19">
        <v>0.7270833333333333</v>
      </c>
      <c r="F201" s="19">
        <v>0.74791666666666667</v>
      </c>
      <c r="G201" s="18" t="s">
        <v>648</v>
      </c>
      <c r="H201" s="18" t="s">
        <v>422</v>
      </c>
      <c r="I201" s="20">
        <v>8</v>
      </c>
      <c r="J201" s="21" t="s">
        <v>571</v>
      </c>
      <c r="K201" s="22">
        <v>240</v>
      </c>
      <c r="L201" s="23">
        <f t="shared" si="38"/>
        <v>1920</v>
      </c>
      <c r="M201" s="24" t="s">
        <v>478</v>
      </c>
      <c r="N201" s="25" t="s">
        <v>572</v>
      </c>
      <c r="O201" s="25">
        <v>21</v>
      </c>
      <c r="P201" s="25" t="s">
        <v>573</v>
      </c>
      <c r="Q201" s="25">
        <v>21</v>
      </c>
      <c r="R201" s="17"/>
      <c r="S201" s="25"/>
      <c r="T201" s="26">
        <v>1127</v>
      </c>
      <c r="U201" s="26" t="s">
        <v>576</v>
      </c>
      <c r="V201" s="26">
        <v>1135</v>
      </c>
      <c r="W201" s="26" t="s">
        <v>649</v>
      </c>
      <c r="X201" s="27">
        <v>44816</v>
      </c>
      <c r="Y201" s="27">
        <v>45100</v>
      </c>
      <c r="Z201" s="27"/>
      <c r="AA201" s="27"/>
      <c r="AB201" s="26" t="s">
        <v>423</v>
      </c>
      <c r="AC201" s="26"/>
      <c r="AD201" s="28" t="s">
        <v>90</v>
      </c>
      <c r="AE201" s="28"/>
      <c r="AF201" s="28" t="s">
        <v>90</v>
      </c>
      <c r="AG201" s="28"/>
      <c r="AH201" s="28" t="s">
        <v>90</v>
      </c>
      <c r="AI201" s="28" t="s">
        <v>90</v>
      </c>
      <c r="AJ201" s="28" t="s">
        <v>90</v>
      </c>
      <c r="AK201" s="28" t="s">
        <v>90</v>
      </c>
      <c r="AL201" s="28" t="s">
        <v>90</v>
      </c>
      <c r="AM201" s="28" t="s">
        <v>90</v>
      </c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9">
        <v>15.2</v>
      </c>
      <c r="AY201" s="31"/>
      <c r="AZ201" s="30"/>
      <c r="BA201" s="29"/>
      <c r="BB201" s="29"/>
      <c r="BC201" s="30"/>
      <c r="BD201" s="31">
        <f t="shared" si="39"/>
        <v>3648</v>
      </c>
      <c r="BE201" s="31"/>
      <c r="BF201" s="30"/>
      <c r="BG201" s="36">
        <v>1</v>
      </c>
      <c r="BH201" s="31">
        <f t="shared" si="34"/>
        <v>0.80000000000000071</v>
      </c>
      <c r="BI201" s="31">
        <f t="shared" si="35"/>
        <v>0</v>
      </c>
      <c r="BJ201" s="31">
        <f t="shared" si="36"/>
        <v>192.00000000000017</v>
      </c>
      <c r="BK201" s="30"/>
      <c r="BL201" s="30"/>
      <c r="BM201" s="30"/>
      <c r="BN201" s="30"/>
      <c r="BO201" s="33">
        <f t="shared" si="40"/>
        <v>0</v>
      </c>
      <c r="BP201" s="30">
        <v>17</v>
      </c>
      <c r="BQ201" s="30">
        <v>26</v>
      </c>
      <c r="BR201" s="30"/>
      <c r="BS201" s="30"/>
      <c r="BT201" s="34">
        <f t="shared" si="41"/>
        <v>16</v>
      </c>
      <c r="BU201" s="34"/>
      <c r="BV201" s="34"/>
      <c r="BW201" s="34"/>
      <c r="BX201" s="34"/>
      <c r="BY201" s="30"/>
      <c r="BZ201" s="31">
        <f t="shared" si="37"/>
        <v>272</v>
      </c>
      <c r="CA201" s="31">
        <f t="shared" si="42"/>
        <v>416</v>
      </c>
    </row>
    <row r="202" spans="1:79" ht="25.5" x14ac:dyDescent="0.25">
      <c r="A202" s="17"/>
      <c r="B202" s="2">
        <v>196</v>
      </c>
      <c r="C202" s="18">
        <v>114</v>
      </c>
      <c r="D202" s="18">
        <v>18</v>
      </c>
      <c r="E202" s="19">
        <v>0.7270833333333333</v>
      </c>
      <c r="F202" s="19">
        <v>0.74791666666666667</v>
      </c>
      <c r="G202" s="18" t="s">
        <v>648</v>
      </c>
      <c r="H202" s="18" t="s">
        <v>316</v>
      </c>
      <c r="I202" s="20">
        <v>8</v>
      </c>
      <c r="J202" s="21" t="s">
        <v>571</v>
      </c>
      <c r="K202" s="22">
        <v>67</v>
      </c>
      <c r="L202" s="23">
        <f t="shared" si="38"/>
        <v>536</v>
      </c>
      <c r="M202" s="24" t="s">
        <v>478</v>
      </c>
      <c r="N202" s="25" t="s">
        <v>572</v>
      </c>
      <c r="O202" s="25">
        <v>21</v>
      </c>
      <c r="P202" s="25" t="s">
        <v>573</v>
      </c>
      <c r="Q202" s="25">
        <v>21</v>
      </c>
      <c r="R202" s="17"/>
      <c r="S202" s="25"/>
      <c r="T202" s="26">
        <v>1127</v>
      </c>
      <c r="U202" s="26" t="s">
        <v>576</v>
      </c>
      <c r="V202" s="26">
        <v>1135</v>
      </c>
      <c r="W202" s="26" t="s">
        <v>649</v>
      </c>
      <c r="X202" s="27">
        <v>44562</v>
      </c>
      <c r="Y202" s="27">
        <v>44815</v>
      </c>
      <c r="Z202" s="27">
        <v>45101</v>
      </c>
      <c r="AA202" s="27">
        <v>45169</v>
      </c>
      <c r="AB202" s="28" t="s">
        <v>89</v>
      </c>
      <c r="AC202" s="28"/>
      <c r="AD202" s="28"/>
      <c r="AE202" s="28" t="s">
        <v>90</v>
      </c>
      <c r="AF202" s="28" t="s">
        <v>90</v>
      </c>
      <c r="AG202" s="28"/>
      <c r="AH202" s="28" t="s">
        <v>90</v>
      </c>
      <c r="AI202" s="28" t="s">
        <v>90</v>
      </c>
      <c r="AJ202" s="28" t="s">
        <v>90</v>
      </c>
      <c r="AK202" s="28" t="s">
        <v>90</v>
      </c>
      <c r="AL202" s="28" t="s">
        <v>90</v>
      </c>
      <c r="AM202" s="28" t="s">
        <v>90</v>
      </c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9">
        <v>15.2</v>
      </c>
      <c r="AY202" s="31"/>
      <c r="AZ202" s="30"/>
      <c r="BA202" s="29"/>
      <c r="BB202" s="29"/>
      <c r="BC202" s="30"/>
      <c r="BD202" s="31">
        <f t="shared" si="39"/>
        <v>1018.4</v>
      </c>
      <c r="BE202" s="31"/>
      <c r="BF202" s="30"/>
      <c r="BG202" s="36">
        <v>1</v>
      </c>
      <c r="BH202" s="31">
        <f t="shared" si="34"/>
        <v>0.80000000000000071</v>
      </c>
      <c r="BI202" s="31">
        <f t="shared" si="35"/>
        <v>0</v>
      </c>
      <c r="BJ202" s="31">
        <f t="shared" si="36"/>
        <v>53.600000000000051</v>
      </c>
      <c r="BK202" s="30"/>
      <c r="BL202" s="30"/>
      <c r="BM202" s="30"/>
      <c r="BN202" s="30"/>
      <c r="BO202" s="33">
        <f t="shared" si="40"/>
        <v>0</v>
      </c>
      <c r="BP202" s="30">
        <v>9</v>
      </c>
      <c r="BQ202" s="30">
        <v>0</v>
      </c>
      <c r="BR202" s="30"/>
      <c r="BS202" s="30"/>
      <c r="BT202" s="34">
        <f t="shared" si="41"/>
        <v>16</v>
      </c>
      <c r="BU202" s="34"/>
      <c r="BV202" s="34"/>
      <c r="BW202" s="34"/>
      <c r="BX202" s="34"/>
      <c r="BY202" s="30"/>
      <c r="BZ202" s="31">
        <f t="shared" si="37"/>
        <v>144</v>
      </c>
      <c r="CA202" s="31">
        <f t="shared" si="42"/>
        <v>0</v>
      </c>
    </row>
    <row r="203" spans="1:79" ht="38.25" x14ac:dyDescent="0.25">
      <c r="A203" s="17"/>
      <c r="B203" s="2">
        <v>197</v>
      </c>
      <c r="C203" s="18">
        <v>114</v>
      </c>
      <c r="D203" s="18">
        <v>17</v>
      </c>
      <c r="E203" s="19">
        <v>0.75</v>
      </c>
      <c r="F203" s="19">
        <v>0.76041666666666663</v>
      </c>
      <c r="G203" s="18" t="s">
        <v>650</v>
      </c>
      <c r="H203" s="18" t="s">
        <v>422</v>
      </c>
      <c r="I203" s="20">
        <v>8</v>
      </c>
      <c r="J203" s="21" t="s">
        <v>571</v>
      </c>
      <c r="K203" s="22">
        <v>240</v>
      </c>
      <c r="L203" s="23">
        <f t="shared" si="38"/>
        <v>1920</v>
      </c>
      <c r="M203" s="24" t="s">
        <v>478</v>
      </c>
      <c r="N203" s="25" t="s">
        <v>572</v>
      </c>
      <c r="O203" s="25">
        <v>21</v>
      </c>
      <c r="P203" s="25" t="s">
        <v>573</v>
      </c>
      <c r="Q203" s="25">
        <v>21</v>
      </c>
      <c r="R203" s="17"/>
      <c r="S203" s="25"/>
      <c r="T203" s="26">
        <v>1135</v>
      </c>
      <c r="U203" s="26" t="s">
        <v>649</v>
      </c>
      <c r="V203" s="26">
        <v>1127</v>
      </c>
      <c r="W203" s="26" t="s">
        <v>576</v>
      </c>
      <c r="X203" s="27">
        <v>44816</v>
      </c>
      <c r="Y203" s="27">
        <v>45100</v>
      </c>
      <c r="Z203" s="27"/>
      <c r="AA203" s="27"/>
      <c r="AB203" s="26" t="s">
        <v>423</v>
      </c>
      <c r="AC203" s="26"/>
      <c r="AD203" s="28" t="s">
        <v>90</v>
      </c>
      <c r="AE203" s="28"/>
      <c r="AF203" s="28" t="s">
        <v>90</v>
      </c>
      <c r="AG203" s="28"/>
      <c r="AH203" s="28" t="s">
        <v>90</v>
      </c>
      <c r="AI203" s="28" t="s">
        <v>90</v>
      </c>
      <c r="AJ203" s="28" t="s">
        <v>90</v>
      </c>
      <c r="AK203" s="28" t="s">
        <v>90</v>
      </c>
      <c r="AL203" s="28" t="s">
        <v>90</v>
      </c>
      <c r="AM203" s="28" t="s">
        <v>90</v>
      </c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9">
        <v>15.2</v>
      </c>
      <c r="AY203" s="31"/>
      <c r="AZ203" s="30"/>
      <c r="BA203" s="29"/>
      <c r="BB203" s="29"/>
      <c r="BC203" s="30"/>
      <c r="BD203" s="31">
        <f t="shared" si="39"/>
        <v>3648</v>
      </c>
      <c r="BE203" s="31"/>
      <c r="BF203" s="30"/>
      <c r="BG203" s="36">
        <v>1</v>
      </c>
      <c r="BH203" s="31">
        <f t="shared" si="34"/>
        <v>0.80000000000000071</v>
      </c>
      <c r="BI203" s="31">
        <f t="shared" si="35"/>
        <v>0</v>
      </c>
      <c r="BJ203" s="31">
        <f t="shared" si="36"/>
        <v>192.00000000000017</v>
      </c>
      <c r="BK203" s="30"/>
      <c r="BL203" s="30"/>
      <c r="BM203" s="30"/>
      <c r="BN203" s="30"/>
      <c r="BO203" s="33">
        <f t="shared" si="40"/>
        <v>0</v>
      </c>
      <c r="BP203" s="30">
        <v>17</v>
      </c>
      <c r="BQ203" s="30">
        <v>26</v>
      </c>
      <c r="BR203" s="30"/>
      <c r="BS203" s="30"/>
      <c r="BT203" s="34">
        <f t="shared" si="41"/>
        <v>16</v>
      </c>
      <c r="BU203" s="34"/>
      <c r="BV203" s="34"/>
      <c r="BW203" s="34"/>
      <c r="BX203" s="34"/>
      <c r="BY203" s="30"/>
      <c r="BZ203" s="31">
        <f t="shared" si="37"/>
        <v>272</v>
      </c>
      <c r="CA203" s="31">
        <f t="shared" si="42"/>
        <v>416</v>
      </c>
    </row>
    <row r="204" spans="1:79" ht="25.5" x14ac:dyDescent="0.25">
      <c r="A204" s="17"/>
      <c r="B204" s="2">
        <v>198</v>
      </c>
      <c r="C204" s="18">
        <v>114</v>
      </c>
      <c r="D204" s="18">
        <v>17</v>
      </c>
      <c r="E204" s="19">
        <v>0.75</v>
      </c>
      <c r="F204" s="59">
        <v>0.76041666666666663</v>
      </c>
      <c r="G204" s="18" t="s">
        <v>650</v>
      </c>
      <c r="H204" s="18" t="s">
        <v>316</v>
      </c>
      <c r="I204" s="20">
        <v>8</v>
      </c>
      <c r="J204" s="21" t="s">
        <v>571</v>
      </c>
      <c r="K204" s="22">
        <v>67</v>
      </c>
      <c r="L204" s="23">
        <f t="shared" si="38"/>
        <v>536</v>
      </c>
      <c r="M204" s="24" t="s">
        <v>478</v>
      </c>
      <c r="N204" s="25" t="s">
        <v>572</v>
      </c>
      <c r="O204" s="25">
        <v>21</v>
      </c>
      <c r="P204" s="25" t="s">
        <v>573</v>
      </c>
      <c r="Q204" s="25">
        <v>21</v>
      </c>
      <c r="R204" s="17"/>
      <c r="S204" s="25"/>
      <c r="T204" s="26">
        <v>1135</v>
      </c>
      <c r="U204" s="26" t="s">
        <v>649</v>
      </c>
      <c r="V204" s="26">
        <v>1127</v>
      </c>
      <c r="W204" s="26" t="s">
        <v>576</v>
      </c>
      <c r="X204" s="27">
        <v>44562</v>
      </c>
      <c r="Y204" s="27">
        <v>44815</v>
      </c>
      <c r="Z204" s="27">
        <v>45101</v>
      </c>
      <c r="AA204" s="27">
        <v>45169</v>
      </c>
      <c r="AB204" s="28" t="s">
        <v>89</v>
      </c>
      <c r="AC204" s="28"/>
      <c r="AD204" s="28"/>
      <c r="AE204" s="28" t="s">
        <v>90</v>
      </c>
      <c r="AF204" s="28" t="s">
        <v>90</v>
      </c>
      <c r="AG204" s="28"/>
      <c r="AH204" s="28" t="s">
        <v>90</v>
      </c>
      <c r="AI204" s="28" t="s">
        <v>90</v>
      </c>
      <c r="AJ204" s="28" t="s">
        <v>90</v>
      </c>
      <c r="AK204" s="28" t="s">
        <v>90</v>
      </c>
      <c r="AL204" s="28" t="s">
        <v>90</v>
      </c>
      <c r="AM204" s="28" t="s">
        <v>90</v>
      </c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9">
        <v>15.2</v>
      </c>
      <c r="AY204" s="31"/>
      <c r="AZ204" s="30"/>
      <c r="BA204" s="29"/>
      <c r="BB204" s="29"/>
      <c r="BC204" s="30"/>
      <c r="BD204" s="31">
        <f t="shared" si="39"/>
        <v>1018.4</v>
      </c>
      <c r="BE204" s="31"/>
      <c r="BF204" s="30"/>
      <c r="BG204" s="36">
        <v>1</v>
      </c>
      <c r="BH204" s="31">
        <f t="shared" si="34"/>
        <v>0.80000000000000071</v>
      </c>
      <c r="BI204" s="31">
        <f t="shared" si="35"/>
        <v>0</v>
      </c>
      <c r="BJ204" s="31">
        <f t="shared" si="36"/>
        <v>53.600000000000051</v>
      </c>
      <c r="BK204" s="30"/>
      <c r="BL204" s="30"/>
      <c r="BM204" s="30"/>
      <c r="BN204" s="30"/>
      <c r="BO204" s="33">
        <f t="shared" si="40"/>
        <v>0</v>
      </c>
      <c r="BP204" s="30">
        <v>9</v>
      </c>
      <c r="BQ204" s="30">
        <v>0</v>
      </c>
      <c r="BR204" s="30"/>
      <c r="BS204" s="30"/>
      <c r="BT204" s="34">
        <f t="shared" si="41"/>
        <v>16</v>
      </c>
      <c r="BU204" s="34"/>
      <c r="BV204" s="34"/>
      <c r="BW204" s="34"/>
      <c r="BX204" s="34"/>
      <c r="BY204" s="30"/>
      <c r="BZ204" s="31">
        <f t="shared" si="37"/>
        <v>144</v>
      </c>
      <c r="CA204" s="31">
        <f t="shared" si="42"/>
        <v>0</v>
      </c>
    </row>
    <row r="205" spans="1:79" ht="90" x14ac:dyDescent="0.25">
      <c r="A205" s="17"/>
      <c r="B205" s="2">
        <v>199</v>
      </c>
      <c r="C205" s="18">
        <v>115</v>
      </c>
      <c r="D205" s="18">
        <v>381</v>
      </c>
      <c r="E205" s="19">
        <v>0.28819444444444448</v>
      </c>
      <c r="F205" s="19">
        <v>0.30902777777777779</v>
      </c>
      <c r="G205" s="51" t="s">
        <v>654</v>
      </c>
      <c r="H205" s="18" t="s">
        <v>306</v>
      </c>
      <c r="I205" s="20">
        <v>15</v>
      </c>
      <c r="J205" s="21" t="s">
        <v>81</v>
      </c>
      <c r="K205" s="22">
        <v>208</v>
      </c>
      <c r="L205" s="23">
        <f t="shared" si="38"/>
        <v>3120</v>
      </c>
      <c r="M205" s="24" t="s">
        <v>105</v>
      </c>
      <c r="N205" s="25" t="s">
        <v>565</v>
      </c>
      <c r="O205" s="25">
        <v>30</v>
      </c>
      <c r="P205" s="25" t="s">
        <v>566</v>
      </c>
      <c r="Q205" s="25">
        <v>20</v>
      </c>
      <c r="R205" s="25" t="s">
        <v>107</v>
      </c>
      <c r="S205" s="25">
        <v>23</v>
      </c>
      <c r="T205" s="26">
        <v>1111</v>
      </c>
      <c r="U205" s="26" t="s">
        <v>567</v>
      </c>
      <c r="V205" s="26" t="s">
        <v>655</v>
      </c>
      <c r="W205" s="26" t="s">
        <v>656</v>
      </c>
      <c r="X205" s="66">
        <v>44816</v>
      </c>
      <c r="Y205" s="66">
        <v>45086</v>
      </c>
      <c r="Z205" s="66"/>
      <c r="AA205" s="66"/>
      <c r="AB205" s="26" t="s">
        <v>309</v>
      </c>
      <c r="AC205" s="26"/>
      <c r="AD205" s="28"/>
      <c r="AE205" s="28"/>
      <c r="AF205" s="28"/>
      <c r="AG205" s="28" t="s">
        <v>90</v>
      </c>
      <c r="AH205" s="28" t="s">
        <v>90</v>
      </c>
      <c r="AI205" s="28" t="s">
        <v>90</v>
      </c>
      <c r="AJ205" s="28" t="s">
        <v>90</v>
      </c>
      <c r="AK205" s="28" t="s">
        <v>90</v>
      </c>
      <c r="AL205" s="28" t="s">
        <v>90</v>
      </c>
      <c r="AM205" s="28" t="s">
        <v>90</v>
      </c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9">
        <v>104.8</v>
      </c>
      <c r="AY205" s="31"/>
      <c r="AZ205" s="30"/>
      <c r="BA205" s="29"/>
      <c r="BB205" s="29"/>
      <c r="BC205" s="30"/>
      <c r="BD205" s="31">
        <f t="shared" si="39"/>
        <v>21798.399999999998</v>
      </c>
      <c r="BE205" s="31"/>
      <c r="BF205" s="30"/>
      <c r="BG205" s="32">
        <v>2</v>
      </c>
      <c r="BH205" s="31">
        <f t="shared" si="34"/>
        <v>0</v>
      </c>
      <c r="BI205" s="31">
        <f t="shared" si="35"/>
        <v>0</v>
      </c>
      <c r="BJ205" s="33">
        <f t="shared" si="36"/>
        <v>0</v>
      </c>
      <c r="BK205" s="30"/>
      <c r="BL205" s="30"/>
      <c r="BM205" s="30"/>
      <c r="BN205" s="31">
        <f>IF((AX205+AY205+AZ205)&lt;20,(20-(AX205+AY205+AZ205)),0)</f>
        <v>0</v>
      </c>
      <c r="BO205" s="33">
        <f t="shared" si="40"/>
        <v>0</v>
      </c>
      <c r="BP205" s="30">
        <v>17</v>
      </c>
      <c r="BQ205" s="30">
        <v>25</v>
      </c>
      <c r="BR205" s="30"/>
      <c r="BS205" s="30"/>
      <c r="BT205" s="34">
        <f t="shared" si="41"/>
        <v>104.8</v>
      </c>
      <c r="BU205" s="34"/>
      <c r="BV205" s="34"/>
      <c r="BW205" s="34"/>
      <c r="BX205" s="34"/>
      <c r="BY205" s="30"/>
      <c r="BZ205" s="31">
        <f t="shared" si="37"/>
        <v>1781.6</v>
      </c>
      <c r="CA205" s="31">
        <f t="shared" si="42"/>
        <v>2620</v>
      </c>
    </row>
    <row r="206" spans="1:79" ht="90" x14ac:dyDescent="0.25">
      <c r="A206" s="17"/>
      <c r="B206" s="2">
        <v>200</v>
      </c>
      <c r="C206" s="18">
        <v>115</v>
      </c>
      <c r="D206" s="18">
        <v>436</v>
      </c>
      <c r="E206" s="59">
        <v>0.2951388888888889</v>
      </c>
      <c r="F206" s="19">
        <v>0.31111111111111112</v>
      </c>
      <c r="G206" s="51" t="s">
        <v>657</v>
      </c>
      <c r="H206" s="18" t="s">
        <v>273</v>
      </c>
      <c r="I206" s="20">
        <v>7</v>
      </c>
      <c r="J206" s="21">
        <v>29</v>
      </c>
      <c r="K206" s="22">
        <v>174</v>
      </c>
      <c r="L206" s="23">
        <f t="shared" si="38"/>
        <v>1218</v>
      </c>
      <c r="M206" s="24" t="s">
        <v>105</v>
      </c>
      <c r="N206" s="25" t="s">
        <v>106</v>
      </c>
      <c r="O206" s="25">
        <v>35</v>
      </c>
      <c r="P206" s="25" t="s">
        <v>566</v>
      </c>
      <c r="Q206" s="25">
        <v>20</v>
      </c>
      <c r="R206" s="25" t="s">
        <v>107</v>
      </c>
      <c r="S206" s="25">
        <v>23</v>
      </c>
      <c r="T206" s="26" t="s">
        <v>658</v>
      </c>
      <c r="U206" s="26" t="s">
        <v>659</v>
      </c>
      <c r="V206" s="26" t="s">
        <v>660</v>
      </c>
      <c r="W206" s="26" t="s">
        <v>661</v>
      </c>
      <c r="X206" s="66">
        <v>44816</v>
      </c>
      <c r="Y206" s="66">
        <v>45086</v>
      </c>
      <c r="Z206" s="66"/>
      <c r="AA206" s="66"/>
      <c r="AB206" s="26" t="s">
        <v>282</v>
      </c>
      <c r="AC206" s="26"/>
      <c r="AD206" s="28"/>
      <c r="AE206" s="28"/>
      <c r="AF206" s="28"/>
      <c r="AG206" s="28" t="s">
        <v>90</v>
      </c>
      <c r="AH206" s="28" t="s">
        <v>90</v>
      </c>
      <c r="AI206" s="28" t="s">
        <v>90</v>
      </c>
      <c r="AJ206" s="28" t="s">
        <v>90</v>
      </c>
      <c r="AK206" s="28" t="s">
        <v>90</v>
      </c>
      <c r="AL206" s="28" t="s">
        <v>90</v>
      </c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9">
        <f>30+27.13</f>
        <v>57.129999999999995</v>
      </c>
      <c r="AY206" s="31"/>
      <c r="AZ206" s="30"/>
      <c r="BA206" s="29"/>
      <c r="BB206" s="29"/>
      <c r="BC206" s="30"/>
      <c r="BD206" s="31">
        <f t="shared" si="39"/>
        <v>9940.619999999999</v>
      </c>
      <c r="BE206" s="31"/>
      <c r="BF206" s="30"/>
      <c r="BG206" s="36">
        <v>1</v>
      </c>
      <c r="BH206" s="31">
        <f t="shared" si="34"/>
        <v>0</v>
      </c>
      <c r="BI206" s="31">
        <f t="shared" si="35"/>
        <v>0</v>
      </c>
      <c r="BJ206" s="33">
        <f t="shared" si="36"/>
        <v>0</v>
      </c>
      <c r="BK206" s="30"/>
      <c r="BL206" s="30"/>
      <c r="BM206" s="30"/>
      <c r="BN206" s="30"/>
      <c r="BO206" s="33">
        <f t="shared" si="40"/>
        <v>0</v>
      </c>
      <c r="BP206" s="30">
        <v>15</v>
      </c>
      <c r="BQ206" s="30">
        <v>20</v>
      </c>
      <c r="BR206" s="30"/>
      <c r="BS206" s="30"/>
      <c r="BT206" s="34">
        <f t="shared" si="41"/>
        <v>57.129999999999995</v>
      </c>
      <c r="BU206" s="34"/>
      <c r="BV206" s="34"/>
      <c r="BW206" s="34"/>
      <c r="BX206" s="34"/>
      <c r="BY206" s="30"/>
      <c r="BZ206" s="31">
        <f t="shared" si="37"/>
        <v>856.94999999999993</v>
      </c>
      <c r="CA206" s="31">
        <f t="shared" si="42"/>
        <v>1142.5999999999999</v>
      </c>
    </row>
    <row r="207" spans="1:79" ht="90" x14ac:dyDescent="0.25">
      <c r="A207" s="17"/>
      <c r="B207" s="2">
        <v>201</v>
      </c>
      <c r="C207" s="48">
        <v>115</v>
      </c>
      <c r="D207" s="48">
        <v>434</v>
      </c>
      <c r="E207" s="49">
        <v>0.35625000000000001</v>
      </c>
      <c r="F207" s="49">
        <v>0.37291666666666662</v>
      </c>
      <c r="G207" s="51" t="s">
        <v>662</v>
      </c>
      <c r="H207" s="18" t="s">
        <v>422</v>
      </c>
      <c r="I207" s="48">
        <v>9</v>
      </c>
      <c r="J207" s="52">
        <v>19</v>
      </c>
      <c r="K207" s="22">
        <v>240</v>
      </c>
      <c r="L207" s="23">
        <f t="shared" si="38"/>
        <v>2160</v>
      </c>
      <c r="M207" s="24" t="s">
        <v>105</v>
      </c>
      <c r="N207" s="25" t="s">
        <v>106</v>
      </c>
      <c r="O207" s="25">
        <v>35</v>
      </c>
      <c r="P207" s="25" t="s">
        <v>566</v>
      </c>
      <c r="Q207" s="25">
        <v>20</v>
      </c>
      <c r="R207" s="25" t="s">
        <v>107</v>
      </c>
      <c r="S207" s="25">
        <v>23</v>
      </c>
      <c r="T207" s="26" t="s">
        <v>663</v>
      </c>
      <c r="U207" s="26" t="s">
        <v>664</v>
      </c>
      <c r="V207" s="26" t="s">
        <v>665</v>
      </c>
      <c r="W207" s="26" t="s">
        <v>666</v>
      </c>
      <c r="X207" s="27">
        <v>44816</v>
      </c>
      <c r="Y207" s="27">
        <v>45100</v>
      </c>
      <c r="Z207" s="27"/>
      <c r="AA207" s="27"/>
      <c r="AB207" s="26" t="s">
        <v>423</v>
      </c>
      <c r="AC207" s="26"/>
      <c r="AD207" s="26" t="s">
        <v>90</v>
      </c>
      <c r="AE207" s="26"/>
      <c r="AF207" s="26" t="s">
        <v>90</v>
      </c>
      <c r="AG207" s="26"/>
      <c r="AH207" s="26" t="s">
        <v>90</v>
      </c>
      <c r="AI207" s="26" t="s">
        <v>90</v>
      </c>
      <c r="AJ207" s="26" t="s">
        <v>90</v>
      </c>
      <c r="AK207" s="26" t="s">
        <v>90</v>
      </c>
      <c r="AL207" s="26" t="s">
        <v>90</v>
      </c>
      <c r="AM207" s="26" t="s">
        <v>90</v>
      </c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30"/>
      <c r="AY207" s="31">
        <f>2.2*9</f>
        <v>19.8</v>
      </c>
      <c r="AZ207" s="30"/>
      <c r="BA207" s="42"/>
      <c r="BB207" s="42"/>
      <c r="BC207" s="30"/>
      <c r="BD207" s="31">
        <f t="shared" si="39"/>
        <v>0</v>
      </c>
      <c r="BE207" s="31">
        <f>AY207*K207</f>
        <v>4752</v>
      </c>
      <c r="BF207" s="30"/>
      <c r="BG207" s="36">
        <v>1</v>
      </c>
      <c r="BH207" s="30"/>
      <c r="BI207" s="31"/>
      <c r="BJ207" s="30"/>
      <c r="BK207" s="31">
        <f>IF(AND((AY207/I207)&lt;2,BG207=1),(I207*2)-AY207,0)</f>
        <v>0</v>
      </c>
      <c r="BL207" s="31">
        <f>IF(AND((AY207/I207)&lt;3,BG207=2),(I207*3)-AY207,0)</f>
        <v>0</v>
      </c>
      <c r="BM207" s="33">
        <f>(BK207+BL207)*K207</f>
        <v>0</v>
      </c>
      <c r="BN207" s="30"/>
      <c r="BO207" s="33">
        <f t="shared" si="40"/>
        <v>0</v>
      </c>
      <c r="BP207" s="30">
        <v>17</v>
      </c>
      <c r="BQ207" s="30">
        <v>26</v>
      </c>
      <c r="BR207" s="30"/>
      <c r="BS207" s="30"/>
      <c r="BT207" s="34">
        <f t="shared" si="41"/>
        <v>19.8</v>
      </c>
      <c r="BU207" s="34"/>
      <c r="BV207" s="34"/>
      <c r="BW207" s="34"/>
      <c r="BX207" s="34"/>
      <c r="BY207" s="30"/>
      <c r="BZ207" s="31">
        <f t="shared" si="37"/>
        <v>336.6</v>
      </c>
      <c r="CA207" s="31">
        <f t="shared" si="42"/>
        <v>514.80000000000007</v>
      </c>
    </row>
    <row r="208" spans="1:79" ht="90.75" x14ac:dyDescent="0.25">
      <c r="A208" s="17"/>
      <c r="B208" s="2">
        <v>202</v>
      </c>
      <c r="C208" s="48">
        <v>115</v>
      </c>
      <c r="D208" s="48">
        <v>431</v>
      </c>
      <c r="E208" s="49">
        <v>0.47222222222222227</v>
      </c>
      <c r="F208" s="50">
        <v>0.50347222222222221</v>
      </c>
      <c r="G208" s="51" t="s">
        <v>667</v>
      </c>
      <c r="H208" s="18" t="s">
        <v>422</v>
      </c>
      <c r="I208" s="48">
        <f>8+11</f>
        <v>19</v>
      </c>
      <c r="J208" s="52">
        <v>19</v>
      </c>
      <c r="K208" s="22">
        <v>240</v>
      </c>
      <c r="L208" s="23">
        <f t="shared" si="38"/>
        <v>4560</v>
      </c>
      <c r="M208" s="24" t="s">
        <v>589</v>
      </c>
      <c r="N208" s="25" t="s">
        <v>590</v>
      </c>
      <c r="O208" s="25">
        <v>21</v>
      </c>
      <c r="P208" s="25" t="s">
        <v>591</v>
      </c>
      <c r="Q208" s="25">
        <v>23</v>
      </c>
      <c r="R208" s="17"/>
      <c r="S208" s="25"/>
      <c r="T208" s="26" t="s">
        <v>655</v>
      </c>
      <c r="U208" s="26" t="s">
        <v>656</v>
      </c>
      <c r="V208" s="26">
        <v>1106</v>
      </c>
      <c r="W208" s="26" t="s">
        <v>110</v>
      </c>
      <c r="X208" s="27">
        <v>44816</v>
      </c>
      <c r="Y208" s="27">
        <v>45100</v>
      </c>
      <c r="Z208" s="27"/>
      <c r="AA208" s="27"/>
      <c r="AB208" s="26" t="s">
        <v>423</v>
      </c>
      <c r="AC208" s="26"/>
      <c r="AD208" s="28" t="s">
        <v>90</v>
      </c>
      <c r="AE208" s="28"/>
      <c r="AF208" s="28" t="s">
        <v>90</v>
      </c>
      <c r="AG208" s="28"/>
      <c r="AH208" s="28" t="s">
        <v>90</v>
      </c>
      <c r="AI208" s="28" t="s">
        <v>90</v>
      </c>
      <c r="AJ208" s="28" t="s">
        <v>90</v>
      </c>
      <c r="AK208" s="28" t="s">
        <v>90</v>
      </c>
      <c r="AL208" s="28" t="s">
        <v>90</v>
      </c>
      <c r="AM208" s="28" t="s">
        <v>90</v>
      </c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31"/>
      <c r="AY208" s="31"/>
      <c r="AZ208" s="30"/>
      <c r="BA208" s="55" t="s">
        <v>589</v>
      </c>
      <c r="BB208" s="55"/>
      <c r="BC208" s="30"/>
      <c r="BD208" s="31">
        <f t="shared" si="39"/>
        <v>0</v>
      </c>
      <c r="BE208" s="30"/>
      <c r="BF208" s="30"/>
      <c r="BG208" s="36">
        <v>1</v>
      </c>
      <c r="BH208" s="30"/>
      <c r="BI208" s="31"/>
      <c r="BJ208" s="30"/>
      <c r="BK208" s="30"/>
      <c r="BL208" s="30"/>
      <c r="BM208" s="30"/>
      <c r="BN208" s="30"/>
      <c r="BO208" s="33">
        <f t="shared" si="40"/>
        <v>0</v>
      </c>
      <c r="BP208" s="30">
        <v>17</v>
      </c>
      <c r="BQ208" s="30">
        <v>26</v>
      </c>
      <c r="BR208" s="30"/>
      <c r="BS208" s="30"/>
      <c r="BT208" s="34">
        <f t="shared" si="41"/>
        <v>0</v>
      </c>
      <c r="BU208" s="34"/>
      <c r="BV208" s="34"/>
      <c r="BW208" s="34"/>
      <c r="BX208" s="34"/>
      <c r="BY208" s="30"/>
      <c r="BZ208" s="31">
        <f t="shared" si="37"/>
        <v>0</v>
      </c>
      <c r="CA208" s="31">
        <f t="shared" si="42"/>
        <v>0</v>
      </c>
    </row>
    <row r="209" spans="1:79" ht="90" x14ac:dyDescent="0.25">
      <c r="A209" s="17"/>
      <c r="B209" s="2">
        <v>203</v>
      </c>
      <c r="C209" s="18">
        <v>115</v>
      </c>
      <c r="D209" s="18">
        <v>489</v>
      </c>
      <c r="E209" s="19">
        <v>0.52222222222222225</v>
      </c>
      <c r="F209" s="19">
        <v>0.53263888888888888</v>
      </c>
      <c r="G209" s="51" t="s">
        <v>668</v>
      </c>
      <c r="H209" s="18" t="s">
        <v>383</v>
      </c>
      <c r="I209" s="20">
        <v>7</v>
      </c>
      <c r="J209" s="21" t="s">
        <v>81</v>
      </c>
      <c r="K209" s="22">
        <v>34</v>
      </c>
      <c r="L209" s="23">
        <f t="shared" si="38"/>
        <v>238</v>
      </c>
      <c r="M209" s="24" t="s">
        <v>105</v>
      </c>
      <c r="N209" s="25" t="s">
        <v>669</v>
      </c>
      <c r="O209" s="25" t="s">
        <v>670</v>
      </c>
      <c r="P209" s="25" t="s">
        <v>106</v>
      </c>
      <c r="Q209" s="25">
        <v>35</v>
      </c>
      <c r="R209" s="25" t="s">
        <v>107</v>
      </c>
      <c r="S209" s="25">
        <v>23</v>
      </c>
      <c r="T209" s="26" t="s">
        <v>655</v>
      </c>
      <c r="U209" s="26" t="s">
        <v>656</v>
      </c>
      <c r="V209" s="26">
        <v>1100</v>
      </c>
      <c r="W209" s="26" t="s">
        <v>109</v>
      </c>
      <c r="X209" s="66">
        <v>44816</v>
      </c>
      <c r="Y209" s="66">
        <v>45086</v>
      </c>
      <c r="Z209" s="66"/>
      <c r="AA209" s="66"/>
      <c r="AB209" s="28" t="s">
        <v>382</v>
      </c>
      <c r="AC209" s="28"/>
      <c r="AD209" s="28"/>
      <c r="AE209" s="28"/>
      <c r="AF209" s="28"/>
      <c r="AG209" s="28" t="s">
        <v>90</v>
      </c>
      <c r="AH209" s="28"/>
      <c r="AI209" s="28"/>
      <c r="AJ209" s="28"/>
      <c r="AK209" s="28"/>
      <c r="AL209" s="28"/>
      <c r="AM209" s="28" t="s">
        <v>90</v>
      </c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9">
        <v>64.010000000000005</v>
      </c>
      <c r="AY209" s="31"/>
      <c r="AZ209" s="30"/>
      <c r="BA209" s="29"/>
      <c r="BB209" s="29"/>
      <c r="BC209" s="30"/>
      <c r="BD209" s="31">
        <f t="shared" si="39"/>
        <v>2176.34</v>
      </c>
      <c r="BE209" s="31"/>
      <c r="BF209" s="30"/>
      <c r="BG209" s="32">
        <v>2</v>
      </c>
      <c r="BH209" s="31">
        <f>IF(AND((AX209/I209)&lt;2,BG209=1),(I209*2)-AX209,0)</f>
        <v>0</v>
      </c>
      <c r="BI209" s="31">
        <f>IF(AND((AX209/I209)&lt;3,BG209=2),(I209*3)-AX209,0)</f>
        <v>0</v>
      </c>
      <c r="BJ209" s="33">
        <f>(BH209+BI209)*K209</f>
        <v>0</v>
      </c>
      <c r="BK209" s="30"/>
      <c r="BL209" s="30"/>
      <c r="BM209" s="30"/>
      <c r="BN209" s="30"/>
      <c r="BO209" s="33">
        <f t="shared" si="40"/>
        <v>0</v>
      </c>
      <c r="BP209" s="30">
        <v>2</v>
      </c>
      <c r="BQ209" s="30">
        <v>5</v>
      </c>
      <c r="BR209" s="30"/>
      <c r="BS209" s="30"/>
      <c r="BT209" s="34">
        <f t="shared" si="41"/>
        <v>64.010000000000005</v>
      </c>
      <c r="BU209" s="34"/>
      <c r="BV209" s="34"/>
      <c r="BW209" s="34"/>
      <c r="BX209" s="34"/>
      <c r="BY209" s="30"/>
      <c r="BZ209" s="31">
        <f t="shared" si="37"/>
        <v>128.02000000000001</v>
      </c>
      <c r="CA209" s="31">
        <f t="shared" si="42"/>
        <v>320.05</v>
      </c>
    </row>
    <row r="210" spans="1:79" ht="90" x14ac:dyDescent="0.25">
      <c r="A210" s="17"/>
      <c r="B210" s="2">
        <v>204</v>
      </c>
      <c r="C210" s="18">
        <v>115</v>
      </c>
      <c r="D210" s="18">
        <v>435</v>
      </c>
      <c r="E210" s="19">
        <v>0.55555555555555558</v>
      </c>
      <c r="F210" s="19">
        <v>0.56597222222222221</v>
      </c>
      <c r="G210" s="51" t="s">
        <v>668</v>
      </c>
      <c r="H210" s="18" t="s">
        <v>273</v>
      </c>
      <c r="I210" s="20">
        <v>7</v>
      </c>
      <c r="J210" s="21" t="s">
        <v>81</v>
      </c>
      <c r="K210" s="22">
        <v>174</v>
      </c>
      <c r="L210" s="23">
        <f t="shared" si="38"/>
        <v>1218</v>
      </c>
      <c r="M210" s="24" t="s">
        <v>105</v>
      </c>
      <c r="N210" s="25" t="s">
        <v>669</v>
      </c>
      <c r="O210" s="25" t="s">
        <v>670</v>
      </c>
      <c r="P210" s="25" t="s">
        <v>106</v>
      </c>
      <c r="Q210" s="25">
        <v>35</v>
      </c>
      <c r="R210" s="25" t="s">
        <v>107</v>
      </c>
      <c r="S210" s="25">
        <v>23</v>
      </c>
      <c r="T210" s="26" t="s">
        <v>655</v>
      </c>
      <c r="U210" s="26" t="s">
        <v>656</v>
      </c>
      <c r="V210" s="26">
        <v>1100</v>
      </c>
      <c r="W210" s="26" t="s">
        <v>109</v>
      </c>
      <c r="X210" s="66">
        <v>44816</v>
      </c>
      <c r="Y210" s="66">
        <v>45086</v>
      </c>
      <c r="Z210" s="66"/>
      <c r="AA210" s="66"/>
      <c r="AB210" s="26" t="s">
        <v>282</v>
      </c>
      <c r="AC210" s="26"/>
      <c r="AD210" s="28"/>
      <c r="AE210" s="28"/>
      <c r="AF210" s="28"/>
      <c r="AG210" s="28" t="s">
        <v>90</v>
      </c>
      <c r="AH210" s="28" t="s">
        <v>90</v>
      </c>
      <c r="AI210" s="28" t="s">
        <v>90</v>
      </c>
      <c r="AJ210" s="28" t="s">
        <v>90</v>
      </c>
      <c r="AK210" s="28" t="s">
        <v>90</v>
      </c>
      <c r="AL210" s="28" t="s">
        <v>90</v>
      </c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9">
        <v>64.010000000000005</v>
      </c>
      <c r="AY210" s="31"/>
      <c r="AZ210" s="30"/>
      <c r="BA210" s="29"/>
      <c r="BB210" s="29"/>
      <c r="BC210" s="30"/>
      <c r="BD210" s="31">
        <f t="shared" si="39"/>
        <v>11137.740000000002</v>
      </c>
      <c r="BE210" s="31"/>
      <c r="BF210" s="30"/>
      <c r="BG210" s="32">
        <v>2</v>
      </c>
      <c r="BH210" s="31">
        <f>IF(AND((AX210/I210)&lt;2,BG210=1),(I210*2)-AX210,0)</f>
        <v>0</v>
      </c>
      <c r="BI210" s="31">
        <f>IF(AND((AX210/I210)&lt;3,BG210=2),(I210*3)-AX210,0)</f>
        <v>0</v>
      </c>
      <c r="BJ210" s="33">
        <f>(BH210+BI210)*K210</f>
        <v>0</v>
      </c>
      <c r="BK210" s="30"/>
      <c r="BL210" s="30"/>
      <c r="BM210" s="30"/>
      <c r="BN210" s="30"/>
      <c r="BO210" s="33">
        <f t="shared" si="40"/>
        <v>0</v>
      </c>
      <c r="BP210" s="30">
        <v>15</v>
      </c>
      <c r="BQ210" s="30">
        <v>20</v>
      </c>
      <c r="BR210" s="30"/>
      <c r="BS210" s="30"/>
      <c r="BT210" s="34">
        <f t="shared" si="41"/>
        <v>64.010000000000005</v>
      </c>
      <c r="BU210" s="34"/>
      <c r="BV210" s="34"/>
      <c r="BW210" s="34"/>
      <c r="BX210" s="34"/>
      <c r="BY210" s="30"/>
      <c r="BZ210" s="31">
        <f t="shared" si="37"/>
        <v>960.15000000000009</v>
      </c>
      <c r="CA210" s="31">
        <f t="shared" si="42"/>
        <v>1280.2</v>
      </c>
    </row>
    <row r="211" spans="1:79" ht="90" x14ac:dyDescent="0.25">
      <c r="A211" s="17"/>
      <c r="B211" s="2">
        <v>205</v>
      </c>
      <c r="C211" s="18">
        <v>116</v>
      </c>
      <c r="D211" s="18">
        <v>215</v>
      </c>
      <c r="E211" s="19">
        <v>0.28402777777777777</v>
      </c>
      <c r="F211" s="19">
        <v>0.29444444444444445</v>
      </c>
      <c r="G211" s="18" t="s">
        <v>671</v>
      </c>
      <c r="H211" s="18" t="s">
        <v>273</v>
      </c>
      <c r="I211" s="20">
        <v>5</v>
      </c>
      <c r="J211" s="21">
        <v>29</v>
      </c>
      <c r="K211" s="22">
        <v>174</v>
      </c>
      <c r="L211" s="23">
        <f t="shared" si="38"/>
        <v>870</v>
      </c>
      <c r="M211" s="24" t="s">
        <v>105</v>
      </c>
      <c r="N211" s="25" t="s">
        <v>106</v>
      </c>
      <c r="O211" s="25">
        <v>35</v>
      </c>
      <c r="P211" s="25" t="s">
        <v>566</v>
      </c>
      <c r="Q211" s="25">
        <v>20</v>
      </c>
      <c r="R211" s="25" t="s">
        <v>107</v>
      </c>
      <c r="S211" s="25">
        <v>23</v>
      </c>
      <c r="T211" s="26">
        <v>1105</v>
      </c>
      <c r="U211" s="26" t="s">
        <v>672</v>
      </c>
      <c r="V211" s="26" t="s">
        <v>673</v>
      </c>
      <c r="W211" s="26" t="s">
        <v>674</v>
      </c>
      <c r="X211" s="66">
        <v>44816</v>
      </c>
      <c r="Y211" s="66">
        <v>45086</v>
      </c>
      <c r="Z211" s="66"/>
      <c r="AA211" s="66"/>
      <c r="AB211" s="26" t="s">
        <v>282</v>
      </c>
      <c r="AC211" s="26"/>
      <c r="AD211" s="28"/>
      <c r="AE211" s="28"/>
      <c r="AF211" s="28"/>
      <c r="AG211" s="28" t="s">
        <v>90</v>
      </c>
      <c r="AH211" s="28" t="s">
        <v>90</v>
      </c>
      <c r="AI211" s="28" t="s">
        <v>90</v>
      </c>
      <c r="AJ211" s="28" t="s">
        <v>90</v>
      </c>
      <c r="AK211" s="28" t="s">
        <v>90</v>
      </c>
      <c r="AL211" s="28" t="s">
        <v>90</v>
      </c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9">
        <v>30</v>
      </c>
      <c r="AY211" s="31"/>
      <c r="AZ211" s="30"/>
      <c r="BA211" s="29"/>
      <c r="BB211" s="29"/>
      <c r="BC211" s="30"/>
      <c r="BD211" s="31">
        <f t="shared" si="39"/>
        <v>5220</v>
      </c>
      <c r="BE211" s="31"/>
      <c r="BF211" s="30"/>
      <c r="BG211" s="36">
        <v>1</v>
      </c>
      <c r="BH211" s="31">
        <f>IF(AND((AX211/I211)&lt;2,BG211=1),(I211*2)-AX211,0)</f>
        <v>0</v>
      </c>
      <c r="BI211" s="31">
        <f>IF(AND((AX211/I211)&lt;3,BG211=2),(I211*3)-AX211,0)</f>
        <v>0</v>
      </c>
      <c r="BJ211" s="33">
        <f>(BH211+BI211)*K211</f>
        <v>0</v>
      </c>
      <c r="BK211" s="30"/>
      <c r="BL211" s="30"/>
      <c r="BM211" s="30"/>
      <c r="BN211" s="31">
        <f>IF((AX211+AY211+AZ211)&lt;20,(20-(AX211+AY211+AZ211)),0)</f>
        <v>0</v>
      </c>
      <c r="BO211" s="33">
        <f t="shared" si="40"/>
        <v>0</v>
      </c>
      <c r="BP211" s="30">
        <v>15</v>
      </c>
      <c r="BQ211" s="30">
        <v>20</v>
      </c>
      <c r="BR211" s="30"/>
      <c r="BS211" s="30"/>
      <c r="BT211" s="34">
        <f t="shared" si="41"/>
        <v>30</v>
      </c>
      <c r="BU211" s="34"/>
      <c r="BV211" s="34"/>
      <c r="BW211" s="34"/>
      <c r="BX211" s="34"/>
      <c r="BY211" s="30"/>
      <c r="BZ211" s="31">
        <f t="shared" si="37"/>
        <v>450</v>
      </c>
      <c r="CA211" s="31">
        <f t="shared" si="42"/>
        <v>600</v>
      </c>
    </row>
    <row r="212" spans="1:79" ht="90.75" x14ac:dyDescent="0.25">
      <c r="A212" s="17"/>
      <c r="B212" s="2">
        <v>206</v>
      </c>
      <c r="C212" s="48">
        <v>116</v>
      </c>
      <c r="D212" s="48">
        <v>217</v>
      </c>
      <c r="E212" s="49">
        <v>0.375</v>
      </c>
      <c r="F212" s="50">
        <v>0.40972222222222227</v>
      </c>
      <c r="G212" s="81" t="s">
        <v>675</v>
      </c>
      <c r="H212" s="51" t="s">
        <v>355</v>
      </c>
      <c r="I212" s="48">
        <v>22</v>
      </c>
      <c r="J212" s="52">
        <v>19</v>
      </c>
      <c r="K212" s="22">
        <v>55</v>
      </c>
      <c r="L212" s="23">
        <f t="shared" si="38"/>
        <v>1210</v>
      </c>
      <c r="M212" s="24" t="s">
        <v>589</v>
      </c>
      <c r="N212" s="25" t="s">
        <v>590</v>
      </c>
      <c r="O212" s="25">
        <v>21</v>
      </c>
      <c r="P212" s="25" t="s">
        <v>591</v>
      </c>
      <c r="Q212" s="25">
        <v>23</v>
      </c>
      <c r="R212" s="17"/>
      <c r="S212" s="25"/>
      <c r="T212" s="26">
        <v>1106</v>
      </c>
      <c r="U212" s="26" t="s">
        <v>110</v>
      </c>
      <c r="V212" s="26">
        <v>1</v>
      </c>
      <c r="W212" s="26" t="s">
        <v>300</v>
      </c>
      <c r="X212" s="27">
        <v>44562</v>
      </c>
      <c r="Y212" s="27">
        <v>44815</v>
      </c>
      <c r="Z212" s="27">
        <v>45101</v>
      </c>
      <c r="AA212" s="27">
        <v>45169</v>
      </c>
      <c r="AB212" s="26" t="s">
        <v>353</v>
      </c>
      <c r="AC212" s="26"/>
      <c r="AD212" s="28"/>
      <c r="AE212" s="28" t="s">
        <v>90</v>
      </c>
      <c r="AF212" s="28" t="s">
        <v>90</v>
      </c>
      <c r="AG212" s="28"/>
      <c r="AH212" s="28" t="s">
        <v>90</v>
      </c>
      <c r="AI212" s="28" t="s">
        <v>90</v>
      </c>
      <c r="AJ212" s="28" t="s">
        <v>90</v>
      </c>
      <c r="AK212" s="28" t="s">
        <v>90</v>
      </c>
      <c r="AL212" s="28" t="s">
        <v>90</v>
      </c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31"/>
      <c r="AY212" s="31"/>
      <c r="AZ212" s="30"/>
      <c r="BA212" s="55" t="s">
        <v>589</v>
      </c>
      <c r="BB212" s="55"/>
      <c r="BC212" s="30"/>
      <c r="BD212" s="31">
        <f t="shared" si="39"/>
        <v>0</v>
      </c>
      <c r="BE212" s="30"/>
      <c r="BF212" s="30"/>
      <c r="BG212" s="36">
        <v>1</v>
      </c>
      <c r="BH212" s="30"/>
      <c r="BI212" s="31"/>
      <c r="BJ212" s="30"/>
      <c r="BK212" s="30"/>
      <c r="BL212" s="30"/>
      <c r="BM212" s="30"/>
      <c r="BN212" s="30"/>
      <c r="BO212" s="33">
        <f t="shared" si="40"/>
        <v>0</v>
      </c>
      <c r="BP212" s="30">
        <v>7</v>
      </c>
      <c r="BQ212" s="30">
        <v>0</v>
      </c>
      <c r="BR212" s="30"/>
      <c r="BS212" s="30"/>
      <c r="BT212" s="34">
        <f t="shared" si="41"/>
        <v>0</v>
      </c>
      <c r="BU212" s="34"/>
      <c r="BV212" s="34"/>
      <c r="BW212" s="34"/>
      <c r="BX212" s="34"/>
      <c r="BY212" s="30"/>
      <c r="BZ212" s="31">
        <f t="shared" si="37"/>
        <v>0</v>
      </c>
      <c r="CA212" s="31">
        <f t="shared" si="42"/>
        <v>0</v>
      </c>
    </row>
    <row r="213" spans="1:79" ht="90" x14ac:dyDescent="0.25">
      <c r="A213" s="17"/>
      <c r="B213" s="2">
        <v>207</v>
      </c>
      <c r="C213" s="18">
        <v>116</v>
      </c>
      <c r="D213" s="18">
        <v>240</v>
      </c>
      <c r="E213" s="19">
        <v>0.44444444444444442</v>
      </c>
      <c r="F213" s="19">
        <v>0.46527777777777773</v>
      </c>
      <c r="G213" s="18" t="s">
        <v>103</v>
      </c>
      <c r="H213" s="18" t="s">
        <v>80</v>
      </c>
      <c r="I213" s="20">
        <v>11</v>
      </c>
      <c r="J213" s="21" t="s">
        <v>104</v>
      </c>
      <c r="K213" s="22">
        <v>67</v>
      </c>
      <c r="L213" s="23">
        <f t="shared" si="38"/>
        <v>737</v>
      </c>
      <c r="M213" s="24" t="s">
        <v>105</v>
      </c>
      <c r="N213" s="25" t="s">
        <v>106</v>
      </c>
      <c r="O213" s="25">
        <v>35</v>
      </c>
      <c r="P213" s="25" t="s">
        <v>107</v>
      </c>
      <c r="Q213" s="25">
        <v>23</v>
      </c>
      <c r="R213" s="25" t="s">
        <v>108</v>
      </c>
      <c r="S213" s="35">
        <v>21</v>
      </c>
      <c r="T213" s="26">
        <v>1100</v>
      </c>
      <c r="U213" s="26" t="s">
        <v>109</v>
      </c>
      <c r="V213" s="26">
        <v>1106</v>
      </c>
      <c r="W213" s="26" t="s">
        <v>110</v>
      </c>
      <c r="X213" s="27">
        <v>44562</v>
      </c>
      <c r="Y213" s="27">
        <v>44815</v>
      </c>
      <c r="Z213" s="27">
        <v>45101</v>
      </c>
      <c r="AA213" s="27">
        <v>45169</v>
      </c>
      <c r="AB213" s="28" t="s">
        <v>89</v>
      </c>
      <c r="AC213" s="28"/>
      <c r="AD213" s="28"/>
      <c r="AE213" s="28" t="s">
        <v>90</v>
      </c>
      <c r="AF213" s="28" t="s">
        <v>90</v>
      </c>
      <c r="AG213" s="28"/>
      <c r="AH213" s="28" t="s">
        <v>90</v>
      </c>
      <c r="AI213" s="28" t="s">
        <v>90</v>
      </c>
      <c r="AJ213" s="28" t="s">
        <v>90</v>
      </c>
      <c r="AK213" s="28" t="s">
        <v>90</v>
      </c>
      <c r="AL213" s="28" t="s">
        <v>90</v>
      </c>
      <c r="AM213" s="28" t="s">
        <v>90</v>
      </c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9">
        <v>24.2</v>
      </c>
      <c r="AY213" s="31"/>
      <c r="AZ213" s="30"/>
      <c r="BA213" s="29"/>
      <c r="BB213" s="29"/>
      <c r="BC213" s="30"/>
      <c r="BD213" s="31">
        <f t="shared" si="39"/>
        <v>1621.3999999999999</v>
      </c>
      <c r="BE213" s="31"/>
      <c r="BF213" s="30"/>
      <c r="BG213" s="36">
        <v>1</v>
      </c>
      <c r="BH213" s="31">
        <f>IF(AND((AX213/I213)&lt;2,BG213=1),(I213*2)-AX213,0)</f>
        <v>0</v>
      </c>
      <c r="BI213" s="31">
        <f>IF(AND((AX213/I213)&lt;3,BG213=2),(I213*3)-AX213,0)</f>
        <v>0</v>
      </c>
      <c r="BJ213" s="33">
        <f>(BH213+BI213)*K213</f>
        <v>0</v>
      </c>
      <c r="BK213" s="30"/>
      <c r="BL213" s="30"/>
      <c r="BM213" s="30"/>
      <c r="BN213" s="30"/>
      <c r="BO213" s="33">
        <f t="shared" si="40"/>
        <v>0</v>
      </c>
      <c r="BP213" s="30">
        <v>9</v>
      </c>
      <c r="BQ213" s="30">
        <v>0</v>
      </c>
      <c r="BR213" s="30"/>
      <c r="BS213" s="30"/>
      <c r="BT213" s="34">
        <f t="shared" si="41"/>
        <v>24.2</v>
      </c>
      <c r="BU213" s="34"/>
      <c r="BV213" s="34"/>
      <c r="BW213" s="34"/>
      <c r="BX213" s="34"/>
      <c r="BY213" s="30"/>
      <c r="BZ213" s="31">
        <f t="shared" si="37"/>
        <v>217.79999999999998</v>
      </c>
      <c r="CA213" s="31">
        <f t="shared" si="42"/>
        <v>0</v>
      </c>
    </row>
    <row r="214" spans="1:79" ht="90" x14ac:dyDescent="0.25">
      <c r="A214" s="17"/>
      <c r="B214" s="2">
        <v>208</v>
      </c>
      <c r="C214" s="18">
        <v>116</v>
      </c>
      <c r="D214" s="18">
        <v>327</v>
      </c>
      <c r="E214" s="19">
        <v>0.46875</v>
      </c>
      <c r="F214" s="19">
        <v>0.4826388888888889</v>
      </c>
      <c r="G214" s="18" t="s">
        <v>111</v>
      </c>
      <c r="H214" s="18" t="s">
        <v>80</v>
      </c>
      <c r="I214" s="20">
        <v>9</v>
      </c>
      <c r="J214" s="21" t="s">
        <v>104</v>
      </c>
      <c r="K214" s="22">
        <v>67</v>
      </c>
      <c r="L214" s="23">
        <f t="shared" si="38"/>
        <v>603</v>
      </c>
      <c r="M214" s="24" t="s">
        <v>105</v>
      </c>
      <c r="N214" s="25" t="s">
        <v>106</v>
      </c>
      <c r="O214" s="25">
        <v>35</v>
      </c>
      <c r="P214" s="25" t="s">
        <v>107</v>
      </c>
      <c r="Q214" s="25">
        <v>23</v>
      </c>
      <c r="R214" s="25" t="s">
        <v>108</v>
      </c>
      <c r="S214" s="35">
        <v>21</v>
      </c>
      <c r="T214" s="26">
        <v>1106</v>
      </c>
      <c r="U214" s="26" t="s">
        <v>110</v>
      </c>
      <c r="V214" s="26">
        <v>1100</v>
      </c>
      <c r="W214" s="26" t="s">
        <v>109</v>
      </c>
      <c r="X214" s="27">
        <v>44562</v>
      </c>
      <c r="Y214" s="27">
        <v>44815</v>
      </c>
      <c r="Z214" s="27">
        <v>45101</v>
      </c>
      <c r="AA214" s="27">
        <v>45169</v>
      </c>
      <c r="AB214" s="28" t="s">
        <v>89</v>
      </c>
      <c r="AC214" s="28"/>
      <c r="AD214" s="28"/>
      <c r="AE214" s="28" t="s">
        <v>90</v>
      </c>
      <c r="AF214" s="28" t="s">
        <v>90</v>
      </c>
      <c r="AG214" s="28"/>
      <c r="AH214" s="28" t="s">
        <v>90</v>
      </c>
      <c r="AI214" s="28" t="s">
        <v>90</v>
      </c>
      <c r="AJ214" s="28" t="s">
        <v>90</v>
      </c>
      <c r="AK214" s="28" t="s">
        <v>90</v>
      </c>
      <c r="AL214" s="28" t="s">
        <v>90</v>
      </c>
      <c r="AM214" s="28" t="s">
        <v>90</v>
      </c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9">
        <v>19.8</v>
      </c>
      <c r="AY214" s="31"/>
      <c r="AZ214" s="30"/>
      <c r="BA214" s="29"/>
      <c r="BB214" s="29"/>
      <c r="BC214" s="30"/>
      <c r="BD214" s="31">
        <f t="shared" si="39"/>
        <v>1326.6000000000001</v>
      </c>
      <c r="BE214" s="31"/>
      <c r="BF214" s="30"/>
      <c r="BG214" s="36">
        <v>1</v>
      </c>
      <c r="BH214" s="31">
        <f>IF(AND((AX214/I214)&lt;2,BG214=1),(I214*2)-AX214,0)</f>
        <v>0</v>
      </c>
      <c r="BI214" s="31">
        <f>IF(AND((AX214/I214)&lt;3,BG214=2),(I214*3)-AX214,0)</f>
        <v>0</v>
      </c>
      <c r="BJ214" s="33">
        <f>(BH214+BI214)*K214</f>
        <v>0</v>
      </c>
      <c r="BK214" s="30"/>
      <c r="BL214" s="30"/>
      <c r="BM214" s="30"/>
      <c r="BN214" s="30"/>
      <c r="BO214" s="33">
        <f t="shared" si="40"/>
        <v>0</v>
      </c>
      <c r="BP214" s="30">
        <v>9</v>
      </c>
      <c r="BQ214" s="30">
        <v>0</v>
      </c>
      <c r="BR214" s="30"/>
      <c r="BS214" s="30"/>
      <c r="BT214" s="34">
        <f t="shared" si="41"/>
        <v>19.8</v>
      </c>
      <c r="BU214" s="34"/>
      <c r="BV214" s="34"/>
      <c r="BW214" s="34"/>
      <c r="BX214" s="34"/>
      <c r="BY214" s="30"/>
      <c r="BZ214" s="31">
        <f t="shared" si="37"/>
        <v>178.20000000000002</v>
      </c>
      <c r="CA214" s="31">
        <f t="shared" si="42"/>
        <v>0</v>
      </c>
    </row>
    <row r="215" spans="1:79" ht="90" x14ac:dyDescent="0.25">
      <c r="A215" s="17"/>
      <c r="B215" s="2">
        <v>209</v>
      </c>
      <c r="C215" s="48">
        <v>116</v>
      </c>
      <c r="D215" s="48">
        <v>242</v>
      </c>
      <c r="E215" s="49">
        <v>0.48333333333333334</v>
      </c>
      <c r="F215" s="49">
        <v>0.50347222222222221</v>
      </c>
      <c r="G215" s="51" t="s">
        <v>103</v>
      </c>
      <c r="H215" s="48" t="s">
        <v>316</v>
      </c>
      <c r="I215" s="48">
        <v>11</v>
      </c>
      <c r="J215" s="52">
        <v>30</v>
      </c>
      <c r="K215" s="22">
        <v>67</v>
      </c>
      <c r="L215" s="23">
        <f t="shared" si="38"/>
        <v>737</v>
      </c>
      <c r="M215" s="24" t="s">
        <v>105</v>
      </c>
      <c r="N215" s="25" t="s">
        <v>106</v>
      </c>
      <c r="O215" s="25">
        <v>35</v>
      </c>
      <c r="P215" s="25" t="s">
        <v>107</v>
      </c>
      <c r="Q215" s="25">
        <v>23</v>
      </c>
      <c r="R215" s="25" t="s">
        <v>108</v>
      </c>
      <c r="S215" s="35">
        <v>21</v>
      </c>
      <c r="T215" s="26">
        <v>1100</v>
      </c>
      <c r="U215" s="26" t="s">
        <v>109</v>
      </c>
      <c r="V215" s="26">
        <v>1106</v>
      </c>
      <c r="W215" s="26" t="s">
        <v>110</v>
      </c>
      <c r="X215" s="27">
        <v>44562</v>
      </c>
      <c r="Y215" s="27">
        <v>44815</v>
      </c>
      <c r="Z215" s="27">
        <v>45101</v>
      </c>
      <c r="AA215" s="27">
        <v>45169</v>
      </c>
      <c r="AB215" s="28" t="s">
        <v>89</v>
      </c>
      <c r="AC215" s="28"/>
      <c r="AD215" s="28"/>
      <c r="AE215" s="28" t="s">
        <v>90</v>
      </c>
      <c r="AF215" s="28" t="s">
        <v>90</v>
      </c>
      <c r="AG215" s="28"/>
      <c r="AH215" s="28" t="s">
        <v>90</v>
      </c>
      <c r="AI215" s="28" t="s">
        <v>90</v>
      </c>
      <c r="AJ215" s="28" t="s">
        <v>90</v>
      </c>
      <c r="AK215" s="28" t="s">
        <v>90</v>
      </c>
      <c r="AL215" s="28" t="s">
        <v>90</v>
      </c>
      <c r="AM215" s="28" t="s">
        <v>90</v>
      </c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47">
        <v>0</v>
      </c>
      <c r="AY215" s="31"/>
      <c r="AZ215" s="30"/>
      <c r="BA215" s="31"/>
      <c r="BB215" s="31"/>
      <c r="BC215" s="30"/>
      <c r="BD215" s="31">
        <f t="shared" si="39"/>
        <v>0</v>
      </c>
      <c r="BE215" s="31"/>
      <c r="BF215" s="31">
        <f>AX215*K215</f>
        <v>0</v>
      </c>
      <c r="BG215" s="36">
        <v>1</v>
      </c>
      <c r="BH215" s="31">
        <f>IF(AND((AX215/I215)&lt;2,BG215=1),(I215*2)-AX215,0)</f>
        <v>22</v>
      </c>
      <c r="BI215" s="31">
        <f>IF(AND((AX215/I215)&lt;3,BG215=2),(I215*3)-AX215,0)</f>
        <v>0</v>
      </c>
      <c r="BJ215" s="33">
        <f>(BH215+BI215)*K215</f>
        <v>1474</v>
      </c>
      <c r="BK215" s="30"/>
      <c r="BL215" s="30"/>
      <c r="BM215" s="30"/>
      <c r="BN215" s="30"/>
      <c r="BO215" s="33">
        <f t="shared" si="40"/>
        <v>0</v>
      </c>
      <c r="BP215" s="30">
        <v>9</v>
      </c>
      <c r="BQ215" s="30">
        <v>0</v>
      </c>
      <c r="BR215" s="30"/>
      <c r="BS215" s="30"/>
      <c r="BT215" s="34">
        <f t="shared" si="41"/>
        <v>22</v>
      </c>
      <c r="BU215" s="34"/>
      <c r="BV215" s="34"/>
      <c r="BW215" s="34"/>
      <c r="BX215" s="34"/>
      <c r="BY215" s="30"/>
      <c r="BZ215" s="31">
        <f t="shared" si="37"/>
        <v>198</v>
      </c>
      <c r="CA215" s="31">
        <f t="shared" si="42"/>
        <v>0</v>
      </c>
    </row>
    <row r="216" spans="1:79" ht="90.75" x14ac:dyDescent="0.25">
      <c r="A216" s="17"/>
      <c r="B216" s="2">
        <v>210</v>
      </c>
      <c r="C216" s="48">
        <v>116</v>
      </c>
      <c r="D216" s="48">
        <v>117</v>
      </c>
      <c r="E216" s="49">
        <v>0.69444444444444453</v>
      </c>
      <c r="F216" s="49">
        <v>0.70833333333333337</v>
      </c>
      <c r="G216" s="51" t="s">
        <v>111</v>
      </c>
      <c r="H216" s="51" t="s">
        <v>355</v>
      </c>
      <c r="I216" s="48">
        <v>11</v>
      </c>
      <c r="J216" s="52">
        <v>19</v>
      </c>
      <c r="K216" s="22">
        <v>55</v>
      </c>
      <c r="L216" s="23">
        <f t="shared" si="38"/>
        <v>605</v>
      </c>
      <c r="M216" s="24" t="s">
        <v>589</v>
      </c>
      <c r="N216" s="25" t="s">
        <v>590</v>
      </c>
      <c r="O216" s="25">
        <v>21</v>
      </c>
      <c r="P216" s="25" t="s">
        <v>591</v>
      </c>
      <c r="Q216" s="25">
        <v>23</v>
      </c>
      <c r="R216" s="17"/>
      <c r="S216" s="25"/>
      <c r="T216" s="26">
        <v>1106</v>
      </c>
      <c r="U216" s="26" t="s">
        <v>110</v>
      </c>
      <c r="V216" s="26">
        <v>1100</v>
      </c>
      <c r="W216" s="26" t="s">
        <v>109</v>
      </c>
      <c r="X216" s="27">
        <v>44562</v>
      </c>
      <c r="Y216" s="27">
        <v>44815</v>
      </c>
      <c r="Z216" s="27">
        <v>45101</v>
      </c>
      <c r="AA216" s="27">
        <v>45169</v>
      </c>
      <c r="AB216" s="26" t="s">
        <v>353</v>
      </c>
      <c r="AC216" s="26"/>
      <c r="AD216" s="28"/>
      <c r="AE216" s="28" t="s">
        <v>90</v>
      </c>
      <c r="AF216" s="28" t="s">
        <v>90</v>
      </c>
      <c r="AG216" s="28"/>
      <c r="AH216" s="28" t="s">
        <v>90</v>
      </c>
      <c r="AI216" s="28" t="s">
        <v>90</v>
      </c>
      <c r="AJ216" s="28" t="s">
        <v>90</v>
      </c>
      <c r="AK216" s="28" t="s">
        <v>90</v>
      </c>
      <c r="AL216" s="28" t="s">
        <v>90</v>
      </c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31"/>
      <c r="AY216" s="31"/>
      <c r="AZ216" s="30"/>
      <c r="BA216" s="55" t="s">
        <v>589</v>
      </c>
      <c r="BB216" s="55"/>
      <c r="BC216" s="30"/>
      <c r="BD216" s="31">
        <f t="shared" si="39"/>
        <v>0</v>
      </c>
      <c r="BE216" s="30"/>
      <c r="BF216" s="30"/>
      <c r="BG216" s="36">
        <v>1</v>
      </c>
      <c r="BH216" s="30"/>
      <c r="BI216" s="31"/>
      <c r="BJ216" s="30"/>
      <c r="BK216" s="30"/>
      <c r="BL216" s="30"/>
      <c r="BM216" s="30"/>
      <c r="BN216" s="30"/>
      <c r="BO216" s="33">
        <f t="shared" si="40"/>
        <v>0</v>
      </c>
      <c r="BP216" s="30">
        <v>7</v>
      </c>
      <c r="BQ216" s="30">
        <v>0</v>
      </c>
      <c r="BR216" s="30"/>
      <c r="BS216" s="30"/>
      <c r="BT216" s="34">
        <f t="shared" si="41"/>
        <v>0</v>
      </c>
      <c r="BU216" s="34"/>
      <c r="BV216" s="34"/>
      <c r="BW216" s="34"/>
      <c r="BX216" s="34"/>
      <c r="BY216" s="30"/>
      <c r="BZ216" s="31">
        <f t="shared" si="37"/>
        <v>0</v>
      </c>
      <c r="CA216" s="31">
        <f t="shared" si="42"/>
        <v>0</v>
      </c>
    </row>
    <row r="217" spans="1:79" ht="90.75" x14ac:dyDescent="0.25">
      <c r="A217" s="17"/>
      <c r="B217" s="2">
        <v>211</v>
      </c>
      <c r="C217" s="48">
        <v>116</v>
      </c>
      <c r="D217" s="48">
        <v>246</v>
      </c>
      <c r="E217" s="49">
        <v>0.70833333333333337</v>
      </c>
      <c r="F217" s="49">
        <v>0.72916666666666663</v>
      </c>
      <c r="G217" s="51" t="s">
        <v>103</v>
      </c>
      <c r="H217" s="51" t="s">
        <v>355</v>
      </c>
      <c r="I217" s="48">
        <v>11</v>
      </c>
      <c r="J217" s="52">
        <v>19</v>
      </c>
      <c r="K217" s="22">
        <v>55</v>
      </c>
      <c r="L217" s="23">
        <f t="shared" si="38"/>
        <v>605</v>
      </c>
      <c r="M217" s="24" t="s">
        <v>589</v>
      </c>
      <c r="N217" s="25" t="s">
        <v>590</v>
      </c>
      <c r="O217" s="25">
        <v>21</v>
      </c>
      <c r="P217" s="25" t="s">
        <v>591</v>
      </c>
      <c r="Q217" s="25">
        <v>23</v>
      </c>
      <c r="R217" s="17"/>
      <c r="S217" s="25"/>
      <c r="T217" s="26">
        <v>1100</v>
      </c>
      <c r="U217" s="26" t="s">
        <v>109</v>
      </c>
      <c r="V217" s="26">
        <v>1106</v>
      </c>
      <c r="W217" s="26" t="s">
        <v>110</v>
      </c>
      <c r="X217" s="27">
        <v>44562</v>
      </c>
      <c r="Y217" s="27">
        <v>44815</v>
      </c>
      <c r="Z217" s="27">
        <v>45101</v>
      </c>
      <c r="AA217" s="27">
        <v>45169</v>
      </c>
      <c r="AB217" s="26" t="s">
        <v>353</v>
      </c>
      <c r="AC217" s="26"/>
      <c r="AD217" s="28"/>
      <c r="AE217" s="28" t="s">
        <v>90</v>
      </c>
      <c r="AF217" s="28" t="s">
        <v>90</v>
      </c>
      <c r="AG217" s="28"/>
      <c r="AH217" s="28" t="s">
        <v>90</v>
      </c>
      <c r="AI217" s="28" t="s">
        <v>90</v>
      </c>
      <c r="AJ217" s="28" t="s">
        <v>90</v>
      </c>
      <c r="AK217" s="28" t="s">
        <v>90</v>
      </c>
      <c r="AL217" s="28" t="s">
        <v>90</v>
      </c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31"/>
      <c r="AY217" s="31"/>
      <c r="AZ217" s="30"/>
      <c r="BA217" s="55" t="s">
        <v>589</v>
      </c>
      <c r="BB217" s="55"/>
      <c r="BC217" s="30"/>
      <c r="BD217" s="31">
        <f t="shared" si="39"/>
        <v>0</v>
      </c>
      <c r="BE217" s="30"/>
      <c r="BF217" s="30"/>
      <c r="BG217" s="36">
        <v>1</v>
      </c>
      <c r="BH217" s="30"/>
      <c r="BI217" s="31"/>
      <c r="BJ217" s="30"/>
      <c r="BK217" s="30"/>
      <c r="BL217" s="30"/>
      <c r="BM217" s="30"/>
      <c r="BN217" s="30"/>
      <c r="BO217" s="33">
        <f t="shared" si="40"/>
        <v>0</v>
      </c>
      <c r="BP217" s="30">
        <v>7</v>
      </c>
      <c r="BQ217" s="30">
        <v>0</v>
      </c>
      <c r="BR217" s="30"/>
      <c r="BS217" s="30"/>
      <c r="BT217" s="34">
        <f t="shared" si="41"/>
        <v>0</v>
      </c>
      <c r="BU217" s="34"/>
      <c r="BV217" s="34"/>
      <c r="BW217" s="34"/>
      <c r="BX217" s="34"/>
      <c r="BY217" s="30"/>
      <c r="BZ217" s="31">
        <f t="shared" si="37"/>
        <v>0</v>
      </c>
      <c r="CA217" s="31">
        <f t="shared" si="42"/>
        <v>0</v>
      </c>
    </row>
    <row r="218" spans="1:79" ht="90.75" x14ac:dyDescent="0.25">
      <c r="A218" s="17"/>
      <c r="B218" s="2">
        <v>212</v>
      </c>
      <c r="C218" s="48">
        <v>116</v>
      </c>
      <c r="D218" s="48">
        <v>236</v>
      </c>
      <c r="E218" s="50">
        <v>0.75069444444444444</v>
      </c>
      <c r="F218" s="49">
        <v>0.77083333333333337</v>
      </c>
      <c r="G218" s="51" t="s">
        <v>103</v>
      </c>
      <c r="H218" s="18" t="s">
        <v>268</v>
      </c>
      <c r="I218" s="48">
        <v>11</v>
      </c>
      <c r="J218" s="52">
        <v>19</v>
      </c>
      <c r="K218" s="22">
        <v>252</v>
      </c>
      <c r="L218" s="23">
        <f t="shared" si="38"/>
        <v>2772</v>
      </c>
      <c r="M218" s="24" t="s">
        <v>589</v>
      </c>
      <c r="N218" s="25" t="s">
        <v>590</v>
      </c>
      <c r="O218" s="25">
        <v>21</v>
      </c>
      <c r="P218" s="25" t="s">
        <v>591</v>
      </c>
      <c r="Q218" s="25">
        <v>23</v>
      </c>
      <c r="R218" s="17"/>
      <c r="S218" s="25"/>
      <c r="T218" s="26">
        <v>1100</v>
      </c>
      <c r="U218" s="26" t="s">
        <v>109</v>
      </c>
      <c r="V218" s="26">
        <v>1106</v>
      </c>
      <c r="W218" s="26" t="s">
        <v>110</v>
      </c>
      <c r="X218" s="66">
        <v>44805</v>
      </c>
      <c r="Y218" s="66">
        <v>45169</v>
      </c>
      <c r="Z218" s="66"/>
      <c r="AA218" s="66"/>
      <c r="AB218" s="26" t="s">
        <v>269</v>
      </c>
      <c r="AC218" s="26"/>
      <c r="AD218" s="28" t="s">
        <v>90</v>
      </c>
      <c r="AE218" s="28" t="s">
        <v>90</v>
      </c>
      <c r="AF218" s="28" t="s">
        <v>90</v>
      </c>
      <c r="AG218" s="28"/>
      <c r="AH218" s="28" t="s">
        <v>90</v>
      </c>
      <c r="AI218" s="28" t="s">
        <v>90</v>
      </c>
      <c r="AJ218" s="28" t="s">
        <v>90</v>
      </c>
      <c r="AK218" s="28" t="s">
        <v>90</v>
      </c>
      <c r="AL218" s="28" t="s">
        <v>90</v>
      </c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31"/>
      <c r="AY218" s="31"/>
      <c r="AZ218" s="30"/>
      <c r="BA218" s="55" t="s">
        <v>589</v>
      </c>
      <c r="BB218" s="55"/>
      <c r="BC218" s="30"/>
      <c r="BD218" s="31">
        <f t="shared" si="39"/>
        <v>0</v>
      </c>
      <c r="BE218" s="30"/>
      <c r="BF218" s="30"/>
      <c r="BG218" s="36">
        <v>1</v>
      </c>
      <c r="BH218" s="30"/>
      <c r="BI218" s="31"/>
      <c r="BJ218" s="30"/>
      <c r="BK218" s="30"/>
      <c r="BL218" s="30"/>
      <c r="BM218" s="30"/>
      <c r="BN218" s="30"/>
      <c r="BO218" s="33">
        <f t="shared" si="40"/>
        <v>0</v>
      </c>
      <c r="BP218" s="30">
        <v>22</v>
      </c>
      <c r="BQ218" s="30">
        <v>21</v>
      </c>
      <c r="BR218" s="30"/>
      <c r="BS218" s="30"/>
      <c r="BT218" s="34">
        <f t="shared" si="41"/>
        <v>0</v>
      </c>
      <c r="BU218" s="34"/>
      <c r="BV218" s="34"/>
      <c r="BW218" s="34"/>
      <c r="BX218" s="34"/>
      <c r="BY218" s="30"/>
      <c r="BZ218" s="31">
        <f t="shared" si="37"/>
        <v>0</v>
      </c>
      <c r="CA218" s="31">
        <f t="shared" si="42"/>
        <v>0</v>
      </c>
    </row>
    <row r="219" spans="1:79" ht="90.75" x14ac:dyDescent="0.25">
      <c r="A219" s="17"/>
      <c r="B219" s="2">
        <v>213</v>
      </c>
      <c r="C219" s="48">
        <v>116</v>
      </c>
      <c r="D219" s="48">
        <v>123</v>
      </c>
      <c r="E219" s="49">
        <v>0.77430555555555547</v>
      </c>
      <c r="F219" s="50">
        <v>0.78749999999999998</v>
      </c>
      <c r="G219" s="51" t="s">
        <v>111</v>
      </c>
      <c r="H219" s="18" t="s">
        <v>268</v>
      </c>
      <c r="I219" s="48">
        <v>11</v>
      </c>
      <c r="J219" s="52">
        <v>19</v>
      </c>
      <c r="K219" s="22">
        <v>252</v>
      </c>
      <c r="L219" s="23">
        <f t="shared" si="38"/>
        <v>2772</v>
      </c>
      <c r="M219" s="24" t="s">
        <v>589</v>
      </c>
      <c r="N219" s="25" t="s">
        <v>590</v>
      </c>
      <c r="O219" s="25">
        <v>21</v>
      </c>
      <c r="P219" s="25" t="s">
        <v>591</v>
      </c>
      <c r="Q219" s="25">
        <v>23</v>
      </c>
      <c r="R219" s="17"/>
      <c r="S219" s="25"/>
      <c r="T219" s="26">
        <v>1106</v>
      </c>
      <c r="U219" s="26" t="s">
        <v>110</v>
      </c>
      <c r="V219" s="26">
        <v>1100</v>
      </c>
      <c r="W219" s="26" t="s">
        <v>109</v>
      </c>
      <c r="X219" s="66">
        <v>44805</v>
      </c>
      <c r="Y219" s="66">
        <v>45169</v>
      </c>
      <c r="Z219" s="66"/>
      <c r="AA219" s="66"/>
      <c r="AB219" s="26" t="s">
        <v>269</v>
      </c>
      <c r="AC219" s="26"/>
      <c r="AD219" s="28" t="s">
        <v>90</v>
      </c>
      <c r="AE219" s="28" t="s">
        <v>90</v>
      </c>
      <c r="AF219" s="28" t="s">
        <v>90</v>
      </c>
      <c r="AG219" s="28"/>
      <c r="AH219" s="28" t="s">
        <v>90</v>
      </c>
      <c r="AI219" s="28" t="s">
        <v>90</v>
      </c>
      <c r="AJ219" s="28" t="s">
        <v>90</v>
      </c>
      <c r="AK219" s="28" t="s">
        <v>90</v>
      </c>
      <c r="AL219" s="28" t="s">
        <v>90</v>
      </c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31"/>
      <c r="AY219" s="31"/>
      <c r="AZ219" s="30"/>
      <c r="BA219" s="55" t="s">
        <v>589</v>
      </c>
      <c r="BB219" s="55"/>
      <c r="BC219" s="30"/>
      <c r="BD219" s="31">
        <f t="shared" si="39"/>
        <v>0</v>
      </c>
      <c r="BE219" s="30"/>
      <c r="BF219" s="30"/>
      <c r="BG219" s="36">
        <v>1</v>
      </c>
      <c r="BH219" s="30"/>
      <c r="BI219" s="31"/>
      <c r="BJ219" s="30"/>
      <c r="BK219" s="30"/>
      <c r="BL219" s="30"/>
      <c r="BM219" s="30"/>
      <c r="BN219" s="30"/>
      <c r="BO219" s="33">
        <f t="shared" si="40"/>
        <v>0</v>
      </c>
      <c r="BP219" s="30">
        <v>22</v>
      </c>
      <c r="BQ219" s="30">
        <v>21</v>
      </c>
      <c r="BR219" s="30"/>
      <c r="BS219" s="30"/>
      <c r="BT219" s="34">
        <f t="shared" si="41"/>
        <v>0</v>
      </c>
      <c r="BU219" s="34"/>
      <c r="BV219" s="34"/>
      <c r="BW219" s="34"/>
      <c r="BX219" s="34"/>
      <c r="BY219" s="30"/>
      <c r="BZ219" s="31">
        <f t="shared" si="37"/>
        <v>0</v>
      </c>
      <c r="CA219" s="31">
        <f t="shared" si="42"/>
        <v>0</v>
      </c>
    </row>
    <row r="220" spans="1:79" ht="90.75" x14ac:dyDescent="0.25">
      <c r="A220" s="17"/>
      <c r="B220" s="2">
        <v>214</v>
      </c>
      <c r="C220" s="48">
        <v>116</v>
      </c>
      <c r="D220" s="48">
        <v>248</v>
      </c>
      <c r="E220" s="50">
        <v>0.82708333333333339</v>
      </c>
      <c r="F220" s="49">
        <v>0.84722222222222221</v>
      </c>
      <c r="G220" s="51" t="s">
        <v>103</v>
      </c>
      <c r="H220" s="48" t="s">
        <v>454</v>
      </c>
      <c r="I220" s="48">
        <v>11</v>
      </c>
      <c r="J220" s="52">
        <v>19</v>
      </c>
      <c r="K220" s="22">
        <v>304</v>
      </c>
      <c r="L220" s="23">
        <f t="shared" si="38"/>
        <v>3344</v>
      </c>
      <c r="M220" s="24" t="s">
        <v>589</v>
      </c>
      <c r="N220" s="25" t="s">
        <v>590</v>
      </c>
      <c r="O220" s="25">
        <v>21</v>
      </c>
      <c r="P220" s="25" t="s">
        <v>591</v>
      </c>
      <c r="Q220" s="25">
        <v>23</v>
      </c>
      <c r="R220" s="17"/>
      <c r="S220" s="25"/>
      <c r="T220" s="26">
        <v>1100</v>
      </c>
      <c r="U220" s="26" t="s">
        <v>109</v>
      </c>
      <c r="V220" s="26">
        <v>1106</v>
      </c>
      <c r="W220" s="26" t="s">
        <v>110</v>
      </c>
      <c r="X220" s="66">
        <v>44805</v>
      </c>
      <c r="Y220" s="66">
        <v>45169</v>
      </c>
      <c r="Z220" s="66"/>
      <c r="AA220" s="66"/>
      <c r="AB220" s="28" t="s">
        <v>459</v>
      </c>
      <c r="AC220" s="28"/>
      <c r="AD220" s="28" t="s">
        <v>90</v>
      </c>
      <c r="AE220" s="28" t="s">
        <v>90</v>
      </c>
      <c r="AF220" s="28" t="s">
        <v>90</v>
      </c>
      <c r="AG220" s="28"/>
      <c r="AH220" s="28" t="s">
        <v>90</v>
      </c>
      <c r="AI220" s="28" t="s">
        <v>90</v>
      </c>
      <c r="AJ220" s="28" t="s">
        <v>90</v>
      </c>
      <c r="AK220" s="28" t="s">
        <v>90</v>
      </c>
      <c r="AL220" s="28" t="s">
        <v>90</v>
      </c>
      <c r="AM220" s="28" t="s">
        <v>90</v>
      </c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31"/>
      <c r="AY220" s="31"/>
      <c r="AZ220" s="30"/>
      <c r="BA220" s="55" t="s">
        <v>589</v>
      </c>
      <c r="BB220" s="55"/>
      <c r="BC220" s="30"/>
      <c r="BD220" s="31">
        <f t="shared" si="39"/>
        <v>0</v>
      </c>
      <c r="BE220" s="30"/>
      <c r="BF220" s="30"/>
      <c r="BG220" s="36">
        <v>1</v>
      </c>
      <c r="BH220" s="30"/>
      <c r="BI220" s="31"/>
      <c r="BJ220" s="30"/>
      <c r="BK220" s="30"/>
      <c r="BL220" s="30"/>
      <c r="BM220" s="30"/>
      <c r="BN220" s="30"/>
      <c r="BO220" s="33">
        <f t="shared" si="40"/>
        <v>0</v>
      </c>
      <c r="BP220" s="30">
        <v>26</v>
      </c>
      <c r="BQ220" s="30">
        <v>26</v>
      </c>
      <c r="BR220" s="30"/>
      <c r="BS220" s="30"/>
      <c r="BT220" s="34">
        <f t="shared" si="41"/>
        <v>0</v>
      </c>
      <c r="BU220" s="34"/>
      <c r="BV220" s="34"/>
      <c r="BW220" s="34"/>
      <c r="BX220" s="34"/>
      <c r="BY220" s="30"/>
      <c r="BZ220" s="31">
        <f t="shared" si="37"/>
        <v>0</v>
      </c>
      <c r="CA220" s="31">
        <f t="shared" si="42"/>
        <v>0</v>
      </c>
    </row>
    <row r="221" spans="1:79" ht="45" x14ac:dyDescent="0.25">
      <c r="A221" s="17"/>
      <c r="B221" s="2">
        <v>215</v>
      </c>
      <c r="C221" s="18">
        <v>121</v>
      </c>
      <c r="D221" s="18">
        <v>70</v>
      </c>
      <c r="E221" s="19">
        <v>0.25</v>
      </c>
      <c r="F221" s="19">
        <v>0.25694444444444448</v>
      </c>
      <c r="G221" s="18" t="s">
        <v>676</v>
      </c>
      <c r="H221" s="18" t="s">
        <v>422</v>
      </c>
      <c r="I221" s="20">
        <v>5.5</v>
      </c>
      <c r="J221" s="21" t="s">
        <v>541</v>
      </c>
      <c r="K221" s="22">
        <v>240</v>
      </c>
      <c r="L221" s="23">
        <f t="shared" si="38"/>
        <v>1320</v>
      </c>
      <c r="M221" s="24" t="s">
        <v>542</v>
      </c>
      <c r="N221" s="25" t="s">
        <v>543</v>
      </c>
      <c r="O221" s="25">
        <v>9</v>
      </c>
      <c r="P221" s="25" t="s">
        <v>544</v>
      </c>
      <c r="Q221" s="25">
        <v>18</v>
      </c>
      <c r="R221" s="17"/>
      <c r="S221" s="25"/>
      <c r="T221" s="26">
        <v>4070</v>
      </c>
      <c r="U221" s="26" t="s">
        <v>677</v>
      </c>
      <c r="V221" s="26">
        <v>1122</v>
      </c>
      <c r="W221" s="26" t="s">
        <v>304</v>
      </c>
      <c r="X221" s="27">
        <v>44816</v>
      </c>
      <c r="Y221" s="27">
        <v>45100</v>
      </c>
      <c r="Z221" s="27"/>
      <c r="AA221" s="27"/>
      <c r="AB221" s="26" t="s">
        <v>423</v>
      </c>
      <c r="AC221" s="26"/>
      <c r="AD221" s="28" t="s">
        <v>90</v>
      </c>
      <c r="AE221" s="28"/>
      <c r="AF221" s="28" t="s">
        <v>90</v>
      </c>
      <c r="AG221" s="28"/>
      <c r="AH221" s="28" t="s">
        <v>90</v>
      </c>
      <c r="AI221" s="28" t="s">
        <v>90</v>
      </c>
      <c r="AJ221" s="28" t="s">
        <v>90</v>
      </c>
      <c r="AK221" s="28" t="s">
        <v>90</v>
      </c>
      <c r="AL221" s="28" t="s">
        <v>90</v>
      </c>
      <c r="AM221" s="28" t="s">
        <v>90</v>
      </c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9">
        <v>28.38</v>
      </c>
      <c r="AY221" s="31"/>
      <c r="AZ221" s="30"/>
      <c r="BA221" s="29"/>
      <c r="BB221" s="29"/>
      <c r="BC221" s="30"/>
      <c r="BD221" s="31">
        <f t="shared" si="39"/>
        <v>6811.2</v>
      </c>
      <c r="BE221" s="31"/>
      <c r="BF221" s="30"/>
      <c r="BG221" s="36">
        <v>1</v>
      </c>
      <c r="BH221" s="31">
        <f t="shared" ref="BH221:BH252" si="43">IF(AND((AX221/I221)&lt;2,BG221=1),(I221*2)-AX221,0)</f>
        <v>0</v>
      </c>
      <c r="BI221" s="31">
        <f t="shared" ref="BI221:BI252" si="44">IF(AND((AX221/I221)&lt;3,BG221=2),(I221*3)-AX221,0)</f>
        <v>0</v>
      </c>
      <c r="BJ221" s="33">
        <f t="shared" ref="BJ221:BJ248" si="45">(BH221+BI221)*K221</f>
        <v>0</v>
      </c>
      <c r="BK221" s="30"/>
      <c r="BL221" s="30"/>
      <c r="BM221" s="30"/>
      <c r="BN221" s="31">
        <f>IF((AX221+AY221+AZ221)&lt;20,(20-(AX221+AY221+AZ221)),0)</f>
        <v>0</v>
      </c>
      <c r="BO221" s="33">
        <f t="shared" si="40"/>
        <v>0</v>
      </c>
      <c r="BP221" s="30">
        <v>17</v>
      </c>
      <c r="BQ221" s="30">
        <v>26</v>
      </c>
      <c r="BR221" s="30"/>
      <c r="BS221" s="30"/>
      <c r="BT221" s="34">
        <f t="shared" si="41"/>
        <v>28.38</v>
      </c>
      <c r="BU221" s="34"/>
      <c r="BV221" s="34"/>
      <c r="BW221" s="34"/>
      <c r="BX221" s="34"/>
      <c r="BY221" s="30"/>
      <c r="BZ221" s="31">
        <f t="shared" si="37"/>
        <v>482.46</v>
      </c>
      <c r="CA221" s="31">
        <f t="shared" si="42"/>
        <v>737.88</v>
      </c>
    </row>
    <row r="222" spans="1:79" ht="45" x14ac:dyDescent="0.25">
      <c r="A222" s="17"/>
      <c r="B222" s="2">
        <v>216</v>
      </c>
      <c r="C222" s="18">
        <v>121</v>
      </c>
      <c r="D222" s="18">
        <v>72</v>
      </c>
      <c r="E222" s="19">
        <v>0.2638888888888889</v>
      </c>
      <c r="F222" s="59">
        <v>0.27083333333333331</v>
      </c>
      <c r="G222" s="18" t="s">
        <v>676</v>
      </c>
      <c r="H222" s="18" t="s">
        <v>316</v>
      </c>
      <c r="I222" s="20">
        <v>5.5</v>
      </c>
      <c r="J222" s="21" t="s">
        <v>541</v>
      </c>
      <c r="K222" s="22">
        <v>67</v>
      </c>
      <c r="L222" s="23">
        <f t="shared" si="38"/>
        <v>368.5</v>
      </c>
      <c r="M222" s="24" t="s">
        <v>542</v>
      </c>
      <c r="N222" s="25" t="s">
        <v>543</v>
      </c>
      <c r="O222" s="25">
        <v>9</v>
      </c>
      <c r="P222" s="25" t="s">
        <v>544</v>
      </c>
      <c r="Q222" s="25">
        <v>18</v>
      </c>
      <c r="R222" s="17"/>
      <c r="S222" s="25"/>
      <c r="T222" s="26">
        <v>4070</v>
      </c>
      <c r="U222" s="26" t="s">
        <v>677</v>
      </c>
      <c r="V222" s="26">
        <v>1122</v>
      </c>
      <c r="W222" s="26" t="s">
        <v>304</v>
      </c>
      <c r="X222" s="27">
        <v>44562</v>
      </c>
      <c r="Y222" s="27">
        <v>44815</v>
      </c>
      <c r="Z222" s="27">
        <v>45101</v>
      </c>
      <c r="AA222" s="27">
        <v>45169</v>
      </c>
      <c r="AB222" s="28" t="s">
        <v>89</v>
      </c>
      <c r="AC222" s="28"/>
      <c r="AD222" s="28"/>
      <c r="AE222" s="28" t="s">
        <v>90</v>
      </c>
      <c r="AF222" s="28" t="s">
        <v>90</v>
      </c>
      <c r="AG222" s="28"/>
      <c r="AH222" s="28" t="s">
        <v>90</v>
      </c>
      <c r="AI222" s="28" t="s">
        <v>90</v>
      </c>
      <c r="AJ222" s="28" t="s">
        <v>90</v>
      </c>
      <c r="AK222" s="28" t="s">
        <v>90</v>
      </c>
      <c r="AL222" s="28" t="s">
        <v>90</v>
      </c>
      <c r="AM222" s="28" t="s">
        <v>90</v>
      </c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9">
        <v>28.38</v>
      </c>
      <c r="AY222" s="31"/>
      <c r="AZ222" s="30"/>
      <c r="BA222" s="29"/>
      <c r="BB222" s="29"/>
      <c r="BC222" s="30"/>
      <c r="BD222" s="31">
        <f t="shared" si="39"/>
        <v>1901.46</v>
      </c>
      <c r="BE222" s="31"/>
      <c r="BF222" s="30"/>
      <c r="BG222" s="36">
        <v>1</v>
      </c>
      <c r="BH222" s="31">
        <f t="shared" si="43"/>
        <v>0</v>
      </c>
      <c r="BI222" s="31">
        <f t="shared" si="44"/>
        <v>0</v>
      </c>
      <c r="BJ222" s="33">
        <f t="shared" si="45"/>
        <v>0</v>
      </c>
      <c r="BK222" s="30"/>
      <c r="BL222" s="30"/>
      <c r="BM222" s="30"/>
      <c r="BN222" s="31">
        <f>IF((AX222+AY222+AZ222)&lt;20,(20-(AX222+AY222+AZ222)),0)</f>
        <v>0</v>
      </c>
      <c r="BO222" s="33">
        <f t="shared" si="40"/>
        <v>0</v>
      </c>
      <c r="BP222" s="30">
        <v>9</v>
      </c>
      <c r="BQ222" s="30">
        <v>0</v>
      </c>
      <c r="BR222" s="30"/>
      <c r="BS222" s="30"/>
      <c r="BT222" s="34">
        <f t="shared" si="41"/>
        <v>28.38</v>
      </c>
      <c r="BU222" s="34"/>
      <c r="BV222" s="34"/>
      <c r="BW222" s="34"/>
      <c r="BX222" s="34"/>
      <c r="BY222" s="30"/>
      <c r="BZ222" s="31">
        <f t="shared" si="37"/>
        <v>255.42</v>
      </c>
      <c r="CA222" s="31">
        <f t="shared" si="42"/>
        <v>0</v>
      </c>
    </row>
    <row r="223" spans="1:79" ht="51" x14ac:dyDescent="0.25">
      <c r="A223" s="17"/>
      <c r="B223" s="2">
        <v>217</v>
      </c>
      <c r="C223" s="18">
        <v>121</v>
      </c>
      <c r="D223" s="18">
        <v>173</v>
      </c>
      <c r="E223" s="59">
        <v>0.26874999999999999</v>
      </c>
      <c r="F223" s="59">
        <v>0.27152777777777776</v>
      </c>
      <c r="G223" s="18" t="s">
        <v>678</v>
      </c>
      <c r="H223" s="18" t="s">
        <v>306</v>
      </c>
      <c r="I223" s="20">
        <v>1.5</v>
      </c>
      <c r="J223" s="21" t="s">
        <v>541</v>
      </c>
      <c r="K223" s="22">
        <v>208</v>
      </c>
      <c r="L223" s="23">
        <f t="shared" si="38"/>
        <v>312</v>
      </c>
      <c r="M223" s="24" t="s">
        <v>542</v>
      </c>
      <c r="N223" s="25" t="s">
        <v>543</v>
      </c>
      <c r="O223" s="25">
        <v>9</v>
      </c>
      <c r="P223" s="25" t="s">
        <v>544</v>
      </c>
      <c r="Q223" s="25">
        <v>18</v>
      </c>
      <c r="R223" s="17"/>
      <c r="S223" s="25"/>
      <c r="T223" s="26" t="s">
        <v>679</v>
      </c>
      <c r="U223" s="26" t="s">
        <v>680</v>
      </c>
      <c r="V223" s="26">
        <v>1125</v>
      </c>
      <c r="W223" s="26" t="s">
        <v>681</v>
      </c>
      <c r="X223" s="66">
        <v>44816</v>
      </c>
      <c r="Y223" s="66">
        <v>45086</v>
      </c>
      <c r="Z223" s="66"/>
      <c r="AA223" s="66"/>
      <c r="AB223" s="26" t="s">
        <v>309</v>
      </c>
      <c r="AC223" s="26"/>
      <c r="AD223" s="28"/>
      <c r="AE223" s="28"/>
      <c r="AF223" s="28"/>
      <c r="AG223" s="28" t="s">
        <v>90</v>
      </c>
      <c r="AH223" s="28" t="s">
        <v>90</v>
      </c>
      <c r="AI223" s="28" t="s">
        <v>90</v>
      </c>
      <c r="AJ223" s="28" t="s">
        <v>90</v>
      </c>
      <c r="AK223" s="28" t="s">
        <v>90</v>
      </c>
      <c r="AL223" s="28" t="s">
        <v>90</v>
      </c>
      <c r="AM223" s="28" t="s">
        <v>90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9">
        <v>2.7</v>
      </c>
      <c r="AY223" s="31"/>
      <c r="AZ223" s="30"/>
      <c r="BA223" s="29"/>
      <c r="BB223" s="29"/>
      <c r="BC223" s="30"/>
      <c r="BD223" s="31">
        <f t="shared" si="39"/>
        <v>561.6</v>
      </c>
      <c r="BE223" s="31"/>
      <c r="BF223" s="30"/>
      <c r="BG223" s="36">
        <v>1</v>
      </c>
      <c r="BH223" s="31">
        <f t="shared" si="43"/>
        <v>0.29999999999999982</v>
      </c>
      <c r="BI223" s="31">
        <f t="shared" si="44"/>
        <v>0</v>
      </c>
      <c r="BJ223" s="31">
        <f t="shared" si="45"/>
        <v>62.399999999999963</v>
      </c>
      <c r="BK223" s="30"/>
      <c r="BL223" s="30"/>
      <c r="BM223" s="30"/>
      <c r="BN223" s="31">
        <f>IF((AX223+AY223+AZ223+BH223)&lt;20,(20-(AX223+AY223+AZ223)),0)</f>
        <v>17.3</v>
      </c>
      <c r="BO223" s="33">
        <f t="shared" si="40"/>
        <v>3598.4</v>
      </c>
      <c r="BP223" s="30">
        <v>17</v>
      </c>
      <c r="BQ223" s="30">
        <v>25</v>
      </c>
      <c r="BR223" s="30"/>
      <c r="BS223" s="30"/>
      <c r="BT223" s="34">
        <f t="shared" si="41"/>
        <v>20.3</v>
      </c>
      <c r="BU223" s="34"/>
      <c r="BV223" s="34"/>
      <c r="BW223" s="34"/>
      <c r="BX223" s="34"/>
      <c r="BY223" s="30"/>
      <c r="BZ223" s="31">
        <f t="shared" si="37"/>
        <v>345.1</v>
      </c>
      <c r="CA223" s="31">
        <f t="shared" si="42"/>
        <v>507.5</v>
      </c>
    </row>
    <row r="224" spans="1:79" ht="45" x14ac:dyDescent="0.25">
      <c r="A224" s="17"/>
      <c r="B224" s="2">
        <v>218</v>
      </c>
      <c r="C224" s="18">
        <v>121</v>
      </c>
      <c r="D224" s="18">
        <v>72</v>
      </c>
      <c r="E224" s="19">
        <v>0.27777777777777779</v>
      </c>
      <c r="F224" s="19">
        <v>0.28472222222222221</v>
      </c>
      <c r="G224" s="18" t="s">
        <v>676</v>
      </c>
      <c r="H224" s="18" t="s">
        <v>422</v>
      </c>
      <c r="I224" s="20">
        <v>5.5</v>
      </c>
      <c r="J224" s="21" t="s">
        <v>541</v>
      </c>
      <c r="K224" s="22">
        <v>240</v>
      </c>
      <c r="L224" s="23">
        <f t="shared" si="38"/>
        <v>1320</v>
      </c>
      <c r="M224" s="24" t="s">
        <v>542</v>
      </c>
      <c r="N224" s="25" t="s">
        <v>543</v>
      </c>
      <c r="O224" s="25">
        <v>9</v>
      </c>
      <c r="P224" s="25" t="s">
        <v>544</v>
      </c>
      <c r="Q224" s="25">
        <v>18</v>
      </c>
      <c r="R224" s="17"/>
      <c r="S224" s="25"/>
      <c r="T224" s="26">
        <v>4070</v>
      </c>
      <c r="U224" s="26" t="s">
        <v>677</v>
      </c>
      <c r="V224" s="26">
        <v>1122</v>
      </c>
      <c r="W224" s="26" t="s">
        <v>304</v>
      </c>
      <c r="X224" s="27">
        <v>44816</v>
      </c>
      <c r="Y224" s="27">
        <v>45100</v>
      </c>
      <c r="Z224" s="27"/>
      <c r="AA224" s="27"/>
      <c r="AB224" s="26" t="s">
        <v>423</v>
      </c>
      <c r="AC224" s="26"/>
      <c r="AD224" s="28" t="s">
        <v>90</v>
      </c>
      <c r="AE224" s="28"/>
      <c r="AF224" s="28" t="s">
        <v>90</v>
      </c>
      <c r="AG224" s="28"/>
      <c r="AH224" s="28" t="s">
        <v>90</v>
      </c>
      <c r="AI224" s="28" t="s">
        <v>90</v>
      </c>
      <c r="AJ224" s="28" t="s">
        <v>90</v>
      </c>
      <c r="AK224" s="28" t="s">
        <v>90</v>
      </c>
      <c r="AL224" s="28" t="s">
        <v>90</v>
      </c>
      <c r="AM224" s="28" t="s">
        <v>90</v>
      </c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9">
        <v>28.38</v>
      </c>
      <c r="AY224" s="31"/>
      <c r="AZ224" s="30"/>
      <c r="BA224" s="29"/>
      <c r="BB224" s="29"/>
      <c r="BC224" s="30"/>
      <c r="BD224" s="31">
        <f t="shared" si="39"/>
        <v>6811.2</v>
      </c>
      <c r="BE224" s="31"/>
      <c r="BF224" s="30"/>
      <c r="BG224" s="36">
        <v>1</v>
      </c>
      <c r="BH224" s="31">
        <f t="shared" si="43"/>
        <v>0</v>
      </c>
      <c r="BI224" s="31">
        <f t="shared" si="44"/>
        <v>0</v>
      </c>
      <c r="BJ224" s="33">
        <f t="shared" si="45"/>
        <v>0</v>
      </c>
      <c r="BK224" s="30"/>
      <c r="BL224" s="30"/>
      <c r="BM224" s="30"/>
      <c r="BN224" s="31">
        <f>IF((AX224+AY224+AZ224)&lt;20,(20-(AX224+AY224+AZ224)),0)</f>
        <v>0</v>
      </c>
      <c r="BO224" s="33">
        <f t="shared" si="40"/>
        <v>0</v>
      </c>
      <c r="BP224" s="30">
        <v>17</v>
      </c>
      <c r="BQ224" s="30">
        <v>26</v>
      </c>
      <c r="BR224" s="30"/>
      <c r="BS224" s="30"/>
      <c r="BT224" s="34">
        <f t="shared" si="41"/>
        <v>28.38</v>
      </c>
      <c r="BU224" s="34"/>
      <c r="BV224" s="34"/>
      <c r="BW224" s="34"/>
      <c r="BX224" s="34"/>
      <c r="BY224" s="30"/>
      <c r="BZ224" s="31">
        <f t="shared" si="37"/>
        <v>482.46</v>
      </c>
      <c r="CA224" s="31">
        <f t="shared" si="42"/>
        <v>737.88</v>
      </c>
    </row>
    <row r="225" spans="1:79" ht="45" x14ac:dyDescent="0.25">
      <c r="A225" s="17"/>
      <c r="B225" s="2">
        <v>219</v>
      </c>
      <c r="C225" s="18">
        <v>121</v>
      </c>
      <c r="D225" s="18">
        <v>65</v>
      </c>
      <c r="E225" s="19">
        <v>0.2951388888888889</v>
      </c>
      <c r="F225" s="19">
        <v>0.30208333333333331</v>
      </c>
      <c r="G225" s="18" t="s">
        <v>682</v>
      </c>
      <c r="H225" s="18" t="s">
        <v>454</v>
      </c>
      <c r="I225" s="20">
        <v>5.5</v>
      </c>
      <c r="J225" s="21" t="s">
        <v>541</v>
      </c>
      <c r="K225" s="22">
        <v>304</v>
      </c>
      <c r="L225" s="23">
        <f t="shared" si="38"/>
        <v>1672</v>
      </c>
      <c r="M225" s="24" t="s">
        <v>542</v>
      </c>
      <c r="N225" s="25" t="s">
        <v>543</v>
      </c>
      <c r="O225" s="25">
        <v>9</v>
      </c>
      <c r="P225" s="25" t="s">
        <v>544</v>
      </c>
      <c r="Q225" s="25">
        <v>18</v>
      </c>
      <c r="R225" s="17"/>
      <c r="S225" s="25"/>
      <c r="T225" s="26">
        <v>1122</v>
      </c>
      <c r="U225" s="26" t="s">
        <v>304</v>
      </c>
      <c r="V225" s="26">
        <v>4070</v>
      </c>
      <c r="W225" s="26" t="s">
        <v>677</v>
      </c>
      <c r="X225" s="66">
        <v>44805</v>
      </c>
      <c r="Y225" s="66">
        <v>45169</v>
      </c>
      <c r="Z225" s="66"/>
      <c r="AA225" s="66"/>
      <c r="AB225" s="28" t="s">
        <v>459</v>
      </c>
      <c r="AC225" s="28"/>
      <c r="AD225" s="28" t="s">
        <v>90</v>
      </c>
      <c r="AE225" s="28" t="s">
        <v>90</v>
      </c>
      <c r="AF225" s="28" t="s">
        <v>90</v>
      </c>
      <c r="AG225" s="28"/>
      <c r="AH225" s="28" t="s">
        <v>90</v>
      </c>
      <c r="AI225" s="28" t="s">
        <v>90</v>
      </c>
      <c r="AJ225" s="28" t="s">
        <v>90</v>
      </c>
      <c r="AK225" s="28" t="s">
        <v>90</v>
      </c>
      <c r="AL225" s="28" t="s">
        <v>90</v>
      </c>
      <c r="AM225" s="28" t="s">
        <v>90</v>
      </c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9">
        <v>28.38</v>
      </c>
      <c r="AY225" s="31"/>
      <c r="AZ225" s="30"/>
      <c r="BA225" s="29"/>
      <c r="BB225" s="29"/>
      <c r="BC225" s="30"/>
      <c r="BD225" s="31">
        <f t="shared" si="39"/>
        <v>8627.52</v>
      </c>
      <c r="BE225" s="31"/>
      <c r="BF225" s="30"/>
      <c r="BG225" s="36">
        <v>1</v>
      </c>
      <c r="BH225" s="31">
        <f t="shared" si="43"/>
        <v>0</v>
      </c>
      <c r="BI225" s="31">
        <f t="shared" si="44"/>
        <v>0</v>
      </c>
      <c r="BJ225" s="33">
        <f t="shared" si="45"/>
        <v>0</v>
      </c>
      <c r="BK225" s="30"/>
      <c r="BL225" s="30"/>
      <c r="BM225" s="30"/>
      <c r="BN225" s="30"/>
      <c r="BO225" s="33">
        <f t="shared" si="40"/>
        <v>0</v>
      </c>
      <c r="BP225" s="30">
        <v>26</v>
      </c>
      <c r="BQ225" s="30">
        <v>26</v>
      </c>
      <c r="BR225" s="30"/>
      <c r="BS225" s="30"/>
      <c r="BT225" s="34">
        <f t="shared" si="41"/>
        <v>28.38</v>
      </c>
      <c r="BU225" s="34"/>
      <c r="BV225" s="34"/>
      <c r="BW225" s="34"/>
      <c r="BX225" s="34"/>
      <c r="BY225" s="30"/>
      <c r="BZ225" s="31">
        <f t="shared" si="37"/>
        <v>737.88</v>
      </c>
      <c r="CA225" s="31">
        <f t="shared" si="42"/>
        <v>737.88</v>
      </c>
    </row>
    <row r="226" spans="1:79" ht="45" x14ac:dyDescent="0.25">
      <c r="A226" s="17"/>
      <c r="B226" s="2">
        <v>220</v>
      </c>
      <c r="C226" s="18">
        <v>121</v>
      </c>
      <c r="D226" s="18">
        <v>74</v>
      </c>
      <c r="E226" s="19">
        <v>0.54861111111111105</v>
      </c>
      <c r="F226" s="19">
        <v>0.55555555555555558</v>
      </c>
      <c r="G226" s="18" t="s">
        <v>676</v>
      </c>
      <c r="H226" s="18" t="s">
        <v>422</v>
      </c>
      <c r="I226" s="20">
        <v>5.5</v>
      </c>
      <c r="J226" s="21" t="s">
        <v>541</v>
      </c>
      <c r="K226" s="22">
        <v>240</v>
      </c>
      <c r="L226" s="23">
        <f t="shared" si="38"/>
        <v>1320</v>
      </c>
      <c r="M226" s="24" t="s">
        <v>542</v>
      </c>
      <c r="N226" s="25" t="s">
        <v>544</v>
      </c>
      <c r="O226" s="25">
        <v>18</v>
      </c>
      <c r="P226" s="25" t="s">
        <v>543</v>
      </c>
      <c r="Q226" s="25">
        <v>9</v>
      </c>
      <c r="R226" s="17"/>
      <c r="S226" s="25"/>
      <c r="T226" s="26">
        <v>4070</v>
      </c>
      <c r="U226" s="26" t="s">
        <v>677</v>
      </c>
      <c r="V226" s="26">
        <v>1122</v>
      </c>
      <c r="W226" s="26" t="s">
        <v>304</v>
      </c>
      <c r="X226" s="27">
        <v>44816</v>
      </c>
      <c r="Y226" s="27">
        <v>45100</v>
      </c>
      <c r="Z226" s="27"/>
      <c r="AA226" s="27"/>
      <c r="AB226" s="26" t="s">
        <v>423</v>
      </c>
      <c r="AC226" s="26"/>
      <c r="AD226" s="28" t="s">
        <v>90</v>
      </c>
      <c r="AE226" s="28"/>
      <c r="AF226" s="28" t="s">
        <v>90</v>
      </c>
      <c r="AG226" s="28"/>
      <c r="AH226" s="28" t="s">
        <v>90</v>
      </c>
      <c r="AI226" s="28" t="s">
        <v>90</v>
      </c>
      <c r="AJ226" s="28" t="s">
        <v>90</v>
      </c>
      <c r="AK226" s="28" t="s">
        <v>90</v>
      </c>
      <c r="AL226" s="28" t="s">
        <v>90</v>
      </c>
      <c r="AM226" s="28" t="s">
        <v>90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9">
        <v>28.38</v>
      </c>
      <c r="AY226" s="31"/>
      <c r="AZ226" s="30"/>
      <c r="BA226" s="29"/>
      <c r="BB226" s="29"/>
      <c r="BC226" s="30"/>
      <c r="BD226" s="31">
        <f t="shared" si="39"/>
        <v>6811.2</v>
      </c>
      <c r="BE226" s="31"/>
      <c r="BF226" s="30"/>
      <c r="BG226" s="36">
        <v>1</v>
      </c>
      <c r="BH226" s="31">
        <f t="shared" si="43"/>
        <v>0</v>
      </c>
      <c r="BI226" s="31">
        <f t="shared" si="44"/>
        <v>0</v>
      </c>
      <c r="BJ226" s="33">
        <f t="shared" si="45"/>
        <v>0</v>
      </c>
      <c r="BK226" s="30"/>
      <c r="BL226" s="30"/>
      <c r="BM226" s="30"/>
      <c r="BN226" s="30"/>
      <c r="BO226" s="33">
        <f t="shared" si="40"/>
        <v>0</v>
      </c>
      <c r="BP226" s="30">
        <v>17</v>
      </c>
      <c r="BQ226" s="30">
        <v>26</v>
      </c>
      <c r="BR226" s="30"/>
      <c r="BS226" s="30"/>
      <c r="BT226" s="34">
        <f t="shared" si="41"/>
        <v>28.38</v>
      </c>
      <c r="BU226" s="34"/>
      <c r="BV226" s="34"/>
      <c r="BW226" s="34"/>
      <c r="BX226" s="34"/>
      <c r="BY226" s="30"/>
      <c r="BZ226" s="31">
        <f t="shared" si="37"/>
        <v>482.46</v>
      </c>
      <c r="CA226" s="31">
        <f t="shared" si="42"/>
        <v>737.88</v>
      </c>
    </row>
    <row r="227" spans="1:79" ht="45" x14ac:dyDescent="0.25">
      <c r="A227" s="17"/>
      <c r="B227" s="2">
        <v>221</v>
      </c>
      <c r="C227" s="18">
        <v>121</v>
      </c>
      <c r="D227" s="18">
        <v>74</v>
      </c>
      <c r="E227" s="19">
        <v>0.55555555555555558</v>
      </c>
      <c r="F227" s="19">
        <v>0.5625</v>
      </c>
      <c r="G227" s="18" t="s">
        <v>676</v>
      </c>
      <c r="H227" s="18" t="s">
        <v>316</v>
      </c>
      <c r="I227" s="20">
        <v>5.5</v>
      </c>
      <c r="J227" s="21" t="s">
        <v>541</v>
      </c>
      <c r="K227" s="22">
        <v>67</v>
      </c>
      <c r="L227" s="23">
        <f t="shared" si="38"/>
        <v>368.5</v>
      </c>
      <c r="M227" s="24" t="s">
        <v>542</v>
      </c>
      <c r="N227" s="25" t="s">
        <v>544</v>
      </c>
      <c r="O227" s="25">
        <v>18</v>
      </c>
      <c r="P227" s="25" t="s">
        <v>543</v>
      </c>
      <c r="Q227" s="25">
        <v>9</v>
      </c>
      <c r="R227" s="17"/>
      <c r="S227" s="25"/>
      <c r="T227" s="26">
        <v>4070</v>
      </c>
      <c r="U227" s="26" t="s">
        <v>677</v>
      </c>
      <c r="V227" s="26">
        <v>1122</v>
      </c>
      <c r="W227" s="26" t="s">
        <v>304</v>
      </c>
      <c r="X227" s="27">
        <v>44562</v>
      </c>
      <c r="Y227" s="27">
        <v>44815</v>
      </c>
      <c r="Z227" s="27">
        <v>45101</v>
      </c>
      <c r="AA227" s="27">
        <v>45169</v>
      </c>
      <c r="AB227" s="28" t="s">
        <v>89</v>
      </c>
      <c r="AC227" s="28"/>
      <c r="AD227" s="28"/>
      <c r="AE227" s="28" t="s">
        <v>90</v>
      </c>
      <c r="AF227" s="28" t="s">
        <v>90</v>
      </c>
      <c r="AG227" s="28"/>
      <c r="AH227" s="28" t="s">
        <v>90</v>
      </c>
      <c r="AI227" s="28" t="s">
        <v>90</v>
      </c>
      <c r="AJ227" s="28" t="s">
        <v>90</v>
      </c>
      <c r="AK227" s="28" t="s">
        <v>90</v>
      </c>
      <c r="AL227" s="28" t="s">
        <v>90</v>
      </c>
      <c r="AM227" s="28" t="s">
        <v>90</v>
      </c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9">
        <v>28.38</v>
      </c>
      <c r="AY227" s="31"/>
      <c r="AZ227" s="30"/>
      <c r="BA227" s="29"/>
      <c r="BB227" s="29"/>
      <c r="BC227" s="30"/>
      <c r="BD227" s="31">
        <f t="shared" si="39"/>
        <v>1901.46</v>
      </c>
      <c r="BE227" s="31"/>
      <c r="BF227" s="30"/>
      <c r="BG227" s="36">
        <v>1</v>
      </c>
      <c r="BH227" s="31">
        <f t="shared" si="43"/>
        <v>0</v>
      </c>
      <c r="BI227" s="31">
        <f t="shared" si="44"/>
        <v>0</v>
      </c>
      <c r="BJ227" s="33">
        <f t="shared" si="45"/>
        <v>0</v>
      </c>
      <c r="BK227" s="30"/>
      <c r="BL227" s="30"/>
      <c r="BM227" s="30"/>
      <c r="BN227" s="30"/>
      <c r="BO227" s="33">
        <f t="shared" si="40"/>
        <v>0</v>
      </c>
      <c r="BP227" s="30">
        <v>9</v>
      </c>
      <c r="BQ227" s="30">
        <v>0</v>
      </c>
      <c r="BR227" s="30"/>
      <c r="BS227" s="30"/>
      <c r="BT227" s="34">
        <f t="shared" si="41"/>
        <v>28.38</v>
      </c>
      <c r="BU227" s="34"/>
      <c r="BV227" s="34"/>
      <c r="BW227" s="34"/>
      <c r="BX227" s="34"/>
      <c r="BY227" s="30"/>
      <c r="BZ227" s="31">
        <f t="shared" si="37"/>
        <v>255.42</v>
      </c>
      <c r="CA227" s="31">
        <f t="shared" si="42"/>
        <v>0</v>
      </c>
    </row>
    <row r="228" spans="1:79" ht="45" x14ac:dyDescent="0.25">
      <c r="A228" s="17"/>
      <c r="B228" s="2">
        <v>222</v>
      </c>
      <c r="C228" s="18">
        <v>121</v>
      </c>
      <c r="D228" s="18">
        <v>67</v>
      </c>
      <c r="E228" s="19">
        <v>0.56597222222222221</v>
      </c>
      <c r="F228" s="19">
        <v>0.57291666666666663</v>
      </c>
      <c r="G228" s="18" t="s">
        <v>682</v>
      </c>
      <c r="H228" s="18" t="s">
        <v>454</v>
      </c>
      <c r="I228" s="20">
        <v>5.5</v>
      </c>
      <c r="J228" s="21" t="s">
        <v>541</v>
      </c>
      <c r="K228" s="22">
        <v>304</v>
      </c>
      <c r="L228" s="23">
        <f t="shared" si="38"/>
        <v>1672</v>
      </c>
      <c r="M228" s="24" t="s">
        <v>542</v>
      </c>
      <c r="N228" s="25" t="s">
        <v>544</v>
      </c>
      <c r="O228" s="25">
        <v>18</v>
      </c>
      <c r="P228" s="25" t="s">
        <v>543</v>
      </c>
      <c r="Q228" s="25">
        <v>9</v>
      </c>
      <c r="R228" s="17"/>
      <c r="S228" s="25"/>
      <c r="T228" s="26">
        <v>1122</v>
      </c>
      <c r="U228" s="26" t="s">
        <v>304</v>
      </c>
      <c r="V228" s="26">
        <v>4070</v>
      </c>
      <c r="W228" s="26" t="s">
        <v>677</v>
      </c>
      <c r="X228" s="66">
        <v>44805</v>
      </c>
      <c r="Y228" s="66">
        <v>45169</v>
      </c>
      <c r="Z228" s="66"/>
      <c r="AA228" s="66"/>
      <c r="AB228" s="28" t="s">
        <v>459</v>
      </c>
      <c r="AC228" s="28"/>
      <c r="AD228" s="28" t="s">
        <v>90</v>
      </c>
      <c r="AE228" s="28" t="s">
        <v>90</v>
      </c>
      <c r="AF228" s="28" t="s">
        <v>90</v>
      </c>
      <c r="AG228" s="28"/>
      <c r="AH228" s="28" t="s">
        <v>90</v>
      </c>
      <c r="AI228" s="28" t="s">
        <v>90</v>
      </c>
      <c r="AJ228" s="28" t="s">
        <v>90</v>
      </c>
      <c r="AK228" s="28" t="s">
        <v>90</v>
      </c>
      <c r="AL228" s="28" t="s">
        <v>90</v>
      </c>
      <c r="AM228" s="28" t="s">
        <v>90</v>
      </c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9">
        <v>28.38</v>
      </c>
      <c r="AY228" s="31"/>
      <c r="AZ228" s="30"/>
      <c r="BA228" s="29"/>
      <c r="BB228" s="29"/>
      <c r="BC228" s="30"/>
      <c r="BD228" s="31">
        <f t="shared" si="39"/>
        <v>8627.52</v>
      </c>
      <c r="BE228" s="31"/>
      <c r="BF228" s="30"/>
      <c r="BG228" s="36">
        <v>1</v>
      </c>
      <c r="BH228" s="31">
        <f t="shared" si="43"/>
        <v>0</v>
      </c>
      <c r="BI228" s="31">
        <f t="shared" si="44"/>
        <v>0</v>
      </c>
      <c r="BJ228" s="33">
        <f t="shared" si="45"/>
        <v>0</v>
      </c>
      <c r="BK228" s="30"/>
      <c r="BL228" s="30"/>
      <c r="BM228" s="30"/>
      <c r="BN228" s="30"/>
      <c r="BO228" s="33">
        <f t="shared" si="40"/>
        <v>0</v>
      </c>
      <c r="BP228" s="30">
        <v>26</v>
      </c>
      <c r="BQ228" s="30">
        <v>26</v>
      </c>
      <c r="BR228" s="30"/>
      <c r="BS228" s="30"/>
      <c r="BT228" s="34">
        <f t="shared" si="41"/>
        <v>28.38</v>
      </c>
      <c r="BU228" s="34"/>
      <c r="BV228" s="34"/>
      <c r="BW228" s="34"/>
      <c r="BX228" s="34"/>
      <c r="BY228" s="30"/>
      <c r="BZ228" s="31">
        <f t="shared" si="37"/>
        <v>737.88</v>
      </c>
      <c r="CA228" s="31">
        <f t="shared" si="42"/>
        <v>737.88</v>
      </c>
    </row>
    <row r="229" spans="1:79" ht="76.5" x14ac:dyDescent="0.25">
      <c r="A229" s="17"/>
      <c r="B229" s="2">
        <v>223</v>
      </c>
      <c r="C229" s="18">
        <v>121</v>
      </c>
      <c r="D229" s="18">
        <v>67</v>
      </c>
      <c r="E229" s="19">
        <v>0.57291666666666663</v>
      </c>
      <c r="F229" s="19">
        <v>0.57986111111111105</v>
      </c>
      <c r="G229" s="18" t="s">
        <v>683</v>
      </c>
      <c r="H229" s="18" t="s">
        <v>684</v>
      </c>
      <c r="I229" s="20">
        <v>4</v>
      </c>
      <c r="J229" s="21" t="s">
        <v>541</v>
      </c>
      <c r="K229" s="22">
        <v>36</v>
      </c>
      <c r="L229" s="23">
        <f t="shared" si="38"/>
        <v>144</v>
      </c>
      <c r="M229" s="24" t="s">
        <v>542</v>
      </c>
      <c r="N229" s="25" t="s">
        <v>544</v>
      </c>
      <c r="O229" s="25">
        <v>18</v>
      </c>
      <c r="P229" s="25" t="s">
        <v>543</v>
      </c>
      <c r="Q229" s="25">
        <v>9</v>
      </c>
      <c r="R229" s="17"/>
      <c r="S229" s="25"/>
      <c r="T229" s="26">
        <v>4070</v>
      </c>
      <c r="U229" s="26" t="s">
        <v>677</v>
      </c>
      <c r="V229" s="26" t="s">
        <v>685</v>
      </c>
      <c r="W229" s="26" t="s">
        <v>686</v>
      </c>
      <c r="X229" s="66">
        <v>44816</v>
      </c>
      <c r="Y229" s="66">
        <v>45086</v>
      </c>
      <c r="Z229" s="66"/>
      <c r="AA229" s="66"/>
      <c r="AB229" s="28" t="s">
        <v>687</v>
      </c>
      <c r="AC229" s="28"/>
      <c r="AD229" s="28"/>
      <c r="AE229" s="28"/>
      <c r="AF229" s="28"/>
      <c r="AG229" s="28" t="s">
        <v>90</v>
      </c>
      <c r="AH229" s="28"/>
      <c r="AI229" s="28"/>
      <c r="AJ229" s="28"/>
      <c r="AK229" s="28"/>
      <c r="AL229" s="28" t="s">
        <v>90</v>
      </c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9">
        <v>10.33</v>
      </c>
      <c r="AY229" s="30"/>
      <c r="AZ229" s="30"/>
      <c r="BA229" s="29"/>
      <c r="BB229" s="29"/>
      <c r="BC229" s="30"/>
      <c r="BD229" s="31">
        <f t="shared" si="39"/>
        <v>371.88</v>
      </c>
      <c r="BE229" s="31"/>
      <c r="BF229" s="30"/>
      <c r="BG229" s="36">
        <v>1</v>
      </c>
      <c r="BH229" s="31">
        <f t="shared" si="43"/>
        <v>0</v>
      </c>
      <c r="BI229" s="31">
        <f t="shared" si="44"/>
        <v>0</v>
      </c>
      <c r="BJ229" s="33">
        <f t="shared" si="45"/>
        <v>0</v>
      </c>
      <c r="BK229" s="30"/>
      <c r="BL229" s="30"/>
      <c r="BM229" s="30"/>
      <c r="BN229" s="30"/>
      <c r="BO229" s="33">
        <f t="shared" si="40"/>
        <v>0</v>
      </c>
      <c r="BP229" s="30">
        <v>3</v>
      </c>
      <c r="BQ229" s="30">
        <v>4</v>
      </c>
      <c r="BR229" s="30"/>
      <c r="BS229" s="30"/>
      <c r="BT229" s="34">
        <f t="shared" si="41"/>
        <v>10.33</v>
      </c>
      <c r="BU229" s="34"/>
      <c r="BV229" s="34"/>
      <c r="BW229" s="34"/>
      <c r="BX229" s="34"/>
      <c r="BY229" s="30"/>
      <c r="BZ229" s="31">
        <f t="shared" si="37"/>
        <v>30.990000000000002</v>
      </c>
      <c r="CA229" s="31">
        <f t="shared" si="42"/>
        <v>41.32</v>
      </c>
    </row>
    <row r="230" spans="1:79" ht="51" x14ac:dyDescent="0.25">
      <c r="A230" s="17"/>
      <c r="B230" s="2">
        <v>224</v>
      </c>
      <c r="C230" s="58">
        <v>121</v>
      </c>
      <c r="D230" s="18">
        <v>67</v>
      </c>
      <c r="E230" s="19">
        <v>0.57986111111111105</v>
      </c>
      <c r="F230" s="19">
        <v>0.59236111111111112</v>
      </c>
      <c r="G230" s="18" t="s">
        <v>688</v>
      </c>
      <c r="H230" s="18" t="s">
        <v>689</v>
      </c>
      <c r="I230" s="20">
        <v>12.4</v>
      </c>
      <c r="J230" s="21" t="s">
        <v>516</v>
      </c>
      <c r="K230" s="22">
        <v>36</v>
      </c>
      <c r="L230" s="23">
        <f t="shared" si="38"/>
        <v>446.40000000000003</v>
      </c>
      <c r="M230" s="24" t="s">
        <v>542</v>
      </c>
      <c r="N230" s="25" t="s">
        <v>544</v>
      </c>
      <c r="O230" s="25">
        <v>18</v>
      </c>
      <c r="P230" s="25" t="s">
        <v>543</v>
      </c>
      <c r="Q230" s="25">
        <v>9</v>
      </c>
      <c r="R230" s="17"/>
      <c r="S230" s="25"/>
      <c r="T230" s="26" t="s">
        <v>685</v>
      </c>
      <c r="U230" s="26" t="s">
        <v>686</v>
      </c>
      <c r="V230" s="26" t="s">
        <v>690</v>
      </c>
      <c r="W230" s="26" t="s">
        <v>691</v>
      </c>
      <c r="X230" s="66">
        <v>44816</v>
      </c>
      <c r="Y230" s="66">
        <v>45086</v>
      </c>
      <c r="Z230" s="66"/>
      <c r="AA230" s="66"/>
      <c r="AB230" s="28" t="s">
        <v>687</v>
      </c>
      <c r="AC230" s="28"/>
      <c r="AD230" s="28"/>
      <c r="AE230" s="28"/>
      <c r="AF230" s="28"/>
      <c r="AG230" s="28" t="s">
        <v>90</v>
      </c>
      <c r="AH230" s="28"/>
      <c r="AI230" s="28"/>
      <c r="AJ230" s="28"/>
      <c r="AK230" s="28"/>
      <c r="AL230" s="28" t="s">
        <v>90</v>
      </c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9">
        <f>18+7.2</f>
        <v>25.2</v>
      </c>
      <c r="AY230" s="30"/>
      <c r="AZ230" s="30"/>
      <c r="BA230" s="29"/>
      <c r="BB230" s="29"/>
      <c r="BC230" s="30"/>
      <c r="BD230" s="31">
        <f t="shared" si="39"/>
        <v>907.19999999999993</v>
      </c>
      <c r="BE230" s="31"/>
      <c r="BF230" s="30"/>
      <c r="BG230" s="36">
        <v>1</v>
      </c>
      <c r="BH230" s="31">
        <f t="shared" si="43"/>
        <v>0</v>
      </c>
      <c r="BI230" s="31">
        <f t="shared" si="44"/>
        <v>0</v>
      </c>
      <c r="BJ230" s="33">
        <f t="shared" si="45"/>
        <v>0</v>
      </c>
      <c r="BK230" s="30"/>
      <c r="BL230" s="30"/>
      <c r="BM230" s="30"/>
      <c r="BN230" s="30"/>
      <c r="BO230" s="33">
        <f t="shared" si="40"/>
        <v>0</v>
      </c>
      <c r="BP230" s="30">
        <v>3</v>
      </c>
      <c r="BQ230" s="30">
        <v>4</v>
      </c>
      <c r="BR230" s="30"/>
      <c r="BS230" s="30"/>
      <c r="BT230" s="34">
        <f t="shared" si="41"/>
        <v>25.2</v>
      </c>
      <c r="BU230" s="34"/>
      <c r="BV230" s="34"/>
      <c r="BW230" s="34"/>
      <c r="BX230" s="34"/>
      <c r="BY230" s="30"/>
      <c r="BZ230" s="31">
        <f t="shared" si="37"/>
        <v>75.599999999999994</v>
      </c>
      <c r="CA230" s="31">
        <f t="shared" si="42"/>
        <v>100.8</v>
      </c>
    </row>
    <row r="231" spans="1:79" ht="51" x14ac:dyDescent="0.25">
      <c r="A231" s="17"/>
      <c r="B231" s="2">
        <v>225</v>
      </c>
      <c r="C231" s="18">
        <v>121</v>
      </c>
      <c r="D231" s="18">
        <v>437</v>
      </c>
      <c r="E231" s="19">
        <v>0.60277777777777775</v>
      </c>
      <c r="F231" s="19">
        <v>0.60763888888888895</v>
      </c>
      <c r="G231" s="18" t="s">
        <v>682</v>
      </c>
      <c r="H231" s="18" t="s">
        <v>306</v>
      </c>
      <c r="I231" s="20">
        <v>5.5</v>
      </c>
      <c r="J231" s="21" t="s">
        <v>541</v>
      </c>
      <c r="K231" s="22">
        <v>208</v>
      </c>
      <c r="L231" s="23">
        <f t="shared" si="38"/>
        <v>1144</v>
      </c>
      <c r="M231" s="24" t="s">
        <v>542</v>
      </c>
      <c r="N231" s="25" t="s">
        <v>544</v>
      </c>
      <c r="O231" s="25">
        <v>18</v>
      </c>
      <c r="P231" s="25" t="s">
        <v>543</v>
      </c>
      <c r="Q231" s="25">
        <v>9</v>
      </c>
      <c r="R231" s="17"/>
      <c r="S231" s="25"/>
      <c r="T231" s="26">
        <v>1122</v>
      </c>
      <c r="U231" s="26" t="s">
        <v>304</v>
      </c>
      <c r="V231" s="26">
        <v>4070</v>
      </c>
      <c r="W231" s="26" t="s">
        <v>677</v>
      </c>
      <c r="X231" s="66">
        <v>44816</v>
      </c>
      <c r="Y231" s="66">
        <v>45086</v>
      </c>
      <c r="Z231" s="66"/>
      <c r="AA231" s="66"/>
      <c r="AB231" s="26" t="s">
        <v>309</v>
      </c>
      <c r="AC231" s="26"/>
      <c r="AD231" s="28"/>
      <c r="AE231" s="28"/>
      <c r="AF231" s="28"/>
      <c r="AG231" s="28" t="s">
        <v>90</v>
      </c>
      <c r="AH231" s="28" t="s">
        <v>90</v>
      </c>
      <c r="AI231" s="28" t="s">
        <v>90</v>
      </c>
      <c r="AJ231" s="28" t="s">
        <v>90</v>
      </c>
      <c r="AK231" s="28" t="s">
        <v>90</v>
      </c>
      <c r="AL231" s="28" t="s">
        <v>90</v>
      </c>
      <c r="AM231" s="28" t="s">
        <v>90</v>
      </c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9">
        <v>14.58</v>
      </c>
      <c r="AY231" s="30"/>
      <c r="AZ231" s="30"/>
      <c r="BA231" s="29"/>
      <c r="BB231" s="29"/>
      <c r="BC231" s="30"/>
      <c r="BD231" s="31">
        <f t="shared" si="39"/>
        <v>3032.64</v>
      </c>
      <c r="BE231" s="31"/>
      <c r="BF231" s="30"/>
      <c r="BG231" s="36">
        <v>1</v>
      </c>
      <c r="BH231" s="31">
        <f t="shared" si="43"/>
        <v>0</v>
      </c>
      <c r="BI231" s="31">
        <f t="shared" si="44"/>
        <v>0</v>
      </c>
      <c r="BJ231" s="33">
        <f t="shared" si="45"/>
        <v>0</v>
      </c>
      <c r="BK231" s="30"/>
      <c r="BL231" s="30"/>
      <c r="BM231" s="30"/>
      <c r="BN231" s="30"/>
      <c r="BO231" s="33">
        <f t="shared" si="40"/>
        <v>0</v>
      </c>
      <c r="BP231" s="30">
        <v>17</v>
      </c>
      <c r="BQ231" s="30">
        <v>25</v>
      </c>
      <c r="BR231" s="30"/>
      <c r="BS231" s="30"/>
      <c r="BT231" s="34">
        <f t="shared" si="41"/>
        <v>14.58</v>
      </c>
      <c r="BU231" s="34"/>
      <c r="BV231" s="34"/>
      <c r="BW231" s="34"/>
      <c r="BX231" s="34"/>
      <c r="BY231" s="30"/>
      <c r="BZ231" s="31">
        <f t="shared" si="37"/>
        <v>247.86</v>
      </c>
      <c r="CA231" s="31">
        <f t="shared" si="42"/>
        <v>364.5</v>
      </c>
    </row>
    <row r="232" spans="1:79" ht="51" x14ac:dyDescent="0.25">
      <c r="A232" s="17"/>
      <c r="B232" s="2">
        <v>226</v>
      </c>
      <c r="C232" s="18">
        <v>121</v>
      </c>
      <c r="D232" s="18">
        <v>707</v>
      </c>
      <c r="E232" s="19">
        <v>0.68055555555555547</v>
      </c>
      <c r="F232" s="19">
        <v>0.6875</v>
      </c>
      <c r="G232" s="18" t="s">
        <v>692</v>
      </c>
      <c r="H232" s="18" t="s">
        <v>294</v>
      </c>
      <c r="I232" s="20">
        <v>5.5</v>
      </c>
      <c r="J232" s="21" t="s">
        <v>93</v>
      </c>
      <c r="K232" s="22">
        <f>34+34+36+33</f>
        <v>137</v>
      </c>
      <c r="L232" s="23">
        <f t="shared" si="38"/>
        <v>753.5</v>
      </c>
      <c r="M232" s="24" t="s">
        <v>542</v>
      </c>
      <c r="N232" s="25" t="s">
        <v>544</v>
      </c>
      <c r="O232" s="25">
        <v>18</v>
      </c>
      <c r="P232" s="25" t="s">
        <v>543</v>
      </c>
      <c r="Q232" s="25">
        <v>9</v>
      </c>
      <c r="R232" s="17"/>
      <c r="S232" s="25"/>
      <c r="T232" s="26">
        <v>1122</v>
      </c>
      <c r="U232" s="26" t="s">
        <v>304</v>
      </c>
      <c r="V232" s="26">
        <v>4070</v>
      </c>
      <c r="W232" s="26" t="s">
        <v>677</v>
      </c>
      <c r="X232" s="66">
        <v>44816</v>
      </c>
      <c r="Y232" s="66">
        <v>45086</v>
      </c>
      <c r="Z232" s="66"/>
      <c r="AA232" s="66"/>
      <c r="AB232" s="62" t="s">
        <v>298</v>
      </c>
      <c r="AC232" s="62"/>
      <c r="AD232" s="28"/>
      <c r="AE232" s="28"/>
      <c r="AF232" s="28"/>
      <c r="AG232" s="28" t="s">
        <v>90</v>
      </c>
      <c r="AH232" s="28" t="s">
        <v>90</v>
      </c>
      <c r="AI232" s="28" t="s">
        <v>90</v>
      </c>
      <c r="AJ232" s="28" t="s">
        <v>90</v>
      </c>
      <c r="AK232" s="28" t="s">
        <v>90</v>
      </c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9">
        <v>9.9</v>
      </c>
      <c r="AY232" s="30"/>
      <c r="AZ232" s="30"/>
      <c r="BA232" s="29"/>
      <c r="BB232" s="29"/>
      <c r="BC232" s="30"/>
      <c r="BD232" s="31">
        <f t="shared" si="39"/>
        <v>1356.3</v>
      </c>
      <c r="BE232" s="31"/>
      <c r="BF232" s="30"/>
      <c r="BG232" s="36">
        <v>1</v>
      </c>
      <c r="BH232" s="31">
        <f t="shared" si="43"/>
        <v>1.0999999999999996</v>
      </c>
      <c r="BI232" s="31">
        <f t="shared" si="44"/>
        <v>0</v>
      </c>
      <c r="BJ232" s="31">
        <f t="shared" si="45"/>
        <v>150.69999999999996</v>
      </c>
      <c r="BK232" s="30"/>
      <c r="BL232" s="30"/>
      <c r="BM232" s="30"/>
      <c r="BN232" s="30"/>
      <c r="BO232" s="33">
        <f t="shared" si="40"/>
        <v>0</v>
      </c>
      <c r="BP232" s="30">
        <v>12</v>
      </c>
      <c r="BQ232" s="30">
        <v>16</v>
      </c>
      <c r="BR232" s="30"/>
      <c r="BS232" s="30"/>
      <c r="BT232" s="34">
        <f t="shared" si="41"/>
        <v>11</v>
      </c>
      <c r="BU232" s="34"/>
      <c r="BV232" s="34"/>
      <c r="BW232" s="34"/>
      <c r="BX232" s="34"/>
      <c r="BY232" s="30"/>
      <c r="BZ232" s="31">
        <f t="shared" si="37"/>
        <v>132</v>
      </c>
      <c r="CA232" s="31">
        <f t="shared" si="42"/>
        <v>176</v>
      </c>
    </row>
    <row r="233" spans="1:79" ht="45" x14ac:dyDescent="0.25">
      <c r="A233" s="17"/>
      <c r="B233" s="2">
        <v>227</v>
      </c>
      <c r="C233" s="18">
        <v>121</v>
      </c>
      <c r="D233" s="18">
        <v>69</v>
      </c>
      <c r="E233" s="19">
        <v>0.73958333333333337</v>
      </c>
      <c r="F233" s="19">
        <v>0.74652777777777779</v>
      </c>
      <c r="G233" s="18" t="s">
        <v>682</v>
      </c>
      <c r="H233" s="18" t="s">
        <v>454</v>
      </c>
      <c r="I233" s="20">
        <v>5.5</v>
      </c>
      <c r="J233" s="21" t="s">
        <v>541</v>
      </c>
      <c r="K233" s="22">
        <v>304</v>
      </c>
      <c r="L233" s="23">
        <f t="shared" si="38"/>
        <v>1672</v>
      </c>
      <c r="M233" s="24" t="s">
        <v>542</v>
      </c>
      <c r="N233" s="25" t="s">
        <v>544</v>
      </c>
      <c r="O233" s="25">
        <v>18</v>
      </c>
      <c r="P233" s="25" t="s">
        <v>543</v>
      </c>
      <c r="Q233" s="25">
        <v>9</v>
      </c>
      <c r="R233" s="17"/>
      <c r="S233" s="25"/>
      <c r="T233" s="26">
        <v>1122</v>
      </c>
      <c r="U233" s="26" t="s">
        <v>304</v>
      </c>
      <c r="V233" s="26">
        <v>4070</v>
      </c>
      <c r="W233" s="26" t="s">
        <v>677</v>
      </c>
      <c r="X233" s="66">
        <v>44805</v>
      </c>
      <c r="Y233" s="66">
        <v>45169</v>
      </c>
      <c r="Z233" s="66"/>
      <c r="AA233" s="66"/>
      <c r="AB233" s="28" t="s">
        <v>459</v>
      </c>
      <c r="AC233" s="28"/>
      <c r="AD233" s="28" t="s">
        <v>90</v>
      </c>
      <c r="AE233" s="28" t="s">
        <v>90</v>
      </c>
      <c r="AF233" s="28" t="s">
        <v>90</v>
      </c>
      <c r="AG233" s="28"/>
      <c r="AH233" s="28" t="s">
        <v>90</v>
      </c>
      <c r="AI233" s="28" t="s">
        <v>90</v>
      </c>
      <c r="AJ233" s="28" t="s">
        <v>90</v>
      </c>
      <c r="AK233" s="28" t="s">
        <v>90</v>
      </c>
      <c r="AL233" s="28" t="s">
        <v>90</v>
      </c>
      <c r="AM233" s="28" t="s">
        <v>90</v>
      </c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9">
        <v>17.7</v>
      </c>
      <c r="AY233" s="30"/>
      <c r="AZ233" s="30"/>
      <c r="BA233" s="29"/>
      <c r="BB233" s="29"/>
      <c r="BC233" s="30"/>
      <c r="BD233" s="31">
        <f t="shared" si="39"/>
        <v>5380.8</v>
      </c>
      <c r="BE233" s="31"/>
      <c r="BF233" s="30"/>
      <c r="BG233" s="36">
        <v>1</v>
      </c>
      <c r="BH233" s="31">
        <f t="shared" si="43"/>
        <v>0</v>
      </c>
      <c r="BI233" s="31">
        <f t="shared" si="44"/>
        <v>0</v>
      </c>
      <c r="BJ233" s="33">
        <f t="shared" si="45"/>
        <v>0</v>
      </c>
      <c r="BK233" s="30"/>
      <c r="BL233" s="30"/>
      <c r="BM233" s="30"/>
      <c r="BN233" s="30"/>
      <c r="BO233" s="33">
        <f t="shared" si="40"/>
        <v>0</v>
      </c>
      <c r="BP233" s="30">
        <v>26</v>
      </c>
      <c r="BQ233" s="30">
        <v>26</v>
      </c>
      <c r="BR233" s="30"/>
      <c r="BS233" s="30"/>
      <c r="BT233" s="34">
        <f t="shared" si="41"/>
        <v>17.7</v>
      </c>
      <c r="BU233" s="34"/>
      <c r="BV233" s="34"/>
      <c r="BW233" s="34"/>
      <c r="BX233" s="34"/>
      <c r="BY233" s="30"/>
      <c r="BZ233" s="31">
        <f t="shared" si="37"/>
        <v>460.2</v>
      </c>
      <c r="CA233" s="31">
        <f t="shared" si="42"/>
        <v>460.2</v>
      </c>
    </row>
    <row r="234" spans="1:79" ht="51" x14ac:dyDescent="0.25">
      <c r="A234" s="17"/>
      <c r="B234" s="2">
        <v>228</v>
      </c>
      <c r="C234" s="18">
        <v>121</v>
      </c>
      <c r="D234" s="18">
        <v>112</v>
      </c>
      <c r="E234" s="19">
        <v>0.76458333333333339</v>
      </c>
      <c r="F234" s="19">
        <v>0.76736111111111116</v>
      </c>
      <c r="G234" s="18" t="s">
        <v>693</v>
      </c>
      <c r="H234" s="18" t="s">
        <v>273</v>
      </c>
      <c r="I234" s="20">
        <v>1.5</v>
      </c>
      <c r="J234" s="21" t="s">
        <v>541</v>
      </c>
      <c r="K234" s="22">
        <v>174</v>
      </c>
      <c r="L234" s="23">
        <f t="shared" si="38"/>
        <v>261</v>
      </c>
      <c r="M234" s="24" t="s">
        <v>542</v>
      </c>
      <c r="N234" s="25" t="s">
        <v>543</v>
      </c>
      <c r="O234" s="25">
        <v>9</v>
      </c>
      <c r="P234" s="25" t="s">
        <v>544</v>
      </c>
      <c r="Q234" s="25">
        <v>18</v>
      </c>
      <c r="R234" s="17"/>
      <c r="S234" s="25"/>
      <c r="T234" s="26">
        <v>1125</v>
      </c>
      <c r="U234" s="26" t="s">
        <v>681</v>
      </c>
      <c r="V234" s="26" t="s">
        <v>679</v>
      </c>
      <c r="W234" s="26" t="s">
        <v>680</v>
      </c>
      <c r="X234" s="66">
        <v>44816</v>
      </c>
      <c r="Y234" s="66">
        <v>45086</v>
      </c>
      <c r="Z234" s="66"/>
      <c r="AA234" s="66"/>
      <c r="AB234" s="26" t="s">
        <v>282</v>
      </c>
      <c r="AC234" s="26"/>
      <c r="AD234" s="28"/>
      <c r="AE234" s="28"/>
      <c r="AF234" s="28"/>
      <c r="AG234" s="28" t="s">
        <v>90</v>
      </c>
      <c r="AH234" s="28" t="s">
        <v>90</v>
      </c>
      <c r="AI234" s="28" t="s">
        <v>90</v>
      </c>
      <c r="AJ234" s="28" t="s">
        <v>90</v>
      </c>
      <c r="AK234" s="28" t="s">
        <v>90</v>
      </c>
      <c r="AL234" s="28" t="s">
        <v>90</v>
      </c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9">
        <v>10</v>
      </c>
      <c r="AY234" s="30"/>
      <c r="AZ234" s="30"/>
      <c r="BA234" s="29"/>
      <c r="BB234" s="29"/>
      <c r="BC234" s="30"/>
      <c r="BD234" s="31">
        <f t="shared" si="39"/>
        <v>1740</v>
      </c>
      <c r="BE234" s="31"/>
      <c r="BF234" s="30"/>
      <c r="BG234" s="36">
        <v>1</v>
      </c>
      <c r="BH234" s="31">
        <f t="shared" si="43"/>
        <v>0</v>
      </c>
      <c r="BI234" s="31">
        <f t="shared" si="44"/>
        <v>0</v>
      </c>
      <c r="BJ234" s="33">
        <f t="shared" si="45"/>
        <v>0</v>
      </c>
      <c r="BK234" s="30"/>
      <c r="BL234" s="30"/>
      <c r="BM234" s="30"/>
      <c r="BN234" s="30"/>
      <c r="BO234" s="33">
        <f t="shared" si="40"/>
        <v>0</v>
      </c>
      <c r="BP234" s="30">
        <v>15</v>
      </c>
      <c r="BQ234" s="30">
        <v>20</v>
      </c>
      <c r="BR234" s="30"/>
      <c r="BS234" s="30"/>
      <c r="BT234" s="34">
        <f t="shared" si="41"/>
        <v>10</v>
      </c>
      <c r="BU234" s="34"/>
      <c r="BV234" s="34"/>
      <c r="BW234" s="34"/>
      <c r="BX234" s="34"/>
      <c r="BY234" s="30"/>
      <c r="BZ234" s="31">
        <f t="shared" si="37"/>
        <v>150</v>
      </c>
      <c r="CA234" s="31">
        <f t="shared" si="42"/>
        <v>200</v>
      </c>
    </row>
    <row r="235" spans="1:79" ht="67.5" x14ac:dyDescent="0.25">
      <c r="A235" s="17"/>
      <c r="B235" s="2">
        <v>229</v>
      </c>
      <c r="C235" s="18">
        <v>122</v>
      </c>
      <c r="D235" s="18">
        <v>23</v>
      </c>
      <c r="E235" s="19">
        <v>0.28472222222222221</v>
      </c>
      <c r="F235" s="19">
        <v>0.29375000000000001</v>
      </c>
      <c r="G235" s="58" t="s">
        <v>694</v>
      </c>
      <c r="H235" s="18" t="s">
        <v>306</v>
      </c>
      <c r="I235" s="20">
        <v>6.1</v>
      </c>
      <c r="J235" s="21" t="s">
        <v>380</v>
      </c>
      <c r="K235" s="22">
        <v>208</v>
      </c>
      <c r="L235" s="23">
        <f t="shared" si="38"/>
        <v>1268.8</v>
      </c>
      <c r="M235" s="24" t="s">
        <v>695</v>
      </c>
      <c r="N235" s="25" t="s">
        <v>696</v>
      </c>
      <c r="O235" s="25">
        <v>24</v>
      </c>
      <c r="P235" s="25" t="s">
        <v>697</v>
      </c>
      <c r="Q235" s="25">
        <v>21</v>
      </c>
      <c r="R235" s="25" t="s">
        <v>466</v>
      </c>
      <c r="S235" s="35">
        <v>24</v>
      </c>
      <c r="T235" s="26" t="s">
        <v>698</v>
      </c>
      <c r="U235" s="26" t="s">
        <v>699</v>
      </c>
      <c r="V235" s="26">
        <v>1220</v>
      </c>
      <c r="W235" s="26" t="s">
        <v>700</v>
      </c>
      <c r="X235" s="66">
        <v>44816</v>
      </c>
      <c r="Y235" s="66">
        <v>45086</v>
      </c>
      <c r="Z235" s="66"/>
      <c r="AA235" s="66"/>
      <c r="AB235" s="26" t="s">
        <v>309</v>
      </c>
      <c r="AC235" s="26"/>
      <c r="AD235" s="28"/>
      <c r="AE235" s="28"/>
      <c r="AF235" s="28"/>
      <c r="AG235" s="28" t="s">
        <v>90</v>
      </c>
      <c r="AH235" s="28" t="s">
        <v>90</v>
      </c>
      <c r="AI235" s="28" t="s">
        <v>90</v>
      </c>
      <c r="AJ235" s="28" t="s">
        <v>90</v>
      </c>
      <c r="AK235" s="28" t="s">
        <v>90</v>
      </c>
      <c r="AL235" s="28" t="s">
        <v>90</v>
      </c>
      <c r="AM235" s="28" t="s">
        <v>90</v>
      </c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9">
        <v>12.2</v>
      </c>
      <c r="AY235" s="30"/>
      <c r="AZ235" s="30"/>
      <c r="BA235" s="29"/>
      <c r="BB235" s="29"/>
      <c r="BC235" s="30"/>
      <c r="BD235" s="31">
        <f t="shared" si="39"/>
        <v>2537.6</v>
      </c>
      <c r="BE235" s="31"/>
      <c r="BF235" s="30"/>
      <c r="BG235" s="36">
        <v>1</v>
      </c>
      <c r="BH235" s="31">
        <f t="shared" si="43"/>
        <v>0</v>
      </c>
      <c r="BI235" s="31">
        <f t="shared" si="44"/>
        <v>0</v>
      </c>
      <c r="BJ235" s="33">
        <f t="shared" si="45"/>
        <v>0</v>
      </c>
      <c r="BK235" s="30"/>
      <c r="BL235" s="30"/>
      <c r="BM235" s="30"/>
      <c r="BN235" s="31">
        <f>IF((AX235+AY235+AZ235)&lt;20,(20-(AX235+AY235+AZ235)),0)</f>
        <v>7.8000000000000007</v>
      </c>
      <c r="BO235" s="33">
        <f t="shared" si="40"/>
        <v>1622.4</v>
      </c>
      <c r="BP235" s="30">
        <v>17</v>
      </c>
      <c r="BQ235" s="30">
        <v>25</v>
      </c>
      <c r="BR235" s="30"/>
      <c r="BS235" s="30"/>
      <c r="BT235" s="34">
        <f t="shared" si="41"/>
        <v>20</v>
      </c>
      <c r="BU235" s="34"/>
      <c r="BV235" s="34"/>
      <c r="BW235" s="34"/>
      <c r="BX235" s="34"/>
      <c r="BY235" s="30"/>
      <c r="BZ235" s="31">
        <f t="shared" si="37"/>
        <v>340</v>
      </c>
      <c r="CA235" s="31">
        <f t="shared" si="42"/>
        <v>500</v>
      </c>
    </row>
    <row r="236" spans="1:79" ht="67.5" x14ac:dyDescent="0.25">
      <c r="A236" s="17"/>
      <c r="B236" s="2">
        <v>230</v>
      </c>
      <c r="C236" s="18">
        <v>122</v>
      </c>
      <c r="D236" s="21">
        <v>920</v>
      </c>
      <c r="E236" s="19">
        <v>0.30555555555555552</v>
      </c>
      <c r="F236" s="19">
        <v>0.3298611111111111</v>
      </c>
      <c r="G236" s="18" t="s">
        <v>701</v>
      </c>
      <c r="H236" s="18" t="s">
        <v>306</v>
      </c>
      <c r="I236" s="20">
        <v>10</v>
      </c>
      <c r="J236" s="21" t="s">
        <v>122</v>
      </c>
      <c r="K236" s="22">
        <v>208</v>
      </c>
      <c r="L236" s="23">
        <f t="shared" si="38"/>
        <v>2080</v>
      </c>
      <c r="M236" s="24" t="s">
        <v>695</v>
      </c>
      <c r="N236" s="25" t="s">
        <v>696</v>
      </c>
      <c r="O236" s="25">
        <v>24</v>
      </c>
      <c r="P236" s="25" t="s">
        <v>697</v>
      </c>
      <c r="Q236" s="25">
        <v>21</v>
      </c>
      <c r="R236" s="25" t="s">
        <v>466</v>
      </c>
      <c r="S236" s="35">
        <v>24</v>
      </c>
      <c r="T236" s="26" t="s">
        <v>702</v>
      </c>
      <c r="U236" s="26" t="s">
        <v>703</v>
      </c>
      <c r="V236" s="26" t="s">
        <v>704</v>
      </c>
      <c r="W236" s="26" t="s">
        <v>705</v>
      </c>
      <c r="X236" s="66">
        <v>44816</v>
      </c>
      <c r="Y236" s="66">
        <v>45086</v>
      </c>
      <c r="Z236" s="66"/>
      <c r="AA236" s="66"/>
      <c r="AB236" s="26" t="s">
        <v>309</v>
      </c>
      <c r="AC236" s="26"/>
      <c r="AD236" s="28"/>
      <c r="AE236" s="28"/>
      <c r="AF236" s="28"/>
      <c r="AG236" s="28" t="s">
        <v>90</v>
      </c>
      <c r="AH236" s="28" t="s">
        <v>90</v>
      </c>
      <c r="AI236" s="28" t="s">
        <v>90</v>
      </c>
      <c r="AJ236" s="28" t="s">
        <v>90</v>
      </c>
      <c r="AK236" s="28" t="s">
        <v>90</v>
      </c>
      <c r="AL236" s="28" t="s">
        <v>90</v>
      </c>
      <c r="AM236" s="28" t="s">
        <v>90</v>
      </c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9">
        <v>45.81</v>
      </c>
      <c r="AY236" s="30"/>
      <c r="AZ236" s="30"/>
      <c r="BA236" s="29"/>
      <c r="BB236" s="29"/>
      <c r="BC236" s="30"/>
      <c r="BD236" s="31">
        <f t="shared" si="39"/>
        <v>9528.48</v>
      </c>
      <c r="BE236" s="31"/>
      <c r="BF236" s="30"/>
      <c r="BG236" s="36">
        <v>1</v>
      </c>
      <c r="BH236" s="31">
        <f t="shared" si="43"/>
        <v>0</v>
      </c>
      <c r="BI236" s="31">
        <f t="shared" si="44"/>
        <v>0</v>
      </c>
      <c r="BJ236" s="33">
        <f t="shared" si="45"/>
        <v>0</v>
      </c>
      <c r="BK236" s="30"/>
      <c r="BL236" s="30"/>
      <c r="BM236" s="30"/>
      <c r="BN236" s="30"/>
      <c r="BO236" s="33">
        <f t="shared" si="40"/>
        <v>0</v>
      </c>
      <c r="BP236" s="30">
        <v>17</v>
      </c>
      <c r="BQ236" s="30">
        <v>25</v>
      </c>
      <c r="BR236" s="30"/>
      <c r="BS236" s="30"/>
      <c r="BT236" s="34">
        <f t="shared" si="41"/>
        <v>45.81</v>
      </c>
      <c r="BU236" s="34"/>
      <c r="BV236" s="34"/>
      <c r="BW236" s="34"/>
      <c r="BX236" s="34"/>
      <c r="BY236" s="30"/>
      <c r="BZ236" s="31">
        <f t="shared" si="37"/>
        <v>778.77</v>
      </c>
      <c r="CA236" s="31">
        <f t="shared" si="42"/>
        <v>1145.25</v>
      </c>
    </row>
    <row r="237" spans="1:79" ht="67.5" x14ac:dyDescent="0.25">
      <c r="A237" s="17"/>
      <c r="B237" s="2">
        <v>231</v>
      </c>
      <c r="C237" s="18">
        <v>122</v>
      </c>
      <c r="D237" s="21">
        <v>924</v>
      </c>
      <c r="E237" s="19">
        <v>0.54513888888888895</v>
      </c>
      <c r="F237" s="19">
        <v>0.55902777777777779</v>
      </c>
      <c r="G237" s="18" t="s">
        <v>706</v>
      </c>
      <c r="H237" s="18" t="s">
        <v>306</v>
      </c>
      <c r="I237" s="20">
        <v>10</v>
      </c>
      <c r="J237" s="21" t="s">
        <v>122</v>
      </c>
      <c r="K237" s="22">
        <v>208</v>
      </c>
      <c r="L237" s="23">
        <f t="shared" si="38"/>
        <v>2080</v>
      </c>
      <c r="M237" s="24" t="s">
        <v>695</v>
      </c>
      <c r="N237" s="25" t="s">
        <v>696</v>
      </c>
      <c r="O237" s="25">
        <v>24</v>
      </c>
      <c r="P237" s="25" t="s">
        <v>697</v>
      </c>
      <c r="Q237" s="25">
        <v>21</v>
      </c>
      <c r="R237" s="25" t="s">
        <v>466</v>
      </c>
      <c r="S237" s="35">
        <v>24</v>
      </c>
      <c r="T237" s="26" t="s">
        <v>707</v>
      </c>
      <c r="U237" s="26" t="s">
        <v>708</v>
      </c>
      <c r="V237" s="26" t="s">
        <v>702</v>
      </c>
      <c r="W237" s="26" t="s">
        <v>703</v>
      </c>
      <c r="X237" s="66">
        <v>44816</v>
      </c>
      <c r="Y237" s="66">
        <v>45086</v>
      </c>
      <c r="Z237" s="66"/>
      <c r="AA237" s="66"/>
      <c r="AB237" s="26" t="s">
        <v>309</v>
      </c>
      <c r="AC237" s="26"/>
      <c r="AD237" s="28"/>
      <c r="AE237" s="28"/>
      <c r="AF237" s="28"/>
      <c r="AG237" s="28" t="s">
        <v>90</v>
      </c>
      <c r="AH237" s="28" t="s">
        <v>90</v>
      </c>
      <c r="AI237" s="28" t="s">
        <v>90</v>
      </c>
      <c r="AJ237" s="28" t="s">
        <v>90</v>
      </c>
      <c r="AK237" s="28" t="s">
        <v>90</v>
      </c>
      <c r="AL237" s="28" t="s">
        <v>90</v>
      </c>
      <c r="AM237" s="28" t="s">
        <v>90</v>
      </c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9">
        <v>45.8</v>
      </c>
      <c r="AY237" s="30"/>
      <c r="AZ237" s="30"/>
      <c r="BA237" s="29"/>
      <c r="BB237" s="29"/>
      <c r="BC237" s="30"/>
      <c r="BD237" s="31">
        <f t="shared" si="39"/>
        <v>9526.4</v>
      </c>
      <c r="BE237" s="31"/>
      <c r="BF237" s="30"/>
      <c r="BG237" s="36">
        <v>1</v>
      </c>
      <c r="BH237" s="31">
        <f t="shared" si="43"/>
        <v>0</v>
      </c>
      <c r="BI237" s="31">
        <f t="shared" si="44"/>
        <v>0</v>
      </c>
      <c r="BJ237" s="33">
        <f t="shared" si="45"/>
        <v>0</v>
      </c>
      <c r="BK237" s="30"/>
      <c r="BL237" s="30"/>
      <c r="BM237" s="30"/>
      <c r="BN237" s="30"/>
      <c r="BO237" s="33">
        <f t="shared" si="40"/>
        <v>0</v>
      </c>
      <c r="BP237" s="30">
        <v>17</v>
      </c>
      <c r="BQ237" s="30">
        <v>25</v>
      </c>
      <c r="BR237" s="30"/>
      <c r="BS237" s="30"/>
      <c r="BT237" s="34">
        <f t="shared" si="41"/>
        <v>45.8</v>
      </c>
      <c r="BU237" s="34"/>
      <c r="BV237" s="34"/>
      <c r="BW237" s="34"/>
      <c r="BX237" s="34"/>
      <c r="BY237" s="30"/>
      <c r="BZ237" s="31">
        <f t="shared" si="37"/>
        <v>778.59999999999991</v>
      </c>
      <c r="CA237" s="31">
        <f t="shared" si="42"/>
        <v>1145</v>
      </c>
    </row>
    <row r="238" spans="1:79" ht="67.5" x14ac:dyDescent="0.25">
      <c r="A238" s="17"/>
      <c r="B238" s="2">
        <v>232</v>
      </c>
      <c r="C238" s="18">
        <v>122</v>
      </c>
      <c r="D238" s="18">
        <v>926</v>
      </c>
      <c r="E238" s="19">
        <v>0.58680555555555558</v>
      </c>
      <c r="F238" s="19">
        <v>0.60069444444444442</v>
      </c>
      <c r="G238" s="18" t="s">
        <v>709</v>
      </c>
      <c r="H238" s="18" t="s">
        <v>710</v>
      </c>
      <c r="I238" s="20">
        <v>10</v>
      </c>
      <c r="J238" s="21" t="s">
        <v>93</v>
      </c>
      <c r="K238" s="22">
        <v>68</v>
      </c>
      <c r="L238" s="23">
        <f t="shared" si="38"/>
        <v>680</v>
      </c>
      <c r="M238" s="24" t="s">
        <v>695</v>
      </c>
      <c r="N238" s="25" t="s">
        <v>696</v>
      </c>
      <c r="O238" s="25">
        <v>24</v>
      </c>
      <c r="P238" s="25" t="s">
        <v>697</v>
      </c>
      <c r="Q238" s="25">
        <v>21</v>
      </c>
      <c r="R238" s="25" t="s">
        <v>466</v>
      </c>
      <c r="S238" s="35">
        <v>24</v>
      </c>
      <c r="T238" s="26" t="s">
        <v>702</v>
      </c>
      <c r="U238" s="26" t="s">
        <v>703</v>
      </c>
      <c r="V238" s="26" t="s">
        <v>707</v>
      </c>
      <c r="W238" s="26" t="s">
        <v>708</v>
      </c>
      <c r="X238" s="66">
        <v>44816</v>
      </c>
      <c r="Y238" s="66">
        <v>45086</v>
      </c>
      <c r="Z238" s="66"/>
      <c r="AA238" s="66"/>
      <c r="AB238" s="26" t="s">
        <v>394</v>
      </c>
      <c r="AC238" s="26"/>
      <c r="AD238" s="28"/>
      <c r="AE238" s="28"/>
      <c r="AF238" s="28"/>
      <c r="AG238" s="28" t="s">
        <v>90</v>
      </c>
      <c r="AH238" s="28"/>
      <c r="AI238" s="28" t="s">
        <v>90</v>
      </c>
      <c r="AJ238" s="28"/>
      <c r="AK238" s="28" t="s">
        <v>90</v>
      </c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9">
        <v>18</v>
      </c>
      <c r="AY238" s="30"/>
      <c r="AZ238" s="30"/>
      <c r="BA238" s="29"/>
      <c r="BB238" s="29"/>
      <c r="BC238" s="30"/>
      <c r="BD238" s="31">
        <f t="shared" si="39"/>
        <v>1224</v>
      </c>
      <c r="BE238" s="31"/>
      <c r="BF238" s="30"/>
      <c r="BG238" s="36">
        <v>1</v>
      </c>
      <c r="BH238" s="31">
        <f t="shared" si="43"/>
        <v>2</v>
      </c>
      <c r="BI238" s="31">
        <f t="shared" si="44"/>
        <v>0</v>
      </c>
      <c r="BJ238" s="31">
        <f t="shared" si="45"/>
        <v>136</v>
      </c>
      <c r="BK238" s="30"/>
      <c r="BL238" s="30"/>
      <c r="BM238" s="30"/>
      <c r="BN238" s="30"/>
      <c r="BO238" s="33">
        <f t="shared" si="40"/>
        <v>0</v>
      </c>
      <c r="BP238" s="30">
        <v>6</v>
      </c>
      <c r="BQ238" s="30">
        <v>8</v>
      </c>
      <c r="BR238" s="30"/>
      <c r="BS238" s="30"/>
      <c r="BT238" s="34">
        <f t="shared" si="41"/>
        <v>20</v>
      </c>
      <c r="BU238" s="34"/>
      <c r="BV238" s="34"/>
      <c r="BW238" s="34"/>
      <c r="BX238" s="34"/>
      <c r="BY238" s="30"/>
      <c r="BZ238" s="31">
        <f t="shared" si="37"/>
        <v>120</v>
      </c>
      <c r="CA238" s="31">
        <f t="shared" si="42"/>
        <v>160</v>
      </c>
    </row>
    <row r="239" spans="1:79" ht="67.5" x14ac:dyDescent="0.25">
      <c r="A239" s="17"/>
      <c r="B239" s="2">
        <v>233</v>
      </c>
      <c r="C239" s="18">
        <v>122</v>
      </c>
      <c r="D239" s="18">
        <v>927</v>
      </c>
      <c r="E239" s="19">
        <v>0.69097222222222221</v>
      </c>
      <c r="F239" s="19">
        <v>0.70486111111111116</v>
      </c>
      <c r="G239" s="18" t="s">
        <v>711</v>
      </c>
      <c r="H239" s="18" t="s">
        <v>710</v>
      </c>
      <c r="I239" s="20">
        <v>10</v>
      </c>
      <c r="J239" s="21" t="s">
        <v>93</v>
      </c>
      <c r="K239" s="22">
        <v>68</v>
      </c>
      <c r="L239" s="23">
        <f t="shared" si="38"/>
        <v>680</v>
      </c>
      <c r="M239" s="24" t="s">
        <v>695</v>
      </c>
      <c r="N239" s="25" t="s">
        <v>696</v>
      </c>
      <c r="O239" s="25">
        <v>24</v>
      </c>
      <c r="P239" s="25" t="s">
        <v>697</v>
      </c>
      <c r="Q239" s="25">
        <v>21</v>
      </c>
      <c r="R239" s="25" t="s">
        <v>466</v>
      </c>
      <c r="S239" s="35">
        <v>24</v>
      </c>
      <c r="T239" s="26" t="s">
        <v>707</v>
      </c>
      <c r="U239" s="26" t="s">
        <v>708</v>
      </c>
      <c r="V239" s="26" t="s">
        <v>702</v>
      </c>
      <c r="W239" s="26" t="s">
        <v>703</v>
      </c>
      <c r="X239" s="66">
        <v>44816</v>
      </c>
      <c r="Y239" s="66">
        <v>45086</v>
      </c>
      <c r="Z239" s="66"/>
      <c r="AA239" s="66"/>
      <c r="AB239" s="26" t="s">
        <v>394</v>
      </c>
      <c r="AC239" s="26"/>
      <c r="AD239" s="28"/>
      <c r="AE239" s="28"/>
      <c r="AF239" s="28"/>
      <c r="AG239" s="28" t="s">
        <v>90</v>
      </c>
      <c r="AH239" s="28"/>
      <c r="AI239" s="28" t="s">
        <v>90</v>
      </c>
      <c r="AJ239" s="28"/>
      <c r="AK239" s="28" t="s">
        <v>90</v>
      </c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9">
        <v>18</v>
      </c>
      <c r="AY239" s="30"/>
      <c r="AZ239" s="30"/>
      <c r="BA239" s="29"/>
      <c r="BB239" s="29"/>
      <c r="BC239" s="30"/>
      <c r="BD239" s="31">
        <f t="shared" si="39"/>
        <v>1224</v>
      </c>
      <c r="BE239" s="31"/>
      <c r="BF239" s="30"/>
      <c r="BG239" s="36">
        <v>1</v>
      </c>
      <c r="BH239" s="31">
        <f t="shared" si="43"/>
        <v>2</v>
      </c>
      <c r="BI239" s="31">
        <f t="shared" si="44"/>
        <v>0</v>
      </c>
      <c r="BJ239" s="31">
        <f t="shared" si="45"/>
        <v>136</v>
      </c>
      <c r="BK239" s="30"/>
      <c r="BL239" s="30"/>
      <c r="BM239" s="30"/>
      <c r="BN239" s="30"/>
      <c r="BO239" s="33">
        <f t="shared" si="40"/>
        <v>0</v>
      </c>
      <c r="BP239" s="30">
        <v>6</v>
      </c>
      <c r="BQ239" s="30">
        <v>8</v>
      </c>
      <c r="BR239" s="30"/>
      <c r="BS239" s="30"/>
      <c r="BT239" s="34">
        <f t="shared" si="41"/>
        <v>20</v>
      </c>
      <c r="BU239" s="34"/>
      <c r="BV239" s="34"/>
      <c r="BW239" s="34"/>
      <c r="BX239" s="34"/>
      <c r="BY239" s="30"/>
      <c r="BZ239" s="31">
        <f t="shared" si="37"/>
        <v>120</v>
      </c>
      <c r="CA239" s="31">
        <f t="shared" si="42"/>
        <v>160</v>
      </c>
    </row>
    <row r="240" spans="1:79" ht="178.5" x14ac:dyDescent="0.25">
      <c r="A240" s="17"/>
      <c r="B240" s="2">
        <v>234</v>
      </c>
      <c r="C240" s="18">
        <v>123</v>
      </c>
      <c r="D240" s="18">
        <v>1</v>
      </c>
      <c r="E240" s="19">
        <v>0.31597222222222221</v>
      </c>
      <c r="F240" s="19">
        <v>0.34027777777777773</v>
      </c>
      <c r="G240" s="18" t="s">
        <v>315</v>
      </c>
      <c r="H240" s="18" t="s">
        <v>712</v>
      </c>
      <c r="I240" s="20">
        <v>22</v>
      </c>
      <c r="J240" s="21" t="s">
        <v>93</v>
      </c>
      <c r="K240" s="22">
        <v>25</v>
      </c>
      <c r="L240" s="23">
        <f t="shared" si="38"/>
        <v>550</v>
      </c>
      <c r="M240" s="24" t="s">
        <v>82</v>
      </c>
      <c r="N240" s="25" t="s">
        <v>713</v>
      </c>
      <c r="O240" s="25">
        <v>20</v>
      </c>
      <c r="P240" s="25" t="s">
        <v>714</v>
      </c>
      <c r="Q240" s="25" t="s">
        <v>715</v>
      </c>
      <c r="R240" s="17"/>
      <c r="S240" s="25"/>
      <c r="T240" s="26">
        <v>1255</v>
      </c>
      <c r="U240" s="26" t="s">
        <v>88</v>
      </c>
      <c r="V240" s="26" t="s">
        <v>86</v>
      </c>
      <c r="W240" s="26" t="s">
        <v>87</v>
      </c>
      <c r="X240" s="27">
        <v>44816</v>
      </c>
      <c r="Y240" s="27">
        <v>44911</v>
      </c>
      <c r="Z240" s="27">
        <v>45004</v>
      </c>
      <c r="AA240" s="27">
        <v>45100</v>
      </c>
      <c r="AB240" s="28" t="s">
        <v>716</v>
      </c>
      <c r="AC240" s="28" t="s">
        <v>628</v>
      </c>
      <c r="AD240" s="28" t="s">
        <v>90</v>
      </c>
      <c r="AE240" s="28"/>
      <c r="AF240" s="28" t="s">
        <v>90</v>
      </c>
      <c r="AG240" s="28"/>
      <c r="AH240" s="28" t="s">
        <v>90</v>
      </c>
      <c r="AI240" s="28"/>
      <c r="AJ240" s="28"/>
      <c r="AK240" s="28"/>
      <c r="AL240" s="28" t="s">
        <v>90</v>
      </c>
      <c r="AM240" s="28" t="s">
        <v>90</v>
      </c>
      <c r="AN240" s="28"/>
      <c r="AO240" s="28" t="s">
        <v>90</v>
      </c>
      <c r="AP240" s="28"/>
      <c r="AQ240" s="28" t="s">
        <v>90</v>
      </c>
      <c r="AR240" s="28"/>
      <c r="AS240" s="28"/>
      <c r="AT240" s="28"/>
      <c r="AU240" s="28"/>
      <c r="AV240" s="28"/>
      <c r="AW240" s="28"/>
      <c r="AX240" s="29">
        <v>61.98</v>
      </c>
      <c r="AY240" s="30"/>
      <c r="AZ240" s="30"/>
      <c r="BA240" s="29"/>
      <c r="BB240" s="29"/>
      <c r="BC240" s="30"/>
      <c r="BD240" s="31">
        <f t="shared" si="39"/>
        <v>1549.5</v>
      </c>
      <c r="BE240" s="31"/>
      <c r="BF240" s="30"/>
      <c r="BG240" s="36">
        <v>1</v>
      </c>
      <c r="BH240" s="31">
        <f t="shared" si="43"/>
        <v>0</v>
      </c>
      <c r="BI240" s="31">
        <f t="shared" si="44"/>
        <v>0</v>
      </c>
      <c r="BJ240" s="33">
        <f t="shared" si="45"/>
        <v>0</v>
      </c>
      <c r="BK240" s="30"/>
      <c r="BL240" s="30"/>
      <c r="BM240" s="30"/>
      <c r="BN240" s="30"/>
      <c r="BO240" s="33">
        <f t="shared" si="40"/>
        <v>0</v>
      </c>
      <c r="BP240" s="30">
        <v>8</v>
      </c>
      <c r="BQ240" s="30">
        <v>14</v>
      </c>
      <c r="BR240" s="30"/>
      <c r="BS240" s="30"/>
      <c r="BT240" s="34">
        <f t="shared" si="41"/>
        <v>61.98</v>
      </c>
      <c r="BU240" s="34"/>
      <c r="BV240" s="34"/>
      <c r="BW240" s="34"/>
      <c r="BX240" s="34"/>
      <c r="BY240" s="30"/>
      <c r="BZ240" s="31">
        <f t="shared" si="37"/>
        <v>495.84</v>
      </c>
      <c r="CA240" s="31">
        <f t="shared" si="42"/>
        <v>867.71999999999991</v>
      </c>
    </row>
    <row r="241" spans="1:79" ht="127.5" x14ac:dyDescent="0.25">
      <c r="A241" s="17"/>
      <c r="B241" s="2">
        <v>235</v>
      </c>
      <c r="C241" s="18">
        <v>123</v>
      </c>
      <c r="D241" s="18">
        <v>1</v>
      </c>
      <c r="E241" s="19">
        <v>0.31597222222222221</v>
      </c>
      <c r="F241" s="19">
        <v>0.34027777777777773</v>
      </c>
      <c r="G241" s="18" t="s">
        <v>315</v>
      </c>
      <c r="H241" s="18" t="s">
        <v>717</v>
      </c>
      <c r="I241" s="20">
        <v>22</v>
      </c>
      <c r="J241" s="21" t="s">
        <v>367</v>
      </c>
      <c r="K241" s="22">
        <f>24+27+27+5</f>
        <v>83</v>
      </c>
      <c r="L241" s="23">
        <f t="shared" si="38"/>
        <v>1826</v>
      </c>
      <c r="M241" s="24" t="s">
        <v>82</v>
      </c>
      <c r="N241" s="25" t="s">
        <v>718</v>
      </c>
      <c r="O241" s="25">
        <v>23</v>
      </c>
      <c r="P241" s="25" t="s">
        <v>719</v>
      </c>
      <c r="Q241" s="25" t="s">
        <v>720</v>
      </c>
      <c r="R241" s="17"/>
      <c r="S241" s="25"/>
      <c r="T241" s="26">
        <v>1255</v>
      </c>
      <c r="U241" s="26" t="s">
        <v>88</v>
      </c>
      <c r="V241" s="26" t="s">
        <v>86</v>
      </c>
      <c r="W241" s="26" t="s">
        <v>87</v>
      </c>
      <c r="X241" s="27">
        <v>44912</v>
      </c>
      <c r="Y241" s="27">
        <v>45003</v>
      </c>
      <c r="Z241" s="27"/>
      <c r="AA241" s="27"/>
      <c r="AB241" s="28" t="s">
        <v>721</v>
      </c>
      <c r="AC241" s="28" t="s">
        <v>628</v>
      </c>
      <c r="AD241" s="28" t="s">
        <v>90</v>
      </c>
      <c r="AE241" s="28"/>
      <c r="AF241" s="28" t="s">
        <v>90</v>
      </c>
      <c r="AG241" s="28"/>
      <c r="AH241" s="28" t="s">
        <v>90</v>
      </c>
      <c r="AI241" s="28" t="s">
        <v>90</v>
      </c>
      <c r="AJ241" s="28" t="s">
        <v>90</v>
      </c>
      <c r="AK241" s="28" t="s">
        <v>90</v>
      </c>
      <c r="AL241" s="28" t="s">
        <v>90</v>
      </c>
      <c r="AM241" s="28" t="s">
        <v>90</v>
      </c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9">
        <v>78.87</v>
      </c>
      <c r="AY241" s="30"/>
      <c r="AZ241" s="30"/>
      <c r="BA241" s="29"/>
      <c r="BB241" s="29"/>
      <c r="BC241" s="30"/>
      <c r="BD241" s="31">
        <f t="shared" si="39"/>
        <v>6546.21</v>
      </c>
      <c r="BE241" s="31"/>
      <c r="BF241" s="30"/>
      <c r="BG241" s="36">
        <v>1</v>
      </c>
      <c r="BH241" s="31">
        <f t="shared" si="43"/>
        <v>0</v>
      </c>
      <c r="BI241" s="31">
        <f t="shared" si="44"/>
        <v>0</v>
      </c>
      <c r="BJ241" s="33">
        <f t="shared" si="45"/>
        <v>0</v>
      </c>
      <c r="BK241" s="30"/>
      <c r="BL241" s="30"/>
      <c r="BM241" s="30"/>
      <c r="BN241" s="30"/>
      <c r="BO241" s="33">
        <f t="shared" si="40"/>
        <v>0</v>
      </c>
      <c r="BP241" s="30">
        <v>0</v>
      </c>
      <c r="BQ241" s="30">
        <v>0</v>
      </c>
      <c r="BR241" s="30"/>
      <c r="BS241" s="30"/>
      <c r="BT241" s="34">
        <f t="shared" si="41"/>
        <v>78.87</v>
      </c>
      <c r="BU241" s="34"/>
      <c r="BV241" s="34"/>
      <c r="BW241" s="34"/>
      <c r="BX241" s="34"/>
      <c r="BY241" s="30"/>
      <c r="BZ241" s="31">
        <f t="shared" si="37"/>
        <v>0</v>
      </c>
      <c r="CA241" s="31">
        <f t="shared" si="42"/>
        <v>0</v>
      </c>
    </row>
    <row r="242" spans="1:79" ht="178.5" x14ac:dyDescent="0.25">
      <c r="A242" s="17"/>
      <c r="B242" s="2">
        <v>236</v>
      </c>
      <c r="C242" s="18">
        <v>123</v>
      </c>
      <c r="D242" s="18">
        <v>6</v>
      </c>
      <c r="E242" s="19">
        <v>0.70833333333333337</v>
      </c>
      <c r="F242" s="19">
        <v>0.73263888888888884</v>
      </c>
      <c r="G242" s="18" t="s">
        <v>79</v>
      </c>
      <c r="H242" s="18" t="s">
        <v>712</v>
      </c>
      <c r="I242" s="20">
        <v>22</v>
      </c>
      <c r="J242" s="21" t="s">
        <v>93</v>
      </c>
      <c r="K242" s="22">
        <v>25</v>
      </c>
      <c r="L242" s="23">
        <f t="shared" si="38"/>
        <v>550</v>
      </c>
      <c r="M242" s="24" t="s">
        <v>82</v>
      </c>
      <c r="N242" s="25" t="s">
        <v>631</v>
      </c>
      <c r="O242" s="25">
        <v>20</v>
      </c>
      <c r="P242" s="25" t="s">
        <v>714</v>
      </c>
      <c r="Q242" s="25" t="s">
        <v>715</v>
      </c>
      <c r="R242" s="17"/>
      <c r="S242" s="25"/>
      <c r="T242" s="26" t="s">
        <v>86</v>
      </c>
      <c r="U242" s="26" t="s">
        <v>87</v>
      </c>
      <c r="V242" s="26">
        <v>1255</v>
      </c>
      <c r="W242" s="26" t="s">
        <v>88</v>
      </c>
      <c r="X242" s="27">
        <v>44816</v>
      </c>
      <c r="Y242" s="27">
        <v>44911</v>
      </c>
      <c r="Z242" s="27">
        <v>45004</v>
      </c>
      <c r="AA242" s="27">
        <v>45100</v>
      </c>
      <c r="AB242" s="28" t="s">
        <v>722</v>
      </c>
      <c r="AC242" s="28" t="s">
        <v>628</v>
      </c>
      <c r="AD242" s="28" t="s">
        <v>90</v>
      </c>
      <c r="AE242" s="28"/>
      <c r="AF242" s="28" t="s">
        <v>90</v>
      </c>
      <c r="AG242" s="28"/>
      <c r="AH242" s="28" t="s">
        <v>90</v>
      </c>
      <c r="AI242" s="28"/>
      <c r="AJ242" s="28"/>
      <c r="AK242" s="28"/>
      <c r="AL242" s="28" t="s">
        <v>90</v>
      </c>
      <c r="AM242" s="28" t="s">
        <v>90</v>
      </c>
      <c r="AN242" s="28"/>
      <c r="AO242" s="28" t="s">
        <v>90</v>
      </c>
      <c r="AP242" s="28"/>
      <c r="AQ242" s="28" t="s">
        <v>90</v>
      </c>
      <c r="AR242" s="28"/>
      <c r="AS242" s="28"/>
      <c r="AT242" s="28"/>
      <c r="AU242" s="28"/>
      <c r="AV242" s="28"/>
      <c r="AW242" s="28"/>
      <c r="AX242" s="29">
        <v>61.98</v>
      </c>
      <c r="AY242" s="30"/>
      <c r="AZ242" s="30"/>
      <c r="BA242" s="29"/>
      <c r="BB242" s="29"/>
      <c r="BC242" s="30"/>
      <c r="BD242" s="31">
        <f t="shared" si="39"/>
        <v>1549.5</v>
      </c>
      <c r="BE242" s="31"/>
      <c r="BF242" s="30"/>
      <c r="BG242" s="36">
        <v>1</v>
      </c>
      <c r="BH242" s="31">
        <f t="shared" si="43"/>
        <v>0</v>
      </c>
      <c r="BI242" s="31">
        <f t="shared" si="44"/>
        <v>0</v>
      </c>
      <c r="BJ242" s="33">
        <f t="shared" si="45"/>
        <v>0</v>
      </c>
      <c r="BK242" s="30"/>
      <c r="BL242" s="30"/>
      <c r="BM242" s="30"/>
      <c r="BN242" s="30"/>
      <c r="BO242" s="33">
        <f t="shared" si="40"/>
        <v>0</v>
      </c>
      <c r="BP242" s="30">
        <v>8</v>
      </c>
      <c r="BQ242" s="30">
        <v>14</v>
      </c>
      <c r="BR242" s="30"/>
      <c r="BS242" s="30"/>
      <c r="BT242" s="34">
        <f t="shared" si="41"/>
        <v>61.98</v>
      </c>
      <c r="BU242" s="34"/>
      <c r="BV242" s="34"/>
      <c r="BW242" s="34"/>
      <c r="BX242" s="34"/>
      <c r="BY242" s="30"/>
      <c r="BZ242" s="31">
        <f t="shared" si="37"/>
        <v>495.84</v>
      </c>
      <c r="CA242" s="31">
        <f t="shared" si="42"/>
        <v>867.71999999999991</v>
      </c>
    </row>
    <row r="243" spans="1:79" ht="127.5" x14ac:dyDescent="0.25">
      <c r="A243" s="17"/>
      <c r="B243" s="2">
        <v>237</v>
      </c>
      <c r="C243" s="18">
        <v>123</v>
      </c>
      <c r="D243" s="18">
        <v>6</v>
      </c>
      <c r="E243" s="19">
        <v>0.70833333333333337</v>
      </c>
      <c r="F243" s="19">
        <v>0.73263888888888884</v>
      </c>
      <c r="G243" s="18" t="s">
        <v>79</v>
      </c>
      <c r="H243" s="18" t="s">
        <v>717</v>
      </c>
      <c r="I243" s="20">
        <v>22</v>
      </c>
      <c r="J243" s="21" t="s">
        <v>367</v>
      </c>
      <c r="K243" s="22">
        <f>24+27+27+5</f>
        <v>83</v>
      </c>
      <c r="L243" s="23">
        <f t="shared" si="38"/>
        <v>1826</v>
      </c>
      <c r="M243" s="24" t="s">
        <v>82</v>
      </c>
      <c r="N243" s="25" t="s">
        <v>718</v>
      </c>
      <c r="O243" s="25" t="s">
        <v>367</v>
      </c>
      <c r="P243" s="25" t="s">
        <v>719</v>
      </c>
      <c r="Q243" s="25" t="s">
        <v>720</v>
      </c>
      <c r="R243" s="17"/>
      <c r="S243" s="25"/>
      <c r="T243" s="26" t="s">
        <v>86</v>
      </c>
      <c r="U243" s="26" t="s">
        <v>87</v>
      </c>
      <c r="V243" s="26">
        <v>1255</v>
      </c>
      <c r="W243" s="26" t="s">
        <v>88</v>
      </c>
      <c r="X243" s="27">
        <v>44912</v>
      </c>
      <c r="Y243" s="27">
        <v>45003</v>
      </c>
      <c r="Z243" s="27"/>
      <c r="AA243" s="27"/>
      <c r="AB243" s="28" t="s">
        <v>716</v>
      </c>
      <c r="AC243" s="28" t="s">
        <v>628</v>
      </c>
      <c r="AD243" s="28" t="s">
        <v>90</v>
      </c>
      <c r="AE243" s="28"/>
      <c r="AF243" s="28" t="s">
        <v>90</v>
      </c>
      <c r="AG243" s="28"/>
      <c r="AH243" s="28" t="s">
        <v>90</v>
      </c>
      <c r="AI243" s="28" t="s">
        <v>90</v>
      </c>
      <c r="AJ243" s="28" t="s">
        <v>90</v>
      </c>
      <c r="AK243" s="28" t="s">
        <v>90</v>
      </c>
      <c r="AL243" s="28" t="s">
        <v>90</v>
      </c>
      <c r="AM243" s="28" t="s">
        <v>90</v>
      </c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9">
        <v>78.87</v>
      </c>
      <c r="AY243" s="30"/>
      <c r="AZ243" s="30"/>
      <c r="BA243" s="29"/>
      <c r="BB243" s="29"/>
      <c r="BC243" s="30"/>
      <c r="BD243" s="31">
        <f t="shared" si="39"/>
        <v>6546.21</v>
      </c>
      <c r="BE243" s="31"/>
      <c r="BF243" s="30"/>
      <c r="BG243" s="36">
        <v>1</v>
      </c>
      <c r="BH243" s="31">
        <f t="shared" si="43"/>
        <v>0</v>
      </c>
      <c r="BI243" s="31">
        <f t="shared" si="44"/>
        <v>0</v>
      </c>
      <c r="BJ243" s="33">
        <f t="shared" si="45"/>
        <v>0</v>
      </c>
      <c r="BK243" s="30"/>
      <c r="BL243" s="30"/>
      <c r="BM243" s="30"/>
      <c r="BN243" s="30"/>
      <c r="BO243" s="33">
        <f t="shared" si="40"/>
        <v>0</v>
      </c>
      <c r="BP243" s="30">
        <v>0</v>
      </c>
      <c r="BQ243" s="30">
        <v>0</v>
      </c>
      <c r="BR243" s="30"/>
      <c r="BS243" s="30"/>
      <c r="BT243" s="34">
        <f t="shared" si="41"/>
        <v>78.87</v>
      </c>
      <c r="BU243" s="34"/>
      <c r="BV243" s="34"/>
      <c r="BW243" s="34"/>
      <c r="BX243" s="34"/>
      <c r="BY243" s="30"/>
      <c r="BZ243" s="31">
        <f t="shared" si="37"/>
        <v>0</v>
      </c>
      <c r="CA243" s="31">
        <f t="shared" si="42"/>
        <v>0</v>
      </c>
    </row>
    <row r="244" spans="1:79" ht="63.75" x14ac:dyDescent="0.25">
      <c r="A244" s="17"/>
      <c r="B244" s="2">
        <v>238</v>
      </c>
      <c r="C244" s="18">
        <v>124</v>
      </c>
      <c r="D244" s="18">
        <v>655</v>
      </c>
      <c r="E244" s="59">
        <v>0.25347222222222221</v>
      </c>
      <c r="F244" s="19">
        <v>0.3125</v>
      </c>
      <c r="G244" s="18" t="s">
        <v>723</v>
      </c>
      <c r="H244" s="18" t="s">
        <v>724</v>
      </c>
      <c r="I244" s="20">
        <v>65.5</v>
      </c>
      <c r="J244" s="21">
        <v>29</v>
      </c>
      <c r="K244" s="22">
        <v>36</v>
      </c>
      <c r="L244" s="23">
        <f t="shared" si="38"/>
        <v>2358</v>
      </c>
      <c r="M244" s="24" t="s">
        <v>725</v>
      </c>
      <c r="N244" s="25" t="s">
        <v>726</v>
      </c>
      <c r="O244" s="25">
        <v>8</v>
      </c>
      <c r="P244" s="25" t="s">
        <v>727</v>
      </c>
      <c r="Q244" s="25">
        <v>21</v>
      </c>
      <c r="R244" s="25" t="s">
        <v>728</v>
      </c>
      <c r="S244" s="25">
        <v>8</v>
      </c>
      <c r="T244" s="26" t="s">
        <v>729</v>
      </c>
      <c r="U244" s="26" t="s">
        <v>730</v>
      </c>
      <c r="V244" s="26">
        <v>1300</v>
      </c>
      <c r="W244" s="26" t="s">
        <v>731</v>
      </c>
      <c r="X244" s="66">
        <v>44816</v>
      </c>
      <c r="Y244" s="66">
        <v>45086</v>
      </c>
      <c r="Z244" s="66"/>
      <c r="AA244" s="66"/>
      <c r="AB244" s="26" t="s">
        <v>732</v>
      </c>
      <c r="AC244" s="26"/>
      <c r="AD244" s="28"/>
      <c r="AE244" s="28"/>
      <c r="AF244" s="28"/>
      <c r="AG244" s="28" t="s">
        <v>90</v>
      </c>
      <c r="AH244" s="28" t="s">
        <v>90</v>
      </c>
      <c r="AI244" s="28"/>
      <c r="AJ244" s="28"/>
      <c r="AK244" s="28"/>
      <c r="AL244" s="28"/>
      <c r="AM244" s="28"/>
      <c r="AN244" s="28"/>
      <c r="AO244" s="28" t="s">
        <v>90</v>
      </c>
      <c r="AP244" s="28"/>
      <c r="AQ244" s="28"/>
      <c r="AR244" s="28"/>
      <c r="AS244" s="28"/>
      <c r="AT244" s="28"/>
      <c r="AU244" s="28"/>
      <c r="AV244" s="28"/>
      <c r="AW244" s="28"/>
      <c r="AX244" s="29">
        <v>205.87</v>
      </c>
      <c r="AY244" s="30"/>
      <c r="AZ244" s="30"/>
      <c r="BA244" s="29"/>
      <c r="BB244" s="29"/>
      <c r="BC244" s="30"/>
      <c r="BD244" s="31">
        <f t="shared" si="39"/>
        <v>7411.32</v>
      </c>
      <c r="BE244" s="31"/>
      <c r="BF244" s="30"/>
      <c r="BG244" s="36">
        <v>1</v>
      </c>
      <c r="BH244" s="31">
        <f t="shared" si="43"/>
        <v>0</v>
      </c>
      <c r="BI244" s="31">
        <f t="shared" si="44"/>
        <v>0</v>
      </c>
      <c r="BJ244" s="33">
        <f t="shared" si="45"/>
        <v>0</v>
      </c>
      <c r="BK244" s="30"/>
      <c r="BL244" s="30"/>
      <c r="BM244" s="30"/>
      <c r="BN244" s="31">
        <f>IF((AX244+AY244+AZ244)&lt;20,(20-(AX244+AY244+AZ244)),0)</f>
        <v>0</v>
      </c>
      <c r="BO244" s="33">
        <f t="shared" si="40"/>
        <v>0</v>
      </c>
      <c r="BP244" s="30">
        <v>3</v>
      </c>
      <c r="BQ244" s="30">
        <v>4</v>
      </c>
      <c r="BR244" s="30"/>
      <c r="BS244" s="30"/>
      <c r="BT244" s="34">
        <f t="shared" si="41"/>
        <v>205.87</v>
      </c>
      <c r="BU244" s="34"/>
      <c r="BV244" s="34"/>
      <c r="BW244" s="34"/>
      <c r="BX244" s="34"/>
      <c r="BY244" s="30"/>
      <c r="BZ244" s="31">
        <f t="shared" si="37"/>
        <v>617.61</v>
      </c>
      <c r="CA244" s="31">
        <f t="shared" si="42"/>
        <v>823.48</v>
      </c>
    </row>
    <row r="245" spans="1:79" ht="89.25" x14ac:dyDescent="0.25">
      <c r="A245" s="17"/>
      <c r="B245" s="2">
        <v>239</v>
      </c>
      <c r="C245" s="18">
        <v>124</v>
      </c>
      <c r="D245" s="18">
        <v>654</v>
      </c>
      <c r="E245" s="19">
        <v>0.58333333333333337</v>
      </c>
      <c r="F245" s="19">
        <v>0.64930555555555558</v>
      </c>
      <c r="G245" s="18" t="s">
        <v>733</v>
      </c>
      <c r="H245" s="18" t="s">
        <v>734</v>
      </c>
      <c r="I245" s="20">
        <v>65.5</v>
      </c>
      <c r="J245" s="21">
        <v>29</v>
      </c>
      <c r="K245" s="22">
        <v>39</v>
      </c>
      <c r="L245" s="23">
        <f t="shared" si="38"/>
        <v>2554.5</v>
      </c>
      <c r="M245" s="24" t="s">
        <v>725</v>
      </c>
      <c r="N245" s="25" t="s">
        <v>728</v>
      </c>
      <c r="O245" s="25">
        <v>8</v>
      </c>
      <c r="P245" s="25" t="s">
        <v>727</v>
      </c>
      <c r="Q245" s="25">
        <v>21</v>
      </c>
      <c r="R245" s="25" t="s">
        <v>726</v>
      </c>
      <c r="S245" s="35">
        <v>8</v>
      </c>
      <c r="T245" s="26">
        <v>1300</v>
      </c>
      <c r="U245" s="26" t="s">
        <v>731</v>
      </c>
      <c r="V245" s="26">
        <v>5111</v>
      </c>
      <c r="W245" s="26" t="s">
        <v>730</v>
      </c>
      <c r="X245" s="66">
        <v>44816</v>
      </c>
      <c r="Y245" s="66">
        <v>45086</v>
      </c>
      <c r="Z245" s="66"/>
      <c r="AA245" s="66"/>
      <c r="AB245" s="26" t="s">
        <v>735</v>
      </c>
      <c r="AC245" s="26"/>
      <c r="AD245" s="28"/>
      <c r="AE245" s="28"/>
      <c r="AF245" s="28"/>
      <c r="AG245" s="28" t="s">
        <v>90</v>
      </c>
      <c r="AH245" s="28"/>
      <c r="AI245" s="28"/>
      <c r="AJ245" s="28"/>
      <c r="AK245" s="28"/>
      <c r="AL245" s="28" t="s">
        <v>90</v>
      </c>
      <c r="AM245" s="28"/>
      <c r="AN245" s="28"/>
      <c r="AO245" s="28"/>
      <c r="AP245" s="28"/>
      <c r="AQ245" s="28" t="s">
        <v>90</v>
      </c>
      <c r="AR245" s="28"/>
      <c r="AS245" s="28"/>
      <c r="AT245" s="28"/>
      <c r="AU245" s="28"/>
      <c r="AV245" s="28"/>
      <c r="AW245" s="28"/>
      <c r="AX245" s="29">
        <v>196.5</v>
      </c>
      <c r="AY245" s="30"/>
      <c r="AZ245" s="30"/>
      <c r="BA245" s="29"/>
      <c r="BB245" s="29"/>
      <c r="BC245" s="30"/>
      <c r="BD245" s="31">
        <f t="shared" si="39"/>
        <v>7663.5</v>
      </c>
      <c r="BE245" s="31"/>
      <c r="BF245" s="30"/>
      <c r="BG245" s="36">
        <v>1</v>
      </c>
      <c r="BH245" s="31">
        <f t="shared" si="43"/>
        <v>0</v>
      </c>
      <c r="BI245" s="31">
        <f t="shared" si="44"/>
        <v>0</v>
      </c>
      <c r="BJ245" s="33">
        <f t="shared" si="45"/>
        <v>0</v>
      </c>
      <c r="BK245" s="30"/>
      <c r="BL245" s="30"/>
      <c r="BM245" s="30"/>
      <c r="BN245" s="30"/>
      <c r="BO245" s="33">
        <f t="shared" si="40"/>
        <v>0</v>
      </c>
      <c r="BP245" s="30">
        <v>3</v>
      </c>
      <c r="BQ245" s="30">
        <v>4</v>
      </c>
      <c r="BR245" s="30"/>
      <c r="BS245" s="30"/>
      <c r="BT245" s="34">
        <f t="shared" si="41"/>
        <v>196.5</v>
      </c>
      <c r="BU245" s="34"/>
      <c r="BV245" s="34"/>
      <c r="BW245" s="34"/>
      <c r="BX245" s="34"/>
      <c r="BY245" s="30"/>
      <c r="BZ245" s="31">
        <f t="shared" si="37"/>
        <v>589.5</v>
      </c>
      <c r="CA245" s="31">
        <f t="shared" si="42"/>
        <v>786</v>
      </c>
    </row>
    <row r="246" spans="1:79" ht="51" x14ac:dyDescent="0.25">
      <c r="A246" s="17"/>
      <c r="B246" s="2">
        <v>240</v>
      </c>
      <c r="C246" s="18">
        <v>132</v>
      </c>
      <c r="D246" s="18">
        <v>642</v>
      </c>
      <c r="E246" s="19">
        <v>0.40277777777777773</v>
      </c>
      <c r="F246" s="19">
        <v>0.4236111111111111</v>
      </c>
      <c r="G246" s="18" t="s">
        <v>736</v>
      </c>
      <c r="H246" s="18" t="s">
        <v>737</v>
      </c>
      <c r="I246" s="20">
        <v>17</v>
      </c>
      <c r="J246" s="21" t="s">
        <v>122</v>
      </c>
      <c r="K246" s="22">
        <v>52</v>
      </c>
      <c r="L246" s="23">
        <f t="shared" si="38"/>
        <v>884</v>
      </c>
      <c r="M246" s="24" t="s">
        <v>738</v>
      </c>
      <c r="N246" s="25" t="s">
        <v>739</v>
      </c>
      <c r="O246" s="25">
        <v>21</v>
      </c>
      <c r="P246" s="25" t="s">
        <v>740</v>
      </c>
      <c r="Q246" s="25">
        <v>21</v>
      </c>
      <c r="R246" s="17"/>
      <c r="S246" s="25"/>
      <c r="T246" s="26">
        <v>1121</v>
      </c>
      <c r="U246" s="26" t="s">
        <v>415</v>
      </c>
      <c r="V246" s="26" t="s">
        <v>491</v>
      </c>
      <c r="W246" s="26" t="s">
        <v>492</v>
      </c>
      <c r="X246" s="66">
        <v>44805</v>
      </c>
      <c r="Y246" s="66">
        <v>45169</v>
      </c>
      <c r="Z246" s="66"/>
      <c r="AA246" s="66"/>
      <c r="AB246" s="28" t="s">
        <v>741</v>
      </c>
      <c r="AC246" s="28"/>
      <c r="AD246" s="28" t="s">
        <v>90</v>
      </c>
      <c r="AE246" s="28" t="s">
        <v>90</v>
      </c>
      <c r="AF246" s="28" t="s">
        <v>90</v>
      </c>
      <c r="AG246" s="28"/>
      <c r="AH246" s="28"/>
      <c r="AI246" s="28"/>
      <c r="AJ246" s="28" t="s">
        <v>90</v>
      </c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9">
        <v>62.32</v>
      </c>
      <c r="AY246" s="30"/>
      <c r="AZ246" s="30"/>
      <c r="BA246" s="29"/>
      <c r="BB246" s="29"/>
      <c r="BC246" s="30"/>
      <c r="BD246" s="31">
        <f t="shared" si="39"/>
        <v>3240.64</v>
      </c>
      <c r="BE246" s="31"/>
      <c r="BF246" s="30"/>
      <c r="BG246" s="36">
        <v>1</v>
      </c>
      <c r="BH246" s="31">
        <f t="shared" si="43"/>
        <v>0</v>
      </c>
      <c r="BI246" s="31">
        <f t="shared" si="44"/>
        <v>0</v>
      </c>
      <c r="BJ246" s="33">
        <f t="shared" si="45"/>
        <v>0</v>
      </c>
      <c r="BK246" s="30"/>
      <c r="BL246" s="30"/>
      <c r="BM246" s="30"/>
      <c r="BN246" s="30"/>
      <c r="BO246" s="33">
        <f t="shared" si="40"/>
        <v>0</v>
      </c>
      <c r="BP246" s="30">
        <v>4</v>
      </c>
      <c r="BQ246" s="30">
        <v>4</v>
      </c>
      <c r="BR246" s="30"/>
      <c r="BS246" s="30"/>
      <c r="BT246" s="34">
        <f t="shared" si="41"/>
        <v>62.32</v>
      </c>
      <c r="BU246" s="34"/>
      <c r="BV246" s="34"/>
      <c r="BW246" s="34"/>
      <c r="BX246" s="34"/>
      <c r="BY246" s="30"/>
      <c r="BZ246" s="31">
        <f t="shared" si="37"/>
        <v>249.28</v>
      </c>
      <c r="CA246" s="31">
        <f t="shared" si="42"/>
        <v>249.28</v>
      </c>
    </row>
    <row r="247" spans="1:79" ht="51" x14ac:dyDescent="0.25">
      <c r="A247" s="17"/>
      <c r="B247" s="2">
        <v>241</v>
      </c>
      <c r="C247" s="18">
        <v>132</v>
      </c>
      <c r="D247" s="18">
        <v>647</v>
      </c>
      <c r="E247" s="19">
        <v>0.49305555555555558</v>
      </c>
      <c r="F247" s="19">
        <v>0.51388888888888895</v>
      </c>
      <c r="G247" s="18" t="s">
        <v>742</v>
      </c>
      <c r="H247" s="18" t="s">
        <v>737</v>
      </c>
      <c r="I247" s="20">
        <v>17</v>
      </c>
      <c r="J247" s="21" t="s">
        <v>122</v>
      </c>
      <c r="K247" s="22">
        <v>52</v>
      </c>
      <c r="L247" s="23">
        <f t="shared" si="38"/>
        <v>884</v>
      </c>
      <c r="M247" s="24" t="s">
        <v>738</v>
      </c>
      <c r="N247" s="25" t="s">
        <v>739</v>
      </c>
      <c r="O247" s="25">
        <v>21</v>
      </c>
      <c r="P247" s="25" t="s">
        <v>740</v>
      </c>
      <c r="Q247" s="25">
        <v>21</v>
      </c>
      <c r="R247" s="17"/>
      <c r="S247" s="25"/>
      <c r="T247" s="26" t="s">
        <v>491</v>
      </c>
      <c r="U247" s="26" t="s">
        <v>497</v>
      </c>
      <c r="V247" s="26">
        <v>1121</v>
      </c>
      <c r="W247" s="26" t="s">
        <v>415</v>
      </c>
      <c r="X247" s="66">
        <v>44805</v>
      </c>
      <c r="Y247" s="66">
        <v>45169</v>
      </c>
      <c r="Z247" s="66"/>
      <c r="AA247" s="66"/>
      <c r="AB247" s="28" t="s">
        <v>741</v>
      </c>
      <c r="AC247" s="28"/>
      <c r="AD247" s="28" t="s">
        <v>90</v>
      </c>
      <c r="AE247" s="28" t="s">
        <v>90</v>
      </c>
      <c r="AF247" s="28" t="s">
        <v>90</v>
      </c>
      <c r="AG247" s="28"/>
      <c r="AH247" s="28"/>
      <c r="AI247" s="28"/>
      <c r="AJ247" s="28" t="s">
        <v>90</v>
      </c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9">
        <v>62.32</v>
      </c>
      <c r="AY247" s="30"/>
      <c r="AZ247" s="30"/>
      <c r="BA247" s="29"/>
      <c r="BB247" s="29"/>
      <c r="BC247" s="30"/>
      <c r="BD247" s="31">
        <f t="shared" si="39"/>
        <v>3240.64</v>
      </c>
      <c r="BE247" s="31"/>
      <c r="BF247" s="30"/>
      <c r="BG247" s="36">
        <v>1</v>
      </c>
      <c r="BH247" s="31">
        <f t="shared" si="43"/>
        <v>0</v>
      </c>
      <c r="BI247" s="31">
        <f t="shared" si="44"/>
        <v>0</v>
      </c>
      <c r="BJ247" s="33">
        <f t="shared" si="45"/>
        <v>0</v>
      </c>
      <c r="BK247" s="30"/>
      <c r="BL247" s="30"/>
      <c r="BM247" s="30"/>
      <c r="BN247" s="30"/>
      <c r="BO247" s="33">
        <f t="shared" si="40"/>
        <v>0</v>
      </c>
      <c r="BP247" s="30">
        <v>4</v>
      </c>
      <c r="BQ247" s="30">
        <v>4</v>
      </c>
      <c r="BR247" s="30"/>
      <c r="BS247" s="30"/>
      <c r="BT247" s="34">
        <f t="shared" si="41"/>
        <v>62.32</v>
      </c>
      <c r="BU247" s="34"/>
      <c r="BV247" s="34"/>
      <c r="BW247" s="34"/>
      <c r="BX247" s="34"/>
      <c r="BY247" s="30"/>
      <c r="BZ247" s="31">
        <f t="shared" si="37"/>
        <v>249.28</v>
      </c>
      <c r="CA247" s="31">
        <f t="shared" si="42"/>
        <v>249.28</v>
      </c>
    </row>
    <row r="248" spans="1:79" ht="67.5" x14ac:dyDescent="0.25">
      <c r="A248" s="17"/>
      <c r="B248" s="2">
        <v>242</v>
      </c>
      <c r="C248" s="18">
        <v>132</v>
      </c>
      <c r="D248" s="21">
        <v>643</v>
      </c>
      <c r="E248" s="19">
        <v>0.52430555555555558</v>
      </c>
      <c r="F248" s="19">
        <v>0.54305555555555551</v>
      </c>
      <c r="G248" s="18" t="s">
        <v>743</v>
      </c>
      <c r="H248" s="18" t="s">
        <v>429</v>
      </c>
      <c r="I248" s="20">
        <v>20</v>
      </c>
      <c r="J248" s="21" t="s">
        <v>494</v>
      </c>
      <c r="K248" s="22">
        <v>34</v>
      </c>
      <c r="L248" s="23">
        <f t="shared" si="38"/>
        <v>680</v>
      </c>
      <c r="M248" s="24" t="s">
        <v>486</v>
      </c>
      <c r="N248" s="25" t="s">
        <v>495</v>
      </c>
      <c r="O248" s="45">
        <v>46</v>
      </c>
      <c r="P248" s="25" t="s">
        <v>501</v>
      </c>
      <c r="Q248" s="45">
        <v>47</v>
      </c>
      <c r="R248" s="25" t="s">
        <v>496</v>
      </c>
      <c r="S248" s="35">
        <v>45</v>
      </c>
      <c r="T248" s="26" t="s">
        <v>744</v>
      </c>
      <c r="U248" s="26" t="s">
        <v>745</v>
      </c>
      <c r="V248" s="26">
        <v>1078</v>
      </c>
      <c r="W248" s="26" t="s">
        <v>492</v>
      </c>
      <c r="X248" s="66">
        <v>44816</v>
      </c>
      <c r="Y248" s="66">
        <v>45086</v>
      </c>
      <c r="Z248" s="66"/>
      <c r="AA248" s="66"/>
      <c r="AB248" s="26" t="s">
        <v>382</v>
      </c>
      <c r="AC248" s="26"/>
      <c r="AD248" s="28"/>
      <c r="AE248" s="28"/>
      <c r="AF248" s="28"/>
      <c r="AG248" s="28" t="s">
        <v>90</v>
      </c>
      <c r="AH248" s="28"/>
      <c r="AI248" s="28"/>
      <c r="AJ248" s="28"/>
      <c r="AK248" s="28"/>
      <c r="AL248" s="28"/>
      <c r="AM248" s="28" t="s">
        <v>90</v>
      </c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84">
        <v>165.99</v>
      </c>
      <c r="AY248" s="30"/>
      <c r="AZ248" s="30"/>
      <c r="BA248" s="29"/>
      <c r="BB248" s="29"/>
      <c r="BC248" s="30"/>
      <c r="BD248" s="31">
        <f t="shared" si="39"/>
        <v>5643.66</v>
      </c>
      <c r="BE248" s="31"/>
      <c r="BF248" s="30"/>
      <c r="BG248" s="32">
        <v>2</v>
      </c>
      <c r="BH248" s="31">
        <f t="shared" si="43"/>
        <v>0</v>
      </c>
      <c r="BI248" s="84">
        <f t="shared" si="44"/>
        <v>0</v>
      </c>
      <c r="BJ248" s="85">
        <f t="shared" si="45"/>
        <v>0</v>
      </c>
      <c r="BK248" s="30"/>
      <c r="BL248" s="30"/>
      <c r="BM248" s="30"/>
      <c r="BN248" s="30"/>
      <c r="BO248" s="33">
        <f t="shared" si="40"/>
        <v>0</v>
      </c>
      <c r="BP248" s="30">
        <v>2</v>
      </c>
      <c r="BQ248" s="30">
        <v>5</v>
      </c>
      <c r="BR248" s="30"/>
      <c r="BS248" s="30"/>
      <c r="BT248" s="34">
        <f t="shared" si="41"/>
        <v>165.99</v>
      </c>
      <c r="BU248" s="34"/>
      <c r="BV248" s="34"/>
      <c r="BW248" s="34"/>
      <c r="BX248" s="34"/>
      <c r="BY248" s="30"/>
      <c r="BZ248" s="31">
        <f t="shared" ref="BZ248:BZ292" si="46">(BT248*BP248)+(BV248*BX248)</f>
        <v>331.98</v>
      </c>
      <c r="CA248" s="31">
        <f t="shared" si="42"/>
        <v>829.95</v>
      </c>
    </row>
    <row r="249" spans="1:79" ht="67.5" x14ac:dyDescent="0.25">
      <c r="A249" s="17"/>
      <c r="B249" s="2">
        <v>243</v>
      </c>
      <c r="C249" s="18">
        <v>132</v>
      </c>
      <c r="D249" s="21">
        <v>643</v>
      </c>
      <c r="E249" s="19">
        <v>0.54305555555555551</v>
      </c>
      <c r="F249" s="19">
        <v>0.55347222222222225</v>
      </c>
      <c r="G249" s="18" t="s">
        <v>746</v>
      </c>
      <c r="H249" s="18" t="s">
        <v>383</v>
      </c>
      <c r="I249" s="20">
        <v>9</v>
      </c>
      <c r="J249" s="21" t="s">
        <v>494</v>
      </c>
      <c r="K249" s="22">
        <v>34</v>
      </c>
      <c r="L249" s="23">
        <f t="shared" si="38"/>
        <v>306</v>
      </c>
      <c r="M249" s="24" t="s">
        <v>486</v>
      </c>
      <c r="N249" s="25" t="s">
        <v>495</v>
      </c>
      <c r="O249" s="45">
        <v>46</v>
      </c>
      <c r="P249" s="25" t="s">
        <v>501</v>
      </c>
      <c r="Q249" s="45">
        <v>47</v>
      </c>
      <c r="R249" s="17"/>
      <c r="S249" s="45"/>
      <c r="T249" s="26" t="s">
        <v>491</v>
      </c>
      <c r="U249" s="26" t="s">
        <v>497</v>
      </c>
      <c r="V249" s="26">
        <v>1118</v>
      </c>
      <c r="W249" s="26" t="s">
        <v>580</v>
      </c>
      <c r="X249" s="66">
        <v>44816</v>
      </c>
      <c r="Y249" s="66">
        <v>45086</v>
      </c>
      <c r="Z249" s="66"/>
      <c r="AA249" s="66"/>
      <c r="AB249" s="28" t="s">
        <v>382</v>
      </c>
      <c r="AC249" s="28"/>
      <c r="AD249" s="28"/>
      <c r="AE249" s="28"/>
      <c r="AF249" s="28"/>
      <c r="AG249" s="28" t="s">
        <v>90</v>
      </c>
      <c r="AH249" s="28"/>
      <c r="AI249" s="28"/>
      <c r="AJ249" s="28"/>
      <c r="AK249" s="28"/>
      <c r="AL249" s="28"/>
      <c r="AM249" s="28" t="s">
        <v>90</v>
      </c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84">
        <v>16.2</v>
      </c>
      <c r="AY249" s="30"/>
      <c r="AZ249" s="30"/>
      <c r="BA249" s="29"/>
      <c r="BB249" s="29"/>
      <c r="BC249" s="30"/>
      <c r="BD249" s="31">
        <f t="shared" si="39"/>
        <v>550.79999999999995</v>
      </c>
      <c r="BE249" s="31"/>
      <c r="BF249" s="30"/>
      <c r="BG249" s="32">
        <v>2</v>
      </c>
      <c r="BH249" s="31">
        <f t="shared" si="43"/>
        <v>0</v>
      </c>
      <c r="BI249" s="84">
        <f t="shared" si="44"/>
        <v>10.8</v>
      </c>
      <c r="BJ249" s="85"/>
      <c r="BK249" s="30"/>
      <c r="BL249" s="30"/>
      <c r="BM249" s="30"/>
      <c r="BN249" s="30"/>
      <c r="BO249" s="33">
        <f t="shared" si="40"/>
        <v>0</v>
      </c>
      <c r="BP249" s="30">
        <v>2</v>
      </c>
      <c r="BQ249" s="30">
        <v>5</v>
      </c>
      <c r="BR249" s="30"/>
      <c r="BS249" s="30"/>
      <c r="BT249" s="34">
        <f t="shared" si="41"/>
        <v>27</v>
      </c>
      <c r="BU249" s="34"/>
      <c r="BV249" s="34"/>
      <c r="BW249" s="34"/>
      <c r="BX249" s="34"/>
      <c r="BY249" s="30"/>
      <c r="BZ249" s="31">
        <f t="shared" si="46"/>
        <v>54</v>
      </c>
      <c r="CA249" s="31">
        <f t="shared" si="42"/>
        <v>135</v>
      </c>
    </row>
    <row r="250" spans="1:79" ht="140.25" x14ac:dyDescent="0.25">
      <c r="A250" s="17"/>
      <c r="B250" s="2">
        <v>244</v>
      </c>
      <c r="C250" s="18">
        <v>132</v>
      </c>
      <c r="D250" s="21">
        <v>643</v>
      </c>
      <c r="E250" s="19">
        <v>0.55347222222222225</v>
      </c>
      <c r="F250" s="19">
        <v>0.55555555555555558</v>
      </c>
      <c r="G250" s="18" t="s">
        <v>747</v>
      </c>
      <c r="H250" s="18" t="s">
        <v>383</v>
      </c>
      <c r="I250" s="20">
        <v>2</v>
      </c>
      <c r="J250" s="21" t="s">
        <v>494</v>
      </c>
      <c r="K250" s="22">
        <v>34</v>
      </c>
      <c r="L250" s="23">
        <f t="shared" si="38"/>
        <v>68</v>
      </c>
      <c r="M250" s="24" t="s">
        <v>486</v>
      </c>
      <c r="N250" s="25" t="s">
        <v>495</v>
      </c>
      <c r="O250" s="45">
        <v>46</v>
      </c>
      <c r="P250" s="25" t="s">
        <v>501</v>
      </c>
      <c r="Q250" s="45">
        <v>47</v>
      </c>
      <c r="R250" s="17"/>
      <c r="S250" s="45"/>
      <c r="T250" s="26">
        <v>1118</v>
      </c>
      <c r="U250" s="26" t="s">
        <v>580</v>
      </c>
      <c r="V250" s="26">
        <v>1115</v>
      </c>
      <c r="W250" s="26" t="s">
        <v>748</v>
      </c>
      <c r="X250" s="66">
        <v>44816</v>
      </c>
      <c r="Y250" s="66">
        <v>45086</v>
      </c>
      <c r="Z250" s="66"/>
      <c r="AA250" s="66"/>
      <c r="AB250" s="28" t="s">
        <v>382</v>
      </c>
      <c r="AC250" s="28"/>
      <c r="AD250" s="28"/>
      <c r="AE250" s="28"/>
      <c r="AF250" s="28"/>
      <c r="AG250" s="28" t="s">
        <v>90</v>
      </c>
      <c r="AH250" s="28"/>
      <c r="AI250" s="28"/>
      <c r="AJ250" s="28"/>
      <c r="AK250" s="28"/>
      <c r="AL250" s="28"/>
      <c r="AM250" s="28" t="s">
        <v>90</v>
      </c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84">
        <v>6</v>
      </c>
      <c r="AY250" s="30"/>
      <c r="AZ250" s="30"/>
      <c r="BA250" s="29"/>
      <c r="BB250" s="29"/>
      <c r="BC250" s="30"/>
      <c r="BD250" s="31">
        <f t="shared" si="39"/>
        <v>204</v>
      </c>
      <c r="BE250" s="31"/>
      <c r="BF250" s="30"/>
      <c r="BG250" s="32">
        <v>2</v>
      </c>
      <c r="BH250" s="31">
        <f t="shared" si="43"/>
        <v>0</v>
      </c>
      <c r="BI250" s="84">
        <f t="shared" si="44"/>
        <v>0</v>
      </c>
      <c r="BJ250" s="85">
        <f>(BH250+BI250)*K250</f>
        <v>0</v>
      </c>
      <c r="BK250" s="30"/>
      <c r="BL250" s="30"/>
      <c r="BM250" s="30"/>
      <c r="BN250" s="30"/>
      <c r="BO250" s="33">
        <f t="shared" si="40"/>
        <v>0</v>
      </c>
      <c r="BP250" s="30">
        <v>2</v>
      </c>
      <c r="BQ250" s="30">
        <v>5</v>
      </c>
      <c r="BR250" s="30"/>
      <c r="BS250" s="30"/>
      <c r="BT250" s="34">
        <f t="shared" si="41"/>
        <v>6</v>
      </c>
      <c r="BU250" s="34"/>
      <c r="BV250" s="34"/>
      <c r="BW250" s="34"/>
      <c r="BX250" s="34"/>
      <c r="BY250" s="30"/>
      <c r="BZ250" s="31">
        <f t="shared" si="46"/>
        <v>12</v>
      </c>
      <c r="CA250" s="31">
        <f t="shared" si="42"/>
        <v>30</v>
      </c>
    </row>
    <row r="251" spans="1:79" ht="67.5" x14ac:dyDescent="0.25">
      <c r="A251" s="17"/>
      <c r="B251" s="2">
        <v>245</v>
      </c>
      <c r="C251" s="18">
        <v>132</v>
      </c>
      <c r="D251" s="21">
        <v>641</v>
      </c>
      <c r="E251" s="19">
        <v>0.56597222222222221</v>
      </c>
      <c r="F251" s="19">
        <v>0.58472222222222225</v>
      </c>
      <c r="G251" s="18" t="s">
        <v>743</v>
      </c>
      <c r="H251" s="18" t="s">
        <v>273</v>
      </c>
      <c r="I251" s="20">
        <v>20</v>
      </c>
      <c r="J251" s="21" t="s">
        <v>494</v>
      </c>
      <c r="K251" s="22">
        <v>174</v>
      </c>
      <c r="L251" s="23">
        <f t="shared" si="38"/>
        <v>3480</v>
      </c>
      <c r="M251" s="24" t="s">
        <v>486</v>
      </c>
      <c r="N251" s="25" t="s">
        <v>495</v>
      </c>
      <c r="O251" s="45">
        <v>46</v>
      </c>
      <c r="P251" s="25" t="s">
        <v>501</v>
      </c>
      <c r="Q251" s="45">
        <v>47</v>
      </c>
      <c r="R251" s="25" t="s">
        <v>496</v>
      </c>
      <c r="S251" s="35">
        <v>45</v>
      </c>
      <c r="T251" s="26" t="s">
        <v>744</v>
      </c>
      <c r="U251" s="26" t="s">
        <v>745</v>
      </c>
      <c r="V251" s="26">
        <v>1078</v>
      </c>
      <c r="W251" s="26" t="s">
        <v>492</v>
      </c>
      <c r="X251" s="66">
        <v>44816</v>
      </c>
      <c r="Y251" s="66">
        <v>45086</v>
      </c>
      <c r="Z251" s="66"/>
      <c r="AA251" s="66"/>
      <c r="AB251" s="26" t="s">
        <v>282</v>
      </c>
      <c r="AC251" s="26"/>
      <c r="AD251" s="28"/>
      <c r="AE251" s="28"/>
      <c r="AF251" s="28"/>
      <c r="AG251" s="28" t="s">
        <v>90</v>
      </c>
      <c r="AH251" s="28" t="s">
        <v>90</v>
      </c>
      <c r="AI251" s="28" t="s">
        <v>90</v>
      </c>
      <c r="AJ251" s="28" t="s">
        <v>90</v>
      </c>
      <c r="AK251" s="28" t="s">
        <v>90</v>
      </c>
      <c r="AL251" s="28" t="s">
        <v>90</v>
      </c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31">
        <v>165.99</v>
      </c>
      <c r="AY251" s="30"/>
      <c r="AZ251" s="30"/>
      <c r="BA251" s="29"/>
      <c r="BB251" s="29"/>
      <c r="BC251" s="30"/>
      <c r="BD251" s="31">
        <f t="shared" si="39"/>
        <v>28882.260000000002</v>
      </c>
      <c r="BE251" s="31"/>
      <c r="BF251" s="30"/>
      <c r="BG251" s="32">
        <v>2</v>
      </c>
      <c r="BH251" s="31">
        <f t="shared" si="43"/>
        <v>0</v>
      </c>
      <c r="BI251" s="31">
        <f t="shared" si="44"/>
        <v>0</v>
      </c>
      <c r="BJ251" s="33">
        <f>(BH251+BI251)*K251</f>
        <v>0</v>
      </c>
      <c r="BK251" s="30"/>
      <c r="BL251" s="30"/>
      <c r="BM251" s="30"/>
      <c r="BN251" s="30"/>
      <c r="BO251" s="33">
        <f t="shared" si="40"/>
        <v>0</v>
      </c>
      <c r="BP251" s="30">
        <v>15</v>
      </c>
      <c r="BQ251" s="30">
        <v>20</v>
      </c>
      <c r="BR251" s="30"/>
      <c r="BS251" s="30"/>
      <c r="BT251" s="34">
        <f t="shared" si="41"/>
        <v>165.99</v>
      </c>
      <c r="BU251" s="34"/>
      <c r="BV251" s="34"/>
      <c r="BW251" s="34"/>
      <c r="BX251" s="34"/>
      <c r="BY251" s="30"/>
      <c r="BZ251" s="31">
        <f t="shared" si="46"/>
        <v>2489.8500000000004</v>
      </c>
      <c r="CA251" s="31">
        <f t="shared" si="42"/>
        <v>3319.8</v>
      </c>
    </row>
    <row r="252" spans="1:79" ht="89.25" x14ac:dyDescent="0.25">
      <c r="A252" s="17"/>
      <c r="B252" s="2">
        <v>246</v>
      </c>
      <c r="C252" s="18">
        <v>132</v>
      </c>
      <c r="D252" s="21">
        <v>641</v>
      </c>
      <c r="E252" s="19">
        <v>0.58472222222222225</v>
      </c>
      <c r="F252" s="19">
        <v>0.59444444444444444</v>
      </c>
      <c r="G252" s="18" t="s">
        <v>749</v>
      </c>
      <c r="H252" s="18" t="s">
        <v>273</v>
      </c>
      <c r="I252" s="20">
        <v>11</v>
      </c>
      <c r="J252" s="21" t="s">
        <v>494</v>
      </c>
      <c r="K252" s="22">
        <v>174</v>
      </c>
      <c r="L252" s="23">
        <f t="shared" si="38"/>
        <v>1914</v>
      </c>
      <c r="M252" s="24" t="s">
        <v>486</v>
      </c>
      <c r="N252" s="25" t="s">
        <v>495</v>
      </c>
      <c r="O252" s="45">
        <v>46</v>
      </c>
      <c r="P252" s="25" t="s">
        <v>501</v>
      </c>
      <c r="Q252" s="45">
        <v>47</v>
      </c>
      <c r="R252" s="25" t="s">
        <v>487</v>
      </c>
      <c r="S252" s="35">
        <v>9</v>
      </c>
      <c r="T252" s="26" t="s">
        <v>491</v>
      </c>
      <c r="U252" s="26" t="s">
        <v>497</v>
      </c>
      <c r="V252" s="26">
        <v>1115</v>
      </c>
      <c r="W252" s="26" t="s">
        <v>748</v>
      </c>
      <c r="X252" s="66">
        <v>44816</v>
      </c>
      <c r="Y252" s="66">
        <v>45086</v>
      </c>
      <c r="Z252" s="66"/>
      <c r="AA252" s="66"/>
      <c r="AB252" s="26" t="s">
        <v>282</v>
      </c>
      <c r="AC252" s="26"/>
      <c r="AD252" s="28"/>
      <c r="AE252" s="28"/>
      <c r="AF252" s="28"/>
      <c r="AG252" s="28" t="s">
        <v>90</v>
      </c>
      <c r="AH252" s="28" t="s">
        <v>90</v>
      </c>
      <c r="AI252" s="28" t="s">
        <v>90</v>
      </c>
      <c r="AJ252" s="28" t="s">
        <v>90</v>
      </c>
      <c r="AK252" s="28" t="s">
        <v>90</v>
      </c>
      <c r="AL252" s="28" t="s">
        <v>90</v>
      </c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9">
        <f>16.2+3.6</f>
        <v>19.8</v>
      </c>
      <c r="AY252" s="30"/>
      <c r="AZ252" s="30"/>
      <c r="BA252" s="29"/>
      <c r="BB252" s="29"/>
      <c r="BC252" s="30"/>
      <c r="BD252" s="31">
        <f t="shared" si="39"/>
        <v>3445.2000000000003</v>
      </c>
      <c r="BE252" s="31"/>
      <c r="BF252" s="30"/>
      <c r="BG252" s="32">
        <v>2</v>
      </c>
      <c r="BH252" s="31">
        <f t="shared" si="43"/>
        <v>0</v>
      </c>
      <c r="BI252" s="31">
        <f t="shared" si="44"/>
        <v>13.2</v>
      </c>
      <c r="BJ252" s="33">
        <f>(BH252+BI252)*K252</f>
        <v>2296.7999999999997</v>
      </c>
      <c r="BK252" s="30"/>
      <c r="BL252" s="30"/>
      <c r="BM252" s="30"/>
      <c r="BN252" s="30"/>
      <c r="BO252" s="33">
        <f t="shared" si="40"/>
        <v>0</v>
      </c>
      <c r="BP252" s="30">
        <v>15</v>
      </c>
      <c r="BQ252" s="30">
        <v>20</v>
      </c>
      <c r="BR252" s="30"/>
      <c r="BS252" s="30"/>
      <c r="BT252" s="34">
        <f t="shared" si="41"/>
        <v>33</v>
      </c>
      <c r="BU252" s="34"/>
      <c r="BV252" s="34"/>
      <c r="BW252" s="34"/>
      <c r="BX252" s="34"/>
      <c r="BY252" s="30"/>
      <c r="BZ252" s="31">
        <f t="shared" si="46"/>
        <v>495</v>
      </c>
      <c r="CA252" s="31">
        <f t="shared" si="42"/>
        <v>660</v>
      </c>
    </row>
    <row r="253" spans="1:79" ht="102" x14ac:dyDescent="0.25">
      <c r="A253" s="17"/>
      <c r="B253" s="2">
        <v>247</v>
      </c>
      <c r="C253" s="18">
        <v>135</v>
      </c>
      <c r="D253" s="21">
        <v>640</v>
      </c>
      <c r="E253" s="19">
        <v>0.2951388888888889</v>
      </c>
      <c r="F253" s="19">
        <v>0.31180555555555556</v>
      </c>
      <c r="G253" s="18" t="s">
        <v>750</v>
      </c>
      <c r="H253" s="18" t="s">
        <v>273</v>
      </c>
      <c r="I253" s="20">
        <v>14.5</v>
      </c>
      <c r="J253" s="21" t="s">
        <v>494</v>
      </c>
      <c r="K253" s="22">
        <v>174</v>
      </c>
      <c r="L253" s="23">
        <f t="shared" si="38"/>
        <v>2523</v>
      </c>
      <c r="M253" s="24" t="s">
        <v>486</v>
      </c>
      <c r="N253" s="25" t="s">
        <v>495</v>
      </c>
      <c r="O253" s="45">
        <v>46</v>
      </c>
      <c r="P253" s="25" t="s">
        <v>496</v>
      </c>
      <c r="Q253" s="45">
        <v>45</v>
      </c>
      <c r="R253" s="17"/>
      <c r="S253" s="45"/>
      <c r="T253" s="26">
        <v>1084</v>
      </c>
      <c r="U253" s="26" t="s">
        <v>498</v>
      </c>
      <c r="V253" s="26">
        <v>1080</v>
      </c>
      <c r="W253" s="26" t="s">
        <v>507</v>
      </c>
      <c r="X253" s="66">
        <v>44816</v>
      </c>
      <c r="Y253" s="66">
        <v>45086</v>
      </c>
      <c r="Z253" s="66"/>
      <c r="AA253" s="66"/>
      <c r="AB253" s="26" t="s">
        <v>282</v>
      </c>
      <c r="AC253" s="26"/>
      <c r="AD253" s="28"/>
      <c r="AE253" s="28"/>
      <c r="AF253" s="28"/>
      <c r="AG253" s="28" t="s">
        <v>90</v>
      </c>
      <c r="AH253" s="28" t="s">
        <v>90</v>
      </c>
      <c r="AI253" s="28" t="s">
        <v>90</v>
      </c>
      <c r="AJ253" s="28" t="s">
        <v>90</v>
      </c>
      <c r="AK253" s="28" t="s">
        <v>90</v>
      </c>
      <c r="AL253" s="28" t="s">
        <v>90</v>
      </c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53">
        <v>26.1</v>
      </c>
      <c r="AY253" s="30"/>
      <c r="AZ253" s="30"/>
      <c r="BA253" s="29"/>
      <c r="BB253" s="29"/>
      <c r="BC253" s="30"/>
      <c r="BD253" s="31">
        <f t="shared" si="39"/>
        <v>4541.4000000000005</v>
      </c>
      <c r="BE253" s="31"/>
      <c r="BF253" s="30"/>
      <c r="BG253" s="32">
        <v>2</v>
      </c>
      <c r="BH253" s="53"/>
      <c r="BI253" s="53"/>
      <c r="BJ253" s="54"/>
      <c r="BK253" s="30"/>
      <c r="BL253" s="30"/>
      <c r="BM253" s="30"/>
      <c r="BN253" s="30"/>
      <c r="BO253" s="33">
        <f t="shared" si="40"/>
        <v>0</v>
      </c>
      <c r="BP253" s="30">
        <v>15</v>
      </c>
      <c r="BQ253" s="30">
        <v>20</v>
      </c>
      <c r="BR253" s="30"/>
      <c r="BS253" s="30"/>
      <c r="BT253" s="34">
        <f t="shared" si="41"/>
        <v>26.1</v>
      </c>
      <c r="BU253" s="34"/>
      <c r="BV253" s="34"/>
      <c r="BW253" s="34"/>
      <c r="BX253" s="34"/>
      <c r="BY253" s="30"/>
      <c r="BZ253" s="31">
        <f t="shared" si="46"/>
        <v>391.5</v>
      </c>
      <c r="CA253" s="31">
        <f t="shared" si="42"/>
        <v>522</v>
      </c>
    </row>
    <row r="254" spans="1:79" ht="102" x14ac:dyDescent="0.25">
      <c r="A254" s="17"/>
      <c r="B254" s="2">
        <v>248</v>
      </c>
      <c r="C254" s="18">
        <v>135</v>
      </c>
      <c r="D254" s="21">
        <v>640</v>
      </c>
      <c r="E254" s="19">
        <v>0.2951388888888889</v>
      </c>
      <c r="F254" s="19">
        <v>0.31180555555555556</v>
      </c>
      <c r="G254" s="18" t="s">
        <v>751</v>
      </c>
      <c r="H254" s="18" t="s">
        <v>379</v>
      </c>
      <c r="I254" s="20">
        <v>14.5</v>
      </c>
      <c r="J254" s="21" t="s">
        <v>93</v>
      </c>
      <c r="K254" s="22">
        <v>34</v>
      </c>
      <c r="L254" s="23">
        <f t="shared" si="38"/>
        <v>493</v>
      </c>
      <c r="M254" s="24" t="s">
        <v>486</v>
      </c>
      <c r="N254" s="25" t="s">
        <v>495</v>
      </c>
      <c r="O254" s="45">
        <v>46</v>
      </c>
      <c r="P254" s="25" t="s">
        <v>496</v>
      </c>
      <c r="Q254" s="45">
        <v>45</v>
      </c>
      <c r="R254" s="17"/>
      <c r="S254" s="45"/>
      <c r="T254" s="26">
        <v>1084</v>
      </c>
      <c r="U254" s="26" t="s">
        <v>498</v>
      </c>
      <c r="V254" s="26">
        <v>1080</v>
      </c>
      <c r="W254" s="26" t="s">
        <v>507</v>
      </c>
      <c r="X254" s="66">
        <v>44816</v>
      </c>
      <c r="Y254" s="66">
        <v>45086</v>
      </c>
      <c r="Z254" s="66"/>
      <c r="AA254" s="66"/>
      <c r="AB254" s="28" t="s">
        <v>382</v>
      </c>
      <c r="AC254" s="28"/>
      <c r="AD254" s="28"/>
      <c r="AE254" s="28"/>
      <c r="AF254" s="28"/>
      <c r="AG254" s="28" t="s">
        <v>90</v>
      </c>
      <c r="AH254" s="28"/>
      <c r="AI254" s="28"/>
      <c r="AJ254" s="28"/>
      <c r="AK254" s="28"/>
      <c r="AL254" s="28"/>
      <c r="AM254" s="28" t="s">
        <v>90</v>
      </c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9">
        <f>29.4+7.2</f>
        <v>36.6</v>
      </c>
      <c r="AY254" s="30"/>
      <c r="AZ254" s="30"/>
      <c r="BA254" s="29"/>
      <c r="BB254" s="29"/>
      <c r="BC254" s="30"/>
      <c r="BD254" s="31">
        <f t="shared" si="39"/>
        <v>1244.4000000000001</v>
      </c>
      <c r="BE254" s="31"/>
      <c r="BF254" s="30"/>
      <c r="BG254" s="36">
        <v>1</v>
      </c>
      <c r="BH254" s="31">
        <f>IF(AND((AX254/I254)&lt;2,BG254=1),(I254*2)-AX254,0)</f>
        <v>0</v>
      </c>
      <c r="BI254" s="31">
        <f>IF(AND((AX254/I254)&lt;3,BG254=2),(I254*3)-AX254,0)</f>
        <v>0</v>
      </c>
      <c r="BJ254" s="33">
        <f>(BH254+BI254)*K254</f>
        <v>0</v>
      </c>
      <c r="BK254" s="30"/>
      <c r="BL254" s="30"/>
      <c r="BM254" s="30"/>
      <c r="BN254" s="30"/>
      <c r="BO254" s="33">
        <f t="shared" si="40"/>
        <v>0</v>
      </c>
      <c r="BP254" s="30">
        <v>2</v>
      </c>
      <c r="BQ254" s="30">
        <v>5</v>
      </c>
      <c r="BR254" s="30"/>
      <c r="BS254" s="30"/>
      <c r="BT254" s="34">
        <f t="shared" si="41"/>
        <v>36.6</v>
      </c>
      <c r="BU254" s="34"/>
      <c r="BV254" s="34"/>
      <c r="BW254" s="34"/>
      <c r="BX254" s="34"/>
      <c r="BY254" s="30"/>
      <c r="BZ254" s="31">
        <f t="shared" si="46"/>
        <v>73.2</v>
      </c>
      <c r="CA254" s="31">
        <f t="shared" si="42"/>
        <v>183</v>
      </c>
    </row>
    <row r="255" spans="1:79" ht="63.75" x14ac:dyDescent="0.25">
      <c r="A255" s="17"/>
      <c r="B255" s="2">
        <v>249</v>
      </c>
      <c r="C255" s="18">
        <v>201</v>
      </c>
      <c r="D255" s="18">
        <v>59</v>
      </c>
      <c r="E255" s="19">
        <v>0.27499999999999997</v>
      </c>
      <c r="F255" s="19">
        <v>0.30694444444444441</v>
      </c>
      <c r="G255" s="18" t="s">
        <v>752</v>
      </c>
      <c r="H255" s="18" t="s">
        <v>753</v>
      </c>
      <c r="I255" s="20">
        <v>31</v>
      </c>
      <c r="J255" s="21" t="s">
        <v>754</v>
      </c>
      <c r="K255" s="22">
        <v>36</v>
      </c>
      <c r="L255" s="23">
        <f t="shared" si="38"/>
        <v>1116</v>
      </c>
      <c r="M255" s="24" t="s">
        <v>333</v>
      </c>
      <c r="N255" s="25" t="s">
        <v>755</v>
      </c>
      <c r="O255" s="25">
        <v>61</v>
      </c>
      <c r="P255" s="25" t="s">
        <v>334</v>
      </c>
      <c r="Q255" s="25">
        <v>55</v>
      </c>
      <c r="R255" s="25" t="s">
        <v>336</v>
      </c>
      <c r="S255" s="25">
        <v>57</v>
      </c>
      <c r="T255" s="26">
        <v>2180</v>
      </c>
      <c r="U255" s="26" t="s">
        <v>119</v>
      </c>
      <c r="V255" s="26">
        <v>1</v>
      </c>
      <c r="W255" s="26" t="s">
        <v>300</v>
      </c>
      <c r="X255" s="66">
        <v>44816</v>
      </c>
      <c r="Y255" s="66">
        <v>45086</v>
      </c>
      <c r="Z255" s="66"/>
      <c r="AA255" s="66"/>
      <c r="AB255" s="26" t="s">
        <v>732</v>
      </c>
      <c r="AC255" s="26"/>
      <c r="AD255" s="28"/>
      <c r="AE255" s="28"/>
      <c r="AF255" s="28"/>
      <c r="AG255" s="28" t="s">
        <v>90</v>
      </c>
      <c r="AH255" s="28" t="s">
        <v>90</v>
      </c>
      <c r="AI255" s="28"/>
      <c r="AJ255" s="28"/>
      <c r="AK255" s="28"/>
      <c r="AL255" s="28"/>
      <c r="AM255" s="28"/>
      <c r="AN255" s="28"/>
      <c r="AO255" s="28" t="s">
        <v>90</v>
      </c>
      <c r="AP255" s="28"/>
      <c r="AQ255" s="28"/>
      <c r="AR255" s="28"/>
      <c r="AS255" s="28"/>
      <c r="AT255" s="28"/>
      <c r="AU255" s="28"/>
      <c r="AV255" s="28"/>
      <c r="AW255" s="28"/>
      <c r="AX255" s="29">
        <v>173.55</v>
      </c>
      <c r="AY255" s="30"/>
      <c r="AZ255" s="30"/>
      <c r="BA255" s="29"/>
      <c r="BB255" s="29"/>
      <c r="BC255" s="30"/>
      <c r="BD255" s="31">
        <f t="shared" si="39"/>
        <v>6247.8</v>
      </c>
      <c r="BE255" s="31"/>
      <c r="BF255" s="30"/>
      <c r="BG255" s="32">
        <v>2</v>
      </c>
      <c r="BH255" s="31">
        <f>IF(AND((AX255/I255)&lt;2,BG255=1),(I255*2)-AX255,0)</f>
        <v>0</v>
      </c>
      <c r="BI255" s="31">
        <f>IF(AND((AX255/I255)&lt;3,BG255=2),(I255*3)-AX255,0)</f>
        <v>0</v>
      </c>
      <c r="BJ255" s="33">
        <f>(BH255+BI255)*K255</f>
        <v>0</v>
      </c>
      <c r="BK255" s="30"/>
      <c r="BL255" s="30"/>
      <c r="BM255" s="30"/>
      <c r="BN255" s="31">
        <f>IF((AX255+AY255+AZ255)&lt;20,(20-(AX255+AY255+AZ255)),0)</f>
        <v>0</v>
      </c>
      <c r="BO255" s="33">
        <f t="shared" si="40"/>
        <v>0</v>
      </c>
      <c r="BP255" s="30">
        <v>3</v>
      </c>
      <c r="BQ255" s="30">
        <v>4</v>
      </c>
      <c r="BR255" s="30"/>
      <c r="BS255" s="30"/>
      <c r="BT255" s="34">
        <f t="shared" si="41"/>
        <v>173.55</v>
      </c>
      <c r="BU255" s="34"/>
      <c r="BV255" s="34"/>
      <c r="BW255" s="34"/>
      <c r="BX255" s="34"/>
      <c r="BY255" s="30"/>
      <c r="BZ255" s="31">
        <f t="shared" si="46"/>
        <v>520.65000000000009</v>
      </c>
      <c r="CA255" s="31">
        <f t="shared" si="42"/>
        <v>694.2</v>
      </c>
    </row>
    <row r="256" spans="1:79" ht="102" x14ac:dyDescent="0.25">
      <c r="A256" s="17"/>
      <c r="B256" s="2">
        <v>250</v>
      </c>
      <c r="C256" s="18">
        <v>201</v>
      </c>
      <c r="D256" s="18">
        <v>59</v>
      </c>
      <c r="E256" s="19">
        <v>0.27499999999999997</v>
      </c>
      <c r="F256" s="19">
        <v>0.30694444444444441</v>
      </c>
      <c r="G256" s="18" t="s">
        <v>756</v>
      </c>
      <c r="H256" s="18" t="s">
        <v>757</v>
      </c>
      <c r="I256" s="20">
        <v>30</v>
      </c>
      <c r="J256" s="21" t="s">
        <v>81</v>
      </c>
      <c r="K256" s="22">
        <f>174-33</f>
        <v>141</v>
      </c>
      <c r="L256" s="23">
        <f t="shared" si="38"/>
        <v>4230</v>
      </c>
      <c r="M256" s="24" t="s">
        <v>333</v>
      </c>
      <c r="N256" s="25" t="s">
        <v>755</v>
      </c>
      <c r="O256" s="25">
        <v>61</v>
      </c>
      <c r="P256" s="25" t="s">
        <v>334</v>
      </c>
      <c r="Q256" s="25">
        <v>55</v>
      </c>
      <c r="R256" s="25" t="s">
        <v>336</v>
      </c>
      <c r="S256" s="25">
        <v>57</v>
      </c>
      <c r="T256" s="26">
        <v>2180</v>
      </c>
      <c r="U256" s="26" t="s">
        <v>119</v>
      </c>
      <c r="V256" s="26">
        <v>1</v>
      </c>
      <c r="W256" s="26" t="s">
        <v>300</v>
      </c>
      <c r="X256" s="66">
        <v>44816</v>
      </c>
      <c r="Y256" s="66">
        <v>45086</v>
      </c>
      <c r="Z256" s="66"/>
      <c r="AA256" s="66"/>
      <c r="AB256" s="26" t="s">
        <v>758</v>
      </c>
      <c r="AC256" s="26"/>
      <c r="AD256" s="28"/>
      <c r="AE256" s="28"/>
      <c r="AF256" s="28"/>
      <c r="AG256" s="28" t="s">
        <v>90</v>
      </c>
      <c r="AH256" s="28"/>
      <c r="AI256" s="28" t="s">
        <v>90</v>
      </c>
      <c r="AJ256" s="28" t="s">
        <v>90</v>
      </c>
      <c r="AK256" s="28" t="s">
        <v>90</v>
      </c>
      <c r="AL256" s="28" t="s">
        <v>90</v>
      </c>
      <c r="AM256" s="28"/>
      <c r="AN256" s="28"/>
      <c r="AO256" s="28"/>
      <c r="AP256" s="28" t="s">
        <v>90</v>
      </c>
      <c r="AQ256" s="28"/>
      <c r="AR256" s="28"/>
      <c r="AS256" s="28"/>
      <c r="AT256" s="28"/>
      <c r="AU256" s="28"/>
      <c r="AV256" s="28"/>
      <c r="AW256" s="28"/>
      <c r="AX256" s="29">
        <v>90</v>
      </c>
      <c r="AY256" s="30"/>
      <c r="AZ256" s="30"/>
      <c r="BA256" s="29"/>
      <c r="BB256" s="29"/>
      <c r="BC256" s="30"/>
      <c r="BD256" s="31">
        <f t="shared" si="39"/>
        <v>12690</v>
      </c>
      <c r="BE256" s="31"/>
      <c r="BF256" s="30"/>
      <c r="BG256" s="32">
        <v>2</v>
      </c>
      <c r="BH256" s="31">
        <f>IF(AND((AX256/I256)&lt;2,BG256=1),(I256*2)-AX256,0)</f>
        <v>0</v>
      </c>
      <c r="BI256" s="31">
        <f>IF(AND((AX256/I256)&lt;3,BG256=2),(I256*3)-AX256,0)</f>
        <v>0</v>
      </c>
      <c r="BJ256" s="33">
        <f>(BH256+BI256)*K256</f>
        <v>0</v>
      </c>
      <c r="BK256" s="30"/>
      <c r="BL256" s="30"/>
      <c r="BM256" s="30"/>
      <c r="BN256" s="31">
        <f>IF((AX256+AY256+AZ256)&lt;20,(20-(AX256+AY256+AZ256)),0)</f>
        <v>0</v>
      </c>
      <c r="BO256" s="33">
        <f t="shared" si="40"/>
        <v>0</v>
      </c>
      <c r="BP256" s="30">
        <v>12</v>
      </c>
      <c r="BQ256" s="30">
        <v>16</v>
      </c>
      <c r="BR256" s="30"/>
      <c r="BS256" s="30"/>
      <c r="BT256" s="34">
        <f t="shared" si="41"/>
        <v>90</v>
      </c>
      <c r="BU256" s="34"/>
      <c r="BV256" s="34"/>
      <c r="BW256" s="34"/>
      <c r="BX256" s="34"/>
      <c r="BY256" s="30"/>
      <c r="BZ256" s="31">
        <f t="shared" si="46"/>
        <v>1080</v>
      </c>
      <c r="CA256" s="31">
        <f t="shared" si="42"/>
        <v>1440</v>
      </c>
    </row>
    <row r="257" spans="1:79" ht="38.25" x14ac:dyDescent="0.25">
      <c r="A257" s="17"/>
      <c r="B257" s="2">
        <v>251</v>
      </c>
      <c r="C257" s="37">
        <v>201</v>
      </c>
      <c r="D257" s="37">
        <v>251</v>
      </c>
      <c r="E257" s="86">
        <v>0.29791666666666666</v>
      </c>
      <c r="F257" s="86">
        <v>0.34513888888888888</v>
      </c>
      <c r="G257" s="39" t="s">
        <v>759</v>
      </c>
      <c r="H257" s="18" t="s">
        <v>422</v>
      </c>
      <c r="I257" s="37">
        <v>44</v>
      </c>
      <c r="J257" s="40">
        <v>50</v>
      </c>
      <c r="K257" s="22">
        <v>240</v>
      </c>
      <c r="L257" s="23">
        <f t="shared" si="38"/>
        <v>10560</v>
      </c>
      <c r="M257" s="83" t="s">
        <v>114</v>
      </c>
      <c r="N257" s="25" t="s">
        <v>760</v>
      </c>
      <c r="O257" s="25">
        <v>61</v>
      </c>
      <c r="P257" s="25" t="s">
        <v>761</v>
      </c>
      <c r="Q257" s="25">
        <v>58</v>
      </c>
      <c r="R257" s="25" t="s">
        <v>762</v>
      </c>
      <c r="S257" s="25">
        <v>65</v>
      </c>
      <c r="T257" s="26">
        <v>2290</v>
      </c>
      <c r="U257" s="26" t="s">
        <v>118</v>
      </c>
      <c r="V257" s="26">
        <v>1</v>
      </c>
      <c r="W257" s="26" t="s">
        <v>300</v>
      </c>
      <c r="X257" s="27">
        <v>44816</v>
      </c>
      <c r="Y257" s="27">
        <v>45100</v>
      </c>
      <c r="Z257" s="27"/>
      <c r="AA257" s="27"/>
      <c r="AB257" s="26" t="s">
        <v>423</v>
      </c>
      <c r="AC257" s="26"/>
      <c r="AD257" s="28" t="s">
        <v>90</v>
      </c>
      <c r="AE257" s="28"/>
      <c r="AF257" s="28" t="s">
        <v>90</v>
      </c>
      <c r="AG257" s="28"/>
      <c r="AH257" s="28" t="s">
        <v>90</v>
      </c>
      <c r="AI257" s="28" t="s">
        <v>90</v>
      </c>
      <c r="AJ257" s="28" t="s">
        <v>90</v>
      </c>
      <c r="AK257" s="28" t="s">
        <v>90</v>
      </c>
      <c r="AL257" s="28" t="s">
        <v>90</v>
      </c>
      <c r="AM257" s="28" t="s">
        <v>90</v>
      </c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9">
        <v>105.6</v>
      </c>
      <c r="AY257" s="30"/>
      <c r="AZ257" s="30"/>
      <c r="BA257" s="29"/>
      <c r="BB257" s="29"/>
      <c r="BC257" s="30"/>
      <c r="BD257" s="31">
        <f t="shared" si="39"/>
        <v>25344</v>
      </c>
      <c r="BE257" s="31"/>
      <c r="BF257" s="30"/>
      <c r="BG257" s="32">
        <v>2</v>
      </c>
      <c r="BH257" s="31">
        <f>IF(AND((AX257/I257)&lt;2,BG257=1),(I257*2)-AX257,0)</f>
        <v>0</v>
      </c>
      <c r="BI257" s="31">
        <f>IF(AND((AX257/I257)&lt;3,BG257=2),(I257*3)-AX257,0)</f>
        <v>26.400000000000006</v>
      </c>
      <c r="BJ257" s="33">
        <f>(BH257+BI257)*K257</f>
        <v>6336.0000000000018</v>
      </c>
      <c r="BK257" s="30"/>
      <c r="BL257" s="30"/>
      <c r="BM257" s="30"/>
      <c r="BN257" s="30"/>
      <c r="BO257" s="33">
        <f t="shared" si="40"/>
        <v>0</v>
      </c>
      <c r="BP257" s="30">
        <v>17</v>
      </c>
      <c r="BQ257" s="30">
        <v>26</v>
      </c>
      <c r="BR257" s="30"/>
      <c r="BS257" s="30"/>
      <c r="BT257" s="34">
        <f t="shared" si="41"/>
        <v>132</v>
      </c>
      <c r="BU257" s="34"/>
      <c r="BV257" s="34"/>
      <c r="BW257" s="34"/>
      <c r="BX257" s="34"/>
      <c r="BY257" s="30"/>
      <c r="BZ257" s="31">
        <f t="shared" si="46"/>
        <v>2244</v>
      </c>
      <c r="CA257" s="31">
        <f t="shared" si="42"/>
        <v>3432</v>
      </c>
    </row>
    <row r="258" spans="1:79" ht="56.25" x14ac:dyDescent="0.25">
      <c r="A258" s="17" t="s">
        <v>147</v>
      </c>
      <c r="B258" s="2">
        <v>252</v>
      </c>
      <c r="C258" s="37">
        <v>201</v>
      </c>
      <c r="D258" s="87">
        <v>279</v>
      </c>
      <c r="E258" s="38">
        <v>0.32361111111111113</v>
      </c>
      <c r="F258" s="38">
        <v>0.33611111111111108</v>
      </c>
      <c r="G258" s="39" t="s">
        <v>113</v>
      </c>
      <c r="H258" s="18" t="s">
        <v>441</v>
      </c>
      <c r="I258" s="37">
        <v>15</v>
      </c>
      <c r="J258" s="40">
        <v>50</v>
      </c>
      <c r="K258" s="41">
        <v>47</v>
      </c>
      <c r="L258" s="23">
        <f t="shared" si="38"/>
        <v>705</v>
      </c>
      <c r="M258" s="24" t="s">
        <v>136</v>
      </c>
      <c r="N258" s="25" t="s">
        <v>149</v>
      </c>
      <c r="O258" s="25">
        <v>57</v>
      </c>
      <c r="P258" s="25" t="s">
        <v>150</v>
      </c>
      <c r="Q258" s="25">
        <v>57</v>
      </c>
      <c r="R258" s="25" t="s">
        <v>763</v>
      </c>
      <c r="S258" s="25">
        <v>57</v>
      </c>
      <c r="T258" s="26">
        <v>2290</v>
      </c>
      <c r="U258" s="26" t="s">
        <v>118</v>
      </c>
      <c r="V258" s="26">
        <v>2180</v>
      </c>
      <c r="W258" s="26" t="s">
        <v>119</v>
      </c>
      <c r="X258" s="27">
        <v>44816</v>
      </c>
      <c r="Y258" s="27">
        <v>45100</v>
      </c>
      <c r="Z258" s="27"/>
      <c r="AA258" s="27"/>
      <c r="AB258" s="62" t="s">
        <v>289</v>
      </c>
      <c r="AC258" s="62"/>
      <c r="AD258" s="28" t="s">
        <v>90</v>
      </c>
      <c r="AE258" s="28"/>
      <c r="AF258" s="28"/>
      <c r="AG258" s="28"/>
      <c r="AH258" s="28"/>
      <c r="AI258" s="28"/>
      <c r="AJ258" s="28"/>
      <c r="AK258" s="28"/>
      <c r="AL258" s="28"/>
      <c r="AM258" s="28"/>
      <c r="AN258" s="28" t="s">
        <v>90</v>
      </c>
      <c r="AO258" s="28"/>
      <c r="AP258" s="28"/>
      <c r="AQ258" s="28"/>
      <c r="AR258" s="28"/>
      <c r="AS258" s="28"/>
      <c r="AT258" s="28"/>
      <c r="AU258" s="28"/>
      <c r="AV258" s="28"/>
      <c r="AW258" s="28"/>
      <c r="AX258" s="29"/>
      <c r="AY258" s="30"/>
      <c r="AZ258" s="31">
        <f>3*I258</f>
        <v>45</v>
      </c>
      <c r="BA258" s="29"/>
      <c r="BB258" s="29"/>
      <c r="BC258" s="30"/>
      <c r="BD258" s="30"/>
      <c r="BE258" s="30"/>
      <c r="BF258" s="31">
        <f>AZ258*K258</f>
        <v>2115</v>
      </c>
      <c r="BG258" s="32">
        <v>2</v>
      </c>
      <c r="BH258" s="36"/>
      <c r="BI258" s="47"/>
      <c r="BJ258" s="36"/>
      <c r="BK258" s="36"/>
      <c r="BL258" s="36"/>
      <c r="BM258" s="36"/>
      <c r="BN258" s="30"/>
      <c r="BO258" s="33">
        <f t="shared" ref="BO258:BO292" si="47">BN258*K258</f>
        <v>0</v>
      </c>
      <c r="BP258" s="30">
        <v>2</v>
      </c>
      <c r="BQ258" s="30">
        <v>5</v>
      </c>
      <c r="BR258" s="30"/>
      <c r="BS258" s="30"/>
      <c r="BT258" s="34">
        <f t="shared" ref="BT258:BT292" si="48">SUM(AX258:AZ258)+SUM(BH258:BI258)+SUM(BK258:BL258)+BN258</f>
        <v>45</v>
      </c>
      <c r="BU258" s="34"/>
      <c r="BV258" s="34"/>
      <c r="BW258" s="34"/>
      <c r="BX258" s="34"/>
      <c r="BY258" s="30"/>
      <c r="BZ258" s="31">
        <f t="shared" si="46"/>
        <v>90</v>
      </c>
      <c r="CA258" s="31">
        <f t="shared" si="42"/>
        <v>225</v>
      </c>
    </row>
    <row r="259" spans="1:79" ht="56.25" x14ac:dyDescent="0.25">
      <c r="A259" s="17" t="s">
        <v>147</v>
      </c>
      <c r="B259" s="2">
        <v>253</v>
      </c>
      <c r="C259" s="37">
        <v>201</v>
      </c>
      <c r="D259" s="87">
        <v>518</v>
      </c>
      <c r="E259" s="38">
        <v>0.35694444444444445</v>
      </c>
      <c r="F259" s="38">
        <v>0.36944444444444446</v>
      </c>
      <c r="G259" s="39" t="s">
        <v>764</v>
      </c>
      <c r="H259" s="18" t="s">
        <v>422</v>
      </c>
      <c r="I259" s="37">
        <v>15</v>
      </c>
      <c r="J259" s="40">
        <v>50</v>
      </c>
      <c r="K259" s="41">
        <v>240</v>
      </c>
      <c r="L259" s="23">
        <f t="shared" si="38"/>
        <v>3600</v>
      </c>
      <c r="M259" s="24" t="s">
        <v>136</v>
      </c>
      <c r="N259" s="25" t="s">
        <v>149</v>
      </c>
      <c r="O259" s="25">
        <v>57</v>
      </c>
      <c r="P259" s="25" t="s">
        <v>150</v>
      </c>
      <c r="Q259" s="25">
        <v>57</v>
      </c>
      <c r="R259" s="25" t="s">
        <v>763</v>
      </c>
      <c r="S259" s="25">
        <v>57</v>
      </c>
      <c r="T259" s="26">
        <v>2180</v>
      </c>
      <c r="U259" s="26" t="s">
        <v>119</v>
      </c>
      <c r="V259" s="26">
        <v>2290</v>
      </c>
      <c r="W259" s="26" t="s">
        <v>118</v>
      </c>
      <c r="X259" s="27">
        <v>44816</v>
      </c>
      <c r="Y259" s="27">
        <v>45100</v>
      </c>
      <c r="Z259" s="27"/>
      <c r="AA259" s="27"/>
      <c r="AB259" s="26" t="s">
        <v>423</v>
      </c>
      <c r="AC259" s="26"/>
      <c r="AD259" s="28" t="s">
        <v>90</v>
      </c>
      <c r="AE259" s="28"/>
      <c r="AF259" s="28" t="s">
        <v>90</v>
      </c>
      <c r="AG259" s="28"/>
      <c r="AH259" s="28" t="s">
        <v>90</v>
      </c>
      <c r="AI259" s="28" t="s">
        <v>90</v>
      </c>
      <c r="AJ259" s="28" t="s">
        <v>90</v>
      </c>
      <c r="AK259" s="28" t="s">
        <v>90</v>
      </c>
      <c r="AL259" s="28" t="s">
        <v>90</v>
      </c>
      <c r="AM259" s="28" t="s">
        <v>90</v>
      </c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9"/>
      <c r="AY259" s="30"/>
      <c r="AZ259" s="31">
        <f>3*I259</f>
        <v>45</v>
      </c>
      <c r="BA259" s="29"/>
      <c r="BB259" s="29"/>
      <c r="BC259" s="30"/>
      <c r="BD259" s="30"/>
      <c r="BE259" s="30"/>
      <c r="BF259" s="31">
        <f>AZ259*K259</f>
        <v>10800</v>
      </c>
      <c r="BG259" s="32">
        <v>2</v>
      </c>
      <c r="BH259" s="36"/>
      <c r="BI259" s="47"/>
      <c r="BJ259" s="36"/>
      <c r="BK259" s="36"/>
      <c r="BL259" s="36"/>
      <c r="BM259" s="36"/>
      <c r="BN259" s="30"/>
      <c r="BO259" s="33">
        <f t="shared" si="47"/>
        <v>0</v>
      </c>
      <c r="BP259" s="30">
        <v>17</v>
      </c>
      <c r="BQ259" s="30">
        <v>26</v>
      </c>
      <c r="BR259" s="30"/>
      <c r="BS259" s="30"/>
      <c r="BT259" s="34">
        <f t="shared" si="48"/>
        <v>45</v>
      </c>
      <c r="BU259" s="34"/>
      <c r="BV259" s="34"/>
      <c r="BW259" s="34"/>
      <c r="BX259" s="34"/>
      <c r="BY259" s="30"/>
      <c r="BZ259" s="31">
        <f t="shared" si="46"/>
        <v>765</v>
      </c>
      <c r="CA259" s="31">
        <f t="shared" ref="CA259:CA322" si="49">(BT259*BQ259)+(BW259*BX259)</f>
        <v>1170</v>
      </c>
    </row>
    <row r="260" spans="1:79" ht="56.25" x14ac:dyDescent="0.25">
      <c r="A260" s="17" t="s">
        <v>147</v>
      </c>
      <c r="B260" s="2">
        <v>254</v>
      </c>
      <c r="C260" s="37">
        <v>201</v>
      </c>
      <c r="D260" s="87">
        <v>518</v>
      </c>
      <c r="E260" s="38">
        <v>0.35694444444444445</v>
      </c>
      <c r="F260" s="38">
        <v>0.36944444444444446</v>
      </c>
      <c r="G260" s="39" t="s">
        <v>764</v>
      </c>
      <c r="H260" s="18" t="s">
        <v>441</v>
      </c>
      <c r="I260" s="37">
        <v>15</v>
      </c>
      <c r="J260" s="40">
        <v>50</v>
      </c>
      <c r="K260" s="41">
        <v>47</v>
      </c>
      <c r="L260" s="23">
        <f t="shared" ref="L260:L323" si="50">+K260*I260</f>
        <v>705</v>
      </c>
      <c r="M260" s="24" t="s">
        <v>136</v>
      </c>
      <c r="N260" s="25" t="s">
        <v>149</v>
      </c>
      <c r="O260" s="25">
        <v>57</v>
      </c>
      <c r="P260" s="25" t="s">
        <v>150</v>
      </c>
      <c r="Q260" s="25">
        <v>57</v>
      </c>
      <c r="R260" s="25" t="s">
        <v>763</v>
      </c>
      <c r="S260" s="25">
        <v>57</v>
      </c>
      <c r="T260" s="26">
        <v>2180</v>
      </c>
      <c r="U260" s="26" t="s">
        <v>119</v>
      </c>
      <c r="V260" s="26">
        <v>2290</v>
      </c>
      <c r="W260" s="26" t="s">
        <v>118</v>
      </c>
      <c r="X260" s="27">
        <v>44816</v>
      </c>
      <c r="Y260" s="27">
        <v>45100</v>
      </c>
      <c r="Z260" s="27"/>
      <c r="AA260" s="27"/>
      <c r="AB260" s="62" t="s">
        <v>289</v>
      </c>
      <c r="AC260" s="62"/>
      <c r="AD260" s="28" t="s">
        <v>90</v>
      </c>
      <c r="AE260" s="28"/>
      <c r="AF260" s="28"/>
      <c r="AG260" s="28"/>
      <c r="AH260" s="28"/>
      <c r="AI260" s="28"/>
      <c r="AJ260" s="28"/>
      <c r="AK260" s="28"/>
      <c r="AL260" s="28"/>
      <c r="AM260" s="28"/>
      <c r="AN260" s="28" t="s">
        <v>90</v>
      </c>
      <c r="AO260" s="28"/>
      <c r="AP260" s="28"/>
      <c r="AQ260" s="28"/>
      <c r="AR260" s="28"/>
      <c r="AS260" s="28"/>
      <c r="AT260" s="28"/>
      <c r="AU260" s="28"/>
      <c r="AV260" s="28"/>
      <c r="AW260" s="28"/>
      <c r="AX260" s="29"/>
      <c r="AY260" s="30"/>
      <c r="AZ260" s="31">
        <f>3*I260</f>
        <v>45</v>
      </c>
      <c r="BA260" s="29"/>
      <c r="BB260" s="29"/>
      <c r="BC260" s="30"/>
      <c r="BD260" s="30"/>
      <c r="BE260" s="30"/>
      <c r="BF260" s="31">
        <f>AZ260*K260</f>
        <v>2115</v>
      </c>
      <c r="BG260" s="32">
        <v>2</v>
      </c>
      <c r="BH260" s="36"/>
      <c r="BI260" s="47"/>
      <c r="BJ260" s="36"/>
      <c r="BK260" s="36"/>
      <c r="BL260" s="36"/>
      <c r="BM260" s="36"/>
      <c r="BN260" s="30"/>
      <c r="BO260" s="33">
        <f t="shared" si="47"/>
        <v>0</v>
      </c>
      <c r="BP260" s="30">
        <v>2</v>
      </c>
      <c r="BQ260" s="30">
        <v>5</v>
      </c>
      <c r="BR260" s="30"/>
      <c r="BS260" s="30"/>
      <c r="BT260" s="34">
        <f t="shared" si="48"/>
        <v>45</v>
      </c>
      <c r="BU260" s="34"/>
      <c r="BV260" s="34"/>
      <c r="BW260" s="34"/>
      <c r="BX260" s="34"/>
      <c r="BY260" s="30"/>
      <c r="BZ260" s="31">
        <f t="shared" si="46"/>
        <v>90</v>
      </c>
      <c r="CA260" s="31">
        <f t="shared" si="49"/>
        <v>225</v>
      </c>
    </row>
    <row r="261" spans="1:79" ht="38.25" x14ac:dyDescent="0.25">
      <c r="A261" s="17" t="s">
        <v>206</v>
      </c>
      <c r="B261" s="2">
        <v>255</v>
      </c>
      <c r="C261" s="37">
        <v>201</v>
      </c>
      <c r="D261" s="87">
        <v>230</v>
      </c>
      <c r="E261" s="38">
        <v>0.36805555555555558</v>
      </c>
      <c r="F261" s="38">
        <v>0.41597222222222219</v>
      </c>
      <c r="G261" s="39" t="s">
        <v>765</v>
      </c>
      <c r="H261" s="18" t="s">
        <v>422</v>
      </c>
      <c r="I261" s="87">
        <v>44</v>
      </c>
      <c r="J261" s="40">
        <v>50</v>
      </c>
      <c r="K261" s="41">
        <v>240</v>
      </c>
      <c r="L261" s="23">
        <f t="shared" si="50"/>
        <v>10560</v>
      </c>
      <c r="M261" s="83" t="s">
        <v>114</v>
      </c>
      <c r="N261" s="25" t="s">
        <v>760</v>
      </c>
      <c r="O261" s="25">
        <v>61</v>
      </c>
      <c r="P261" s="25" t="s">
        <v>761</v>
      </c>
      <c r="Q261" s="25">
        <v>58</v>
      </c>
      <c r="R261" s="25" t="s">
        <v>762</v>
      </c>
      <c r="S261" s="25">
        <v>65</v>
      </c>
      <c r="T261" s="26">
        <v>1</v>
      </c>
      <c r="U261" s="26" t="s">
        <v>179</v>
      </c>
      <c r="V261" s="26">
        <v>2290</v>
      </c>
      <c r="W261" s="26" t="s">
        <v>118</v>
      </c>
      <c r="X261" s="27">
        <v>44816</v>
      </c>
      <c r="Y261" s="27">
        <v>45100</v>
      </c>
      <c r="Z261" s="27"/>
      <c r="AA261" s="27"/>
      <c r="AB261" s="26" t="s">
        <v>423</v>
      </c>
      <c r="AC261" s="26"/>
      <c r="AD261" s="28" t="s">
        <v>90</v>
      </c>
      <c r="AE261" s="28"/>
      <c r="AF261" s="28" t="s">
        <v>90</v>
      </c>
      <c r="AG261" s="28"/>
      <c r="AH261" s="28" t="s">
        <v>90</v>
      </c>
      <c r="AI261" s="28" t="s">
        <v>90</v>
      </c>
      <c r="AJ261" s="28" t="s">
        <v>90</v>
      </c>
      <c r="AK261" s="28" t="s">
        <v>90</v>
      </c>
      <c r="AL261" s="28" t="s">
        <v>90</v>
      </c>
      <c r="AM261" s="28" t="s">
        <v>90</v>
      </c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9">
        <v>105.6</v>
      </c>
      <c r="AY261" s="30"/>
      <c r="AZ261" s="30"/>
      <c r="BA261" s="29"/>
      <c r="BB261" s="29"/>
      <c r="BC261" s="30"/>
      <c r="BD261" s="31">
        <f>AX261*K261</f>
        <v>25344</v>
      </c>
      <c r="BE261" s="31"/>
      <c r="BF261" s="30"/>
      <c r="BG261" s="32">
        <v>2</v>
      </c>
      <c r="BH261" s="31">
        <f>IF(AND((AX261/I261)&lt;2,BG261=1),(I261*2)-AX261,0)</f>
        <v>0</v>
      </c>
      <c r="BI261" s="31">
        <f>IF(AND((AX261/I261)&lt;3,BG261=2),(I261*3)-AX261,0)</f>
        <v>26.400000000000006</v>
      </c>
      <c r="BJ261" s="33">
        <f>(BH261+BI261)*K261</f>
        <v>6336.0000000000018</v>
      </c>
      <c r="BK261" s="30"/>
      <c r="BL261" s="30"/>
      <c r="BM261" s="30"/>
      <c r="BN261" s="30"/>
      <c r="BO261" s="33">
        <f t="shared" si="47"/>
        <v>0</v>
      </c>
      <c r="BP261" s="30">
        <v>17</v>
      </c>
      <c r="BQ261" s="30">
        <v>26</v>
      </c>
      <c r="BR261" s="30"/>
      <c r="BS261" s="30"/>
      <c r="BT261" s="34">
        <f t="shared" si="48"/>
        <v>132</v>
      </c>
      <c r="BU261" s="34"/>
      <c r="BV261" s="34"/>
      <c r="BW261" s="34"/>
      <c r="BX261" s="34"/>
      <c r="BY261" s="30"/>
      <c r="BZ261" s="31">
        <f t="shared" si="46"/>
        <v>2244</v>
      </c>
      <c r="CA261" s="31">
        <f t="shared" si="49"/>
        <v>3432</v>
      </c>
    </row>
    <row r="262" spans="1:79" ht="56.25" x14ac:dyDescent="0.25">
      <c r="A262" s="17" t="s">
        <v>147</v>
      </c>
      <c r="B262" s="2">
        <v>256</v>
      </c>
      <c r="C262" s="37">
        <v>201</v>
      </c>
      <c r="D262" s="87">
        <v>351</v>
      </c>
      <c r="E262" s="38">
        <v>0.375</v>
      </c>
      <c r="F262" s="38">
        <v>0.38750000000000001</v>
      </c>
      <c r="G262" s="39" t="s">
        <v>113</v>
      </c>
      <c r="H262" s="18" t="s">
        <v>422</v>
      </c>
      <c r="I262" s="37">
        <v>15</v>
      </c>
      <c r="J262" s="40">
        <v>50</v>
      </c>
      <c r="K262" s="41">
        <v>240</v>
      </c>
      <c r="L262" s="23">
        <f t="shared" si="50"/>
        <v>3600</v>
      </c>
      <c r="M262" s="24" t="s">
        <v>136</v>
      </c>
      <c r="N262" s="25" t="s">
        <v>149</v>
      </c>
      <c r="O262" s="25">
        <v>57</v>
      </c>
      <c r="P262" s="25" t="s">
        <v>150</v>
      </c>
      <c r="Q262" s="25">
        <v>57</v>
      </c>
      <c r="R262" s="25" t="s">
        <v>763</v>
      </c>
      <c r="S262" s="25">
        <v>57</v>
      </c>
      <c r="T262" s="26">
        <v>2290</v>
      </c>
      <c r="U262" s="26" t="s">
        <v>118</v>
      </c>
      <c r="V262" s="26">
        <v>2180</v>
      </c>
      <c r="W262" s="26" t="s">
        <v>119</v>
      </c>
      <c r="X262" s="27">
        <v>44816</v>
      </c>
      <c r="Y262" s="27">
        <v>45100</v>
      </c>
      <c r="Z262" s="27"/>
      <c r="AA262" s="27"/>
      <c r="AB262" s="26" t="s">
        <v>423</v>
      </c>
      <c r="AC262" s="26"/>
      <c r="AD262" s="28" t="s">
        <v>90</v>
      </c>
      <c r="AE262" s="28"/>
      <c r="AF262" s="28" t="s">
        <v>90</v>
      </c>
      <c r="AG262" s="28"/>
      <c r="AH262" s="28" t="s">
        <v>90</v>
      </c>
      <c r="AI262" s="28" t="s">
        <v>90</v>
      </c>
      <c r="AJ262" s="28" t="s">
        <v>90</v>
      </c>
      <c r="AK262" s="28" t="s">
        <v>90</v>
      </c>
      <c r="AL262" s="28" t="s">
        <v>90</v>
      </c>
      <c r="AM262" s="28" t="s">
        <v>90</v>
      </c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9"/>
      <c r="AY262" s="30"/>
      <c r="AZ262" s="31">
        <f>3*I262</f>
        <v>45</v>
      </c>
      <c r="BA262" s="29"/>
      <c r="BB262" s="29"/>
      <c r="BC262" s="30"/>
      <c r="BD262" s="30"/>
      <c r="BE262" s="30"/>
      <c r="BF262" s="31">
        <f>AZ262*K262</f>
        <v>10800</v>
      </c>
      <c r="BG262" s="32">
        <v>2</v>
      </c>
      <c r="BH262" s="36"/>
      <c r="BI262" s="47"/>
      <c r="BJ262" s="36"/>
      <c r="BK262" s="36"/>
      <c r="BL262" s="36"/>
      <c r="BM262" s="36"/>
      <c r="BN262" s="30"/>
      <c r="BO262" s="33">
        <f t="shared" si="47"/>
        <v>0</v>
      </c>
      <c r="BP262" s="30">
        <v>17</v>
      </c>
      <c r="BQ262" s="30">
        <v>26</v>
      </c>
      <c r="BR262" s="30"/>
      <c r="BS262" s="30"/>
      <c r="BT262" s="34">
        <f t="shared" si="48"/>
        <v>45</v>
      </c>
      <c r="BU262" s="34"/>
      <c r="BV262" s="34"/>
      <c r="BW262" s="34"/>
      <c r="BX262" s="34"/>
      <c r="BY262" s="30"/>
      <c r="BZ262" s="31">
        <f t="shared" si="46"/>
        <v>765</v>
      </c>
      <c r="CA262" s="31">
        <f t="shared" si="49"/>
        <v>1170</v>
      </c>
    </row>
    <row r="263" spans="1:79" ht="56.25" x14ac:dyDescent="0.25">
      <c r="A263" s="17" t="s">
        <v>147</v>
      </c>
      <c r="B263" s="2">
        <v>257</v>
      </c>
      <c r="C263" s="37">
        <v>201</v>
      </c>
      <c r="D263" s="87">
        <v>351</v>
      </c>
      <c r="E263" s="38">
        <v>0.375</v>
      </c>
      <c r="F263" s="38">
        <v>0.38750000000000001</v>
      </c>
      <c r="G263" s="39" t="s">
        <v>113</v>
      </c>
      <c r="H263" s="18" t="s">
        <v>441</v>
      </c>
      <c r="I263" s="37">
        <v>15</v>
      </c>
      <c r="J263" s="40">
        <v>50</v>
      </c>
      <c r="K263" s="41">
        <v>47</v>
      </c>
      <c r="L263" s="23">
        <f t="shared" si="50"/>
        <v>705</v>
      </c>
      <c r="M263" s="24" t="s">
        <v>136</v>
      </c>
      <c r="N263" s="25" t="s">
        <v>149</v>
      </c>
      <c r="O263" s="25">
        <v>57</v>
      </c>
      <c r="P263" s="25" t="s">
        <v>150</v>
      </c>
      <c r="Q263" s="25">
        <v>57</v>
      </c>
      <c r="R263" s="25" t="s">
        <v>763</v>
      </c>
      <c r="S263" s="25">
        <v>57</v>
      </c>
      <c r="T263" s="26">
        <v>2290</v>
      </c>
      <c r="U263" s="26" t="s">
        <v>118</v>
      </c>
      <c r="V263" s="26">
        <v>2180</v>
      </c>
      <c r="W263" s="26" t="s">
        <v>119</v>
      </c>
      <c r="X263" s="27">
        <v>44816</v>
      </c>
      <c r="Y263" s="27">
        <v>45100</v>
      </c>
      <c r="Z263" s="27"/>
      <c r="AA263" s="27"/>
      <c r="AB263" s="62" t="s">
        <v>289</v>
      </c>
      <c r="AC263" s="62"/>
      <c r="AD263" s="28" t="s">
        <v>90</v>
      </c>
      <c r="AE263" s="28"/>
      <c r="AF263" s="28"/>
      <c r="AG263" s="28"/>
      <c r="AH263" s="28"/>
      <c r="AI263" s="28"/>
      <c r="AJ263" s="28"/>
      <c r="AK263" s="28"/>
      <c r="AL263" s="28"/>
      <c r="AM263" s="28"/>
      <c r="AN263" s="28" t="s">
        <v>90</v>
      </c>
      <c r="AO263" s="28"/>
      <c r="AP263" s="28"/>
      <c r="AQ263" s="28"/>
      <c r="AR263" s="28"/>
      <c r="AS263" s="28"/>
      <c r="AT263" s="28"/>
      <c r="AU263" s="28"/>
      <c r="AV263" s="28"/>
      <c r="AW263" s="28"/>
      <c r="AX263" s="29"/>
      <c r="AY263" s="30"/>
      <c r="AZ263" s="31">
        <f>3*I263</f>
        <v>45</v>
      </c>
      <c r="BA263" s="29"/>
      <c r="BB263" s="29"/>
      <c r="BC263" s="30"/>
      <c r="BD263" s="30"/>
      <c r="BE263" s="30"/>
      <c r="BF263" s="31">
        <f>AZ263*K263</f>
        <v>2115</v>
      </c>
      <c r="BG263" s="32">
        <v>2</v>
      </c>
      <c r="BH263" s="36"/>
      <c r="BI263" s="47"/>
      <c r="BJ263" s="36"/>
      <c r="BK263" s="36"/>
      <c r="BL263" s="36"/>
      <c r="BM263" s="36"/>
      <c r="BN263" s="30"/>
      <c r="BO263" s="33">
        <f t="shared" si="47"/>
        <v>0</v>
      </c>
      <c r="BP263" s="30">
        <v>2</v>
      </c>
      <c r="BQ263" s="30">
        <v>5</v>
      </c>
      <c r="BR263" s="30"/>
      <c r="BS263" s="30"/>
      <c r="BT263" s="34">
        <f t="shared" si="48"/>
        <v>45</v>
      </c>
      <c r="BU263" s="34"/>
      <c r="BV263" s="34"/>
      <c r="BW263" s="34"/>
      <c r="BX263" s="34"/>
      <c r="BY263" s="30"/>
      <c r="BZ263" s="31">
        <f t="shared" si="46"/>
        <v>90</v>
      </c>
      <c r="CA263" s="31">
        <f t="shared" si="49"/>
        <v>225</v>
      </c>
    </row>
    <row r="264" spans="1:79" ht="56.25" x14ac:dyDescent="0.25">
      <c r="A264" s="17" t="s">
        <v>147</v>
      </c>
      <c r="B264" s="2">
        <v>258</v>
      </c>
      <c r="C264" s="37">
        <v>201</v>
      </c>
      <c r="D264" s="87">
        <v>520</v>
      </c>
      <c r="E264" s="38">
        <v>0.39861111111111108</v>
      </c>
      <c r="F264" s="38">
        <v>0.41111111111111115</v>
      </c>
      <c r="G264" s="39" t="s">
        <v>764</v>
      </c>
      <c r="H264" s="18" t="s">
        <v>422</v>
      </c>
      <c r="I264" s="37">
        <v>15</v>
      </c>
      <c r="J264" s="40">
        <v>50</v>
      </c>
      <c r="K264" s="41">
        <v>240</v>
      </c>
      <c r="L264" s="23">
        <f t="shared" si="50"/>
        <v>3600</v>
      </c>
      <c r="M264" s="24" t="s">
        <v>136</v>
      </c>
      <c r="N264" s="25" t="s">
        <v>149</v>
      </c>
      <c r="O264" s="25">
        <v>57</v>
      </c>
      <c r="P264" s="25" t="s">
        <v>150</v>
      </c>
      <c r="Q264" s="25">
        <v>57</v>
      </c>
      <c r="R264" s="25" t="s">
        <v>763</v>
      </c>
      <c r="S264" s="25">
        <v>57</v>
      </c>
      <c r="T264" s="26">
        <v>2180</v>
      </c>
      <c r="U264" s="26" t="s">
        <v>119</v>
      </c>
      <c r="V264" s="26">
        <v>2290</v>
      </c>
      <c r="W264" s="26" t="s">
        <v>118</v>
      </c>
      <c r="X264" s="27">
        <v>44816</v>
      </c>
      <c r="Y264" s="27">
        <v>45100</v>
      </c>
      <c r="Z264" s="27"/>
      <c r="AA264" s="27"/>
      <c r="AB264" s="26" t="s">
        <v>423</v>
      </c>
      <c r="AC264" s="26"/>
      <c r="AD264" s="28" t="s">
        <v>90</v>
      </c>
      <c r="AE264" s="28"/>
      <c r="AF264" s="28" t="s">
        <v>90</v>
      </c>
      <c r="AG264" s="28"/>
      <c r="AH264" s="28" t="s">
        <v>90</v>
      </c>
      <c r="AI264" s="28" t="s">
        <v>90</v>
      </c>
      <c r="AJ264" s="28" t="s">
        <v>90</v>
      </c>
      <c r="AK264" s="28" t="s">
        <v>90</v>
      </c>
      <c r="AL264" s="28" t="s">
        <v>90</v>
      </c>
      <c r="AM264" s="28" t="s">
        <v>90</v>
      </c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9"/>
      <c r="AY264" s="30"/>
      <c r="AZ264" s="31">
        <f>3*I264</f>
        <v>45</v>
      </c>
      <c r="BA264" s="29"/>
      <c r="BB264" s="29"/>
      <c r="BC264" s="30"/>
      <c r="BD264" s="30"/>
      <c r="BE264" s="30"/>
      <c r="BF264" s="31">
        <f>AZ264*K264</f>
        <v>10800</v>
      </c>
      <c r="BG264" s="32">
        <v>2</v>
      </c>
      <c r="BH264" s="36"/>
      <c r="BI264" s="47"/>
      <c r="BJ264" s="36"/>
      <c r="BK264" s="36"/>
      <c r="BL264" s="36"/>
      <c r="BM264" s="36"/>
      <c r="BN264" s="30"/>
      <c r="BO264" s="33">
        <f t="shared" si="47"/>
        <v>0</v>
      </c>
      <c r="BP264" s="30">
        <v>17</v>
      </c>
      <c r="BQ264" s="30">
        <v>26</v>
      </c>
      <c r="BR264" s="30"/>
      <c r="BS264" s="30"/>
      <c r="BT264" s="34">
        <f t="shared" si="48"/>
        <v>45</v>
      </c>
      <c r="BU264" s="34"/>
      <c r="BV264" s="34"/>
      <c r="BW264" s="34"/>
      <c r="BX264" s="34"/>
      <c r="BY264" s="30"/>
      <c r="BZ264" s="31">
        <f t="shared" si="46"/>
        <v>765</v>
      </c>
      <c r="CA264" s="31">
        <f t="shared" si="49"/>
        <v>1170</v>
      </c>
    </row>
    <row r="265" spans="1:79" ht="34.5" x14ac:dyDescent="0.25">
      <c r="A265" s="17" t="s">
        <v>112</v>
      </c>
      <c r="B265" s="2">
        <v>259</v>
      </c>
      <c r="C265" s="37">
        <v>201</v>
      </c>
      <c r="D265" s="37">
        <v>65</v>
      </c>
      <c r="E265" s="38">
        <v>0.41666666666666669</v>
      </c>
      <c r="F265" s="38">
        <v>0.4291666666666667</v>
      </c>
      <c r="G265" s="39" t="s">
        <v>113</v>
      </c>
      <c r="H265" s="18" t="s">
        <v>290</v>
      </c>
      <c r="I265" s="37">
        <v>16</v>
      </c>
      <c r="J265" s="40">
        <v>50</v>
      </c>
      <c r="K265" s="41">
        <v>13</v>
      </c>
      <c r="L265" s="23">
        <f t="shared" si="50"/>
        <v>208</v>
      </c>
      <c r="M265" s="83" t="s">
        <v>160</v>
      </c>
      <c r="N265" s="25" t="s">
        <v>161</v>
      </c>
      <c r="O265" s="25">
        <v>54</v>
      </c>
      <c r="P265" s="25" t="s">
        <v>162</v>
      </c>
      <c r="Q265" s="25">
        <v>56</v>
      </c>
      <c r="R265" s="17" t="s">
        <v>766</v>
      </c>
      <c r="S265" s="35">
        <v>58</v>
      </c>
      <c r="T265" s="26">
        <v>2290</v>
      </c>
      <c r="U265" s="26" t="s">
        <v>118</v>
      </c>
      <c r="V265" s="26">
        <v>2180</v>
      </c>
      <c r="W265" s="26" t="s">
        <v>119</v>
      </c>
      <c r="X265" s="27">
        <v>44562</v>
      </c>
      <c r="Y265" s="27">
        <v>44815</v>
      </c>
      <c r="Z265" s="27">
        <v>45101</v>
      </c>
      <c r="AA265" s="27">
        <v>45169</v>
      </c>
      <c r="AB265" s="62" t="s">
        <v>291</v>
      </c>
      <c r="AC265" s="62"/>
      <c r="AD265" s="28"/>
      <c r="AE265" s="28" t="s">
        <v>90</v>
      </c>
      <c r="AF265" s="28"/>
      <c r="AG265" s="28"/>
      <c r="AH265" s="28"/>
      <c r="AI265" s="28"/>
      <c r="AJ265" s="28"/>
      <c r="AK265" s="28"/>
      <c r="AL265" s="28"/>
      <c r="AM265" s="28"/>
      <c r="AN265" s="28" t="s">
        <v>90</v>
      </c>
      <c r="AO265" s="28"/>
      <c r="AP265" s="28"/>
      <c r="AQ265" s="28"/>
      <c r="AR265" s="28"/>
      <c r="AS265" s="28"/>
      <c r="AT265" s="28"/>
      <c r="AU265" s="28"/>
      <c r="AV265" s="28"/>
      <c r="AW265" s="28"/>
      <c r="AX265" s="29"/>
      <c r="AY265" s="31"/>
      <c r="AZ265" s="30"/>
      <c r="BA265" s="42"/>
      <c r="BB265" s="55" t="s">
        <v>767</v>
      </c>
      <c r="BC265" s="30"/>
      <c r="BD265" s="31">
        <f>AX265*K265</f>
        <v>0</v>
      </c>
      <c r="BE265" s="30"/>
      <c r="BF265" s="30"/>
      <c r="BG265" s="32">
        <v>2</v>
      </c>
      <c r="BH265" s="30"/>
      <c r="BI265" s="31"/>
      <c r="BJ265" s="30"/>
      <c r="BK265" s="30"/>
      <c r="BL265" s="30"/>
      <c r="BM265" s="30"/>
      <c r="BN265" s="30"/>
      <c r="BO265" s="33">
        <f t="shared" si="47"/>
        <v>0</v>
      </c>
      <c r="BP265" s="30">
        <v>2</v>
      </c>
      <c r="BQ265" s="30">
        <v>0</v>
      </c>
      <c r="BR265" s="30"/>
      <c r="BS265" s="30"/>
      <c r="BT265" s="34">
        <f t="shared" si="48"/>
        <v>0</v>
      </c>
      <c r="BU265" s="34" t="s">
        <v>291</v>
      </c>
      <c r="BV265" s="30">
        <v>2</v>
      </c>
      <c r="BW265" s="30">
        <v>0</v>
      </c>
      <c r="BX265" s="34">
        <v>400</v>
      </c>
      <c r="BY265" s="30"/>
      <c r="BZ265" s="31">
        <f t="shared" si="46"/>
        <v>800</v>
      </c>
      <c r="CA265" s="31">
        <f t="shared" si="49"/>
        <v>0</v>
      </c>
    </row>
    <row r="266" spans="1:79" ht="56.25" x14ac:dyDescent="0.25">
      <c r="A266" s="17" t="s">
        <v>147</v>
      </c>
      <c r="B266" s="2">
        <v>260</v>
      </c>
      <c r="C266" s="37">
        <v>201</v>
      </c>
      <c r="D266" s="87">
        <v>65</v>
      </c>
      <c r="E266" s="38">
        <v>0.41666666666666669</v>
      </c>
      <c r="F266" s="38">
        <v>0.4291666666666667</v>
      </c>
      <c r="G266" s="39" t="s">
        <v>113</v>
      </c>
      <c r="H266" s="18" t="s">
        <v>422</v>
      </c>
      <c r="I266" s="37">
        <v>15</v>
      </c>
      <c r="J266" s="40">
        <v>50</v>
      </c>
      <c r="K266" s="41">
        <v>240</v>
      </c>
      <c r="L266" s="23">
        <f t="shared" si="50"/>
        <v>3600</v>
      </c>
      <c r="M266" s="24" t="s">
        <v>136</v>
      </c>
      <c r="N266" s="25" t="s">
        <v>149</v>
      </c>
      <c r="O266" s="25">
        <v>57</v>
      </c>
      <c r="P266" s="25" t="s">
        <v>150</v>
      </c>
      <c r="Q266" s="25">
        <v>57</v>
      </c>
      <c r="R266" s="25" t="s">
        <v>763</v>
      </c>
      <c r="S266" s="25">
        <v>57</v>
      </c>
      <c r="T266" s="26">
        <v>2290</v>
      </c>
      <c r="U266" s="26" t="s">
        <v>118</v>
      </c>
      <c r="V266" s="26">
        <v>2180</v>
      </c>
      <c r="W266" s="26" t="s">
        <v>119</v>
      </c>
      <c r="X266" s="27">
        <v>44816</v>
      </c>
      <c r="Y266" s="27">
        <v>45100</v>
      </c>
      <c r="Z266" s="27"/>
      <c r="AA266" s="27"/>
      <c r="AB266" s="26" t="s">
        <v>423</v>
      </c>
      <c r="AC266" s="26"/>
      <c r="AD266" s="28" t="s">
        <v>90</v>
      </c>
      <c r="AE266" s="28"/>
      <c r="AF266" s="28" t="s">
        <v>90</v>
      </c>
      <c r="AG266" s="28"/>
      <c r="AH266" s="28" t="s">
        <v>90</v>
      </c>
      <c r="AI266" s="28" t="s">
        <v>90</v>
      </c>
      <c r="AJ266" s="28" t="s">
        <v>90</v>
      </c>
      <c r="AK266" s="28" t="s">
        <v>90</v>
      </c>
      <c r="AL266" s="28" t="s">
        <v>90</v>
      </c>
      <c r="AM266" s="28" t="s">
        <v>90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9"/>
      <c r="AY266" s="31"/>
      <c r="AZ266" s="31">
        <f>3*I266</f>
        <v>45</v>
      </c>
      <c r="BA266" s="29"/>
      <c r="BB266" s="29"/>
      <c r="BC266" s="30"/>
      <c r="BD266" s="30"/>
      <c r="BE266" s="30"/>
      <c r="BF266" s="31">
        <f>AZ266*K266</f>
        <v>10800</v>
      </c>
      <c r="BG266" s="32">
        <v>2</v>
      </c>
      <c r="BH266" s="36"/>
      <c r="BI266" s="47"/>
      <c r="BJ266" s="36"/>
      <c r="BK266" s="36"/>
      <c r="BL266" s="36"/>
      <c r="BM266" s="36"/>
      <c r="BN266" s="30"/>
      <c r="BO266" s="33">
        <f t="shared" si="47"/>
        <v>0</v>
      </c>
      <c r="BP266" s="30">
        <v>17</v>
      </c>
      <c r="BQ266" s="30">
        <v>26</v>
      </c>
      <c r="BR266" s="30"/>
      <c r="BS266" s="30"/>
      <c r="BT266" s="34">
        <f t="shared" si="48"/>
        <v>45</v>
      </c>
      <c r="BU266" s="34"/>
      <c r="BV266" s="34"/>
      <c r="BW266" s="34"/>
      <c r="BX266" s="34"/>
      <c r="BY266" s="30"/>
      <c r="BZ266" s="31">
        <f t="shared" si="46"/>
        <v>765</v>
      </c>
      <c r="CA266" s="31">
        <f t="shared" si="49"/>
        <v>1170</v>
      </c>
    </row>
    <row r="267" spans="1:79" ht="56.25" x14ac:dyDescent="0.25">
      <c r="A267" s="17" t="s">
        <v>147</v>
      </c>
      <c r="B267" s="2">
        <v>261</v>
      </c>
      <c r="C267" s="37">
        <v>201</v>
      </c>
      <c r="D267" s="87">
        <v>65</v>
      </c>
      <c r="E267" s="38">
        <v>0.41666666666666669</v>
      </c>
      <c r="F267" s="38">
        <v>0.4291666666666667</v>
      </c>
      <c r="G267" s="39" t="s">
        <v>113</v>
      </c>
      <c r="H267" s="18" t="s">
        <v>441</v>
      </c>
      <c r="I267" s="37">
        <v>15</v>
      </c>
      <c r="J267" s="40">
        <v>50</v>
      </c>
      <c r="K267" s="41">
        <v>47</v>
      </c>
      <c r="L267" s="23">
        <f t="shared" si="50"/>
        <v>705</v>
      </c>
      <c r="M267" s="24" t="s">
        <v>136</v>
      </c>
      <c r="N267" s="25" t="s">
        <v>149</v>
      </c>
      <c r="O267" s="25">
        <v>57</v>
      </c>
      <c r="P267" s="25" t="s">
        <v>150</v>
      </c>
      <c r="Q267" s="25">
        <v>57</v>
      </c>
      <c r="R267" s="25" t="s">
        <v>763</v>
      </c>
      <c r="S267" s="25">
        <v>57</v>
      </c>
      <c r="T267" s="26">
        <v>2290</v>
      </c>
      <c r="U267" s="26" t="s">
        <v>118</v>
      </c>
      <c r="V267" s="26">
        <v>2180</v>
      </c>
      <c r="W267" s="26" t="s">
        <v>119</v>
      </c>
      <c r="X267" s="27">
        <v>44816</v>
      </c>
      <c r="Y267" s="27">
        <v>45100</v>
      </c>
      <c r="Z267" s="27"/>
      <c r="AA267" s="27"/>
      <c r="AB267" s="62" t="s">
        <v>289</v>
      </c>
      <c r="AC267" s="62"/>
      <c r="AD267" s="28" t="s">
        <v>90</v>
      </c>
      <c r="AE267" s="28"/>
      <c r="AF267" s="28"/>
      <c r="AG267" s="28"/>
      <c r="AH267" s="28"/>
      <c r="AI267" s="28"/>
      <c r="AJ267" s="28"/>
      <c r="AK267" s="28"/>
      <c r="AL267" s="28"/>
      <c r="AM267" s="28"/>
      <c r="AN267" s="28" t="s">
        <v>90</v>
      </c>
      <c r="AO267" s="28"/>
      <c r="AP267" s="28"/>
      <c r="AQ267" s="28"/>
      <c r="AR267" s="28"/>
      <c r="AS267" s="28"/>
      <c r="AT267" s="28"/>
      <c r="AU267" s="28"/>
      <c r="AV267" s="28"/>
      <c r="AW267" s="28"/>
      <c r="AX267" s="29"/>
      <c r="AY267" s="31"/>
      <c r="AZ267" s="31">
        <f>3*I267</f>
        <v>45</v>
      </c>
      <c r="BA267" s="29"/>
      <c r="BB267" s="29"/>
      <c r="BC267" s="30"/>
      <c r="BD267" s="30"/>
      <c r="BE267" s="30"/>
      <c r="BF267" s="31">
        <f>AZ267*K267</f>
        <v>2115</v>
      </c>
      <c r="BG267" s="32">
        <v>2</v>
      </c>
      <c r="BH267" s="36"/>
      <c r="BI267" s="47"/>
      <c r="BJ267" s="36"/>
      <c r="BK267" s="36"/>
      <c r="BL267" s="36"/>
      <c r="BM267" s="36"/>
      <c r="BN267" s="30"/>
      <c r="BO267" s="33">
        <f t="shared" si="47"/>
        <v>0</v>
      </c>
      <c r="BP267" s="30">
        <v>2</v>
      </c>
      <c r="BQ267" s="30">
        <v>5</v>
      </c>
      <c r="BR267" s="30"/>
      <c r="BS267" s="30"/>
      <c r="BT267" s="34">
        <f t="shared" si="48"/>
        <v>45</v>
      </c>
      <c r="BU267" s="34"/>
      <c r="BV267" s="34"/>
      <c r="BW267" s="34"/>
      <c r="BX267" s="34"/>
      <c r="BY267" s="30"/>
      <c r="BZ267" s="31">
        <f t="shared" si="46"/>
        <v>90</v>
      </c>
      <c r="CA267" s="31">
        <f t="shared" si="49"/>
        <v>225</v>
      </c>
    </row>
    <row r="268" spans="1:79" ht="56.25" x14ac:dyDescent="0.25">
      <c r="A268" s="17" t="s">
        <v>147</v>
      </c>
      <c r="B268" s="2">
        <v>262</v>
      </c>
      <c r="C268" s="37">
        <v>201</v>
      </c>
      <c r="D268" s="87">
        <v>522</v>
      </c>
      <c r="E268" s="38">
        <v>0.44027777777777777</v>
      </c>
      <c r="F268" s="38">
        <v>0.45277777777777778</v>
      </c>
      <c r="G268" s="39" t="s">
        <v>764</v>
      </c>
      <c r="H268" s="18" t="s">
        <v>422</v>
      </c>
      <c r="I268" s="37">
        <v>15</v>
      </c>
      <c r="J268" s="40">
        <v>50</v>
      </c>
      <c r="K268" s="41">
        <v>240</v>
      </c>
      <c r="L268" s="23">
        <f t="shared" si="50"/>
        <v>3600</v>
      </c>
      <c r="M268" s="24" t="s">
        <v>136</v>
      </c>
      <c r="N268" s="25" t="s">
        <v>149</v>
      </c>
      <c r="O268" s="25">
        <v>57</v>
      </c>
      <c r="P268" s="25" t="s">
        <v>150</v>
      </c>
      <c r="Q268" s="25">
        <v>57</v>
      </c>
      <c r="R268" s="25" t="s">
        <v>763</v>
      </c>
      <c r="S268" s="25">
        <v>57</v>
      </c>
      <c r="T268" s="26">
        <v>2180</v>
      </c>
      <c r="U268" s="26" t="s">
        <v>119</v>
      </c>
      <c r="V268" s="26">
        <v>2290</v>
      </c>
      <c r="W268" s="26" t="s">
        <v>118</v>
      </c>
      <c r="X268" s="27">
        <v>44816</v>
      </c>
      <c r="Y268" s="27">
        <v>45100</v>
      </c>
      <c r="Z268" s="27"/>
      <c r="AA268" s="27"/>
      <c r="AB268" s="26" t="s">
        <v>423</v>
      </c>
      <c r="AC268" s="26"/>
      <c r="AD268" s="28" t="s">
        <v>90</v>
      </c>
      <c r="AE268" s="28"/>
      <c r="AF268" s="28" t="s">
        <v>90</v>
      </c>
      <c r="AG268" s="28"/>
      <c r="AH268" s="28" t="s">
        <v>90</v>
      </c>
      <c r="AI268" s="28" t="s">
        <v>90</v>
      </c>
      <c r="AJ268" s="28" t="s">
        <v>90</v>
      </c>
      <c r="AK268" s="28" t="s">
        <v>90</v>
      </c>
      <c r="AL268" s="28" t="s">
        <v>90</v>
      </c>
      <c r="AM268" s="28" t="s">
        <v>90</v>
      </c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9"/>
      <c r="AY268" s="31"/>
      <c r="AZ268" s="31">
        <f>3*I268</f>
        <v>45</v>
      </c>
      <c r="BA268" s="29"/>
      <c r="BB268" s="29"/>
      <c r="BC268" s="30"/>
      <c r="BD268" s="30"/>
      <c r="BE268" s="30"/>
      <c r="BF268" s="31">
        <f>AZ268*K268</f>
        <v>10800</v>
      </c>
      <c r="BG268" s="32">
        <v>2</v>
      </c>
      <c r="BH268" s="36"/>
      <c r="BI268" s="47"/>
      <c r="BJ268" s="36"/>
      <c r="BK268" s="36"/>
      <c r="BL268" s="36"/>
      <c r="BM268" s="36"/>
      <c r="BN268" s="30"/>
      <c r="BO268" s="33">
        <f t="shared" si="47"/>
        <v>0</v>
      </c>
      <c r="BP268" s="30">
        <v>17</v>
      </c>
      <c r="BQ268" s="30">
        <v>26</v>
      </c>
      <c r="BR268" s="30"/>
      <c r="BS268" s="30"/>
      <c r="BT268" s="34">
        <f t="shared" si="48"/>
        <v>45</v>
      </c>
      <c r="BU268" s="34"/>
      <c r="BV268" s="34"/>
      <c r="BW268" s="34"/>
      <c r="BX268" s="34"/>
      <c r="BY268" s="30"/>
      <c r="BZ268" s="31">
        <f t="shared" si="46"/>
        <v>765</v>
      </c>
      <c r="CA268" s="31">
        <f t="shared" si="49"/>
        <v>1170</v>
      </c>
    </row>
    <row r="269" spans="1:79" ht="56.25" x14ac:dyDescent="0.25">
      <c r="A269" s="17" t="s">
        <v>147</v>
      </c>
      <c r="B269" s="2">
        <v>263</v>
      </c>
      <c r="C269" s="37">
        <v>201</v>
      </c>
      <c r="D269" s="87">
        <v>522</v>
      </c>
      <c r="E269" s="38">
        <v>0.45208333333333334</v>
      </c>
      <c r="F269" s="38">
        <v>0.46458333333333335</v>
      </c>
      <c r="G269" s="39" t="s">
        <v>764</v>
      </c>
      <c r="H269" s="18" t="s">
        <v>441</v>
      </c>
      <c r="I269" s="37">
        <v>15</v>
      </c>
      <c r="J269" s="40">
        <v>50</v>
      </c>
      <c r="K269" s="41">
        <v>47</v>
      </c>
      <c r="L269" s="23">
        <f t="shared" si="50"/>
        <v>705</v>
      </c>
      <c r="M269" s="24" t="s">
        <v>136</v>
      </c>
      <c r="N269" s="25" t="s">
        <v>149</v>
      </c>
      <c r="O269" s="25">
        <v>57</v>
      </c>
      <c r="P269" s="25" t="s">
        <v>150</v>
      </c>
      <c r="Q269" s="25">
        <v>57</v>
      </c>
      <c r="R269" s="25" t="s">
        <v>763</v>
      </c>
      <c r="S269" s="25">
        <v>57</v>
      </c>
      <c r="T269" s="26">
        <v>2180</v>
      </c>
      <c r="U269" s="26" t="s">
        <v>119</v>
      </c>
      <c r="V269" s="26">
        <v>2290</v>
      </c>
      <c r="W269" s="26" t="s">
        <v>118</v>
      </c>
      <c r="X269" s="27">
        <v>44816</v>
      </c>
      <c r="Y269" s="27">
        <v>45100</v>
      </c>
      <c r="Z269" s="27"/>
      <c r="AA269" s="27"/>
      <c r="AB269" s="62" t="s">
        <v>289</v>
      </c>
      <c r="AC269" s="62"/>
      <c r="AD269" s="28" t="s">
        <v>90</v>
      </c>
      <c r="AE269" s="28"/>
      <c r="AF269" s="28"/>
      <c r="AG269" s="28"/>
      <c r="AH269" s="28"/>
      <c r="AI269" s="28"/>
      <c r="AJ269" s="28"/>
      <c r="AK269" s="28"/>
      <c r="AL269" s="28"/>
      <c r="AM269" s="28"/>
      <c r="AN269" s="28" t="s">
        <v>90</v>
      </c>
      <c r="AO269" s="28"/>
      <c r="AP269" s="28"/>
      <c r="AQ269" s="28"/>
      <c r="AR269" s="28"/>
      <c r="AS269" s="28"/>
      <c r="AT269" s="28"/>
      <c r="AU269" s="28"/>
      <c r="AV269" s="28"/>
      <c r="AW269" s="28"/>
      <c r="AX269" s="29"/>
      <c r="AY269" s="31"/>
      <c r="AZ269" s="31">
        <f>3*I269</f>
        <v>45</v>
      </c>
      <c r="BA269" s="29"/>
      <c r="BB269" s="29"/>
      <c r="BC269" s="30"/>
      <c r="BD269" s="30"/>
      <c r="BE269" s="30"/>
      <c r="BF269" s="31">
        <f>AZ269*K269</f>
        <v>2115</v>
      </c>
      <c r="BG269" s="32">
        <v>2</v>
      </c>
      <c r="BH269" s="36"/>
      <c r="BI269" s="47"/>
      <c r="BJ269" s="36"/>
      <c r="BK269" s="36"/>
      <c r="BL269" s="36"/>
      <c r="BM269" s="36"/>
      <c r="BN269" s="30"/>
      <c r="BO269" s="33">
        <f t="shared" si="47"/>
        <v>0</v>
      </c>
      <c r="BP269" s="30">
        <v>2</v>
      </c>
      <c r="BQ269" s="30">
        <v>5</v>
      </c>
      <c r="BR269" s="30"/>
      <c r="BS269" s="30"/>
      <c r="BT269" s="34">
        <f t="shared" si="48"/>
        <v>45</v>
      </c>
      <c r="BU269" s="34"/>
      <c r="BV269" s="34"/>
      <c r="BW269" s="34"/>
      <c r="BX269" s="34"/>
      <c r="BY269" s="30"/>
      <c r="BZ269" s="31">
        <f t="shared" si="46"/>
        <v>90</v>
      </c>
      <c r="CA269" s="31">
        <f t="shared" si="49"/>
        <v>225</v>
      </c>
    </row>
    <row r="270" spans="1:79" ht="38.25" x14ac:dyDescent="0.25">
      <c r="A270" s="17" t="s">
        <v>147</v>
      </c>
      <c r="B270" s="2">
        <v>264</v>
      </c>
      <c r="C270" s="37">
        <v>201</v>
      </c>
      <c r="D270" s="87">
        <v>353</v>
      </c>
      <c r="E270" s="38">
        <v>0.45763888888888887</v>
      </c>
      <c r="F270" s="38">
        <v>0.5395833333333333</v>
      </c>
      <c r="G270" s="39" t="s">
        <v>768</v>
      </c>
      <c r="H270" s="39" t="s">
        <v>769</v>
      </c>
      <c r="I270" s="37">
        <v>44</v>
      </c>
      <c r="J270" s="40">
        <v>50</v>
      </c>
      <c r="K270" s="41">
        <v>38</v>
      </c>
      <c r="L270" s="23">
        <f t="shared" si="50"/>
        <v>1672</v>
      </c>
      <c r="M270" s="83" t="s">
        <v>114</v>
      </c>
      <c r="N270" s="25" t="s">
        <v>115</v>
      </c>
      <c r="O270" s="25">
        <v>54</v>
      </c>
      <c r="P270" s="25" t="s">
        <v>116</v>
      </c>
      <c r="Q270" s="25">
        <v>45</v>
      </c>
      <c r="R270" s="25" t="s">
        <v>770</v>
      </c>
      <c r="S270" s="25">
        <v>37</v>
      </c>
      <c r="T270" s="26">
        <v>2290</v>
      </c>
      <c r="U270" s="26" t="s">
        <v>118</v>
      </c>
      <c r="V270" s="26">
        <v>1</v>
      </c>
      <c r="W270" s="26" t="s">
        <v>300</v>
      </c>
      <c r="X270" s="27">
        <v>44816</v>
      </c>
      <c r="Y270" s="27">
        <v>45100</v>
      </c>
      <c r="Z270" s="27"/>
      <c r="AA270" s="27"/>
      <c r="AB270" s="26" t="s">
        <v>771</v>
      </c>
      <c r="AC270" s="26"/>
      <c r="AD270" s="28" t="s">
        <v>90</v>
      </c>
      <c r="AE270" s="28"/>
      <c r="AF270" s="28" t="s">
        <v>90</v>
      </c>
      <c r="AG270" s="28"/>
      <c r="AH270" s="28"/>
      <c r="AI270" s="28"/>
      <c r="AJ270" s="28"/>
      <c r="AK270" s="28"/>
      <c r="AL270" s="28"/>
      <c r="AM270" s="28" t="s">
        <v>90</v>
      </c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9"/>
      <c r="AY270" s="31"/>
      <c r="AZ270" s="31">
        <f>3*I270</f>
        <v>132</v>
      </c>
      <c r="BA270" s="29"/>
      <c r="BB270" s="29"/>
      <c r="BC270" s="30"/>
      <c r="BD270" s="30"/>
      <c r="BE270" s="30"/>
      <c r="BF270" s="31">
        <f>AZ270*K270</f>
        <v>5016</v>
      </c>
      <c r="BG270" s="32">
        <v>2</v>
      </c>
      <c r="BH270" s="36"/>
      <c r="BI270" s="47"/>
      <c r="BJ270" s="36"/>
      <c r="BK270" s="36"/>
      <c r="BL270" s="36"/>
      <c r="BM270" s="36"/>
      <c r="BN270" s="30"/>
      <c r="BO270" s="33">
        <f t="shared" si="47"/>
        <v>0</v>
      </c>
      <c r="BP270" s="30">
        <v>2</v>
      </c>
      <c r="BQ270" s="30">
        <v>5</v>
      </c>
      <c r="BR270" s="30"/>
      <c r="BS270" s="30"/>
      <c r="BT270" s="34">
        <f t="shared" si="48"/>
        <v>132</v>
      </c>
      <c r="BU270" s="34"/>
      <c r="BV270" s="34"/>
      <c r="BW270" s="34"/>
      <c r="BX270" s="34"/>
      <c r="BY270" s="30"/>
      <c r="BZ270" s="31">
        <f t="shared" si="46"/>
        <v>264</v>
      </c>
      <c r="CA270" s="31">
        <f t="shared" si="49"/>
        <v>660</v>
      </c>
    </row>
    <row r="271" spans="1:79" ht="38.25" x14ac:dyDescent="0.25">
      <c r="A271" s="17" t="s">
        <v>112</v>
      </c>
      <c r="B271" s="2">
        <v>265</v>
      </c>
      <c r="C271" s="37">
        <v>201</v>
      </c>
      <c r="D271" s="37">
        <v>518</v>
      </c>
      <c r="E271" s="38">
        <v>0.48194444444444445</v>
      </c>
      <c r="F271" s="38">
        <v>0.49444444444444446</v>
      </c>
      <c r="G271" s="39" t="s">
        <v>764</v>
      </c>
      <c r="H271" s="18" t="s">
        <v>352</v>
      </c>
      <c r="I271" s="37">
        <v>16</v>
      </c>
      <c r="J271" s="40">
        <v>50</v>
      </c>
      <c r="K271" s="41">
        <v>55</v>
      </c>
      <c r="L271" s="23">
        <f t="shared" si="50"/>
        <v>880</v>
      </c>
      <c r="M271" s="24" t="s">
        <v>165</v>
      </c>
      <c r="N271" s="25" t="s">
        <v>166</v>
      </c>
      <c r="O271" s="25">
        <v>57</v>
      </c>
      <c r="P271" s="25" t="s">
        <v>167</v>
      </c>
      <c r="Q271" s="25">
        <v>57</v>
      </c>
      <c r="R271" s="17"/>
      <c r="S271" s="25"/>
      <c r="T271" s="26">
        <v>2180</v>
      </c>
      <c r="U271" s="26" t="s">
        <v>119</v>
      </c>
      <c r="V271" s="26">
        <v>2290</v>
      </c>
      <c r="W271" s="26" t="s">
        <v>118</v>
      </c>
      <c r="X271" s="27">
        <v>44562</v>
      </c>
      <c r="Y271" s="27">
        <v>44815</v>
      </c>
      <c r="Z271" s="27">
        <v>45101</v>
      </c>
      <c r="AA271" s="27">
        <v>45169</v>
      </c>
      <c r="AB271" s="26" t="s">
        <v>353</v>
      </c>
      <c r="AC271" s="26"/>
      <c r="AD271" s="28"/>
      <c r="AE271" s="28" t="s">
        <v>90</v>
      </c>
      <c r="AF271" s="28" t="s">
        <v>90</v>
      </c>
      <c r="AG271" s="28"/>
      <c r="AH271" s="28" t="s">
        <v>90</v>
      </c>
      <c r="AI271" s="28" t="s">
        <v>90</v>
      </c>
      <c r="AJ271" s="28" t="s">
        <v>90</v>
      </c>
      <c r="AK271" s="28" t="s">
        <v>90</v>
      </c>
      <c r="AL271" s="28" t="s">
        <v>90</v>
      </c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31"/>
      <c r="AY271" s="31"/>
      <c r="AZ271" s="30"/>
      <c r="BA271" s="42"/>
      <c r="BB271" s="43" t="s">
        <v>165</v>
      </c>
      <c r="BC271" s="30"/>
      <c r="BD271" s="31">
        <f>AX271*K271</f>
        <v>0</v>
      </c>
      <c r="BE271" s="30"/>
      <c r="BF271" s="30"/>
      <c r="BG271" s="32">
        <v>2</v>
      </c>
      <c r="BH271" s="30"/>
      <c r="BI271" s="31"/>
      <c r="BJ271" s="30"/>
      <c r="BK271" s="30"/>
      <c r="BL271" s="30"/>
      <c r="BM271" s="30"/>
      <c r="BN271" s="30"/>
      <c r="BO271" s="33">
        <f t="shared" si="47"/>
        <v>0</v>
      </c>
      <c r="BP271" s="30">
        <v>7</v>
      </c>
      <c r="BQ271" s="30">
        <v>0</v>
      </c>
      <c r="BR271" s="30"/>
      <c r="BS271" s="30"/>
      <c r="BT271" s="34">
        <f t="shared" si="48"/>
        <v>0</v>
      </c>
      <c r="BU271" s="34" t="s">
        <v>89</v>
      </c>
      <c r="BV271" s="30">
        <v>9</v>
      </c>
      <c r="BW271" s="30">
        <v>0</v>
      </c>
      <c r="BX271" s="34">
        <v>350</v>
      </c>
      <c r="BY271" s="30"/>
      <c r="BZ271" s="31">
        <f t="shared" si="46"/>
        <v>3150</v>
      </c>
      <c r="CA271" s="31">
        <f t="shared" si="49"/>
        <v>0</v>
      </c>
    </row>
    <row r="272" spans="1:79" ht="56.25" x14ac:dyDescent="0.25">
      <c r="A272" s="17" t="s">
        <v>147</v>
      </c>
      <c r="B272" s="2">
        <v>266</v>
      </c>
      <c r="C272" s="37">
        <v>201</v>
      </c>
      <c r="D272" s="87">
        <v>516</v>
      </c>
      <c r="E272" s="38">
        <v>0.48194444444444445</v>
      </c>
      <c r="F272" s="38">
        <v>0.49444444444444446</v>
      </c>
      <c r="G272" s="39" t="s">
        <v>764</v>
      </c>
      <c r="H272" s="18" t="s">
        <v>422</v>
      </c>
      <c r="I272" s="37">
        <v>15</v>
      </c>
      <c r="J272" s="40">
        <v>50</v>
      </c>
      <c r="K272" s="41">
        <v>240</v>
      </c>
      <c r="L272" s="23">
        <f t="shared" si="50"/>
        <v>3600</v>
      </c>
      <c r="M272" s="24" t="s">
        <v>136</v>
      </c>
      <c r="N272" s="25" t="s">
        <v>149</v>
      </c>
      <c r="O272" s="25">
        <v>57</v>
      </c>
      <c r="P272" s="25" t="s">
        <v>150</v>
      </c>
      <c r="Q272" s="25">
        <v>57</v>
      </c>
      <c r="R272" s="25" t="s">
        <v>763</v>
      </c>
      <c r="S272" s="25">
        <v>57</v>
      </c>
      <c r="T272" s="26">
        <v>2180</v>
      </c>
      <c r="U272" s="26" t="s">
        <v>119</v>
      </c>
      <c r="V272" s="26">
        <v>2290</v>
      </c>
      <c r="W272" s="26" t="s">
        <v>118</v>
      </c>
      <c r="X272" s="27">
        <v>44816</v>
      </c>
      <c r="Y272" s="27">
        <v>45100</v>
      </c>
      <c r="Z272" s="27"/>
      <c r="AA272" s="27"/>
      <c r="AB272" s="26" t="s">
        <v>423</v>
      </c>
      <c r="AC272" s="26"/>
      <c r="AD272" s="28" t="s">
        <v>90</v>
      </c>
      <c r="AE272" s="28"/>
      <c r="AF272" s="28" t="s">
        <v>90</v>
      </c>
      <c r="AG272" s="28"/>
      <c r="AH272" s="28" t="s">
        <v>90</v>
      </c>
      <c r="AI272" s="28" t="s">
        <v>90</v>
      </c>
      <c r="AJ272" s="28" t="s">
        <v>90</v>
      </c>
      <c r="AK272" s="28" t="s">
        <v>90</v>
      </c>
      <c r="AL272" s="28" t="s">
        <v>90</v>
      </c>
      <c r="AM272" s="28" t="s">
        <v>90</v>
      </c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9"/>
      <c r="AY272" s="31"/>
      <c r="AZ272" s="31">
        <f>3*I272</f>
        <v>45</v>
      </c>
      <c r="BA272" s="29"/>
      <c r="BB272" s="29"/>
      <c r="BC272" s="30"/>
      <c r="BD272" s="30"/>
      <c r="BE272" s="30"/>
      <c r="BF272" s="31">
        <f>AZ272*K272</f>
        <v>10800</v>
      </c>
      <c r="BG272" s="32">
        <v>2</v>
      </c>
      <c r="BH272" s="88"/>
      <c r="BI272" s="47"/>
      <c r="BJ272" s="88"/>
      <c r="BK272" s="88"/>
      <c r="BL272" s="88"/>
      <c r="BM272" s="88"/>
      <c r="BN272" s="89"/>
      <c r="BO272" s="33">
        <f t="shared" si="47"/>
        <v>0</v>
      </c>
      <c r="BP272" s="30">
        <v>17</v>
      </c>
      <c r="BQ272" s="30">
        <v>26</v>
      </c>
      <c r="BR272" s="89"/>
      <c r="BS272" s="89"/>
      <c r="BT272" s="34">
        <f t="shared" si="48"/>
        <v>45</v>
      </c>
      <c r="BU272" s="34"/>
      <c r="BV272" s="34"/>
      <c r="BW272" s="34"/>
      <c r="BX272" s="34"/>
      <c r="BY272" s="89"/>
      <c r="BZ272" s="31">
        <f t="shared" si="46"/>
        <v>765</v>
      </c>
      <c r="CA272" s="31">
        <f t="shared" si="49"/>
        <v>1170</v>
      </c>
    </row>
    <row r="273" spans="1:79" ht="56.25" x14ac:dyDescent="0.25">
      <c r="A273" s="17" t="s">
        <v>147</v>
      </c>
      <c r="B273" s="2">
        <v>267</v>
      </c>
      <c r="C273" s="37">
        <v>201</v>
      </c>
      <c r="D273" s="87">
        <v>524</v>
      </c>
      <c r="E273" s="38">
        <v>0.50416666666666665</v>
      </c>
      <c r="F273" s="38">
        <v>0.51666666666666672</v>
      </c>
      <c r="G273" s="39" t="s">
        <v>764</v>
      </c>
      <c r="H273" s="18" t="s">
        <v>441</v>
      </c>
      <c r="I273" s="37">
        <v>15</v>
      </c>
      <c r="J273" s="40">
        <v>50</v>
      </c>
      <c r="K273" s="22">
        <v>47</v>
      </c>
      <c r="L273" s="23">
        <f t="shared" si="50"/>
        <v>705</v>
      </c>
      <c r="M273" s="24" t="s">
        <v>136</v>
      </c>
      <c r="N273" s="25" t="s">
        <v>149</v>
      </c>
      <c r="O273" s="25">
        <v>57</v>
      </c>
      <c r="P273" s="25" t="s">
        <v>150</v>
      </c>
      <c r="Q273" s="25">
        <v>57</v>
      </c>
      <c r="R273" s="25" t="s">
        <v>763</v>
      </c>
      <c r="S273" s="25">
        <v>57</v>
      </c>
      <c r="T273" s="26">
        <v>2180</v>
      </c>
      <c r="U273" s="26" t="s">
        <v>119</v>
      </c>
      <c r="V273" s="26">
        <v>2290</v>
      </c>
      <c r="W273" s="26" t="s">
        <v>118</v>
      </c>
      <c r="X273" s="27">
        <v>44816</v>
      </c>
      <c r="Y273" s="27">
        <v>45100</v>
      </c>
      <c r="Z273" s="27"/>
      <c r="AA273" s="27"/>
      <c r="AB273" s="62" t="s">
        <v>289</v>
      </c>
      <c r="AC273" s="62"/>
      <c r="AD273" s="28" t="s">
        <v>90</v>
      </c>
      <c r="AE273" s="28"/>
      <c r="AF273" s="28"/>
      <c r="AG273" s="28"/>
      <c r="AH273" s="28"/>
      <c r="AI273" s="28"/>
      <c r="AJ273" s="28"/>
      <c r="AK273" s="28"/>
      <c r="AL273" s="28"/>
      <c r="AM273" s="28"/>
      <c r="AN273" s="28" t="s">
        <v>90</v>
      </c>
      <c r="AO273" s="28"/>
      <c r="AP273" s="28"/>
      <c r="AQ273" s="28"/>
      <c r="AR273" s="28"/>
      <c r="AS273" s="28"/>
      <c r="AT273" s="28"/>
      <c r="AU273" s="28"/>
      <c r="AV273" s="28"/>
      <c r="AW273" s="28"/>
      <c r="AX273" s="29"/>
      <c r="AY273" s="31"/>
      <c r="AZ273" s="31">
        <f>3*I273</f>
        <v>45</v>
      </c>
      <c r="BA273" s="29"/>
      <c r="BB273" s="29"/>
      <c r="BC273" s="30"/>
      <c r="BD273" s="30"/>
      <c r="BE273" s="30"/>
      <c r="BF273" s="31">
        <f>AZ273*K273</f>
        <v>2115</v>
      </c>
      <c r="BG273" s="32">
        <v>2</v>
      </c>
      <c r="BH273" s="36"/>
      <c r="BI273" s="47"/>
      <c r="BJ273" s="36"/>
      <c r="BK273" s="36"/>
      <c r="BL273" s="36"/>
      <c r="BM273" s="36"/>
      <c r="BN273" s="30"/>
      <c r="BO273" s="33">
        <f t="shared" si="47"/>
        <v>0</v>
      </c>
      <c r="BP273" s="30">
        <v>2</v>
      </c>
      <c r="BQ273" s="30">
        <v>5</v>
      </c>
      <c r="BR273" s="30"/>
      <c r="BS273" s="30"/>
      <c r="BT273" s="34">
        <f t="shared" si="48"/>
        <v>45</v>
      </c>
      <c r="BU273" s="34"/>
      <c r="BV273" s="34"/>
      <c r="BW273" s="34"/>
      <c r="BX273" s="34"/>
      <c r="BY273" s="30"/>
      <c r="BZ273" s="31">
        <f t="shared" si="46"/>
        <v>90</v>
      </c>
      <c r="CA273" s="31">
        <f t="shared" si="49"/>
        <v>225</v>
      </c>
    </row>
    <row r="274" spans="1:79" ht="56.25" x14ac:dyDescent="0.25">
      <c r="A274" s="17" t="s">
        <v>147</v>
      </c>
      <c r="B274" s="2">
        <v>268</v>
      </c>
      <c r="C274" s="37">
        <v>201</v>
      </c>
      <c r="D274" s="87">
        <v>525</v>
      </c>
      <c r="E274" s="38">
        <v>0.52222222222222225</v>
      </c>
      <c r="F274" s="38">
        <v>0.53472222222222221</v>
      </c>
      <c r="G274" s="39" t="s">
        <v>113</v>
      </c>
      <c r="H274" s="18" t="s">
        <v>441</v>
      </c>
      <c r="I274" s="37">
        <v>15</v>
      </c>
      <c r="J274" s="40">
        <v>50</v>
      </c>
      <c r="K274" s="41">
        <v>47</v>
      </c>
      <c r="L274" s="23">
        <f t="shared" si="50"/>
        <v>705</v>
      </c>
      <c r="M274" s="24" t="s">
        <v>136</v>
      </c>
      <c r="N274" s="25" t="s">
        <v>149</v>
      </c>
      <c r="O274" s="25">
        <v>57</v>
      </c>
      <c r="P274" s="25" t="s">
        <v>150</v>
      </c>
      <c r="Q274" s="25">
        <v>57</v>
      </c>
      <c r="R274" s="25" t="s">
        <v>763</v>
      </c>
      <c r="S274" s="25">
        <v>57</v>
      </c>
      <c r="T274" s="26">
        <v>2290</v>
      </c>
      <c r="U274" s="26" t="s">
        <v>118</v>
      </c>
      <c r="V274" s="26">
        <v>2180</v>
      </c>
      <c r="W274" s="26" t="s">
        <v>119</v>
      </c>
      <c r="X274" s="27">
        <v>44816</v>
      </c>
      <c r="Y274" s="27">
        <v>45100</v>
      </c>
      <c r="Z274" s="27"/>
      <c r="AA274" s="27"/>
      <c r="AB274" s="62" t="s">
        <v>289</v>
      </c>
      <c r="AC274" s="62"/>
      <c r="AD274" s="28" t="s">
        <v>90</v>
      </c>
      <c r="AE274" s="28"/>
      <c r="AF274" s="28"/>
      <c r="AG274" s="28"/>
      <c r="AH274" s="28"/>
      <c r="AI274" s="28"/>
      <c r="AJ274" s="28"/>
      <c r="AK274" s="28"/>
      <c r="AL274" s="28"/>
      <c r="AM274" s="28"/>
      <c r="AN274" s="28" t="s">
        <v>90</v>
      </c>
      <c r="AO274" s="28"/>
      <c r="AP274" s="28"/>
      <c r="AQ274" s="28"/>
      <c r="AR274" s="28"/>
      <c r="AS274" s="28"/>
      <c r="AT274" s="28"/>
      <c r="AU274" s="28"/>
      <c r="AV274" s="28"/>
      <c r="AW274" s="28"/>
      <c r="AX274" s="29"/>
      <c r="AY274" s="31"/>
      <c r="AZ274" s="31">
        <f>3*I274</f>
        <v>45</v>
      </c>
      <c r="BA274" s="29"/>
      <c r="BB274" s="29"/>
      <c r="BC274" s="30"/>
      <c r="BD274" s="30"/>
      <c r="BE274" s="30"/>
      <c r="BF274" s="31">
        <f>AZ274*K274</f>
        <v>2115</v>
      </c>
      <c r="BG274" s="32">
        <v>2</v>
      </c>
      <c r="BH274" s="36"/>
      <c r="BI274" s="47"/>
      <c r="BJ274" s="36"/>
      <c r="BK274" s="36"/>
      <c r="BL274" s="36"/>
      <c r="BM274" s="36"/>
      <c r="BN274" s="30"/>
      <c r="BO274" s="33">
        <f t="shared" si="47"/>
        <v>0</v>
      </c>
      <c r="BP274" s="30">
        <v>2</v>
      </c>
      <c r="BQ274" s="30">
        <v>5</v>
      </c>
      <c r="BR274" s="30"/>
      <c r="BS274" s="30"/>
      <c r="BT274" s="34">
        <f t="shared" si="48"/>
        <v>45</v>
      </c>
      <c r="BU274" s="34"/>
      <c r="BV274" s="34"/>
      <c r="BW274" s="34"/>
      <c r="BX274" s="34"/>
      <c r="BY274" s="30"/>
      <c r="BZ274" s="31">
        <f t="shared" si="46"/>
        <v>90</v>
      </c>
      <c r="CA274" s="31">
        <f t="shared" si="49"/>
        <v>225</v>
      </c>
    </row>
    <row r="275" spans="1:79" ht="63.75" x14ac:dyDescent="0.25">
      <c r="A275" s="17"/>
      <c r="B275" s="2">
        <v>269</v>
      </c>
      <c r="C275" s="18">
        <v>201</v>
      </c>
      <c r="D275" s="18">
        <v>335</v>
      </c>
      <c r="E275" s="19">
        <v>0.55902777777777779</v>
      </c>
      <c r="F275" s="19">
        <v>0.57499999999999996</v>
      </c>
      <c r="G275" s="18" t="s">
        <v>772</v>
      </c>
      <c r="H275" s="18" t="s">
        <v>773</v>
      </c>
      <c r="I275" s="20">
        <v>15</v>
      </c>
      <c r="J275" s="21">
        <v>50</v>
      </c>
      <c r="K275" s="22">
        <v>36</v>
      </c>
      <c r="L275" s="23">
        <f t="shared" si="50"/>
        <v>540</v>
      </c>
      <c r="M275" s="24" t="s">
        <v>160</v>
      </c>
      <c r="N275" s="25" t="s">
        <v>161</v>
      </c>
      <c r="O275" s="25">
        <v>54</v>
      </c>
      <c r="P275" s="25" t="s">
        <v>162</v>
      </c>
      <c r="Q275" s="25">
        <v>56</v>
      </c>
      <c r="R275" s="17" t="s">
        <v>766</v>
      </c>
      <c r="S275" s="35">
        <v>58</v>
      </c>
      <c r="T275" s="26">
        <v>2290</v>
      </c>
      <c r="U275" s="26" t="s">
        <v>118</v>
      </c>
      <c r="V275" s="26">
        <v>2180</v>
      </c>
      <c r="W275" s="26" t="s">
        <v>119</v>
      </c>
      <c r="X275" s="66">
        <v>44816</v>
      </c>
      <c r="Y275" s="66">
        <v>45086</v>
      </c>
      <c r="Z275" s="66"/>
      <c r="AA275" s="66"/>
      <c r="AB275" s="28" t="s">
        <v>687</v>
      </c>
      <c r="AC275" s="28"/>
      <c r="AD275" s="28"/>
      <c r="AE275" s="28"/>
      <c r="AF275" s="28"/>
      <c r="AG275" s="28" t="s">
        <v>90</v>
      </c>
      <c r="AH275" s="28"/>
      <c r="AI275" s="28"/>
      <c r="AJ275" s="28"/>
      <c r="AK275" s="28"/>
      <c r="AL275" s="28" t="s">
        <v>90</v>
      </c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9">
        <v>27</v>
      </c>
      <c r="AY275" s="31"/>
      <c r="AZ275" s="30"/>
      <c r="BA275" s="29"/>
      <c r="BB275" s="29"/>
      <c r="BC275" s="30"/>
      <c r="BD275" s="31">
        <f>AX275*K275</f>
        <v>972</v>
      </c>
      <c r="BE275" s="31"/>
      <c r="BF275" s="30"/>
      <c r="BG275" s="32">
        <v>2</v>
      </c>
      <c r="BH275" s="53"/>
      <c r="BI275" s="53"/>
      <c r="BJ275" s="54"/>
      <c r="BK275" s="30"/>
      <c r="BL275" s="30"/>
      <c r="BM275" s="30"/>
      <c r="BN275" s="30"/>
      <c r="BO275" s="33">
        <f t="shared" si="47"/>
        <v>0</v>
      </c>
      <c r="BP275" s="30">
        <v>3</v>
      </c>
      <c r="BQ275" s="30">
        <v>4</v>
      </c>
      <c r="BR275" s="30"/>
      <c r="BS275" s="30"/>
      <c r="BT275" s="34">
        <f t="shared" si="48"/>
        <v>27</v>
      </c>
      <c r="BU275" s="34"/>
      <c r="BV275" s="34"/>
      <c r="BW275" s="34"/>
      <c r="BX275" s="34"/>
      <c r="BY275" s="30"/>
      <c r="BZ275" s="31">
        <f t="shared" si="46"/>
        <v>81</v>
      </c>
      <c r="CA275" s="31">
        <f t="shared" si="49"/>
        <v>108</v>
      </c>
    </row>
    <row r="276" spans="1:79" ht="56.25" x14ac:dyDescent="0.25">
      <c r="A276" s="17" t="s">
        <v>147</v>
      </c>
      <c r="B276" s="2">
        <v>270</v>
      </c>
      <c r="C276" s="37">
        <v>201</v>
      </c>
      <c r="D276" s="87">
        <v>529</v>
      </c>
      <c r="E276" s="38">
        <v>0.56041666666666667</v>
      </c>
      <c r="F276" s="38">
        <v>0.57291666666666663</v>
      </c>
      <c r="G276" s="39" t="s">
        <v>113</v>
      </c>
      <c r="H276" s="18" t="s">
        <v>441</v>
      </c>
      <c r="I276" s="37">
        <v>15</v>
      </c>
      <c r="J276" s="40">
        <v>50</v>
      </c>
      <c r="K276" s="22">
        <v>47</v>
      </c>
      <c r="L276" s="23">
        <f t="shared" si="50"/>
        <v>705</v>
      </c>
      <c r="M276" s="24" t="s">
        <v>136</v>
      </c>
      <c r="N276" s="25" t="s">
        <v>149</v>
      </c>
      <c r="O276" s="25">
        <v>57</v>
      </c>
      <c r="P276" s="25" t="s">
        <v>150</v>
      </c>
      <c r="Q276" s="25">
        <v>57</v>
      </c>
      <c r="R276" s="25" t="s">
        <v>763</v>
      </c>
      <c r="S276" s="25">
        <v>57</v>
      </c>
      <c r="T276" s="26">
        <v>2290</v>
      </c>
      <c r="U276" s="26" t="s">
        <v>118</v>
      </c>
      <c r="V276" s="26">
        <v>2180</v>
      </c>
      <c r="W276" s="26" t="s">
        <v>119</v>
      </c>
      <c r="X276" s="27">
        <v>44816</v>
      </c>
      <c r="Y276" s="27">
        <v>45100</v>
      </c>
      <c r="Z276" s="27"/>
      <c r="AA276" s="27"/>
      <c r="AB276" s="62" t="s">
        <v>289</v>
      </c>
      <c r="AC276" s="62"/>
      <c r="AD276" s="28" t="s">
        <v>90</v>
      </c>
      <c r="AE276" s="28"/>
      <c r="AF276" s="28"/>
      <c r="AG276" s="28"/>
      <c r="AH276" s="28"/>
      <c r="AI276" s="28"/>
      <c r="AJ276" s="28"/>
      <c r="AK276" s="28"/>
      <c r="AL276" s="28"/>
      <c r="AM276" s="28"/>
      <c r="AN276" s="28" t="s">
        <v>90</v>
      </c>
      <c r="AO276" s="28"/>
      <c r="AP276" s="28"/>
      <c r="AQ276" s="28"/>
      <c r="AR276" s="28"/>
      <c r="AS276" s="28"/>
      <c r="AT276" s="28"/>
      <c r="AU276" s="28"/>
      <c r="AV276" s="28"/>
      <c r="AW276" s="28"/>
      <c r="AX276" s="29"/>
      <c r="AY276" s="31"/>
      <c r="AZ276" s="31">
        <f>3*I276</f>
        <v>45</v>
      </c>
      <c r="BA276" s="29"/>
      <c r="BB276" s="29"/>
      <c r="BC276" s="30"/>
      <c r="BD276" s="30"/>
      <c r="BE276" s="30"/>
      <c r="BF276" s="31">
        <f>AZ276*K276</f>
        <v>2115</v>
      </c>
      <c r="BG276" s="32">
        <v>2</v>
      </c>
      <c r="BH276" s="36"/>
      <c r="BI276" s="47"/>
      <c r="BJ276" s="36"/>
      <c r="BK276" s="36"/>
      <c r="BL276" s="36"/>
      <c r="BM276" s="36"/>
      <c r="BN276" s="30"/>
      <c r="BO276" s="33">
        <f t="shared" si="47"/>
        <v>0</v>
      </c>
      <c r="BP276" s="30">
        <v>2</v>
      </c>
      <c r="BQ276" s="30">
        <v>5</v>
      </c>
      <c r="BR276" s="30"/>
      <c r="BS276" s="30"/>
      <c r="BT276" s="34">
        <f t="shared" si="48"/>
        <v>45</v>
      </c>
      <c r="BU276" s="34"/>
      <c r="BV276" s="34"/>
      <c r="BW276" s="34"/>
      <c r="BX276" s="34"/>
      <c r="BY276" s="30"/>
      <c r="BZ276" s="31">
        <f t="shared" si="46"/>
        <v>90</v>
      </c>
      <c r="CA276" s="31">
        <f t="shared" si="49"/>
        <v>225</v>
      </c>
    </row>
    <row r="277" spans="1:79" ht="56.25" x14ac:dyDescent="0.25">
      <c r="A277" s="17" t="s">
        <v>147</v>
      </c>
      <c r="B277" s="2">
        <v>271</v>
      </c>
      <c r="C277" s="37">
        <v>201</v>
      </c>
      <c r="D277" s="87">
        <v>526</v>
      </c>
      <c r="E277" s="86">
        <v>0.57291666666666663</v>
      </c>
      <c r="F277" s="86">
        <v>0.5854166666666667</v>
      </c>
      <c r="G277" s="39" t="s">
        <v>764</v>
      </c>
      <c r="H277" s="18" t="s">
        <v>441</v>
      </c>
      <c r="I277" s="37">
        <v>15</v>
      </c>
      <c r="J277" s="40">
        <v>50</v>
      </c>
      <c r="K277" s="41">
        <v>47</v>
      </c>
      <c r="L277" s="23">
        <f t="shared" si="50"/>
        <v>705</v>
      </c>
      <c r="M277" s="24" t="s">
        <v>136</v>
      </c>
      <c r="N277" s="25" t="s">
        <v>149</v>
      </c>
      <c r="O277" s="25">
        <v>57</v>
      </c>
      <c r="P277" s="25" t="s">
        <v>150</v>
      </c>
      <c r="Q277" s="25">
        <v>57</v>
      </c>
      <c r="R277" s="25" t="s">
        <v>763</v>
      </c>
      <c r="S277" s="25">
        <v>57</v>
      </c>
      <c r="T277" s="26">
        <v>2180</v>
      </c>
      <c r="U277" s="26" t="s">
        <v>119</v>
      </c>
      <c r="V277" s="26">
        <v>2290</v>
      </c>
      <c r="W277" s="26" t="s">
        <v>118</v>
      </c>
      <c r="X277" s="27">
        <v>44816</v>
      </c>
      <c r="Y277" s="27">
        <v>45100</v>
      </c>
      <c r="Z277" s="27"/>
      <c r="AA277" s="27"/>
      <c r="AB277" s="62" t="s">
        <v>289</v>
      </c>
      <c r="AC277" s="62"/>
      <c r="AD277" s="28" t="s">
        <v>90</v>
      </c>
      <c r="AE277" s="28"/>
      <c r="AF277" s="28"/>
      <c r="AG277" s="28"/>
      <c r="AH277" s="28"/>
      <c r="AI277" s="28"/>
      <c r="AJ277" s="28"/>
      <c r="AK277" s="28"/>
      <c r="AL277" s="28"/>
      <c r="AM277" s="28"/>
      <c r="AN277" s="28" t="s">
        <v>90</v>
      </c>
      <c r="AO277" s="28"/>
      <c r="AP277" s="28"/>
      <c r="AQ277" s="28"/>
      <c r="AR277" s="28"/>
      <c r="AS277" s="28"/>
      <c r="AT277" s="28"/>
      <c r="AU277" s="28"/>
      <c r="AV277" s="28"/>
      <c r="AW277" s="28"/>
      <c r="AX277" s="29"/>
      <c r="AY277" s="31"/>
      <c r="AZ277" s="31">
        <f>3*I277</f>
        <v>45</v>
      </c>
      <c r="BA277" s="29"/>
      <c r="BB277" s="29"/>
      <c r="BC277" s="30"/>
      <c r="BD277" s="30"/>
      <c r="BE277" s="30"/>
      <c r="BF277" s="31">
        <f>AZ277*K277</f>
        <v>2115</v>
      </c>
      <c r="BG277" s="32">
        <v>2</v>
      </c>
      <c r="BH277" s="36"/>
      <c r="BI277" s="47"/>
      <c r="BJ277" s="36"/>
      <c r="BK277" s="36"/>
      <c r="BL277" s="36"/>
      <c r="BM277" s="36"/>
      <c r="BN277" s="30"/>
      <c r="BO277" s="33">
        <f t="shared" si="47"/>
        <v>0</v>
      </c>
      <c r="BP277" s="30">
        <v>2</v>
      </c>
      <c r="BQ277" s="30">
        <v>5</v>
      </c>
      <c r="BR277" s="30"/>
      <c r="BS277" s="30"/>
      <c r="BT277" s="34">
        <f t="shared" si="48"/>
        <v>45</v>
      </c>
      <c r="BU277" s="34"/>
      <c r="BV277" s="34"/>
      <c r="BW277" s="34"/>
      <c r="BX277" s="34"/>
      <c r="BY277" s="30"/>
      <c r="BZ277" s="31">
        <f t="shared" si="46"/>
        <v>90</v>
      </c>
      <c r="CA277" s="31">
        <f t="shared" si="49"/>
        <v>225</v>
      </c>
    </row>
    <row r="278" spans="1:79" ht="51" x14ac:dyDescent="0.25">
      <c r="A278" s="17"/>
      <c r="B278" s="2">
        <v>272</v>
      </c>
      <c r="C278" s="18">
        <v>201</v>
      </c>
      <c r="D278" s="18">
        <v>310</v>
      </c>
      <c r="E278" s="19">
        <v>0.60277777777777775</v>
      </c>
      <c r="F278" s="19">
        <v>0.61388888888888882</v>
      </c>
      <c r="G278" s="18" t="s">
        <v>774</v>
      </c>
      <c r="H278" s="18" t="s">
        <v>773</v>
      </c>
      <c r="I278" s="20">
        <v>15</v>
      </c>
      <c r="J278" s="21">
        <v>55</v>
      </c>
      <c r="K278" s="22">
        <v>36</v>
      </c>
      <c r="L278" s="23">
        <f t="shared" si="50"/>
        <v>540</v>
      </c>
      <c r="M278" s="24" t="s">
        <v>160</v>
      </c>
      <c r="N278" s="25" t="s">
        <v>161</v>
      </c>
      <c r="O278" s="25">
        <v>54</v>
      </c>
      <c r="P278" s="25" t="s">
        <v>162</v>
      </c>
      <c r="Q278" s="25">
        <v>56</v>
      </c>
      <c r="R278" s="17" t="s">
        <v>766</v>
      </c>
      <c r="S278" s="35">
        <v>58</v>
      </c>
      <c r="T278" s="26">
        <v>2180</v>
      </c>
      <c r="U278" s="26" t="s">
        <v>119</v>
      </c>
      <c r="V278" s="26">
        <v>2290</v>
      </c>
      <c r="W278" s="26" t="s">
        <v>118</v>
      </c>
      <c r="X278" s="66">
        <v>44816</v>
      </c>
      <c r="Y278" s="66">
        <v>45086</v>
      </c>
      <c r="Z278" s="66"/>
      <c r="AA278" s="66"/>
      <c r="AB278" s="28" t="s">
        <v>687</v>
      </c>
      <c r="AC278" s="28"/>
      <c r="AD278" s="28"/>
      <c r="AE278" s="28"/>
      <c r="AF278" s="28"/>
      <c r="AG278" s="28" t="s">
        <v>90</v>
      </c>
      <c r="AH278" s="28"/>
      <c r="AI278" s="28"/>
      <c r="AJ278" s="28"/>
      <c r="AK278" s="28"/>
      <c r="AL278" s="28" t="s">
        <v>90</v>
      </c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9">
        <v>27</v>
      </c>
      <c r="AY278" s="31"/>
      <c r="AZ278" s="30"/>
      <c r="BA278" s="29"/>
      <c r="BB278" s="29"/>
      <c r="BC278" s="30"/>
      <c r="BD278" s="31">
        <f>AX278*K278</f>
        <v>972</v>
      </c>
      <c r="BE278" s="31"/>
      <c r="BF278" s="30"/>
      <c r="BG278" s="32">
        <v>2</v>
      </c>
      <c r="BH278" s="53"/>
      <c r="BI278" s="53"/>
      <c r="BJ278" s="54"/>
      <c r="BK278" s="30"/>
      <c r="BL278" s="30"/>
      <c r="BM278" s="30"/>
      <c r="BN278" s="30"/>
      <c r="BO278" s="33">
        <f t="shared" si="47"/>
        <v>0</v>
      </c>
      <c r="BP278" s="30">
        <v>3</v>
      </c>
      <c r="BQ278" s="30">
        <v>4</v>
      </c>
      <c r="BR278" s="30"/>
      <c r="BS278" s="30"/>
      <c r="BT278" s="34">
        <f t="shared" si="48"/>
        <v>27</v>
      </c>
      <c r="BU278" s="34"/>
      <c r="BV278" s="34"/>
      <c r="BW278" s="34"/>
      <c r="BX278" s="34"/>
      <c r="BY278" s="30"/>
      <c r="BZ278" s="31">
        <f t="shared" si="46"/>
        <v>81</v>
      </c>
      <c r="CA278" s="31">
        <f t="shared" si="49"/>
        <v>108</v>
      </c>
    </row>
    <row r="279" spans="1:79" ht="56.25" x14ac:dyDescent="0.25">
      <c r="A279" s="17" t="s">
        <v>147</v>
      </c>
      <c r="B279" s="2">
        <v>273</v>
      </c>
      <c r="C279" s="37">
        <v>201</v>
      </c>
      <c r="D279" s="87">
        <v>71</v>
      </c>
      <c r="E279" s="38">
        <v>0.625</v>
      </c>
      <c r="F279" s="38">
        <v>0.63750000000000007</v>
      </c>
      <c r="G279" s="39" t="s">
        <v>113</v>
      </c>
      <c r="H279" s="18" t="s">
        <v>422</v>
      </c>
      <c r="I279" s="37">
        <v>15</v>
      </c>
      <c r="J279" s="40">
        <v>50</v>
      </c>
      <c r="K279" s="22">
        <v>240</v>
      </c>
      <c r="L279" s="23">
        <f t="shared" si="50"/>
        <v>3600</v>
      </c>
      <c r="M279" s="24" t="s">
        <v>136</v>
      </c>
      <c r="N279" s="25" t="s">
        <v>149</v>
      </c>
      <c r="O279" s="25">
        <v>57</v>
      </c>
      <c r="P279" s="25" t="s">
        <v>150</v>
      </c>
      <c r="Q279" s="25">
        <v>57</v>
      </c>
      <c r="R279" s="25" t="s">
        <v>763</v>
      </c>
      <c r="S279" s="25">
        <v>57</v>
      </c>
      <c r="T279" s="26">
        <v>2290</v>
      </c>
      <c r="U279" s="26" t="s">
        <v>118</v>
      </c>
      <c r="V279" s="26">
        <v>2180</v>
      </c>
      <c r="W279" s="26" t="s">
        <v>119</v>
      </c>
      <c r="X279" s="27">
        <v>44816</v>
      </c>
      <c r="Y279" s="27">
        <v>45100</v>
      </c>
      <c r="Z279" s="27"/>
      <c r="AA279" s="27"/>
      <c r="AB279" s="26" t="s">
        <v>423</v>
      </c>
      <c r="AC279" s="26"/>
      <c r="AD279" s="28" t="s">
        <v>90</v>
      </c>
      <c r="AE279" s="28"/>
      <c r="AF279" s="28" t="s">
        <v>90</v>
      </c>
      <c r="AG279" s="28"/>
      <c r="AH279" s="28" t="s">
        <v>90</v>
      </c>
      <c r="AI279" s="28" t="s">
        <v>90</v>
      </c>
      <c r="AJ279" s="28" t="s">
        <v>90</v>
      </c>
      <c r="AK279" s="28" t="s">
        <v>90</v>
      </c>
      <c r="AL279" s="28" t="s">
        <v>90</v>
      </c>
      <c r="AM279" s="28" t="s">
        <v>90</v>
      </c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9"/>
      <c r="AY279" s="31"/>
      <c r="AZ279" s="31">
        <f>3*I279</f>
        <v>45</v>
      </c>
      <c r="BA279" s="29"/>
      <c r="BB279" s="29"/>
      <c r="BC279" s="30"/>
      <c r="BD279" s="30"/>
      <c r="BE279" s="30"/>
      <c r="BF279" s="31">
        <f>AZ279*K279</f>
        <v>10800</v>
      </c>
      <c r="BG279" s="32">
        <v>2</v>
      </c>
      <c r="BH279" s="36"/>
      <c r="BI279" s="47"/>
      <c r="BJ279" s="36"/>
      <c r="BK279" s="36"/>
      <c r="BL279" s="36"/>
      <c r="BM279" s="36"/>
      <c r="BN279" s="30"/>
      <c r="BO279" s="33">
        <f t="shared" si="47"/>
        <v>0</v>
      </c>
      <c r="BP279" s="30">
        <v>17</v>
      </c>
      <c r="BQ279" s="30">
        <v>26</v>
      </c>
      <c r="BR279" s="30"/>
      <c r="BS279" s="30"/>
      <c r="BT279" s="34">
        <f t="shared" si="48"/>
        <v>45</v>
      </c>
      <c r="BU279" s="34"/>
      <c r="BV279" s="34"/>
      <c r="BW279" s="34"/>
      <c r="BX279" s="34"/>
      <c r="BY279" s="30"/>
      <c r="BZ279" s="31">
        <f t="shared" si="46"/>
        <v>765</v>
      </c>
      <c r="CA279" s="31">
        <f t="shared" si="49"/>
        <v>1170</v>
      </c>
    </row>
    <row r="280" spans="1:79" ht="34.5" x14ac:dyDescent="0.25">
      <c r="A280" s="17" t="s">
        <v>147</v>
      </c>
      <c r="B280" s="2">
        <v>274</v>
      </c>
      <c r="C280" s="37">
        <v>201</v>
      </c>
      <c r="D280" s="87">
        <v>71</v>
      </c>
      <c r="E280" s="38">
        <v>0.625</v>
      </c>
      <c r="F280" s="38">
        <v>0.63750000000000007</v>
      </c>
      <c r="G280" s="39" t="s">
        <v>113</v>
      </c>
      <c r="H280" s="18" t="s">
        <v>441</v>
      </c>
      <c r="I280" s="37">
        <v>15</v>
      </c>
      <c r="J280" s="40">
        <v>50</v>
      </c>
      <c r="K280" s="41">
        <v>47</v>
      </c>
      <c r="L280" s="23">
        <f t="shared" si="50"/>
        <v>705</v>
      </c>
      <c r="M280" s="24" t="s">
        <v>114</v>
      </c>
      <c r="N280" s="25" t="s">
        <v>115</v>
      </c>
      <c r="O280" s="25">
        <v>54</v>
      </c>
      <c r="P280" s="25" t="s">
        <v>116</v>
      </c>
      <c r="Q280" s="25">
        <v>45</v>
      </c>
      <c r="R280" s="25" t="s">
        <v>770</v>
      </c>
      <c r="S280" s="25">
        <v>37</v>
      </c>
      <c r="T280" s="26">
        <v>2290</v>
      </c>
      <c r="U280" s="26" t="s">
        <v>118</v>
      </c>
      <c r="V280" s="26">
        <v>2180</v>
      </c>
      <c r="W280" s="26" t="s">
        <v>119</v>
      </c>
      <c r="X280" s="27">
        <v>44816</v>
      </c>
      <c r="Y280" s="27">
        <v>45100</v>
      </c>
      <c r="Z280" s="27"/>
      <c r="AA280" s="27"/>
      <c r="AB280" s="62" t="s">
        <v>289</v>
      </c>
      <c r="AC280" s="62"/>
      <c r="AD280" s="28" t="s">
        <v>90</v>
      </c>
      <c r="AE280" s="28"/>
      <c r="AF280" s="28"/>
      <c r="AG280" s="28"/>
      <c r="AH280" s="28"/>
      <c r="AI280" s="28"/>
      <c r="AJ280" s="28"/>
      <c r="AK280" s="28"/>
      <c r="AL280" s="28"/>
      <c r="AM280" s="28"/>
      <c r="AN280" s="28" t="s">
        <v>90</v>
      </c>
      <c r="AO280" s="28"/>
      <c r="AP280" s="28"/>
      <c r="AQ280" s="28"/>
      <c r="AR280" s="28"/>
      <c r="AS280" s="28"/>
      <c r="AT280" s="28"/>
      <c r="AU280" s="28"/>
      <c r="AV280" s="28"/>
      <c r="AW280" s="28"/>
      <c r="AX280" s="29"/>
      <c r="AY280" s="31"/>
      <c r="AZ280" s="31">
        <f>3*I280</f>
        <v>45</v>
      </c>
      <c r="BA280" s="29"/>
      <c r="BB280" s="29"/>
      <c r="BC280" s="30"/>
      <c r="BD280" s="30"/>
      <c r="BE280" s="30"/>
      <c r="BF280" s="31">
        <f>AZ280*K280</f>
        <v>2115</v>
      </c>
      <c r="BG280" s="32">
        <v>2</v>
      </c>
      <c r="BH280" s="36"/>
      <c r="BI280" s="47"/>
      <c r="BJ280" s="36"/>
      <c r="BK280" s="36"/>
      <c r="BL280" s="36"/>
      <c r="BM280" s="36"/>
      <c r="BN280" s="30"/>
      <c r="BO280" s="33">
        <f t="shared" si="47"/>
        <v>0</v>
      </c>
      <c r="BP280" s="30">
        <v>2</v>
      </c>
      <c r="BQ280" s="30">
        <v>5</v>
      </c>
      <c r="BR280" s="30"/>
      <c r="BS280" s="30"/>
      <c r="BT280" s="34">
        <f t="shared" si="48"/>
        <v>45</v>
      </c>
      <c r="BU280" s="34"/>
      <c r="BV280" s="34"/>
      <c r="BW280" s="34"/>
      <c r="BX280" s="34"/>
      <c r="BY280" s="30"/>
      <c r="BZ280" s="31">
        <f t="shared" si="46"/>
        <v>90</v>
      </c>
      <c r="CA280" s="31">
        <f t="shared" si="49"/>
        <v>225</v>
      </c>
    </row>
    <row r="281" spans="1:79" ht="34.5" x14ac:dyDescent="0.25">
      <c r="A281" s="17" t="s">
        <v>112</v>
      </c>
      <c r="B281" s="2">
        <v>275</v>
      </c>
      <c r="C281" s="37">
        <v>201</v>
      </c>
      <c r="D281" s="37">
        <v>71</v>
      </c>
      <c r="E281" s="38">
        <v>0.625</v>
      </c>
      <c r="F281" s="38">
        <v>0.67222222222222217</v>
      </c>
      <c r="G281" s="39" t="s">
        <v>759</v>
      </c>
      <c r="H281" s="18" t="s">
        <v>290</v>
      </c>
      <c r="I281" s="37">
        <v>44</v>
      </c>
      <c r="J281" s="40">
        <v>50</v>
      </c>
      <c r="K281" s="41">
        <v>13</v>
      </c>
      <c r="L281" s="23">
        <f t="shared" si="50"/>
        <v>572</v>
      </c>
      <c r="M281" s="83" t="s">
        <v>160</v>
      </c>
      <c r="N281" s="25" t="s">
        <v>161</v>
      </c>
      <c r="O281" s="25">
        <v>54</v>
      </c>
      <c r="P281" s="25" t="s">
        <v>162</v>
      </c>
      <c r="Q281" s="25">
        <v>56</v>
      </c>
      <c r="R281" s="17" t="s">
        <v>766</v>
      </c>
      <c r="S281" s="35">
        <v>58</v>
      </c>
      <c r="T281" s="26">
        <v>2290</v>
      </c>
      <c r="U281" s="26" t="s">
        <v>118</v>
      </c>
      <c r="V281" s="26">
        <v>1</v>
      </c>
      <c r="W281" s="26" t="s">
        <v>300</v>
      </c>
      <c r="X281" s="27">
        <v>44562</v>
      </c>
      <c r="Y281" s="27">
        <v>44815</v>
      </c>
      <c r="Z281" s="27">
        <v>45101</v>
      </c>
      <c r="AA281" s="27">
        <v>45169</v>
      </c>
      <c r="AB281" s="62" t="s">
        <v>291</v>
      </c>
      <c r="AC281" s="62"/>
      <c r="AD281" s="28"/>
      <c r="AE281" s="28" t="s">
        <v>90</v>
      </c>
      <c r="AF281" s="28"/>
      <c r="AG281" s="28"/>
      <c r="AH281" s="28"/>
      <c r="AI281" s="28"/>
      <c r="AJ281" s="28"/>
      <c r="AK281" s="28"/>
      <c r="AL281" s="28"/>
      <c r="AM281" s="28"/>
      <c r="AN281" s="28" t="s">
        <v>90</v>
      </c>
      <c r="AO281" s="28"/>
      <c r="AP281" s="28"/>
      <c r="AQ281" s="28"/>
      <c r="AR281" s="28"/>
      <c r="AS281" s="28"/>
      <c r="AT281" s="28"/>
      <c r="AU281" s="28"/>
      <c r="AV281" s="28"/>
      <c r="AW281" s="28"/>
      <c r="AX281" s="29"/>
      <c r="AY281" s="30"/>
      <c r="AZ281" s="30"/>
      <c r="BA281" s="42"/>
      <c r="BB281" s="55" t="s">
        <v>767</v>
      </c>
      <c r="BC281" s="30"/>
      <c r="BD281" s="31">
        <f>AX281*K281</f>
        <v>0</v>
      </c>
      <c r="BE281" s="30"/>
      <c r="BF281" s="30"/>
      <c r="BG281" s="32">
        <v>2</v>
      </c>
      <c r="BH281" s="30"/>
      <c r="BI281" s="31"/>
      <c r="BJ281" s="30"/>
      <c r="BK281" s="30"/>
      <c r="BL281" s="30"/>
      <c r="BM281" s="30"/>
      <c r="BN281" s="30"/>
      <c r="BO281" s="33">
        <f t="shared" si="47"/>
        <v>0</v>
      </c>
      <c r="BP281" s="30">
        <v>2</v>
      </c>
      <c r="BQ281" s="30">
        <v>0</v>
      </c>
      <c r="BR281" s="30"/>
      <c r="BS281" s="30"/>
      <c r="BT281" s="34">
        <f t="shared" si="48"/>
        <v>0</v>
      </c>
      <c r="BU281" s="34"/>
      <c r="BV281" s="34"/>
      <c r="BW281" s="34"/>
      <c r="BX281" s="34"/>
      <c r="BY281" s="30"/>
      <c r="BZ281" s="31">
        <f t="shared" si="46"/>
        <v>0</v>
      </c>
      <c r="CA281" s="31">
        <f t="shared" si="49"/>
        <v>0</v>
      </c>
    </row>
    <row r="282" spans="1:79" ht="56.25" x14ac:dyDescent="0.25">
      <c r="A282" s="17" t="s">
        <v>147</v>
      </c>
      <c r="B282" s="2">
        <v>276</v>
      </c>
      <c r="C282" s="37">
        <v>201</v>
      </c>
      <c r="D282" s="87">
        <v>530</v>
      </c>
      <c r="E282" s="38">
        <v>0.64861111111111114</v>
      </c>
      <c r="F282" s="38">
        <v>0.66111111111111109</v>
      </c>
      <c r="G282" s="39" t="s">
        <v>764</v>
      </c>
      <c r="H282" s="18" t="s">
        <v>422</v>
      </c>
      <c r="I282" s="37">
        <v>15</v>
      </c>
      <c r="J282" s="40">
        <v>50</v>
      </c>
      <c r="K282" s="41">
        <v>240</v>
      </c>
      <c r="L282" s="23">
        <f t="shared" si="50"/>
        <v>3600</v>
      </c>
      <c r="M282" s="24" t="s">
        <v>136</v>
      </c>
      <c r="N282" s="25" t="s">
        <v>149</v>
      </c>
      <c r="O282" s="25">
        <v>57</v>
      </c>
      <c r="P282" s="25" t="s">
        <v>150</v>
      </c>
      <c r="Q282" s="25">
        <v>57</v>
      </c>
      <c r="R282" s="25" t="s">
        <v>763</v>
      </c>
      <c r="S282" s="25">
        <v>57</v>
      </c>
      <c r="T282" s="26">
        <v>2180</v>
      </c>
      <c r="U282" s="26" t="s">
        <v>119</v>
      </c>
      <c r="V282" s="26">
        <v>2290</v>
      </c>
      <c r="W282" s="26" t="s">
        <v>118</v>
      </c>
      <c r="X282" s="27">
        <v>44816</v>
      </c>
      <c r="Y282" s="27">
        <v>45100</v>
      </c>
      <c r="Z282" s="27"/>
      <c r="AA282" s="27"/>
      <c r="AB282" s="26" t="s">
        <v>423</v>
      </c>
      <c r="AC282" s="26"/>
      <c r="AD282" s="28" t="s">
        <v>90</v>
      </c>
      <c r="AE282" s="28"/>
      <c r="AF282" s="28" t="s">
        <v>90</v>
      </c>
      <c r="AG282" s="28"/>
      <c r="AH282" s="28" t="s">
        <v>90</v>
      </c>
      <c r="AI282" s="28" t="s">
        <v>90</v>
      </c>
      <c r="AJ282" s="28" t="s">
        <v>90</v>
      </c>
      <c r="AK282" s="28" t="s">
        <v>90</v>
      </c>
      <c r="AL282" s="28" t="s">
        <v>90</v>
      </c>
      <c r="AM282" s="28" t="s">
        <v>90</v>
      </c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9"/>
      <c r="AY282" s="30"/>
      <c r="AZ282" s="31">
        <f>3*I282</f>
        <v>45</v>
      </c>
      <c r="BA282" s="29"/>
      <c r="BB282" s="29"/>
      <c r="BC282" s="30"/>
      <c r="BD282" s="30"/>
      <c r="BE282" s="30"/>
      <c r="BF282" s="31">
        <f>AZ282*K282</f>
        <v>10800</v>
      </c>
      <c r="BG282" s="32">
        <v>2</v>
      </c>
      <c r="BH282" s="36"/>
      <c r="BI282" s="47"/>
      <c r="BJ282" s="36"/>
      <c r="BK282" s="36"/>
      <c r="BL282" s="36"/>
      <c r="BM282" s="36"/>
      <c r="BN282" s="30"/>
      <c r="BO282" s="33">
        <f t="shared" si="47"/>
        <v>0</v>
      </c>
      <c r="BP282" s="30">
        <v>17</v>
      </c>
      <c r="BQ282" s="30">
        <v>26</v>
      </c>
      <c r="BR282" s="30"/>
      <c r="BS282" s="30"/>
      <c r="BT282" s="34">
        <f t="shared" si="48"/>
        <v>45</v>
      </c>
      <c r="BU282" s="34"/>
      <c r="BV282" s="34"/>
      <c r="BW282" s="34"/>
      <c r="BX282" s="34"/>
      <c r="BY282" s="30"/>
      <c r="BZ282" s="31">
        <f t="shared" si="46"/>
        <v>765</v>
      </c>
      <c r="CA282" s="31">
        <f t="shared" si="49"/>
        <v>1170</v>
      </c>
    </row>
    <row r="283" spans="1:79" ht="34.5" x14ac:dyDescent="0.25">
      <c r="A283" s="17" t="s">
        <v>147</v>
      </c>
      <c r="B283" s="2">
        <v>277</v>
      </c>
      <c r="C283" s="37">
        <v>201</v>
      </c>
      <c r="D283" s="87">
        <v>530</v>
      </c>
      <c r="E283" s="38">
        <v>0.64861111111111114</v>
      </c>
      <c r="F283" s="38">
        <v>0.66111111111111109</v>
      </c>
      <c r="G283" s="39" t="s">
        <v>764</v>
      </c>
      <c r="H283" s="18" t="s">
        <v>441</v>
      </c>
      <c r="I283" s="37">
        <v>15</v>
      </c>
      <c r="J283" s="40">
        <v>50</v>
      </c>
      <c r="K283" s="41">
        <v>47</v>
      </c>
      <c r="L283" s="23">
        <f t="shared" si="50"/>
        <v>705</v>
      </c>
      <c r="M283" s="24" t="s">
        <v>114</v>
      </c>
      <c r="N283" s="25" t="s">
        <v>115</v>
      </c>
      <c r="O283" s="25">
        <v>54</v>
      </c>
      <c r="P283" s="25" t="s">
        <v>116</v>
      </c>
      <c r="Q283" s="25">
        <v>45</v>
      </c>
      <c r="R283" s="25" t="s">
        <v>770</v>
      </c>
      <c r="S283" s="25">
        <v>37</v>
      </c>
      <c r="T283" s="26">
        <v>2180</v>
      </c>
      <c r="U283" s="26" t="s">
        <v>119</v>
      </c>
      <c r="V283" s="26">
        <v>2290</v>
      </c>
      <c r="W283" s="26" t="s">
        <v>118</v>
      </c>
      <c r="X283" s="27">
        <v>44816</v>
      </c>
      <c r="Y283" s="27">
        <v>45100</v>
      </c>
      <c r="Z283" s="27"/>
      <c r="AA283" s="27"/>
      <c r="AB283" s="62" t="s">
        <v>289</v>
      </c>
      <c r="AC283" s="62"/>
      <c r="AD283" s="28" t="s">
        <v>90</v>
      </c>
      <c r="AE283" s="28"/>
      <c r="AF283" s="28"/>
      <c r="AG283" s="28"/>
      <c r="AH283" s="28"/>
      <c r="AI283" s="28"/>
      <c r="AJ283" s="28"/>
      <c r="AK283" s="28"/>
      <c r="AL283" s="28"/>
      <c r="AM283" s="28"/>
      <c r="AN283" s="28" t="s">
        <v>90</v>
      </c>
      <c r="AO283" s="28"/>
      <c r="AP283" s="28"/>
      <c r="AQ283" s="28"/>
      <c r="AR283" s="28"/>
      <c r="AS283" s="28"/>
      <c r="AT283" s="28"/>
      <c r="AU283" s="28"/>
      <c r="AV283" s="28"/>
      <c r="AW283" s="28"/>
      <c r="AX283" s="29"/>
      <c r="AY283" s="30"/>
      <c r="AZ283" s="31">
        <f>3*I283</f>
        <v>45</v>
      </c>
      <c r="BA283" s="29"/>
      <c r="BB283" s="29"/>
      <c r="BC283" s="30"/>
      <c r="BD283" s="30"/>
      <c r="BE283" s="30"/>
      <c r="BF283" s="31">
        <f>AZ283*K283</f>
        <v>2115</v>
      </c>
      <c r="BG283" s="32">
        <v>2</v>
      </c>
      <c r="BH283" s="36"/>
      <c r="BI283" s="47"/>
      <c r="BJ283" s="36"/>
      <c r="BK283" s="36"/>
      <c r="BL283" s="36"/>
      <c r="BM283" s="36"/>
      <c r="BN283" s="30"/>
      <c r="BO283" s="33">
        <f t="shared" si="47"/>
        <v>0</v>
      </c>
      <c r="BP283" s="30">
        <v>2</v>
      </c>
      <c r="BQ283" s="30">
        <v>5</v>
      </c>
      <c r="BR283" s="30"/>
      <c r="BS283" s="30"/>
      <c r="BT283" s="34">
        <f t="shared" si="48"/>
        <v>45</v>
      </c>
      <c r="BU283" s="34"/>
      <c r="BV283" s="34"/>
      <c r="BW283" s="34"/>
      <c r="BX283" s="34"/>
      <c r="BY283" s="30"/>
      <c r="BZ283" s="31">
        <f t="shared" si="46"/>
        <v>90</v>
      </c>
      <c r="CA283" s="31">
        <f t="shared" si="49"/>
        <v>225</v>
      </c>
    </row>
    <row r="284" spans="1:79" ht="38.25" x14ac:dyDescent="0.25">
      <c r="A284" s="17" t="s">
        <v>112</v>
      </c>
      <c r="B284" s="2">
        <v>278</v>
      </c>
      <c r="C284" s="37">
        <v>201</v>
      </c>
      <c r="D284" s="37">
        <v>73</v>
      </c>
      <c r="E284" s="38">
        <v>0.70833333333333337</v>
      </c>
      <c r="F284" s="38">
        <v>0.72083333333333333</v>
      </c>
      <c r="G284" s="39" t="s">
        <v>113</v>
      </c>
      <c r="H284" s="18" t="s">
        <v>80</v>
      </c>
      <c r="I284" s="37">
        <v>16</v>
      </c>
      <c r="J284" s="40">
        <v>50</v>
      </c>
      <c r="K284" s="41">
        <v>67</v>
      </c>
      <c r="L284" s="23">
        <f t="shared" si="50"/>
        <v>1072</v>
      </c>
      <c r="M284" s="24" t="s">
        <v>114</v>
      </c>
      <c r="N284" s="25" t="s">
        <v>115</v>
      </c>
      <c r="O284" s="25">
        <v>54</v>
      </c>
      <c r="P284" s="25" t="s">
        <v>116</v>
      </c>
      <c r="Q284" s="25">
        <v>45</v>
      </c>
      <c r="R284" s="25" t="s">
        <v>117</v>
      </c>
      <c r="S284" s="35">
        <v>28</v>
      </c>
      <c r="T284" s="26">
        <v>2290</v>
      </c>
      <c r="U284" s="26" t="s">
        <v>118</v>
      </c>
      <c r="V284" s="26">
        <v>2180</v>
      </c>
      <c r="W284" s="26" t="s">
        <v>119</v>
      </c>
      <c r="X284" s="27">
        <v>44562</v>
      </c>
      <c r="Y284" s="27">
        <v>44815</v>
      </c>
      <c r="Z284" s="27">
        <v>45101</v>
      </c>
      <c r="AA284" s="27">
        <v>45169</v>
      </c>
      <c r="AB284" s="28" t="s">
        <v>89</v>
      </c>
      <c r="AC284" s="28"/>
      <c r="AD284" s="28"/>
      <c r="AE284" s="28" t="s">
        <v>90</v>
      </c>
      <c r="AF284" s="28" t="s">
        <v>90</v>
      </c>
      <c r="AG284" s="28"/>
      <c r="AH284" s="28" t="s">
        <v>90</v>
      </c>
      <c r="AI284" s="28" t="s">
        <v>90</v>
      </c>
      <c r="AJ284" s="28" t="s">
        <v>90</v>
      </c>
      <c r="AK284" s="28" t="s">
        <v>90</v>
      </c>
      <c r="AL284" s="28" t="s">
        <v>90</v>
      </c>
      <c r="AM284" s="28" t="s">
        <v>90</v>
      </c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9"/>
      <c r="AY284" s="30"/>
      <c r="AZ284" s="30"/>
      <c r="BA284" s="42"/>
      <c r="BB284" s="43" t="s">
        <v>114</v>
      </c>
      <c r="BC284" s="30"/>
      <c r="BD284" s="31">
        <f>AX284*K284</f>
        <v>0</v>
      </c>
      <c r="BE284" s="30"/>
      <c r="BF284" s="30"/>
      <c r="BG284" s="32">
        <v>2</v>
      </c>
      <c r="BH284" s="30"/>
      <c r="BI284" s="31"/>
      <c r="BJ284" s="30"/>
      <c r="BK284" s="30"/>
      <c r="BL284" s="30"/>
      <c r="BM284" s="30"/>
      <c r="BN284" s="30"/>
      <c r="BO284" s="33">
        <f t="shared" si="47"/>
        <v>0</v>
      </c>
      <c r="BP284" s="30">
        <v>9</v>
      </c>
      <c r="BQ284" s="30">
        <v>0</v>
      </c>
      <c r="BR284" s="30"/>
      <c r="BS284" s="30"/>
      <c r="BT284" s="34">
        <f t="shared" si="48"/>
        <v>0</v>
      </c>
      <c r="BU284" s="34" t="s">
        <v>89</v>
      </c>
      <c r="BV284" s="30">
        <v>9</v>
      </c>
      <c r="BW284" s="30">
        <v>0</v>
      </c>
      <c r="BX284" s="34">
        <v>350</v>
      </c>
      <c r="BY284" s="30"/>
      <c r="BZ284" s="31">
        <f t="shared" si="46"/>
        <v>3150</v>
      </c>
      <c r="CA284" s="31">
        <f t="shared" si="49"/>
        <v>0</v>
      </c>
    </row>
    <row r="285" spans="1:79" ht="38.25" x14ac:dyDescent="0.25">
      <c r="A285" s="17" t="s">
        <v>147</v>
      </c>
      <c r="B285" s="2">
        <v>279</v>
      </c>
      <c r="C285" s="37">
        <v>201</v>
      </c>
      <c r="D285" s="87">
        <v>73</v>
      </c>
      <c r="E285" s="38">
        <v>0.71180555555555547</v>
      </c>
      <c r="F285" s="38">
        <v>0.72430555555555554</v>
      </c>
      <c r="G285" s="39" t="s">
        <v>113</v>
      </c>
      <c r="H285" s="18" t="s">
        <v>422</v>
      </c>
      <c r="I285" s="37">
        <v>15</v>
      </c>
      <c r="J285" s="40">
        <v>50</v>
      </c>
      <c r="K285" s="41">
        <v>240</v>
      </c>
      <c r="L285" s="23">
        <f t="shared" si="50"/>
        <v>3600</v>
      </c>
      <c r="M285" s="24" t="s">
        <v>165</v>
      </c>
      <c r="N285" s="25" t="s">
        <v>166</v>
      </c>
      <c r="O285" s="25">
        <v>57</v>
      </c>
      <c r="P285" s="25" t="s">
        <v>167</v>
      </c>
      <c r="Q285" s="25">
        <v>57</v>
      </c>
      <c r="R285" s="25" t="s">
        <v>775</v>
      </c>
      <c r="S285" s="25">
        <v>38</v>
      </c>
      <c r="T285" s="26">
        <v>2290</v>
      </c>
      <c r="U285" s="26" t="s">
        <v>118</v>
      </c>
      <c r="V285" s="26">
        <v>2180</v>
      </c>
      <c r="W285" s="26" t="s">
        <v>119</v>
      </c>
      <c r="X285" s="27">
        <v>44816</v>
      </c>
      <c r="Y285" s="27">
        <v>45100</v>
      </c>
      <c r="Z285" s="27"/>
      <c r="AA285" s="27"/>
      <c r="AB285" s="26" t="s">
        <v>423</v>
      </c>
      <c r="AC285" s="26"/>
      <c r="AD285" s="28" t="s">
        <v>90</v>
      </c>
      <c r="AE285" s="28"/>
      <c r="AF285" s="28" t="s">
        <v>90</v>
      </c>
      <c r="AG285" s="28"/>
      <c r="AH285" s="28" t="s">
        <v>90</v>
      </c>
      <c r="AI285" s="28" t="s">
        <v>90</v>
      </c>
      <c r="AJ285" s="28" t="s">
        <v>90</v>
      </c>
      <c r="AK285" s="28" t="s">
        <v>90</v>
      </c>
      <c r="AL285" s="28" t="s">
        <v>90</v>
      </c>
      <c r="AM285" s="28" t="s">
        <v>90</v>
      </c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9"/>
      <c r="AY285" s="30"/>
      <c r="AZ285" s="31">
        <f>3*I285</f>
        <v>45</v>
      </c>
      <c r="BA285" s="29"/>
      <c r="BB285" s="29"/>
      <c r="BC285" s="30"/>
      <c r="BD285" s="30"/>
      <c r="BE285" s="30"/>
      <c r="BF285" s="31">
        <f>AZ285*K285</f>
        <v>10800</v>
      </c>
      <c r="BG285" s="32">
        <v>2</v>
      </c>
      <c r="BH285" s="36"/>
      <c r="BI285" s="47"/>
      <c r="BJ285" s="36"/>
      <c r="BK285" s="36"/>
      <c r="BL285" s="36"/>
      <c r="BM285" s="36"/>
      <c r="BN285" s="30"/>
      <c r="BO285" s="33">
        <f t="shared" si="47"/>
        <v>0</v>
      </c>
      <c r="BP285" s="30">
        <v>17</v>
      </c>
      <c r="BQ285" s="30">
        <v>26</v>
      </c>
      <c r="BR285" s="30"/>
      <c r="BS285" s="30"/>
      <c r="BT285" s="34">
        <f t="shared" si="48"/>
        <v>45</v>
      </c>
      <c r="BU285" s="34"/>
      <c r="BV285" s="34"/>
      <c r="BW285" s="34"/>
      <c r="BX285" s="34"/>
      <c r="BY285" s="30"/>
      <c r="BZ285" s="31">
        <f t="shared" si="46"/>
        <v>765</v>
      </c>
      <c r="CA285" s="31">
        <f t="shared" si="49"/>
        <v>1170</v>
      </c>
    </row>
    <row r="286" spans="1:79" ht="34.5" x14ac:dyDescent="0.25">
      <c r="A286" s="17" t="s">
        <v>147</v>
      </c>
      <c r="B286" s="2">
        <v>280</v>
      </c>
      <c r="C286" s="37">
        <v>201</v>
      </c>
      <c r="D286" s="87">
        <v>73</v>
      </c>
      <c r="E286" s="38">
        <v>0.71180555555555547</v>
      </c>
      <c r="F286" s="38">
        <v>0.72430555555555554</v>
      </c>
      <c r="G286" s="39" t="s">
        <v>113</v>
      </c>
      <c r="H286" s="18" t="s">
        <v>441</v>
      </c>
      <c r="I286" s="37">
        <v>15</v>
      </c>
      <c r="J286" s="40">
        <v>50</v>
      </c>
      <c r="K286" s="41">
        <v>47</v>
      </c>
      <c r="L286" s="23">
        <f t="shared" si="50"/>
        <v>705</v>
      </c>
      <c r="M286" s="24" t="s">
        <v>114</v>
      </c>
      <c r="N286" s="25" t="s">
        <v>115</v>
      </c>
      <c r="O286" s="25">
        <v>54</v>
      </c>
      <c r="P286" s="25" t="s">
        <v>116</v>
      </c>
      <c r="Q286" s="25">
        <v>45</v>
      </c>
      <c r="R286" s="25" t="s">
        <v>770</v>
      </c>
      <c r="S286" s="25">
        <v>37</v>
      </c>
      <c r="T286" s="26">
        <v>2290</v>
      </c>
      <c r="U286" s="26" t="s">
        <v>118</v>
      </c>
      <c r="V286" s="26">
        <v>2180</v>
      </c>
      <c r="W286" s="26" t="s">
        <v>119</v>
      </c>
      <c r="X286" s="27">
        <v>44816</v>
      </c>
      <c r="Y286" s="27">
        <v>45100</v>
      </c>
      <c r="Z286" s="27"/>
      <c r="AA286" s="27"/>
      <c r="AB286" s="62" t="s">
        <v>289</v>
      </c>
      <c r="AC286" s="62"/>
      <c r="AD286" s="28" t="s">
        <v>90</v>
      </c>
      <c r="AE286" s="28"/>
      <c r="AF286" s="28"/>
      <c r="AG286" s="28"/>
      <c r="AH286" s="28"/>
      <c r="AI286" s="28"/>
      <c r="AJ286" s="28"/>
      <c r="AK286" s="28"/>
      <c r="AL286" s="28"/>
      <c r="AM286" s="28"/>
      <c r="AN286" s="28" t="s">
        <v>90</v>
      </c>
      <c r="AO286" s="28"/>
      <c r="AP286" s="28"/>
      <c r="AQ286" s="28"/>
      <c r="AR286" s="28"/>
      <c r="AS286" s="28"/>
      <c r="AT286" s="28"/>
      <c r="AU286" s="28"/>
      <c r="AV286" s="28"/>
      <c r="AW286" s="28"/>
      <c r="AX286" s="29"/>
      <c r="AY286" s="30"/>
      <c r="AZ286" s="31">
        <f>3*I286</f>
        <v>45</v>
      </c>
      <c r="BA286" s="29"/>
      <c r="BB286" s="29"/>
      <c r="BC286" s="30"/>
      <c r="BD286" s="30"/>
      <c r="BE286" s="30"/>
      <c r="BF286" s="31">
        <f>AZ286*K286</f>
        <v>2115</v>
      </c>
      <c r="BG286" s="32">
        <v>2</v>
      </c>
      <c r="BH286" s="36"/>
      <c r="BI286" s="47"/>
      <c r="BJ286" s="36"/>
      <c r="BK286" s="36"/>
      <c r="BL286" s="36"/>
      <c r="BM286" s="36"/>
      <c r="BN286" s="30"/>
      <c r="BO286" s="33">
        <f t="shared" si="47"/>
        <v>0</v>
      </c>
      <c r="BP286" s="30">
        <v>2</v>
      </c>
      <c r="BQ286" s="30">
        <v>5</v>
      </c>
      <c r="BR286" s="30"/>
      <c r="BS286" s="30"/>
      <c r="BT286" s="34">
        <f t="shared" si="48"/>
        <v>45</v>
      </c>
      <c r="BU286" s="34"/>
      <c r="BV286" s="34"/>
      <c r="BW286" s="34"/>
      <c r="BX286" s="34"/>
      <c r="BY286" s="30"/>
      <c r="BZ286" s="31">
        <f t="shared" si="46"/>
        <v>90</v>
      </c>
      <c r="CA286" s="31">
        <f t="shared" si="49"/>
        <v>225</v>
      </c>
    </row>
    <row r="287" spans="1:79" ht="34.5" x14ac:dyDescent="0.25">
      <c r="A287" s="17" t="s">
        <v>112</v>
      </c>
      <c r="B287" s="2">
        <v>281</v>
      </c>
      <c r="C287" s="37">
        <v>201</v>
      </c>
      <c r="D287" s="37">
        <v>302</v>
      </c>
      <c r="E287" s="38">
        <v>0.7402777777777777</v>
      </c>
      <c r="F287" s="38">
        <v>0.75277777777777777</v>
      </c>
      <c r="G287" s="39" t="s">
        <v>764</v>
      </c>
      <c r="H287" s="18" t="s">
        <v>290</v>
      </c>
      <c r="I287" s="37">
        <v>16</v>
      </c>
      <c r="J287" s="40">
        <v>50</v>
      </c>
      <c r="K287" s="41">
        <v>13</v>
      </c>
      <c r="L287" s="23">
        <f t="shared" si="50"/>
        <v>208</v>
      </c>
      <c r="M287" s="83" t="s">
        <v>160</v>
      </c>
      <c r="N287" s="25" t="s">
        <v>161</v>
      </c>
      <c r="O287" s="25">
        <v>54</v>
      </c>
      <c r="P287" s="25" t="s">
        <v>162</v>
      </c>
      <c r="Q287" s="25">
        <v>56</v>
      </c>
      <c r="R287" s="17" t="s">
        <v>766</v>
      </c>
      <c r="S287" s="35">
        <v>58</v>
      </c>
      <c r="T287" s="26">
        <v>2180</v>
      </c>
      <c r="U287" s="26" t="s">
        <v>119</v>
      </c>
      <c r="V287" s="26">
        <v>2290</v>
      </c>
      <c r="W287" s="26" t="s">
        <v>118</v>
      </c>
      <c r="X287" s="27">
        <v>44562</v>
      </c>
      <c r="Y287" s="27">
        <v>44815</v>
      </c>
      <c r="Z287" s="27">
        <v>45101</v>
      </c>
      <c r="AA287" s="27">
        <v>45169</v>
      </c>
      <c r="AB287" s="62" t="s">
        <v>291</v>
      </c>
      <c r="AC287" s="62"/>
      <c r="AD287" s="28"/>
      <c r="AE287" s="28" t="s">
        <v>90</v>
      </c>
      <c r="AF287" s="28"/>
      <c r="AG287" s="28"/>
      <c r="AH287" s="28"/>
      <c r="AI287" s="28"/>
      <c r="AJ287" s="28"/>
      <c r="AK287" s="28"/>
      <c r="AL287" s="28"/>
      <c r="AM287" s="28"/>
      <c r="AN287" s="28" t="s">
        <v>90</v>
      </c>
      <c r="AO287" s="28"/>
      <c r="AP287" s="28"/>
      <c r="AQ287" s="28"/>
      <c r="AR287" s="28"/>
      <c r="AS287" s="28"/>
      <c r="AT287" s="28"/>
      <c r="AU287" s="28"/>
      <c r="AV287" s="28"/>
      <c r="AW287" s="28"/>
      <c r="AX287" s="29"/>
      <c r="AY287" s="30"/>
      <c r="AZ287" s="30"/>
      <c r="BA287" s="42"/>
      <c r="BB287" s="55" t="s">
        <v>767</v>
      </c>
      <c r="BC287" s="30"/>
      <c r="BD287" s="31">
        <f>AX287*K287</f>
        <v>0</v>
      </c>
      <c r="BE287" s="30"/>
      <c r="BF287" s="30"/>
      <c r="BG287" s="32">
        <v>2</v>
      </c>
      <c r="BH287" s="30"/>
      <c r="BI287" s="31"/>
      <c r="BJ287" s="30"/>
      <c r="BK287" s="30"/>
      <c r="BL287" s="30"/>
      <c r="BM287" s="30"/>
      <c r="BN287" s="30"/>
      <c r="BO287" s="33">
        <f t="shared" si="47"/>
        <v>0</v>
      </c>
      <c r="BP287" s="30">
        <v>2</v>
      </c>
      <c r="BQ287" s="30">
        <v>0</v>
      </c>
      <c r="BR287" s="30"/>
      <c r="BS287" s="30"/>
      <c r="BT287" s="34">
        <f t="shared" si="48"/>
        <v>0</v>
      </c>
      <c r="BU287" s="34"/>
      <c r="BV287" s="34"/>
      <c r="BW287" s="34"/>
      <c r="BX287" s="34"/>
      <c r="BY287" s="30"/>
      <c r="BZ287" s="31">
        <f t="shared" si="46"/>
        <v>0</v>
      </c>
      <c r="CA287" s="31">
        <f t="shared" si="49"/>
        <v>0</v>
      </c>
    </row>
    <row r="288" spans="1:79" ht="34.5" x14ac:dyDescent="0.25">
      <c r="A288" s="17" t="s">
        <v>147</v>
      </c>
      <c r="B288" s="2">
        <v>282</v>
      </c>
      <c r="C288" s="37">
        <v>201</v>
      </c>
      <c r="D288" s="87">
        <v>302</v>
      </c>
      <c r="E288" s="38">
        <v>0.7402777777777777</v>
      </c>
      <c r="F288" s="38">
        <v>0.75277777777777777</v>
      </c>
      <c r="G288" s="39" t="s">
        <v>764</v>
      </c>
      <c r="H288" s="18" t="s">
        <v>441</v>
      </c>
      <c r="I288" s="37">
        <v>15</v>
      </c>
      <c r="J288" s="40">
        <v>50</v>
      </c>
      <c r="K288" s="41">
        <v>47</v>
      </c>
      <c r="L288" s="23">
        <f t="shared" si="50"/>
        <v>705</v>
      </c>
      <c r="M288" s="24" t="s">
        <v>114</v>
      </c>
      <c r="N288" s="25" t="s">
        <v>115</v>
      </c>
      <c r="O288" s="25">
        <v>54</v>
      </c>
      <c r="P288" s="25" t="s">
        <v>116</v>
      </c>
      <c r="Q288" s="25">
        <v>45</v>
      </c>
      <c r="R288" s="25" t="s">
        <v>770</v>
      </c>
      <c r="S288" s="25">
        <v>37</v>
      </c>
      <c r="T288" s="26">
        <v>2180</v>
      </c>
      <c r="U288" s="26" t="s">
        <v>119</v>
      </c>
      <c r="V288" s="26">
        <v>2290</v>
      </c>
      <c r="W288" s="26" t="s">
        <v>118</v>
      </c>
      <c r="X288" s="27">
        <v>44816</v>
      </c>
      <c r="Y288" s="27">
        <v>45100</v>
      </c>
      <c r="Z288" s="27"/>
      <c r="AA288" s="27"/>
      <c r="AB288" s="62" t="s">
        <v>289</v>
      </c>
      <c r="AC288" s="62"/>
      <c r="AD288" s="28" t="s">
        <v>90</v>
      </c>
      <c r="AE288" s="28"/>
      <c r="AF288" s="28"/>
      <c r="AG288" s="28"/>
      <c r="AH288" s="28"/>
      <c r="AI288" s="28"/>
      <c r="AJ288" s="28"/>
      <c r="AK288" s="28"/>
      <c r="AL288" s="28"/>
      <c r="AM288" s="28"/>
      <c r="AN288" s="28" t="s">
        <v>90</v>
      </c>
      <c r="AO288" s="28"/>
      <c r="AP288" s="28"/>
      <c r="AQ288" s="28"/>
      <c r="AR288" s="28"/>
      <c r="AS288" s="28"/>
      <c r="AT288" s="28"/>
      <c r="AU288" s="28"/>
      <c r="AV288" s="28"/>
      <c r="AW288" s="28"/>
      <c r="AX288" s="29"/>
      <c r="AY288" s="30"/>
      <c r="AZ288" s="31">
        <f>3*I288</f>
        <v>45</v>
      </c>
      <c r="BA288" s="29"/>
      <c r="BB288" s="29"/>
      <c r="BC288" s="30"/>
      <c r="BD288" s="30"/>
      <c r="BE288" s="30"/>
      <c r="BF288" s="31">
        <f>AZ288*K288</f>
        <v>2115</v>
      </c>
      <c r="BG288" s="32">
        <v>2</v>
      </c>
      <c r="BH288" s="36"/>
      <c r="BI288" s="47"/>
      <c r="BJ288" s="36"/>
      <c r="BK288" s="36"/>
      <c r="BL288" s="36"/>
      <c r="BM288" s="36"/>
      <c r="BN288" s="30"/>
      <c r="BO288" s="33">
        <f t="shared" si="47"/>
        <v>0</v>
      </c>
      <c r="BP288" s="30">
        <v>2</v>
      </c>
      <c r="BQ288" s="30">
        <v>5</v>
      </c>
      <c r="BR288" s="30"/>
      <c r="BS288" s="30"/>
      <c r="BT288" s="34">
        <f t="shared" si="48"/>
        <v>45</v>
      </c>
      <c r="BU288" s="34"/>
      <c r="BV288" s="34"/>
      <c r="BW288" s="34"/>
      <c r="BX288" s="34"/>
      <c r="BY288" s="30"/>
      <c r="BZ288" s="31">
        <f t="shared" si="46"/>
        <v>90</v>
      </c>
      <c r="CA288" s="31">
        <f t="shared" si="49"/>
        <v>225</v>
      </c>
    </row>
    <row r="289" spans="1:79" ht="38.25" x14ac:dyDescent="0.25">
      <c r="A289" s="17" t="s">
        <v>147</v>
      </c>
      <c r="B289" s="2">
        <v>283</v>
      </c>
      <c r="C289" s="37">
        <v>201</v>
      </c>
      <c r="D289" s="87">
        <v>77</v>
      </c>
      <c r="E289" s="38">
        <v>0.74930555555555556</v>
      </c>
      <c r="F289" s="38">
        <v>0.76180555555555562</v>
      </c>
      <c r="G289" s="39" t="s">
        <v>113</v>
      </c>
      <c r="H289" s="18" t="s">
        <v>422</v>
      </c>
      <c r="I289" s="37">
        <v>15</v>
      </c>
      <c r="J289" s="40">
        <v>50</v>
      </c>
      <c r="K289" s="22">
        <v>240</v>
      </c>
      <c r="L289" s="23">
        <f t="shared" si="50"/>
        <v>3600</v>
      </c>
      <c r="M289" s="24" t="s">
        <v>165</v>
      </c>
      <c r="N289" s="25" t="s">
        <v>166</v>
      </c>
      <c r="O289" s="25">
        <v>57</v>
      </c>
      <c r="P289" s="25" t="s">
        <v>167</v>
      </c>
      <c r="Q289" s="25">
        <v>57</v>
      </c>
      <c r="R289" s="25" t="s">
        <v>775</v>
      </c>
      <c r="S289" s="25">
        <v>38</v>
      </c>
      <c r="T289" s="26">
        <v>2290</v>
      </c>
      <c r="U289" s="26" t="s">
        <v>118</v>
      </c>
      <c r="V289" s="26">
        <v>2180</v>
      </c>
      <c r="W289" s="26" t="s">
        <v>119</v>
      </c>
      <c r="X289" s="27">
        <v>44816</v>
      </c>
      <c r="Y289" s="27">
        <v>45100</v>
      </c>
      <c r="Z289" s="27"/>
      <c r="AA289" s="27"/>
      <c r="AB289" s="26" t="s">
        <v>423</v>
      </c>
      <c r="AC289" s="26"/>
      <c r="AD289" s="28" t="s">
        <v>90</v>
      </c>
      <c r="AE289" s="28"/>
      <c r="AF289" s="28" t="s">
        <v>90</v>
      </c>
      <c r="AG289" s="28"/>
      <c r="AH289" s="28" t="s">
        <v>90</v>
      </c>
      <c r="AI289" s="28" t="s">
        <v>90</v>
      </c>
      <c r="AJ289" s="28" t="s">
        <v>90</v>
      </c>
      <c r="AK289" s="28" t="s">
        <v>90</v>
      </c>
      <c r="AL289" s="28" t="s">
        <v>90</v>
      </c>
      <c r="AM289" s="28" t="s">
        <v>90</v>
      </c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9"/>
      <c r="AY289" s="30"/>
      <c r="AZ289" s="31">
        <f>3*I289</f>
        <v>45</v>
      </c>
      <c r="BA289" s="29"/>
      <c r="BB289" s="29"/>
      <c r="BC289" s="30"/>
      <c r="BD289" s="30"/>
      <c r="BE289" s="30"/>
      <c r="BF289" s="31">
        <f>AZ289*K289</f>
        <v>10800</v>
      </c>
      <c r="BG289" s="32">
        <v>2</v>
      </c>
      <c r="BH289" s="36"/>
      <c r="BI289" s="47"/>
      <c r="BJ289" s="36"/>
      <c r="BK289" s="36"/>
      <c r="BL289" s="36"/>
      <c r="BM289" s="36"/>
      <c r="BN289" s="30"/>
      <c r="BO289" s="33">
        <f t="shared" si="47"/>
        <v>0</v>
      </c>
      <c r="BP289" s="30">
        <v>17</v>
      </c>
      <c r="BQ289" s="30">
        <v>26</v>
      </c>
      <c r="BR289" s="30"/>
      <c r="BS289" s="30"/>
      <c r="BT289" s="34">
        <f t="shared" si="48"/>
        <v>45</v>
      </c>
      <c r="BU289" s="34"/>
      <c r="BV289" s="34"/>
      <c r="BW289" s="34"/>
      <c r="BX289" s="34"/>
      <c r="BY289" s="30"/>
      <c r="BZ289" s="31">
        <f t="shared" si="46"/>
        <v>765</v>
      </c>
      <c r="CA289" s="31">
        <f t="shared" si="49"/>
        <v>1170</v>
      </c>
    </row>
    <row r="290" spans="1:79" ht="38.25" x14ac:dyDescent="0.25">
      <c r="A290" s="17" t="s">
        <v>147</v>
      </c>
      <c r="B290" s="2">
        <v>284</v>
      </c>
      <c r="C290" s="37">
        <v>201</v>
      </c>
      <c r="D290" s="87">
        <v>308</v>
      </c>
      <c r="E290" s="38">
        <v>0.77361111111111114</v>
      </c>
      <c r="F290" s="38">
        <v>0.78611111111111109</v>
      </c>
      <c r="G290" s="39" t="s">
        <v>764</v>
      </c>
      <c r="H290" s="18" t="s">
        <v>422</v>
      </c>
      <c r="I290" s="37">
        <v>15</v>
      </c>
      <c r="J290" s="40">
        <v>50</v>
      </c>
      <c r="K290" s="41">
        <v>240</v>
      </c>
      <c r="L290" s="23">
        <f t="shared" si="50"/>
        <v>3600</v>
      </c>
      <c r="M290" s="24" t="s">
        <v>165</v>
      </c>
      <c r="N290" s="25" t="s">
        <v>166</v>
      </c>
      <c r="O290" s="25">
        <v>57</v>
      </c>
      <c r="P290" s="25" t="s">
        <v>167</v>
      </c>
      <c r="Q290" s="25">
        <v>57</v>
      </c>
      <c r="R290" s="25" t="s">
        <v>775</v>
      </c>
      <c r="S290" s="25">
        <v>38</v>
      </c>
      <c r="T290" s="26">
        <v>2180</v>
      </c>
      <c r="U290" s="26" t="s">
        <v>119</v>
      </c>
      <c r="V290" s="26">
        <v>2290</v>
      </c>
      <c r="W290" s="26" t="s">
        <v>118</v>
      </c>
      <c r="X290" s="27">
        <v>44816</v>
      </c>
      <c r="Y290" s="27">
        <v>45100</v>
      </c>
      <c r="Z290" s="27"/>
      <c r="AA290" s="27"/>
      <c r="AB290" s="26" t="s">
        <v>423</v>
      </c>
      <c r="AC290" s="26"/>
      <c r="AD290" s="28" t="s">
        <v>90</v>
      </c>
      <c r="AE290" s="28"/>
      <c r="AF290" s="28" t="s">
        <v>90</v>
      </c>
      <c r="AG290" s="28"/>
      <c r="AH290" s="28" t="s">
        <v>90</v>
      </c>
      <c r="AI290" s="28" t="s">
        <v>90</v>
      </c>
      <c r="AJ290" s="28" t="s">
        <v>90</v>
      </c>
      <c r="AK290" s="28" t="s">
        <v>90</v>
      </c>
      <c r="AL290" s="28" t="s">
        <v>90</v>
      </c>
      <c r="AM290" s="28" t="s">
        <v>90</v>
      </c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9"/>
      <c r="AY290" s="30"/>
      <c r="AZ290" s="31">
        <f>3*I290</f>
        <v>45</v>
      </c>
      <c r="BA290" s="29"/>
      <c r="BB290" s="29"/>
      <c r="BC290" s="30"/>
      <c r="BD290" s="30"/>
      <c r="BE290" s="30"/>
      <c r="BF290" s="31">
        <f>AZ290*K290</f>
        <v>10800</v>
      </c>
      <c r="BG290" s="32">
        <v>2</v>
      </c>
      <c r="BH290" s="36"/>
      <c r="BI290" s="47"/>
      <c r="BJ290" s="36"/>
      <c r="BK290" s="36"/>
      <c r="BL290" s="36"/>
      <c r="BM290" s="36"/>
      <c r="BN290" s="30"/>
      <c r="BO290" s="33">
        <f t="shared" si="47"/>
        <v>0</v>
      </c>
      <c r="BP290" s="30">
        <v>17</v>
      </c>
      <c r="BQ290" s="30">
        <v>26</v>
      </c>
      <c r="BR290" s="30"/>
      <c r="BS290" s="30"/>
      <c r="BT290" s="34">
        <f t="shared" si="48"/>
        <v>45</v>
      </c>
      <c r="BU290" s="34"/>
      <c r="BV290" s="34"/>
      <c r="BW290" s="34"/>
      <c r="BX290" s="34"/>
      <c r="BY290" s="30"/>
      <c r="BZ290" s="31">
        <f t="shared" si="46"/>
        <v>765</v>
      </c>
      <c r="CA290" s="31">
        <f t="shared" si="49"/>
        <v>1170</v>
      </c>
    </row>
    <row r="291" spans="1:79" ht="38.25" x14ac:dyDescent="0.25">
      <c r="A291" s="17" t="s">
        <v>147</v>
      </c>
      <c r="B291" s="2">
        <v>285</v>
      </c>
      <c r="C291" s="37">
        <v>201</v>
      </c>
      <c r="D291" s="87">
        <v>527</v>
      </c>
      <c r="E291" s="38">
        <v>0.7909722222222223</v>
      </c>
      <c r="F291" s="86">
        <v>0.80347222222222225</v>
      </c>
      <c r="G291" s="39" t="s">
        <v>113</v>
      </c>
      <c r="H291" s="18" t="s">
        <v>422</v>
      </c>
      <c r="I291" s="37">
        <v>15</v>
      </c>
      <c r="J291" s="40">
        <v>50</v>
      </c>
      <c r="K291" s="41">
        <v>240</v>
      </c>
      <c r="L291" s="23">
        <f t="shared" si="50"/>
        <v>3600</v>
      </c>
      <c r="M291" s="24" t="s">
        <v>165</v>
      </c>
      <c r="N291" s="25" t="s">
        <v>166</v>
      </c>
      <c r="O291" s="25">
        <v>57</v>
      </c>
      <c r="P291" s="25" t="s">
        <v>167</v>
      </c>
      <c r="Q291" s="25">
        <v>57</v>
      </c>
      <c r="R291" s="25" t="s">
        <v>775</v>
      </c>
      <c r="S291" s="25">
        <v>38</v>
      </c>
      <c r="T291" s="26">
        <v>2290</v>
      </c>
      <c r="U291" s="26" t="s">
        <v>118</v>
      </c>
      <c r="V291" s="26">
        <v>2180</v>
      </c>
      <c r="W291" s="26" t="s">
        <v>119</v>
      </c>
      <c r="X291" s="27">
        <v>44816</v>
      </c>
      <c r="Y291" s="27">
        <v>45100</v>
      </c>
      <c r="Z291" s="27"/>
      <c r="AA291" s="27"/>
      <c r="AB291" s="26" t="s">
        <v>423</v>
      </c>
      <c r="AC291" s="26"/>
      <c r="AD291" s="28" t="s">
        <v>90</v>
      </c>
      <c r="AE291" s="28"/>
      <c r="AF291" s="28" t="s">
        <v>90</v>
      </c>
      <c r="AG291" s="28"/>
      <c r="AH291" s="28" t="s">
        <v>90</v>
      </c>
      <c r="AI291" s="28" t="s">
        <v>90</v>
      </c>
      <c r="AJ291" s="28" t="s">
        <v>90</v>
      </c>
      <c r="AK291" s="28" t="s">
        <v>90</v>
      </c>
      <c r="AL291" s="28" t="s">
        <v>90</v>
      </c>
      <c r="AM291" s="28" t="s">
        <v>90</v>
      </c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9"/>
      <c r="AY291" s="30"/>
      <c r="AZ291" s="31">
        <f>3*I291</f>
        <v>45</v>
      </c>
      <c r="BA291" s="29"/>
      <c r="BB291" s="29"/>
      <c r="BC291" s="30"/>
      <c r="BD291" s="30"/>
      <c r="BE291" s="30"/>
      <c r="BF291" s="31">
        <f>AZ291*K291</f>
        <v>10800</v>
      </c>
      <c r="BG291" s="32">
        <v>2</v>
      </c>
      <c r="BH291" s="36"/>
      <c r="BI291" s="47"/>
      <c r="BJ291" s="36"/>
      <c r="BK291" s="36"/>
      <c r="BL291" s="36"/>
      <c r="BM291" s="36"/>
      <c r="BN291" s="30"/>
      <c r="BO291" s="33">
        <f t="shared" si="47"/>
        <v>0</v>
      </c>
      <c r="BP291" s="30">
        <v>17</v>
      </c>
      <c r="BQ291" s="30">
        <v>26</v>
      </c>
      <c r="BR291" s="30"/>
      <c r="BS291" s="30"/>
      <c r="BT291" s="34">
        <f t="shared" si="48"/>
        <v>45</v>
      </c>
      <c r="BU291" s="34"/>
      <c r="BV291" s="34"/>
      <c r="BW291" s="34"/>
      <c r="BX291" s="34"/>
      <c r="BY291" s="30"/>
      <c r="BZ291" s="31">
        <f t="shared" si="46"/>
        <v>765</v>
      </c>
      <c r="CA291" s="31">
        <f t="shared" si="49"/>
        <v>1170</v>
      </c>
    </row>
    <row r="292" spans="1:79" ht="34.5" x14ac:dyDescent="0.25">
      <c r="A292" s="17" t="s">
        <v>147</v>
      </c>
      <c r="B292" s="2">
        <v>286</v>
      </c>
      <c r="C292" s="37">
        <v>201</v>
      </c>
      <c r="D292" s="87">
        <v>527</v>
      </c>
      <c r="E292" s="38">
        <v>0.7909722222222223</v>
      </c>
      <c r="F292" s="38">
        <v>0.72013888888888899</v>
      </c>
      <c r="G292" s="39" t="s">
        <v>113</v>
      </c>
      <c r="H292" s="18" t="s">
        <v>441</v>
      </c>
      <c r="I292" s="37">
        <v>15</v>
      </c>
      <c r="J292" s="40">
        <v>50</v>
      </c>
      <c r="K292" s="41">
        <v>47</v>
      </c>
      <c r="L292" s="23">
        <f t="shared" si="50"/>
        <v>705</v>
      </c>
      <c r="M292" s="24" t="s">
        <v>114</v>
      </c>
      <c r="N292" s="25" t="s">
        <v>115</v>
      </c>
      <c r="O292" s="25">
        <v>54</v>
      </c>
      <c r="P292" s="25" t="s">
        <v>116</v>
      </c>
      <c r="Q292" s="25">
        <v>45</v>
      </c>
      <c r="R292" s="25" t="s">
        <v>770</v>
      </c>
      <c r="S292" s="25">
        <v>37</v>
      </c>
      <c r="T292" s="26">
        <v>2290</v>
      </c>
      <c r="U292" s="26" t="s">
        <v>118</v>
      </c>
      <c r="V292" s="26">
        <v>2180</v>
      </c>
      <c r="W292" s="26" t="s">
        <v>119</v>
      </c>
      <c r="X292" s="27">
        <v>44816</v>
      </c>
      <c r="Y292" s="27">
        <v>45100</v>
      </c>
      <c r="Z292" s="27"/>
      <c r="AA292" s="27"/>
      <c r="AB292" s="62" t="s">
        <v>289</v>
      </c>
      <c r="AC292" s="62"/>
      <c r="AD292" s="28" t="s">
        <v>90</v>
      </c>
      <c r="AE292" s="28"/>
      <c r="AF292" s="28"/>
      <c r="AG292" s="28"/>
      <c r="AH292" s="28"/>
      <c r="AI292" s="28"/>
      <c r="AJ292" s="28"/>
      <c r="AK292" s="28"/>
      <c r="AL292" s="28"/>
      <c r="AM292" s="28"/>
      <c r="AN292" s="28" t="s">
        <v>90</v>
      </c>
      <c r="AO292" s="28"/>
      <c r="AP292" s="28"/>
      <c r="AQ292" s="28"/>
      <c r="AR292" s="28"/>
      <c r="AS292" s="28"/>
      <c r="AT292" s="28"/>
      <c r="AU292" s="28"/>
      <c r="AV292" s="28"/>
      <c r="AW292" s="28"/>
      <c r="AX292" s="29"/>
      <c r="AY292" s="30"/>
      <c r="AZ292" s="31">
        <f>3*I292</f>
        <v>45</v>
      </c>
      <c r="BA292" s="29"/>
      <c r="BB292" s="29"/>
      <c r="BC292" s="30"/>
      <c r="BD292" s="30"/>
      <c r="BE292" s="30"/>
      <c r="BF292" s="31">
        <f>AZ292*K292</f>
        <v>2115</v>
      </c>
      <c r="BG292" s="32">
        <v>2</v>
      </c>
      <c r="BH292" s="36"/>
      <c r="BI292" s="47"/>
      <c r="BJ292" s="36"/>
      <c r="BK292" s="36"/>
      <c r="BL292" s="36"/>
      <c r="BM292" s="36"/>
      <c r="BN292" s="30"/>
      <c r="BO292" s="33">
        <f t="shared" si="47"/>
        <v>0</v>
      </c>
      <c r="BP292" s="30">
        <v>2</v>
      </c>
      <c r="BQ292" s="30">
        <v>5</v>
      </c>
      <c r="BR292" s="30"/>
      <c r="BS292" s="30"/>
      <c r="BT292" s="34">
        <f t="shared" si="48"/>
        <v>45</v>
      </c>
      <c r="BU292" s="34"/>
      <c r="BV292" s="34"/>
      <c r="BW292" s="34"/>
      <c r="BX292" s="34"/>
      <c r="BY292" s="30"/>
      <c r="BZ292" s="31">
        <f t="shared" si="46"/>
        <v>90</v>
      </c>
      <c r="CA292" s="31">
        <f t="shared" si="49"/>
        <v>225</v>
      </c>
    </row>
    <row r="293" spans="1:79" ht="51" x14ac:dyDescent="0.25">
      <c r="A293" s="90" t="s">
        <v>776</v>
      </c>
      <c r="B293" s="2">
        <v>287</v>
      </c>
      <c r="C293" s="80">
        <v>201</v>
      </c>
      <c r="D293" s="80">
        <v>438</v>
      </c>
      <c r="E293" s="91">
        <v>0.82986111111111116</v>
      </c>
      <c r="F293" s="91">
        <v>0.85277777777777775</v>
      </c>
      <c r="G293" s="80" t="s">
        <v>777</v>
      </c>
      <c r="H293" s="80" t="s">
        <v>349</v>
      </c>
      <c r="I293" s="92">
        <v>27</v>
      </c>
      <c r="J293" s="93" t="s">
        <v>93</v>
      </c>
      <c r="K293" s="94"/>
      <c r="L293" s="95">
        <f t="shared" si="50"/>
        <v>0</v>
      </c>
      <c r="M293" s="96" t="s">
        <v>333</v>
      </c>
      <c r="N293" s="97"/>
      <c r="O293" s="97"/>
      <c r="P293" s="97"/>
      <c r="Q293" s="97"/>
      <c r="R293" s="97"/>
      <c r="S293" s="97"/>
      <c r="T293" s="98"/>
      <c r="U293" s="98"/>
      <c r="V293" s="98"/>
      <c r="W293" s="98"/>
      <c r="X293" s="99"/>
      <c r="Y293" s="99"/>
      <c r="Z293" s="99"/>
      <c r="AA293" s="99"/>
      <c r="AB293" s="99"/>
      <c r="AC293" s="99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9"/>
      <c r="AY293" s="99"/>
      <c r="AZ293" s="99"/>
      <c r="BA293" s="99"/>
      <c r="BB293" s="99"/>
      <c r="BC293" s="99"/>
      <c r="BD293" s="99"/>
      <c r="BE293" s="99"/>
      <c r="BF293" s="99"/>
      <c r="BG293" s="99"/>
      <c r="BH293" s="99"/>
      <c r="BI293" s="99"/>
      <c r="BJ293" s="99"/>
      <c r="BK293" s="99"/>
      <c r="BL293" s="99"/>
      <c r="BM293" s="99"/>
      <c r="BN293" s="99"/>
      <c r="BO293" s="100"/>
      <c r="BP293" s="101"/>
      <c r="BQ293" s="101"/>
      <c r="BR293" s="101"/>
      <c r="BS293" s="101"/>
      <c r="BT293" s="102"/>
      <c r="BU293" s="102"/>
      <c r="BV293" s="102"/>
      <c r="BW293" s="102"/>
      <c r="BX293" s="102"/>
      <c r="BY293" s="101"/>
      <c r="BZ293" s="103"/>
      <c r="CA293" s="31">
        <f t="shared" si="49"/>
        <v>0</v>
      </c>
    </row>
    <row r="294" spans="1:79" ht="25.5" x14ac:dyDescent="0.25">
      <c r="A294" s="17"/>
      <c r="B294" s="2">
        <v>288</v>
      </c>
      <c r="C294" s="48">
        <v>202</v>
      </c>
      <c r="D294" s="48">
        <v>306</v>
      </c>
      <c r="E294" s="49">
        <v>0.35416666666666669</v>
      </c>
      <c r="F294" s="49">
        <v>0.40625</v>
      </c>
      <c r="G294" s="51" t="s">
        <v>778</v>
      </c>
      <c r="H294" s="18" t="s">
        <v>290</v>
      </c>
      <c r="I294" s="48">
        <v>35</v>
      </c>
      <c r="J294" s="52">
        <v>30</v>
      </c>
      <c r="K294" s="22">
        <v>13</v>
      </c>
      <c r="L294" s="23">
        <f t="shared" si="50"/>
        <v>455</v>
      </c>
      <c r="M294" s="24" t="s">
        <v>129</v>
      </c>
      <c r="N294" s="25" t="s">
        <v>130</v>
      </c>
      <c r="O294" s="25">
        <v>37</v>
      </c>
      <c r="P294" s="25" t="s">
        <v>131</v>
      </c>
      <c r="Q294" s="25">
        <v>45</v>
      </c>
      <c r="R294" s="25" t="s">
        <v>779</v>
      </c>
      <c r="S294" s="35">
        <v>21</v>
      </c>
      <c r="T294" s="26">
        <v>1</v>
      </c>
      <c r="U294" s="26" t="s">
        <v>179</v>
      </c>
      <c r="V294" s="26">
        <v>2670</v>
      </c>
      <c r="W294" s="26" t="s">
        <v>780</v>
      </c>
      <c r="X294" s="27">
        <v>44562</v>
      </c>
      <c r="Y294" s="27">
        <v>44815</v>
      </c>
      <c r="Z294" s="27">
        <v>45101</v>
      </c>
      <c r="AA294" s="27">
        <v>45169</v>
      </c>
      <c r="AB294" s="62" t="s">
        <v>291</v>
      </c>
      <c r="AC294" s="62"/>
      <c r="AD294" s="28"/>
      <c r="AE294" s="28" t="s">
        <v>90</v>
      </c>
      <c r="AF294" s="28"/>
      <c r="AG294" s="28"/>
      <c r="AH294" s="28"/>
      <c r="AI294" s="28"/>
      <c r="AJ294" s="28"/>
      <c r="AK294" s="28"/>
      <c r="AL294" s="28"/>
      <c r="AM294" s="28"/>
      <c r="AN294" s="28" t="s">
        <v>90</v>
      </c>
      <c r="AO294" s="28"/>
      <c r="AP294" s="28"/>
      <c r="AQ294" s="28"/>
      <c r="AR294" s="28"/>
      <c r="AS294" s="28"/>
      <c r="AT294" s="28"/>
      <c r="AU294" s="28"/>
      <c r="AV294" s="28"/>
      <c r="AW294" s="28"/>
      <c r="AX294" s="31"/>
      <c r="AY294" s="30"/>
      <c r="AZ294" s="30"/>
      <c r="BA294" s="55" t="s">
        <v>330</v>
      </c>
      <c r="BB294" s="55"/>
      <c r="BC294" s="30"/>
      <c r="BD294" s="31">
        <f t="shared" ref="BD294:BD321" si="51">AX294*K294</f>
        <v>0</v>
      </c>
      <c r="BE294" s="30"/>
      <c r="BF294" s="30"/>
      <c r="BG294" s="36">
        <v>1</v>
      </c>
      <c r="BH294" s="30"/>
      <c r="BI294" s="31"/>
      <c r="BJ294" s="30"/>
      <c r="BK294" s="30"/>
      <c r="BL294" s="30"/>
      <c r="BM294" s="30"/>
      <c r="BN294" s="30"/>
      <c r="BO294" s="33">
        <f t="shared" ref="BO294:BO321" si="52">BN294*K294</f>
        <v>0</v>
      </c>
      <c r="BP294" s="30">
        <v>2</v>
      </c>
      <c r="BQ294" s="30">
        <v>0</v>
      </c>
      <c r="BR294" s="30"/>
      <c r="BS294" s="30"/>
      <c r="BT294" s="34">
        <f t="shared" ref="BT294:BT321" si="53">SUM(AX294:AZ294)+SUM(BH294:BI294)+SUM(BK294:BL294)+BN294</f>
        <v>0</v>
      </c>
      <c r="BU294" s="34"/>
      <c r="BV294" s="34"/>
      <c r="BW294" s="34"/>
      <c r="BX294" s="34"/>
      <c r="BY294" s="30"/>
      <c r="BZ294" s="31">
        <f t="shared" ref="BZ294:BZ321" si="54">(BT294*BP294)+(BV294*BX294)</f>
        <v>0</v>
      </c>
      <c r="CA294" s="31">
        <f t="shared" si="49"/>
        <v>0</v>
      </c>
    </row>
    <row r="295" spans="1:79" ht="38.25" x14ac:dyDescent="0.25">
      <c r="A295" s="17"/>
      <c r="B295" s="2">
        <v>289</v>
      </c>
      <c r="C295" s="104">
        <v>202</v>
      </c>
      <c r="D295" s="21">
        <v>210</v>
      </c>
      <c r="E295" s="19">
        <v>0.36458333333333331</v>
      </c>
      <c r="F295" s="19">
        <v>0.375</v>
      </c>
      <c r="G295" s="18" t="s">
        <v>781</v>
      </c>
      <c r="H295" s="18" t="s">
        <v>782</v>
      </c>
      <c r="I295" s="20">
        <v>10</v>
      </c>
      <c r="J295" s="21" t="s">
        <v>93</v>
      </c>
      <c r="K295" s="22">
        <v>33</v>
      </c>
      <c r="L295" s="23">
        <f t="shared" si="50"/>
        <v>330</v>
      </c>
      <c r="M295" s="44" t="s">
        <v>123</v>
      </c>
      <c r="N295" s="45" t="s">
        <v>125</v>
      </c>
      <c r="O295" s="25">
        <v>21</v>
      </c>
      <c r="P295" s="25" t="s">
        <v>124</v>
      </c>
      <c r="Q295" s="25">
        <v>17</v>
      </c>
      <c r="R295" s="17"/>
      <c r="S295" s="25"/>
      <c r="T295" s="26">
        <v>2049</v>
      </c>
      <c r="U295" s="26" t="s">
        <v>783</v>
      </c>
      <c r="V295" s="26">
        <v>2670</v>
      </c>
      <c r="W295" s="26" t="s">
        <v>780</v>
      </c>
      <c r="X295" s="27">
        <v>44562</v>
      </c>
      <c r="Y295" s="27">
        <v>44815</v>
      </c>
      <c r="Z295" s="27">
        <v>45101</v>
      </c>
      <c r="AA295" s="27">
        <v>45169</v>
      </c>
      <c r="AB295" s="28" t="s">
        <v>784</v>
      </c>
      <c r="AC295" s="28"/>
      <c r="AD295" s="28"/>
      <c r="AE295" s="28" t="s">
        <v>90</v>
      </c>
      <c r="AF295" s="28" t="s">
        <v>90</v>
      </c>
      <c r="AG295" s="28"/>
      <c r="AH295" s="28" t="s">
        <v>90</v>
      </c>
      <c r="AI295" s="28"/>
      <c r="AJ295" s="28" t="s">
        <v>90</v>
      </c>
      <c r="AK295" s="28" t="s">
        <v>90</v>
      </c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9">
        <v>30</v>
      </c>
      <c r="AY295" s="30"/>
      <c r="AZ295" s="30"/>
      <c r="BA295" s="29"/>
      <c r="BB295" s="29"/>
      <c r="BC295" s="30"/>
      <c r="BD295" s="31">
        <f t="shared" si="51"/>
        <v>990</v>
      </c>
      <c r="BE295" s="31"/>
      <c r="BF295" s="30"/>
      <c r="BG295" s="36">
        <v>1</v>
      </c>
      <c r="BH295" s="31">
        <f t="shared" ref="BH295:BH300" si="55">IF(AND((AX295/I295)&lt;2,BG295=1),(I295*2)-AX295,0)</f>
        <v>0</v>
      </c>
      <c r="BI295" s="31">
        <f t="shared" ref="BI295:BI300" si="56">IF(AND((AX295/I295)&lt;3,BG295=2),(I295*3)-AX295,0)</f>
        <v>0</v>
      </c>
      <c r="BJ295" s="33">
        <f t="shared" ref="BJ295:BJ300" si="57">(BH295+BI295)*K295</f>
        <v>0</v>
      </c>
      <c r="BK295" s="30"/>
      <c r="BL295" s="30"/>
      <c r="BM295" s="30"/>
      <c r="BN295" s="30"/>
      <c r="BO295" s="33">
        <f t="shared" si="52"/>
        <v>0</v>
      </c>
      <c r="BP295" s="30">
        <v>4</v>
      </c>
      <c r="BQ295" s="30">
        <v>0</v>
      </c>
      <c r="BR295" s="30"/>
      <c r="BS295" s="30"/>
      <c r="BT295" s="34">
        <f t="shared" si="53"/>
        <v>30</v>
      </c>
      <c r="BU295" s="34"/>
      <c r="BV295" s="34"/>
      <c r="BW295" s="34"/>
      <c r="BX295" s="34"/>
      <c r="BY295" s="30"/>
      <c r="BZ295" s="31">
        <f t="shared" si="54"/>
        <v>120</v>
      </c>
      <c r="CA295" s="31">
        <f t="shared" si="49"/>
        <v>0</v>
      </c>
    </row>
    <row r="296" spans="1:79" ht="38.25" x14ac:dyDescent="0.25">
      <c r="A296" s="17"/>
      <c r="B296" s="2">
        <v>290</v>
      </c>
      <c r="C296" s="104">
        <v>202</v>
      </c>
      <c r="D296" s="21">
        <v>211</v>
      </c>
      <c r="E296" s="19">
        <v>0.38541666666666669</v>
      </c>
      <c r="F296" s="19">
        <v>0.39583333333333331</v>
      </c>
      <c r="G296" s="18" t="s">
        <v>785</v>
      </c>
      <c r="H296" s="18" t="s">
        <v>782</v>
      </c>
      <c r="I296" s="20">
        <v>10</v>
      </c>
      <c r="J296" s="21" t="s">
        <v>93</v>
      </c>
      <c r="K296" s="22">
        <v>33</v>
      </c>
      <c r="L296" s="23">
        <f t="shared" si="50"/>
        <v>330</v>
      </c>
      <c r="M296" s="44" t="s">
        <v>123</v>
      </c>
      <c r="N296" s="45" t="s">
        <v>125</v>
      </c>
      <c r="O296" s="25">
        <v>21</v>
      </c>
      <c r="P296" s="25" t="s">
        <v>124</v>
      </c>
      <c r="Q296" s="25">
        <v>17</v>
      </c>
      <c r="R296" s="17"/>
      <c r="S296" s="25"/>
      <c r="T296" s="26">
        <v>2670</v>
      </c>
      <c r="U296" s="26" t="s">
        <v>780</v>
      </c>
      <c r="V296" s="26">
        <v>2049</v>
      </c>
      <c r="W296" s="26" t="s">
        <v>783</v>
      </c>
      <c r="X296" s="27">
        <v>44562</v>
      </c>
      <c r="Y296" s="27">
        <v>44815</v>
      </c>
      <c r="Z296" s="27">
        <v>45101</v>
      </c>
      <c r="AA296" s="27">
        <v>45169</v>
      </c>
      <c r="AB296" s="28" t="s">
        <v>784</v>
      </c>
      <c r="AC296" s="28"/>
      <c r="AD296" s="28"/>
      <c r="AE296" s="28" t="s">
        <v>90</v>
      </c>
      <c r="AF296" s="28" t="s">
        <v>90</v>
      </c>
      <c r="AG296" s="28"/>
      <c r="AH296" s="28" t="s">
        <v>90</v>
      </c>
      <c r="AI296" s="28"/>
      <c r="AJ296" s="28" t="s">
        <v>90</v>
      </c>
      <c r="AK296" s="28" t="s">
        <v>90</v>
      </c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9">
        <v>30</v>
      </c>
      <c r="AY296" s="30"/>
      <c r="AZ296" s="30"/>
      <c r="BA296" s="29"/>
      <c r="BB296" s="29"/>
      <c r="BC296" s="30"/>
      <c r="BD296" s="31">
        <f t="shared" si="51"/>
        <v>990</v>
      </c>
      <c r="BE296" s="31"/>
      <c r="BF296" s="30"/>
      <c r="BG296" s="36">
        <v>1</v>
      </c>
      <c r="BH296" s="31">
        <f t="shared" si="55"/>
        <v>0</v>
      </c>
      <c r="BI296" s="31">
        <f t="shared" si="56"/>
        <v>0</v>
      </c>
      <c r="BJ296" s="33">
        <f t="shared" si="57"/>
        <v>0</v>
      </c>
      <c r="BK296" s="30"/>
      <c r="BL296" s="30"/>
      <c r="BM296" s="30"/>
      <c r="BN296" s="30"/>
      <c r="BO296" s="33">
        <f t="shared" si="52"/>
        <v>0</v>
      </c>
      <c r="BP296" s="30">
        <v>4</v>
      </c>
      <c r="BQ296" s="30">
        <v>0</v>
      </c>
      <c r="BR296" s="30"/>
      <c r="BS296" s="30"/>
      <c r="BT296" s="34">
        <f t="shared" si="53"/>
        <v>30</v>
      </c>
      <c r="BU296" s="34"/>
      <c r="BV296" s="34"/>
      <c r="BW296" s="34"/>
      <c r="BX296" s="34"/>
      <c r="BY296" s="30"/>
      <c r="BZ296" s="31">
        <f t="shared" si="54"/>
        <v>120</v>
      </c>
      <c r="CA296" s="31">
        <f t="shared" si="49"/>
        <v>0</v>
      </c>
    </row>
    <row r="297" spans="1:79" ht="33.75" x14ac:dyDescent="0.25">
      <c r="A297" s="17"/>
      <c r="B297" s="2">
        <v>291</v>
      </c>
      <c r="C297" s="18">
        <v>202</v>
      </c>
      <c r="D297" s="18">
        <v>94</v>
      </c>
      <c r="E297" s="19">
        <v>0.42708333333333331</v>
      </c>
      <c r="F297" s="19">
        <v>0.43888888888888888</v>
      </c>
      <c r="G297" s="18" t="s">
        <v>786</v>
      </c>
      <c r="H297" s="18" t="s">
        <v>454</v>
      </c>
      <c r="I297" s="20">
        <v>6</v>
      </c>
      <c r="J297" s="21" t="s">
        <v>122</v>
      </c>
      <c r="K297" s="22">
        <v>304</v>
      </c>
      <c r="L297" s="23">
        <f t="shared" si="50"/>
        <v>1824</v>
      </c>
      <c r="M297" s="24" t="s">
        <v>129</v>
      </c>
      <c r="N297" s="25" t="s">
        <v>787</v>
      </c>
      <c r="O297" s="25">
        <v>23</v>
      </c>
      <c r="P297" s="25" t="s">
        <v>788</v>
      </c>
      <c r="Q297" s="35">
        <v>23</v>
      </c>
      <c r="R297" s="17"/>
      <c r="S297" s="17"/>
      <c r="T297" s="26">
        <v>1</v>
      </c>
      <c r="U297" s="26" t="s">
        <v>179</v>
      </c>
      <c r="V297" s="26" t="s">
        <v>789</v>
      </c>
      <c r="W297" s="26" t="s">
        <v>790</v>
      </c>
      <c r="X297" s="66">
        <v>44805</v>
      </c>
      <c r="Y297" s="66">
        <v>45169</v>
      </c>
      <c r="Z297" s="66"/>
      <c r="AA297" s="66"/>
      <c r="AB297" s="28" t="s">
        <v>459</v>
      </c>
      <c r="AC297" s="28"/>
      <c r="AD297" s="28" t="s">
        <v>90</v>
      </c>
      <c r="AE297" s="28" t="s">
        <v>90</v>
      </c>
      <c r="AF297" s="28" t="s">
        <v>90</v>
      </c>
      <c r="AG297" s="28"/>
      <c r="AH297" s="28" t="s">
        <v>90</v>
      </c>
      <c r="AI297" s="28" t="s">
        <v>90</v>
      </c>
      <c r="AJ297" s="28" t="s">
        <v>90</v>
      </c>
      <c r="AK297" s="28" t="s">
        <v>90</v>
      </c>
      <c r="AL297" s="28" t="s">
        <v>90</v>
      </c>
      <c r="AM297" s="28" t="s">
        <v>90</v>
      </c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31">
        <v>20.64</v>
      </c>
      <c r="AY297" s="30"/>
      <c r="AZ297" s="30"/>
      <c r="BA297" s="29"/>
      <c r="BB297" s="29"/>
      <c r="BC297" s="30"/>
      <c r="BD297" s="31">
        <f t="shared" si="51"/>
        <v>6274.56</v>
      </c>
      <c r="BE297" s="31"/>
      <c r="BF297" s="30"/>
      <c r="BG297" s="36">
        <v>1</v>
      </c>
      <c r="BH297" s="31">
        <f t="shared" si="55"/>
        <v>0</v>
      </c>
      <c r="BI297" s="31">
        <f t="shared" si="56"/>
        <v>0</v>
      </c>
      <c r="BJ297" s="33">
        <f t="shared" si="57"/>
        <v>0</v>
      </c>
      <c r="BK297" s="30"/>
      <c r="BL297" s="30"/>
      <c r="BM297" s="30"/>
      <c r="BN297" s="30"/>
      <c r="BO297" s="33">
        <f t="shared" si="52"/>
        <v>0</v>
      </c>
      <c r="BP297" s="30">
        <v>26</v>
      </c>
      <c r="BQ297" s="30">
        <v>26</v>
      </c>
      <c r="BR297" s="30"/>
      <c r="BS297" s="30"/>
      <c r="BT297" s="34">
        <f t="shared" si="53"/>
        <v>20.64</v>
      </c>
      <c r="BU297" s="34"/>
      <c r="BV297" s="34"/>
      <c r="BW297" s="34"/>
      <c r="BX297" s="34"/>
      <c r="BY297" s="30"/>
      <c r="BZ297" s="31">
        <f t="shared" si="54"/>
        <v>536.64</v>
      </c>
      <c r="CA297" s="31">
        <f t="shared" si="49"/>
        <v>536.64</v>
      </c>
    </row>
    <row r="298" spans="1:79" ht="33.75" x14ac:dyDescent="0.25">
      <c r="A298" s="17"/>
      <c r="B298" s="2">
        <v>292</v>
      </c>
      <c r="C298" s="18">
        <v>202</v>
      </c>
      <c r="D298" s="18">
        <v>87</v>
      </c>
      <c r="E298" s="19">
        <v>0.44097222222222227</v>
      </c>
      <c r="F298" s="19">
        <v>0.45208333333333334</v>
      </c>
      <c r="G298" s="18" t="s">
        <v>791</v>
      </c>
      <c r="H298" s="18" t="s">
        <v>454</v>
      </c>
      <c r="I298" s="20">
        <v>6</v>
      </c>
      <c r="J298" s="21" t="s">
        <v>122</v>
      </c>
      <c r="K298" s="22">
        <v>304</v>
      </c>
      <c r="L298" s="23">
        <f t="shared" si="50"/>
        <v>1824</v>
      </c>
      <c r="M298" s="24" t="s">
        <v>129</v>
      </c>
      <c r="N298" s="25" t="s">
        <v>787</v>
      </c>
      <c r="O298" s="25">
        <v>23</v>
      </c>
      <c r="P298" s="25" t="s">
        <v>792</v>
      </c>
      <c r="Q298" s="35">
        <v>23</v>
      </c>
      <c r="R298" s="17"/>
      <c r="S298" s="17"/>
      <c r="T298" s="26" t="s">
        <v>789</v>
      </c>
      <c r="U298" s="26" t="s">
        <v>790</v>
      </c>
      <c r="V298" s="26">
        <v>1</v>
      </c>
      <c r="W298" s="26" t="s">
        <v>300</v>
      </c>
      <c r="X298" s="66">
        <v>44805</v>
      </c>
      <c r="Y298" s="66">
        <v>45169</v>
      </c>
      <c r="Z298" s="66"/>
      <c r="AA298" s="66"/>
      <c r="AB298" s="28" t="s">
        <v>459</v>
      </c>
      <c r="AC298" s="28"/>
      <c r="AD298" s="28" t="s">
        <v>90</v>
      </c>
      <c r="AE298" s="28" t="s">
        <v>90</v>
      </c>
      <c r="AF298" s="28" t="s">
        <v>90</v>
      </c>
      <c r="AG298" s="28"/>
      <c r="AH298" s="28" t="s">
        <v>90</v>
      </c>
      <c r="AI298" s="28" t="s">
        <v>90</v>
      </c>
      <c r="AJ298" s="28" t="s">
        <v>90</v>
      </c>
      <c r="AK298" s="28" t="s">
        <v>90</v>
      </c>
      <c r="AL298" s="28" t="s">
        <v>90</v>
      </c>
      <c r="AM298" s="28" t="s">
        <v>90</v>
      </c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31">
        <v>20.64</v>
      </c>
      <c r="AY298" s="30"/>
      <c r="AZ298" s="30"/>
      <c r="BA298" s="29"/>
      <c r="BB298" s="29"/>
      <c r="BC298" s="30"/>
      <c r="BD298" s="31">
        <f t="shared" si="51"/>
        <v>6274.56</v>
      </c>
      <c r="BE298" s="31"/>
      <c r="BF298" s="30"/>
      <c r="BG298" s="36">
        <v>1</v>
      </c>
      <c r="BH298" s="31">
        <f t="shared" si="55"/>
        <v>0</v>
      </c>
      <c r="BI298" s="31">
        <f t="shared" si="56"/>
        <v>0</v>
      </c>
      <c r="BJ298" s="33">
        <f t="shared" si="57"/>
        <v>0</v>
      </c>
      <c r="BK298" s="30"/>
      <c r="BL298" s="30"/>
      <c r="BM298" s="30"/>
      <c r="BN298" s="30"/>
      <c r="BO298" s="33">
        <f t="shared" si="52"/>
        <v>0</v>
      </c>
      <c r="BP298" s="30">
        <v>26</v>
      </c>
      <c r="BQ298" s="30">
        <v>26</v>
      </c>
      <c r="BR298" s="30"/>
      <c r="BS298" s="30"/>
      <c r="BT298" s="34">
        <f t="shared" si="53"/>
        <v>20.64</v>
      </c>
      <c r="BU298" s="34"/>
      <c r="BV298" s="34"/>
      <c r="BW298" s="34"/>
      <c r="BX298" s="34"/>
      <c r="BY298" s="30"/>
      <c r="BZ298" s="31">
        <f t="shared" si="54"/>
        <v>536.64</v>
      </c>
      <c r="CA298" s="31">
        <f t="shared" si="49"/>
        <v>536.64</v>
      </c>
    </row>
    <row r="299" spans="1:79" ht="38.25" x14ac:dyDescent="0.25">
      <c r="A299" s="17"/>
      <c r="B299" s="2">
        <v>293</v>
      </c>
      <c r="C299" s="104">
        <v>202</v>
      </c>
      <c r="D299" s="21">
        <v>216</v>
      </c>
      <c r="E299" s="19">
        <v>0.48958333333333331</v>
      </c>
      <c r="F299" s="19">
        <v>0.5</v>
      </c>
      <c r="G299" s="18" t="s">
        <v>781</v>
      </c>
      <c r="H299" s="18" t="s">
        <v>782</v>
      </c>
      <c r="I299" s="20">
        <v>10</v>
      </c>
      <c r="J299" s="21" t="s">
        <v>93</v>
      </c>
      <c r="K299" s="22">
        <v>33</v>
      </c>
      <c r="L299" s="23">
        <f t="shared" si="50"/>
        <v>330</v>
      </c>
      <c r="M299" s="44" t="s">
        <v>123</v>
      </c>
      <c r="N299" s="45" t="s">
        <v>125</v>
      </c>
      <c r="O299" s="25">
        <v>21</v>
      </c>
      <c r="P299" s="25" t="s">
        <v>124</v>
      </c>
      <c r="Q299" s="25">
        <v>17</v>
      </c>
      <c r="R299" s="17"/>
      <c r="S299" s="25"/>
      <c r="T299" s="26">
        <v>2049</v>
      </c>
      <c r="U299" s="26" t="s">
        <v>783</v>
      </c>
      <c r="V299" s="26">
        <v>2670</v>
      </c>
      <c r="W299" s="26" t="s">
        <v>780</v>
      </c>
      <c r="X299" s="27">
        <v>44562</v>
      </c>
      <c r="Y299" s="27">
        <v>44815</v>
      </c>
      <c r="Z299" s="27">
        <v>45101</v>
      </c>
      <c r="AA299" s="27">
        <v>45169</v>
      </c>
      <c r="AB299" s="28" t="s">
        <v>784</v>
      </c>
      <c r="AC299" s="28"/>
      <c r="AD299" s="28"/>
      <c r="AE299" s="28" t="s">
        <v>90</v>
      </c>
      <c r="AF299" s="28" t="s">
        <v>90</v>
      </c>
      <c r="AG299" s="28"/>
      <c r="AH299" s="28" t="s">
        <v>90</v>
      </c>
      <c r="AI299" s="28"/>
      <c r="AJ299" s="28" t="s">
        <v>90</v>
      </c>
      <c r="AK299" s="28" t="s">
        <v>90</v>
      </c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9">
        <v>30</v>
      </c>
      <c r="AY299" s="30"/>
      <c r="AZ299" s="30"/>
      <c r="BA299" s="29"/>
      <c r="BB299" s="29"/>
      <c r="BC299" s="30"/>
      <c r="BD299" s="31">
        <f t="shared" si="51"/>
        <v>990</v>
      </c>
      <c r="BE299" s="31"/>
      <c r="BF299" s="30"/>
      <c r="BG299" s="36">
        <v>1</v>
      </c>
      <c r="BH299" s="31">
        <f t="shared" si="55"/>
        <v>0</v>
      </c>
      <c r="BI299" s="31">
        <f t="shared" si="56"/>
        <v>0</v>
      </c>
      <c r="BJ299" s="33">
        <f t="shared" si="57"/>
        <v>0</v>
      </c>
      <c r="BK299" s="30"/>
      <c r="BL299" s="30"/>
      <c r="BM299" s="30"/>
      <c r="BN299" s="30"/>
      <c r="BO299" s="33">
        <f t="shared" si="52"/>
        <v>0</v>
      </c>
      <c r="BP299" s="30">
        <v>4</v>
      </c>
      <c r="BQ299" s="30">
        <v>0</v>
      </c>
      <c r="BR299" s="30"/>
      <c r="BS299" s="30"/>
      <c r="BT299" s="34">
        <f t="shared" si="53"/>
        <v>30</v>
      </c>
      <c r="BU299" s="34"/>
      <c r="BV299" s="34"/>
      <c r="BW299" s="34"/>
      <c r="BX299" s="34"/>
      <c r="BY299" s="30"/>
      <c r="BZ299" s="31">
        <f t="shared" si="54"/>
        <v>120</v>
      </c>
      <c r="CA299" s="31">
        <f t="shared" si="49"/>
        <v>0</v>
      </c>
    </row>
    <row r="300" spans="1:79" ht="51" x14ac:dyDescent="0.25">
      <c r="A300" s="17"/>
      <c r="B300" s="2">
        <v>294</v>
      </c>
      <c r="C300" s="18">
        <v>202</v>
      </c>
      <c r="D300" s="18">
        <v>100</v>
      </c>
      <c r="E300" s="19">
        <v>0.54166666666666663</v>
      </c>
      <c r="F300" s="19">
        <v>0.57986111111111105</v>
      </c>
      <c r="G300" s="18" t="s">
        <v>793</v>
      </c>
      <c r="H300" s="18" t="s">
        <v>290</v>
      </c>
      <c r="I300" s="20">
        <v>24</v>
      </c>
      <c r="J300" s="21" t="s">
        <v>285</v>
      </c>
      <c r="K300" s="22">
        <v>13</v>
      </c>
      <c r="L300" s="23">
        <f t="shared" si="50"/>
        <v>312</v>
      </c>
      <c r="M300" s="24" t="s">
        <v>794</v>
      </c>
      <c r="N300" s="25" t="s">
        <v>795</v>
      </c>
      <c r="O300" s="25">
        <v>42</v>
      </c>
      <c r="P300" s="25" t="s">
        <v>496</v>
      </c>
      <c r="Q300" s="25">
        <v>45</v>
      </c>
      <c r="R300" s="25" t="s">
        <v>295</v>
      </c>
      <c r="S300" s="35">
        <v>48</v>
      </c>
      <c r="T300" s="26">
        <v>1</v>
      </c>
      <c r="U300" s="26" t="s">
        <v>179</v>
      </c>
      <c r="V300" s="26">
        <v>2660</v>
      </c>
      <c r="W300" s="26" t="s">
        <v>329</v>
      </c>
      <c r="X300" s="27">
        <v>44562</v>
      </c>
      <c r="Y300" s="27">
        <v>44815</v>
      </c>
      <c r="Z300" s="27">
        <v>45101</v>
      </c>
      <c r="AA300" s="27">
        <v>45169</v>
      </c>
      <c r="AB300" s="62" t="s">
        <v>291</v>
      </c>
      <c r="AC300" s="62"/>
      <c r="AD300" s="28"/>
      <c r="AE300" s="28" t="s">
        <v>90</v>
      </c>
      <c r="AF300" s="28"/>
      <c r="AG300" s="28"/>
      <c r="AH300" s="28"/>
      <c r="AI300" s="28"/>
      <c r="AJ300" s="28"/>
      <c r="AK300" s="28"/>
      <c r="AL300" s="28"/>
      <c r="AM300" s="28"/>
      <c r="AN300" s="28" t="s">
        <v>90</v>
      </c>
      <c r="AO300" s="28"/>
      <c r="AP300" s="28"/>
      <c r="AQ300" s="28"/>
      <c r="AR300" s="28"/>
      <c r="AS300" s="28"/>
      <c r="AT300" s="28"/>
      <c r="AU300" s="28"/>
      <c r="AV300" s="28"/>
      <c r="AW300" s="28"/>
      <c r="AX300" s="29">
        <v>72</v>
      </c>
      <c r="AY300" s="30"/>
      <c r="AZ300" s="30"/>
      <c r="BA300" s="29"/>
      <c r="BB300" s="29"/>
      <c r="BC300" s="30"/>
      <c r="BD300" s="31">
        <f t="shared" si="51"/>
        <v>936</v>
      </c>
      <c r="BE300" s="31"/>
      <c r="BF300" s="30"/>
      <c r="BG300" s="32">
        <v>2</v>
      </c>
      <c r="BH300" s="31">
        <f t="shared" si="55"/>
        <v>0</v>
      </c>
      <c r="BI300" s="31">
        <f t="shared" si="56"/>
        <v>0</v>
      </c>
      <c r="BJ300" s="33">
        <f t="shared" si="57"/>
        <v>0</v>
      </c>
      <c r="BK300" s="30"/>
      <c r="BL300" s="30"/>
      <c r="BM300" s="30"/>
      <c r="BN300" s="30"/>
      <c r="BO300" s="33">
        <f t="shared" si="52"/>
        <v>0</v>
      </c>
      <c r="BP300" s="30">
        <v>2</v>
      </c>
      <c r="BQ300" s="30">
        <v>0</v>
      </c>
      <c r="BR300" s="30"/>
      <c r="BS300" s="30"/>
      <c r="BT300" s="34">
        <f t="shared" si="53"/>
        <v>72</v>
      </c>
      <c r="BU300" s="34"/>
      <c r="BV300" s="34"/>
      <c r="BW300" s="34"/>
      <c r="BX300" s="34"/>
      <c r="BY300" s="30"/>
      <c r="BZ300" s="31">
        <f t="shared" si="54"/>
        <v>144</v>
      </c>
      <c r="CA300" s="31">
        <f t="shared" si="49"/>
        <v>0</v>
      </c>
    </row>
    <row r="301" spans="1:79" ht="25.5" x14ac:dyDescent="0.25">
      <c r="A301" s="17"/>
      <c r="B301" s="2">
        <v>295</v>
      </c>
      <c r="C301" s="48">
        <v>202</v>
      </c>
      <c r="D301" s="48">
        <v>93</v>
      </c>
      <c r="E301" s="49">
        <v>0.55208333333333337</v>
      </c>
      <c r="F301" s="49">
        <v>0.59027777777777779</v>
      </c>
      <c r="G301" s="51" t="s">
        <v>331</v>
      </c>
      <c r="H301" s="18" t="s">
        <v>290</v>
      </c>
      <c r="I301" s="48">
        <v>24</v>
      </c>
      <c r="J301" s="52">
        <v>30</v>
      </c>
      <c r="K301" s="22">
        <v>13</v>
      </c>
      <c r="L301" s="23">
        <f t="shared" si="50"/>
        <v>312</v>
      </c>
      <c r="M301" s="24" t="s">
        <v>129</v>
      </c>
      <c r="N301" s="25" t="s">
        <v>130</v>
      </c>
      <c r="O301" s="25">
        <v>37</v>
      </c>
      <c r="P301" s="25" t="s">
        <v>796</v>
      </c>
      <c r="Q301" s="25">
        <v>23</v>
      </c>
      <c r="R301" s="17"/>
      <c r="S301" s="25"/>
      <c r="T301" s="26">
        <v>2660</v>
      </c>
      <c r="U301" s="26" t="s">
        <v>329</v>
      </c>
      <c r="V301" s="26">
        <v>1</v>
      </c>
      <c r="W301" s="26" t="s">
        <v>300</v>
      </c>
      <c r="X301" s="27">
        <v>44562</v>
      </c>
      <c r="Y301" s="27">
        <v>44815</v>
      </c>
      <c r="Z301" s="27">
        <v>45101</v>
      </c>
      <c r="AA301" s="27">
        <v>45169</v>
      </c>
      <c r="AB301" s="62" t="s">
        <v>291</v>
      </c>
      <c r="AC301" s="62"/>
      <c r="AD301" s="28"/>
      <c r="AE301" s="28" t="s">
        <v>90</v>
      </c>
      <c r="AF301" s="28"/>
      <c r="AG301" s="28"/>
      <c r="AH301" s="28"/>
      <c r="AI301" s="28"/>
      <c r="AJ301" s="28"/>
      <c r="AK301" s="28"/>
      <c r="AL301" s="28"/>
      <c r="AM301" s="28"/>
      <c r="AN301" s="28" t="s">
        <v>90</v>
      </c>
      <c r="AO301" s="28"/>
      <c r="AP301" s="28"/>
      <c r="AQ301" s="28"/>
      <c r="AR301" s="28"/>
      <c r="AS301" s="28"/>
      <c r="AT301" s="28"/>
      <c r="AU301" s="28"/>
      <c r="AV301" s="28"/>
      <c r="AW301" s="28"/>
      <c r="AX301" s="31"/>
      <c r="AY301" s="30"/>
      <c r="AZ301" s="30"/>
      <c r="BA301" s="55" t="s">
        <v>330</v>
      </c>
      <c r="BB301" s="55"/>
      <c r="BC301" s="30"/>
      <c r="BD301" s="31">
        <f t="shared" si="51"/>
        <v>0</v>
      </c>
      <c r="BE301" s="30"/>
      <c r="BF301" s="30"/>
      <c r="BG301" s="36">
        <v>1</v>
      </c>
      <c r="BH301" s="30"/>
      <c r="BI301" s="31"/>
      <c r="BJ301" s="30"/>
      <c r="BK301" s="30"/>
      <c r="BL301" s="30"/>
      <c r="BM301" s="30"/>
      <c r="BN301" s="30"/>
      <c r="BO301" s="33">
        <f t="shared" si="52"/>
        <v>0</v>
      </c>
      <c r="BP301" s="30">
        <v>2</v>
      </c>
      <c r="BQ301" s="30">
        <v>0</v>
      </c>
      <c r="BR301" s="30"/>
      <c r="BS301" s="30"/>
      <c r="BT301" s="34">
        <f t="shared" si="53"/>
        <v>0</v>
      </c>
      <c r="BU301" s="34"/>
      <c r="BV301" s="34"/>
      <c r="BW301" s="34"/>
      <c r="BX301" s="34"/>
      <c r="BY301" s="30"/>
      <c r="BZ301" s="31">
        <f t="shared" si="54"/>
        <v>0</v>
      </c>
      <c r="CA301" s="31">
        <f t="shared" si="49"/>
        <v>0</v>
      </c>
    </row>
    <row r="302" spans="1:79" ht="25.5" x14ac:dyDescent="0.25">
      <c r="A302" s="17"/>
      <c r="B302" s="2">
        <v>296</v>
      </c>
      <c r="C302" s="48">
        <v>202</v>
      </c>
      <c r="D302" s="48">
        <v>548</v>
      </c>
      <c r="E302" s="49">
        <v>0.70833333333333337</v>
      </c>
      <c r="F302" s="49">
        <v>0.76041666666666663</v>
      </c>
      <c r="G302" s="51" t="s">
        <v>778</v>
      </c>
      <c r="H302" s="18" t="s">
        <v>290</v>
      </c>
      <c r="I302" s="48">
        <v>35</v>
      </c>
      <c r="J302" s="52">
        <v>30</v>
      </c>
      <c r="K302" s="22">
        <v>13</v>
      </c>
      <c r="L302" s="23">
        <f t="shared" si="50"/>
        <v>455</v>
      </c>
      <c r="M302" s="24" t="s">
        <v>129</v>
      </c>
      <c r="N302" s="25" t="s">
        <v>130</v>
      </c>
      <c r="O302" s="25">
        <v>37</v>
      </c>
      <c r="P302" s="25" t="s">
        <v>796</v>
      </c>
      <c r="Q302" s="25">
        <v>23</v>
      </c>
      <c r="R302" s="17"/>
      <c r="S302" s="25"/>
      <c r="T302" s="26">
        <v>1</v>
      </c>
      <c r="U302" s="26" t="s">
        <v>179</v>
      </c>
      <c r="V302" s="26">
        <v>2670</v>
      </c>
      <c r="W302" s="26" t="s">
        <v>780</v>
      </c>
      <c r="X302" s="27">
        <v>44562</v>
      </c>
      <c r="Y302" s="27">
        <v>44815</v>
      </c>
      <c r="Z302" s="27">
        <v>45101</v>
      </c>
      <c r="AA302" s="27">
        <v>45169</v>
      </c>
      <c r="AB302" s="62" t="s">
        <v>291</v>
      </c>
      <c r="AC302" s="62"/>
      <c r="AD302" s="28"/>
      <c r="AE302" s="28" t="s">
        <v>90</v>
      </c>
      <c r="AF302" s="28"/>
      <c r="AG302" s="28"/>
      <c r="AH302" s="28"/>
      <c r="AI302" s="28"/>
      <c r="AJ302" s="28"/>
      <c r="AK302" s="28"/>
      <c r="AL302" s="28"/>
      <c r="AM302" s="28"/>
      <c r="AN302" s="28" t="s">
        <v>90</v>
      </c>
      <c r="AO302" s="28"/>
      <c r="AP302" s="28"/>
      <c r="AQ302" s="28"/>
      <c r="AR302" s="28"/>
      <c r="AS302" s="28"/>
      <c r="AT302" s="28"/>
      <c r="AU302" s="28"/>
      <c r="AV302" s="28"/>
      <c r="AW302" s="28"/>
      <c r="AX302" s="31"/>
      <c r="AY302" s="30"/>
      <c r="AZ302" s="30"/>
      <c r="BA302" s="55" t="s">
        <v>330</v>
      </c>
      <c r="BB302" s="55"/>
      <c r="BC302" s="30"/>
      <c r="BD302" s="31">
        <f t="shared" si="51"/>
        <v>0</v>
      </c>
      <c r="BE302" s="30"/>
      <c r="BF302" s="30"/>
      <c r="BG302" s="36">
        <v>1</v>
      </c>
      <c r="BH302" s="30"/>
      <c r="BI302" s="31"/>
      <c r="BJ302" s="30"/>
      <c r="BK302" s="30"/>
      <c r="BL302" s="30"/>
      <c r="BM302" s="30"/>
      <c r="BN302" s="30"/>
      <c r="BO302" s="33">
        <f t="shared" si="52"/>
        <v>0</v>
      </c>
      <c r="BP302" s="30">
        <v>2</v>
      </c>
      <c r="BQ302" s="30">
        <v>0</v>
      </c>
      <c r="BR302" s="30"/>
      <c r="BS302" s="30"/>
      <c r="BT302" s="34">
        <f t="shared" si="53"/>
        <v>0</v>
      </c>
      <c r="BU302" s="34"/>
      <c r="BV302" s="34"/>
      <c r="BW302" s="34"/>
      <c r="BX302" s="34"/>
      <c r="BY302" s="30"/>
      <c r="BZ302" s="31">
        <f t="shared" si="54"/>
        <v>0</v>
      </c>
      <c r="CA302" s="31">
        <f t="shared" si="49"/>
        <v>0</v>
      </c>
    </row>
    <row r="303" spans="1:79" ht="38.25" x14ac:dyDescent="0.25">
      <c r="A303" s="17"/>
      <c r="B303" s="2">
        <v>297</v>
      </c>
      <c r="C303" s="104">
        <v>202</v>
      </c>
      <c r="D303" s="21">
        <v>212</v>
      </c>
      <c r="E303" s="19">
        <v>0.71875</v>
      </c>
      <c r="F303" s="19">
        <v>0.72916666666666663</v>
      </c>
      <c r="G303" s="18" t="s">
        <v>781</v>
      </c>
      <c r="H303" s="18" t="s">
        <v>782</v>
      </c>
      <c r="I303" s="20">
        <v>10</v>
      </c>
      <c r="J303" s="21" t="s">
        <v>93</v>
      </c>
      <c r="K303" s="22">
        <v>33</v>
      </c>
      <c r="L303" s="23">
        <f t="shared" si="50"/>
        <v>330</v>
      </c>
      <c r="M303" s="44" t="s">
        <v>123</v>
      </c>
      <c r="N303" s="45" t="s">
        <v>125</v>
      </c>
      <c r="O303" s="25">
        <v>21</v>
      </c>
      <c r="P303" s="25" t="s">
        <v>124</v>
      </c>
      <c r="Q303" s="25">
        <v>17</v>
      </c>
      <c r="R303" s="17"/>
      <c r="S303" s="25"/>
      <c r="T303" s="26">
        <v>2049</v>
      </c>
      <c r="U303" s="26" t="s">
        <v>783</v>
      </c>
      <c r="V303" s="26">
        <v>2670</v>
      </c>
      <c r="W303" s="26" t="s">
        <v>780</v>
      </c>
      <c r="X303" s="27">
        <v>44562</v>
      </c>
      <c r="Y303" s="27">
        <v>44815</v>
      </c>
      <c r="Z303" s="27">
        <v>45101</v>
      </c>
      <c r="AA303" s="27">
        <v>45169</v>
      </c>
      <c r="AB303" s="28" t="s">
        <v>784</v>
      </c>
      <c r="AC303" s="28"/>
      <c r="AD303" s="28"/>
      <c r="AE303" s="28" t="s">
        <v>90</v>
      </c>
      <c r="AF303" s="28" t="s">
        <v>90</v>
      </c>
      <c r="AG303" s="28"/>
      <c r="AH303" s="28" t="s">
        <v>90</v>
      </c>
      <c r="AI303" s="28"/>
      <c r="AJ303" s="28" t="s">
        <v>90</v>
      </c>
      <c r="AK303" s="28" t="s">
        <v>90</v>
      </c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9">
        <v>30</v>
      </c>
      <c r="AY303" s="30"/>
      <c r="AZ303" s="30"/>
      <c r="BA303" s="29"/>
      <c r="BB303" s="29"/>
      <c r="BC303" s="30"/>
      <c r="BD303" s="31">
        <f t="shared" si="51"/>
        <v>990</v>
      </c>
      <c r="BE303" s="31"/>
      <c r="BF303" s="30"/>
      <c r="BG303" s="36">
        <v>1</v>
      </c>
      <c r="BH303" s="31">
        <f>IF(AND((AX303/I303)&lt;2,BG303=1),(I303*2)-AX303,0)</f>
        <v>0</v>
      </c>
      <c r="BI303" s="31">
        <f>IF(AND((AX303/I303)&lt;3,BG303=2),(I303*3)-AX303,0)</f>
        <v>0</v>
      </c>
      <c r="BJ303" s="33">
        <f>(BH303+BI303)*K303</f>
        <v>0</v>
      </c>
      <c r="BK303" s="30"/>
      <c r="BL303" s="30"/>
      <c r="BM303" s="30"/>
      <c r="BN303" s="30"/>
      <c r="BO303" s="33">
        <f t="shared" si="52"/>
        <v>0</v>
      </c>
      <c r="BP303" s="30">
        <v>4</v>
      </c>
      <c r="BQ303" s="30">
        <v>0</v>
      </c>
      <c r="BR303" s="30"/>
      <c r="BS303" s="30"/>
      <c r="BT303" s="34">
        <f t="shared" si="53"/>
        <v>30</v>
      </c>
      <c r="BU303" s="34"/>
      <c r="BV303" s="34"/>
      <c r="BW303" s="34"/>
      <c r="BX303" s="34"/>
      <c r="BY303" s="30"/>
      <c r="BZ303" s="31">
        <f t="shared" si="54"/>
        <v>120</v>
      </c>
      <c r="CA303" s="31">
        <f t="shared" si="49"/>
        <v>0</v>
      </c>
    </row>
    <row r="304" spans="1:79" ht="51" x14ac:dyDescent="0.25">
      <c r="A304" s="17"/>
      <c r="B304" s="2">
        <v>298</v>
      </c>
      <c r="C304" s="18">
        <v>202</v>
      </c>
      <c r="D304" s="18">
        <v>97</v>
      </c>
      <c r="E304" s="19">
        <v>0.72569444444444453</v>
      </c>
      <c r="F304" s="59">
        <v>0.76388888888888884</v>
      </c>
      <c r="G304" s="18" t="s">
        <v>797</v>
      </c>
      <c r="H304" s="18" t="s">
        <v>290</v>
      </c>
      <c r="I304" s="20">
        <v>24</v>
      </c>
      <c r="J304" s="21" t="s">
        <v>285</v>
      </c>
      <c r="K304" s="22">
        <v>13</v>
      </c>
      <c r="L304" s="23">
        <f t="shared" si="50"/>
        <v>312</v>
      </c>
      <c r="M304" s="24" t="s">
        <v>794</v>
      </c>
      <c r="N304" s="25" t="s">
        <v>795</v>
      </c>
      <c r="O304" s="25">
        <v>42</v>
      </c>
      <c r="P304" s="25" t="s">
        <v>496</v>
      </c>
      <c r="Q304" s="25">
        <v>45</v>
      </c>
      <c r="R304" s="25" t="s">
        <v>295</v>
      </c>
      <c r="S304" s="35">
        <v>48</v>
      </c>
      <c r="T304" s="26">
        <v>2660</v>
      </c>
      <c r="U304" s="26" t="s">
        <v>329</v>
      </c>
      <c r="V304" s="26">
        <v>1</v>
      </c>
      <c r="W304" s="26" t="s">
        <v>300</v>
      </c>
      <c r="X304" s="27">
        <v>44562</v>
      </c>
      <c r="Y304" s="27">
        <v>44815</v>
      </c>
      <c r="Z304" s="27">
        <v>45101</v>
      </c>
      <c r="AA304" s="27">
        <v>45169</v>
      </c>
      <c r="AB304" s="62" t="s">
        <v>291</v>
      </c>
      <c r="AC304" s="62"/>
      <c r="AD304" s="28"/>
      <c r="AE304" s="28" t="s">
        <v>90</v>
      </c>
      <c r="AF304" s="28"/>
      <c r="AG304" s="28"/>
      <c r="AH304" s="28"/>
      <c r="AI304" s="28"/>
      <c r="AJ304" s="28"/>
      <c r="AK304" s="28"/>
      <c r="AL304" s="28"/>
      <c r="AM304" s="28"/>
      <c r="AN304" s="28" t="s">
        <v>90</v>
      </c>
      <c r="AO304" s="28"/>
      <c r="AP304" s="28"/>
      <c r="AQ304" s="28"/>
      <c r="AR304" s="28"/>
      <c r="AS304" s="28"/>
      <c r="AT304" s="28"/>
      <c r="AU304" s="28"/>
      <c r="AV304" s="28"/>
      <c r="AW304" s="28"/>
      <c r="AX304" s="29">
        <v>72</v>
      </c>
      <c r="AY304" s="30"/>
      <c r="AZ304" s="30"/>
      <c r="BA304" s="29"/>
      <c r="BB304" s="29"/>
      <c r="BC304" s="30"/>
      <c r="BD304" s="31">
        <f t="shared" si="51"/>
        <v>936</v>
      </c>
      <c r="BE304" s="31"/>
      <c r="BF304" s="30"/>
      <c r="BG304" s="32">
        <v>2</v>
      </c>
      <c r="BH304" s="31">
        <f>IF(AND((AX304/I304)&lt;2,BG304=1),(I304*2)-AX304,0)</f>
        <v>0</v>
      </c>
      <c r="BI304" s="31">
        <f>IF(AND((AX304/I304)&lt;3,BG304=2),(I304*3)-AX304,0)</f>
        <v>0</v>
      </c>
      <c r="BJ304" s="33">
        <f>(BH304+BI304)*K304</f>
        <v>0</v>
      </c>
      <c r="BK304" s="30"/>
      <c r="BL304" s="30"/>
      <c r="BM304" s="30"/>
      <c r="BN304" s="30"/>
      <c r="BO304" s="33">
        <f t="shared" si="52"/>
        <v>0</v>
      </c>
      <c r="BP304" s="30">
        <v>2</v>
      </c>
      <c r="BQ304" s="30">
        <v>0</v>
      </c>
      <c r="BR304" s="30"/>
      <c r="BS304" s="30"/>
      <c r="BT304" s="34">
        <f t="shared" si="53"/>
        <v>72</v>
      </c>
      <c r="BU304" s="34"/>
      <c r="BV304" s="34"/>
      <c r="BW304" s="34"/>
      <c r="BX304" s="34"/>
      <c r="BY304" s="30"/>
      <c r="BZ304" s="31">
        <f t="shared" si="54"/>
        <v>144</v>
      </c>
      <c r="CA304" s="31">
        <f t="shared" si="49"/>
        <v>0</v>
      </c>
    </row>
    <row r="305" spans="1:79" ht="38.25" x14ac:dyDescent="0.25">
      <c r="A305" s="17"/>
      <c r="B305" s="2">
        <v>299</v>
      </c>
      <c r="C305" s="104">
        <v>202</v>
      </c>
      <c r="D305" s="21">
        <v>213</v>
      </c>
      <c r="E305" s="19">
        <v>0.74305555555555547</v>
      </c>
      <c r="F305" s="19">
        <v>0.76041666666666663</v>
      </c>
      <c r="G305" s="18" t="s">
        <v>798</v>
      </c>
      <c r="H305" s="18" t="s">
        <v>782</v>
      </c>
      <c r="I305" s="20">
        <v>17.5</v>
      </c>
      <c r="J305" s="21" t="s">
        <v>93</v>
      </c>
      <c r="K305" s="22">
        <v>33</v>
      </c>
      <c r="L305" s="23">
        <f t="shared" si="50"/>
        <v>577.5</v>
      </c>
      <c r="M305" s="44" t="s">
        <v>123</v>
      </c>
      <c r="N305" s="45" t="s">
        <v>125</v>
      </c>
      <c r="O305" s="25">
        <v>21</v>
      </c>
      <c r="P305" s="25" t="s">
        <v>124</v>
      </c>
      <c r="Q305" s="25">
        <v>17</v>
      </c>
      <c r="R305" s="17"/>
      <c r="S305" s="25"/>
      <c r="T305" s="26">
        <v>2670</v>
      </c>
      <c r="U305" s="26" t="s">
        <v>780</v>
      </c>
      <c r="V305" s="26" t="s">
        <v>340</v>
      </c>
      <c r="W305" s="26" t="s">
        <v>341</v>
      </c>
      <c r="X305" s="27">
        <v>44562</v>
      </c>
      <c r="Y305" s="27">
        <v>44815</v>
      </c>
      <c r="Z305" s="27">
        <v>45101</v>
      </c>
      <c r="AA305" s="27">
        <v>45169</v>
      </c>
      <c r="AB305" s="28" t="s">
        <v>784</v>
      </c>
      <c r="AC305" s="28"/>
      <c r="AD305" s="28"/>
      <c r="AE305" s="28" t="s">
        <v>90</v>
      </c>
      <c r="AF305" s="28" t="s">
        <v>90</v>
      </c>
      <c r="AG305" s="28"/>
      <c r="AH305" s="28" t="s">
        <v>90</v>
      </c>
      <c r="AI305" s="28"/>
      <c r="AJ305" s="28" t="s">
        <v>90</v>
      </c>
      <c r="AK305" s="28" t="s">
        <v>90</v>
      </c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9">
        <v>52.5</v>
      </c>
      <c r="AY305" s="30"/>
      <c r="AZ305" s="30"/>
      <c r="BA305" s="29"/>
      <c r="BB305" s="29"/>
      <c r="BC305" s="30"/>
      <c r="BD305" s="31">
        <f t="shared" si="51"/>
        <v>1732.5</v>
      </c>
      <c r="BE305" s="31"/>
      <c r="BF305" s="30"/>
      <c r="BG305" s="36">
        <v>1</v>
      </c>
      <c r="BH305" s="31">
        <f>IF(AND((AX305/I305)&lt;2,BG305=1),(I305*2)-AX305,0)</f>
        <v>0</v>
      </c>
      <c r="BI305" s="31">
        <f>IF(AND((AX305/I305)&lt;3,BG305=2),(I305*3)-AX305,0)</f>
        <v>0</v>
      </c>
      <c r="BJ305" s="33">
        <f>(BH305+BI305)*K305</f>
        <v>0</v>
      </c>
      <c r="BK305" s="30"/>
      <c r="BL305" s="30"/>
      <c r="BM305" s="30"/>
      <c r="BN305" s="30"/>
      <c r="BO305" s="33">
        <f t="shared" si="52"/>
        <v>0</v>
      </c>
      <c r="BP305" s="30">
        <v>4</v>
      </c>
      <c r="BQ305" s="30">
        <v>0</v>
      </c>
      <c r="BR305" s="30"/>
      <c r="BS305" s="30"/>
      <c r="BT305" s="34">
        <f t="shared" si="53"/>
        <v>52.5</v>
      </c>
      <c r="BU305" s="34"/>
      <c r="BV305" s="34"/>
      <c r="BW305" s="34"/>
      <c r="BX305" s="34"/>
      <c r="BY305" s="30"/>
      <c r="BZ305" s="31">
        <f t="shared" si="54"/>
        <v>210</v>
      </c>
      <c r="CA305" s="31">
        <f t="shared" si="49"/>
        <v>0</v>
      </c>
    </row>
    <row r="306" spans="1:79" ht="25.5" x14ac:dyDescent="0.25">
      <c r="A306" s="17"/>
      <c r="B306" s="2">
        <v>300</v>
      </c>
      <c r="C306" s="48">
        <v>202</v>
      </c>
      <c r="D306" s="48">
        <v>104</v>
      </c>
      <c r="E306" s="49">
        <v>0.75</v>
      </c>
      <c r="F306" s="49">
        <v>0.78819444444444453</v>
      </c>
      <c r="G306" s="51" t="s">
        <v>328</v>
      </c>
      <c r="H306" s="48" t="s">
        <v>316</v>
      </c>
      <c r="I306" s="48">
        <v>24</v>
      </c>
      <c r="J306" s="52">
        <v>40</v>
      </c>
      <c r="K306" s="22">
        <v>67</v>
      </c>
      <c r="L306" s="23">
        <f t="shared" si="50"/>
        <v>1608</v>
      </c>
      <c r="M306" s="24" t="s">
        <v>129</v>
      </c>
      <c r="N306" s="25" t="s">
        <v>131</v>
      </c>
      <c r="O306" s="25">
        <v>45</v>
      </c>
      <c r="P306" s="25" t="s">
        <v>286</v>
      </c>
      <c r="Q306" s="25">
        <v>48</v>
      </c>
      <c r="R306" s="17"/>
      <c r="S306" s="25"/>
      <c r="T306" s="26">
        <v>1</v>
      </c>
      <c r="U306" s="26" t="s">
        <v>179</v>
      </c>
      <c r="V306" s="26">
        <v>2660</v>
      </c>
      <c r="W306" s="26" t="s">
        <v>329</v>
      </c>
      <c r="X306" s="27">
        <v>44562</v>
      </c>
      <c r="Y306" s="27">
        <v>44815</v>
      </c>
      <c r="Z306" s="27">
        <v>45101</v>
      </c>
      <c r="AA306" s="27">
        <v>45169</v>
      </c>
      <c r="AB306" s="28" t="s">
        <v>89</v>
      </c>
      <c r="AC306" s="28"/>
      <c r="AD306" s="28"/>
      <c r="AE306" s="28" t="s">
        <v>90</v>
      </c>
      <c r="AF306" s="28" t="s">
        <v>90</v>
      </c>
      <c r="AG306" s="28"/>
      <c r="AH306" s="28" t="s">
        <v>90</v>
      </c>
      <c r="AI306" s="28" t="s">
        <v>90</v>
      </c>
      <c r="AJ306" s="28" t="s">
        <v>90</v>
      </c>
      <c r="AK306" s="28" t="s">
        <v>90</v>
      </c>
      <c r="AL306" s="28" t="s">
        <v>90</v>
      </c>
      <c r="AM306" s="28" t="s">
        <v>90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31"/>
      <c r="AY306" s="30"/>
      <c r="AZ306" s="30"/>
      <c r="BA306" s="55" t="s">
        <v>799</v>
      </c>
      <c r="BB306" s="55"/>
      <c r="BC306" s="30"/>
      <c r="BD306" s="31">
        <f t="shared" si="51"/>
        <v>0</v>
      </c>
      <c r="BE306" s="30"/>
      <c r="BF306" s="30"/>
      <c r="BG306" s="32">
        <v>2</v>
      </c>
      <c r="BH306" s="30"/>
      <c r="BI306" s="31"/>
      <c r="BJ306" s="30"/>
      <c r="BK306" s="30"/>
      <c r="BL306" s="30"/>
      <c r="BM306" s="30"/>
      <c r="BN306" s="30"/>
      <c r="BO306" s="33">
        <f t="shared" si="52"/>
        <v>0</v>
      </c>
      <c r="BP306" s="30">
        <v>9</v>
      </c>
      <c r="BQ306" s="30">
        <v>0</v>
      </c>
      <c r="BR306" s="30"/>
      <c r="BS306" s="30"/>
      <c r="BT306" s="34">
        <f t="shared" si="53"/>
        <v>0</v>
      </c>
      <c r="BU306" s="34" t="s">
        <v>89</v>
      </c>
      <c r="BV306" s="30">
        <v>9</v>
      </c>
      <c r="BW306" s="30">
        <v>0</v>
      </c>
      <c r="BX306" s="34">
        <v>220</v>
      </c>
      <c r="BY306" s="30"/>
      <c r="BZ306" s="31">
        <f t="shared" si="54"/>
        <v>1980</v>
      </c>
      <c r="CA306" s="31">
        <f t="shared" si="49"/>
        <v>0</v>
      </c>
    </row>
    <row r="307" spans="1:79" ht="38.25" x14ac:dyDescent="0.25">
      <c r="A307" s="17"/>
      <c r="B307" s="2">
        <v>301</v>
      </c>
      <c r="C307" s="48">
        <v>202</v>
      </c>
      <c r="D307" s="48">
        <v>104</v>
      </c>
      <c r="E307" s="49">
        <v>0.75</v>
      </c>
      <c r="F307" s="49">
        <v>0.78819444444444453</v>
      </c>
      <c r="G307" s="51" t="s">
        <v>328</v>
      </c>
      <c r="H307" s="18" t="s">
        <v>422</v>
      </c>
      <c r="I307" s="48">
        <v>24</v>
      </c>
      <c r="J307" s="52">
        <v>50</v>
      </c>
      <c r="K307" s="22">
        <v>240</v>
      </c>
      <c r="L307" s="23">
        <f t="shared" si="50"/>
        <v>5760</v>
      </c>
      <c r="M307" s="24" t="s">
        <v>129</v>
      </c>
      <c r="N307" s="25" t="s">
        <v>131</v>
      </c>
      <c r="O307" s="25">
        <v>45</v>
      </c>
      <c r="P307" s="25" t="s">
        <v>286</v>
      </c>
      <c r="Q307" s="25">
        <v>48</v>
      </c>
      <c r="R307" s="17"/>
      <c r="S307" s="25"/>
      <c r="T307" s="26">
        <v>1</v>
      </c>
      <c r="U307" s="26" t="s">
        <v>179</v>
      </c>
      <c r="V307" s="26">
        <v>2660</v>
      </c>
      <c r="W307" s="26" t="s">
        <v>329</v>
      </c>
      <c r="X307" s="27">
        <v>44816</v>
      </c>
      <c r="Y307" s="27">
        <v>45100</v>
      </c>
      <c r="Z307" s="27"/>
      <c r="AA307" s="27"/>
      <c r="AB307" s="26" t="s">
        <v>423</v>
      </c>
      <c r="AC307" s="26"/>
      <c r="AD307" s="28" t="s">
        <v>90</v>
      </c>
      <c r="AE307" s="28"/>
      <c r="AF307" s="28" t="s">
        <v>90</v>
      </c>
      <c r="AG307" s="28"/>
      <c r="AH307" s="28" t="s">
        <v>90</v>
      </c>
      <c r="AI307" s="28" t="s">
        <v>90</v>
      </c>
      <c r="AJ307" s="28" t="s">
        <v>90</v>
      </c>
      <c r="AK307" s="28" t="s">
        <v>90</v>
      </c>
      <c r="AL307" s="28" t="s">
        <v>90</v>
      </c>
      <c r="AM307" s="28" t="s">
        <v>90</v>
      </c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31"/>
      <c r="AY307" s="31">
        <f>2.6*24</f>
        <v>62.400000000000006</v>
      </c>
      <c r="AZ307" s="30"/>
      <c r="BA307" s="31"/>
      <c r="BB307" s="31"/>
      <c r="BC307" s="30"/>
      <c r="BD307" s="31">
        <f t="shared" si="51"/>
        <v>0</v>
      </c>
      <c r="BE307" s="31">
        <f>AY307*K307</f>
        <v>14976.000000000002</v>
      </c>
      <c r="BF307" s="30"/>
      <c r="BG307" s="32">
        <v>2</v>
      </c>
      <c r="BH307" s="30"/>
      <c r="BI307" s="31"/>
      <c r="BJ307" s="30"/>
      <c r="BK307" s="53"/>
      <c r="BL307" s="53"/>
      <c r="BM307" s="54"/>
      <c r="BN307" s="30"/>
      <c r="BO307" s="33">
        <f t="shared" si="52"/>
        <v>0</v>
      </c>
      <c r="BP307" s="105">
        <v>16</v>
      </c>
      <c r="BQ307" s="30">
        <v>26</v>
      </c>
      <c r="BR307" s="30"/>
      <c r="BS307" s="30"/>
      <c r="BT307" s="34">
        <f t="shared" si="53"/>
        <v>62.400000000000006</v>
      </c>
      <c r="BU307" s="34"/>
      <c r="BV307" s="34"/>
      <c r="BW307" s="34"/>
      <c r="BX307" s="34"/>
      <c r="BY307" s="30"/>
      <c r="BZ307" s="31">
        <f t="shared" si="54"/>
        <v>998.40000000000009</v>
      </c>
      <c r="CA307" s="31">
        <f t="shared" si="49"/>
        <v>1622.4</v>
      </c>
    </row>
    <row r="308" spans="1:79" ht="25.5" x14ac:dyDescent="0.25">
      <c r="A308" s="17"/>
      <c r="B308" s="2">
        <v>302</v>
      </c>
      <c r="C308" s="48">
        <v>202</v>
      </c>
      <c r="D308" s="48">
        <v>247</v>
      </c>
      <c r="E308" s="49">
        <v>0.76388888888888884</v>
      </c>
      <c r="F308" s="49">
        <v>0.81597222222222221</v>
      </c>
      <c r="G308" s="51" t="s">
        <v>800</v>
      </c>
      <c r="H308" s="18" t="s">
        <v>290</v>
      </c>
      <c r="I308" s="48">
        <v>35</v>
      </c>
      <c r="J308" s="52">
        <v>30</v>
      </c>
      <c r="K308" s="22">
        <v>13</v>
      </c>
      <c r="L308" s="23">
        <f t="shared" si="50"/>
        <v>455</v>
      </c>
      <c r="M308" s="24" t="s">
        <v>129</v>
      </c>
      <c r="N308" s="25" t="s">
        <v>130</v>
      </c>
      <c r="O308" s="25">
        <v>37</v>
      </c>
      <c r="P308" s="25" t="s">
        <v>796</v>
      </c>
      <c r="Q308" s="25">
        <v>23</v>
      </c>
      <c r="R308" s="17"/>
      <c r="S308" s="25"/>
      <c r="T308" s="26">
        <v>2670</v>
      </c>
      <c r="U308" s="26" t="s">
        <v>780</v>
      </c>
      <c r="V308" s="26">
        <v>1</v>
      </c>
      <c r="W308" s="26" t="s">
        <v>300</v>
      </c>
      <c r="X308" s="27">
        <v>44562</v>
      </c>
      <c r="Y308" s="27">
        <v>44815</v>
      </c>
      <c r="Z308" s="27">
        <v>45101</v>
      </c>
      <c r="AA308" s="27">
        <v>45169</v>
      </c>
      <c r="AB308" s="62" t="s">
        <v>291</v>
      </c>
      <c r="AC308" s="62"/>
      <c r="AD308" s="28"/>
      <c r="AE308" s="28" t="s">
        <v>90</v>
      </c>
      <c r="AF308" s="28"/>
      <c r="AG308" s="28"/>
      <c r="AH308" s="28"/>
      <c r="AI308" s="28"/>
      <c r="AJ308" s="28"/>
      <c r="AK308" s="28"/>
      <c r="AL308" s="28"/>
      <c r="AM308" s="28"/>
      <c r="AN308" s="28" t="s">
        <v>90</v>
      </c>
      <c r="AO308" s="28"/>
      <c r="AP308" s="28"/>
      <c r="AQ308" s="28"/>
      <c r="AR308" s="28"/>
      <c r="AS308" s="28"/>
      <c r="AT308" s="28"/>
      <c r="AU308" s="28"/>
      <c r="AV308" s="28"/>
      <c r="AW308" s="28"/>
      <c r="AX308" s="31"/>
      <c r="AY308" s="31">
        <v>192.5</v>
      </c>
      <c r="AZ308" s="30"/>
      <c r="BA308" s="55"/>
      <c r="BB308" s="55"/>
      <c r="BC308" s="30"/>
      <c r="BD308" s="31">
        <f t="shared" si="51"/>
        <v>0</v>
      </c>
      <c r="BE308" s="31">
        <f>AY308*K308</f>
        <v>2502.5</v>
      </c>
      <c r="BF308" s="30"/>
      <c r="BG308" s="36">
        <v>1</v>
      </c>
      <c r="BH308" s="30"/>
      <c r="BI308" s="31"/>
      <c r="BJ308" s="30"/>
      <c r="BK308" s="31">
        <f>IF(AND((AY308/I308)&lt;2,BG308=1),(I308*2)-AY308,0)</f>
        <v>0</v>
      </c>
      <c r="BL308" s="31">
        <f>IF(AND((AY308/I308)&lt;3,BG308=2),(I308*3)-AY308,0)</f>
        <v>0</v>
      </c>
      <c r="BM308" s="33">
        <f>(BK308+BL308)*K308</f>
        <v>0</v>
      </c>
      <c r="BN308" s="30"/>
      <c r="BO308" s="33">
        <f t="shared" si="52"/>
        <v>0</v>
      </c>
      <c r="BP308" s="30">
        <v>2</v>
      </c>
      <c r="BQ308" s="30">
        <v>0</v>
      </c>
      <c r="BR308" s="30"/>
      <c r="BS308" s="30"/>
      <c r="BT308" s="34">
        <f t="shared" si="53"/>
        <v>192.5</v>
      </c>
      <c r="BU308" s="34"/>
      <c r="BV308" s="34"/>
      <c r="BW308" s="34"/>
      <c r="BX308" s="34"/>
      <c r="BY308" s="30"/>
      <c r="BZ308" s="31">
        <f t="shared" si="54"/>
        <v>385</v>
      </c>
      <c r="CA308" s="31">
        <f t="shared" si="49"/>
        <v>0</v>
      </c>
    </row>
    <row r="309" spans="1:79" ht="25.5" x14ac:dyDescent="0.25">
      <c r="A309" s="17"/>
      <c r="B309" s="2">
        <v>303</v>
      </c>
      <c r="C309" s="48">
        <v>202</v>
      </c>
      <c r="D309" s="48">
        <v>99</v>
      </c>
      <c r="E309" s="49">
        <v>0.79166666666666663</v>
      </c>
      <c r="F309" s="49">
        <v>0.82986111111111116</v>
      </c>
      <c r="G309" s="51" t="s">
        <v>331</v>
      </c>
      <c r="H309" s="48" t="s">
        <v>316</v>
      </c>
      <c r="I309" s="48">
        <v>24</v>
      </c>
      <c r="J309" s="52">
        <v>40</v>
      </c>
      <c r="K309" s="22">
        <v>67</v>
      </c>
      <c r="L309" s="23">
        <f t="shared" si="50"/>
        <v>1608</v>
      </c>
      <c r="M309" s="24" t="s">
        <v>129</v>
      </c>
      <c r="N309" s="25" t="s">
        <v>131</v>
      </c>
      <c r="O309" s="25">
        <v>45</v>
      </c>
      <c r="P309" s="25" t="s">
        <v>286</v>
      </c>
      <c r="Q309" s="25">
        <v>48</v>
      </c>
      <c r="R309" s="25"/>
      <c r="S309" s="25"/>
      <c r="T309" s="26">
        <v>2660</v>
      </c>
      <c r="U309" s="26" t="s">
        <v>329</v>
      </c>
      <c r="V309" s="26">
        <v>1</v>
      </c>
      <c r="W309" s="26" t="s">
        <v>300</v>
      </c>
      <c r="X309" s="27">
        <v>44562</v>
      </c>
      <c r="Y309" s="27">
        <v>44815</v>
      </c>
      <c r="Z309" s="27">
        <v>45101</v>
      </c>
      <c r="AA309" s="27">
        <v>45169</v>
      </c>
      <c r="AB309" s="28" t="s">
        <v>89</v>
      </c>
      <c r="AC309" s="28"/>
      <c r="AD309" s="28"/>
      <c r="AE309" s="28" t="s">
        <v>90</v>
      </c>
      <c r="AF309" s="28" t="s">
        <v>90</v>
      </c>
      <c r="AG309" s="28"/>
      <c r="AH309" s="28" t="s">
        <v>90</v>
      </c>
      <c r="AI309" s="28" t="s">
        <v>90</v>
      </c>
      <c r="AJ309" s="28" t="s">
        <v>90</v>
      </c>
      <c r="AK309" s="28" t="s">
        <v>90</v>
      </c>
      <c r="AL309" s="28" t="s">
        <v>90</v>
      </c>
      <c r="AM309" s="28" t="s">
        <v>90</v>
      </c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31"/>
      <c r="AY309" s="30"/>
      <c r="AZ309" s="30"/>
      <c r="BA309" s="55" t="s">
        <v>799</v>
      </c>
      <c r="BB309" s="55"/>
      <c r="BC309" s="30"/>
      <c r="BD309" s="31">
        <f t="shared" si="51"/>
        <v>0</v>
      </c>
      <c r="BE309" s="30"/>
      <c r="BF309" s="30"/>
      <c r="BG309" s="32">
        <v>2</v>
      </c>
      <c r="BH309" s="30"/>
      <c r="BI309" s="31"/>
      <c r="BJ309" s="30"/>
      <c r="BK309" s="30"/>
      <c r="BL309" s="30"/>
      <c r="BM309" s="30"/>
      <c r="BN309" s="30"/>
      <c r="BO309" s="33">
        <f t="shared" si="52"/>
        <v>0</v>
      </c>
      <c r="BP309" s="30">
        <v>9</v>
      </c>
      <c r="BQ309" s="30">
        <v>0</v>
      </c>
      <c r="BR309" s="30"/>
      <c r="BS309" s="30"/>
      <c r="BT309" s="34">
        <f t="shared" si="53"/>
        <v>0</v>
      </c>
      <c r="BU309" s="34"/>
      <c r="BV309" s="34"/>
      <c r="BW309" s="34"/>
      <c r="BX309" s="34"/>
      <c r="BY309" s="30"/>
      <c r="BZ309" s="31">
        <f t="shared" si="54"/>
        <v>0</v>
      </c>
      <c r="CA309" s="31">
        <f t="shared" si="49"/>
        <v>0</v>
      </c>
    </row>
    <row r="310" spans="1:79" ht="38.25" x14ac:dyDescent="0.25">
      <c r="A310" s="17"/>
      <c r="B310" s="2">
        <v>304</v>
      </c>
      <c r="C310" s="48">
        <v>202</v>
      </c>
      <c r="D310" s="48">
        <v>99</v>
      </c>
      <c r="E310" s="49">
        <v>0.79166666666666663</v>
      </c>
      <c r="F310" s="49">
        <v>0.82986111111111116</v>
      </c>
      <c r="G310" s="51" t="s">
        <v>331</v>
      </c>
      <c r="H310" s="18" t="s">
        <v>422</v>
      </c>
      <c r="I310" s="48">
        <v>24</v>
      </c>
      <c r="J310" s="52">
        <v>50</v>
      </c>
      <c r="K310" s="22">
        <v>240</v>
      </c>
      <c r="L310" s="23">
        <f t="shared" si="50"/>
        <v>5760</v>
      </c>
      <c r="M310" s="24" t="s">
        <v>129</v>
      </c>
      <c r="N310" s="25" t="s">
        <v>131</v>
      </c>
      <c r="O310" s="25">
        <v>45</v>
      </c>
      <c r="P310" s="25" t="s">
        <v>286</v>
      </c>
      <c r="Q310" s="25">
        <v>48</v>
      </c>
      <c r="R310" s="25"/>
      <c r="S310" s="25"/>
      <c r="T310" s="26">
        <v>2660</v>
      </c>
      <c r="U310" s="26" t="s">
        <v>329</v>
      </c>
      <c r="V310" s="26">
        <v>1</v>
      </c>
      <c r="W310" s="26" t="s">
        <v>300</v>
      </c>
      <c r="X310" s="27">
        <v>44816</v>
      </c>
      <c r="Y310" s="27">
        <v>45100</v>
      </c>
      <c r="Z310" s="27"/>
      <c r="AA310" s="27"/>
      <c r="AB310" s="26" t="s">
        <v>423</v>
      </c>
      <c r="AC310" s="26"/>
      <c r="AD310" s="28" t="s">
        <v>90</v>
      </c>
      <c r="AE310" s="28"/>
      <c r="AF310" s="28" t="s">
        <v>90</v>
      </c>
      <c r="AG310" s="28"/>
      <c r="AH310" s="28" t="s">
        <v>90</v>
      </c>
      <c r="AI310" s="28" t="s">
        <v>90</v>
      </c>
      <c r="AJ310" s="28" t="s">
        <v>90</v>
      </c>
      <c r="AK310" s="28" t="s">
        <v>90</v>
      </c>
      <c r="AL310" s="28" t="s">
        <v>90</v>
      </c>
      <c r="AM310" s="28" t="s">
        <v>90</v>
      </c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31"/>
      <c r="AY310" s="31">
        <f>2.6*24</f>
        <v>62.400000000000006</v>
      </c>
      <c r="AZ310" s="30"/>
      <c r="BA310" s="31"/>
      <c r="BB310" s="31"/>
      <c r="BC310" s="30"/>
      <c r="BD310" s="31">
        <f t="shared" si="51"/>
        <v>0</v>
      </c>
      <c r="BE310" s="31">
        <f>AY310*K310</f>
        <v>14976.000000000002</v>
      </c>
      <c r="BF310" s="30"/>
      <c r="BG310" s="32">
        <v>2</v>
      </c>
      <c r="BH310" s="30"/>
      <c r="BI310" s="31"/>
      <c r="BJ310" s="30"/>
      <c r="BK310" s="53"/>
      <c r="BL310" s="53"/>
      <c r="BM310" s="54"/>
      <c r="BN310" s="30"/>
      <c r="BO310" s="33">
        <f t="shared" si="52"/>
        <v>0</v>
      </c>
      <c r="BP310" s="105">
        <v>16</v>
      </c>
      <c r="BQ310" s="30">
        <v>26</v>
      </c>
      <c r="BR310" s="30"/>
      <c r="BS310" s="30"/>
      <c r="BT310" s="34">
        <f t="shared" si="53"/>
        <v>62.400000000000006</v>
      </c>
      <c r="BU310" s="34"/>
      <c r="BV310" s="34"/>
      <c r="BW310" s="34"/>
      <c r="BX310" s="34"/>
      <c r="BY310" s="30"/>
      <c r="BZ310" s="31">
        <f t="shared" si="54"/>
        <v>998.40000000000009</v>
      </c>
      <c r="CA310" s="31">
        <f t="shared" si="49"/>
        <v>1622.4</v>
      </c>
    </row>
    <row r="311" spans="1:79" ht="51" x14ac:dyDescent="0.25">
      <c r="A311" s="17"/>
      <c r="B311" s="2">
        <v>305</v>
      </c>
      <c r="C311" s="18">
        <v>203</v>
      </c>
      <c r="D311" s="18">
        <v>383</v>
      </c>
      <c r="E311" s="19">
        <v>0.27430555555555552</v>
      </c>
      <c r="F311" s="19">
        <v>0.30069444444444443</v>
      </c>
      <c r="G311" s="18" t="s">
        <v>801</v>
      </c>
      <c r="H311" s="18" t="s">
        <v>349</v>
      </c>
      <c r="I311" s="20">
        <v>15.5</v>
      </c>
      <c r="J311" s="21" t="s">
        <v>93</v>
      </c>
      <c r="K311" s="22">
        <v>202</v>
      </c>
      <c r="L311" s="23">
        <f t="shared" si="50"/>
        <v>3131</v>
      </c>
      <c r="M311" s="24" t="s">
        <v>129</v>
      </c>
      <c r="N311" s="25" t="s">
        <v>802</v>
      </c>
      <c r="O311" s="25">
        <v>24</v>
      </c>
      <c r="P311" s="25" t="s">
        <v>779</v>
      </c>
      <c r="Q311" s="25">
        <v>21</v>
      </c>
      <c r="R311" s="25" t="s">
        <v>787</v>
      </c>
      <c r="S311" s="35">
        <v>23</v>
      </c>
      <c r="T311" s="26">
        <v>2046</v>
      </c>
      <c r="U311" s="26" t="s">
        <v>803</v>
      </c>
      <c r="V311" s="26" t="s">
        <v>804</v>
      </c>
      <c r="W311" s="26" t="s">
        <v>805</v>
      </c>
      <c r="X311" s="27">
        <v>44816</v>
      </c>
      <c r="Y311" s="27">
        <v>45100</v>
      </c>
      <c r="Z311" s="27"/>
      <c r="AA311" s="27"/>
      <c r="AB311" s="26" t="s">
        <v>351</v>
      </c>
      <c r="AC311" s="26"/>
      <c r="AD311" s="28" t="s">
        <v>90</v>
      </c>
      <c r="AE311" s="28"/>
      <c r="AF311" s="28" t="s">
        <v>90</v>
      </c>
      <c r="AG311" s="28"/>
      <c r="AH311" s="28" t="s">
        <v>90</v>
      </c>
      <c r="AI311" s="28" t="s">
        <v>90</v>
      </c>
      <c r="AJ311" s="28" t="s">
        <v>90</v>
      </c>
      <c r="AK311" s="28" t="s">
        <v>90</v>
      </c>
      <c r="AL311" s="28" t="s">
        <v>90</v>
      </c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9">
        <v>36.049999999999997</v>
      </c>
      <c r="AY311" s="30"/>
      <c r="AZ311" s="30"/>
      <c r="BA311" s="29"/>
      <c r="BB311" s="29"/>
      <c r="BC311" s="30"/>
      <c r="BD311" s="31">
        <f t="shared" si="51"/>
        <v>7282.0999999999995</v>
      </c>
      <c r="BE311" s="31"/>
      <c r="BF311" s="30"/>
      <c r="BG311" s="36">
        <v>1</v>
      </c>
      <c r="BH311" s="31">
        <f t="shared" ref="BH311:BH321" si="58">IF(AND((AX311/I311)&lt;2,BG311=1),(I311*2)-AX311,0)</f>
        <v>0</v>
      </c>
      <c r="BI311" s="31">
        <f t="shared" ref="BI311:BI321" si="59">IF(AND((AX311/I311)&lt;3,BG311=2),(I311*3)-AX311,0)</f>
        <v>0</v>
      </c>
      <c r="BJ311" s="33">
        <f t="shared" ref="BJ311:BJ321" si="60">(BH311+BI311)*K311</f>
        <v>0</v>
      </c>
      <c r="BK311" s="30"/>
      <c r="BL311" s="30"/>
      <c r="BM311" s="30"/>
      <c r="BN311" s="31">
        <f>IF((AX311+AY311+AZ311)&lt;20,(20-(AX311+AY311+AZ311)),0)</f>
        <v>0</v>
      </c>
      <c r="BO311" s="33">
        <f t="shared" si="52"/>
        <v>0</v>
      </c>
      <c r="BP311" s="30">
        <v>15</v>
      </c>
      <c r="BQ311" s="30">
        <v>21</v>
      </c>
      <c r="BR311" s="30"/>
      <c r="BS311" s="30"/>
      <c r="BT311" s="34">
        <f t="shared" si="53"/>
        <v>36.049999999999997</v>
      </c>
      <c r="BU311" s="34"/>
      <c r="BV311" s="34"/>
      <c r="BW311" s="34"/>
      <c r="BX311" s="34"/>
      <c r="BY311" s="30"/>
      <c r="BZ311" s="31">
        <f t="shared" si="54"/>
        <v>540.75</v>
      </c>
      <c r="CA311" s="31">
        <f t="shared" si="49"/>
        <v>757.05</v>
      </c>
    </row>
    <row r="312" spans="1:79" ht="51" x14ac:dyDescent="0.25">
      <c r="A312" s="17"/>
      <c r="B312" s="2">
        <v>306</v>
      </c>
      <c r="C312" s="18">
        <v>203</v>
      </c>
      <c r="D312" s="18">
        <v>174</v>
      </c>
      <c r="E312" s="19">
        <v>0.5541666666666667</v>
      </c>
      <c r="F312" s="59">
        <v>0.57013888888888886</v>
      </c>
      <c r="G312" s="18" t="s">
        <v>806</v>
      </c>
      <c r="H312" s="18" t="s">
        <v>306</v>
      </c>
      <c r="I312" s="20">
        <v>11.5</v>
      </c>
      <c r="J312" s="21" t="s">
        <v>807</v>
      </c>
      <c r="K312" s="22">
        <v>208</v>
      </c>
      <c r="L312" s="23">
        <f t="shared" si="50"/>
        <v>2392</v>
      </c>
      <c r="M312" s="24" t="s">
        <v>129</v>
      </c>
      <c r="N312" s="25" t="s">
        <v>130</v>
      </c>
      <c r="O312" s="25">
        <v>37</v>
      </c>
      <c r="P312" s="25" t="s">
        <v>796</v>
      </c>
      <c r="Q312" s="25">
        <v>23</v>
      </c>
      <c r="R312" s="25" t="s">
        <v>787</v>
      </c>
      <c r="S312" s="35">
        <v>23</v>
      </c>
      <c r="T312" s="26" t="s">
        <v>132</v>
      </c>
      <c r="U312" s="26" t="s">
        <v>133</v>
      </c>
      <c r="V312" s="26">
        <v>2046</v>
      </c>
      <c r="W312" s="26" t="s">
        <v>803</v>
      </c>
      <c r="X312" s="66">
        <v>44816</v>
      </c>
      <c r="Y312" s="66">
        <v>45086</v>
      </c>
      <c r="Z312" s="66"/>
      <c r="AA312" s="66"/>
      <c r="AB312" s="26" t="s">
        <v>309</v>
      </c>
      <c r="AC312" s="26"/>
      <c r="AD312" s="28"/>
      <c r="AE312" s="28"/>
      <c r="AF312" s="28"/>
      <c r="AG312" s="28" t="s">
        <v>90</v>
      </c>
      <c r="AH312" s="28" t="s">
        <v>90</v>
      </c>
      <c r="AI312" s="28" t="s">
        <v>90</v>
      </c>
      <c r="AJ312" s="28" t="s">
        <v>90</v>
      </c>
      <c r="AK312" s="28" t="s">
        <v>90</v>
      </c>
      <c r="AL312" s="28" t="s">
        <v>90</v>
      </c>
      <c r="AM312" s="28" t="s">
        <v>90</v>
      </c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9">
        <v>52.32</v>
      </c>
      <c r="AY312" s="30"/>
      <c r="AZ312" s="30"/>
      <c r="BA312" s="29"/>
      <c r="BB312" s="29"/>
      <c r="BC312" s="30"/>
      <c r="BD312" s="31">
        <f t="shared" si="51"/>
        <v>10882.56</v>
      </c>
      <c r="BE312" s="31"/>
      <c r="BF312" s="30"/>
      <c r="BG312" s="32">
        <v>2</v>
      </c>
      <c r="BH312" s="31">
        <f t="shared" si="58"/>
        <v>0</v>
      </c>
      <c r="BI312" s="31">
        <f t="shared" si="59"/>
        <v>0</v>
      </c>
      <c r="BJ312" s="33">
        <f t="shared" si="60"/>
        <v>0</v>
      </c>
      <c r="BK312" s="30"/>
      <c r="BL312" s="30"/>
      <c r="BM312" s="30"/>
      <c r="BN312" s="30"/>
      <c r="BO312" s="33">
        <f t="shared" si="52"/>
        <v>0</v>
      </c>
      <c r="BP312" s="30">
        <v>17</v>
      </c>
      <c r="BQ312" s="30">
        <v>25</v>
      </c>
      <c r="BR312" s="30"/>
      <c r="BS312" s="30"/>
      <c r="BT312" s="34">
        <f t="shared" si="53"/>
        <v>52.32</v>
      </c>
      <c r="BU312" s="34"/>
      <c r="BV312" s="34"/>
      <c r="BW312" s="34"/>
      <c r="BX312" s="34"/>
      <c r="BY312" s="30"/>
      <c r="BZ312" s="31">
        <f t="shared" si="54"/>
        <v>889.44</v>
      </c>
      <c r="CA312" s="31">
        <f t="shared" si="49"/>
        <v>1308</v>
      </c>
    </row>
    <row r="313" spans="1:79" ht="63.75" x14ac:dyDescent="0.25">
      <c r="A313" s="17"/>
      <c r="B313" s="2">
        <v>307</v>
      </c>
      <c r="C313" s="18">
        <v>203</v>
      </c>
      <c r="D313" s="18">
        <v>176</v>
      </c>
      <c r="E313" s="19">
        <v>0.58402777777777781</v>
      </c>
      <c r="F313" s="19">
        <v>0.59236111111111112</v>
      </c>
      <c r="G313" s="18" t="s">
        <v>808</v>
      </c>
      <c r="H313" s="18" t="s">
        <v>809</v>
      </c>
      <c r="I313" s="20">
        <v>3.5</v>
      </c>
      <c r="J313" s="21" t="s">
        <v>93</v>
      </c>
      <c r="K313" s="22">
        <v>68</v>
      </c>
      <c r="L313" s="23">
        <f t="shared" si="50"/>
        <v>238</v>
      </c>
      <c r="M313" s="24" t="s">
        <v>129</v>
      </c>
      <c r="N313" s="25" t="s">
        <v>802</v>
      </c>
      <c r="O313" s="25">
        <v>24</v>
      </c>
      <c r="P313" s="25" t="s">
        <v>779</v>
      </c>
      <c r="Q313" s="25">
        <v>21</v>
      </c>
      <c r="R313" s="17"/>
      <c r="S313" s="25"/>
      <c r="T313" s="26" t="s">
        <v>132</v>
      </c>
      <c r="U313" s="26" t="s">
        <v>133</v>
      </c>
      <c r="V313" s="26">
        <v>2043</v>
      </c>
      <c r="W313" s="26" t="s">
        <v>810</v>
      </c>
      <c r="X313" s="66">
        <v>44816</v>
      </c>
      <c r="Y313" s="66">
        <v>45086</v>
      </c>
      <c r="Z313" s="66"/>
      <c r="AA313" s="66"/>
      <c r="AB313" s="28" t="s">
        <v>394</v>
      </c>
      <c r="AC313" s="28"/>
      <c r="AD313" s="28"/>
      <c r="AE313" s="28"/>
      <c r="AF313" s="28"/>
      <c r="AG313" s="28" t="s">
        <v>90</v>
      </c>
      <c r="AH313" s="28"/>
      <c r="AI313" s="28" t="s">
        <v>90</v>
      </c>
      <c r="AJ313" s="28"/>
      <c r="AK313" s="28" t="s">
        <v>90</v>
      </c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9">
        <v>8.48</v>
      </c>
      <c r="AY313" s="30"/>
      <c r="AZ313" s="30"/>
      <c r="BA313" s="29"/>
      <c r="BB313" s="29"/>
      <c r="BC313" s="30"/>
      <c r="BD313" s="31">
        <f t="shared" si="51"/>
        <v>576.64</v>
      </c>
      <c r="BE313" s="31"/>
      <c r="BF313" s="30"/>
      <c r="BG313" s="36">
        <v>1</v>
      </c>
      <c r="BH313" s="31">
        <f t="shared" si="58"/>
        <v>0</v>
      </c>
      <c r="BI313" s="31">
        <f t="shared" si="59"/>
        <v>0</v>
      </c>
      <c r="BJ313" s="33">
        <f t="shared" si="60"/>
        <v>0</v>
      </c>
      <c r="BK313" s="30"/>
      <c r="BL313" s="30"/>
      <c r="BM313" s="30"/>
      <c r="BN313" s="30"/>
      <c r="BO313" s="33">
        <f t="shared" si="52"/>
        <v>0</v>
      </c>
      <c r="BP313" s="30">
        <v>6</v>
      </c>
      <c r="BQ313" s="30">
        <v>8</v>
      </c>
      <c r="BR313" s="30"/>
      <c r="BS313" s="30"/>
      <c r="BT313" s="34">
        <f t="shared" si="53"/>
        <v>8.48</v>
      </c>
      <c r="BU313" s="34"/>
      <c r="BV313" s="34"/>
      <c r="BW313" s="34"/>
      <c r="BX313" s="34"/>
      <c r="BY313" s="30"/>
      <c r="BZ313" s="31">
        <f t="shared" si="54"/>
        <v>50.88</v>
      </c>
      <c r="CA313" s="31">
        <f t="shared" si="49"/>
        <v>67.84</v>
      </c>
    </row>
    <row r="314" spans="1:79" ht="51" x14ac:dyDescent="0.25">
      <c r="A314" s="17"/>
      <c r="B314" s="2">
        <v>308</v>
      </c>
      <c r="C314" s="18">
        <v>203</v>
      </c>
      <c r="D314" s="18">
        <v>176</v>
      </c>
      <c r="E314" s="19">
        <v>0.58402777777777781</v>
      </c>
      <c r="F314" s="59">
        <v>0.61041666666666672</v>
      </c>
      <c r="G314" s="18" t="s">
        <v>811</v>
      </c>
      <c r="H314" s="18" t="s">
        <v>306</v>
      </c>
      <c r="I314" s="20">
        <v>15.5</v>
      </c>
      <c r="J314" s="21" t="s">
        <v>807</v>
      </c>
      <c r="K314" s="22">
        <v>208</v>
      </c>
      <c r="L314" s="23">
        <f t="shared" si="50"/>
        <v>3224</v>
      </c>
      <c r="M314" s="24" t="s">
        <v>129</v>
      </c>
      <c r="N314" s="25" t="s">
        <v>130</v>
      </c>
      <c r="O314" s="25">
        <v>37</v>
      </c>
      <c r="P314" s="25" t="s">
        <v>796</v>
      </c>
      <c r="Q314" s="25">
        <v>23</v>
      </c>
      <c r="R314" s="25" t="s">
        <v>787</v>
      </c>
      <c r="S314" s="35">
        <v>23</v>
      </c>
      <c r="T314" s="26" t="s">
        <v>132</v>
      </c>
      <c r="U314" s="26" t="s">
        <v>133</v>
      </c>
      <c r="V314" s="26">
        <v>2046</v>
      </c>
      <c r="W314" s="26" t="s">
        <v>803</v>
      </c>
      <c r="X314" s="66">
        <v>44816</v>
      </c>
      <c r="Y314" s="66">
        <v>45086</v>
      </c>
      <c r="Z314" s="66"/>
      <c r="AA314" s="66"/>
      <c r="AB314" s="26" t="s">
        <v>309</v>
      </c>
      <c r="AC314" s="26"/>
      <c r="AD314" s="28"/>
      <c r="AE314" s="28"/>
      <c r="AF314" s="28"/>
      <c r="AG314" s="28" t="s">
        <v>90</v>
      </c>
      <c r="AH314" s="28" t="s">
        <v>90</v>
      </c>
      <c r="AI314" s="28" t="s">
        <v>90</v>
      </c>
      <c r="AJ314" s="28" t="s">
        <v>90</v>
      </c>
      <c r="AK314" s="28" t="s">
        <v>90</v>
      </c>
      <c r="AL314" s="28" t="s">
        <v>90</v>
      </c>
      <c r="AM314" s="28" t="s">
        <v>90</v>
      </c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9">
        <v>63.62</v>
      </c>
      <c r="AY314" s="30"/>
      <c r="AZ314" s="30"/>
      <c r="BA314" s="29"/>
      <c r="BB314" s="29"/>
      <c r="BC314" s="30"/>
      <c r="BD314" s="31">
        <f t="shared" si="51"/>
        <v>13232.96</v>
      </c>
      <c r="BE314" s="31"/>
      <c r="BF314" s="30"/>
      <c r="BG314" s="32">
        <v>2</v>
      </c>
      <c r="BH314" s="31">
        <f t="shared" si="58"/>
        <v>0</v>
      </c>
      <c r="BI314" s="31">
        <f t="shared" si="59"/>
        <v>0</v>
      </c>
      <c r="BJ314" s="33">
        <f t="shared" si="60"/>
        <v>0</v>
      </c>
      <c r="BK314" s="30"/>
      <c r="BL314" s="30"/>
      <c r="BM314" s="30"/>
      <c r="BN314" s="30"/>
      <c r="BO314" s="33">
        <f t="shared" si="52"/>
        <v>0</v>
      </c>
      <c r="BP314" s="30">
        <v>17</v>
      </c>
      <c r="BQ314" s="30">
        <v>25</v>
      </c>
      <c r="BR314" s="30"/>
      <c r="BS314" s="30"/>
      <c r="BT314" s="34">
        <f t="shared" si="53"/>
        <v>63.62</v>
      </c>
      <c r="BU314" s="34"/>
      <c r="BV314" s="34"/>
      <c r="BW314" s="34"/>
      <c r="BX314" s="34"/>
      <c r="BY314" s="30"/>
      <c r="BZ314" s="31">
        <f t="shared" si="54"/>
        <v>1081.54</v>
      </c>
      <c r="CA314" s="31">
        <f t="shared" si="49"/>
        <v>1590.5</v>
      </c>
    </row>
    <row r="315" spans="1:79" ht="76.5" x14ac:dyDescent="0.25">
      <c r="A315" s="17"/>
      <c r="B315" s="2">
        <v>309</v>
      </c>
      <c r="C315" s="18">
        <v>203</v>
      </c>
      <c r="D315" s="18">
        <v>80</v>
      </c>
      <c r="E315" s="19">
        <v>0.62638888888888888</v>
      </c>
      <c r="F315" s="19">
        <v>0.64513888888888882</v>
      </c>
      <c r="G315" s="18" t="s">
        <v>812</v>
      </c>
      <c r="H315" s="18" t="s">
        <v>813</v>
      </c>
      <c r="I315" s="20">
        <v>10.5</v>
      </c>
      <c r="J315" s="21" t="s">
        <v>380</v>
      </c>
      <c r="K315" s="22">
        <v>16</v>
      </c>
      <c r="L315" s="23">
        <f t="shared" si="50"/>
        <v>168</v>
      </c>
      <c r="M315" s="24" t="s">
        <v>129</v>
      </c>
      <c r="N315" s="17" t="s">
        <v>814</v>
      </c>
      <c r="O315" s="17">
        <v>9</v>
      </c>
      <c r="P315" s="17" t="s">
        <v>815</v>
      </c>
      <c r="Q315" s="17">
        <v>9</v>
      </c>
      <c r="R315" s="17" t="s">
        <v>816</v>
      </c>
      <c r="S315" s="106">
        <v>9</v>
      </c>
      <c r="T315" s="26">
        <v>2040</v>
      </c>
      <c r="U315" s="26" t="s">
        <v>350</v>
      </c>
      <c r="V315" s="26">
        <v>2045</v>
      </c>
      <c r="W315" s="26" t="s">
        <v>817</v>
      </c>
      <c r="X315" s="66">
        <v>44816</v>
      </c>
      <c r="Y315" s="66">
        <v>45086</v>
      </c>
      <c r="Z315" s="66"/>
      <c r="AA315" s="66"/>
      <c r="AB315" s="28" t="s">
        <v>818</v>
      </c>
      <c r="AC315" s="28" t="s">
        <v>628</v>
      </c>
      <c r="AD315" s="28"/>
      <c r="AE315" s="28"/>
      <c r="AF315" s="28"/>
      <c r="AG315" s="28" t="s">
        <v>90</v>
      </c>
      <c r="AH315" s="28" t="s">
        <v>90</v>
      </c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9">
        <v>18.899999999999999</v>
      </c>
      <c r="AY315" s="30"/>
      <c r="AZ315" s="30"/>
      <c r="BA315" s="29"/>
      <c r="BB315" s="29"/>
      <c r="BC315" s="30"/>
      <c r="BD315" s="31">
        <f t="shared" si="51"/>
        <v>302.39999999999998</v>
      </c>
      <c r="BE315" s="31"/>
      <c r="BF315" s="30"/>
      <c r="BG315" s="36">
        <v>1</v>
      </c>
      <c r="BH315" s="31">
        <f t="shared" si="58"/>
        <v>2.1000000000000014</v>
      </c>
      <c r="BI315" s="31">
        <f t="shared" si="59"/>
        <v>0</v>
      </c>
      <c r="BJ315" s="31">
        <f t="shared" si="60"/>
        <v>33.600000000000023</v>
      </c>
      <c r="BK315" s="30"/>
      <c r="BL315" s="30"/>
      <c r="BM315" s="30"/>
      <c r="BN315" s="30"/>
      <c r="BO315" s="33">
        <f t="shared" si="52"/>
        <v>0</v>
      </c>
      <c r="BP315" s="30">
        <v>2</v>
      </c>
      <c r="BQ315" s="30">
        <v>2</v>
      </c>
      <c r="BR315" s="30"/>
      <c r="BS315" s="30"/>
      <c r="BT315" s="34">
        <f t="shared" si="53"/>
        <v>21</v>
      </c>
      <c r="BU315" s="34"/>
      <c r="BV315" s="34"/>
      <c r="BW315" s="34"/>
      <c r="BX315" s="34"/>
      <c r="BY315" s="30"/>
      <c r="BZ315" s="31">
        <f t="shared" si="54"/>
        <v>42</v>
      </c>
      <c r="CA315" s="31">
        <f t="shared" si="49"/>
        <v>42</v>
      </c>
    </row>
    <row r="316" spans="1:79" ht="63.75" x14ac:dyDescent="0.25">
      <c r="A316" s="17"/>
      <c r="B316" s="2">
        <v>310</v>
      </c>
      <c r="C316" s="18">
        <v>204</v>
      </c>
      <c r="D316" s="21">
        <v>405</v>
      </c>
      <c r="E316" s="19">
        <v>0.27013888888888887</v>
      </c>
      <c r="F316" s="59">
        <v>0.27708333333333335</v>
      </c>
      <c r="G316" s="18" t="s">
        <v>819</v>
      </c>
      <c r="H316" s="18" t="s">
        <v>306</v>
      </c>
      <c r="I316" s="20">
        <v>7.5</v>
      </c>
      <c r="J316" s="21" t="s">
        <v>571</v>
      </c>
      <c r="K316" s="22">
        <v>208</v>
      </c>
      <c r="L316" s="23">
        <f t="shared" si="50"/>
        <v>1560</v>
      </c>
      <c r="M316" s="44" t="s">
        <v>123</v>
      </c>
      <c r="N316" s="25" t="s">
        <v>124</v>
      </c>
      <c r="O316" s="25">
        <v>17</v>
      </c>
      <c r="P316" s="45" t="s">
        <v>125</v>
      </c>
      <c r="Q316" s="45">
        <v>21</v>
      </c>
      <c r="R316" s="17"/>
      <c r="S316" s="25"/>
      <c r="T316" s="26">
        <v>2057</v>
      </c>
      <c r="U316" s="26" t="s">
        <v>126</v>
      </c>
      <c r="V316" s="26">
        <v>2054</v>
      </c>
      <c r="W316" s="26" t="s">
        <v>127</v>
      </c>
      <c r="X316" s="66">
        <v>44816</v>
      </c>
      <c r="Y316" s="66">
        <v>45086</v>
      </c>
      <c r="Z316" s="66"/>
      <c r="AA316" s="66"/>
      <c r="AB316" s="26" t="s">
        <v>309</v>
      </c>
      <c r="AC316" s="26"/>
      <c r="AD316" s="28"/>
      <c r="AE316" s="28"/>
      <c r="AF316" s="28"/>
      <c r="AG316" s="28" t="s">
        <v>90</v>
      </c>
      <c r="AH316" s="28" t="s">
        <v>90</v>
      </c>
      <c r="AI316" s="28" t="s">
        <v>90</v>
      </c>
      <c r="AJ316" s="28" t="s">
        <v>90</v>
      </c>
      <c r="AK316" s="28" t="s">
        <v>90</v>
      </c>
      <c r="AL316" s="28" t="s">
        <v>90</v>
      </c>
      <c r="AM316" s="28" t="s">
        <v>90</v>
      </c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9">
        <f>6.3+12.77</f>
        <v>19.07</v>
      </c>
      <c r="AY316" s="30"/>
      <c r="AZ316" s="30"/>
      <c r="BA316" s="29"/>
      <c r="BB316" s="29"/>
      <c r="BC316" s="30"/>
      <c r="BD316" s="31">
        <f t="shared" si="51"/>
        <v>3966.56</v>
      </c>
      <c r="BE316" s="31"/>
      <c r="BF316" s="30"/>
      <c r="BG316" s="36">
        <v>1</v>
      </c>
      <c r="BH316" s="31">
        <f t="shared" si="58"/>
        <v>0</v>
      </c>
      <c r="BI316" s="31">
        <f t="shared" si="59"/>
        <v>0</v>
      </c>
      <c r="BJ316" s="33">
        <f t="shared" si="60"/>
        <v>0</v>
      </c>
      <c r="BK316" s="30"/>
      <c r="BL316" s="30"/>
      <c r="BM316" s="30"/>
      <c r="BN316" s="31">
        <f>IF((AX316+AY316+AZ316)&lt;20,(20-(AX316+AY316+AZ316)),0)</f>
        <v>0.92999999999999972</v>
      </c>
      <c r="BO316" s="33">
        <f t="shared" si="52"/>
        <v>193.43999999999994</v>
      </c>
      <c r="BP316" s="30">
        <v>17</v>
      </c>
      <c r="BQ316" s="30">
        <v>25</v>
      </c>
      <c r="BR316" s="30"/>
      <c r="BS316" s="30"/>
      <c r="BT316" s="34">
        <f t="shared" si="53"/>
        <v>20</v>
      </c>
      <c r="BU316" s="34"/>
      <c r="BV316" s="34"/>
      <c r="BW316" s="34"/>
      <c r="BX316" s="34"/>
      <c r="BY316" s="30"/>
      <c r="BZ316" s="31">
        <f t="shared" si="54"/>
        <v>340</v>
      </c>
      <c r="CA316" s="31">
        <f t="shared" si="49"/>
        <v>500</v>
      </c>
    </row>
    <row r="317" spans="1:79" ht="51" x14ac:dyDescent="0.25">
      <c r="A317" s="17"/>
      <c r="B317" s="2">
        <v>311</v>
      </c>
      <c r="C317" s="18">
        <v>204</v>
      </c>
      <c r="D317" s="18">
        <v>226</v>
      </c>
      <c r="E317" s="19">
        <v>0.27013888888888887</v>
      </c>
      <c r="F317" s="19">
        <v>0.28263888888888888</v>
      </c>
      <c r="G317" s="18" t="s">
        <v>820</v>
      </c>
      <c r="H317" s="18" t="s">
        <v>273</v>
      </c>
      <c r="I317" s="20">
        <v>10</v>
      </c>
      <c r="J317" s="21" t="s">
        <v>81</v>
      </c>
      <c r="K317" s="22">
        <v>174</v>
      </c>
      <c r="L317" s="23">
        <f t="shared" si="50"/>
        <v>1740</v>
      </c>
      <c r="M317" s="24" t="s">
        <v>333</v>
      </c>
      <c r="N317" s="25" t="s">
        <v>821</v>
      </c>
      <c r="O317" s="25">
        <v>55</v>
      </c>
      <c r="P317" s="25" t="s">
        <v>335</v>
      </c>
      <c r="Q317" s="25">
        <v>54</v>
      </c>
      <c r="R317" s="25" t="s">
        <v>336</v>
      </c>
      <c r="S317" s="25">
        <v>57</v>
      </c>
      <c r="T317" s="26">
        <v>2054</v>
      </c>
      <c r="U317" s="26" t="s">
        <v>127</v>
      </c>
      <c r="V317" s="26">
        <v>2127</v>
      </c>
      <c r="W317" s="26" t="s">
        <v>344</v>
      </c>
      <c r="X317" s="66">
        <v>44816</v>
      </c>
      <c r="Y317" s="66">
        <v>45086</v>
      </c>
      <c r="Z317" s="66"/>
      <c r="AA317" s="66"/>
      <c r="AB317" s="26" t="s">
        <v>282</v>
      </c>
      <c r="AC317" s="26"/>
      <c r="AD317" s="28"/>
      <c r="AE317" s="28"/>
      <c r="AF317" s="28"/>
      <c r="AG317" s="28" t="s">
        <v>90</v>
      </c>
      <c r="AH317" s="28" t="s">
        <v>90</v>
      </c>
      <c r="AI317" s="28" t="s">
        <v>90</v>
      </c>
      <c r="AJ317" s="28" t="s">
        <v>90</v>
      </c>
      <c r="AK317" s="28" t="s">
        <v>90</v>
      </c>
      <c r="AL317" s="28" t="s">
        <v>90</v>
      </c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9">
        <v>30</v>
      </c>
      <c r="AY317" s="30"/>
      <c r="AZ317" s="30"/>
      <c r="BA317" s="29"/>
      <c r="BB317" s="29"/>
      <c r="BC317" s="30"/>
      <c r="BD317" s="31">
        <f t="shared" si="51"/>
        <v>5220</v>
      </c>
      <c r="BE317" s="31"/>
      <c r="BF317" s="30"/>
      <c r="BG317" s="32">
        <v>2</v>
      </c>
      <c r="BH317" s="31">
        <f t="shared" si="58"/>
        <v>0</v>
      </c>
      <c r="BI317" s="31">
        <f t="shared" si="59"/>
        <v>0</v>
      </c>
      <c r="BJ317" s="33">
        <f t="shared" si="60"/>
        <v>0</v>
      </c>
      <c r="BK317" s="30"/>
      <c r="BL317" s="30"/>
      <c r="BM317" s="30"/>
      <c r="BN317" s="31">
        <f>IF((AX317+AY317+AZ317)&lt;20,(20-(AX317+AY317+AZ317)),0)</f>
        <v>0</v>
      </c>
      <c r="BO317" s="33">
        <f t="shared" si="52"/>
        <v>0</v>
      </c>
      <c r="BP317" s="30">
        <v>15</v>
      </c>
      <c r="BQ317" s="30">
        <v>20</v>
      </c>
      <c r="BR317" s="30"/>
      <c r="BS317" s="30"/>
      <c r="BT317" s="34">
        <f t="shared" si="53"/>
        <v>30</v>
      </c>
      <c r="BU317" s="34"/>
      <c r="BV317" s="34"/>
      <c r="BW317" s="34"/>
      <c r="BX317" s="34"/>
      <c r="BY317" s="30"/>
      <c r="BZ317" s="31">
        <f t="shared" si="54"/>
        <v>450</v>
      </c>
      <c r="CA317" s="31">
        <f t="shared" si="49"/>
        <v>600</v>
      </c>
    </row>
    <row r="318" spans="1:79" ht="51" x14ac:dyDescent="0.25">
      <c r="A318" s="17"/>
      <c r="B318" s="2">
        <v>312</v>
      </c>
      <c r="C318" s="18">
        <v>204</v>
      </c>
      <c r="D318" s="21">
        <v>405</v>
      </c>
      <c r="E318" s="19">
        <v>0.2722222222222222</v>
      </c>
      <c r="F318" s="19">
        <v>0.27708333333333335</v>
      </c>
      <c r="G318" s="18" t="s">
        <v>120</v>
      </c>
      <c r="H318" s="18" t="s">
        <v>822</v>
      </c>
      <c r="I318" s="20">
        <v>4</v>
      </c>
      <c r="J318" s="21" t="s">
        <v>122</v>
      </c>
      <c r="K318" s="22">
        <v>29</v>
      </c>
      <c r="L318" s="23">
        <f t="shared" si="50"/>
        <v>116</v>
      </c>
      <c r="M318" s="44" t="s">
        <v>123</v>
      </c>
      <c r="N318" s="25" t="s">
        <v>124</v>
      </c>
      <c r="O318" s="25">
        <v>17</v>
      </c>
      <c r="P318" s="45" t="s">
        <v>125</v>
      </c>
      <c r="Q318" s="45">
        <v>21</v>
      </c>
      <c r="R318" s="17"/>
      <c r="S318" s="25"/>
      <c r="T318" s="26">
        <v>2057</v>
      </c>
      <c r="U318" s="26" t="s">
        <v>126</v>
      </c>
      <c r="V318" s="26">
        <v>2054</v>
      </c>
      <c r="W318" s="26" t="s">
        <v>127</v>
      </c>
      <c r="X318" s="27">
        <v>44816</v>
      </c>
      <c r="Y318" s="27">
        <v>45100</v>
      </c>
      <c r="Z318" s="27"/>
      <c r="AA318" s="27"/>
      <c r="AB318" s="26" t="s">
        <v>360</v>
      </c>
      <c r="AC318" s="26"/>
      <c r="AD318" s="28" t="s">
        <v>90</v>
      </c>
      <c r="AE318" s="28"/>
      <c r="AF318" s="28" t="s">
        <v>90</v>
      </c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 t="s">
        <v>90</v>
      </c>
      <c r="AS318" s="28" t="s">
        <v>90</v>
      </c>
      <c r="AT318" s="28" t="s">
        <v>90</v>
      </c>
      <c r="AU318" s="28" t="s">
        <v>90</v>
      </c>
      <c r="AV318" s="28" t="s">
        <v>90</v>
      </c>
      <c r="AW318" s="28" t="s">
        <v>90</v>
      </c>
      <c r="AX318" s="29">
        <v>25</v>
      </c>
      <c r="AY318" s="30"/>
      <c r="AZ318" s="30"/>
      <c r="BA318" s="29"/>
      <c r="BB318" s="29"/>
      <c r="BC318" s="30"/>
      <c r="BD318" s="31">
        <f t="shared" si="51"/>
        <v>725</v>
      </c>
      <c r="BE318" s="31"/>
      <c r="BF318" s="30"/>
      <c r="BG318" s="36">
        <v>1</v>
      </c>
      <c r="BH318" s="31">
        <f t="shared" si="58"/>
        <v>0</v>
      </c>
      <c r="BI318" s="31">
        <f t="shared" si="59"/>
        <v>0</v>
      </c>
      <c r="BJ318" s="33">
        <f t="shared" si="60"/>
        <v>0</v>
      </c>
      <c r="BK318" s="30"/>
      <c r="BL318" s="30"/>
      <c r="BM318" s="30"/>
      <c r="BN318" s="31">
        <f>IF((AX318+AY318+AZ318)&lt;20,(20-(AX318+AY318+AZ318)),0)</f>
        <v>0</v>
      </c>
      <c r="BO318" s="33">
        <f t="shared" si="52"/>
        <v>0</v>
      </c>
      <c r="BP318" s="30">
        <v>0</v>
      </c>
      <c r="BQ318" s="30">
        <v>1</v>
      </c>
      <c r="BR318" s="30"/>
      <c r="BS318" s="30"/>
      <c r="BT318" s="34">
        <f t="shared" si="53"/>
        <v>25</v>
      </c>
      <c r="BU318" s="34"/>
      <c r="BV318" s="34"/>
      <c r="BW318" s="34"/>
      <c r="BX318" s="34"/>
      <c r="BY318" s="30"/>
      <c r="BZ318" s="31">
        <f t="shared" si="54"/>
        <v>0</v>
      </c>
      <c r="CA318" s="31">
        <f t="shared" si="49"/>
        <v>25</v>
      </c>
    </row>
    <row r="319" spans="1:79" ht="38.25" x14ac:dyDescent="0.25">
      <c r="A319" s="17"/>
      <c r="B319" s="2">
        <v>313</v>
      </c>
      <c r="C319" s="18">
        <v>204</v>
      </c>
      <c r="D319" s="21">
        <v>405</v>
      </c>
      <c r="E319" s="19">
        <v>0.27291666666666664</v>
      </c>
      <c r="F319" s="19">
        <v>0.27708333333333335</v>
      </c>
      <c r="G319" s="18" t="s">
        <v>120</v>
      </c>
      <c r="H319" s="18" t="s">
        <v>121</v>
      </c>
      <c r="I319" s="20">
        <v>4</v>
      </c>
      <c r="J319" s="21" t="s">
        <v>122</v>
      </c>
      <c r="K319" s="22">
        <v>67</v>
      </c>
      <c r="L319" s="23">
        <f t="shared" si="50"/>
        <v>268</v>
      </c>
      <c r="M319" s="44" t="s">
        <v>123</v>
      </c>
      <c r="N319" s="25" t="s">
        <v>124</v>
      </c>
      <c r="O319" s="25">
        <v>17</v>
      </c>
      <c r="P319" s="45" t="s">
        <v>125</v>
      </c>
      <c r="Q319" s="45">
        <v>21</v>
      </c>
      <c r="R319" s="17"/>
      <c r="S319" s="25"/>
      <c r="T319" s="26">
        <v>2057</v>
      </c>
      <c r="U319" s="26" t="s">
        <v>126</v>
      </c>
      <c r="V319" s="26">
        <v>2054</v>
      </c>
      <c r="W319" s="26" t="s">
        <v>127</v>
      </c>
      <c r="X319" s="27">
        <v>44562</v>
      </c>
      <c r="Y319" s="27">
        <v>44815</v>
      </c>
      <c r="Z319" s="27">
        <v>45101</v>
      </c>
      <c r="AA319" s="27">
        <v>45169</v>
      </c>
      <c r="AB319" s="28" t="s">
        <v>89</v>
      </c>
      <c r="AC319" s="28"/>
      <c r="AD319" s="28"/>
      <c r="AE319" s="28" t="s">
        <v>90</v>
      </c>
      <c r="AF319" s="28" t="s">
        <v>90</v>
      </c>
      <c r="AG319" s="28"/>
      <c r="AH319" s="28" t="s">
        <v>90</v>
      </c>
      <c r="AI319" s="28" t="s">
        <v>90</v>
      </c>
      <c r="AJ319" s="28" t="s">
        <v>90</v>
      </c>
      <c r="AK319" s="28" t="s">
        <v>90</v>
      </c>
      <c r="AL319" s="28" t="s">
        <v>90</v>
      </c>
      <c r="AM319" s="28" t="s">
        <v>90</v>
      </c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9">
        <v>25</v>
      </c>
      <c r="AY319" s="30"/>
      <c r="AZ319" s="30"/>
      <c r="BA319" s="29"/>
      <c r="BB319" s="29"/>
      <c r="BC319" s="30"/>
      <c r="BD319" s="31">
        <f t="shared" si="51"/>
        <v>1675</v>
      </c>
      <c r="BE319" s="31"/>
      <c r="BF319" s="30"/>
      <c r="BG319" s="36">
        <v>1</v>
      </c>
      <c r="BH319" s="31">
        <f t="shared" si="58"/>
        <v>0</v>
      </c>
      <c r="BI319" s="31">
        <f t="shared" si="59"/>
        <v>0</v>
      </c>
      <c r="BJ319" s="33">
        <f t="shared" si="60"/>
        <v>0</v>
      </c>
      <c r="BK319" s="30"/>
      <c r="BL319" s="30"/>
      <c r="BM319" s="30"/>
      <c r="BN319" s="31">
        <f>IF((AX319+AY319+AZ319)&lt;20,(20-(AX319+AY319+AZ319)),0)</f>
        <v>0</v>
      </c>
      <c r="BO319" s="33">
        <f t="shared" si="52"/>
        <v>0</v>
      </c>
      <c r="BP319" s="30">
        <v>9</v>
      </c>
      <c r="BQ319" s="30">
        <v>0</v>
      </c>
      <c r="BR319" s="30"/>
      <c r="BS319" s="30"/>
      <c r="BT319" s="34">
        <f t="shared" si="53"/>
        <v>25</v>
      </c>
      <c r="BU319" s="34"/>
      <c r="BV319" s="34"/>
      <c r="BW319" s="34"/>
      <c r="BX319" s="34"/>
      <c r="BY319" s="30"/>
      <c r="BZ319" s="31">
        <f t="shared" si="54"/>
        <v>225</v>
      </c>
      <c r="CA319" s="31">
        <f t="shared" si="49"/>
        <v>0</v>
      </c>
    </row>
    <row r="320" spans="1:79" ht="25.5" x14ac:dyDescent="0.25">
      <c r="A320" s="17"/>
      <c r="B320" s="2">
        <v>314</v>
      </c>
      <c r="C320" s="18">
        <v>204</v>
      </c>
      <c r="D320" s="18">
        <v>313</v>
      </c>
      <c r="E320" s="19">
        <v>0.2986111111111111</v>
      </c>
      <c r="F320" s="19">
        <v>0.33124999999999999</v>
      </c>
      <c r="G320" s="18" t="s">
        <v>823</v>
      </c>
      <c r="H320" s="18" t="s">
        <v>824</v>
      </c>
      <c r="I320" s="20">
        <v>27</v>
      </c>
      <c r="J320" s="21" t="s">
        <v>93</v>
      </c>
      <c r="K320" s="22">
        <v>45</v>
      </c>
      <c r="L320" s="23">
        <f t="shared" si="50"/>
        <v>1215</v>
      </c>
      <c r="M320" s="24" t="s">
        <v>129</v>
      </c>
      <c r="N320" s="25" t="s">
        <v>802</v>
      </c>
      <c r="O320" s="25">
        <v>24</v>
      </c>
      <c r="P320" s="25" t="s">
        <v>787</v>
      </c>
      <c r="Q320" s="25">
        <v>23</v>
      </c>
      <c r="R320" s="25" t="s">
        <v>796</v>
      </c>
      <c r="S320" s="35">
        <v>23</v>
      </c>
      <c r="T320" s="26">
        <v>2054</v>
      </c>
      <c r="U320" s="26" t="s">
        <v>127</v>
      </c>
      <c r="V320" s="26">
        <v>1</v>
      </c>
      <c r="W320" s="26" t="s">
        <v>300</v>
      </c>
      <c r="X320" s="27">
        <v>44816</v>
      </c>
      <c r="Y320" s="27">
        <v>45100</v>
      </c>
      <c r="Z320" s="27"/>
      <c r="AA320" s="27"/>
      <c r="AB320" s="26" t="s">
        <v>289</v>
      </c>
      <c r="AC320" s="26"/>
      <c r="AD320" s="28" t="s">
        <v>90</v>
      </c>
      <c r="AE320" s="28"/>
      <c r="AF320" s="28"/>
      <c r="AG320" s="28"/>
      <c r="AH320" s="28"/>
      <c r="AI320" s="28"/>
      <c r="AJ320" s="28"/>
      <c r="AK320" s="28"/>
      <c r="AL320" s="28"/>
      <c r="AM320" s="28"/>
      <c r="AN320" s="28" t="s">
        <v>90</v>
      </c>
      <c r="AO320" s="28"/>
      <c r="AP320" s="28"/>
      <c r="AQ320" s="28"/>
      <c r="AR320" s="28"/>
      <c r="AS320" s="28"/>
      <c r="AT320" s="28"/>
      <c r="AU320" s="28"/>
      <c r="AV320" s="28"/>
      <c r="AW320" s="28"/>
      <c r="AX320" s="29">
        <v>48.6</v>
      </c>
      <c r="AY320" s="30"/>
      <c r="AZ320" s="30"/>
      <c r="BA320" s="29"/>
      <c r="BB320" s="29"/>
      <c r="BC320" s="30"/>
      <c r="BD320" s="31">
        <f t="shared" si="51"/>
        <v>2187</v>
      </c>
      <c r="BE320" s="31"/>
      <c r="BF320" s="30"/>
      <c r="BG320" s="36">
        <v>1</v>
      </c>
      <c r="BH320" s="31">
        <f t="shared" si="58"/>
        <v>5.3999999999999986</v>
      </c>
      <c r="BI320" s="31">
        <f t="shared" si="59"/>
        <v>0</v>
      </c>
      <c r="BJ320" s="31">
        <f t="shared" si="60"/>
        <v>242.99999999999994</v>
      </c>
      <c r="BK320" s="30"/>
      <c r="BL320" s="30"/>
      <c r="BM320" s="30"/>
      <c r="BN320" s="30"/>
      <c r="BO320" s="33">
        <f t="shared" si="52"/>
        <v>0</v>
      </c>
      <c r="BP320" s="30">
        <v>2</v>
      </c>
      <c r="BQ320" s="30">
        <v>5</v>
      </c>
      <c r="BR320" s="30"/>
      <c r="BS320" s="30"/>
      <c r="BT320" s="34">
        <f t="shared" si="53"/>
        <v>54</v>
      </c>
      <c r="BU320" s="34"/>
      <c r="BV320" s="34"/>
      <c r="BW320" s="34"/>
      <c r="BX320" s="34"/>
      <c r="BY320" s="30"/>
      <c r="BZ320" s="31">
        <f t="shared" si="54"/>
        <v>108</v>
      </c>
      <c r="CA320" s="31">
        <f t="shared" si="49"/>
        <v>270</v>
      </c>
    </row>
    <row r="321" spans="1:79" ht="25.5" x14ac:dyDescent="0.25">
      <c r="A321" s="17"/>
      <c r="B321" s="2">
        <v>315</v>
      </c>
      <c r="C321" s="18">
        <v>204</v>
      </c>
      <c r="D321" s="18">
        <v>313</v>
      </c>
      <c r="E321" s="19">
        <v>0.2986111111111111</v>
      </c>
      <c r="F321" s="19">
        <v>0.33124999999999999</v>
      </c>
      <c r="G321" s="18" t="s">
        <v>823</v>
      </c>
      <c r="H321" s="18" t="s">
        <v>290</v>
      </c>
      <c r="I321" s="20">
        <v>27</v>
      </c>
      <c r="J321" s="21" t="s">
        <v>93</v>
      </c>
      <c r="K321" s="22">
        <v>13</v>
      </c>
      <c r="L321" s="23">
        <f t="shared" si="50"/>
        <v>351</v>
      </c>
      <c r="M321" s="24" t="s">
        <v>129</v>
      </c>
      <c r="N321" s="25" t="s">
        <v>802</v>
      </c>
      <c r="O321" s="25">
        <v>24</v>
      </c>
      <c r="P321" s="25" t="s">
        <v>787</v>
      </c>
      <c r="Q321" s="25">
        <v>23</v>
      </c>
      <c r="R321" s="25" t="s">
        <v>796</v>
      </c>
      <c r="S321" s="35">
        <v>23</v>
      </c>
      <c r="T321" s="26">
        <v>2054</v>
      </c>
      <c r="U321" s="26" t="s">
        <v>127</v>
      </c>
      <c r="V321" s="26">
        <v>1</v>
      </c>
      <c r="W321" s="26" t="s">
        <v>300</v>
      </c>
      <c r="X321" s="27">
        <v>44562</v>
      </c>
      <c r="Y321" s="27">
        <v>44815</v>
      </c>
      <c r="Z321" s="27">
        <v>45101</v>
      </c>
      <c r="AA321" s="27">
        <v>45169</v>
      </c>
      <c r="AB321" s="62" t="s">
        <v>291</v>
      </c>
      <c r="AC321" s="62"/>
      <c r="AD321" s="28"/>
      <c r="AE321" s="28" t="s">
        <v>90</v>
      </c>
      <c r="AF321" s="28"/>
      <c r="AG321" s="28"/>
      <c r="AH321" s="28"/>
      <c r="AI321" s="28"/>
      <c r="AJ321" s="28"/>
      <c r="AK321" s="28"/>
      <c r="AL321" s="28"/>
      <c r="AM321" s="28"/>
      <c r="AN321" s="28" t="s">
        <v>90</v>
      </c>
      <c r="AO321" s="28"/>
      <c r="AP321" s="28"/>
      <c r="AQ321" s="28"/>
      <c r="AR321" s="28"/>
      <c r="AS321" s="28"/>
      <c r="AT321" s="28"/>
      <c r="AU321" s="28"/>
      <c r="AV321" s="28"/>
      <c r="AW321" s="28"/>
      <c r="AX321" s="29">
        <v>48.6</v>
      </c>
      <c r="AY321" s="30"/>
      <c r="AZ321" s="30"/>
      <c r="BA321" s="29"/>
      <c r="BB321" s="29"/>
      <c r="BC321" s="30"/>
      <c r="BD321" s="31">
        <f t="shared" si="51"/>
        <v>631.80000000000007</v>
      </c>
      <c r="BE321" s="31"/>
      <c r="BF321" s="30"/>
      <c r="BG321" s="36">
        <v>1</v>
      </c>
      <c r="BH321" s="31">
        <f t="shared" si="58"/>
        <v>5.3999999999999986</v>
      </c>
      <c r="BI321" s="31">
        <f t="shared" si="59"/>
        <v>0</v>
      </c>
      <c r="BJ321" s="31">
        <f t="shared" si="60"/>
        <v>70.199999999999989</v>
      </c>
      <c r="BK321" s="30"/>
      <c r="BL321" s="30"/>
      <c r="BM321" s="30"/>
      <c r="BN321" s="30"/>
      <c r="BO321" s="33">
        <f t="shared" si="52"/>
        <v>0</v>
      </c>
      <c r="BP321" s="30">
        <v>2</v>
      </c>
      <c r="BQ321" s="30">
        <v>0</v>
      </c>
      <c r="BR321" s="30"/>
      <c r="BS321" s="30"/>
      <c r="BT321" s="34">
        <f t="shared" si="53"/>
        <v>54</v>
      </c>
      <c r="BU321" s="34"/>
      <c r="BV321" s="34"/>
      <c r="BW321" s="34"/>
      <c r="BX321" s="34"/>
      <c r="BY321" s="30"/>
      <c r="BZ321" s="31">
        <f t="shared" si="54"/>
        <v>108</v>
      </c>
      <c r="CA321" s="31">
        <f t="shared" si="49"/>
        <v>0</v>
      </c>
    </row>
    <row r="322" spans="1:79" ht="51" x14ac:dyDescent="0.25">
      <c r="A322" s="90" t="s">
        <v>825</v>
      </c>
      <c r="B322" s="2">
        <v>316</v>
      </c>
      <c r="C322" s="80">
        <v>204</v>
      </c>
      <c r="D322" s="80">
        <v>281</v>
      </c>
      <c r="E322" s="91">
        <v>0.30416666666666664</v>
      </c>
      <c r="F322" s="91">
        <v>0.30902777777777779</v>
      </c>
      <c r="G322" s="80" t="s">
        <v>338</v>
      </c>
      <c r="H322" s="80" t="s">
        <v>352</v>
      </c>
      <c r="I322" s="92">
        <v>16.899999999999999</v>
      </c>
      <c r="J322" s="93" t="s">
        <v>274</v>
      </c>
      <c r="K322" s="94"/>
      <c r="L322" s="95">
        <f t="shared" si="50"/>
        <v>0</v>
      </c>
      <c r="M322" s="96" t="s">
        <v>176</v>
      </c>
      <c r="N322" s="97"/>
      <c r="O322" s="97"/>
      <c r="P322" s="97"/>
      <c r="Q322" s="97"/>
      <c r="R322" s="97"/>
      <c r="S322" s="97"/>
      <c r="T322" s="98"/>
      <c r="U322" s="98"/>
      <c r="V322" s="98"/>
      <c r="W322" s="98"/>
      <c r="X322" s="99"/>
      <c r="Y322" s="99"/>
      <c r="Z322" s="99"/>
      <c r="AA322" s="99"/>
      <c r="AB322" s="99"/>
      <c r="AC322" s="99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98"/>
      <c r="AS322" s="98"/>
      <c r="AT322" s="98"/>
      <c r="AU322" s="98"/>
      <c r="AV322" s="98"/>
      <c r="AW322" s="98"/>
      <c r="AX322" s="99"/>
      <c r="AY322" s="99"/>
      <c r="AZ322" s="99"/>
      <c r="BA322" s="99"/>
      <c r="BB322" s="99"/>
      <c r="BC322" s="99"/>
      <c r="BD322" s="99"/>
      <c r="BE322" s="99"/>
      <c r="BF322" s="99"/>
      <c r="BG322" s="99"/>
      <c r="BH322" s="99"/>
      <c r="BI322" s="99"/>
      <c r="BJ322" s="99"/>
      <c r="BK322" s="99"/>
      <c r="BL322" s="99"/>
      <c r="BM322" s="99"/>
      <c r="BN322" s="99"/>
      <c r="BO322" s="100"/>
      <c r="BP322" s="101"/>
      <c r="BQ322" s="101"/>
      <c r="BR322" s="101"/>
      <c r="BS322" s="101"/>
      <c r="BT322" s="102"/>
      <c r="BU322" s="102"/>
      <c r="BV322" s="102"/>
      <c r="BW322" s="102"/>
      <c r="BX322" s="102"/>
      <c r="BY322" s="101"/>
      <c r="BZ322" s="103"/>
      <c r="CA322" s="31">
        <f t="shared" si="49"/>
        <v>0</v>
      </c>
    </row>
    <row r="323" spans="1:79" ht="51" x14ac:dyDescent="0.25">
      <c r="A323" s="17"/>
      <c r="B323" s="2">
        <v>317</v>
      </c>
      <c r="C323" s="18">
        <v>204</v>
      </c>
      <c r="D323" s="18">
        <v>468</v>
      </c>
      <c r="E323" s="59">
        <v>0.3611111111111111</v>
      </c>
      <c r="F323" s="59">
        <v>0.37777777777777777</v>
      </c>
      <c r="G323" s="18" t="s">
        <v>826</v>
      </c>
      <c r="H323" s="18" t="s">
        <v>349</v>
      </c>
      <c r="I323" s="20">
        <v>14</v>
      </c>
      <c r="J323" s="21" t="s">
        <v>93</v>
      </c>
      <c r="K323" s="22">
        <v>202</v>
      </c>
      <c r="L323" s="23">
        <f t="shared" si="50"/>
        <v>2828</v>
      </c>
      <c r="M323" s="24" t="s">
        <v>129</v>
      </c>
      <c r="N323" s="25" t="s">
        <v>796</v>
      </c>
      <c r="O323" s="25">
        <v>23</v>
      </c>
      <c r="P323" s="25" t="s">
        <v>779</v>
      </c>
      <c r="Q323" s="25">
        <v>21</v>
      </c>
      <c r="R323" s="25" t="s">
        <v>802</v>
      </c>
      <c r="S323" s="35">
        <v>24</v>
      </c>
      <c r="T323" s="26" t="s">
        <v>132</v>
      </c>
      <c r="U323" s="26" t="s">
        <v>133</v>
      </c>
      <c r="V323" s="26">
        <v>2054</v>
      </c>
      <c r="W323" s="26" t="s">
        <v>127</v>
      </c>
      <c r="X323" s="27">
        <v>44816</v>
      </c>
      <c r="Y323" s="27">
        <v>45100</v>
      </c>
      <c r="Z323" s="27"/>
      <c r="AA323" s="27"/>
      <c r="AB323" s="26" t="s">
        <v>351</v>
      </c>
      <c r="AC323" s="26"/>
      <c r="AD323" s="28" t="s">
        <v>90</v>
      </c>
      <c r="AE323" s="28"/>
      <c r="AF323" s="28" t="s">
        <v>90</v>
      </c>
      <c r="AG323" s="28"/>
      <c r="AH323" s="28" t="s">
        <v>90</v>
      </c>
      <c r="AI323" s="28" t="s">
        <v>90</v>
      </c>
      <c r="AJ323" s="28" t="s">
        <v>90</v>
      </c>
      <c r="AK323" s="28" t="s">
        <v>90</v>
      </c>
      <c r="AL323" s="28" t="s">
        <v>90</v>
      </c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9">
        <v>25.2</v>
      </c>
      <c r="AY323" s="30"/>
      <c r="AZ323" s="30"/>
      <c r="BA323" s="29"/>
      <c r="BB323" s="29"/>
      <c r="BC323" s="30"/>
      <c r="BD323" s="31">
        <f t="shared" ref="BD323:BD386" si="61">AX323*K323</f>
        <v>5090.3999999999996</v>
      </c>
      <c r="BE323" s="31"/>
      <c r="BF323" s="30"/>
      <c r="BG323" s="36">
        <v>1</v>
      </c>
      <c r="BH323" s="31">
        <f t="shared" ref="BH323:BH334" si="62">IF(AND((AX323/I323)&lt;2,BG323=1),(I323*2)-AX323,0)</f>
        <v>2.8000000000000007</v>
      </c>
      <c r="BI323" s="31">
        <f t="shared" ref="BI323:BI334" si="63">IF(AND((AX323/I323)&lt;3,BG323=2),(I323*3)-AX323,0)</f>
        <v>0</v>
      </c>
      <c r="BJ323" s="31">
        <f t="shared" ref="BJ323:BJ334" si="64">(BH323+BI323)*K323</f>
        <v>565.60000000000014</v>
      </c>
      <c r="BK323" s="30"/>
      <c r="BL323" s="30"/>
      <c r="BM323" s="30"/>
      <c r="BN323" s="30"/>
      <c r="BO323" s="33">
        <f t="shared" ref="BO323:BO386" si="65">BN323*K323</f>
        <v>0</v>
      </c>
      <c r="BP323" s="30">
        <v>15</v>
      </c>
      <c r="BQ323" s="30">
        <v>21</v>
      </c>
      <c r="BR323" s="30"/>
      <c r="BS323" s="30"/>
      <c r="BT323" s="34">
        <f t="shared" ref="BT323:BT354" si="66">SUM(AX323:AZ323)+SUM(BH323:BI323)+SUM(BK323:BL323)+BN323</f>
        <v>28</v>
      </c>
      <c r="BU323" s="34"/>
      <c r="BV323" s="34"/>
      <c r="BW323" s="34"/>
      <c r="BX323" s="34"/>
      <c r="BY323" s="30"/>
      <c r="BZ323" s="31">
        <f t="shared" ref="BZ323:BZ386" si="67">(BT323*BP323)+(BV323*BX323)</f>
        <v>420</v>
      </c>
      <c r="CA323" s="31">
        <f t="shared" ref="CA323:CA386" si="68">(BT323*BQ323)+(BW323*BX323)</f>
        <v>588</v>
      </c>
    </row>
    <row r="324" spans="1:79" ht="51" x14ac:dyDescent="0.25">
      <c r="A324" s="17"/>
      <c r="B324" s="2">
        <v>318</v>
      </c>
      <c r="C324" s="18">
        <v>204</v>
      </c>
      <c r="D324" s="21">
        <v>231</v>
      </c>
      <c r="E324" s="19">
        <v>0.3923611111111111</v>
      </c>
      <c r="F324" s="59">
        <v>0.42291666666666666</v>
      </c>
      <c r="G324" s="18" t="s">
        <v>827</v>
      </c>
      <c r="H324" s="18" t="s">
        <v>422</v>
      </c>
      <c r="I324" s="20">
        <v>29</v>
      </c>
      <c r="J324" s="21" t="s">
        <v>104</v>
      </c>
      <c r="K324" s="22">
        <v>240</v>
      </c>
      <c r="L324" s="23">
        <f t="shared" ref="L324:L387" si="69">+K324*I324</f>
        <v>6960</v>
      </c>
      <c r="M324" s="24" t="s">
        <v>129</v>
      </c>
      <c r="N324" s="25" t="s">
        <v>796</v>
      </c>
      <c r="O324" s="25">
        <v>23</v>
      </c>
      <c r="P324" s="25"/>
      <c r="Q324" s="25"/>
      <c r="R324" s="25"/>
      <c r="S324" s="25"/>
      <c r="T324" s="26">
        <v>2054</v>
      </c>
      <c r="U324" s="26" t="s">
        <v>127</v>
      </c>
      <c r="V324" s="26">
        <v>1</v>
      </c>
      <c r="W324" s="26" t="s">
        <v>300</v>
      </c>
      <c r="X324" s="27">
        <v>44816</v>
      </c>
      <c r="Y324" s="27">
        <v>45100</v>
      </c>
      <c r="Z324" s="27"/>
      <c r="AA324" s="27"/>
      <c r="AB324" s="26" t="s">
        <v>423</v>
      </c>
      <c r="AC324" s="26"/>
      <c r="AD324" s="28" t="s">
        <v>90</v>
      </c>
      <c r="AE324" s="28"/>
      <c r="AF324" s="28" t="s">
        <v>90</v>
      </c>
      <c r="AG324" s="28"/>
      <c r="AH324" s="28" t="s">
        <v>90</v>
      </c>
      <c r="AI324" s="28" t="s">
        <v>90</v>
      </c>
      <c r="AJ324" s="28" t="s">
        <v>90</v>
      </c>
      <c r="AK324" s="28" t="s">
        <v>90</v>
      </c>
      <c r="AL324" s="28" t="s">
        <v>90</v>
      </c>
      <c r="AM324" s="28" t="s">
        <v>90</v>
      </c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9">
        <f>51.2+39</f>
        <v>90.2</v>
      </c>
      <c r="AY324" s="30"/>
      <c r="AZ324" s="30"/>
      <c r="BA324" s="29"/>
      <c r="BB324" s="29"/>
      <c r="BC324" s="30"/>
      <c r="BD324" s="31">
        <f t="shared" si="61"/>
        <v>21648</v>
      </c>
      <c r="BE324" s="31"/>
      <c r="BF324" s="30"/>
      <c r="BG324" s="36">
        <v>1</v>
      </c>
      <c r="BH324" s="31">
        <f t="shared" si="62"/>
        <v>0</v>
      </c>
      <c r="BI324" s="31">
        <f t="shared" si="63"/>
        <v>0</v>
      </c>
      <c r="BJ324" s="33">
        <f t="shared" si="64"/>
        <v>0</v>
      </c>
      <c r="BK324" s="30"/>
      <c r="BL324" s="30"/>
      <c r="BM324" s="30"/>
      <c r="BN324" s="30"/>
      <c r="BO324" s="33">
        <f t="shared" si="65"/>
        <v>0</v>
      </c>
      <c r="BP324" s="30">
        <v>17</v>
      </c>
      <c r="BQ324" s="30">
        <v>26</v>
      </c>
      <c r="BR324" s="30"/>
      <c r="BS324" s="30"/>
      <c r="BT324" s="34">
        <f t="shared" si="66"/>
        <v>90.2</v>
      </c>
      <c r="BU324" s="34"/>
      <c r="BV324" s="34"/>
      <c r="BW324" s="34"/>
      <c r="BX324" s="34"/>
      <c r="BY324" s="30"/>
      <c r="BZ324" s="31">
        <f t="shared" si="67"/>
        <v>1533.4</v>
      </c>
      <c r="CA324" s="31">
        <f t="shared" si="68"/>
        <v>2345.2000000000003</v>
      </c>
    </row>
    <row r="325" spans="1:79" ht="51" x14ac:dyDescent="0.25">
      <c r="A325" s="17"/>
      <c r="B325" s="2">
        <v>319</v>
      </c>
      <c r="C325" s="18">
        <v>204</v>
      </c>
      <c r="D325" s="18">
        <v>274</v>
      </c>
      <c r="E325" s="19">
        <v>0.42499999999999999</v>
      </c>
      <c r="F325" s="19">
        <v>0.4458333333333333</v>
      </c>
      <c r="G325" s="18" t="s">
        <v>828</v>
      </c>
      <c r="H325" s="18" t="s">
        <v>352</v>
      </c>
      <c r="I325" s="20">
        <v>17.899999999999999</v>
      </c>
      <c r="J325" s="21" t="s">
        <v>104</v>
      </c>
      <c r="K325" s="22">
        <v>55</v>
      </c>
      <c r="L325" s="23">
        <f t="shared" si="69"/>
        <v>984.49999999999989</v>
      </c>
      <c r="M325" s="24" t="s">
        <v>129</v>
      </c>
      <c r="N325" s="25" t="s">
        <v>130</v>
      </c>
      <c r="O325" s="25">
        <v>37</v>
      </c>
      <c r="P325" s="25" t="s">
        <v>131</v>
      </c>
      <c r="Q325" s="25">
        <v>45</v>
      </c>
      <c r="R325" s="25"/>
      <c r="S325" s="25"/>
      <c r="T325" s="26" t="s">
        <v>132</v>
      </c>
      <c r="U325" s="26" t="s">
        <v>133</v>
      </c>
      <c r="V325" s="26">
        <v>2057</v>
      </c>
      <c r="W325" s="26" t="s">
        <v>126</v>
      </c>
      <c r="X325" s="27">
        <v>44562</v>
      </c>
      <c r="Y325" s="27">
        <v>44815</v>
      </c>
      <c r="Z325" s="27">
        <v>45101</v>
      </c>
      <c r="AA325" s="27">
        <v>45169</v>
      </c>
      <c r="AB325" s="26" t="s">
        <v>353</v>
      </c>
      <c r="AC325" s="26"/>
      <c r="AD325" s="28"/>
      <c r="AE325" s="28" t="s">
        <v>90</v>
      </c>
      <c r="AF325" s="28" t="s">
        <v>90</v>
      </c>
      <c r="AG325" s="28"/>
      <c r="AH325" s="28" t="s">
        <v>90</v>
      </c>
      <c r="AI325" s="28" t="s">
        <v>90</v>
      </c>
      <c r="AJ325" s="28" t="s">
        <v>90</v>
      </c>
      <c r="AK325" s="28" t="s">
        <v>90</v>
      </c>
      <c r="AL325" s="28" t="s">
        <v>90</v>
      </c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9">
        <v>53.7</v>
      </c>
      <c r="AY325" s="30"/>
      <c r="AZ325" s="30"/>
      <c r="BA325" s="29"/>
      <c r="BB325" s="29"/>
      <c r="BC325" s="30"/>
      <c r="BD325" s="31">
        <f t="shared" si="61"/>
        <v>2953.5</v>
      </c>
      <c r="BE325" s="31"/>
      <c r="BF325" s="30"/>
      <c r="BG325" s="36">
        <v>1</v>
      </c>
      <c r="BH325" s="31">
        <f t="shared" si="62"/>
        <v>0</v>
      </c>
      <c r="BI325" s="31">
        <f t="shared" si="63"/>
        <v>0</v>
      </c>
      <c r="BJ325" s="33">
        <f t="shared" si="64"/>
        <v>0</v>
      </c>
      <c r="BK325" s="30"/>
      <c r="BL325" s="30"/>
      <c r="BM325" s="30"/>
      <c r="BN325" s="30"/>
      <c r="BO325" s="33">
        <f t="shared" si="65"/>
        <v>0</v>
      </c>
      <c r="BP325" s="30">
        <v>7</v>
      </c>
      <c r="BQ325" s="30">
        <v>0</v>
      </c>
      <c r="BR325" s="30"/>
      <c r="BS325" s="30"/>
      <c r="BT325" s="34">
        <f t="shared" si="66"/>
        <v>53.7</v>
      </c>
      <c r="BU325" s="34"/>
      <c r="BV325" s="34"/>
      <c r="BW325" s="34"/>
      <c r="BX325" s="34"/>
      <c r="BY325" s="30"/>
      <c r="BZ325" s="31">
        <f t="shared" si="67"/>
        <v>375.90000000000003</v>
      </c>
      <c r="CA325" s="31">
        <f t="shared" si="68"/>
        <v>0</v>
      </c>
    </row>
    <row r="326" spans="1:79" ht="51" x14ac:dyDescent="0.25">
      <c r="A326" s="17"/>
      <c r="B326" s="2">
        <v>320</v>
      </c>
      <c r="C326" s="18">
        <v>204</v>
      </c>
      <c r="D326" s="18">
        <v>274</v>
      </c>
      <c r="E326" s="19">
        <v>0.45</v>
      </c>
      <c r="F326" s="19">
        <v>0.47083333333333338</v>
      </c>
      <c r="G326" s="18" t="s">
        <v>128</v>
      </c>
      <c r="H326" s="18" t="s">
        <v>80</v>
      </c>
      <c r="I326" s="20">
        <v>19.899999999999999</v>
      </c>
      <c r="J326" s="21" t="s">
        <v>104</v>
      </c>
      <c r="K326" s="22">
        <v>67</v>
      </c>
      <c r="L326" s="23">
        <f t="shared" si="69"/>
        <v>1333.3</v>
      </c>
      <c r="M326" s="24" t="s">
        <v>129</v>
      </c>
      <c r="N326" s="25" t="s">
        <v>130</v>
      </c>
      <c r="O326" s="25">
        <v>37</v>
      </c>
      <c r="P326" s="25" t="s">
        <v>131</v>
      </c>
      <c r="Q326" s="25">
        <v>45</v>
      </c>
      <c r="R326" s="25"/>
      <c r="S326" s="25"/>
      <c r="T326" s="26">
        <v>2057</v>
      </c>
      <c r="U326" s="26" t="s">
        <v>126</v>
      </c>
      <c r="V326" s="26" t="s">
        <v>132</v>
      </c>
      <c r="W326" s="26" t="s">
        <v>133</v>
      </c>
      <c r="X326" s="27">
        <v>44562</v>
      </c>
      <c r="Y326" s="27">
        <v>44815</v>
      </c>
      <c r="Z326" s="27">
        <v>45101</v>
      </c>
      <c r="AA326" s="27">
        <v>45169</v>
      </c>
      <c r="AB326" s="28" t="s">
        <v>89</v>
      </c>
      <c r="AC326" s="28"/>
      <c r="AD326" s="28"/>
      <c r="AE326" s="28" t="s">
        <v>90</v>
      </c>
      <c r="AF326" s="28" t="s">
        <v>90</v>
      </c>
      <c r="AG326" s="28"/>
      <c r="AH326" s="28" t="s">
        <v>90</v>
      </c>
      <c r="AI326" s="28" t="s">
        <v>90</v>
      </c>
      <c r="AJ326" s="28" t="s">
        <v>90</v>
      </c>
      <c r="AK326" s="28" t="s">
        <v>90</v>
      </c>
      <c r="AL326" s="28" t="s">
        <v>90</v>
      </c>
      <c r="AM326" s="28" t="s">
        <v>90</v>
      </c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9">
        <f>11.7+51.2</f>
        <v>62.900000000000006</v>
      </c>
      <c r="AY326" s="30"/>
      <c r="AZ326" s="30"/>
      <c r="BA326" s="29"/>
      <c r="BB326" s="29"/>
      <c r="BC326" s="30"/>
      <c r="BD326" s="31">
        <f t="shared" si="61"/>
        <v>4214.3</v>
      </c>
      <c r="BE326" s="31"/>
      <c r="BF326" s="30"/>
      <c r="BG326" s="36">
        <v>1</v>
      </c>
      <c r="BH326" s="31">
        <f t="shared" si="62"/>
        <v>0</v>
      </c>
      <c r="BI326" s="31">
        <f t="shared" si="63"/>
        <v>0</v>
      </c>
      <c r="BJ326" s="33">
        <f t="shared" si="64"/>
        <v>0</v>
      </c>
      <c r="BK326" s="30"/>
      <c r="BL326" s="30"/>
      <c r="BM326" s="30"/>
      <c r="BN326" s="30"/>
      <c r="BO326" s="33">
        <f t="shared" si="65"/>
        <v>0</v>
      </c>
      <c r="BP326" s="30">
        <v>9</v>
      </c>
      <c r="BQ326" s="30">
        <v>0</v>
      </c>
      <c r="BR326" s="30"/>
      <c r="BS326" s="30"/>
      <c r="BT326" s="34">
        <f t="shared" si="66"/>
        <v>62.900000000000006</v>
      </c>
      <c r="BU326" s="34"/>
      <c r="BV326" s="34"/>
      <c r="BW326" s="34"/>
      <c r="BX326" s="34"/>
      <c r="BY326" s="30"/>
      <c r="BZ326" s="31">
        <f t="shared" si="67"/>
        <v>566.1</v>
      </c>
      <c r="CA326" s="31">
        <f t="shared" si="68"/>
        <v>0</v>
      </c>
    </row>
    <row r="327" spans="1:79" ht="51" x14ac:dyDescent="0.25">
      <c r="A327" s="17"/>
      <c r="B327" s="2">
        <v>321</v>
      </c>
      <c r="C327" s="18">
        <v>204</v>
      </c>
      <c r="D327" s="21">
        <v>150</v>
      </c>
      <c r="E327" s="59">
        <v>0.49652777777777773</v>
      </c>
      <c r="F327" s="59">
        <v>0.50138888888888888</v>
      </c>
      <c r="G327" s="18" t="s">
        <v>134</v>
      </c>
      <c r="H327" s="18" t="s">
        <v>822</v>
      </c>
      <c r="I327" s="20">
        <v>4</v>
      </c>
      <c r="J327" s="21" t="s">
        <v>122</v>
      </c>
      <c r="K327" s="22">
        <v>29</v>
      </c>
      <c r="L327" s="23">
        <f t="shared" si="69"/>
        <v>116</v>
      </c>
      <c r="M327" s="44" t="s">
        <v>123</v>
      </c>
      <c r="N327" s="25" t="s">
        <v>124</v>
      </c>
      <c r="O327" s="25">
        <v>17</v>
      </c>
      <c r="P327" s="45" t="s">
        <v>125</v>
      </c>
      <c r="Q327" s="45">
        <v>21</v>
      </c>
      <c r="R327" s="17"/>
      <c r="S327" s="25"/>
      <c r="T327" s="26">
        <v>2054</v>
      </c>
      <c r="U327" s="26" t="s">
        <v>127</v>
      </c>
      <c r="V327" s="26">
        <v>2057</v>
      </c>
      <c r="W327" s="26" t="s">
        <v>126</v>
      </c>
      <c r="X327" s="27">
        <v>44816</v>
      </c>
      <c r="Y327" s="27">
        <v>45100</v>
      </c>
      <c r="Z327" s="27"/>
      <c r="AA327" s="27"/>
      <c r="AB327" s="26" t="s">
        <v>360</v>
      </c>
      <c r="AC327" s="26"/>
      <c r="AD327" s="28" t="s">
        <v>90</v>
      </c>
      <c r="AE327" s="28"/>
      <c r="AF327" s="28" t="s">
        <v>90</v>
      </c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 t="s">
        <v>90</v>
      </c>
      <c r="AS327" s="28" t="s">
        <v>90</v>
      </c>
      <c r="AT327" s="28" t="s">
        <v>90</v>
      </c>
      <c r="AU327" s="28" t="s">
        <v>90</v>
      </c>
      <c r="AV327" s="28" t="s">
        <v>90</v>
      </c>
      <c r="AW327" s="28" t="s">
        <v>90</v>
      </c>
      <c r="AX327" s="29">
        <v>18</v>
      </c>
      <c r="AY327" s="30"/>
      <c r="AZ327" s="30"/>
      <c r="BA327" s="29"/>
      <c r="BB327" s="29"/>
      <c r="BC327" s="30"/>
      <c r="BD327" s="31">
        <f t="shared" si="61"/>
        <v>522</v>
      </c>
      <c r="BE327" s="31"/>
      <c r="BF327" s="30"/>
      <c r="BG327" s="36">
        <v>1</v>
      </c>
      <c r="BH327" s="31">
        <f t="shared" si="62"/>
        <v>0</v>
      </c>
      <c r="BI327" s="31">
        <f t="shared" si="63"/>
        <v>0</v>
      </c>
      <c r="BJ327" s="33">
        <f t="shared" si="64"/>
        <v>0</v>
      </c>
      <c r="BK327" s="30"/>
      <c r="BL327" s="30"/>
      <c r="BM327" s="30"/>
      <c r="BN327" s="30"/>
      <c r="BO327" s="33">
        <f t="shared" si="65"/>
        <v>0</v>
      </c>
      <c r="BP327" s="30">
        <v>0</v>
      </c>
      <c r="BQ327" s="30">
        <v>1</v>
      </c>
      <c r="BR327" s="30"/>
      <c r="BS327" s="30"/>
      <c r="BT327" s="34">
        <f t="shared" si="66"/>
        <v>18</v>
      </c>
      <c r="BU327" s="34"/>
      <c r="BV327" s="34"/>
      <c r="BW327" s="34"/>
      <c r="BX327" s="34"/>
      <c r="BY327" s="30"/>
      <c r="BZ327" s="31">
        <f t="shared" si="67"/>
        <v>0</v>
      </c>
      <c r="CA327" s="31">
        <f t="shared" si="68"/>
        <v>18</v>
      </c>
    </row>
    <row r="328" spans="1:79" ht="51" x14ac:dyDescent="0.25">
      <c r="A328" s="17"/>
      <c r="B328" s="2">
        <v>322</v>
      </c>
      <c r="C328" s="18">
        <v>204</v>
      </c>
      <c r="D328" s="21">
        <v>150</v>
      </c>
      <c r="E328" s="19">
        <v>0.49652777777777773</v>
      </c>
      <c r="F328" s="59">
        <v>0.50138888888888888</v>
      </c>
      <c r="G328" s="18" t="s">
        <v>134</v>
      </c>
      <c r="H328" s="18" t="s">
        <v>306</v>
      </c>
      <c r="I328" s="20">
        <v>4</v>
      </c>
      <c r="J328" s="21" t="s">
        <v>122</v>
      </c>
      <c r="K328" s="22">
        <v>208</v>
      </c>
      <c r="L328" s="23">
        <f t="shared" si="69"/>
        <v>832</v>
      </c>
      <c r="M328" s="44" t="s">
        <v>123</v>
      </c>
      <c r="N328" s="25" t="s">
        <v>124</v>
      </c>
      <c r="O328" s="25">
        <v>17</v>
      </c>
      <c r="P328" s="45" t="s">
        <v>125</v>
      </c>
      <c r="Q328" s="45">
        <v>21</v>
      </c>
      <c r="R328" s="17"/>
      <c r="S328" s="25"/>
      <c r="T328" s="26">
        <v>2054</v>
      </c>
      <c r="U328" s="26" t="s">
        <v>127</v>
      </c>
      <c r="V328" s="26">
        <v>2057</v>
      </c>
      <c r="W328" s="26" t="s">
        <v>126</v>
      </c>
      <c r="X328" s="66">
        <v>44816</v>
      </c>
      <c r="Y328" s="66">
        <v>45086</v>
      </c>
      <c r="Z328" s="66"/>
      <c r="AA328" s="66"/>
      <c r="AB328" s="26" t="s">
        <v>309</v>
      </c>
      <c r="AC328" s="26"/>
      <c r="AD328" s="28"/>
      <c r="AE328" s="28"/>
      <c r="AF328" s="28"/>
      <c r="AG328" s="28" t="s">
        <v>90</v>
      </c>
      <c r="AH328" s="28" t="s">
        <v>90</v>
      </c>
      <c r="AI328" s="28" t="s">
        <v>90</v>
      </c>
      <c r="AJ328" s="28" t="s">
        <v>90</v>
      </c>
      <c r="AK328" s="28" t="s">
        <v>90</v>
      </c>
      <c r="AL328" s="28" t="s">
        <v>90</v>
      </c>
      <c r="AM328" s="28" t="s">
        <v>90</v>
      </c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9">
        <v>18</v>
      </c>
      <c r="AY328" s="30"/>
      <c r="AZ328" s="30"/>
      <c r="BA328" s="29"/>
      <c r="BB328" s="29"/>
      <c r="BC328" s="30"/>
      <c r="BD328" s="31">
        <f t="shared" si="61"/>
        <v>3744</v>
      </c>
      <c r="BE328" s="31"/>
      <c r="BF328" s="30"/>
      <c r="BG328" s="36">
        <v>1</v>
      </c>
      <c r="BH328" s="31">
        <f t="shared" si="62"/>
        <v>0</v>
      </c>
      <c r="BI328" s="31">
        <f t="shared" si="63"/>
        <v>0</v>
      </c>
      <c r="BJ328" s="33">
        <f t="shared" si="64"/>
        <v>0</v>
      </c>
      <c r="BK328" s="30"/>
      <c r="BL328" s="30"/>
      <c r="BM328" s="30"/>
      <c r="BN328" s="30"/>
      <c r="BO328" s="33">
        <f t="shared" si="65"/>
        <v>0</v>
      </c>
      <c r="BP328" s="30">
        <v>17</v>
      </c>
      <c r="BQ328" s="30">
        <v>25</v>
      </c>
      <c r="BR328" s="30"/>
      <c r="BS328" s="30"/>
      <c r="BT328" s="34">
        <f t="shared" si="66"/>
        <v>18</v>
      </c>
      <c r="BU328" s="34"/>
      <c r="BV328" s="34"/>
      <c r="BW328" s="34"/>
      <c r="BX328" s="34"/>
      <c r="BY328" s="30"/>
      <c r="BZ328" s="31">
        <f t="shared" si="67"/>
        <v>306</v>
      </c>
      <c r="CA328" s="31">
        <f t="shared" si="68"/>
        <v>450</v>
      </c>
    </row>
    <row r="329" spans="1:79" ht="38.25" x14ac:dyDescent="0.25">
      <c r="A329" s="17"/>
      <c r="B329" s="2">
        <v>323</v>
      </c>
      <c r="C329" s="18">
        <v>204</v>
      </c>
      <c r="D329" s="21">
        <v>276</v>
      </c>
      <c r="E329" s="19">
        <v>0.50486111111111109</v>
      </c>
      <c r="F329" s="19">
        <v>0.49861111111111112</v>
      </c>
      <c r="G329" s="18" t="s">
        <v>134</v>
      </c>
      <c r="H329" s="18" t="s">
        <v>121</v>
      </c>
      <c r="I329" s="20">
        <v>4</v>
      </c>
      <c r="J329" s="21" t="s">
        <v>122</v>
      </c>
      <c r="K329" s="22">
        <v>67</v>
      </c>
      <c r="L329" s="23">
        <f t="shared" si="69"/>
        <v>268</v>
      </c>
      <c r="M329" s="44" t="s">
        <v>123</v>
      </c>
      <c r="N329" s="25" t="s">
        <v>124</v>
      </c>
      <c r="O329" s="25">
        <v>17</v>
      </c>
      <c r="P329" s="45" t="s">
        <v>125</v>
      </c>
      <c r="Q329" s="45">
        <v>21</v>
      </c>
      <c r="R329" s="17"/>
      <c r="S329" s="25"/>
      <c r="T329" s="26">
        <v>2054</v>
      </c>
      <c r="U329" s="26" t="s">
        <v>127</v>
      </c>
      <c r="V329" s="26">
        <v>2057</v>
      </c>
      <c r="W329" s="26" t="s">
        <v>126</v>
      </c>
      <c r="X329" s="27">
        <v>44562</v>
      </c>
      <c r="Y329" s="27">
        <v>44815</v>
      </c>
      <c r="Z329" s="27">
        <v>45101</v>
      </c>
      <c r="AA329" s="27">
        <v>45169</v>
      </c>
      <c r="AB329" s="28" t="s">
        <v>89</v>
      </c>
      <c r="AC329" s="28"/>
      <c r="AD329" s="28"/>
      <c r="AE329" s="28" t="s">
        <v>90</v>
      </c>
      <c r="AF329" s="28" t="s">
        <v>90</v>
      </c>
      <c r="AG329" s="28"/>
      <c r="AH329" s="28" t="s">
        <v>90</v>
      </c>
      <c r="AI329" s="28" t="s">
        <v>90</v>
      </c>
      <c r="AJ329" s="28" t="s">
        <v>90</v>
      </c>
      <c r="AK329" s="28" t="s">
        <v>90</v>
      </c>
      <c r="AL329" s="28" t="s">
        <v>90</v>
      </c>
      <c r="AM329" s="28" t="s">
        <v>90</v>
      </c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9">
        <v>25</v>
      </c>
      <c r="AY329" s="30"/>
      <c r="AZ329" s="30"/>
      <c r="BA329" s="29"/>
      <c r="BB329" s="29"/>
      <c r="BC329" s="30"/>
      <c r="BD329" s="31">
        <f t="shared" si="61"/>
        <v>1675</v>
      </c>
      <c r="BE329" s="31"/>
      <c r="BF329" s="30"/>
      <c r="BG329" s="36">
        <v>1</v>
      </c>
      <c r="BH329" s="31">
        <f t="shared" si="62"/>
        <v>0</v>
      </c>
      <c r="BI329" s="31">
        <f t="shared" si="63"/>
        <v>0</v>
      </c>
      <c r="BJ329" s="33">
        <f t="shared" si="64"/>
        <v>0</v>
      </c>
      <c r="BK329" s="30"/>
      <c r="BL329" s="30"/>
      <c r="BM329" s="30"/>
      <c r="BN329" s="30"/>
      <c r="BO329" s="33">
        <f t="shared" si="65"/>
        <v>0</v>
      </c>
      <c r="BP329" s="30">
        <v>9</v>
      </c>
      <c r="BQ329" s="30">
        <v>0</v>
      </c>
      <c r="BR329" s="30"/>
      <c r="BS329" s="30"/>
      <c r="BT329" s="34">
        <f t="shared" si="66"/>
        <v>25</v>
      </c>
      <c r="BU329" s="34"/>
      <c r="BV329" s="34"/>
      <c r="BW329" s="34"/>
      <c r="BX329" s="34"/>
      <c r="BY329" s="30"/>
      <c r="BZ329" s="31">
        <f t="shared" si="67"/>
        <v>225</v>
      </c>
      <c r="CA329" s="31">
        <f t="shared" si="68"/>
        <v>0</v>
      </c>
    </row>
    <row r="330" spans="1:79" ht="63.75" x14ac:dyDescent="0.25">
      <c r="A330" s="17"/>
      <c r="B330" s="2">
        <v>324</v>
      </c>
      <c r="C330" s="18">
        <v>204</v>
      </c>
      <c r="D330" s="18">
        <v>427</v>
      </c>
      <c r="E330" s="59">
        <v>0.62361111111111112</v>
      </c>
      <c r="F330" s="59">
        <v>0.64583333333333337</v>
      </c>
      <c r="G330" s="18" t="s">
        <v>829</v>
      </c>
      <c r="H330" s="18" t="s">
        <v>273</v>
      </c>
      <c r="I330" s="20">
        <v>16</v>
      </c>
      <c r="J330" s="21" t="s">
        <v>93</v>
      </c>
      <c r="K330" s="22">
        <v>174</v>
      </c>
      <c r="L330" s="23">
        <f t="shared" si="69"/>
        <v>2784</v>
      </c>
      <c r="M330" s="24" t="s">
        <v>333</v>
      </c>
      <c r="N330" s="25" t="s">
        <v>830</v>
      </c>
      <c r="O330" s="25">
        <v>17</v>
      </c>
      <c r="P330" s="25" t="s">
        <v>336</v>
      </c>
      <c r="Q330" s="25">
        <v>57</v>
      </c>
      <c r="R330" s="25"/>
      <c r="S330" s="25"/>
      <c r="T330" s="26">
        <v>2127</v>
      </c>
      <c r="U330" s="26" t="s">
        <v>344</v>
      </c>
      <c r="V330" s="26">
        <v>2048</v>
      </c>
      <c r="W330" s="26" t="s">
        <v>337</v>
      </c>
      <c r="X330" s="66">
        <v>44816</v>
      </c>
      <c r="Y330" s="66">
        <v>45086</v>
      </c>
      <c r="Z330" s="66"/>
      <c r="AA330" s="66"/>
      <c r="AB330" s="26" t="s">
        <v>282</v>
      </c>
      <c r="AC330" s="26"/>
      <c r="AD330" s="28"/>
      <c r="AE330" s="28"/>
      <c r="AF330" s="28"/>
      <c r="AG330" s="28" t="s">
        <v>90</v>
      </c>
      <c r="AH330" s="28" t="s">
        <v>90</v>
      </c>
      <c r="AI330" s="28" t="s">
        <v>90</v>
      </c>
      <c r="AJ330" s="28" t="s">
        <v>90</v>
      </c>
      <c r="AK330" s="28" t="s">
        <v>90</v>
      </c>
      <c r="AL330" s="28" t="s">
        <v>90</v>
      </c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9">
        <v>48</v>
      </c>
      <c r="AY330" s="30"/>
      <c r="AZ330" s="30"/>
      <c r="BA330" s="29"/>
      <c r="BB330" s="29"/>
      <c r="BC330" s="30"/>
      <c r="BD330" s="31">
        <f t="shared" si="61"/>
        <v>8352</v>
      </c>
      <c r="BE330" s="31"/>
      <c r="BF330" s="30"/>
      <c r="BG330" s="36">
        <v>1</v>
      </c>
      <c r="BH330" s="31">
        <f t="shared" si="62"/>
        <v>0</v>
      </c>
      <c r="BI330" s="31">
        <f t="shared" si="63"/>
        <v>0</v>
      </c>
      <c r="BJ330" s="33">
        <f t="shared" si="64"/>
        <v>0</v>
      </c>
      <c r="BK330" s="30"/>
      <c r="BL330" s="30"/>
      <c r="BM330" s="30"/>
      <c r="BN330" s="30"/>
      <c r="BO330" s="33">
        <f t="shared" si="65"/>
        <v>0</v>
      </c>
      <c r="BP330" s="30">
        <v>15</v>
      </c>
      <c r="BQ330" s="30">
        <v>20</v>
      </c>
      <c r="BR330" s="30"/>
      <c r="BS330" s="30"/>
      <c r="BT330" s="34">
        <f t="shared" si="66"/>
        <v>48</v>
      </c>
      <c r="BU330" s="34"/>
      <c r="BV330" s="34"/>
      <c r="BW330" s="34"/>
      <c r="BX330" s="34"/>
      <c r="BY330" s="30"/>
      <c r="BZ330" s="31">
        <f t="shared" si="67"/>
        <v>720</v>
      </c>
      <c r="CA330" s="31">
        <f t="shared" si="68"/>
        <v>960</v>
      </c>
    </row>
    <row r="331" spans="1:79" ht="51" x14ac:dyDescent="0.25">
      <c r="A331" s="17"/>
      <c r="B331" s="2">
        <v>325</v>
      </c>
      <c r="C331" s="18">
        <v>204</v>
      </c>
      <c r="D331" s="18">
        <v>160</v>
      </c>
      <c r="E331" s="19">
        <v>0.71875</v>
      </c>
      <c r="F331" s="19">
        <v>0.74930555555555556</v>
      </c>
      <c r="G331" s="18" t="s">
        <v>831</v>
      </c>
      <c r="H331" s="18" t="s">
        <v>290</v>
      </c>
      <c r="I331" s="20">
        <v>27</v>
      </c>
      <c r="J331" s="21" t="s">
        <v>104</v>
      </c>
      <c r="K331" s="22">
        <v>13</v>
      </c>
      <c r="L331" s="23">
        <f t="shared" si="69"/>
        <v>351</v>
      </c>
      <c r="M331" s="24" t="s">
        <v>794</v>
      </c>
      <c r="N331" s="25" t="s">
        <v>832</v>
      </c>
      <c r="O331" s="25">
        <v>31</v>
      </c>
      <c r="P331" s="25" t="s">
        <v>833</v>
      </c>
      <c r="Q331" s="25">
        <v>57</v>
      </c>
      <c r="R331" s="17"/>
      <c r="S331" s="25"/>
      <c r="T331" s="26">
        <v>1</v>
      </c>
      <c r="U331" s="26" t="s">
        <v>179</v>
      </c>
      <c r="V331" s="26">
        <v>2054</v>
      </c>
      <c r="W331" s="26" t="s">
        <v>127</v>
      </c>
      <c r="X331" s="27">
        <v>44562</v>
      </c>
      <c r="Y331" s="27">
        <v>44815</v>
      </c>
      <c r="Z331" s="27">
        <v>45101</v>
      </c>
      <c r="AA331" s="27">
        <v>45169</v>
      </c>
      <c r="AB331" s="62" t="s">
        <v>291</v>
      </c>
      <c r="AC331" s="62"/>
      <c r="AD331" s="28"/>
      <c r="AE331" s="28" t="s">
        <v>90</v>
      </c>
      <c r="AF331" s="28"/>
      <c r="AG331" s="28"/>
      <c r="AH331" s="28"/>
      <c r="AI331" s="28"/>
      <c r="AJ331" s="28"/>
      <c r="AK331" s="28"/>
      <c r="AL331" s="28"/>
      <c r="AM331" s="28"/>
      <c r="AN331" s="28" t="s">
        <v>90</v>
      </c>
      <c r="AO331" s="28"/>
      <c r="AP331" s="28"/>
      <c r="AQ331" s="28"/>
      <c r="AR331" s="28"/>
      <c r="AS331" s="28"/>
      <c r="AT331" s="28"/>
      <c r="AU331" s="28"/>
      <c r="AV331" s="28"/>
      <c r="AW331" s="28"/>
      <c r="AX331" s="29">
        <v>81</v>
      </c>
      <c r="AY331" s="30"/>
      <c r="AZ331" s="30"/>
      <c r="BA331" s="29"/>
      <c r="BB331" s="29"/>
      <c r="BC331" s="30"/>
      <c r="BD331" s="31">
        <f t="shared" si="61"/>
        <v>1053</v>
      </c>
      <c r="BE331" s="31"/>
      <c r="BF331" s="30"/>
      <c r="BG331" s="36">
        <v>1</v>
      </c>
      <c r="BH331" s="31">
        <f t="shared" si="62"/>
        <v>0</v>
      </c>
      <c r="BI331" s="31">
        <f t="shared" si="63"/>
        <v>0</v>
      </c>
      <c r="BJ331" s="33">
        <f t="shared" si="64"/>
        <v>0</v>
      </c>
      <c r="BK331" s="30"/>
      <c r="BL331" s="30"/>
      <c r="BM331" s="30"/>
      <c r="BN331" s="30"/>
      <c r="BO331" s="33">
        <f t="shared" si="65"/>
        <v>0</v>
      </c>
      <c r="BP331" s="30">
        <v>2</v>
      </c>
      <c r="BQ331" s="30">
        <v>0</v>
      </c>
      <c r="BR331" s="30"/>
      <c r="BS331" s="30"/>
      <c r="BT331" s="34">
        <f t="shared" si="66"/>
        <v>81</v>
      </c>
      <c r="BU331" s="34"/>
      <c r="BV331" s="34"/>
      <c r="BW331" s="34"/>
      <c r="BX331" s="34"/>
      <c r="BY331" s="30"/>
      <c r="BZ331" s="31">
        <f t="shared" si="67"/>
        <v>162</v>
      </c>
      <c r="CA331" s="31">
        <f t="shared" si="68"/>
        <v>0</v>
      </c>
    </row>
    <row r="332" spans="1:79" ht="51" x14ac:dyDescent="0.25">
      <c r="A332" s="17"/>
      <c r="B332" s="2">
        <v>326</v>
      </c>
      <c r="C332" s="18">
        <v>204</v>
      </c>
      <c r="D332" s="18">
        <v>162</v>
      </c>
      <c r="E332" s="19">
        <v>0.73611111111111116</v>
      </c>
      <c r="F332" s="19">
        <v>0.75138888888888899</v>
      </c>
      <c r="G332" s="18" t="s">
        <v>831</v>
      </c>
      <c r="H332" s="18" t="s">
        <v>273</v>
      </c>
      <c r="I332" s="20">
        <v>27.6</v>
      </c>
      <c r="J332" s="21" t="s">
        <v>81</v>
      </c>
      <c r="K332" s="22">
        <v>174</v>
      </c>
      <c r="L332" s="23">
        <f t="shared" si="69"/>
        <v>4802.4000000000005</v>
      </c>
      <c r="M332" s="24" t="s">
        <v>333</v>
      </c>
      <c r="N332" s="25" t="s">
        <v>336</v>
      </c>
      <c r="O332" s="25">
        <v>57</v>
      </c>
      <c r="P332" s="25" t="s">
        <v>335</v>
      </c>
      <c r="Q332" s="25">
        <v>54</v>
      </c>
      <c r="R332" s="25" t="s">
        <v>334</v>
      </c>
      <c r="S332" s="25">
        <v>55</v>
      </c>
      <c r="T332" s="26">
        <v>1</v>
      </c>
      <c r="U332" s="26" t="s">
        <v>179</v>
      </c>
      <c r="V332" s="26">
        <v>2054</v>
      </c>
      <c r="W332" s="26" t="s">
        <v>127</v>
      </c>
      <c r="X332" s="66">
        <v>44816</v>
      </c>
      <c r="Y332" s="66">
        <v>45086</v>
      </c>
      <c r="Z332" s="66"/>
      <c r="AA332" s="66"/>
      <c r="AB332" s="26" t="s">
        <v>282</v>
      </c>
      <c r="AC332" s="26"/>
      <c r="AD332" s="28"/>
      <c r="AE332" s="28"/>
      <c r="AF332" s="28"/>
      <c r="AG332" s="28" t="s">
        <v>90</v>
      </c>
      <c r="AH332" s="28" t="s">
        <v>90</v>
      </c>
      <c r="AI332" s="28" t="s">
        <v>90</v>
      </c>
      <c r="AJ332" s="28" t="s">
        <v>90</v>
      </c>
      <c r="AK332" s="28" t="s">
        <v>90</v>
      </c>
      <c r="AL332" s="28" t="s">
        <v>90</v>
      </c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9">
        <v>82.8</v>
      </c>
      <c r="AY332" s="30"/>
      <c r="AZ332" s="30"/>
      <c r="BA332" s="29"/>
      <c r="BB332" s="29"/>
      <c r="BC332" s="30"/>
      <c r="BD332" s="31">
        <f t="shared" si="61"/>
        <v>14407.199999999999</v>
      </c>
      <c r="BE332" s="31"/>
      <c r="BF332" s="30"/>
      <c r="BG332" s="32">
        <v>2</v>
      </c>
      <c r="BH332" s="31">
        <f t="shared" si="62"/>
        <v>0</v>
      </c>
      <c r="BI332" s="31">
        <f t="shared" si="63"/>
        <v>0</v>
      </c>
      <c r="BJ332" s="33">
        <f t="shared" si="64"/>
        <v>0</v>
      </c>
      <c r="BK332" s="30"/>
      <c r="BL332" s="30"/>
      <c r="BM332" s="30"/>
      <c r="BN332" s="30"/>
      <c r="BO332" s="33">
        <f t="shared" si="65"/>
        <v>0</v>
      </c>
      <c r="BP332" s="30">
        <v>15</v>
      </c>
      <c r="BQ332" s="30">
        <v>20</v>
      </c>
      <c r="BR332" s="30"/>
      <c r="BS332" s="30"/>
      <c r="BT332" s="34">
        <f t="shared" si="66"/>
        <v>82.8</v>
      </c>
      <c r="BU332" s="34"/>
      <c r="BV332" s="34"/>
      <c r="BW332" s="34"/>
      <c r="BX332" s="34"/>
      <c r="BY332" s="30"/>
      <c r="BZ332" s="31">
        <f t="shared" si="67"/>
        <v>1242</v>
      </c>
      <c r="CA332" s="31">
        <f t="shared" si="68"/>
        <v>1656</v>
      </c>
    </row>
    <row r="333" spans="1:79" ht="51" x14ac:dyDescent="0.25">
      <c r="A333" s="17"/>
      <c r="B333" s="2">
        <v>327</v>
      </c>
      <c r="C333" s="18">
        <v>204</v>
      </c>
      <c r="D333" s="21">
        <v>412</v>
      </c>
      <c r="E333" s="19">
        <v>0.75</v>
      </c>
      <c r="F333" s="19">
        <v>0.75486111111111109</v>
      </c>
      <c r="G333" s="18" t="s">
        <v>134</v>
      </c>
      <c r="H333" s="18" t="s">
        <v>822</v>
      </c>
      <c r="I333" s="20">
        <v>4</v>
      </c>
      <c r="J333" s="21" t="s">
        <v>122</v>
      </c>
      <c r="K333" s="22">
        <v>29</v>
      </c>
      <c r="L333" s="23">
        <f t="shared" si="69"/>
        <v>116</v>
      </c>
      <c r="M333" s="44" t="s">
        <v>123</v>
      </c>
      <c r="N333" s="25" t="s">
        <v>124</v>
      </c>
      <c r="O333" s="25">
        <v>17</v>
      </c>
      <c r="P333" s="45" t="s">
        <v>125</v>
      </c>
      <c r="Q333" s="45">
        <v>21</v>
      </c>
      <c r="R333" s="17"/>
      <c r="S333" s="25"/>
      <c r="T333" s="26">
        <v>2054</v>
      </c>
      <c r="U333" s="26" t="s">
        <v>127</v>
      </c>
      <c r="V333" s="26">
        <v>2057</v>
      </c>
      <c r="W333" s="26" t="s">
        <v>126</v>
      </c>
      <c r="X333" s="27">
        <v>44816</v>
      </c>
      <c r="Y333" s="27">
        <v>45100</v>
      </c>
      <c r="Z333" s="27"/>
      <c r="AA333" s="27"/>
      <c r="AB333" s="26" t="s">
        <v>360</v>
      </c>
      <c r="AC333" s="26"/>
      <c r="AD333" s="28" t="s">
        <v>90</v>
      </c>
      <c r="AE333" s="28"/>
      <c r="AF333" s="28" t="s">
        <v>90</v>
      </c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 t="s">
        <v>90</v>
      </c>
      <c r="AS333" s="28" t="s">
        <v>90</v>
      </c>
      <c r="AT333" s="28" t="s">
        <v>90</v>
      </c>
      <c r="AU333" s="28" t="s">
        <v>90</v>
      </c>
      <c r="AV333" s="28" t="s">
        <v>90</v>
      </c>
      <c r="AW333" s="28" t="s">
        <v>90</v>
      </c>
      <c r="AX333" s="29">
        <v>25</v>
      </c>
      <c r="AY333" s="30"/>
      <c r="AZ333" s="30"/>
      <c r="BA333" s="29"/>
      <c r="BB333" s="29"/>
      <c r="BC333" s="30"/>
      <c r="BD333" s="31">
        <f t="shared" si="61"/>
        <v>725</v>
      </c>
      <c r="BE333" s="31"/>
      <c r="BF333" s="30"/>
      <c r="BG333" s="36">
        <v>1</v>
      </c>
      <c r="BH333" s="31">
        <f t="shared" si="62"/>
        <v>0</v>
      </c>
      <c r="BI333" s="31">
        <f t="shared" si="63"/>
        <v>0</v>
      </c>
      <c r="BJ333" s="33">
        <f t="shared" si="64"/>
        <v>0</v>
      </c>
      <c r="BK333" s="30"/>
      <c r="BL333" s="30"/>
      <c r="BM333" s="30"/>
      <c r="BN333" s="30"/>
      <c r="BO333" s="33">
        <f t="shared" si="65"/>
        <v>0</v>
      </c>
      <c r="BP333" s="30">
        <v>0</v>
      </c>
      <c r="BQ333" s="30">
        <v>1</v>
      </c>
      <c r="BR333" s="30"/>
      <c r="BS333" s="30"/>
      <c r="BT333" s="34">
        <f t="shared" si="66"/>
        <v>25</v>
      </c>
      <c r="BU333" s="34"/>
      <c r="BV333" s="34"/>
      <c r="BW333" s="34"/>
      <c r="BX333" s="34"/>
      <c r="BY333" s="30"/>
      <c r="BZ333" s="31">
        <f t="shared" si="67"/>
        <v>0</v>
      </c>
      <c r="CA333" s="31">
        <f t="shared" si="68"/>
        <v>25</v>
      </c>
    </row>
    <row r="334" spans="1:79" ht="63.75" x14ac:dyDescent="0.25">
      <c r="A334" s="17"/>
      <c r="B334" s="2">
        <v>328</v>
      </c>
      <c r="C334" s="18">
        <v>204</v>
      </c>
      <c r="D334" s="21">
        <v>412</v>
      </c>
      <c r="E334" s="19">
        <v>0.75</v>
      </c>
      <c r="F334" s="19">
        <v>0.75763888888888886</v>
      </c>
      <c r="G334" s="18" t="s">
        <v>834</v>
      </c>
      <c r="H334" s="18" t="s">
        <v>306</v>
      </c>
      <c r="I334" s="20">
        <v>7.5</v>
      </c>
      <c r="J334" s="21" t="s">
        <v>571</v>
      </c>
      <c r="K334" s="22">
        <v>208</v>
      </c>
      <c r="L334" s="23">
        <f t="shared" si="69"/>
        <v>1560</v>
      </c>
      <c r="M334" s="44" t="s">
        <v>123</v>
      </c>
      <c r="N334" s="25" t="s">
        <v>124</v>
      </c>
      <c r="O334" s="25">
        <v>17</v>
      </c>
      <c r="P334" s="45" t="s">
        <v>125</v>
      </c>
      <c r="Q334" s="45">
        <v>21</v>
      </c>
      <c r="R334" s="17"/>
      <c r="S334" s="25"/>
      <c r="T334" s="26">
        <v>2054</v>
      </c>
      <c r="U334" s="26" t="s">
        <v>127</v>
      </c>
      <c r="V334" s="26">
        <v>2057</v>
      </c>
      <c r="W334" s="26" t="s">
        <v>126</v>
      </c>
      <c r="X334" s="66">
        <v>44816</v>
      </c>
      <c r="Y334" s="66">
        <v>45086</v>
      </c>
      <c r="Z334" s="66"/>
      <c r="AA334" s="66"/>
      <c r="AB334" s="26" t="s">
        <v>309</v>
      </c>
      <c r="AC334" s="26"/>
      <c r="AD334" s="28"/>
      <c r="AE334" s="28"/>
      <c r="AF334" s="28"/>
      <c r="AG334" s="28" t="s">
        <v>90</v>
      </c>
      <c r="AH334" s="28" t="s">
        <v>90</v>
      </c>
      <c r="AI334" s="28" t="s">
        <v>90</v>
      </c>
      <c r="AJ334" s="28" t="s">
        <v>90</v>
      </c>
      <c r="AK334" s="28" t="s">
        <v>90</v>
      </c>
      <c r="AL334" s="28" t="s">
        <v>90</v>
      </c>
      <c r="AM334" s="28" t="s">
        <v>90</v>
      </c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9">
        <f>12.77+6.3</f>
        <v>19.07</v>
      </c>
      <c r="AY334" s="30"/>
      <c r="AZ334" s="30"/>
      <c r="BA334" s="29"/>
      <c r="BB334" s="29"/>
      <c r="BC334" s="30"/>
      <c r="BD334" s="31">
        <f t="shared" si="61"/>
        <v>3966.56</v>
      </c>
      <c r="BE334" s="31"/>
      <c r="BF334" s="30"/>
      <c r="BG334" s="36">
        <v>1</v>
      </c>
      <c r="BH334" s="31">
        <f t="shared" si="62"/>
        <v>0</v>
      </c>
      <c r="BI334" s="31">
        <f t="shared" si="63"/>
        <v>0</v>
      </c>
      <c r="BJ334" s="33">
        <f t="shared" si="64"/>
        <v>0</v>
      </c>
      <c r="BK334" s="30"/>
      <c r="BL334" s="30"/>
      <c r="BM334" s="30"/>
      <c r="BN334" s="30"/>
      <c r="BO334" s="33">
        <f t="shared" si="65"/>
        <v>0</v>
      </c>
      <c r="BP334" s="30">
        <v>17</v>
      </c>
      <c r="BQ334" s="30">
        <v>25</v>
      </c>
      <c r="BR334" s="30"/>
      <c r="BS334" s="30"/>
      <c r="BT334" s="34">
        <f t="shared" si="66"/>
        <v>19.07</v>
      </c>
      <c r="BU334" s="34"/>
      <c r="BV334" s="34"/>
      <c r="BW334" s="34"/>
      <c r="BX334" s="34"/>
      <c r="BY334" s="30"/>
      <c r="BZ334" s="31">
        <f t="shared" si="67"/>
        <v>324.19</v>
      </c>
      <c r="CA334" s="31">
        <f t="shared" si="68"/>
        <v>476.75</v>
      </c>
    </row>
    <row r="335" spans="1:79" ht="25.5" x14ac:dyDescent="0.25">
      <c r="A335" s="17"/>
      <c r="B335" s="2">
        <v>329</v>
      </c>
      <c r="C335" s="48">
        <v>204</v>
      </c>
      <c r="D335" s="48">
        <v>164</v>
      </c>
      <c r="E335" s="49">
        <v>0.77777777777777779</v>
      </c>
      <c r="F335" s="49">
        <v>0.81319444444444444</v>
      </c>
      <c r="G335" s="51" t="s">
        <v>835</v>
      </c>
      <c r="H335" s="48" t="s">
        <v>316</v>
      </c>
      <c r="I335" s="48">
        <v>31</v>
      </c>
      <c r="J335" s="52">
        <v>50</v>
      </c>
      <c r="K335" s="22">
        <v>67</v>
      </c>
      <c r="L335" s="23">
        <f t="shared" si="69"/>
        <v>2077</v>
      </c>
      <c r="M335" s="24" t="s">
        <v>333</v>
      </c>
      <c r="N335" s="25" t="s">
        <v>336</v>
      </c>
      <c r="O335" s="25">
        <v>57</v>
      </c>
      <c r="P335" s="25" t="s">
        <v>335</v>
      </c>
      <c r="Q335" s="25">
        <v>54</v>
      </c>
      <c r="R335" s="25" t="s">
        <v>334</v>
      </c>
      <c r="S335" s="25">
        <v>55</v>
      </c>
      <c r="T335" s="26">
        <v>1</v>
      </c>
      <c r="U335" s="26" t="s">
        <v>179</v>
      </c>
      <c r="V335" s="26">
        <v>2057</v>
      </c>
      <c r="W335" s="26" t="s">
        <v>126</v>
      </c>
      <c r="X335" s="27">
        <v>44562</v>
      </c>
      <c r="Y335" s="27">
        <v>44815</v>
      </c>
      <c r="Z335" s="27">
        <v>45101</v>
      </c>
      <c r="AA335" s="27">
        <v>45169</v>
      </c>
      <c r="AB335" s="28" t="s">
        <v>89</v>
      </c>
      <c r="AC335" s="28"/>
      <c r="AD335" s="28"/>
      <c r="AE335" s="28" t="s">
        <v>90</v>
      </c>
      <c r="AF335" s="28" t="s">
        <v>90</v>
      </c>
      <c r="AG335" s="28"/>
      <c r="AH335" s="28" t="s">
        <v>90</v>
      </c>
      <c r="AI335" s="28" t="s">
        <v>90</v>
      </c>
      <c r="AJ335" s="28" t="s">
        <v>90</v>
      </c>
      <c r="AK335" s="28" t="s">
        <v>90</v>
      </c>
      <c r="AL335" s="28" t="s">
        <v>90</v>
      </c>
      <c r="AM335" s="28" t="s">
        <v>90</v>
      </c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31"/>
      <c r="AY335" s="31">
        <v>220</v>
      </c>
      <c r="AZ335" s="30"/>
      <c r="BA335" s="31"/>
      <c r="BB335" s="31"/>
      <c r="BC335" s="30"/>
      <c r="BD335" s="31">
        <f t="shared" si="61"/>
        <v>0</v>
      </c>
      <c r="BE335" s="31">
        <f>AY335*K335</f>
        <v>14740</v>
      </c>
      <c r="BF335" s="30"/>
      <c r="BG335" s="32">
        <v>2</v>
      </c>
      <c r="BH335" s="30"/>
      <c r="BI335" s="31"/>
      <c r="BJ335" s="30"/>
      <c r="BK335" s="31">
        <f>IF(AND((AY335/I335)&lt;2,BG335=1),(I335*2)-AY335,0)</f>
        <v>0</v>
      </c>
      <c r="BL335" s="31">
        <f>IF(AND((AY335/I335)&lt;3,BG335=2),(I335*3)-AY335,0)</f>
        <v>0</v>
      </c>
      <c r="BM335" s="33">
        <f>(BK335+BL335)*K335</f>
        <v>0</v>
      </c>
      <c r="BN335" s="30"/>
      <c r="BO335" s="33">
        <f t="shared" si="65"/>
        <v>0</v>
      </c>
      <c r="BP335" s="30">
        <v>9</v>
      </c>
      <c r="BQ335" s="30">
        <v>0</v>
      </c>
      <c r="BR335" s="30"/>
      <c r="BS335" s="30"/>
      <c r="BT335" s="34">
        <f t="shared" si="66"/>
        <v>220</v>
      </c>
      <c r="BU335" s="34"/>
      <c r="BV335" s="34"/>
      <c r="BW335" s="34"/>
      <c r="BX335" s="34"/>
      <c r="BY335" s="30"/>
      <c r="BZ335" s="31">
        <f t="shared" si="67"/>
        <v>1980</v>
      </c>
      <c r="CA335" s="31">
        <f t="shared" si="68"/>
        <v>0</v>
      </c>
    </row>
    <row r="336" spans="1:79" ht="38.25" x14ac:dyDescent="0.25">
      <c r="A336" s="17"/>
      <c r="B336" s="2">
        <v>330</v>
      </c>
      <c r="C336" s="48">
        <v>204</v>
      </c>
      <c r="D336" s="48">
        <v>168</v>
      </c>
      <c r="E336" s="49">
        <v>0.8125</v>
      </c>
      <c r="F336" s="49">
        <v>0.84305555555555556</v>
      </c>
      <c r="G336" s="51" t="s">
        <v>836</v>
      </c>
      <c r="H336" s="18" t="s">
        <v>422</v>
      </c>
      <c r="I336" s="48">
        <v>27</v>
      </c>
      <c r="J336" s="52">
        <v>40</v>
      </c>
      <c r="K336" s="22">
        <v>240</v>
      </c>
      <c r="L336" s="23">
        <f t="shared" si="69"/>
        <v>6480</v>
      </c>
      <c r="M336" s="24" t="s">
        <v>333</v>
      </c>
      <c r="N336" s="25" t="s">
        <v>336</v>
      </c>
      <c r="O336" s="25">
        <v>57</v>
      </c>
      <c r="P336" s="25" t="s">
        <v>335</v>
      </c>
      <c r="Q336" s="25">
        <v>54</v>
      </c>
      <c r="R336" s="25" t="s">
        <v>334</v>
      </c>
      <c r="S336" s="25">
        <v>55</v>
      </c>
      <c r="T336" s="26">
        <v>1</v>
      </c>
      <c r="U336" s="26" t="s">
        <v>179</v>
      </c>
      <c r="V336" s="26">
        <v>2054</v>
      </c>
      <c r="W336" s="26" t="s">
        <v>127</v>
      </c>
      <c r="X336" s="27">
        <v>44816</v>
      </c>
      <c r="Y336" s="27">
        <v>45100</v>
      </c>
      <c r="Z336" s="27"/>
      <c r="AA336" s="27"/>
      <c r="AB336" s="26" t="s">
        <v>423</v>
      </c>
      <c r="AC336" s="26"/>
      <c r="AD336" s="28" t="s">
        <v>90</v>
      </c>
      <c r="AE336" s="28"/>
      <c r="AF336" s="28" t="s">
        <v>90</v>
      </c>
      <c r="AG336" s="28"/>
      <c r="AH336" s="28" t="s">
        <v>90</v>
      </c>
      <c r="AI336" s="28" t="s">
        <v>90</v>
      </c>
      <c r="AJ336" s="28" t="s">
        <v>90</v>
      </c>
      <c r="AK336" s="28" t="s">
        <v>90</v>
      </c>
      <c r="AL336" s="28" t="s">
        <v>90</v>
      </c>
      <c r="AM336" s="28" t="s">
        <v>90</v>
      </c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31"/>
      <c r="AY336" s="31">
        <f>2.2*27</f>
        <v>59.400000000000006</v>
      </c>
      <c r="AZ336" s="30"/>
      <c r="BA336" s="31"/>
      <c r="BB336" s="31"/>
      <c r="BC336" s="30"/>
      <c r="BD336" s="31">
        <f t="shared" si="61"/>
        <v>0</v>
      </c>
      <c r="BE336" s="31">
        <f>AY336*K336</f>
        <v>14256.000000000002</v>
      </c>
      <c r="BF336" s="30"/>
      <c r="BG336" s="32">
        <v>2</v>
      </c>
      <c r="BH336" s="30"/>
      <c r="BI336" s="31"/>
      <c r="BJ336" s="30"/>
      <c r="BK336" s="31">
        <f>IF(AND((AY336/I336)&lt;2,BG336=1),(I336*2)-AY336,0)</f>
        <v>0</v>
      </c>
      <c r="BL336" s="31">
        <f>IF(AND((AY336/I336)&lt;3,BG336=2),(I336*3)-AY336,0)</f>
        <v>21.599999999999994</v>
      </c>
      <c r="BM336" s="33">
        <f>(BK336+BL336)*K336</f>
        <v>5183.9999999999982</v>
      </c>
      <c r="BN336" s="30"/>
      <c r="BO336" s="33">
        <f t="shared" si="65"/>
        <v>0</v>
      </c>
      <c r="BP336" s="30">
        <v>17</v>
      </c>
      <c r="BQ336" s="30">
        <v>26</v>
      </c>
      <c r="BR336" s="30"/>
      <c r="BS336" s="30"/>
      <c r="BT336" s="34">
        <f t="shared" si="66"/>
        <v>81</v>
      </c>
      <c r="BU336" s="34"/>
      <c r="BV336" s="34"/>
      <c r="BW336" s="34"/>
      <c r="BX336" s="34"/>
      <c r="BY336" s="30"/>
      <c r="BZ336" s="31">
        <f t="shared" si="67"/>
        <v>1377</v>
      </c>
      <c r="CA336" s="31">
        <f t="shared" si="68"/>
        <v>2106</v>
      </c>
    </row>
    <row r="337" spans="1:79" ht="114.75" x14ac:dyDescent="0.25">
      <c r="A337" s="17"/>
      <c r="B337" s="2">
        <v>331</v>
      </c>
      <c r="C337" s="18">
        <v>204</v>
      </c>
      <c r="D337" s="18">
        <v>232</v>
      </c>
      <c r="E337" s="19">
        <v>0.86111111111111116</v>
      </c>
      <c r="F337" s="19">
        <v>0.90347222222222223</v>
      </c>
      <c r="G337" s="18" t="s">
        <v>837</v>
      </c>
      <c r="H337" s="18" t="s">
        <v>352</v>
      </c>
      <c r="I337" s="20">
        <f>39+3.9</f>
        <v>42.9</v>
      </c>
      <c r="J337" s="21" t="s">
        <v>93</v>
      </c>
      <c r="K337" s="22">
        <v>55</v>
      </c>
      <c r="L337" s="23">
        <f t="shared" si="69"/>
        <v>2359.5</v>
      </c>
      <c r="M337" s="24" t="s">
        <v>129</v>
      </c>
      <c r="N337" s="25" t="s">
        <v>779</v>
      </c>
      <c r="O337" s="25">
        <v>21</v>
      </c>
      <c r="P337" s="25" t="s">
        <v>796</v>
      </c>
      <c r="Q337" s="25">
        <v>23</v>
      </c>
      <c r="R337" s="25" t="s">
        <v>802</v>
      </c>
      <c r="S337" s="35">
        <v>24</v>
      </c>
      <c r="T337" s="26">
        <v>1</v>
      </c>
      <c r="U337" s="26" t="s">
        <v>179</v>
      </c>
      <c r="V337" s="26">
        <v>2057</v>
      </c>
      <c r="W337" s="26" t="s">
        <v>126</v>
      </c>
      <c r="X337" s="27">
        <v>44562</v>
      </c>
      <c r="Y337" s="27">
        <v>44815</v>
      </c>
      <c r="Z337" s="27">
        <v>45101</v>
      </c>
      <c r="AA337" s="27">
        <v>45169</v>
      </c>
      <c r="AB337" s="26" t="s">
        <v>353</v>
      </c>
      <c r="AC337" s="26"/>
      <c r="AD337" s="28"/>
      <c r="AE337" s="28" t="s">
        <v>90</v>
      </c>
      <c r="AF337" s="28" t="s">
        <v>90</v>
      </c>
      <c r="AG337" s="28"/>
      <c r="AH337" s="28" t="s">
        <v>90</v>
      </c>
      <c r="AI337" s="28" t="s">
        <v>90</v>
      </c>
      <c r="AJ337" s="28" t="s">
        <v>90</v>
      </c>
      <c r="AK337" s="28" t="s">
        <v>90</v>
      </c>
      <c r="AL337" s="28" t="s">
        <v>90</v>
      </c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9">
        <f>88.5+12</f>
        <v>100.5</v>
      </c>
      <c r="AY337" s="30"/>
      <c r="AZ337" s="30"/>
      <c r="BA337" s="29"/>
      <c r="BB337" s="29"/>
      <c r="BC337" s="30"/>
      <c r="BD337" s="31">
        <f t="shared" si="61"/>
        <v>5527.5</v>
      </c>
      <c r="BE337" s="31"/>
      <c r="BF337" s="30"/>
      <c r="BG337" s="36">
        <v>1</v>
      </c>
      <c r="BH337" s="31">
        <f t="shared" ref="BH337:BH390" si="70">IF(AND((AX337/I337)&lt;2,BG337=1),(I337*2)-AX337,0)</f>
        <v>0</v>
      </c>
      <c r="BI337" s="31">
        <f t="shared" ref="BI337:BI390" si="71">IF(AND((AX337/I337)&lt;3,BG337=2),(I337*3)-AX337,0)</f>
        <v>0</v>
      </c>
      <c r="BJ337" s="33">
        <f t="shared" ref="BJ337:BJ390" si="72">(BH337+BI337)*K337</f>
        <v>0</v>
      </c>
      <c r="BK337" s="30"/>
      <c r="BL337" s="30"/>
      <c r="BM337" s="30"/>
      <c r="BN337" s="30"/>
      <c r="BO337" s="33">
        <f t="shared" si="65"/>
        <v>0</v>
      </c>
      <c r="BP337" s="30">
        <v>7</v>
      </c>
      <c r="BQ337" s="30">
        <v>0</v>
      </c>
      <c r="BR337" s="30"/>
      <c r="BS337" s="30"/>
      <c r="BT337" s="34">
        <f t="shared" si="66"/>
        <v>100.5</v>
      </c>
      <c r="BU337" s="34"/>
      <c r="BV337" s="34"/>
      <c r="BW337" s="34"/>
      <c r="BX337" s="34"/>
      <c r="BY337" s="30"/>
      <c r="BZ337" s="31">
        <f t="shared" si="67"/>
        <v>703.5</v>
      </c>
      <c r="CA337" s="31">
        <f t="shared" si="68"/>
        <v>0</v>
      </c>
    </row>
    <row r="338" spans="1:79" ht="102" x14ac:dyDescent="0.25">
      <c r="A338" s="17"/>
      <c r="B338" s="2">
        <v>332</v>
      </c>
      <c r="C338" s="18">
        <v>205</v>
      </c>
      <c r="D338" s="18">
        <v>159</v>
      </c>
      <c r="E338" s="19">
        <v>0.27291666666666664</v>
      </c>
      <c r="F338" s="19">
        <v>0.30833333333333335</v>
      </c>
      <c r="G338" s="18" t="s">
        <v>838</v>
      </c>
      <c r="H338" s="18" t="s">
        <v>839</v>
      </c>
      <c r="I338" s="20">
        <f>31+1.5</f>
        <v>32.5</v>
      </c>
      <c r="J338" s="21" t="s">
        <v>754</v>
      </c>
      <c r="K338" s="22">
        <f>174-33</f>
        <v>141</v>
      </c>
      <c r="L338" s="23">
        <f t="shared" si="69"/>
        <v>4582.5</v>
      </c>
      <c r="M338" s="24" t="s">
        <v>333</v>
      </c>
      <c r="N338" s="25" t="s">
        <v>840</v>
      </c>
      <c r="O338" s="25">
        <v>51</v>
      </c>
      <c r="P338" s="25" t="s">
        <v>334</v>
      </c>
      <c r="Q338" s="25">
        <v>55</v>
      </c>
      <c r="R338" s="25" t="s">
        <v>336</v>
      </c>
      <c r="S338" s="25">
        <v>57</v>
      </c>
      <c r="T338" s="26">
        <v>2128</v>
      </c>
      <c r="U338" s="26" t="s">
        <v>841</v>
      </c>
      <c r="V338" s="26">
        <v>1</v>
      </c>
      <c r="W338" s="26" t="s">
        <v>300</v>
      </c>
      <c r="X338" s="66">
        <v>44816</v>
      </c>
      <c r="Y338" s="66">
        <v>45086</v>
      </c>
      <c r="Z338" s="66"/>
      <c r="AA338" s="66"/>
      <c r="AB338" s="26" t="s">
        <v>758</v>
      </c>
      <c r="AC338" s="26"/>
      <c r="AD338" s="28"/>
      <c r="AE338" s="28"/>
      <c r="AF338" s="28"/>
      <c r="AG338" s="28" t="s">
        <v>90</v>
      </c>
      <c r="AH338" s="28"/>
      <c r="AI338" s="28" t="s">
        <v>90</v>
      </c>
      <c r="AJ338" s="28" t="s">
        <v>90</v>
      </c>
      <c r="AK338" s="28" t="s">
        <v>90</v>
      </c>
      <c r="AL338" s="28" t="s">
        <v>90</v>
      </c>
      <c r="AM338" s="28"/>
      <c r="AN338" s="28"/>
      <c r="AO338" s="28"/>
      <c r="AP338" s="28" t="s">
        <v>90</v>
      </c>
      <c r="AQ338" s="28"/>
      <c r="AR338" s="28"/>
      <c r="AS338" s="28"/>
      <c r="AT338" s="28"/>
      <c r="AU338" s="28"/>
      <c r="AV338" s="28"/>
      <c r="AW338" s="28"/>
      <c r="AX338" s="29">
        <v>147.68</v>
      </c>
      <c r="AY338" s="30"/>
      <c r="AZ338" s="30"/>
      <c r="BA338" s="29"/>
      <c r="BB338" s="29"/>
      <c r="BC338" s="30"/>
      <c r="BD338" s="31">
        <f t="shared" si="61"/>
        <v>20822.88</v>
      </c>
      <c r="BE338" s="31"/>
      <c r="BF338" s="30"/>
      <c r="BG338" s="32">
        <v>2</v>
      </c>
      <c r="BH338" s="31">
        <f t="shared" si="70"/>
        <v>0</v>
      </c>
      <c r="BI338" s="31">
        <f t="shared" si="71"/>
        <v>0</v>
      </c>
      <c r="BJ338" s="33">
        <f t="shared" si="72"/>
        <v>0</v>
      </c>
      <c r="BK338" s="30"/>
      <c r="BL338" s="30"/>
      <c r="BM338" s="30"/>
      <c r="BN338" s="31">
        <f>IF((AX338+AY338+AZ338)&lt;20,(20-(AX338+AY338+AZ338)),0)</f>
        <v>0</v>
      </c>
      <c r="BO338" s="33">
        <f t="shared" si="65"/>
        <v>0</v>
      </c>
      <c r="BP338" s="30">
        <v>12</v>
      </c>
      <c r="BQ338" s="30">
        <v>16</v>
      </c>
      <c r="BR338" s="30"/>
      <c r="BS338" s="30"/>
      <c r="BT338" s="34">
        <f t="shared" si="66"/>
        <v>147.68</v>
      </c>
      <c r="BU338" s="34"/>
      <c r="BV338" s="34"/>
      <c r="BW338" s="34"/>
      <c r="BX338" s="34"/>
      <c r="BY338" s="30"/>
      <c r="BZ338" s="31">
        <f t="shared" si="67"/>
        <v>1772.16</v>
      </c>
      <c r="CA338" s="31">
        <f t="shared" si="68"/>
        <v>2362.88</v>
      </c>
    </row>
    <row r="339" spans="1:79" ht="51" x14ac:dyDescent="0.25">
      <c r="A339" s="17"/>
      <c r="B339" s="2">
        <v>333</v>
      </c>
      <c r="C339" s="18">
        <v>205</v>
      </c>
      <c r="D339" s="18">
        <v>184</v>
      </c>
      <c r="E339" s="19">
        <v>0.29652777777777778</v>
      </c>
      <c r="F339" s="19">
        <v>0.31736111111111115</v>
      </c>
      <c r="G339" s="18" t="s">
        <v>842</v>
      </c>
      <c r="H339" s="18" t="s">
        <v>273</v>
      </c>
      <c r="I339" s="20">
        <v>11</v>
      </c>
      <c r="J339" s="21" t="s">
        <v>93</v>
      </c>
      <c r="K339" s="22">
        <v>174</v>
      </c>
      <c r="L339" s="23">
        <f t="shared" si="69"/>
        <v>1914</v>
      </c>
      <c r="M339" s="24" t="s">
        <v>333</v>
      </c>
      <c r="N339" s="25" t="s">
        <v>821</v>
      </c>
      <c r="O339" s="25">
        <v>55</v>
      </c>
      <c r="P339" s="25" t="s">
        <v>335</v>
      </c>
      <c r="Q339" s="25">
        <v>54</v>
      </c>
      <c r="R339" s="25" t="s">
        <v>336</v>
      </c>
      <c r="S339" s="25">
        <v>57</v>
      </c>
      <c r="T339" s="26">
        <v>2127</v>
      </c>
      <c r="U339" s="26" t="s">
        <v>344</v>
      </c>
      <c r="V339" s="26">
        <v>960</v>
      </c>
      <c r="W339" s="26" t="s">
        <v>151</v>
      </c>
      <c r="X339" s="66">
        <v>44816</v>
      </c>
      <c r="Y339" s="66">
        <v>45086</v>
      </c>
      <c r="Z339" s="66"/>
      <c r="AA339" s="66"/>
      <c r="AB339" s="26" t="s">
        <v>282</v>
      </c>
      <c r="AC339" s="26"/>
      <c r="AD339" s="28"/>
      <c r="AE339" s="28"/>
      <c r="AF339" s="28"/>
      <c r="AG339" s="28" t="s">
        <v>90</v>
      </c>
      <c r="AH339" s="28" t="s">
        <v>90</v>
      </c>
      <c r="AI339" s="28" t="s">
        <v>90</v>
      </c>
      <c r="AJ339" s="28" t="s">
        <v>90</v>
      </c>
      <c r="AK339" s="28" t="s">
        <v>90</v>
      </c>
      <c r="AL339" s="28" t="s">
        <v>90</v>
      </c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9">
        <v>33</v>
      </c>
      <c r="AY339" s="30"/>
      <c r="AZ339" s="30"/>
      <c r="BA339" s="29"/>
      <c r="BB339" s="29"/>
      <c r="BC339" s="30">
        <v>59</v>
      </c>
      <c r="BD339" s="31">
        <f t="shared" si="61"/>
        <v>5742</v>
      </c>
      <c r="BE339" s="31"/>
      <c r="BF339" s="30"/>
      <c r="BG339" s="36">
        <v>1</v>
      </c>
      <c r="BH339" s="31">
        <f t="shared" si="70"/>
        <v>0</v>
      </c>
      <c r="BI339" s="31">
        <f t="shared" si="71"/>
        <v>0</v>
      </c>
      <c r="BJ339" s="33">
        <f t="shared" si="72"/>
        <v>0</v>
      </c>
      <c r="BK339" s="30"/>
      <c r="BL339" s="30"/>
      <c r="BM339" s="30"/>
      <c r="BN339" s="30"/>
      <c r="BO339" s="33">
        <f t="shared" si="65"/>
        <v>0</v>
      </c>
      <c r="BP339" s="30">
        <v>15</v>
      </c>
      <c r="BQ339" s="30">
        <v>20</v>
      </c>
      <c r="BR339" s="30"/>
      <c r="BS339" s="30"/>
      <c r="BT339" s="34">
        <f t="shared" si="66"/>
        <v>33</v>
      </c>
      <c r="BU339" s="82" t="s">
        <v>282</v>
      </c>
      <c r="BV339" s="82" t="s">
        <v>463</v>
      </c>
      <c r="BW339" s="82" t="s">
        <v>122</v>
      </c>
      <c r="BX339" s="34">
        <v>87</v>
      </c>
      <c r="BY339" s="30"/>
      <c r="BZ339" s="31">
        <f t="shared" si="67"/>
        <v>1800</v>
      </c>
      <c r="CA339" s="31">
        <f t="shared" si="68"/>
        <v>2400</v>
      </c>
    </row>
    <row r="340" spans="1:79" ht="51" x14ac:dyDescent="0.25">
      <c r="A340" s="17"/>
      <c r="B340" s="2">
        <v>334</v>
      </c>
      <c r="C340" s="18">
        <v>205</v>
      </c>
      <c r="D340" s="18">
        <v>409</v>
      </c>
      <c r="E340" s="19">
        <v>0.36458333333333331</v>
      </c>
      <c r="F340" s="19">
        <v>0.37708333333333338</v>
      </c>
      <c r="G340" s="18" t="s">
        <v>843</v>
      </c>
      <c r="H340" s="18" t="s">
        <v>422</v>
      </c>
      <c r="I340" s="20">
        <v>9</v>
      </c>
      <c r="J340" s="21" t="s">
        <v>93</v>
      </c>
      <c r="K340" s="22">
        <v>240</v>
      </c>
      <c r="L340" s="23">
        <f t="shared" si="69"/>
        <v>2160</v>
      </c>
      <c r="M340" s="24" t="s">
        <v>333</v>
      </c>
      <c r="N340" s="25" t="s">
        <v>830</v>
      </c>
      <c r="O340" s="25">
        <v>17</v>
      </c>
      <c r="P340" s="25" t="s">
        <v>844</v>
      </c>
      <c r="Q340" s="25">
        <v>37</v>
      </c>
      <c r="R340" s="25"/>
      <c r="S340" s="25"/>
      <c r="T340" s="26" t="s">
        <v>845</v>
      </c>
      <c r="U340" s="26" t="s">
        <v>846</v>
      </c>
      <c r="V340" s="26" t="s">
        <v>847</v>
      </c>
      <c r="W340" s="26" t="s">
        <v>848</v>
      </c>
      <c r="X340" s="27">
        <v>44816</v>
      </c>
      <c r="Y340" s="27">
        <v>45100</v>
      </c>
      <c r="Z340" s="27"/>
      <c r="AA340" s="27"/>
      <c r="AB340" s="26" t="s">
        <v>423</v>
      </c>
      <c r="AC340" s="26"/>
      <c r="AD340" s="28" t="s">
        <v>90</v>
      </c>
      <c r="AE340" s="28"/>
      <c r="AF340" s="28" t="s">
        <v>90</v>
      </c>
      <c r="AG340" s="28"/>
      <c r="AH340" s="28" t="s">
        <v>90</v>
      </c>
      <c r="AI340" s="28" t="s">
        <v>90</v>
      </c>
      <c r="AJ340" s="28" t="s">
        <v>90</v>
      </c>
      <c r="AK340" s="28" t="s">
        <v>90</v>
      </c>
      <c r="AL340" s="28" t="s">
        <v>90</v>
      </c>
      <c r="AM340" s="28" t="s">
        <v>90</v>
      </c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9">
        <v>27</v>
      </c>
      <c r="AY340" s="30"/>
      <c r="AZ340" s="30"/>
      <c r="BA340" s="29"/>
      <c r="BB340" s="29"/>
      <c r="BC340" s="30"/>
      <c r="BD340" s="31">
        <f t="shared" si="61"/>
        <v>6480</v>
      </c>
      <c r="BE340" s="31"/>
      <c r="BF340" s="30"/>
      <c r="BG340" s="36">
        <v>1</v>
      </c>
      <c r="BH340" s="31">
        <f t="shared" si="70"/>
        <v>0</v>
      </c>
      <c r="BI340" s="31">
        <f t="shared" si="71"/>
        <v>0</v>
      </c>
      <c r="BJ340" s="33">
        <f t="shared" si="72"/>
        <v>0</v>
      </c>
      <c r="BK340" s="30"/>
      <c r="BL340" s="30"/>
      <c r="BM340" s="30"/>
      <c r="BN340" s="30"/>
      <c r="BO340" s="33">
        <f t="shared" si="65"/>
        <v>0</v>
      </c>
      <c r="BP340" s="30">
        <v>17</v>
      </c>
      <c r="BQ340" s="30">
        <v>26</v>
      </c>
      <c r="BR340" s="30"/>
      <c r="BS340" s="30"/>
      <c r="BT340" s="34">
        <f t="shared" si="66"/>
        <v>27</v>
      </c>
      <c r="BU340" s="34"/>
      <c r="BV340" s="34"/>
      <c r="BW340" s="34"/>
      <c r="BX340" s="34"/>
      <c r="BY340" s="30"/>
      <c r="BZ340" s="31">
        <f t="shared" si="67"/>
        <v>459</v>
      </c>
      <c r="CA340" s="31">
        <f t="shared" si="68"/>
        <v>702</v>
      </c>
    </row>
    <row r="341" spans="1:79" ht="51" x14ac:dyDescent="0.25">
      <c r="A341" s="17"/>
      <c r="B341" s="2">
        <v>335</v>
      </c>
      <c r="C341" s="18">
        <v>205</v>
      </c>
      <c r="D341" s="18">
        <v>409</v>
      </c>
      <c r="E341" s="19">
        <v>0.36458333333333331</v>
      </c>
      <c r="F341" s="19">
        <v>0.37708333333333338</v>
      </c>
      <c r="G341" s="18" t="s">
        <v>843</v>
      </c>
      <c r="H341" s="18" t="s">
        <v>327</v>
      </c>
      <c r="I341" s="20">
        <v>9</v>
      </c>
      <c r="J341" s="21" t="s">
        <v>93</v>
      </c>
      <c r="K341" s="22">
        <v>67</v>
      </c>
      <c r="L341" s="23">
        <f t="shared" si="69"/>
        <v>603</v>
      </c>
      <c r="M341" s="24" t="s">
        <v>333</v>
      </c>
      <c r="N341" s="25" t="s">
        <v>830</v>
      </c>
      <c r="O341" s="25">
        <v>17</v>
      </c>
      <c r="P341" s="25" t="s">
        <v>844</v>
      </c>
      <c r="Q341" s="25">
        <v>37</v>
      </c>
      <c r="R341" s="25"/>
      <c r="S341" s="25"/>
      <c r="T341" s="26" t="s">
        <v>845</v>
      </c>
      <c r="U341" s="26" t="s">
        <v>846</v>
      </c>
      <c r="V341" s="26" t="s">
        <v>847</v>
      </c>
      <c r="W341" s="26" t="s">
        <v>848</v>
      </c>
      <c r="X341" s="27">
        <v>44562</v>
      </c>
      <c r="Y341" s="27">
        <v>44815</v>
      </c>
      <c r="Z341" s="27">
        <v>45101</v>
      </c>
      <c r="AA341" s="27">
        <v>45169</v>
      </c>
      <c r="AB341" s="28" t="s">
        <v>89</v>
      </c>
      <c r="AC341" s="28"/>
      <c r="AD341" s="28"/>
      <c r="AE341" s="28" t="s">
        <v>90</v>
      </c>
      <c r="AF341" s="28" t="s">
        <v>90</v>
      </c>
      <c r="AG341" s="28"/>
      <c r="AH341" s="28" t="s">
        <v>90</v>
      </c>
      <c r="AI341" s="28" t="s">
        <v>90</v>
      </c>
      <c r="AJ341" s="28" t="s">
        <v>90</v>
      </c>
      <c r="AK341" s="28" t="s">
        <v>90</v>
      </c>
      <c r="AL341" s="28" t="s">
        <v>90</v>
      </c>
      <c r="AM341" s="28" t="s">
        <v>90</v>
      </c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9">
        <v>27</v>
      </c>
      <c r="AY341" s="30"/>
      <c r="AZ341" s="30"/>
      <c r="BA341" s="29"/>
      <c r="BB341" s="29"/>
      <c r="BC341" s="30"/>
      <c r="BD341" s="31">
        <f t="shared" si="61"/>
        <v>1809</v>
      </c>
      <c r="BE341" s="31"/>
      <c r="BF341" s="30"/>
      <c r="BG341" s="36">
        <v>1</v>
      </c>
      <c r="BH341" s="31">
        <f t="shared" si="70"/>
        <v>0</v>
      </c>
      <c r="BI341" s="31">
        <f t="shared" si="71"/>
        <v>0</v>
      </c>
      <c r="BJ341" s="33">
        <f t="shared" si="72"/>
        <v>0</v>
      </c>
      <c r="BK341" s="30"/>
      <c r="BL341" s="30"/>
      <c r="BM341" s="30"/>
      <c r="BN341" s="30"/>
      <c r="BO341" s="33">
        <f t="shared" si="65"/>
        <v>0</v>
      </c>
      <c r="BP341" s="30">
        <v>9</v>
      </c>
      <c r="BQ341" s="30">
        <v>0</v>
      </c>
      <c r="BR341" s="30"/>
      <c r="BS341" s="30"/>
      <c r="BT341" s="34">
        <f t="shared" si="66"/>
        <v>27</v>
      </c>
      <c r="BU341" s="34"/>
      <c r="BV341" s="34"/>
      <c r="BW341" s="34"/>
      <c r="BX341" s="34"/>
      <c r="BY341" s="30"/>
      <c r="BZ341" s="31">
        <f t="shared" si="67"/>
        <v>243</v>
      </c>
      <c r="CA341" s="31">
        <f t="shared" si="68"/>
        <v>0</v>
      </c>
    </row>
    <row r="342" spans="1:79" ht="63.75" x14ac:dyDescent="0.25">
      <c r="A342" s="17"/>
      <c r="B342" s="2">
        <v>336</v>
      </c>
      <c r="C342" s="18">
        <v>205</v>
      </c>
      <c r="D342" s="18">
        <v>404</v>
      </c>
      <c r="E342" s="59">
        <v>0.59375</v>
      </c>
      <c r="F342" s="19">
        <v>0.60347222222222219</v>
      </c>
      <c r="G342" s="18" t="s">
        <v>849</v>
      </c>
      <c r="H342" s="18" t="s">
        <v>273</v>
      </c>
      <c r="I342" s="20">
        <v>9</v>
      </c>
      <c r="J342" s="21" t="s">
        <v>93</v>
      </c>
      <c r="K342" s="22">
        <v>174</v>
      </c>
      <c r="L342" s="23">
        <f t="shared" si="69"/>
        <v>1566</v>
      </c>
      <c r="M342" s="24" t="s">
        <v>176</v>
      </c>
      <c r="N342" s="25" t="s">
        <v>356</v>
      </c>
      <c r="O342" s="25">
        <v>20</v>
      </c>
      <c r="P342" s="25" t="s">
        <v>177</v>
      </c>
      <c r="Q342" s="25">
        <v>24</v>
      </c>
      <c r="R342" s="25" t="s">
        <v>178</v>
      </c>
      <c r="S342" s="35">
        <v>23</v>
      </c>
      <c r="T342" s="26">
        <v>2120</v>
      </c>
      <c r="U342" s="26" t="s">
        <v>850</v>
      </c>
      <c r="V342" s="26" t="s">
        <v>851</v>
      </c>
      <c r="W342" s="26" t="s">
        <v>852</v>
      </c>
      <c r="X342" s="66">
        <v>44816</v>
      </c>
      <c r="Y342" s="66">
        <v>45086</v>
      </c>
      <c r="Z342" s="66"/>
      <c r="AA342" s="66"/>
      <c r="AB342" s="26" t="s">
        <v>282</v>
      </c>
      <c r="AC342" s="26"/>
      <c r="AD342" s="28"/>
      <c r="AE342" s="28"/>
      <c r="AF342" s="28"/>
      <c r="AG342" s="28" t="s">
        <v>90</v>
      </c>
      <c r="AH342" s="28" t="s">
        <v>90</v>
      </c>
      <c r="AI342" s="28" t="s">
        <v>90</v>
      </c>
      <c r="AJ342" s="28" t="s">
        <v>90</v>
      </c>
      <c r="AK342" s="28" t="s">
        <v>90</v>
      </c>
      <c r="AL342" s="28" t="s">
        <v>90</v>
      </c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9">
        <v>46.89</v>
      </c>
      <c r="AY342" s="30"/>
      <c r="AZ342" s="30"/>
      <c r="BA342" s="29"/>
      <c r="BB342" s="29"/>
      <c r="BC342" s="30"/>
      <c r="BD342" s="31">
        <f t="shared" si="61"/>
        <v>8158.86</v>
      </c>
      <c r="BE342" s="31"/>
      <c r="BF342" s="30"/>
      <c r="BG342" s="36">
        <v>1</v>
      </c>
      <c r="BH342" s="31">
        <f t="shared" si="70"/>
        <v>0</v>
      </c>
      <c r="BI342" s="31">
        <f t="shared" si="71"/>
        <v>0</v>
      </c>
      <c r="BJ342" s="33">
        <f t="shared" si="72"/>
        <v>0</v>
      </c>
      <c r="BK342" s="30"/>
      <c r="BL342" s="30"/>
      <c r="BM342" s="30"/>
      <c r="BN342" s="30"/>
      <c r="BO342" s="33">
        <f t="shared" si="65"/>
        <v>0</v>
      </c>
      <c r="BP342" s="30">
        <v>15</v>
      </c>
      <c r="BQ342" s="30">
        <v>20</v>
      </c>
      <c r="BR342" s="30"/>
      <c r="BS342" s="30"/>
      <c r="BT342" s="34">
        <f t="shared" si="66"/>
        <v>46.89</v>
      </c>
      <c r="BU342" s="34"/>
      <c r="BV342" s="34"/>
      <c r="BW342" s="34"/>
      <c r="BX342" s="34"/>
      <c r="BY342" s="30"/>
      <c r="BZ342" s="31">
        <f t="shared" si="67"/>
        <v>703.35</v>
      </c>
      <c r="CA342" s="31">
        <f t="shared" si="68"/>
        <v>937.8</v>
      </c>
    </row>
    <row r="343" spans="1:79" ht="51" x14ac:dyDescent="0.25">
      <c r="A343" s="17"/>
      <c r="B343" s="2">
        <v>337</v>
      </c>
      <c r="C343" s="18">
        <v>205</v>
      </c>
      <c r="D343" s="18">
        <v>171</v>
      </c>
      <c r="E343" s="19">
        <v>0.66666666666666663</v>
      </c>
      <c r="F343" s="19">
        <v>0.69861111111111107</v>
      </c>
      <c r="G343" s="18" t="s">
        <v>853</v>
      </c>
      <c r="H343" s="18" t="s">
        <v>273</v>
      </c>
      <c r="I343" s="20">
        <v>23</v>
      </c>
      <c r="J343" s="21" t="s">
        <v>81</v>
      </c>
      <c r="K343" s="22">
        <v>174</v>
      </c>
      <c r="L343" s="23">
        <f t="shared" si="69"/>
        <v>4002</v>
      </c>
      <c r="M343" s="24" t="s">
        <v>333</v>
      </c>
      <c r="N343" s="25" t="s">
        <v>336</v>
      </c>
      <c r="O343" s="25">
        <v>57</v>
      </c>
      <c r="P343" s="25" t="s">
        <v>335</v>
      </c>
      <c r="Q343" s="25">
        <v>54</v>
      </c>
      <c r="R343" s="25" t="s">
        <v>334</v>
      </c>
      <c r="S343" s="25">
        <v>55</v>
      </c>
      <c r="T343" s="26">
        <v>960</v>
      </c>
      <c r="U343" s="26" t="s">
        <v>151</v>
      </c>
      <c r="V343" s="26" t="s">
        <v>847</v>
      </c>
      <c r="W343" s="26" t="s">
        <v>848</v>
      </c>
      <c r="X343" s="66">
        <v>44816</v>
      </c>
      <c r="Y343" s="66">
        <v>45086</v>
      </c>
      <c r="Z343" s="66"/>
      <c r="AA343" s="66"/>
      <c r="AB343" s="26" t="s">
        <v>282</v>
      </c>
      <c r="AC343" s="26"/>
      <c r="AD343" s="28"/>
      <c r="AE343" s="28"/>
      <c r="AF343" s="28"/>
      <c r="AG343" s="28" t="s">
        <v>90</v>
      </c>
      <c r="AH343" s="28" t="s">
        <v>90</v>
      </c>
      <c r="AI343" s="28" t="s">
        <v>90</v>
      </c>
      <c r="AJ343" s="28" t="s">
        <v>90</v>
      </c>
      <c r="AK343" s="28" t="s">
        <v>90</v>
      </c>
      <c r="AL343" s="28" t="s">
        <v>90</v>
      </c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9">
        <v>69</v>
      </c>
      <c r="AY343" s="30"/>
      <c r="AZ343" s="30"/>
      <c r="BA343" s="29"/>
      <c r="BB343" s="29"/>
      <c r="BC343" s="30"/>
      <c r="BD343" s="31">
        <f t="shared" si="61"/>
        <v>12006</v>
      </c>
      <c r="BE343" s="31"/>
      <c r="BF343" s="30"/>
      <c r="BG343" s="32">
        <v>2</v>
      </c>
      <c r="BH343" s="31">
        <f t="shared" si="70"/>
        <v>0</v>
      </c>
      <c r="BI343" s="31">
        <f t="shared" si="71"/>
        <v>0</v>
      </c>
      <c r="BJ343" s="33">
        <f t="shared" si="72"/>
        <v>0</v>
      </c>
      <c r="BK343" s="30"/>
      <c r="BL343" s="30"/>
      <c r="BM343" s="30"/>
      <c r="BN343" s="30"/>
      <c r="BO343" s="33">
        <f t="shared" si="65"/>
        <v>0</v>
      </c>
      <c r="BP343" s="30">
        <v>15</v>
      </c>
      <c r="BQ343" s="30">
        <v>20</v>
      </c>
      <c r="BR343" s="30"/>
      <c r="BS343" s="30"/>
      <c r="BT343" s="34">
        <f t="shared" si="66"/>
        <v>69</v>
      </c>
      <c r="BU343" s="34"/>
      <c r="BV343" s="34"/>
      <c r="BW343" s="34"/>
      <c r="BX343" s="34"/>
      <c r="BY343" s="30"/>
      <c r="BZ343" s="31">
        <f t="shared" si="67"/>
        <v>1035</v>
      </c>
      <c r="CA343" s="31">
        <f t="shared" si="68"/>
        <v>1380</v>
      </c>
    </row>
    <row r="344" spans="1:79" ht="51" x14ac:dyDescent="0.25">
      <c r="A344" s="17"/>
      <c r="B344" s="2">
        <v>338</v>
      </c>
      <c r="C344" s="18">
        <v>205</v>
      </c>
      <c r="D344" s="18">
        <v>366</v>
      </c>
      <c r="E344" s="19">
        <v>0.70138888888888884</v>
      </c>
      <c r="F344" s="19">
        <v>0.71319444444444446</v>
      </c>
      <c r="G344" s="18" t="s">
        <v>854</v>
      </c>
      <c r="H344" s="18" t="s">
        <v>327</v>
      </c>
      <c r="I344" s="20">
        <v>9</v>
      </c>
      <c r="J344" s="21" t="s">
        <v>93</v>
      </c>
      <c r="K344" s="22">
        <v>67</v>
      </c>
      <c r="L344" s="23">
        <f t="shared" si="69"/>
        <v>603</v>
      </c>
      <c r="M344" s="24" t="s">
        <v>333</v>
      </c>
      <c r="N344" s="25" t="s">
        <v>830</v>
      </c>
      <c r="O344" s="25">
        <v>17</v>
      </c>
      <c r="P344" s="25" t="s">
        <v>844</v>
      </c>
      <c r="Q344" s="25">
        <v>37</v>
      </c>
      <c r="R344" s="25"/>
      <c r="S344" s="25"/>
      <c r="T344" s="26">
        <v>2120</v>
      </c>
      <c r="U344" s="26" t="s">
        <v>850</v>
      </c>
      <c r="V344" s="26" t="s">
        <v>845</v>
      </c>
      <c r="W344" s="26" t="s">
        <v>846</v>
      </c>
      <c r="X344" s="27">
        <v>44562</v>
      </c>
      <c r="Y344" s="27">
        <v>44815</v>
      </c>
      <c r="Z344" s="27">
        <v>45101</v>
      </c>
      <c r="AA344" s="27">
        <v>45169</v>
      </c>
      <c r="AB344" s="28" t="s">
        <v>89</v>
      </c>
      <c r="AC344" s="28"/>
      <c r="AD344" s="28"/>
      <c r="AE344" s="28" t="s">
        <v>90</v>
      </c>
      <c r="AF344" s="28" t="s">
        <v>90</v>
      </c>
      <c r="AG344" s="28"/>
      <c r="AH344" s="28" t="s">
        <v>90</v>
      </c>
      <c r="AI344" s="28" t="s">
        <v>90</v>
      </c>
      <c r="AJ344" s="28" t="s">
        <v>90</v>
      </c>
      <c r="AK344" s="28" t="s">
        <v>90</v>
      </c>
      <c r="AL344" s="28" t="s">
        <v>90</v>
      </c>
      <c r="AM344" s="28" t="s">
        <v>90</v>
      </c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9">
        <v>27</v>
      </c>
      <c r="AY344" s="30"/>
      <c r="AZ344" s="30"/>
      <c r="BA344" s="29"/>
      <c r="BB344" s="29"/>
      <c r="BC344" s="30"/>
      <c r="BD344" s="31">
        <f t="shared" si="61"/>
        <v>1809</v>
      </c>
      <c r="BE344" s="31"/>
      <c r="BF344" s="30"/>
      <c r="BG344" s="36">
        <v>1</v>
      </c>
      <c r="BH344" s="31">
        <f t="shared" si="70"/>
        <v>0</v>
      </c>
      <c r="BI344" s="31">
        <f t="shared" si="71"/>
        <v>0</v>
      </c>
      <c r="BJ344" s="33">
        <f t="shared" si="72"/>
        <v>0</v>
      </c>
      <c r="BK344" s="30"/>
      <c r="BL344" s="30"/>
      <c r="BM344" s="30"/>
      <c r="BN344" s="30"/>
      <c r="BO344" s="33">
        <f t="shared" si="65"/>
        <v>0</v>
      </c>
      <c r="BP344" s="30">
        <v>9</v>
      </c>
      <c r="BQ344" s="30">
        <v>0</v>
      </c>
      <c r="BR344" s="30"/>
      <c r="BS344" s="30"/>
      <c r="BT344" s="34">
        <f t="shared" si="66"/>
        <v>27</v>
      </c>
      <c r="BU344" s="34"/>
      <c r="BV344" s="34"/>
      <c r="BW344" s="34"/>
      <c r="BX344" s="34"/>
      <c r="BY344" s="30"/>
      <c r="BZ344" s="31">
        <f t="shared" si="67"/>
        <v>243</v>
      </c>
      <c r="CA344" s="31">
        <f t="shared" si="68"/>
        <v>0</v>
      </c>
    </row>
    <row r="345" spans="1:79" ht="51" x14ac:dyDescent="0.25">
      <c r="A345" s="17"/>
      <c r="B345" s="2">
        <v>339</v>
      </c>
      <c r="C345" s="18">
        <v>205</v>
      </c>
      <c r="D345" s="58">
        <v>366</v>
      </c>
      <c r="E345" s="59">
        <v>0.70277777777777783</v>
      </c>
      <c r="F345" s="59">
        <v>0.71458333333333324</v>
      </c>
      <c r="G345" s="18" t="s">
        <v>854</v>
      </c>
      <c r="H345" s="18" t="s">
        <v>422</v>
      </c>
      <c r="I345" s="20">
        <v>9</v>
      </c>
      <c r="J345" s="21" t="s">
        <v>93</v>
      </c>
      <c r="K345" s="22">
        <v>240</v>
      </c>
      <c r="L345" s="23">
        <f t="shared" si="69"/>
        <v>2160</v>
      </c>
      <c r="M345" s="24" t="s">
        <v>333</v>
      </c>
      <c r="N345" s="25" t="s">
        <v>830</v>
      </c>
      <c r="O345" s="25">
        <v>17</v>
      </c>
      <c r="P345" s="25" t="s">
        <v>844</v>
      </c>
      <c r="Q345" s="25">
        <v>37</v>
      </c>
      <c r="R345" s="25"/>
      <c r="S345" s="25"/>
      <c r="T345" s="26">
        <v>2120</v>
      </c>
      <c r="U345" s="26" t="s">
        <v>850</v>
      </c>
      <c r="V345" s="26" t="s">
        <v>845</v>
      </c>
      <c r="W345" s="26" t="s">
        <v>846</v>
      </c>
      <c r="X345" s="27">
        <v>44816</v>
      </c>
      <c r="Y345" s="27">
        <v>45100</v>
      </c>
      <c r="Z345" s="27"/>
      <c r="AA345" s="27"/>
      <c r="AB345" s="26" t="s">
        <v>423</v>
      </c>
      <c r="AC345" s="26"/>
      <c r="AD345" s="28" t="s">
        <v>90</v>
      </c>
      <c r="AE345" s="28"/>
      <c r="AF345" s="28" t="s">
        <v>90</v>
      </c>
      <c r="AG345" s="28"/>
      <c r="AH345" s="28" t="s">
        <v>90</v>
      </c>
      <c r="AI345" s="28" t="s">
        <v>90</v>
      </c>
      <c r="AJ345" s="28" t="s">
        <v>90</v>
      </c>
      <c r="AK345" s="28" t="s">
        <v>90</v>
      </c>
      <c r="AL345" s="28" t="s">
        <v>90</v>
      </c>
      <c r="AM345" s="28" t="s">
        <v>90</v>
      </c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9">
        <v>27</v>
      </c>
      <c r="AY345" s="30"/>
      <c r="AZ345" s="30"/>
      <c r="BA345" s="29"/>
      <c r="BB345" s="29"/>
      <c r="BC345" s="30"/>
      <c r="BD345" s="31">
        <f t="shared" si="61"/>
        <v>6480</v>
      </c>
      <c r="BE345" s="31"/>
      <c r="BF345" s="30"/>
      <c r="BG345" s="36">
        <v>1</v>
      </c>
      <c r="BH345" s="31">
        <f t="shared" si="70"/>
        <v>0</v>
      </c>
      <c r="BI345" s="31">
        <f t="shared" si="71"/>
        <v>0</v>
      </c>
      <c r="BJ345" s="33">
        <f t="shared" si="72"/>
        <v>0</v>
      </c>
      <c r="BK345" s="30"/>
      <c r="BL345" s="30"/>
      <c r="BM345" s="30"/>
      <c r="BN345" s="30"/>
      <c r="BO345" s="33">
        <f t="shared" si="65"/>
        <v>0</v>
      </c>
      <c r="BP345" s="30">
        <v>17</v>
      </c>
      <c r="BQ345" s="30">
        <v>26</v>
      </c>
      <c r="BR345" s="30"/>
      <c r="BS345" s="30"/>
      <c r="BT345" s="34">
        <f t="shared" si="66"/>
        <v>27</v>
      </c>
      <c r="BU345" s="34"/>
      <c r="BV345" s="34"/>
      <c r="BW345" s="34"/>
      <c r="BX345" s="34"/>
      <c r="BY345" s="30"/>
      <c r="BZ345" s="31">
        <f t="shared" si="67"/>
        <v>459</v>
      </c>
      <c r="CA345" s="31">
        <f t="shared" si="68"/>
        <v>702</v>
      </c>
    </row>
    <row r="346" spans="1:79" ht="51" x14ac:dyDescent="0.25">
      <c r="A346" s="17"/>
      <c r="B346" s="2">
        <v>340</v>
      </c>
      <c r="C346" s="18">
        <v>205</v>
      </c>
      <c r="D346" s="18">
        <v>402</v>
      </c>
      <c r="E346" s="59">
        <v>0.80555555555555547</v>
      </c>
      <c r="F346" s="59">
        <v>0.80833333333333324</v>
      </c>
      <c r="G346" s="18" t="s">
        <v>855</v>
      </c>
      <c r="H346" s="18" t="s">
        <v>273</v>
      </c>
      <c r="I346" s="20">
        <v>3</v>
      </c>
      <c r="J346" s="21" t="s">
        <v>93</v>
      </c>
      <c r="K346" s="22">
        <v>174</v>
      </c>
      <c r="L346" s="23">
        <f t="shared" si="69"/>
        <v>522</v>
      </c>
      <c r="M346" s="24" t="s">
        <v>129</v>
      </c>
      <c r="N346" s="25" t="s">
        <v>856</v>
      </c>
      <c r="O346" s="25">
        <v>23</v>
      </c>
      <c r="P346" s="25" t="s">
        <v>796</v>
      </c>
      <c r="Q346" s="25">
        <v>23</v>
      </c>
      <c r="R346" s="25" t="s">
        <v>779</v>
      </c>
      <c r="S346" s="35">
        <v>21</v>
      </c>
      <c r="T346" s="26">
        <v>2120</v>
      </c>
      <c r="U346" s="26" t="s">
        <v>850</v>
      </c>
      <c r="V346" s="26">
        <v>2122</v>
      </c>
      <c r="W346" s="26" t="s">
        <v>857</v>
      </c>
      <c r="X346" s="66">
        <v>44816</v>
      </c>
      <c r="Y346" s="66">
        <v>45086</v>
      </c>
      <c r="Z346" s="66"/>
      <c r="AA346" s="66"/>
      <c r="AB346" s="26" t="s">
        <v>282</v>
      </c>
      <c r="AC346" s="26"/>
      <c r="AD346" s="28"/>
      <c r="AE346" s="28"/>
      <c r="AF346" s="28"/>
      <c r="AG346" s="28" t="s">
        <v>90</v>
      </c>
      <c r="AH346" s="28" t="s">
        <v>90</v>
      </c>
      <c r="AI346" s="28" t="s">
        <v>90</v>
      </c>
      <c r="AJ346" s="28" t="s">
        <v>90</v>
      </c>
      <c r="AK346" s="28" t="s">
        <v>90</v>
      </c>
      <c r="AL346" s="28" t="s">
        <v>90</v>
      </c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9">
        <v>10</v>
      </c>
      <c r="AY346" s="30"/>
      <c r="AZ346" s="30"/>
      <c r="BA346" s="29"/>
      <c r="BB346" s="29"/>
      <c r="BC346" s="30">
        <v>56</v>
      </c>
      <c r="BD346" s="31">
        <f t="shared" si="61"/>
        <v>1740</v>
      </c>
      <c r="BE346" s="31"/>
      <c r="BF346" s="30"/>
      <c r="BG346" s="36">
        <v>1</v>
      </c>
      <c r="BH346" s="31">
        <f t="shared" si="70"/>
        <v>0</v>
      </c>
      <c r="BI346" s="31">
        <f t="shared" si="71"/>
        <v>0</v>
      </c>
      <c r="BJ346" s="33">
        <f t="shared" si="72"/>
        <v>0</v>
      </c>
      <c r="BK346" s="30"/>
      <c r="BL346" s="30"/>
      <c r="BM346" s="30"/>
      <c r="BN346" s="30"/>
      <c r="BO346" s="33">
        <f t="shared" si="65"/>
        <v>0</v>
      </c>
      <c r="BP346" s="30">
        <v>15</v>
      </c>
      <c r="BQ346" s="30">
        <v>20</v>
      </c>
      <c r="BR346" s="30"/>
      <c r="BS346" s="30"/>
      <c r="BT346" s="34">
        <f t="shared" si="66"/>
        <v>10</v>
      </c>
      <c r="BU346" s="26" t="s">
        <v>282</v>
      </c>
      <c r="BV346" s="82" t="s">
        <v>463</v>
      </c>
      <c r="BW346" s="82" t="s">
        <v>122</v>
      </c>
      <c r="BX346" s="34">
        <v>30</v>
      </c>
      <c r="BY346" s="30"/>
      <c r="BZ346" s="31">
        <f t="shared" si="67"/>
        <v>600</v>
      </c>
      <c r="CA346" s="31">
        <f t="shared" si="68"/>
        <v>800</v>
      </c>
    </row>
    <row r="347" spans="1:79" ht="63.75" x14ac:dyDescent="0.25">
      <c r="A347" s="17"/>
      <c r="B347" s="2">
        <v>341</v>
      </c>
      <c r="C347" s="18">
        <v>206</v>
      </c>
      <c r="D347" s="18">
        <v>403</v>
      </c>
      <c r="E347" s="59">
        <v>0.25694444444444448</v>
      </c>
      <c r="F347" s="59">
        <v>0.2722222222222222</v>
      </c>
      <c r="G347" s="18" t="s">
        <v>858</v>
      </c>
      <c r="H347" s="18" t="s">
        <v>454</v>
      </c>
      <c r="I347" s="20">
        <v>12.5</v>
      </c>
      <c r="J347" s="21" t="s">
        <v>104</v>
      </c>
      <c r="K347" s="22">
        <v>304</v>
      </c>
      <c r="L347" s="23">
        <f t="shared" si="69"/>
        <v>3800</v>
      </c>
      <c r="M347" s="24" t="s">
        <v>129</v>
      </c>
      <c r="N347" s="25" t="s">
        <v>796</v>
      </c>
      <c r="O347" s="25">
        <v>23</v>
      </c>
      <c r="P347" s="25" t="s">
        <v>130</v>
      </c>
      <c r="Q347" s="25">
        <v>37</v>
      </c>
      <c r="R347" s="25" t="s">
        <v>779</v>
      </c>
      <c r="S347" s="35">
        <v>21</v>
      </c>
      <c r="T347" s="26" t="s">
        <v>364</v>
      </c>
      <c r="U347" s="26" t="s">
        <v>365</v>
      </c>
      <c r="V347" s="26" t="s">
        <v>859</v>
      </c>
      <c r="W347" s="26" t="s">
        <v>860</v>
      </c>
      <c r="X347" s="66">
        <v>44805</v>
      </c>
      <c r="Y347" s="66">
        <v>45169</v>
      </c>
      <c r="Z347" s="66"/>
      <c r="AA347" s="66"/>
      <c r="AB347" s="28" t="s">
        <v>459</v>
      </c>
      <c r="AC347" s="28"/>
      <c r="AD347" s="28" t="s">
        <v>90</v>
      </c>
      <c r="AE347" s="28" t="s">
        <v>90</v>
      </c>
      <c r="AF347" s="28" t="s">
        <v>90</v>
      </c>
      <c r="AG347" s="28"/>
      <c r="AH347" s="28" t="s">
        <v>90</v>
      </c>
      <c r="AI347" s="28" t="s">
        <v>90</v>
      </c>
      <c r="AJ347" s="28" t="s">
        <v>90</v>
      </c>
      <c r="AK347" s="28" t="s">
        <v>90</v>
      </c>
      <c r="AL347" s="28" t="s">
        <v>90</v>
      </c>
      <c r="AM347" s="28" t="s">
        <v>90</v>
      </c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9">
        <v>50.66</v>
      </c>
      <c r="AY347" s="30"/>
      <c r="AZ347" s="30"/>
      <c r="BA347" s="29"/>
      <c r="BB347" s="29"/>
      <c r="BC347" s="30"/>
      <c r="BD347" s="31">
        <f t="shared" si="61"/>
        <v>15400.64</v>
      </c>
      <c r="BE347" s="31"/>
      <c r="BF347" s="30"/>
      <c r="BG347" s="36">
        <v>1</v>
      </c>
      <c r="BH347" s="31">
        <f t="shared" si="70"/>
        <v>0</v>
      </c>
      <c r="BI347" s="31">
        <f t="shared" si="71"/>
        <v>0</v>
      </c>
      <c r="BJ347" s="33">
        <f t="shared" si="72"/>
        <v>0</v>
      </c>
      <c r="BK347" s="30"/>
      <c r="BL347" s="30"/>
      <c r="BM347" s="30"/>
      <c r="BN347" s="31">
        <f>IF((AX347+AY347+AZ347)&lt;20,(20-(AX347+AY347+AZ347)),0)</f>
        <v>0</v>
      </c>
      <c r="BO347" s="33">
        <f t="shared" si="65"/>
        <v>0</v>
      </c>
      <c r="BP347" s="30">
        <v>26</v>
      </c>
      <c r="BQ347" s="30">
        <v>26</v>
      </c>
      <c r="BR347" s="30"/>
      <c r="BS347" s="30"/>
      <c r="BT347" s="34">
        <f t="shared" si="66"/>
        <v>50.66</v>
      </c>
      <c r="BU347" s="34"/>
      <c r="BV347" s="34"/>
      <c r="BW347" s="34"/>
      <c r="BX347" s="34"/>
      <c r="BY347" s="30"/>
      <c r="BZ347" s="31">
        <f t="shared" si="67"/>
        <v>1317.1599999999999</v>
      </c>
      <c r="CA347" s="31">
        <f t="shared" si="68"/>
        <v>1317.1599999999999</v>
      </c>
    </row>
    <row r="348" spans="1:79" ht="51" x14ac:dyDescent="0.25">
      <c r="A348" s="67" t="s">
        <v>322</v>
      </c>
      <c r="B348" s="2">
        <v>342</v>
      </c>
      <c r="C348" s="18">
        <v>206</v>
      </c>
      <c r="D348" s="18">
        <v>107</v>
      </c>
      <c r="E348" s="19">
        <v>0.29305555555555557</v>
      </c>
      <c r="F348" s="59">
        <v>0.30555555555555552</v>
      </c>
      <c r="G348" s="18" t="s">
        <v>861</v>
      </c>
      <c r="H348" s="58" t="s">
        <v>862</v>
      </c>
      <c r="I348" s="20">
        <v>11</v>
      </c>
      <c r="J348" s="21" t="s">
        <v>122</v>
      </c>
      <c r="K348" s="68">
        <v>304</v>
      </c>
      <c r="L348" s="23">
        <f t="shared" si="69"/>
        <v>3344</v>
      </c>
      <c r="M348" s="24" t="s">
        <v>129</v>
      </c>
      <c r="N348" s="25" t="s">
        <v>796</v>
      </c>
      <c r="O348" s="25">
        <v>23</v>
      </c>
      <c r="P348" s="25" t="s">
        <v>130</v>
      </c>
      <c r="Q348" s="25">
        <v>37</v>
      </c>
      <c r="R348" s="25" t="s">
        <v>779</v>
      </c>
      <c r="S348" s="35">
        <v>21</v>
      </c>
      <c r="T348" s="26" t="s">
        <v>364</v>
      </c>
      <c r="U348" s="26" t="s">
        <v>365</v>
      </c>
      <c r="V348" s="26" t="s">
        <v>863</v>
      </c>
      <c r="W348" s="26" t="s">
        <v>864</v>
      </c>
      <c r="X348" s="66">
        <v>44805</v>
      </c>
      <c r="Y348" s="66">
        <v>45169</v>
      </c>
      <c r="Z348" s="66"/>
      <c r="AA348" s="66"/>
      <c r="AB348" s="26" t="s">
        <v>459</v>
      </c>
      <c r="AC348" s="26"/>
      <c r="AD348" s="28" t="s">
        <v>90</v>
      </c>
      <c r="AE348" s="28" t="s">
        <v>90</v>
      </c>
      <c r="AF348" s="28" t="s">
        <v>90</v>
      </c>
      <c r="AG348" s="28"/>
      <c r="AH348" s="28" t="s">
        <v>90</v>
      </c>
      <c r="AI348" s="28" t="s">
        <v>90</v>
      </c>
      <c r="AJ348" s="28" t="s">
        <v>90</v>
      </c>
      <c r="AK348" s="28" t="s">
        <v>90</v>
      </c>
      <c r="AL348" s="28" t="s">
        <v>90</v>
      </c>
      <c r="AM348" s="28" t="s">
        <v>90</v>
      </c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9">
        <v>50.44</v>
      </c>
      <c r="AY348" s="30"/>
      <c r="AZ348" s="30"/>
      <c r="BA348" s="29"/>
      <c r="BB348" s="29"/>
      <c r="BC348" s="30"/>
      <c r="BD348" s="31">
        <f t="shared" si="61"/>
        <v>15333.759999999998</v>
      </c>
      <c r="BE348" s="31"/>
      <c r="BF348" s="30"/>
      <c r="BG348" s="36">
        <v>1</v>
      </c>
      <c r="BH348" s="31">
        <f t="shared" si="70"/>
        <v>0</v>
      </c>
      <c r="BI348" s="31">
        <f t="shared" si="71"/>
        <v>0</v>
      </c>
      <c r="BJ348" s="33">
        <f t="shared" si="72"/>
        <v>0</v>
      </c>
      <c r="BK348" s="30"/>
      <c r="BL348" s="30"/>
      <c r="BM348" s="30"/>
      <c r="BN348" s="30"/>
      <c r="BO348" s="33">
        <f t="shared" si="65"/>
        <v>0</v>
      </c>
      <c r="BP348" s="30">
        <v>26</v>
      </c>
      <c r="BQ348" s="30">
        <v>26</v>
      </c>
      <c r="BR348" s="30"/>
      <c r="BS348" s="30"/>
      <c r="BT348" s="34">
        <f t="shared" si="66"/>
        <v>50.44</v>
      </c>
      <c r="BU348" s="34"/>
      <c r="BV348" s="34"/>
      <c r="BW348" s="34"/>
      <c r="BX348" s="34"/>
      <c r="BY348" s="30"/>
      <c r="BZ348" s="31">
        <f t="shared" si="67"/>
        <v>1311.44</v>
      </c>
      <c r="CA348" s="31">
        <f t="shared" si="68"/>
        <v>1311.44</v>
      </c>
    </row>
    <row r="349" spans="1:79" ht="38.25" x14ac:dyDescent="0.25">
      <c r="A349" s="17"/>
      <c r="B349" s="2">
        <v>343</v>
      </c>
      <c r="C349" s="18">
        <v>206</v>
      </c>
      <c r="D349" s="18">
        <v>109</v>
      </c>
      <c r="E349" s="19">
        <v>0.31805555555555554</v>
      </c>
      <c r="F349" s="19">
        <v>0.34236111111111112</v>
      </c>
      <c r="G349" s="18" t="s">
        <v>865</v>
      </c>
      <c r="H349" s="18" t="s">
        <v>454</v>
      </c>
      <c r="I349" s="20">
        <v>16</v>
      </c>
      <c r="J349" s="21" t="s">
        <v>807</v>
      </c>
      <c r="K349" s="22">
        <v>304</v>
      </c>
      <c r="L349" s="23">
        <f t="shared" si="69"/>
        <v>4864</v>
      </c>
      <c r="M349" s="24" t="s">
        <v>129</v>
      </c>
      <c r="N349" s="25" t="s">
        <v>130</v>
      </c>
      <c r="O349" s="25">
        <v>37</v>
      </c>
      <c r="P349" s="25" t="s">
        <v>286</v>
      </c>
      <c r="Q349" s="25">
        <v>48</v>
      </c>
      <c r="R349" s="17"/>
      <c r="S349" s="25"/>
      <c r="T349" s="26" t="s">
        <v>364</v>
      </c>
      <c r="U349" s="26" t="s">
        <v>365</v>
      </c>
      <c r="V349" s="26">
        <v>1</v>
      </c>
      <c r="W349" s="26" t="s">
        <v>300</v>
      </c>
      <c r="X349" s="66">
        <v>44805</v>
      </c>
      <c r="Y349" s="66">
        <v>45169</v>
      </c>
      <c r="Z349" s="66"/>
      <c r="AA349" s="66"/>
      <c r="AB349" s="28" t="s">
        <v>459</v>
      </c>
      <c r="AC349" s="28"/>
      <c r="AD349" s="28" t="s">
        <v>90</v>
      </c>
      <c r="AE349" s="28" t="s">
        <v>90</v>
      </c>
      <c r="AF349" s="28" t="s">
        <v>90</v>
      </c>
      <c r="AG349" s="28"/>
      <c r="AH349" s="28" t="s">
        <v>90</v>
      </c>
      <c r="AI349" s="28" t="s">
        <v>90</v>
      </c>
      <c r="AJ349" s="28" t="s">
        <v>90</v>
      </c>
      <c r="AK349" s="28" t="s">
        <v>90</v>
      </c>
      <c r="AL349" s="28" t="s">
        <v>90</v>
      </c>
      <c r="AM349" s="28" t="s">
        <v>90</v>
      </c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9">
        <v>73.349999999999994</v>
      </c>
      <c r="AY349" s="30"/>
      <c r="AZ349" s="30"/>
      <c r="BA349" s="29"/>
      <c r="BB349" s="29"/>
      <c r="BC349" s="30"/>
      <c r="BD349" s="31">
        <f t="shared" si="61"/>
        <v>22298.399999999998</v>
      </c>
      <c r="BE349" s="31"/>
      <c r="BF349" s="30"/>
      <c r="BG349" s="32">
        <v>2</v>
      </c>
      <c r="BH349" s="31">
        <f t="shared" si="70"/>
        <v>0</v>
      </c>
      <c r="BI349" s="31">
        <f t="shared" si="71"/>
        <v>0</v>
      </c>
      <c r="BJ349" s="33">
        <f t="shared" si="72"/>
        <v>0</v>
      </c>
      <c r="BK349" s="30"/>
      <c r="BL349" s="30"/>
      <c r="BM349" s="30"/>
      <c r="BN349" s="30"/>
      <c r="BO349" s="33">
        <f t="shared" si="65"/>
        <v>0</v>
      </c>
      <c r="BP349" s="30">
        <v>26</v>
      </c>
      <c r="BQ349" s="30">
        <v>26</v>
      </c>
      <c r="BR349" s="30"/>
      <c r="BS349" s="30"/>
      <c r="BT349" s="34">
        <f t="shared" si="66"/>
        <v>73.349999999999994</v>
      </c>
      <c r="BU349" s="34"/>
      <c r="BV349" s="34"/>
      <c r="BW349" s="34"/>
      <c r="BX349" s="34"/>
      <c r="BY349" s="30"/>
      <c r="BZ349" s="31">
        <f t="shared" si="67"/>
        <v>1907.1</v>
      </c>
      <c r="CA349" s="31">
        <f t="shared" si="68"/>
        <v>1907.1</v>
      </c>
    </row>
    <row r="350" spans="1:79" ht="38.25" x14ac:dyDescent="0.25">
      <c r="A350" s="17"/>
      <c r="B350" s="2">
        <v>344</v>
      </c>
      <c r="C350" s="18">
        <v>206</v>
      </c>
      <c r="D350" s="18">
        <v>110</v>
      </c>
      <c r="E350" s="59">
        <v>0.3527777777777778</v>
      </c>
      <c r="F350" s="59">
        <v>0.36805555555555558</v>
      </c>
      <c r="G350" s="18" t="s">
        <v>866</v>
      </c>
      <c r="H350" s="18" t="s">
        <v>510</v>
      </c>
      <c r="I350" s="20">
        <v>11</v>
      </c>
      <c r="J350" s="21" t="s">
        <v>93</v>
      </c>
      <c r="K350" s="22">
        <v>58</v>
      </c>
      <c r="L350" s="23">
        <f t="shared" si="69"/>
        <v>638</v>
      </c>
      <c r="M350" s="44" t="s">
        <v>129</v>
      </c>
      <c r="N350" s="25" t="s">
        <v>796</v>
      </c>
      <c r="O350" s="25">
        <v>23</v>
      </c>
      <c r="P350" s="25" t="s">
        <v>787</v>
      </c>
      <c r="Q350" s="25">
        <v>23</v>
      </c>
      <c r="R350" s="25" t="s">
        <v>779</v>
      </c>
      <c r="S350" s="35">
        <v>21</v>
      </c>
      <c r="T350" s="26">
        <v>2010</v>
      </c>
      <c r="U350" s="26" t="s">
        <v>867</v>
      </c>
      <c r="V350" s="26" t="s">
        <v>364</v>
      </c>
      <c r="W350" s="26" t="s">
        <v>365</v>
      </c>
      <c r="X350" s="66">
        <v>44805</v>
      </c>
      <c r="Y350" s="66">
        <v>45169</v>
      </c>
      <c r="Z350" s="66"/>
      <c r="AA350" s="66"/>
      <c r="AB350" s="28" t="s">
        <v>408</v>
      </c>
      <c r="AC350" s="28"/>
      <c r="AD350" s="28" t="s">
        <v>90</v>
      </c>
      <c r="AE350" s="28" t="s">
        <v>90</v>
      </c>
      <c r="AF350" s="28"/>
      <c r="AG350" s="28"/>
      <c r="AH350" s="28"/>
      <c r="AI350" s="28"/>
      <c r="AJ350" s="28"/>
      <c r="AK350" s="28"/>
      <c r="AL350" s="28"/>
      <c r="AM350" s="28"/>
      <c r="AN350" s="28" t="s">
        <v>90</v>
      </c>
      <c r="AO350" s="28"/>
      <c r="AP350" s="28"/>
      <c r="AQ350" s="28"/>
      <c r="AR350" s="28"/>
      <c r="AS350" s="28"/>
      <c r="AT350" s="28"/>
      <c r="AU350" s="28"/>
      <c r="AV350" s="28"/>
      <c r="AW350" s="28"/>
      <c r="AX350" s="29">
        <v>43.05</v>
      </c>
      <c r="AY350" s="30"/>
      <c r="AZ350" s="30"/>
      <c r="BA350" s="29"/>
      <c r="BB350" s="29"/>
      <c r="BC350" s="30"/>
      <c r="BD350" s="31">
        <f t="shared" si="61"/>
        <v>2496.8999999999996</v>
      </c>
      <c r="BE350" s="31"/>
      <c r="BF350" s="30"/>
      <c r="BG350" s="36">
        <v>1</v>
      </c>
      <c r="BH350" s="31">
        <f t="shared" si="70"/>
        <v>0</v>
      </c>
      <c r="BI350" s="31">
        <f t="shared" si="71"/>
        <v>0</v>
      </c>
      <c r="BJ350" s="33">
        <f t="shared" si="72"/>
        <v>0</v>
      </c>
      <c r="BK350" s="30"/>
      <c r="BL350" s="30"/>
      <c r="BM350" s="30"/>
      <c r="BN350" s="30"/>
      <c r="BO350" s="33">
        <f t="shared" si="65"/>
        <v>0</v>
      </c>
      <c r="BP350" s="30">
        <v>4</v>
      </c>
      <c r="BQ350" s="30">
        <v>5</v>
      </c>
      <c r="BR350" s="30"/>
      <c r="BS350" s="30"/>
      <c r="BT350" s="34">
        <f t="shared" si="66"/>
        <v>43.05</v>
      </c>
      <c r="BU350" s="34"/>
      <c r="BV350" s="34"/>
      <c r="BW350" s="34"/>
      <c r="BX350" s="34"/>
      <c r="BY350" s="30"/>
      <c r="BZ350" s="31">
        <f t="shared" si="67"/>
        <v>172.2</v>
      </c>
      <c r="CA350" s="31">
        <f t="shared" si="68"/>
        <v>215.25</v>
      </c>
    </row>
    <row r="351" spans="1:79" ht="38.25" x14ac:dyDescent="0.25">
      <c r="A351" s="17"/>
      <c r="B351" s="2">
        <v>345</v>
      </c>
      <c r="C351" s="18">
        <v>206</v>
      </c>
      <c r="D351" s="18">
        <v>113</v>
      </c>
      <c r="E351" s="59">
        <v>0.375</v>
      </c>
      <c r="F351" s="19">
        <v>0.39930555555555558</v>
      </c>
      <c r="G351" s="18" t="s">
        <v>865</v>
      </c>
      <c r="H351" s="18" t="s">
        <v>510</v>
      </c>
      <c r="I351" s="20">
        <v>16</v>
      </c>
      <c r="J351" s="21" t="s">
        <v>93</v>
      </c>
      <c r="K351" s="22">
        <v>58</v>
      </c>
      <c r="L351" s="23">
        <f t="shared" si="69"/>
        <v>928</v>
      </c>
      <c r="M351" s="44" t="s">
        <v>129</v>
      </c>
      <c r="N351" s="25" t="s">
        <v>796</v>
      </c>
      <c r="O351" s="25">
        <v>23</v>
      </c>
      <c r="P351" s="25" t="s">
        <v>787</v>
      </c>
      <c r="Q351" s="25">
        <v>23</v>
      </c>
      <c r="R351" s="25" t="s">
        <v>779</v>
      </c>
      <c r="S351" s="35">
        <v>21</v>
      </c>
      <c r="T351" s="26" t="s">
        <v>364</v>
      </c>
      <c r="U351" s="26" t="s">
        <v>365</v>
      </c>
      <c r="V351" s="26">
        <v>1</v>
      </c>
      <c r="W351" s="26" t="s">
        <v>300</v>
      </c>
      <c r="X351" s="66">
        <v>44805</v>
      </c>
      <c r="Y351" s="66">
        <v>45169</v>
      </c>
      <c r="Z351" s="66"/>
      <c r="AA351" s="66"/>
      <c r="AB351" s="28" t="s">
        <v>408</v>
      </c>
      <c r="AC351" s="28"/>
      <c r="AD351" s="28" t="s">
        <v>90</v>
      </c>
      <c r="AE351" s="28" t="s">
        <v>90</v>
      </c>
      <c r="AF351" s="28"/>
      <c r="AG351" s="28"/>
      <c r="AH351" s="28"/>
      <c r="AI351" s="28"/>
      <c r="AJ351" s="28"/>
      <c r="AK351" s="28"/>
      <c r="AL351" s="28"/>
      <c r="AM351" s="28"/>
      <c r="AN351" s="28" t="s">
        <v>90</v>
      </c>
      <c r="AO351" s="28"/>
      <c r="AP351" s="28"/>
      <c r="AQ351" s="28"/>
      <c r="AR351" s="28"/>
      <c r="AS351" s="28"/>
      <c r="AT351" s="28"/>
      <c r="AU351" s="28"/>
      <c r="AV351" s="28"/>
      <c r="AW351" s="28"/>
      <c r="AX351" s="29">
        <v>62.48</v>
      </c>
      <c r="AY351" s="30"/>
      <c r="AZ351" s="30"/>
      <c r="BA351" s="29"/>
      <c r="BB351" s="29"/>
      <c r="BC351" s="30"/>
      <c r="BD351" s="31">
        <f t="shared" si="61"/>
        <v>3623.8399999999997</v>
      </c>
      <c r="BE351" s="31"/>
      <c r="BF351" s="30"/>
      <c r="BG351" s="36">
        <v>1</v>
      </c>
      <c r="BH351" s="31">
        <f t="shared" si="70"/>
        <v>0</v>
      </c>
      <c r="BI351" s="31">
        <f t="shared" si="71"/>
        <v>0</v>
      </c>
      <c r="BJ351" s="33">
        <f t="shared" si="72"/>
        <v>0</v>
      </c>
      <c r="BK351" s="30"/>
      <c r="BL351" s="30"/>
      <c r="BM351" s="30"/>
      <c r="BN351" s="30"/>
      <c r="BO351" s="33">
        <f t="shared" si="65"/>
        <v>0</v>
      </c>
      <c r="BP351" s="30">
        <v>4</v>
      </c>
      <c r="BQ351" s="30">
        <v>5</v>
      </c>
      <c r="BR351" s="30"/>
      <c r="BS351" s="30"/>
      <c r="BT351" s="34">
        <f t="shared" si="66"/>
        <v>62.48</v>
      </c>
      <c r="BU351" s="34"/>
      <c r="BV351" s="34"/>
      <c r="BW351" s="34"/>
      <c r="BX351" s="34"/>
      <c r="BY351" s="30"/>
      <c r="BZ351" s="31">
        <f t="shared" si="67"/>
        <v>249.92</v>
      </c>
      <c r="CA351" s="31">
        <f t="shared" si="68"/>
        <v>312.39999999999998</v>
      </c>
    </row>
    <row r="352" spans="1:79" ht="63.75" x14ac:dyDescent="0.25">
      <c r="A352" s="17"/>
      <c r="B352" s="2">
        <v>346</v>
      </c>
      <c r="C352" s="18">
        <v>206</v>
      </c>
      <c r="D352" s="18">
        <v>112</v>
      </c>
      <c r="E352" s="19">
        <v>0.4236111111111111</v>
      </c>
      <c r="F352" s="59">
        <v>0.4513888888888889</v>
      </c>
      <c r="G352" s="18" t="s">
        <v>868</v>
      </c>
      <c r="H352" s="18" t="s">
        <v>306</v>
      </c>
      <c r="I352" s="20">
        <v>18</v>
      </c>
      <c r="J352" s="21" t="s">
        <v>104</v>
      </c>
      <c r="K352" s="22">
        <v>208</v>
      </c>
      <c r="L352" s="23">
        <f t="shared" si="69"/>
        <v>3744</v>
      </c>
      <c r="M352" s="24" t="s">
        <v>129</v>
      </c>
      <c r="N352" s="25" t="s">
        <v>796</v>
      </c>
      <c r="O352" s="25">
        <v>23</v>
      </c>
      <c r="P352" s="25" t="s">
        <v>787</v>
      </c>
      <c r="Q352" s="25">
        <v>23</v>
      </c>
      <c r="R352" s="25" t="s">
        <v>802</v>
      </c>
      <c r="S352" s="35">
        <v>24</v>
      </c>
      <c r="T352" s="26">
        <v>1</v>
      </c>
      <c r="U352" s="26" t="s">
        <v>179</v>
      </c>
      <c r="V352" s="26" t="s">
        <v>364</v>
      </c>
      <c r="W352" s="26" t="s">
        <v>365</v>
      </c>
      <c r="X352" s="66">
        <v>44816</v>
      </c>
      <c r="Y352" s="66">
        <v>45086</v>
      </c>
      <c r="Z352" s="66"/>
      <c r="AA352" s="66"/>
      <c r="AB352" s="26" t="s">
        <v>309</v>
      </c>
      <c r="AC352" s="26"/>
      <c r="AD352" s="28"/>
      <c r="AE352" s="28"/>
      <c r="AF352" s="28"/>
      <c r="AG352" s="28" t="s">
        <v>90</v>
      </c>
      <c r="AH352" s="28" t="s">
        <v>90</v>
      </c>
      <c r="AI352" s="28" t="s">
        <v>90</v>
      </c>
      <c r="AJ352" s="28" t="s">
        <v>90</v>
      </c>
      <c r="AK352" s="28" t="s">
        <v>90</v>
      </c>
      <c r="AL352" s="28" t="s">
        <v>90</v>
      </c>
      <c r="AM352" s="28" t="s">
        <v>90</v>
      </c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9">
        <v>31.5</v>
      </c>
      <c r="AY352" s="30"/>
      <c r="AZ352" s="30"/>
      <c r="BA352" s="29"/>
      <c r="BB352" s="29"/>
      <c r="BC352" s="30"/>
      <c r="BD352" s="31">
        <f t="shared" si="61"/>
        <v>6552</v>
      </c>
      <c r="BE352" s="31"/>
      <c r="BF352" s="30"/>
      <c r="BG352" s="36">
        <v>1</v>
      </c>
      <c r="BH352" s="31">
        <f t="shared" si="70"/>
        <v>4.5</v>
      </c>
      <c r="BI352" s="31">
        <f t="shared" si="71"/>
        <v>0</v>
      </c>
      <c r="BJ352" s="31">
        <f t="shared" si="72"/>
        <v>936</v>
      </c>
      <c r="BK352" s="30"/>
      <c r="BL352" s="30"/>
      <c r="BM352" s="30"/>
      <c r="BN352" s="30"/>
      <c r="BO352" s="33">
        <f t="shared" si="65"/>
        <v>0</v>
      </c>
      <c r="BP352" s="30">
        <v>17</v>
      </c>
      <c r="BQ352" s="30">
        <v>25</v>
      </c>
      <c r="BR352" s="30"/>
      <c r="BS352" s="30"/>
      <c r="BT352" s="34">
        <f t="shared" si="66"/>
        <v>36</v>
      </c>
      <c r="BU352" s="34"/>
      <c r="BV352" s="34"/>
      <c r="BW352" s="34"/>
      <c r="BX352" s="34"/>
      <c r="BY352" s="30"/>
      <c r="BZ352" s="31">
        <f t="shared" si="67"/>
        <v>612</v>
      </c>
      <c r="CA352" s="31">
        <f t="shared" si="68"/>
        <v>900</v>
      </c>
    </row>
    <row r="353" spans="1:79" ht="38.25" x14ac:dyDescent="0.25">
      <c r="A353" s="17"/>
      <c r="B353" s="2">
        <v>347</v>
      </c>
      <c r="C353" s="18">
        <v>206</v>
      </c>
      <c r="D353" s="18">
        <v>116</v>
      </c>
      <c r="E353" s="19">
        <v>0.5229166666666667</v>
      </c>
      <c r="F353" s="19">
        <v>0.53819444444444442</v>
      </c>
      <c r="G353" s="18" t="s">
        <v>866</v>
      </c>
      <c r="H353" s="18" t="s">
        <v>510</v>
      </c>
      <c r="I353" s="20">
        <v>11</v>
      </c>
      <c r="J353" s="21" t="s">
        <v>93</v>
      </c>
      <c r="K353" s="22">
        <v>58</v>
      </c>
      <c r="L353" s="23">
        <f t="shared" si="69"/>
        <v>638</v>
      </c>
      <c r="M353" s="24" t="s">
        <v>129</v>
      </c>
      <c r="N353" s="25" t="s">
        <v>796</v>
      </c>
      <c r="O353" s="25">
        <v>23</v>
      </c>
      <c r="P353" s="25" t="s">
        <v>779</v>
      </c>
      <c r="Q353" s="25">
        <v>21</v>
      </c>
      <c r="R353" s="25" t="s">
        <v>787</v>
      </c>
      <c r="S353" s="35">
        <v>23</v>
      </c>
      <c r="T353" s="26">
        <v>2010</v>
      </c>
      <c r="U353" s="26" t="s">
        <v>867</v>
      </c>
      <c r="V353" s="26" t="s">
        <v>364</v>
      </c>
      <c r="W353" s="26" t="s">
        <v>365</v>
      </c>
      <c r="X353" s="66">
        <v>44805</v>
      </c>
      <c r="Y353" s="66">
        <v>45169</v>
      </c>
      <c r="Z353" s="66"/>
      <c r="AA353" s="66"/>
      <c r="AB353" s="28" t="s">
        <v>408</v>
      </c>
      <c r="AC353" s="28"/>
      <c r="AD353" s="28" t="s">
        <v>90</v>
      </c>
      <c r="AE353" s="28" t="s">
        <v>90</v>
      </c>
      <c r="AF353" s="28"/>
      <c r="AG353" s="28"/>
      <c r="AH353" s="28"/>
      <c r="AI353" s="28"/>
      <c r="AJ353" s="28"/>
      <c r="AK353" s="28"/>
      <c r="AL353" s="28"/>
      <c r="AM353" s="28"/>
      <c r="AN353" s="28" t="s">
        <v>90</v>
      </c>
      <c r="AO353" s="28"/>
      <c r="AP353" s="28"/>
      <c r="AQ353" s="28"/>
      <c r="AR353" s="28"/>
      <c r="AS353" s="28"/>
      <c r="AT353" s="28"/>
      <c r="AU353" s="28"/>
      <c r="AV353" s="28"/>
      <c r="AW353" s="28"/>
      <c r="AX353" s="29">
        <v>50.66</v>
      </c>
      <c r="AY353" s="30"/>
      <c r="AZ353" s="30"/>
      <c r="BA353" s="29"/>
      <c r="BB353" s="29"/>
      <c r="BC353" s="30"/>
      <c r="BD353" s="31">
        <f t="shared" si="61"/>
        <v>2938.2799999999997</v>
      </c>
      <c r="BE353" s="31"/>
      <c r="BF353" s="30"/>
      <c r="BG353" s="36">
        <v>1</v>
      </c>
      <c r="BH353" s="31">
        <f t="shared" si="70"/>
        <v>0</v>
      </c>
      <c r="BI353" s="31">
        <f t="shared" si="71"/>
        <v>0</v>
      </c>
      <c r="BJ353" s="33">
        <f t="shared" si="72"/>
        <v>0</v>
      </c>
      <c r="BK353" s="30"/>
      <c r="BL353" s="30"/>
      <c r="BM353" s="30"/>
      <c r="BN353" s="30"/>
      <c r="BO353" s="33">
        <f t="shared" si="65"/>
        <v>0</v>
      </c>
      <c r="BP353" s="105">
        <v>3</v>
      </c>
      <c r="BQ353" s="30">
        <v>5</v>
      </c>
      <c r="BR353" s="30"/>
      <c r="BS353" s="30"/>
      <c r="BT353" s="34">
        <f t="shared" si="66"/>
        <v>50.66</v>
      </c>
      <c r="BU353" s="34"/>
      <c r="BV353" s="34"/>
      <c r="BW353" s="34"/>
      <c r="BX353" s="34"/>
      <c r="BY353" s="30"/>
      <c r="BZ353" s="31">
        <f t="shared" si="67"/>
        <v>151.97999999999999</v>
      </c>
      <c r="CA353" s="31">
        <f t="shared" si="68"/>
        <v>253.29999999999998</v>
      </c>
    </row>
    <row r="354" spans="1:79" ht="76.5" x14ac:dyDescent="0.25">
      <c r="A354" s="17"/>
      <c r="B354" s="2">
        <v>348</v>
      </c>
      <c r="C354" s="18">
        <v>206</v>
      </c>
      <c r="D354" s="18">
        <v>116</v>
      </c>
      <c r="E354" s="19">
        <v>0.53819444444444442</v>
      </c>
      <c r="F354" s="19">
        <v>0.5395833333333333</v>
      </c>
      <c r="G354" s="18" t="s">
        <v>869</v>
      </c>
      <c r="H354" s="18" t="s">
        <v>290</v>
      </c>
      <c r="I354" s="20">
        <v>2</v>
      </c>
      <c r="J354" s="21" t="s">
        <v>93</v>
      </c>
      <c r="K354" s="22">
        <v>13</v>
      </c>
      <c r="L354" s="23">
        <f t="shared" si="69"/>
        <v>26</v>
      </c>
      <c r="M354" s="24" t="s">
        <v>129</v>
      </c>
      <c r="N354" s="25" t="s">
        <v>796</v>
      </c>
      <c r="O354" s="25">
        <v>23</v>
      </c>
      <c r="P354" s="25" t="s">
        <v>779</v>
      </c>
      <c r="Q354" s="25">
        <v>21</v>
      </c>
      <c r="R354" s="25" t="s">
        <v>787</v>
      </c>
      <c r="S354" s="35">
        <v>23</v>
      </c>
      <c r="T354" s="26" t="s">
        <v>364</v>
      </c>
      <c r="U354" s="26" t="s">
        <v>365</v>
      </c>
      <c r="V354" s="26">
        <v>2024</v>
      </c>
      <c r="W354" s="26" t="s">
        <v>870</v>
      </c>
      <c r="X354" s="27">
        <v>44562</v>
      </c>
      <c r="Y354" s="27">
        <v>44815</v>
      </c>
      <c r="Z354" s="27">
        <v>45101</v>
      </c>
      <c r="AA354" s="27">
        <v>45169</v>
      </c>
      <c r="AB354" s="62" t="s">
        <v>291</v>
      </c>
      <c r="AC354" s="62"/>
      <c r="AD354" s="28"/>
      <c r="AE354" s="28" t="s">
        <v>90</v>
      </c>
      <c r="AF354" s="28"/>
      <c r="AG354" s="28"/>
      <c r="AH354" s="28"/>
      <c r="AI354" s="28"/>
      <c r="AJ354" s="28"/>
      <c r="AK354" s="28"/>
      <c r="AL354" s="28"/>
      <c r="AM354" s="28"/>
      <c r="AN354" s="28" t="s">
        <v>90</v>
      </c>
      <c r="AO354" s="28"/>
      <c r="AP354" s="28"/>
      <c r="AQ354" s="28"/>
      <c r="AR354" s="28"/>
      <c r="AS354" s="28"/>
      <c r="AT354" s="28"/>
      <c r="AU354" s="28"/>
      <c r="AV354" s="28"/>
      <c r="AW354" s="28"/>
      <c r="AX354" s="29">
        <v>3.6</v>
      </c>
      <c r="AY354" s="30"/>
      <c r="AZ354" s="30"/>
      <c r="BA354" s="29"/>
      <c r="BB354" s="29"/>
      <c r="BC354" s="30"/>
      <c r="BD354" s="31">
        <f t="shared" si="61"/>
        <v>46.800000000000004</v>
      </c>
      <c r="BE354" s="31"/>
      <c r="BF354" s="30"/>
      <c r="BG354" s="36">
        <v>1</v>
      </c>
      <c r="BH354" s="31">
        <f t="shared" si="70"/>
        <v>0.39999999999999991</v>
      </c>
      <c r="BI354" s="31">
        <f t="shared" si="71"/>
        <v>0</v>
      </c>
      <c r="BJ354" s="31">
        <f t="shared" si="72"/>
        <v>5.1999999999999993</v>
      </c>
      <c r="BK354" s="30"/>
      <c r="BL354" s="30"/>
      <c r="BM354" s="30"/>
      <c r="BN354" s="30"/>
      <c r="BO354" s="33">
        <f t="shared" si="65"/>
        <v>0</v>
      </c>
      <c r="BP354" s="30">
        <v>2</v>
      </c>
      <c r="BQ354" s="30">
        <v>0</v>
      </c>
      <c r="BR354" s="30"/>
      <c r="BS354" s="30"/>
      <c r="BT354" s="34">
        <f t="shared" si="66"/>
        <v>4</v>
      </c>
      <c r="BU354" s="34"/>
      <c r="BV354" s="34"/>
      <c r="BW354" s="34"/>
      <c r="BX354" s="34"/>
      <c r="BY354" s="30"/>
      <c r="BZ354" s="31">
        <f t="shared" si="67"/>
        <v>8</v>
      </c>
      <c r="CA354" s="31">
        <f t="shared" si="68"/>
        <v>0</v>
      </c>
    </row>
    <row r="355" spans="1:79" ht="51" x14ac:dyDescent="0.25">
      <c r="A355" s="17"/>
      <c r="B355" s="2">
        <v>349</v>
      </c>
      <c r="C355" s="18">
        <v>206</v>
      </c>
      <c r="D355" s="18">
        <v>382</v>
      </c>
      <c r="E355" s="19">
        <v>0.54861111111111105</v>
      </c>
      <c r="F355" s="19">
        <v>0.5625</v>
      </c>
      <c r="G355" s="18" t="s">
        <v>871</v>
      </c>
      <c r="H355" s="18" t="s">
        <v>306</v>
      </c>
      <c r="I355" s="20">
        <v>11</v>
      </c>
      <c r="J355" s="21" t="s">
        <v>122</v>
      </c>
      <c r="K355" s="22">
        <v>208</v>
      </c>
      <c r="L355" s="23">
        <f t="shared" si="69"/>
        <v>2288</v>
      </c>
      <c r="M355" s="24" t="s">
        <v>129</v>
      </c>
      <c r="N355" s="25" t="s">
        <v>796</v>
      </c>
      <c r="O355" s="25">
        <v>23</v>
      </c>
      <c r="P355" s="25" t="s">
        <v>779</v>
      </c>
      <c r="Q355" s="25">
        <v>21</v>
      </c>
      <c r="R355" s="25" t="s">
        <v>787</v>
      </c>
      <c r="S355" s="35">
        <v>23</v>
      </c>
      <c r="T355" s="26">
        <v>2020</v>
      </c>
      <c r="U355" s="26" t="s">
        <v>872</v>
      </c>
      <c r="V355" s="26" t="s">
        <v>364</v>
      </c>
      <c r="W355" s="26" t="s">
        <v>365</v>
      </c>
      <c r="X355" s="66">
        <v>44816</v>
      </c>
      <c r="Y355" s="66">
        <v>45086</v>
      </c>
      <c r="Z355" s="66"/>
      <c r="AA355" s="66"/>
      <c r="AB355" s="26" t="s">
        <v>309</v>
      </c>
      <c r="AC355" s="26"/>
      <c r="AD355" s="28"/>
      <c r="AE355" s="28"/>
      <c r="AF355" s="28"/>
      <c r="AG355" s="28" t="s">
        <v>90</v>
      </c>
      <c r="AH355" s="28" t="s">
        <v>90</v>
      </c>
      <c r="AI355" s="28" t="s">
        <v>90</v>
      </c>
      <c r="AJ355" s="28" t="s">
        <v>90</v>
      </c>
      <c r="AK355" s="28" t="s">
        <v>90</v>
      </c>
      <c r="AL355" s="28" t="s">
        <v>90</v>
      </c>
      <c r="AM355" s="28" t="s">
        <v>90</v>
      </c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9">
        <v>38.869999999999997</v>
      </c>
      <c r="AY355" s="30"/>
      <c r="AZ355" s="30"/>
      <c r="BA355" s="29"/>
      <c r="BB355" s="29"/>
      <c r="BC355" s="30"/>
      <c r="BD355" s="31">
        <f t="shared" si="61"/>
        <v>8084.9599999999991</v>
      </c>
      <c r="BE355" s="31"/>
      <c r="BF355" s="30"/>
      <c r="BG355" s="36">
        <v>1</v>
      </c>
      <c r="BH355" s="31">
        <f t="shared" si="70"/>
        <v>0</v>
      </c>
      <c r="BI355" s="31">
        <f t="shared" si="71"/>
        <v>0</v>
      </c>
      <c r="BJ355" s="33">
        <f t="shared" si="72"/>
        <v>0</v>
      </c>
      <c r="BK355" s="30"/>
      <c r="BL355" s="30"/>
      <c r="BM355" s="30"/>
      <c r="BN355" s="30"/>
      <c r="BO355" s="33">
        <f t="shared" si="65"/>
        <v>0</v>
      </c>
      <c r="BP355" s="30">
        <v>17</v>
      </c>
      <c r="BQ355" s="30">
        <v>25</v>
      </c>
      <c r="BR355" s="30"/>
      <c r="BS355" s="30"/>
      <c r="BT355" s="34">
        <f t="shared" ref="BT355:BT386" si="73">SUM(AX355:AZ355)+SUM(BH355:BI355)+SUM(BK355:BL355)+BN355</f>
        <v>38.869999999999997</v>
      </c>
      <c r="BU355" s="34"/>
      <c r="BV355" s="34"/>
      <c r="BW355" s="34"/>
      <c r="BX355" s="34"/>
      <c r="BY355" s="30"/>
      <c r="BZ355" s="31">
        <f t="shared" si="67"/>
        <v>660.79</v>
      </c>
      <c r="CA355" s="31">
        <f t="shared" si="68"/>
        <v>971.74999999999989</v>
      </c>
    </row>
    <row r="356" spans="1:79" ht="38.25" x14ac:dyDescent="0.25">
      <c r="A356" s="17"/>
      <c r="B356" s="2">
        <v>350</v>
      </c>
      <c r="C356" s="18">
        <v>206</v>
      </c>
      <c r="D356" s="18">
        <v>117</v>
      </c>
      <c r="E356" s="19">
        <v>0.5854166666666667</v>
      </c>
      <c r="F356" s="19">
        <v>0.60972222222222217</v>
      </c>
      <c r="G356" s="18" t="s">
        <v>865</v>
      </c>
      <c r="H356" s="18" t="s">
        <v>510</v>
      </c>
      <c r="I356" s="20">
        <v>16</v>
      </c>
      <c r="J356" s="21" t="s">
        <v>93</v>
      </c>
      <c r="K356" s="22">
        <v>58</v>
      </c>
      <c r="L356" s="23">
        <f t="shared" si="69"/>
        <v>928</v>
      </c>
      <c r="M356" s="24" t="s">
        <v>129</v>
      </c>
      <c r="N356" s="25" t="s">
        <v>779</v>
      </c>
      <c r="O356" s="25">
        <v>21</v>
      </c>
      <c r="P356" s="25" t="s">
        <v>796</v>
      </c>
      <c r="Q356" s="25">
        <v>23</v>
      </c>
      <c r="R356" s="25" t="s">
        <v>787</v>
      </c>
      <c r="S356" s="35">
        <v>23</v>
      </c>
      <c r="T356" s="26" t="s">
        <v>364</v>
      </c>
      <c r="U356" s="26" t="s">
        <v>365</v>
      </c>
      <c r="V356" s="26">
        <v>1</v>
      </c>
      <c r="W356" s="26" t="s">
        <v>300</v>
      </c>
      <c r="X356" s="66">
        <v>44805</v>
      </c>
      <c r="Y356" s="66">
        <v>45169</v>
      </c>
      <c r="Z356" s="66"/>
      <c r="AA356" s="66"/>
      <c r="AB356" s="28" t="s">
        <v>408</v>
      </c>
      <c r="AC356" s="28"/>
      <c r="AD356" s="28" t="s">
        <v>90</v>
      </c>
      <c r="AE356" s="28" t="s">
        <v>90</v>
      </c>
      <c r="AF356" s="28"/>
      <c r="AG356" s="28"/>
      <c r="AH356" s="28"/>
      <c r="AI356" s="28"/>
      <c r="AJ356" s="28"/>
      <c r="AK356" s="28"/>
      <c r="AL356" s="28"/>
      <c r="AM356" s="28"/>
      <c r="AN356" s="28" t="s">
        <v>90</v>
      </c>
      <c r="AO356" s="28"/>
      <c r="AP356" s="28"/>
      <c r="AQ356" s="28"/>
      <c r="AR356" s="28"/>
      <c r="AS356" s="28"/>
      <c r="AT356" s="28"/>
      <c r="AU356" s="28"/>
      <c r="AV356" s="28"/>
      <c r="AW356" s="28"/>
      <c r="AX356" s="29">
        <v>62.48</v>
      </c>
      <c r="AY356" s="30"/>
      <c r="AZ356" s="30"/>
      <c r="BA356" s="29"/>
      <c r="BB356" s="29"/>
      <c r="BC356" s="30"/>
      <c r="BD356" s="31">
        <f t="shared" si="61"/>
        <v>3623.8399999999997</v>
      </c>
      <c r="BE356" s="31"/>
      <c r="BF356" s="30"/>
      <c r="BG356" s="36">
        <v>1</v>
      </c>
      <c r="BH356" s="31">
        <f t="shared" si="70"/>
        <v>0</v>
      </c>
      <c r="BI356" s="31">
        <f t="shared" si="71"/>
        <v>0</v>
      </c>
      <c r="BJ356" s="33">
        <f t="shared" si="72"/>
        <v>0</v>
      </c>
      <c r="BK356" s="30"/>
      <c r="BL356" s="30"/>
      <c r="BM356" s="30"/>
      <c r="BN356" s="30"/>
      <c r="BO356" s="33">
        <f t="shared" si="65"/>
        <v>0</v>
      </c>
      <c r="BP356" s="105">
        <v>3</v>
      </c>
      <c r="BQ356" s="30">
        <v>5</v>
      </c>
      <c r="BR356" s="30"/>
      <c r="BS356" s="30"/>
      <c r="BT356" s="34">
        <f t="shared" si="73"/>
        <v>62.48</v>
      </c>
      <c r="BU356" s="34"/>
      <c r="BV356" s="34"/>
      <c r="BW356" s="34"/>
      <c r="BX356" s="34"/>
      <c r="BY356" s="30"/>
      <c r="BZ356" s="31">
        <f t="shared" si="67"/>
        <v>187.44</v>
      </c>
      <c r="CA356" s="31">
        <f t="shared" si="68"/>
        <v>312.39999999999998</v>
      </c>
    </row>
    <row r="357" spans="1:79" ht="38.25" x14ac:dyDescent="0.25">
      <c r="A357" s="17"/>
      <c r="B357" s="2">
        <v>351</v>
      </c>
      <c r="C357" s="18">
        <v>206</v>
      </c>
      <c r="D357" s="18">
        <v>128</v>
      </c>
      <c r="E357" s="19">
        <v>0.70833333333333337</v>
      </c>
      <c r="F357" s="59">
        <v>0.72638888888888886</v>
      </c>
      <c r="G357" s="18" t="s">
        <v>873</v>
      </c>
      <c r="H357" s="18" t="s">
        <v>510</v>
      </c>
      <c r="I357" s="20">
        <v>16</v>
      </c>
      <c r="J357" s="21" t="s">
        <v>93</v>
      </c>
      <c r="K357" s="22">
        <v>58</v>
      </c>
      <c r="L357" s="23">
        <f t="shared" si="69"/>
        <v>928</v>
      </c>
      <c r="M357" s="24" t="s">
        <v>129</v>
      </c>
      <c r="N357" s="25" t="s">
        <v>779</v>
      </c>
      <c r="O357" s="25">
        <v>21</v>
      </c>
      <c r="P357" s="25" t="s">
        <v>796</v>
      </c>
      <c r="Q357" s="25">
        <v>23</v>
      </c>
      <c r="R357" s="25" t="s">
        <v>787</v>
      </c>
      <c r="S357" s="35">
        <v>23</v>
      </c>
      <c r="T357" s="26">
        <v>1</v>
      </c>
      <c r="U357" s="26" t="s">
        <v>179</v>
      </c>
      <c r="V357" s="26">
        <v>2023</v>
      </c>
      <c r="W357" s="26" t="s">
        <v>874</v>
      </c>
      <c r="X357" s="66">
        <v>44805</v>
      </c>
      <c r="Y357" s="66">
        <v>45169</v>
      </c>
      <c r="Z357" s="66"/>
      <c r="AA357" s="66"/>
      <c r="AB357" s="28" t="s">
        <v>408</v>
      </c>
      <c r="AC357" s="28"/>
      <c r="AD357" s="28" t="s">
        <v>90</v>
      </c>
      <c r="AE357" s="28" t="s">
        <v>90</v>
      </c>
      <c r="AF357" s="28"/>
      <c r="AG357" s="28"/>
      <c r="AH357" s="28"/>
      <c r="AI357" s="28"/>
      <c r="AJ357" s="28"/>
      <c r="AK357" s="28"/>
      <c r="AL357" s="28"/>
      <c r="AM357" s="28"/>
      <c r="AN357" s="28" t="s">
        <v>90</v>
      </c>
      <c r="AO357" s="28"/>
      <c r="AP357" s="28"/>
      <c r="AQ357" s="28"/>
      <c r="AR357" s="28"/>
      <c r="AS357" s="28"/>
      <c r="AT357" s="28"/>
      <c r="AU357" s="28"/>
      <c r="AV357" s="28"/>
      <c r="AW357" s="28"/>
      <c r="AX357" s="29">
        <v>62.48</v>
      </c>
      <c r="AY357" s="30"/>
      <c r="AZ357" s="30"/>
      <c r="BA357" s="29"/>
      <c r="BB357" s="29"/>
      <c r="BC357" s="30"/>
      <c r="BD357" s="31">
        <f t="shared" si="61"/>
        <v>3623.8399999999997</v>
      </c>
      <c r="BE357" s="31"/>
      <c r="BF357" s="30"/>
      <c r="BG357" s="36">
        <v>1</v>
      </c>
      <c r="BH357" s="31">
        <f t="shared" si="70"/>
        <v>0</v>
      </c>
      <c r="BI357" s="31">
        <f t="shared" si="71"/>
        <v>0</v>
      </c>
      <c r="BJ357" s="33">
        <f t="shared" si="72"/>
        <v>0</v>
      </c>
      <c r="BK357" s="30"/>
      <c r="BL357" s="30"/>
      <c r="BM357" s="30"/>
      <c r="BN357" s="30"/>
      <c r="BO357" s="33">
        <f t="shared" si="65"/>
        <v>0</v>
      </c>
      <c r="BP357" s="30">
        <v>4</v>
      </c>
      <c r="BQ357" s="30">
        <v>5</v>
      </c>
      <c r="BR357" s="30"/>
      <c r="BS357" s="30"/>
      <c r="BT357" s="34">
        <f t="shared" si="73"/>
        <v>62.48</v>
      </c>
      <c r="BU357" s="34"/>
      <c r="BV357" s="34"/>
      <c r="BW357" s="34"/>
      <c r="BX357" s="34"/>
      <c r="BY357" s="30"/>
      <c r="BZ357" s="31">
        <f t="shared" si="67"/>
        <v>249.92</v>
      </c>
      <c r="CA357" s="31">
        <f t="shared" si="68"/>
        <v>312.39999999999998</v>
      </c>
    </row>
    <row r="358" spans="1:79" ht="76.5" x14ac:dyDescent="0.25">
      <c r="A358" s="17"/>
      <c r="B358" s="2">
        <v>352</v>
      </c>
      <c r="C358" s="18">
        <v>206</v>
      </c>
      <c r="D358" s="18">
        <v>580</v>
      </c>
      <c r="E358" s="19">
        <v>0.71180555555555547</v>
      </c>
      <c r="F358" s="19">
        <v>0.71875</v>
      </c>
      <c r="G358" s="18" t="s">
        <v>875</v>
      </c>
      <c r="H358" s="18" t="s">
        <v>268</v>
      </c>
      <c r="I358" s="20">
        <v>6</v>
      </c>
      <c r="J358" s="21" t="s">
        <v>93</v>
      </c>
      <c r="K358" s="22">
        <v>252</v>
      </c>
      <c r="L358" s="23">
        <f t="shared" si="69"/>
        <v>1512</v>
      </c>
      <c r="M358" s="24" t="s">
        <v>129</v>
      </c>
      <c r="N358" s="25" t="s">
        <v>802</v>
      </c>
      <c r="O358" s="25">
        <v>24</v>
      </c>
      <c r="P358" s="25" t="s">
        <v>779</v>
      </c>
      <c r="Q358" s="25">
        <v>21</v>
      </c>
      <c r="R358" s="25" t="s">
        <v>787</v>
      </c>
      <c r="S358" s="35">
        <v>23</v>
      </c>
      <c r="T358" s="26">
        <v>2021</v>
      </c>
      <c r="U358" s="26" t="s">
        <v>876</v>
      </c>
      <c r="V358" s="26" t="s">
        <v>364</v>
      </c>
      <c r="W358" s="26" t="s">
        <v>365</v>
      </c>
      <c r="X358" s="66">
        <v>44805</v>
      </c>
      <c r="Y358" s="66">
        <v>45169</v>
      </c>
      <c r="Z358" s="66"/>
      <c r="AA358" s="66"/>
      <c r="AB358" s="26" t="s">
        <v>269</v>
      </c>
      <c r="AC358" s="26"/>
      <c r="AD358" s="28" t="s">
        <v>90</v>
      </c>
      <c r="AE358" s="28" t="s">
        <v>90</v>
      </c>
      <c r="AF358" s="28" t="s">
        <v>90</v>
      </c>
      <c r="AG358" s="28"/>
      <c r="AH358" s="28" t="s">
        <v>90</v>
      </c>
      <c r="AI358" s="28" t="s">
        <v>90</v>
      </c>
      <c r="AJ358" s="28" t="s">
        <v>90</v>
      </c>
      <c r="AK358" s="28" t="s">
        <v>90</v>
      </c>
      <c r="AL358" s="28" t="s">
        <v>90</v>
      </c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9">
        <v>10.76</v>
      </c>
      <c r="AY358" s="30"/>
      <c r="AZ358" s="30"/>
      <c r="BA358" s="29"/>
      <c r="BB358" s="29"/>
      <c r="BC358" s="30"/>
      <c r="BD358" s="31">
        <f t="shared" si="61"/>
        <v>2711.52</v>
      </c>
      <c r="BE358" s="31"/>
      <c r="BF358" s="30"/>
      <c r="BG358" s="36">
        <v>1</v>
      </c>
      <c r="BH358" s="31">
        <f t="shared" si="70"/>
        <v>1.2400000000000002</v>
      </c>
      <c r="BI358" s="31">
        <f t="shared" si="71"/>
        <v>0</v>
      </c>
      <c r="BJ358" s="31">
        <f t="shared" si="72"/>
        <v>312.48000000000008</v>
      </c>
      <c r="BK358" s="30"/>
      <c r="BL358" s="30"/>
      <c r="BM358" s="30"/>
      <c r="BN358" s="30"/>
      <c r="BO358" s="33">
        <f t="shared" si="65"/>
        <v>0</v>
      </c>
      <c r="BP358" s="30">
        <v>22</v>
      </c>
      <c r="BQ358" s="30">
        <v>21</v>
      </c>
      <c r="BR358" s="30"/>
      <c r="BS358" s="30"/>
      <c r="BT358" s="34">
        <f t="shared" si="73"/>
        <v>12</v>
      </c>
      <c r="BU358" s="34"/>
      <c r="BV358" s="34"/>
      <c r="BW358" s="34"/>
      <c r="BX358" s="34"/>
      <c r="BY358" s="30"/>
      <c r="BZ358" s="31">
        <f t="shared" si="67"/>
        <v>264</v>
      </c>
      <c r="CA358" s="31">
        <f t="shared" si="68"/>
        <v>252</v>
      </c>
    </row>
    <row r="359" spans="1:79" ht="76.5" x14ac:dyDescent="0.25">
      <c r="A359" s="17"/>
      <c r="B359" s="2">
        <v>353</v>
      </c>
      <c r="C359" s="18">
        <v>206</v>
      </c>
      <c r="D359" s="18">
        <v>372</v>
      </c>
      <c r="E359" s="19">
        <v>0.71875</v>
      </c>
      <c r="F359" s="19">
        <v>0.74652777777777779</v>
      </c>
      <c r="G359" s="18" t="s">
        <v>877</v>
      </c>
      <c r="H359" s="18" t="s">
        <v>422</v>
      </c>
      <c r="I359" s="20">
        <v>18.5</v>
      </c>
      <c r="J359" s="21" t="s">
        <v>104</v>
      </c>
      <c r="K359" s="22">
        <v>240</v>
      </c>
      <c r="L359" s="23">
        <f t="shared" si="69"/>
        <v>4440</v>
      </c>
      <c r="M359" s="24" t="s">
        <v>129</v>
      </c>
      <c r="N359" s="25" t="s">
        <v>130</v>
      </c>
      <c r="O359" s="25">
        <v>37</v>
      </c>
      <c r="P359" s="25" t="s">
        <v>286</v>
      </c>
      <c r="Q359" s="25">
        <v>48</v>
      </c>
      <c r="R359" s="17"/>
      <c r="S359" s="25"/>
      <c r="T359" s="26">
        <v>1</v>
      </c>
      <c r="U359" s="26" t="s">
        <v>179</v>
      </c>
      <c r="V359" s="26" t="s">
        <v>364</v>
      </c>
      <c r="W359" s="26" t="s">
        <v>365</v>
      </c>
      <c r="X359" s="27">
        <v>44816</v>
      </c>
      <c r="Y359" s="27">
        <v>45100</v>
      </c>
      <c r="Z359" s="27"/>
      <c r="AA359" s="27"/>
      <c r="AB359" s="26" t="s">
        <v>423</v>
      </c>
      <c r="AC359" s="26"/>
      <c r="AD359" s="28" t="s">
        <v>90</v>
      </c>
      <c r="AE359" s="28"/>
      <c r="AF359" s="28" t="s">
        <v>90</v>
      </c>
      <c r="AG359" s="28"/>
      <c r="AH359" s="28" t="s">
        <v>90</v>
      </c>
      <c r="AI359" s="28" t="s">
        <v>90</v>
      </c>
      <c r="AJ359" s="28" t="s">
        <v>90</v>
      </c>
      <c r="AK359" s="28" t="s">
        <v>90</v>
      </c>
      <c r="AL359" s="28" t="s">
        <v>90</v>
      </c>
      <c r="AM359" s="28" t="s">
        <v>90</v>
      </c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9">
        <v>49.94</v>
      </c>
      <c r="AY359" s="30"/>
      <c r="AZ359" s="30"/>
      <c r="BA359" s="29"/>
      <c r="BB359" s="29"/>
      <c r="BC359" s="30"/>
      <c r="BD359" s="31">
        <f t="shared" si="61"/>
        <v>11985.599999999999</v>
      </c>
      <c r="BE359" s="31"/>
      <c r="BF359" s="30"/>
      <c r="BG359" s="36">
        <v>1</v>
      </c>
      <c r="BH359" s="31">
        <f t="shared" si="70"/>
        <v>0</v>
      </c>
      <c r="BI359" s="31">
        <f t="shared" si="71"/>
        <v>0</v>
      </c>
      <c r="BJ359" s="33">
        <f t="shared" si="72"/>
        <v>0</v>
      </c>
      <c r="BK359" s="30"/>
      <c r="BL359" s="30"/>
      <c r="BM359" s="30"/>
      <c r="BN359" s="30"/>
      <c r="BO359" s="33">
        <f t="shared" si="65"/>
        <v>0</v>
      </c>
      <c r="BP359" s="30">
        <v>17</v>
      </c>
      <c r="BQ359" s="30">
        <v>26</v>
      </c>
      <c r="BR359" s="30"/>
      <c r="BS359" s="30"/>
      <c r="BT359" s="34">
        <f t="shared" si="73"/>
        <v>49.94</v>
      </c>
      <c r="BU359" s="34"/>
      <c r="BV359" s="34"/>
      <c r="BW359" s="34"/>
      <c r="BX359" s="34"/>
      <c r="BY359" s="30"/>
      <c r="BZ359" s="31">
        <f t="shared" si="67"/>
        <v>848.98</v>
      </c>
      <c r="CA359" s="31">
        <f t="shared" si="68"/>
        <v>1298.44</v>
      </c>
    </row>
    <row r="360" spans="1:79" ht="76.5" x14ac:dyDescent="0.25">
      <c r="A360" s="17"/>
      <c r="B360" s="2">
        <v>354</v>
      </c>
      <c r="C360" s="18">
        <v>206</v>
      </c>
      <c r="D360" s="18">
        <v>128</v>
      </c>
      <c r="E360" s="19">
        <v>0.72222222222222221</v>
      </c>
      <c r="F360" s="59">
        <v>0.75069444444444444</v>
      </c>
      <c r="G360" s="18" t="s">
        <v>878</v>
      </c>
      <c r="H360" s="18" t="s">
        <v>879</v>
      </c>
      <c r="I360" s="20">
        <v>15.5</v>
      </c>
      <c r="J360" s="21" t="s">
        <v>104</v>
      </c>
      <c r="K360" s="22">
        <v>47</v>
      </c>
      <c r="L360" s="23">
        <f t="shared" si="69"/>
        <v>728.5</v>
      </c>
      <c r="M360" s="24" t="s">
        <v>129</v>
      </c>
      <c r="N360" s="25" t="s">
        <v>130</v>
      </c>
      <c r="O360" s="25">
        <v>37</v>
      </c>
      <c r="P360" s="25" t="s">
        <v>796</v>
      </c>
      <c r="Q360" s="25">
        <v>23</v>
      </c>
      <c r="R360" s="25" t="s">
        <v>802</v>
      </c>
      <c r="S360" s="35">
        <v>24</v>
      </c>
      <c r="T360" s="26">
        <v>2023</v>
      </c>
      <c r="U360" s="26" t="s">
        <v>874</v>
      </c>
      <c r="V360" s="26">
        <v>2054</v>
      </c>
      <c r="W360" s="26" t="s">
        <v>127</v>
      </c>
      <c r="X360" s="27">
        <v>44816</v>
      </c>
      <c r="Y360" s="27">
        <v>45100</v>
      </c>
      <c r="Z360" s="27"/>
      <c r="AA360" s="27"/>
      <c r="AB360" s="62" t="s">
        <v>289</v>
      </c>
      <c r="AC360" s="62"/>
      <c r="AD360" s="28" t="s">
        <v>90</v>
      </c>
      <c r="AE360" s="28"/>
      <c r="AF360" s="28"/>
      <c r="AG360" s="28"/>
      <c r="AH360" s="28"/>
      <c r="AI360" s="28"/>
      <c r="AJ360" s="28"/>
      <c r="AK360" s="28"/>
      <c r="AL360" s="28"/>
      <c r="AM360" s="28"/>
      <c r="AN360" s="28" t="s">
        <v>90</v>
      </c>
      <c r="AO360" s="28"/>
      <c r="AP360" s="28"/>
      <c r="AQ360" s="28"/>
      <c r="AR360" s="28"/>
      <c r="AS360" s="28"/>
      <c r="AT360" s="28"/>
      <c r="AU360" s="28"/>
      <c r="AV360" s="28"/>
      <c r="AW360" s="28"/>
      <c r="AX360" s="29">
        <v>62.48</v>
      </c>
      <c r="AY360" s="30"/>
      <c r="AZ360" s="30"/>
      <c r="BA360" s="29"/>
      <c r="BB360" s="29"/>
      <c r="BC360" s="30"/>
      <c r="BD360" s="31">
        <f t="shared" si="61"/>
        <v>2936.56</v>
      </c>
      <c r="BE360" s="31"/>
      <c r="BF360" s="30"/>
      <c r="BG360" s="36">
        <v>1</v>
      </c>
      <c r="BH360" s="31">
        <f t="shared" si="70"/>
        <v>0</v>
      </c>
      <c r="BI360" s="31">
        <f t="shared" si="71"/>
        <v>0</v>
      </c>
      <c r="BJ360" s="33">
        <f t="shared" si="72"/>
        <v>0</v>
      </c>
      <c r="BK360" s="30"/>
      <c r="BL360" s="30"/>
      <c r="BM360" s="30"/>
      <c r="BN360" s="30"/>
      <c r="BO360" s="33">
        <f t="shared" si="65"/>
        <v>0</v>
      </c>
      <c r="BP360" s="30">
        <v>2</v>
      </c>
      <c r="BQ360" s="30">
        <v>5</v>
      </c>
      <c r="BR360" s="30"/>
      <c r="BS360" s="30"/>
      <c r="BT360" s="34">
        <f t="shared" si="73"/>
        <v>62.48</v>
      </c>
      <c r="BU360" s="34"/>
      <c r="BV360" s="34"/>
      <c r="BW360" s="34"/>
      <c r="BX360" s="34"/>
      <c r="BY360" s="30"/>
      <c r="BZ360" s="31">
        <f t="shared" si="67"/>
        <v>124.96</v>
      </c>
      <c r="CA360" s="31">
        <f t="shared" si="68"/>
        <v>312.39999999999998</v>
      </c>
    </row>
    <row r="361" spans="1:79" ht="63.75" x14ac:dyDescent="0.25">
      <c r="A361" s="17"/>
      <c r="B361" s="2">
        <v>355</v>
      </c>
      <c r="C361" s="18">
        <v>206</v>
      </c>
      <c r="D361" s="18">
        <v>121</v>
      </c>
      <c r="E361" s="59">
        <v>0.74513888888888891</v>
      </c>
      <c r="F361" s="59">
        <v>0.74652777777777779</v>
      </c>
      <c r="G361" s="18" t="s">
        <v>880</v>
      </c>
      <c r="H361" s="18" t="s">
        <v>290</v>
      </c>
      <c r="I361" s="20">
        <v>2</v>
      </c>
      <c r="J361" s="21" t="s">
        <v>93</v>
      </c>
      <c r="K361" s="22">
        <v>13</v>
      </c>
      <c r="L361" s="23">
        <f t="shared" si="69"/>
        <v>26</v>
      </c>
      <c r="M361" s="24" t="s">
        <v>129</v>
      </c>
      <c r="N361" s="25" t="s">
        <v>802</v>
      </c>
      <c r="O361" s="25">
        <v>24</v>
      </c>
      <c r="P361" s="25" t="s">
        <v>787</v>
      </c>
      <c r="Q361" s="25">
        <v>23</v>
      </c>
      <c r="R361" s="17"/>
      <c r="S361" s="25"/>
      <c r="T361" s="26">
        <v>2024</v>
      </c>
      <c r="U361" s="26" t="s">
        <v>870</v>
      </c>
      <c r="V361" s="26" t="s">
        <v>364</v>
      </c>
      <c r="W361" s="26" t="s">
        <v>365</v>
      </c>
      <c r="X361" s="27">
        <v>44562</v>
      </c>
      <c r="Y361" s="27">
        <v>44815</v>
      </c>
      <c r="Z361" s="27">
        <v>45101</v>
      </c>
      <c r="AA361" s="27">
        <v>45169</v>
      </c>
      <c r="AB361" s="62" t="s">
        <v>291</v>
      </c>
      <c r="AC361" s="62"/>
      <c r="AD361" s="28"/>
      <c r="AE361" s="28" t="s">
        <v>90</v>
      </c>
      <c r="AF361" s="28"/>
      <c r="AG361" s="28"/>
      <c r="AH361" s="28"/>
      <c r="AI361" s="28"/>
      <c r="AJ361" s="28"/>
      <c r="AK361" s="28"/>
      <c r="AL361" s="28"/>
      <c r="AM361" s="28"/>
      <c r="AN361" s="28" t="s">
        <v>90</v>
      </c>
      <c r="AO361" s="28"/>
      <c r="AP361" s="28"/>
      <c r="AQ361" s="28"/>
      <c r="AR361" s="28"/>
      <c r="AS361" s="28"/>
      <c r="AT361" s="28"/>
      <c r="AU361" s="28"/>
      <c r="AV361" s="28"/>
      <c r="AW361" s="28"/>
      <c r="AX361" s="29">
        <v>3.6</v>
      </c>
      <c r="AY361" s="30"/>
      <c r="AZ361" s="30"/>
      <c r="BA361" s="29"/>
      <c r="BB361" s="29"/>
      <c r="BC361" s="30"/>
      <c r="BD361" s="31">
        <f t="shared" si="61"/>
        <v>46.800000000000004</v>
      </c>
      <c r="BE361" s="31"/>
      <c r="BF361" s="30"/>
      <c r="BG361" s="36">
        <v>1</v>
      </c>
      <c r="BH361" s="31">
        <f t="shared" si="70"/>
        <v>0.39999999999999991</v>
      </c>
      <c r="BI361" s="31">
        <f t="shared" si="71"/>
        <v>0</v>
      </c>
      <c r="BJ361" s="31">
        <f t="shared" si="72"/>
        <v>5.1999999999999993</v>
      </c>
      <c r="BK361" s="30"/>
      <c r="BL361" s="30"/>
      <c r="BM361" s="30"/>
      <c r="BN361" s="30"/>
      <c r="BO361" s="33">
        <f t="shared" si="65"/>
        <v>0</v>
      </c>
      <c r="BP361" s="30">
        <v>2</v>
      </c>
      <c r="BQ361" s="30">
        <v>0</v>
      </c>
      <c r="BR361" s="30"/>
      <c r="BS361" s="30"/>
      <c r="BT361" s="34">
        <f t="shared" si="73"/>
        <v>4</v>
      </c>
      <c r="BU361" s="34"/>
      <c r="BV361" s="34"/>
      <c r="BW361" s="34"/>
      <c r="BX361" s="34"/>
      <c r="BY361" s="30"/>
      <c r="BZ361" s="31">
        <f t="shared" si="67"/>
        <v>8</v>
      </c>
      <c r="CA361" s="31">
        <f t="shared" si="68"/>
        <v>0</v>
      </c>
    </row>
    <row r="362" spans="1:79" ht="51" x14ac:dyDescent="0.25">
      <c r="A362" s="17"/>
      <c r="B362" s="2">
        <v>356</v>
      </c>
      <c r="C362" s="18">
        <v>206</v>
      </c>
      <c r="D362" s="18">
        <v>121</v>
      </c>
      <c r="E362" s="59">
        <v>0.74652777777777779</v>
      </c>
      <c r="F362" s="59">
        <v>0.77083333333333337</v>
      </c>
      <c r="G362" s="18" t="s">
        <v>881</v>
      </c>
      <c r="H362" s="18" t="s">
        <v>290</v>
      </c>
      <c r="I362" s="20">
        <v>16</v>
      </c>
      <c r="J362" s="21" t="s">
        <v>104</v>
      </c>
      <c r="K362" s="22">
        <v>13</v>
      </c>
      <c r="L362" s="23">
        <f t="shared" si="69"/>
        <v>208</v>
      </c>
      <c r="M362" s="24" t="s">
        <v>129</v>
      </c>
      <c r="N362" s="25" t="s">
        <v>802</v>
      </c>
      <c r="O362" s="25">
        <v>24</v>
      </c>
      <c r="P362" s="25" t="s">
        <v>787</v>
      </c>
      <c r="Q362" s="25">
        <v>23</v>
      </c>
      <c r="R362" s="17"/>
      <c r="S362" s="25"/>
      <c r="T362" s="26" t="s">
        <v>364</v>
      </c>
      <c r="U362" s="26" t="s">
        <v>365</v>
      </c>
      <c r="V362" s="26">
        <v>1</v>
      </c>
      <c r="W362" s="26" t="s">
        <v>300</v>
      </c>
      <c r="X362" s="27">
        <v>44562</v>
      </c>
      <c r="Y362" s="27">
        <v>44815</v>
      </c>
      <c r="Z362" s="27">
        <v>45101</v>
      </c>
      <c r="AA362" s="27">
        <v>45169</v>
      </c>
      <c r="AB362" s="62" t="s">
        <v>291</v>
      </c>
      <c r="AC362" s="62"/>
      <c r="AD362" s="28"/>
      <c r="AE362" s="28" t="s">
        <v>90</v>
      </c>
      <c r="AF362" s="28"/>
      <c r="AG362" s="28"/>
      <c r="AH362" s="28"/>
      <c r="AI362" s="28"/>
      <c r="AJ362" s="28"/>
      <c r="AK362" s="28"/>
      <c r="AL362" s="28"/>
      <c r="AM362" s="28"/>
      <c r="AN362" s="28" t="s">
        <v>90</v>
      </c>
      <c r="AO362" s="28"/>
      <c r="AP362" s="28"/>
      <c r="AQ362" s="28"/>
      <c r="AR362" s="28"/>
      <c r="AS362" s="28"/>
      <c r="AT362" s="28"/>
      <c r="AU362" s="28"/>
      <c r="AV362" s="28"/>
      <c r="AW362" s="28"/>
      <c r="AX362" s="29">
        <v>62.48</v>
      </c>
      <c r="AY362" s="30"/>
      <c r="AZ362" s="30"/>
      <c r="BA362" s="29"/>
      <c r="BB362" s="29"/>
      <c r="BC362" s="30"/>
      <c r="BD362" s="31">
        <f t="shared" si="61"/>
        <v>812.24</v>
      </c>
      <c r="BE362" s="31"/>
      <c r="BF362" s="30"/>
      <c r="BG362" s="36">
        <v>1</v>
      </c>
      <c r="BH362" s="31">
        <f t="shared" si="70"/>
        <v>0</v>
      </c>
      <c r="BI362" s="31">
        <f t="shared" si="71"/>
        <v>0</v>
      </c>
      <c r="BJ362" s="33">
        <f t="shared" si="72"/>
        <v>0</v>
      </c>
      <c r="BK362" s="30"/>
      <c r="BL362" s="30"/>
      <c r="BM362" s="30"/>
      <c r="BN362" s="30"/>
      <c r="BO362" s="33">
        <f t="shared" si="65"/>
        <v>0</v>
      </c>
      <c r="BP362" s="30">
        <v>2</v>
      </c>
      <c r="BQ362" s="30">
        <v>0</v>
      </c>
      <c r="BR362" s="30"/>
      <c r="BS362" s="30"/>
      <c r="BT362" s="34">
        <f t="shared" si="73"/>
        <v>62.48</v>
      </c>
      <c r="BU362" s="34"/>
      <c r="BV362" s="34"/>
      <c r="BW362" s="34"/>
      <c r="BX362" s="34"/>
      <c r="BY362" s="30"/>
      <c r="BZ362" s="31">
        <f t="shared" si="67"/>
        <v>124.96</v>
      </c>
      <c r="CA362" s="31">
        <f t="shared" si="68"/>
        <v>0</v>
      </c>
    </row>
    <row r="363" spans="1:79" ht="63.75" x14ac:dyDescent="0.25">
      <c r="A363" s="17"/>
      <c r="B363" s="2">
        <v>357</v>
      </c>
      <c r="C363" s="18">
        <v>206</v>
      </c>
      <c r="D363" s="18">
        <v>121</v>
      </c>
      <c r="E363" s="19">
        <v>0.74652777777777779</v>
      </c>
      <c r="F363" s="19">
        <v>0.77083333333333337</v>
      </c>
      <c r="G363" s="18" t="s">
        <v>882</v>
      </c>
      <c r="H363" s="18" t="s">
        <v>422</v>
      </c>
      <c r="I363" s="20">
        <v>16</v>
      </c>
      <c r="J363" s="21" t="s">
        <v>122</v>
      </c>
      <c r="K363" s="22">
        <v>240</v>
      </c>
      <c r="L363" s="23">
        <f t="shared" si="69"/>
        <v>3840</v>
      </c>
      <c r="M363" s="24" t="s">
        <v>129</v>
      </c>
      <c r="N363" s="25" t="s">
        <v>796</v>
      </c>
      <c r="O363" s="25">
        <v>23</v>
      </c>
      <c r="P363" s="25" t="s">
        <v>787</v>
      </c>
      <c r="Q363" s="25">
        <v>23</v>
      </c>
      <c r="R363" s="25" t="s">
        <v>779</v>
      </c>
      <c r="S363" s="35">
        <v>21</v>
      </c>
      <c r="T363" s="26" t="s">
        <v>364</v>
      </c>
      <c r="U363" s="26" t="s">
        <v>365</v>
      </c>
      <c r="V363" s="26">
        <v>1</v>
      </c>
      <c r="W363" s="26" t="s">
        <v>300</v>
      </c>
      <c r="X363" s="27">
        <v>44816</v>
      </c>
      <c r="Y363" s="27">
        <v>45100</v>
      </c>
      <c r="Z363" s="27"/>
      <c r="AA363" s="27"/>
      <c r="AB363" s="26" t="s">
        <v>423</v>
      </c>
      <c r="AC363" s="26"/>
      <c r="AD363" s="28" t="s">
        <v>90</v>
      </c>
      <c r="AE363" s="28"/>
      <c r="AF363" s="28" t="s">
        <v>90</v>
      </c>
      <c r="AG363" s="28"/>
      <c r="AH363" s="28" t="s">
        <v>90</v>
      </c>
      <c r="AI363" s="28" t="s">
        <v>90</v>
      </c>
      <c r="AJ363" s="28" t="s">
        <v>90</v>
      </c>
      <c r="AK363" s="28" t="s">
        <v>90</v>
      </c>
      <c r="AL363" s="28" t="s">
        <v>90</v>
      </c>
      <c r="AM363" s="28" t="s">
        <v>90</v>
      </c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9">
        <v>43.11</v>
      </c>
      <c r="AY363" s="30"/>
      <c r="AZ363" s="30"/>
      <c r="BA363" s="29"/>
      <c r="BB363" s="29"/>
      <c r="BC363" s="30"/>
      <c r="BD363" s="31">
        <f t="shared" si="61"/>
        <v>10346.4</v>
      </c>
      <c r="BE363" s="31"/>
      <c r="BF363" s="30"/>
      <c r="BG363" s="36">
        <v>1</v>
      </c>
      <c r="BH363" s="31">
        <f t="shared" si="70"/>
        <v>0</v>
      </c>
      <c r="BI363" s="31">
        <f t="shared" si="71"/>
        <v>0</v>
      </c>
      <c r="BJ363" s="33">
        <f t="shared" si="72"/>
        <v>0</v>
      </c>
      <c r="BK363" s="30"/>
      <c r="BL363" s="30"/>
      <c r="BM363" s="30"/>
      <c r="BN363" s="30"/>
      <c r="BO363" s="33">
        <f t="shared" si="65"/>
        <v>0</v>
      </c>
      <c r="BP363" s="30">
        <v>17</v>
      </c>
      <c r="BQ363" s="30">
        <v>26</v>
      </c>
      <c r="BR363" s="30"/>
      <c r="BS363" s="30"/>
      <c r="BT363" s="34">
        <f t="shared" si="73"/>
        <v>43.11</v>
      </c>
      <c r="BU363" s="34"/>
      <c r="BV363" s="34"/>
      <c r="BW363" s="34"/>
      <c r="BX363" s="34"/>
      <c r="BY363" s="30"/>
      <c r="BZ363" s="31">
        <f t="shared" si="67"/>
        <v>732.87</v>
      </c>
      <c r="CA363" s="31">
        <f t="shared" si="68"/>
        <v>1120.8599999999999</v>
      </c>
    </row>
    <row r="364" spans="1:79" ht="38.25" x14ac:dyDescent="0.25">
      <c r="A364" s="17"/>
      <c r="B364" s="2">
        <v>358</v>
      </c>
      <c r="C364" s="18">
        <v>206</v>
      </c>
      <c r="D364" s="18">
        <v>130</v>
      </c>
      <c r="E364" s="19">
        <v>0.76041666666666663</v>
      </c>
      <c r="F364" s="19">
        <v>0.78472222222222221</v>
      </c>
      <c r="G364" s="18" t="s">
        <v>873</v>
      </c>
      <c r="H364" s="18" t="s">
        <v>352</v>
      </c>
      <c r="I364" s="20">
        <v>15</v>
      </c>
      <c r="J364" s="21" t="s">
        <v>93</v>
      </c>
      <c r="K364" s="22">
        <v>55</v>
      </c>
      <c r="L364" s="23">
        <f t="shared" si="69"/>
        <v>825</v>
      </c>
      <c r="M364" s="24" t="s">
        <v>176</v>
      </c>
      <c r="N364" s="25" t="s">
        <v>177</v>
      </c>
      <c r="O364" s="25">
        <v>24</v>
      </c>
      <c r="P364" s="25" t="s">
        <v>178</v>
      </c>
      <c r="Q364" s="25">
        <v>23</v>
      </c>
      <c r="R364" s="25"/>
      <c r="S364" s="25"/>
      <c r="T364" s="26">
        <v>1</v>
      </c>
      <c r="U364" s="26" t="s">
        <v>179</v>
      </c>
      <c r="V364" s="26" t="s">
        <v>364</v>
      </c>
      <c r="W364" s="26" t="s">
        <v>365</v>
      </c>
      <c r="X364" s="27">
        <v>44562</v>
      </c>
      <c r="Y364" s="27">
        <v>44815</v>
      </c>
      <c r="Z364" s="27">
        <v>45101</v>
      </c>
      <c r="AA364" s="27">
        <v>45169</v>
      </c>
      <c r="AB364" s="26" t="s">
        <v>353</v>
      </c>
      <c r="AC364" s="26"/>
      <c r="AD364" s="28"/>
      <c r="AE364" s="28" t="s">
        <v>90</v>
      </c>
      <c r="AF364" s="28" t="s">
        <v>90</v>
      </c>
      <c r="AG364" s="28"/>
      <c r="AH364" s="28" t="s">
        <v>90</v>
      </c>
      <c r="AI364" s="28" t="s">
        <v>90</v>
      </c>
      <c r="AJ364" s="28" t="s">
        <v>90</v>
      </c>
      <c r="AK364" s="28" t="s">
        <v>90</v>
      </c>
      <c r="AL364" s="28" t="s">
        <v>90</v>
      </c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9">
        <v>37.5</v>
      </c>
      <c r="AY364" s="30"/>
      <c r="AZ364" s="30"/>
      <c r="BA364" s="29"/>
      <c r="BB364" s="29"/>
      <c r="BC364" s="30"/>
      <c r="BD364" s="31">
        <f t="shared" si="61"/>
        <v>2062.5</v>
      </c>
      <c r="BE364" s="31"/>
      <c r="BF364" s="30"/>
      <c r="BG364" s="36">
        <v>1</v>
      </c>
      <c r="BH364" s="31">
        <f t="shared" si="70"/>
        <v>0</v>
      </c>
      <c r="BI364" s="31">
        <f t="shared" si="71"/>
        <v>0</v>
      </c>
      <c r="BJ364" s="33">
        <f t="shared" si="72"/>
        <v>0</v>
      </c>
      <c r="BK364" s="30"/>
      <c r="BL364" s="30"/>
      <c r="BM364" s="30"/>
      <c r="BN364" s="30"/>
      <c r="BO364" s="33">
        <f t="shared" si="65"/>
        <v>0</v>
      </c>
      <c r="BP364" s="30">
        <v>7</v>
      </c>
      <c r="BQ364" s="30">
        <v>0</v>
      </c>
      <c r="BR364" s="30"/>
      <c r="BS364" s="30"/>
      <c r="BT364" s="34">
        <f t="shared" si="73"/>
        <v>37.5</v>
      </c>
      <c r="BU364" s="34"/>
      <c r="BV364" s="34"/>
      <c r="BW364" s="34"/>
      <c r="BX364" s="34"/>
      <c r="BY364" s="30"/>
      <c r="BZ364" s="31">
        <f t="shared" si="67"/>
        <v>262.5</v>
      </c>
      <c r="CA364" s="31">
        <f t="shared" si="68"/>
        <v>0</v>
      </c>
    </row>
    <row r="365" spans="1:79" ht="51" x14ac:dyDescent="0.25">
      <c r="A365" s="17"/>
      <c r="B365" s="2">
        <v>359</v>
      </c>
      <c r="C365" s="18">
        <v>206</v>
      </c>
      <c r="D365" s="18">
        <v>130</v>
      </c>
      <c r="E365" s="19">
        <v>0.76041666666666663</v>
      </c>
      <c r="F365" s="19">
        <v>0.78472222222222221</v>
      </c>
      <c r="G365" s="18" t="s">
        <v>362</v>
      </c>
      <c r="H365" s="18" t="s">
        <v>273</v>
      </c>
      <c r="I365" s="20">
        <v>16</v>
      </c>
      <c r="J365" s="21" t="s">
        <v>93</v>
      </c>
      <c r="K365" s="22">
        <v>174</v>
      </c>
      <c r="L365" s="23">
        <f t="shared" si="69"/>
        <v>2784</v>
      </c>
      <c r="M365" s="24" t="s">
        <v>176</v>
      </c>
      <c r="N365" s="25" t="s">
        <v>177</v>
      </c>
      <c r="O365" s="25">
        <v>24</v>
      </c>
      <c r="P365" s="25" t="s">
        <v>178</v>
      </c>
      <c r="Q365" s="25">
        <v>23</v>
      </c>
      <c r="R365" s="25"/>
      <c r="S365" s="25"/>
      <c r="T365" s="26">
        <v>1</v>
      </c>
      <c r="U365" s="26" t="s">
        <v>179</v>
      </c>
      <c r="V365" s="26" t="s">
        <v>364</v>
      </c>
      <c r="W365" s="26" t="s">
        <v>365</v>
      </c>
      <c r="X365" s="66">
        <v>44816</v>
      </c>
      <c r="Y365" s="66">
        <v>45086</v>
      </c>
      <c r="Z365" s="66"/>
      <c r="AA365" s="66"/>
      <c r="AB365" s="26" t="s">
        <v>282</v>
      </c>
      <c r="AC365" s="26"/>
      <c r="AD365" s="28"/>
      <c r="AE365" s="28"/>
      <c r="AF365" s="28"/>
      <c r="AG365" s="28" t="s">
        <v>90</v>
      </c>
      <c r="AH365" s="28" t="s">
        <v>90</v>
      </c>
      <c r="AI365" s="28" t="s">
        <v>90</v>
      </c>
      <c r="AJ365" s="28" t="s">
        <v>90</v>
      </c>
      <c r="AK365" s="28" t="s">
        <v>90</v>
      </c>
      <c r="AL365" s="28" t="s">
        <v>90</v>
      </c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9">
        <v>39.46</v>
      </c>
      <c r="AY365" s="30"/>
      <c r="AZ365" s="30"/>
      <c r="BA365" s="29"/>
      <c r="BB365" s="29"/>
      <c r="BC365" s="30"/>
      <c r="BD365" s="31">
        <f t="shared" si="61"/>
        <v>6866.04</v>
      </c>
      <c r="BE365" s="31"/>
      <c r="BF365" s="30"/>
      <c r="BG365" s="36">
        <v>1</v>
      </c>
      <c r="BH365" s="31">
        <f t="shared" si="70"/>
        <v>0</v>
      </c>
      <c r="BI365" s="31">
        <f t="shared" si="71"/>
        <v>0</v>
      </c>
      <c r="BJ365" s="33">
        <f t="shared" si="72"/>
        <v>0</v>
      </c>
      <c r="BK365" s="30"/>
      <c r="BL365" s="30"/>
      <c r="BM365" s="30"/>
      <c r="BN365" s="30"/>
      <c r="BO365" s="33">
        <f t="shared" si="65"/>
        <v>0</v>
      </c>
      <c r="BP365" s="30">
        <v>15</v>
      </c>
      <c r="BQ365" s="30">
        <v>20</v>
      </c>
      <c r="BR365" s="30"/>
      <c r="BS365" s="30"/>
      <c r="BT365" s="34">
        <f t="shared" si="73"/>
        <v>39.46</v>
      </c>
      <c r="BU365" s="34"/>
      <c r="BV365" s="34"/>
      <c r="BW365" s="34"/>
      <c r="BX365" s="34"/>
      <c r="BY365" s="30"/>
      <c r="BZ365" s="31">
        <f t="shared" si="67"/>
        <v>591.9</v>
      </c>
      <c r="CA365" s="31">
        <f t="shared" si="68"/>
        <v>789.2</v>
      </c>
    </row>
    <row r="366" spans="1:79" ht="76.5" x14ac:dyDescent="0.25">
      <c r="A366" s="17"/>
      <c r="B366" s="2">
        <v>360</v>
      </c>
      <c r="C366" s="18">
        <v>206</v>
      </c>
      <c r="D366" s="18">
        <v>132</v>
      </c>
      <c r="E366" s="19">
        <v>0.77430555555555547</v>
      </c>
      <c r="F366" s="19">
        <v>0.80208333333333337</v>
      </c>
      <c r="G366" s="18" t="s">
        <v>883</v>
      </c>
      <c r="H366" s="18" t="s">
        <v>454</v>
      </c>
      <c r="I366" s="20">
        <v>16</v>
      </c>
      <c r="J366" s="21" t="s">
        <v>122</v>
      </c>
      <c r="K366" s="22">
        <v>304</v>
      </c>
      <c r="L366" s="23">
        <f t="shared" si="69"/>
        <v>4864</v>
      </c>
      <c r="M366" s="24" t="s">
        <v>129</v>
      </c>
      <c r="N366" s="25" t="s">
        <v>796</v>
      </c>
      <c r="O366" s="25">
        <v>23</v>
      </c>
      <c r="P366" s="25" t="s">
        <v>787</v>
      </c>
      <c r="Q366" s="25">
        <v>23</v>
      </c>
      <c r="R366" s="25" t="s">
        <v>286</v>
      </c>
      <c r="S366" s="35">
        <v>48</v>
      </c>
      <c r="T366" s="26">
        <v>1</v>
      </c>
      <c r="U366" s="26" t="s">
        <v>179</v>
      </c>
      <c r="V366" s="26" t="s">
        <v>364</v>
      </c>
      <c r="W366" s="26" t="s">
        <v>365</v>
      </c>
      <c r="X366" s="66">
        <v>44805</v>
      </c>
      <c r="Y366" s="66">
        <v>45169</v>
      </c>
      <c r="Z366" s="66"/>
      <c r="AA366" s="66"/>
      <c r="AB366" s="28" t="s">
        <v>459</v>
      </c>
      <c r="AC366" s="28"/>
      <c r="AD366" s="28" t="s">
        <v>90</v>
      </c>
      <c r="AE366" s="28" t="s">
        <v>90</v>
      </c>
      <c r="AF366" s="28" t="s">
        <v>90</v>
      </c>
      <c r="AG366" s="28"/>
      <c r="AH366" s="28" t="s">
        <v>90</v>
      </c>
      <c r="AI366" s="28" t="s">
        <v>90</v>
      </c>
      <c r="AJ366" s="28" t="s">
        <v>90</v>
      </c>
      <c r="AK366" s="28" t="s">
        <v>90</v>
      </c>
      <c r="AL366" s="28" t="s">
        <v>90</v>
      </c>
      <c r="AM366" s="28" t="s">
        <v>90</v>
      </c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9">
        <v>47.34</v>
      </c>
      <c r="AY366" s="30"/>
      <c r="AZ366" s="30"/>
      <c r="BA366" s="29"/>
      <c r="BB366" s="29"/>
      <c r="BC366" s="30"/>
      <c r="BD366" s="31">
        <f t="shared" si="61"/>
        <v>14391.36</v>
      </c>
      <c r="BE366" s="31"/>
      <c r="BF366" s="30"/>
      <c r="BG366" s="36">
        <v>1</v>
      </c>
      <c r="BH366" s="31">
        <f t="shared" si="70"/>
        <v>0</v>
      </c>
      <c r="BI366" s="31">
        <f t="shared" si="71"/>
        <v>0</v>
      </c>
      <c r="BJ366" s="33">
        <f t="shared" si="72"/>
        <v>0</v>
      </c>
      <c r="BK366" s="30"/>
      <c r="BL366" s="30"/>
      <c r="BM366" s="30"/>
      <c r="BN366" s="30"/>
      <c r="BO366" s="33">
        <f t="shared" si="65"/>
        <v>0</v>
      </c>
      <c r="BP366" s="30">
        <v>26</v>
      </c>
      <c r="BQ366" s="30">
        <v>26</v>
      </c>
      <c r="BR366" s="30"/>
      <c r="BS366" s="30"/>
      <c r="BT366" s="34">
        <f t="shared" si="73"/>
        <v>47.34</v>
      </c>
      <c r="BU366" s="34"/>
      <c r="BV366" s="34"/>
      <c r="BW366" s="34"/>
      <c r="BX366" s="34"/>
      <c r="BY366" s="30"/>
      <c r="BZ366" s="31">
        <f t="shared" si="67"/>
        <v>1230.8400000000001</v>
      </c>
      <c r="CA366" s="31">
        <f t="shared" si="68"/>
        <v>1230.8400000000001</v>
      </c>
    </row>
    <row r="367" spans="1:79" ht="51" x14ac:dyDescent="0.25">
      <c r="A367" s="17"/>
      <c r="B367" s="2">
        <v>361</v>
      </c>
      <c r="C367" s="18">
        <v>206</v>
      </c>
      <c r="D367" s="18">
        <v>123</v>
      </c>
      <c r="E367" s="19">
        <v>0.78472222222222221</v>
      </c>
      <c r="F367" s="19">
        <v>0.80902777777777779</v>
      </c>
      <c r="G367" s="58" t="s">
        <v>884</v>
      </c>
      <c r="H367" s="18" t="s">
        <v>273</v>
      </c>
      <c r="I367" s="20">
        <v>16</v>
      </c>
      <c r="J367" s="21" t="s">
        <v>93</v>
      </c>
      <c r="K367" s="22">
        <v>174</v>
      </c>
      <c r="L367" s="23">
        <f t="shared" si="69"/>
        <v>2784</v>
      </c>
      <c r="M367" s="24" t="s">
        <v>176</v>
      </c>
      <c r="N367" s="25" t="s">
        <v>177</v>
      </c>
      <c r="O367" s="25">
        <v>24</v>
      </c>
      <c r="P367" s="25" t="s">
        <v>178</v>
      </c>
      <c r="Q367" s="25">
        <v>23</v>
      </c>
      <c r="R367" s="25"/>
      <c r="S367" s="25"/>
      <c r="T367" s="26" t="s">
        <v>364</v>
      </c>
      <c r="U367" s="26" t="s">
        <v>365</v>
      </c>
      <c r="V367" s="26">
        <v>1</v>
      </c>
      <c r="W367" s="26" t="s">
        <v>300</v>
      </c>
      <c r="X367" s="66">
        <v>44816</v>
      </c>
      <c r="Y367" s="66">
        <v>45086</v>
      </c>
      <c r="Z367" s="66"/>
      <c r="AA367" s="66"/>
      <c r="AB367" s="26" t="s">
        <v>282</v>
      </c>
      <c r="AC367" s="26"/>
      <c r="AD367" s="28"/>
      <c r="AE367" s="28"/>
      <c r="AF367" s="28"/>
      <c r="AG367" s="28" t="s">
        <v>90</v>
      </c>
      <c r="AH367" s="28" t="s">
        <v>90</v>
      </c>
      <c r="AI367" s="28" t="s">
        <v>90</v>
      </c>
      <c r="AJ367" s="28" t="s">
        <v>90</v>
      </c>
      <c r="AK367" s="28" t="s">
        <v>90</v>
      </c>
      <c r="AL367" s="28" t="s">
        <v>90</v>
      </c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9">
        <v>39.46</v>
      </c>
      <c r="AY367" s="30"/>
      <c r="AZ367" s="30"/>
      <c r="BA367" s="29"/>
      <c r="BB367" s="29"/>
      <c r="BC367" s="30"/>
      <c r="BD367" s="31">
        <f t="shared" si="61"/>
        <v>6866.04</v>
      </c>
      <c r="BE367" s="31"/>
      <c r="BF367" s="30"/>
      <c r="BG367" s="36">
        <v>1</v>
      </c>
      <c r="BH367" s="31">
        <f t="shared" si="70"/>
        <v>0</v>
      </c>
      <c r="BI367" s="31">
        <f t="shared" si="71"/>
        <v>0</v>
      </c>
      <c r="BJ367" s="33">
        <f t="shared" si="72"/>
        <v>0</v>
      </c>
      <c r="BK367" s="30"/>
      <c r="BL367" s="30"/>
      <c r="BM367" s="30"/>
      <c r="BN367" s="30"/>
      <c r="BO367" s="33">
        <f t="shared" si="65"/>
        <v>0</v>
      </c>
      <c r="BP367" s="30">
        <v>15</v>
      </c>
      <c r="BQ367" s="30">
        <v>20</v>
      </c>
      <c r="BR367" s="30"/>
      <c r="BS367" s="30"/>
      <c r="BT367" s="34">
        <f t="shared" si="73"/>
        <v>39.46</v>
      </c>
      <c r="BU367" s="34"/>
      <c r="BV367" s="34"/>
      <c r="BW367" s="34"/>
      <c r="BX367" s="34"/>
      <c r="BY367" s="30"/>
      <c r="BZ367" s="31">
        <f t="shared" si="67"/>
        <v>591.9</v>
      </c>
      <c r="CA367" s="31">
        <f t="shared" si="68"/>
        <v>789.2</v>
      </c>
    </row>
    <row r="368" spans="1:79" ht="38.25" x14ac:dyDescent="0.25">
      <c r="A368" s="17"/>
      <c r="B368" s="2">
        <v>362</v>
      </c>
      <c r="C368" s="18">
        <v>206</v>
      </c>
      <c r="D368" s="18">
        <v>123</v>
      </c>
      <c r="E368" s="19">
        <v>0.78472222222222221</v>
      </c>
      <c r="F368" s="19">
        <v>0.80902777777777779</v>
      </c>
      <c r="G368" s="18" t="s">
        <v>865</v>
      </c>
      <c r="H368" s="18" t="s">
        <v>352</v>
      </c>
      <c r="I368" s="20">
        <v>15</v>
      </c>
      <c r="J368" s="21" t="s">
        <v>93</v>
      </c>
      <c r="K368" s="22">
        <v>55</v>
      </c>
      <c r="L368" s="23">
        <f t="shared" si="69"/>
        <v>825</v>
      </c>
      <c r="M368" s="24" t="s">
        <v>176</v>
      </c>
      <c r="N368" s="25" t="s">
        <v>177</v>
      </c>
      <c r="O368" s="25">
        <v>24</v>
      </c>
      <c r="P368" s="25" t="s">
        <v>178</v>
      </c>
      <c r="Q368" s="25">
        <v>23</v>
      </c>
      <c r="R368" s="25"/>
      <c r="S368" s="25"/>
      <c r="T368" s="26" t="s">
        <v>364</v>
      </c>
      <c r="U368" s="26" t="s">
        <v>365</v>
      </c>
      <c r="V368" s="26">
        <v>1</v>
      </c>
      <c r="W368" s="26" t="s">
        <v>300</v>
      </c>
      <c r="X368" s="27">
        <v>44562</v>
      </c>
      <c r="Y368" s="27">
        <v>44815</v>
      </c>
      <c r="Z368" s="27">
        <v>45101</v>
      </c>
      <c r="AA368" s="27">
        <v>45169</v>
      </c>
      <c r="AB368" s="26" t="s">
        <v>353</v>
      </c>
      <c r="AC368" s="26"/>
      <c r="AD368" s="28"/>
      <c r="AE368" s="28" t="s">
        <v>90</v>
      </c>
      <c r="AF368" s="28" t="s">
        <v>90</v>
      </c>
      <c r="AG368" s="28"/>
      <c r="AH368" s="28" t="s">
        <v>90</v>
      </c>
      <c r="AI368" s="28" t="s">
        <v>90</v>
      </c>
      <c r="AJ368" s="28" t="s">
        <v>90</v>
      </c>
      <c r="AK368" s="28" t="s">
        <v>90</v>
      </c>
      <c r="AL368" s="28" t="s">
        <v>90</v>
      </c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9">
        <v>37.5</v>
      </c>
      <c r="AY368" s="30"/>
      <c r="AZ368" s="30"/>
      <c r="BA368" s="29"/>
      <c r="BB368" s="29"/>
      <c r="BC368" s="30"/>
      <c r="BD368" s="31">
        <f t="shared" si="61"/>
        <v>2062.5</v>
      </c>
      <c r="BE368" s="31"/>
      <c r="BF368" s="30"/>
      <c r="BG368" s="36">
        <v>1</v>
      </c>
      <c r="BH368" s="31">
        <f t="shared" si="70"/>
        <v>0</v>
      </c>
      <c r="BI368" s="31">
        <f t="shared" si="71"/>
        <v>0</v>
      </c>
      <c r="BJ368" s="33">
        <f t="shared" si="72"/>
        <v>0</v>
      </c>
      <c r="BK368" s="30"/>
      <c r="BL368" s="30"/>
      <c r="BM368" s="30"/>
      <c r="BN368" s="30"/>
      <c r="BO368" s="33">
        <f t="shared" si="65"/>
        <v>0</v>
      </c>
      <c r="BP368" s="30">
        <v>7</v>
      </c>
      <c r="BQ368" s="30">
        <v>0</v>
      </c>
      <c r="BR368" s="30"/>
      <c r="BS368" s="30"/>
      <c r="BT368" s="34">
        <f t="shared" si="73"/>
        <v>37.5</v>
      </c>
      <c r="BU368" s="34"/>
      <c r="BV368" s="34"/>
      <c r="BW368" s="34"/>
      <c r="BX368" s="34"/>
      <c r="BY368" s="30"/>
      <c r="BZ368" s="31">
        <f t="shared" si="67"/>
        <v>262.5</v>
      </c>
      <c r="CA368" s="31">
        <f t="shared" si="68"/>
        <v>0</v>
      </c>
    </row>
    <row r="369" spans="1:79" ht="51" x14ac:dyDescent="0.25">
      <c r="A369" s="17"/>
      <c r="B369" s="2">
        <v>363</v>
      </c>
      <c r="C369" s="18">
        <v>206</v>
      </c>
      <c r="D369" s="18">
        <v>134</v>
      </c>
      <c r="E369" s="19">
        <v>0.8125</v>
      </c>
      <c r="F369" s="19">
        <v>0.83680555555555547</v>
      </c>
      <c r="G369" s="18" t="s">
        <v>362</v>
      </c>
      <c r="H369" s="18" t="s">
        <v>273</v>
      </c>
      <c r="I369" s="20">
        <v>16</v>
      </c>
      <c r="J369" s="21" t="s">
        <v>93</v>
      </c>
      <c r="K369" s="22">
        <v>174</v>
      </c>
      <c r="L369" s="23">
        <f t="shared" si="69"/>
        <v>2784</v>
      </c>
      <c r="M369" s="24" t="s">
        <v>176</v>
      </c>
      <c r="N369" s="25" t="s">
        <v>177</v>
      </c>
      <c r="O369" s="25">
        <v>24</v>
      </c>
      <c r="P369" s="25" t="s">
        <v>178</v>
      </c>
      <c r="Q369" s="25">
        <v>23</v>
      </c>
      <c r="R369" s="25"/>
      <c r="S369" s="25"/>
      <c r="T369" s="26">
        <v>1</v>
      </c>
      <c r="U369" s="26" t="s">
        <v>179</v>
      </c>
      <c r="V369" s="26" t="s">
        <v>364</v>
      </c>
      <c r="W369" s="26" t="s">
        <v>365</v>
      </c>
      <c r="X369" s="66">
        <v>44816</v>
      </c>
      <c r="Y369" s="66">
        <v>45086</v>
      </c>
      <c r="Z369" s="66"/>
      <c r="AA369" s="66"/>
      <c r="AB369" s="26" t="s">
        <v>282</v>
      </c>
      <c r="AC369" s="26"/>
      <c r="AD369" s="28"/>
      <c r="AE369" s="28"/>
      <c r="AF369" s="28"/>
      <c r="AG369" s="28" t="s">
        <v>90</v>
      </c>
      <c r="AH369" s="28" t="s">
        <v>90</v>
      </c>
      <c r="AI369" s="28" t="s">
        <v>90</v>
      </c>
      <c r="AJ369" s="28" t="s">
        <v>90</v>
      </c>
      <c r="AK369" s="28" t="s">
        <v>90</v>
      </c>
      <c r="AL369" s="28" t="s">
        <v>90</v>
      </c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9">
        <v>39.46</v>
      </c>
      <c r="AY369" s="30"/>
      <c r="AZ369" s="30"/>
      <c r="BA369" s="29"/>
      <c r="BB369" s="29"/>
      <c r="BC369" s="30"/>
      <c r="BD369" s="31">
        <f t="shared" si="61"/>
        <v>6866.04</v>
      </c>
      <c r="BE369" s="31"/>
      <c r="BF369" s="30"/>
      <c r="BG369" s="36">
        <v>1</v>
      </c>
      <c r="BH369" s="31">
        <f t="shared" si="70"/>
        <v>0</v>
      </c>
      <c r="BI369" s="31">
        <f t="shared" si="71"/>
        <v>0</v>
      </c>
      <c r="BJ369" s="33">
        <f t="shared" si="72"/>
        <v>0</v>
      </c>
      <c r="BK369" s="30"/>
      <c r="BL369" s="30"/>
      <c r="BM369" s="30"/>
      <c r="BN369" s="30"/>
      <c r="BO369" s="33">
        <f t="shared" si="65"/>
        <v>0</v>
      </c>
      <c r="BP369" s="30">
        <v>15</v>
      </c>
      <c r="BQ369" s="30">
        <v>20</v>
      </c>
      <c r="BR369" s="30"/>
      <c r="BS369" s="30"/>
      <c r="BT369" s="34">
        <f t="shared" si="73"/>
        <v>39.46</v>
      </c>
      <c r="BU369" s="34"/>
      <c r="BV369" s="34"/>
      <c r="BW369" s="34"/>
      <c r="BX369" s="34"/>
      <c r="BY369" s="30"/>
      <c r="BZ369" s="31">
        <f t="shared" si="67"/>
        <v>591.9</v>
      </c>
      <c r="CA369" s="31">
        <f t="shared" si="68"/>
        <v>789.2</v>
      </c>
    </row>
    <row r="370" spans="1:79" ht="51" x14ac:dyDescent="0.25">
      <c r="A370" s="17"/>
      <c r="B370" s="2">
        <v>364</v>
      </c>
      <c r="C370" s="18">
        <v>206</v>
      </c>
      <c r="D370" s="18">
        <v>134</v>
      </c>
      <c r="E370" s="19">
        <v>0.8125</v>
      </c>
      <c r="F370" s="19">
        <v>0.83680555555555547</v>
      </c>
      <c r="G370" s="18" t="s">
        <v>362</v>
      </c>
      <c r="H370" s="18" t="s">
        <v>885</v>
      </c>
      <c r="I370" s="20">
        <v>16</v>
      </c>
      <c r="J370" s="21" t="s">
        <v>93</v>
      </c>
      <c r="K370" s="22">
        <v>38</v>
      </c>
      <c r="L370" s="23">
        <f t="shared" si="69"/>
        <v>608</v>
      </c>
      <c r="M370" s="24" t="s">
        <v>176</v>
      </c>
      <c r="N370" s="25" t="s">
        <v>177</v>
      </c>
      <c r="O370" s="25">
        <v>24</v>
      </c>
      <c r="P370" s="25" t="s">
        <v>178</v>
      </c>
      <c r="Q370" s="25">
        <v>23</v>
      </c>
      <c r="R370" s="25"/>
      <c r="S370" s="25"/>
      <c r="T370" s="26">
        <v>1</v>
      </c>
      <c r="U370" s="26" t="s">
        <v>179</v>
      </c>
      <c r="V370" s="26" t="s">
        <v>364</v>
      </c>
      <c r="W370" s="26" t="s">
        <v>365</v>
      </c>
      <c r="X370" s="27">
        <v>44816</v>
      </c>
      <c r="Y370" s="27">
        <v>45100</v>
      </c>
      <c r="Z370" s="27"/>
      <c r="AA370" s="27"/>
      <c r="AB370" s="26" t="s">
        <v>771</v>
      </c>
      <c r="AC370" s="26"/>
      <c r="AD370" s="28" t="s">
        <v>90</v>
      </c>
      <c r="AE370" s="28"/>
      <c r="AF370" s="28" t="s">
        <v>90</v>
      </c>
      <c r="AG370" s="28"/>
      <c r="AH370" s="28"/>
      <c r="AI370" s="28"/>
      <c r="AJ370" s="28"/>
      <c r="AK370" s="28"/>
      <c r="AL370" s="28"/>
      <c r="AM370" s="28" t="s">
        <v>90</v>
      </c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9">
        <v>75.33</v>
      </c>
      <c r="AY370" s="30"/>
      <c r="AZ370" s="30"/>
      <c r="BA370" s="29"/>
      <c r="BB370" s="29"/>
      <c r="BC370" s="30"/>
      <c r="BD370" s="31">
        <f t="shared" si="61"/>
        <v>2862.54</v>
      </c>
      <c r="BE370" s="31"/>
      <c r="BF370" s="30"/>
      <c r="BG370" s="36">
        <v>1</v>
      </c>
      <c r="BH370" s="31">
        <f t="shared" si="70"/>
        <v>0</v>
      </c>
      <c r="BI370" s="31">
        <f t="shared" si="71"/>
        <v>0</v>
      </c>
      <c r="BJ370" s="33">
        <f t="shared" si="72"/>
        <v>0</v>
      </c>
      <c r="BK370" s="30"/>
      <c r="BL370" s="30"/>
      <c r="BM370" s="30"/>
      <c r="BN370" s="30"/>
      <c r="BO370" s="33">
        <f t="shared" si="65"/>
        <v>0</v>
      </c>
      <c r="BP370" s="30">
        <v>2</v>
      </c>
      <c r="BQ370" s="30">
        <v>5</v>
      </c>
      <c r="BR370" s="30"/>
      <c r="BS370" s="30"/>
      <c r="BT370" s="34">
        <f t="shared" si="73"/>
        <v>75.33</v>
      </c>
      <c r="BU370" s="34"/>
      <c r="BV370" s="34"/>
      <c r="BW370" s="34"/>
      <c r="BX370" s="34"/>
      <c r="BY370" s="30"/>
      <c r="BZ370" s="31">
        <f t="shared" si="67"/>
        <v>150.66</v>
      </c>
      <c r="CA370" s="31">
        <f t="shared" si="68"/>
        <v>376.65</v>
      </c>
    </row>
    <row r="371" spans="1:79" ht="51" x14ac:dyDescent="0.25">
      <c r="A371" s="17"/>
      <c r="B371" s="2">
        <v>365</v>
      </c>
      <c r="C371" s="18">
        <v>208</v>
      </c>
      <c r="D371" s="21">
        <v>551</v>
      </c>
      <c r="E371" s="59">
        <v>0.25694444444444448</v>
      </c>
      <c r="F371" s="59">
        <v>0.27291666666666664</v>
      </c>
      <c r="G371" s="18" t="s">
        <v>886</v>
      </c>
      <c r="H371" s="18" t="s">
        <v>273</v>
      </c>
      <c r="I371" s="20">
        <v>11.5</v>
      </c>
      <c r="J371" s="21" t="s">
        <v>541</v>
      </c>
      <c r="K371" s="22">
        <v>174</v>
      </c>
      <c r="L371" s="23">
        <f t="shared" si="69"/>
        <v>2001</v>
      </c>
      <c r="M371" s="24" t="s">
        <v>114</v>
      </c>
      <c r="N371" s="25" t="s">
        <v>887</v>
      </c>
      <c r="O371" s="25">
        <v>25</v>
      </c>
      <c r="P371" s="25" t="s">
        <v>117</v>
      </c>
      <c r="Q371" s="25">
        <v>29</v>
      </c>
      <c r="R371" s="25" t="s">
        <v>888</v>
      </c>
      <c r="S371" s="25">
        <v>37</v>
      </c>
      <c r="T371" s="26" t="s">
        <v>889</v>
      </c>
      <c r="U371" s="26" t="s">
        <v>890</v>
      </c>
      <c r="V371" s="26">
        <v>2180</v>
      </c>
      <c r="W371" s="26" t="s">
        <v>119</v>
      </c>
      <c r="X371" s="66">
        <v>44816</v>
      </c>
      <c r="Y371" s="66">
        <v>45086</v>
      </c>
      <c r="Z371" s="66"/>
      <c r="AA371" s="66"/>
      <c r="AB371" s="26" t="s">
        <v>282</v>
      </c>
      <c r="AC371" s="26"/>
      <c r="AD371" s="28"/>
      <c r="AE371" s="28"/>
      <c r="AF371" s="28"/>
      <c r="AG371" s="28" t="s">
        <v>90</v>
      </c>
      <c r="AH371" s="28" t="s">
        <v>90</v>
      </c>
      <c r="AI371" s="28" t="s">
        <v>90</v>
      </c>
      <c r="AJ371" s="28" t="s">
        <v>90</v>
      </c>
      <c r="AK371" s="28" t="s">
        <v>90</v>
      </c>
      <c r="AL371" s="28" t="s">
        <v>90</v>
      </c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9">
        <v>28.75</v>
      </c>
      <c r="AY371" s="30"/>
      <c r="AZ371" s="30"/>
      <c r="BA371" s="29"/>
      <c r="BB371" s="29"/>
      <c r="BC371" s="30"/>
      <c r="BD371" s="31">
        <f t="shared" si="61"/>
        <v>5002.5</v>
      </c>
      <c r="BE371" s="31"/>
      <c r="BF371" s="30"/>
      <c r="BG371" s="36">
        <v>1</v>
      </c>
      <c r="BH371" s="31">
        <f t="shared" si="70"/>
        <v>0</v>
      </c>
      <c r="BI371" s="31">
        <f t="shared" si="71"/>
        <v>0</v>
      </c>
      <c r="BJ371" s="33">
        <f t="shared" si="72"/>
        <v>0</v>
      </c>
      <c r="BK371" s="30"/>
      <c r="BL371" s="30"/>
      <c r="BM371" s="30"/>
      <c r="BN371" s="31">
        <f>IF((AX371+AY371+AZ371)&lt;20,(20-(AX371+AY371+AZ371)),0)</f>
        <v>0</v>
      </c>
      <c r="BO371" s="33">
        <f t="shared" si="65"/>
        <v>0</v>
      </c>
      <c r="BP371" s="30">
        <v>15</v>
      </c>
      <c r="BQ371" s="30">
        <v>20</v>
      </c>
      <c r="BR371" s="30"/>
      <c r="BS371" s="30"/>
      <c r="BT371" s="34">
        <f t="shared" si="73"/>
        <v>28.75</v>
      </c>
      <c r="BU371" s="34"/>
      <c r="BV371" s="34"/>
      <c r="BW371" s="34"/>
      <c r="BX371" s="34"/>
      <c r="BY371" s="30"/>
      <c r="BZ371" s="31">
        <f t="shared" si="67"/>
        <v>431.25</v>
      </c>
      <c r="CA371" s="31">
        <f t="shared" si="68"/>
        <v>575</v>
      </c>
    </row>
    <row r="372" spans="1:79" ht="51" x14ac:dyDescent="0.25">
      <c r="A372" s="67" t="s">
        <v>322</v>
      </c>
      <c r="B372" s="2">
        <v>366</v>
      </c>
      <c r="C372" s="18">
        <v>208</v>
      </c>
      <c r="D372" s="18">
        <v>444</v>
      </c>
      <c r="E372" s="19">
        <v>0.2673611111111111</v>
      </c>
      <c r="F372" s="19">
        <v>0.27777777777777779</v>
      </c>
      <c r="G372" s="18" t="s">
        <v>891</v>
      </c>
      <c r="H372" s="58" t="s">
        <v>273</v>
      </c>
      <c r="I372" s="20">
        <v>10.5</v>
      </c>
      <c r="J372" s="21" t="s">
        <v>380</v>
      </c>
      <c r="K372" s="22">
        <v>174</v>
      </c>
      <c r="L372" s="23">
        <f t="shared" si="69"/>
        <v>1827</v>
      </c>
      <c r="M372" s="24" t="s">
        <v>892</v>
      </c>
      <c r="N372" s="25" t="s">
        <v>893</v>
      </c>
      <c r="O372" s="25">
        <v>9</v>
      </c>
      <c r="P372" s="25" t="s">
        <v>894</v>
      </c>
      <c r="Q372" s="25">
        <v>9</v>
      </c>
      <c r="R372" s="17"/>
      <c r="S372" s="25"/>
      <c r="T372" s="26">
        <v>2219</v>
      </c>
      <c r="U372" s="26" t="s">
        <v>139</v>
      </c>
      <c r="V372" s="26">
        <v>956</v>
      </c>
      <c r="W372" s="26" t="s">
        <v>895</v>
      </c>
      <c r="X372" s="66">
        <v>44816</v>
      </c>
      <c r="Y372" s="66">
        <v>45086</v>
      </c>
      <c r="Z372" s="66"/>
      <c r="AA372" s="66"/>
      <c r="AB372" s="26" t="s">
        <v>282</v>
      </c>
      <c r="AC372" s="26"/>
      <c r="AD372" s="28"/>
      <c r="AE372" s="28"/>
      <c r="AF372" s="28"/>
      <c r="AG372" s="28" t="s">
        <v>90</v>
      </c>
      <c r="AH372" s="28" t="s">
        <v>90</v>
      </c>
      <c r="AI372" s="28" t="s">
        <v>90</v>
      </c>
      <c r="AJ372" s="28" t="s">
        <v>90</v>
      </c>
      <c r="AK372" s="28" t="s">
        <v>90</v>
      </c>
      <c r="AL372" s="28" t="s">
        <v>90</v>
      </c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9">
        <v>49.61</v>
      </c>
      <c r="AY372" s="30"/>
      <c r="AZ372" s="30"/>
      <c r="BA372" s="29"/>
      <c r="BB372" s="29"/>
      <c r="BC372" s="30"/>
      <c r="BD372" s="31">
        <f t="shared" si="61"/>
        <v>8632.14</v>
      </c>
      <c r="BE372" s="31"/>
      <c r="BF372" s="30"/>
      <c r="BG372" s="36">
        <v>1</v>
      </c>
      <c r="BH372" s="31">
        <f t="shared" si="70"/>
        <v>0</v>
      </c>
      <c r="BI372" s="31">
        <f t="shared" si="71"/>
        <v>0</v>
      </c>
      <c r="BJ372" s="33">
        <f t="shared" si="72"/>
        <v>0</v>
      </c>
      <c r="BK372" s="30"/>
      <c r="BL372" s="30"/>
      <c r="BM372" s="30"/>
      <c r="BN372" s="31">
        <f>IF((AX372+AY372+AZ372)&lt;20,(20-(AX372+AY372+AZ372)),0)</f>
        <v>0</v>
      </c>
      <c r="BO372" s="33">
        <f t="shared" si="65"/>
        <v>0</v>
      </c>
      <c r="BP372" s="30">
        <v>15</v>
      </c>
      <c r="BQ372" s="30">
        <v>20</v>
      </c>
      <c r="BR372" s="30"/>
      <c r="BS372" s="30"/>
      <c r="BT372" s="34">
        <f t="shared" si="73"/>
        <v>49.61</v>
      </c>
      <c r="BU372" s="34"/>
      <c r="BV372" s="34"/>
      <c r="BW372" s="34"/>
      <c r="BX372" s="34"/>
      <c r="BY372" s="30"/>
      <c r="BZ372" s="31">
        <f t="shared" si="67"/>
        <v>744.15</v>
      </c>
      <c r="CA372" s="31">
        <f t="shared" si="68"/>
        <v>992.2</v>
      </c>
    </row>
    <row r="373" spans="1:79" ht="38.25" x14ac:dyDescent="0.25">
      <c r="A373" s="17"/>
      <c r="B373" s="2">
        <v>367</v>
      </c>
      <c r="C373" s="18">
        <v>208</v>
      </c>
      <c r="D373" s="18">
        <v>449</v>
      </c>
      <c r="E373" s="19">
        <v>0.28472222222222221</v>
      </c>
      <c r="F373" s="19">
        <v>0.2986111111111111</v>
      </c>
      <c r="G373" s="18" t="s">
        <v>896</v>
      </c>
      <c r="H373" s="18" t="s">
        <v>897</v>
      </c>
      <c r="I373" s="20">
        <v>4.3</v>
      </c>
      <c r="J373" s="21" t="s">
        <v>380</v>
      </c>
      <c r="K373" s="22">
        <f>67+29</f>
        <v>96</v>
      </c>
      <c r="L373" s="23">
        <f t="shared" si="69"/>
        <v>412.79999999999995</v>
      </c>
      <c r="M373" s="24" t="s">
        <v>892</v>
      </c>
      <c r="N373" s="25" t="s">
        <v>893</v>
      </c>
      <c r="O373" s="25">
        <v>9</v>
      </c>
      <c r="P373" s="25" t="s">
        <v>894</v>
      </c>
      <c r="Q373" s="25">
        <v>9</v>
      </c>
      <c r="R373" s="25" t="s">
        <v>898</v>
      </c>
      <c r="S373" s="35">
        <v>24</v>
      </c>
      <c r="T373" s="26" t="s">
        <v>899</v>
      </c>
      <c r="U373" s="26" t="s">
        <v>900</v>
      </c>
      <c r="V373" s="26">
        <v>2217</v>
      </c>
      <c r="W373" s="26" t="s">
        <v>901</v>
      </c>
      <c r="X373" s="27">
        <v>44562</v>
      </c>
      <c r="Y373" s="27">
        <v>44815</v>
      </c>
      <c r="Z373" s="27">
        <v>45101</v>
      </c>
      <c r="AA373" s="27">
        <v>45169</v>
      </c>
      <c r="AB373" s="62" t="s">
        <v>902</v>
      </c>
      <c r="AC373" s="62"/>
      <c r="AD373" s="28"/>
      <c r="AE373" s="28" t="s">
        <v>90</v>
      </c>
      <c r="AF373" s="28" t="s">
        <v>90</v>
      </c>
      <c r="AG373" s="28"/>
      <c r="AH373" s="28" t="s">
        <v>90</v>
      </c>
      <c r="AI373" s="28" t="s">
        <v>90</v>
      </c>
      <c r="AJ373" s="28" t="s">
        <v>90</v>
      </c>
      <c r="AK373" s="28" t="s">
        <v>90</v>
      </c>
      <c r="AL373" s="28" t="s">
        <v>90</v>
      </c>
      <c r="AM373" s="28" t="s">
        <v>90</v>
      </c>
      <c r="AN373" s="28"/>
      <c r="AO373" s="28"/>
      <c r="AP373" s="28"/>
      <c r="AQ373" s="28"/>
      <c r="AR373" s="28" t="s">
        <v>90</v>
      </c>
      <c r="AS373" s="28" t="s">
        <v>90</v>
      </c>
      <c r="AT373" s="28" t="s">
        <v>90</v>
      </c>
      <c r="AU373" s="28" t="s">
        <v>90</v>
      </c>
      <c r="AV373" s="28" t="s">
        <v>90</v>
      </c>
      <c r="AW373" s="28" t="s">
        <v>90</v>
      </c>
      <c r="AX373" s="29">
        <v>8.9</v>
      </c>
      <c r="AY373" s="30"/>
      <c r="AZ373" s="30"/>
      <c r="BA373" s="29"/>
      <c r="BB373" s="29"/>
      <c r="BC373" s="30"/>
      <c r="BD373" s="31">
        <f t="shared" si="61"/>
        <v>854.40000000000009</v>
      </c>
      <c r="BE373" s="31"/>
      <c r="BF373" s="30"/>
      <c r="BG373" s="36">
        <v>1</v>
      </c>
      <c r="BH373" s="31">
        <f t="shared" si="70"/>
        <v>0</v>
      </c>
      <c r="BI373" s="31">
        <f t="shared" si="71"/>
        <v>0</v>
      </c>
      <c r="BJ373" s="33">
        <f t="shared" si="72"/>
        <v>0</v>
      </c>
      <c r="BK373" s="30"/>
      <c r="BL373" s="30"/>
      <c r="BM373" s="30"/>
      <c r="BN373" s="31">
        <f>IF((AX373+AY373+AZ373)&lt;20,(20-(AX373+AY373+AZ373)),0)</f>
        <v>11.1</v>
      </c>
      <c r="BO373" s="33">
        <f t="shared" si="65"/>
        <v>1065.5999999999999</v>
      </c>
      <c r="BP373" s="30">
        <v>9</v>
      </c>
      <c r="BQ373" s="30">
        <v>1</v>
      </c>
      <c r="BR373" s="30"/>
      <c r="BS373" s="30"/>
      <c r="BT373" s="34">
        <f t="shared" si="73"/>
        <v>20</v>
      </c>
      <c r="BU373" s="34"/>
      <c r="BV373" s="34"/>
      <c r="BW373" s="34"/>
      <c r="BX373" s="34"/>
      <c r="BY373" s="30"/>
      <c r="BZ373" s="31">
        <f t="shared" si="67"/>
        <v>180</v>
      </c>
      <c r="CA373" s="31">
        <f t="shared" si="68"/>
        <v>20</v>
      </c>
    </row>
    <row r="374" spans="1:79" ht="38.25" x14ac:dyDescent="0.25">
      <c r="A374" s="17"/>
      <c r="B374" s="2">
        <v>368</v>
      </c>
      <c r="C374" s="18">
        <v>208</v>
      </c>
      <c r="D374" s="18">
        <v>449</v>
      </c>
      <c r="E374" s="19">
        <v>0.28819444444444448</v>
      </c>
      <c r="F374" s="19">
        <v>0.30555555555555552</v>
      </c>
      <c r="G374" s="18" t="s">
        <v>903</v>
      </c>
      <c r="H374" s="18" t="s">
        <v>897</v>
      </c>
      <c r="I374" s="20">
        <v>4.4000000000000004</v>
      </c>
      <c r="J374" s="21" t="s">
        <v>380</v>
      </c>
      <c r="K374" s="22">
        <v>96</v>
      </c>
      <c r="L374" s="23">
        <f t="shared" si="69"/>
        <v>422.40000000000003</v>
      </c>
      <c r="M374" s="24" t="s">
        <v>892</v>
      </c>
      <c r="N374" s="25" t="s">
        <v>893</v>
      </c>
      <c r="O374" s="25">
        <v>9</v>
      </c>
      <c r="P374" s="25" t="s">
        <v>894</v>
      </c>
      <c r="Q374" s="25">
        <v>9</v>
      </c>
      <c r="R374" s="25" t="s">
        <v>898</v>
      </c>
      <c r="S374" s="35">
        <v>24</v>
      </c>
      <c r="T374" s="26">
        <v>2217</v>
      </c>
      <c r="U374" s="26" t="s">
        <v>901</v>
      </c>
      <c r="V374" s="26" t="s">
        <v>899</v>
      </c>
      <c r="W374" s="26" t="s">
        <v>900</v>
      </c>
      <c r="X374" s="27">
        <v>44562</v>
      </c>
      <c r="Y374" s="27">
        <v>44815</v>
      </c>
      <c r="Z374" s="27">
        <v>45101</v>
      </c>
      <c r="AA374" s="27">
        <v>45169</v>
      </c>
      <c r="AB374" s="62" t="s">
        <v>902</v>
      </c>
      <c r="AC374" s="62"/>
      <c r="AD374" s="28"/>
      <c r="AE374" s="28" t="s">
        <v>90</v>
      </c>
      <c r="AF374" s="28" t="s">
        <v>90</v>
      </c>
      <c r="AG374" s="28"/>
      <c r="AH374" s="28" t="s">
        <v>90</v>
      </c>
      <c r="AI374" s="28" t="s">
        <v>90</v>
      </c>
      <c r="AJ374" s="28" t="s">
        <v>90</v>
      </c>
      <c r="AK374" s="28" t="s">
        <v>90</v>
      </c>
      <c r="AL374" s="28" t="s">
        <v>90</v>
      </c>
      <c r="AM374" s="28" t="s">
        <v>90</v>
      </c>
      <c r="AN374" s="28"/>
      <c r="AO374" s="28"/>
      <c r="AP374" s="28"/>
      <c r="AQ374" s="28"/>
      <c r="AR374" s="28" t="s">
        <v>90</v>
      </c>
      <c r="AS374" s="28" t="s">
        <v>90</v>
      </c>
      <c r="AT374" s="28" t="s">
        <v>90</v>
      </c>
      <c r="AU374" s="28" t="s">
        <v>90</v>
      </c>
      <c r="AV374" s="28" t="s">
        <v>90</v>
      </c>
      <c r="AW374" s="28" t="s">
        <v>90</v>
      </c>
      <c r="AX374" s="29">
        <v>8.9</v>
      </c>
      <c r="AY374" s="30"/>
      <c r="AZ374" s="30"/>
      <c r="BA374" s="29"/>
      <c r="BB374" s="29"/>
      <c r="BC374" s="30"/>
      <c r="BD374" s="31">
        <f t="shared" si="61"/>
        <v>854.40000000000009</v>
      </c>
      <c r="BE374" s="31"/>
      <c r="BF374" s="30"/>
      <c r="BG374" s="36">
        <v>1</v>
      </c>
      <c r="BH374" s="31">
        <f t="shared" si="70"/>
        <v>0</v>
      </c>
      <c r="BI374" s="31">
        <f t="shared" si="71"/>
        <v>0</v>
      </c>
      <c r="BJ374" s="33">
        <f t="shared" si="72"/>
        <v>0</v>
      </c>
      <c r="BK374" s="30"/>
      <c r="BL374" s="30"/>
      <c r="BM374" s="30"/>
      <c r="BN374" s="31">
        <f>IF((AX374+AY374+AZ374)&lt;20,(20-(AX374+AY374+AZ374)),0)</f>
        <v>11.1</v>
      </c>
      <c r="BO374" s="33">
        <f t="shared" si="65"/>
        <v>1065.5999999999999</v>
      </c>
      <c r="BP374" s="30">
        <v>9</v>
      </c>
      <c r="BQ374" s="30">
        <v>1</v>
      </c>
      <c r="BR374" s="30"/>
      <c r="BS374" s="30"/>
      <c r="BT374" s="34">
        <f t="shared" si="73"/>
        <v>20</v>
      </c>
      <c r="BU374" s="34"/>
      <c r="BV374" s="34"/>
      <c r="BW374" s="34"/>
      <c r="BX374" s="34"/>
      <c r="BY374" s="30"/>
      <c r="BZ374" s="31">
        <f t="shared" si="67"/>
        <v>180</v>
      </c>
      <c r="CA374" s="31">
        <f t="shared" si="68"/>
        <v>20</v>
      </c>
    </row>
    <row r="375" spans="1:79" ht="51" x14ac:dyDescent="0.25">
      <c r="A375" s="17"/>
      <c r="B375" s="2">
        <v>369</v>
      </c>
      <c r="C375" s="18">
        <v>208</v>
      </c>
      <c r="D375" s="18">
        <v>449</v>
      </c>
      <c r="E375" s="19">
        <v>0.2951388888888889</v>
      </c>
      <c r="F375" s="19">
        <v>0.2986111111111111</v>
      </c>
      <c r="G375" s="18" t="s">
        <v>896</v>
      </c>
      <c r="H375" s="18" t="s">
        <v>306</v>
      </c>
      <c r="I375" s="20">
        <v>4.3</v>
      </c>
      <c r="J375" s="21" t="s">
        <v>380</v>
      </c>
      <c r="K375" s="22">
        <v>208</v>
      </c>
      <c r="L375" s="23">
        <f t="shared" si="69"/>
        <v>894.4</v>
      </c>
      <c r="M375" s="24" t="s">
        <v>892</v>
      </c>
      <c r="N375" s="25" t="s">
        <v>893</v>
      </c>
      <c r="O375" s="25">
        <v>9</v>
      </c>
      <c r="P375" s="25" t="s">
        <v>894</v>
      </c>
      <c r="Q375" s="25">
        <v>9</v>
      </c>
      <c r="R375" s="17"/>
      <c r="S375" s="25"/>
      <c r="T375" s="26" t="s">
        <v>899</v>
      </c>
      <c r="U375" s="26" t="s">
        <v>900</v>
      </c>
      <c r="V375" s="26">
        <v>2217</v>
      </c>
      <c r="W375" s="26" t="s">
        <v>901</v>
      </c>
      <c r="X375" s="66">
        <v>44816</v>
      </c>
      <c r="Y375" s="66">
        <v>45086</v>
      </c>
      <c r="Z375" s="66"/>
      <c r="AA375" s="66"/>
      <c r="AB375" s="26" t="s">
        <v>309</v>
      </c>
      <c r="AC375" s="26"/>
      <c r="AD375" s="28"/>
      <c r="AE375" s="28"/>
      <c r="AF375" s="28"/>
      <c r="AG375" s="28" t="s">
        <v>90</v>
      </c>
      <c r="AH375" s="28" t="s">
        <v>90</v>
      </c>
      <c r="AI375" s="28" t="s">
        <v>90</v>
      </c>
      <c r="AJ375" s="28" t="s">
        <v>90</v>
      </c>
      <c r="AK375" s="28" t="s">
        <v>90</v>
      </c>
      <c r="AL375" s="28" t="s">
        <v>90</v>
      </c>
      <c r="AM375" s="28" t="s">
        <v>90</v>
      </c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9">
        <v>8.9</v>
      </c>
      <c r="AY375" s="30"/>
      <c r="AZ375" s="30"/>
      <c r="BA375" s="29"/>
      <c r="BB375" s="29"/>
      <c r="BC375" s="30"/>
      <c r="BD375" s="31">
        <f t="shared" si="61"/>
        <v>1851.2</v>
      </c>
      <c r="BE375" s="31"/>
      <c r="BF375" s="30"/>
      <c r="BG375" s="36">
        <v>1</v>
      </c>
      <c r="BH375" s="31">
        <f t="shared" si="70"/>
        <v>0</v>
      </c>
      <c r="BI375" s="31">
        <f t="shared" si="71"/>
        <v>0</v>
      </c>
      <c r="BJ375" s="33">
        <f t="shared" si="72"/>
        <v>0</v>
      </c>
      <c r="BK375" s="30"/>
      <c r="BL375" s="30"/>
      <c r="BM375" s="30"/>
      <c r="BN375" s="30"/>
      <c r="BO375" s="33">
        <f t="shared" si="65"/>
        <v>0</v>
      </c>
      <c r="BP375" s="30">
        <v>17</v>
      </c>
      <c r="BQ375" s="30">
        <v>25</v>
      </c>
      <c r="BR375" s="30"/>
      <c r="BS375" s="30"/>
      <c r="BT375" s="34">
        <f t="shared" si="73"/>
        <v>8.9</v>
      </c>
      <c r="BU375" s="34"/>
      <c r="BV375" s="34"/>
      <c r="BW375" s="34"/>
      <c r="BX375" s="34"/>
      <c r="BY375" s="30"/>
      <c r="BZ375" s="31">
        <f t="shared" si="67"/>
        <v>151.30000000000001</v>
      </c>
      <c r="CA375" s="31">
        <f t="shared" si="68"/>
        <v>222.5</v>
      </c>
    </row>
    <row r="376" spans="1:79" ht="51" x14ac:dyDescent="0.25">
      <c r="A376" s="17"/>
      <c r="B376" s="2">
        <v>370</v>
      </c>
      <c r="C376" s="18">
        <v>208</v>
      </c>
      <c r="D376" s="18">
        <v>449</v>
      </c>
      <c r="E376" s="19">
        <v>0.2986111111111111</v>
      </c>
      <c r="F376" s="19">
        <v>0.30555555555555552</v>
      </c>
      <c r="G376" s="18" t="s">
        <v>903</v>
      </c>
      <c r="H376" s="18" t="s">
        <v>306</v>
      </c>
      <c r="I376" s="20">
        <v>4.4000000000000004</v>
      </c>
      <c r="J376" s="21" t="s">
        <v>380</v>
      </c>
      <c r="K376" s="22">
        <v>208</v>
      </c>
      <c r="L376" s="23">
        <f t="shared" si="69"/>
        <v>915.2</v>
      </c>
      <c r="M376" s="24" t="s">
        <v>892</v>
      </c>
      <c r="N376" s="25" t="s">
        <v>893</v>
      </c>
      <c r="O376" s="25">
        <v>9</v>
      </c>
      <c r="P376" s="25" t="s">
        <v>894</v>
      </c>
      <c r="Q376" s="25">
        <v>9</v>
      </c>
      <c r="R376" s="17"/>
      <c r="S376" s="25"/>
      <c r="T376" s="26">
        <v>2217</v>
      </c>
      <c r="U376" s="26" t="s">
        <v>901</v>
      </c>
      <c r="V376" s="26" t="s">
        <v>899</v>
      </c>
      <c r="W376" s="26" t="s">
        <v>900</v>
      </c>
      <c r="X376" s="66">
        <v>44816</v>
      </c>
      <c r="Y376" s="66">
        <v>45086</v>
      </c>
      <c r="Z376" s="66"/>
      <c r="AA376" s="66"/>
      <c r="AB376" s="26" t="s">
        <v>309</v>
      </c>
      <c r="AC376" s="26"/>
      <c r="AD376" s="28"/>
      <c r="AE376" s="28"/>
      <c r="AF376" s="28"/>
      <c r="AG376" s="28" t="s">
        <v>90</v>
      </c>
      <c r="AH376" s="28" t="s">
        <v>90</v>
      </c>
      <c r="AI376" s="28" t="s">
        <v>90</v>
      </c>
      <c r="AJ376" s="28" t="s">
        <v>90</v>
      </c>
      <c r="AK376" s="28" t="s">
        <v>90</v>
      </c>
      <c r="AL376" s="28" t="s">
        <v>90</v>
      </c>
      <c r="AM376" s="28" t="s">
        <v>90</v>
      </c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9">
        <v>8.9</v>
      </c>
      <c r="AY376" s="30"/>
      <c r="AZ376" s="30"/>
      <c r="BA376" s="29"/>
      <c r="BB376" s="29"/>
      <c r="BC376" s="30"/>
      <c r="BD376" s="31">
        <f t="shared" si="61"/>
        <v>1851.2</v>
      </c>
      <c r="BE376" s="31"/>
      <c r="BF376" s="30"/>
      <c r="BG376" s="36">
        <v>1</v>
      </c>
      <c r="BH376" s="31">
        <f t="shared" si="70"/>
        <v>0</v>
      </c>
      <c r="BI376" s="31">
        <f t="shared" si="71"/>
        <v>0</v>
      </c>
      <c r="BJ376" s="33">
        <f t="shared" si="72"/>
        <v>0</v>
      </c>
      <c r="BK376" s="30"/>
      <c r="BL376" s="30"/>
      <c r="BM376" s="30"/>
      <c r="BN376" s="30"/>
      <c r="BO376" s="33">
        <f t="shared" si="65"/>
        <v>0</v>
      </c>
      <c r="BP376" s="30">
        <v>17</v>
      </c>
      <c r="BQ376" s="30">
        <v>25</v>
      </c>
      <c r="BR376" s="30"/>
      <c r="BS376" s="30"/>
      <c r="BT376" s="34">
        <f t="shared" si="73"/>
        <v>8.9</v>
      </c>
      <c r="BU376" s="34"/>
      <c r="BV376" s="34"/>
      <c r="BW376" s="34"/>
      <c r="BX376" s="34"/>
      <c r="BY376" s="30"/>
      <c r="BZ376" s="31">
        <f t="shared" si="67"/>
        <v>151.30000000000001</v>
      </c>
      <c r="CA376" s="31">
        <f t="shared" si="68"/>
        <v>222.5</v>
      </c>
    </row>
    <row r="377" spans="1:79" ht="63.75" x14ac:dyDescent="0.25">
      <c r="A377" s="17"/>
      <c r="B377" s="2">
        <v>371</v>
      </c>
      <c r="C377" s="18">
        <v>208</v>
      </c>
      <c r="D377" s="18">
        <v>552</v>
      </c>
      <c r="E377" s="19">
        <v>0.40277777777777773</v>
      </c>
      <c r="F377" s="19">
        <v>0.42708333333333331</v>
      </c>
      <c r="G377" s="18" t="s">
        <v>904</v>
      </c>
      <c r="H377" s="18" t="s">
        <v>905</v>
      </c>
      <c r="I377" s="20">
        <v>17</v>
      </c>
      <c r="J377" s="21" t="s">
        <v>380</v>
      </c>
      <c r="K377" s="22">
        <v>240</v>
      </c>
      <c r="L377" s="23">
        <f t="shared" si="69"/>
        <v>4080</v>
      </c>
      <c r="M377" s="24" t="s">
        <v>892</v>
      </c>
      <c r="N377" s="25" t="s">
        <v>893</v>
      </c>
      <c r="O377" s="25">
        <v>9</v>
      </c>
      <c r="P377" s="25" t="s">
        <v>894</v>
      </c>
      <c r="Q377" s="25">
        <v>9</v>
      </c>
      <c r="R377" s="25" t="s">
        <v>898</v>
      </c>
      <c r="S377" s="35">
        <v>24</v>
      </c>
      <c r="T377" s="26" t="s">
        <v>899</v>
      </c>
      <c r="U377" s="26" t="s">
        <v>900</v>
      </c>
      <c r="V377" s="26">
        <v>2180</v>
      </c>
      <c r="W377" s="26" t="s">
        <v>119</v>
      </c>
      <c r="X377" s="27">
        <v>44816</v>
      </c>
      <c r="Y377" s="27">
        <v>45100</v>
      </c>
      <c r="Z377" s="27"/>
      <c r="AA377" s="27"/>
      <c r="AB377" s="62" t="s">
        <v>423</v>
      </c>
      <c r="AC377" s="62"/>
      <c r="AD377" s="28" t="s">
        <v>90</v>
      </c>
      <c r="AE377" s="28"/>
      <c r="AF377" s="28" t="s">
        <v>90</v>
      </c>
      <c r="AG377" s="28"/>
      <c r="AH377" s="28" t="s">
        <v>90</v>
      </c>
      <c r="AI377" s="28" t="s">
        <v>90</v>
      </c>
      <c r="AJ377" s="28" t="s">
        <v>90</v>
      </c>
      <c r="AK377" s="28" t="s">
        <v>90</v>
      </c>
      <c r="AL377" s="28" t="s">
        <v>90</v>
      </c>
      <c r="AM377" s="28" t="s">
        <v>90</v>
      </c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9">
        <v>30.6</v>
      </c>
      <c r="AY377" s="30"/>
      <c r="AZ377" s="30"/>
      <c r="BA377" s="29"/>
      <c r="BB377" s="29"/>
      <c r="BC377" s="30"/>
      <c r="BD377" s="31">
        <f t="shared" si="61"/>
        <v>7344</v>
      </c>
      <c r="BE377" s="31"/>
      <c r="BF377" s="30"/>
      <c r="BG377" s="36">
        <v>1</v>
      </c>
      <c r="BH377" s="31">
        <f t="shared" si="70"/>
        <v>3.3999999999999986</v>
      </c>
      <c r="BI377" s="31">
        <f t="shared" si="71"/>
        <v>0</v>
      </c>
      <c r="BJ377" s="31">
        <f t="shared" si="72"/>
        <v>815.99999999999966</v>
      </c>
      <c r="BK377" s="30"/>
      <c r="BL377" s="30"/>
      <c r="BM377" s="30"/>
      <c r="BN377" s="30"/>
      <c r="BO377" s="33">
        <f t="shared" si="65"/>
        <v>0</v>
      </c>
      <c r="BP377" s="30">
        <v>17</v>
      </c>
      <c r="BQ377" s="30">
        <v>26</v>
      </c>
      <c r="BR377" s="30"/>
      <c r="BS377" s="30"/>
      <c r="BT377" s="34">
        <f t="shared" si="73"/>
        <v>34</v>
      </c>
      <c r="BU377" s="34"/>
      <c r="BV377" s="34"/>
      <c r="BW377" s="34"/>
      <c r="BX377" s="34"/>
      <c r="BY377" s="30"/>
      <c r="BZ377" s="31">
        <f t="shared" si="67"/>
        <v>578</v>
      </c>
      <c r="CA377" s="31">
        <f t="shared" si="68"/>
        <v>884</v>
      </c>
    </row>
    <row r="378" spans="1:79" ht="63.75" x14ac:dyDescent="0.25">
      <c r="A378" s="17"/>
      <c r="B378" s="2">
        <v>372</v>
      </c>
      <c r="C378" s="18">
        <v>208</v>
      </c>
      <c r="D378" s="18">
        <v>550</v>
      </c>
      <c r="E378" s="19">
        <v>0.50694444444444442</v>
      </c>
      <c r="F378" s="19">
        <v>0.53125</v>
      </c>
      <c r="G378" s="18" t="s">
        <v>906</v>
      </c>
      <c r="H378" s="18" t="s">
        <v>905</v>
      </c>
      <c r="I378" s="20">
        <v>17</v>
      </c>
      <c r="J378" s="21" t="s">
        <v>380</v>
      </c>
      <c r="K378" s="22">
        <v>240</v>
      </c>
      <c r="L378" s="23">
        <f t="shared" si="69"/>
        <v>4080</v>
      </c>
      <c r="M378" s="24" t="s">
        <v>892</v>
      </c>
      <c r="N378" s="25" t="s">
        <v>893</v>
      </c>
      <c r="O378" s="25">
        <v>9</v>
      </c>
      <c r="P378" s="25" t="s">
        <v>894</v>
      </c>
      <c r="Q378" s="25">
        <v>9</v>
      </c>
      <c r="R378" s="25" t="s">
        <v>898</v>
      </c>
      <c r="S378" s="35">
        <v>24</v>
      </c>
      <c r="T378" s="26">
        <v>2180</v>
      </c>
      <c r="U378" s="26" t="s">
        <v>119</v>
      </c>
      <c r="V378" s="26" t="s">
        <v>899</v>
      </c>
      <c r="W378" s="26" t="s">
        <v>900</v>
      </c>
      <c r="X378" s="27">
        <v>44816</v>
      </c>
      <c r="Y378" s="27">
        <v>45100</v>
      </c>
      <c r="Z378" s="27"/>
      <c r="AA378" s="27"/>
      <c r="AB378" s="62" t="s">
        <v>423</v>
      </c>
      <c r="AC378" s="62"/>
      <c r="AD378" s="28" t="s">
        <v>90</v>
      </c>
      <c r="AE378" s="28"/>
      <c r="AF378" s="28" t="s">
        <v>90</v>
      </c>
      <c r="AG378" s="28"/>
      <c r="AH378" s="28" t="s">
        <v>90</v>
      </c>
      <c r="AI378" s="28" t="s">
        <v>90</v>
      </c>
      <c r="AJ378" s="28" t="s">
        <v>90</v>
      </c>
      <c r="AK378" s="28" t="s">
        <v>90</v>
      </c>
      <c r="AL378" s="28" t="s">
        <v>90</v>
      </c>
      <c r="AM378" s="28" t="s">
        <v>90</v>
      </c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9">
        <v>30.6</v>
      </c>
      <c r="AY378" s="30"/>
      <c r="AZ378" s="30"/>
      <c r="BA378" s="29"/>
      <c r="BB378" s="29"/>
      <c r="BC378" s="30"/>
      <c r="BD378" s="31">
        <f t="shared" si="61"/>
        <v>7344</v>
      </c>
      <c r="BE378" s="31"/>
      <c r="BF378" s="30"/>
      <c r="BG378" s="36">
        <v>1</v>
      </c>
      <c r="BH378" s="31">
        <f t="shared" si="70"/>
        <v>3.3999999999999986</v>
      </c>
      <c r="BI378" s="31">
        <f t="shared" si="71"/>
        <v>0</v>
      </c>
      <c r="BJ378" s="31">
        <f t="shared" si="72"/>
        <v>815.99999999999966</v>
      </c>
      <c r="BK378" s="30"/>
      <c r="BL378" s="30"/>
      <c r="BM378" s="30"/>
      <c r="BN378" s="30"/>
      <c r="BO378" s="33">
        <f t="shared" si="65"/>
        <v>0</v>
      </c>
      <c r="BP378" s="30">
        <v>17</v>
      </c>
      <c r="BQ378" s="30">
        <v>26</v>
      </c>
      <c r="BR378" s="30"/>
      <c r="BS378" s="30"/>
      <c r="BT378" s="34">
        <f t="shared" si="73"/>
        <v>34</v>
      </c>
      <c r="BU378" s="34"/>
      <c r="BV378" s="34"/>
      <c r="BW378" s="34"/>
      <c r="BX378" s="34"/>
      <c r="BY378" s="30"/>
      <c r="BZ378" s="31">
        <f t="shared" si="67"/>
        <v>578</v>
      </c>
      <c r="CA378" s="31">
        <f t="shared" si="68"/>
        <v>884</v>
      </c>
    </row>
    <row r="379" spans="1:79" ht="38.25" x14ac:dyDescent="0.25">
      <c r="A379" s="17"/>
      <c r="B379" s="2">
        <v>373</v>
      </c>
      <c r="C379" s="18">
        <v>208</v>
      </c>
      <c r="D379" s="18">
        <v>451</v>
      </c>
      <c r="E379" s="59">
        <v>0.54305555555555551</v>
      </c>
      <c r="F379" s="59">
        <v>0.54861111111111105</v>
      </c>
      <c r="G379" s="18" t="s">
        <v>907</v>
      </c>
      <c r="H379" s="18" t="s">
        <v>454</v>
      </c>
      <c r="I379" s="20">
        <v>4.3</v>
      </c>
      <c r="J379" s="21" t="s">
        <v>380</v>
      </c>
      <c r="K379" s="22">
        <v>304</v>
      </c>
      <c r="L379" s="23">
        <f t="shared" si="69"/>
        <v>1307.2</v>
      </c>
      <c r="M379" s="24" t="s">
        <v>892</v>
      </c>
      <c r="N379" s="25" t="s">
        <v>893</v>
      </c>
      <c r="O379" s="25">
        <v>9</v>
      </c>
      <c r="P379" s="25" t="s">
        <v>894</v>
      </c>
      <c r="Q379" s="25">
        <v>9</v>
      </c>
      <c r="R379" s="17"/>
      <c r="S379" s="25"/>
      <c r="T379" s="26" t="s">
        <v>899</v>
      </c>
      <c r="U379" s="26" t="s">
        <v>900</v>
      </c>
      <c r="V379" s="26" t="s">
        <v>908</v>
      </c>
      <c r="W379" s="26" t="s">
        <v>909</v>
      </c>
      <c r="X379" s="66">
        <v>44805</v>
      </c>
      <c r="Y379" s="66">
        <v>45169</v>
      </c>
      <c r="Z379" s="66"/>
      <c r="AA379" s="66"/>
      <c r="AB379" s="28" t="s">
        <v>459</v>
      </c>
      <c r="AC379" s="28"/>
      <c r="AD379" s="28" t="s">
        <v>90</v>
      </c>
      <c r="AE379" s="28" t="s">
        <v>90</v>
      </c>
      <c r="AF379" s="28" t="s">
        <v>90</v>
      </c>
      <c r="AG379" s="28"/>
      <c r="AH379" s="28" t="s">
        <v>90</v>
      </c>
      <c r="AI379" s="28" t="s">
        <v>90</v>
      </c>
      <c r="AJ379" s="28" t="s">
        <v>90</v>
      </c>
      <c r="AK379" s="28" t="s">
        <v>90</v>
      </c>
      <c r="AL379" s="28" t="s">
        <v>90</v>
      </c>
      <c r="AM379" s="28" t="s">
        <v>90</v>
      </c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9">
        <v>8.9</v>
      </c>
      <c r="AY379" s="30"/>
      <c r="AZ379" s="30"/>
      <c r="BA379" s="29"/>
      <c r="BB379" s="29"/>
      <c r="BC379" s="30"/>
      <c r="BD379" s="31">
        <f t="shared" si="61"/>
        <v>2705.6</v>
      </c>
      <c r="BE379" s="31"/>
      <c r="BF379" s="30"/>
      <c r="BG379" s="36">
        <v>1</v>
      </c>
      <c r="BH379" s="31">
        <f t="shared" si="70"/>
        <v>0</v>
      </c>
      <c r="BI379" s="31">
        <f t="shared" si="71"/>
        <v>0</v>
      </c>
      <c r="BJ379" s="33">
        <f t="shared" si="72"/>
        <v>0</v>
      </c>
      <c r="BK379" s="30"/>
      <c r="BL379" s="30"/>
      <c r="BM379" s="30"/>
      <c r="BN379" s="30"/>
      <c r="BO379" s="33">
        <f t="shared" si="65"/>
        <v>0</v>
      </c>
      <c r="BP379" s="30">
        <v>26</v>
      </c>
      <c r="BQ379" s="30">
        <v>26</v>
      </c>
      <c r="BR379" s="30"/>
      <c r="BS379" s="30"/>
      <c r="BT379" s="34">
        <f t="shared" si="73"/>
        <v>8.9</v>
      </c>
      <c r="BU379" s="34"/>
      <c r="BV379" s="34"/>
      <c r="BW379" s="34"/>
      <c r="BX379" s="34"/>
      <c r="BY379" s="30"/>
      <c r="BZ379" s="31">
        <f t="shared" si="67"/>
        <v>231.4</v>
      </c>
      <c r="CA379" s="31">
        <f t="shared" si="68"/>
        <v>231.4</v>
      </c>
    </row>
    <row r="380" spans="1:79" ht="51" x14ac:dyDescent="0.25">
      <c r="A380" s="17"/>
      <c r="B380" s="2">
        <v>374</v>
      </c>
      <c r="C380" s="18">
        <v>208</v>
      </c>
      <c r="D380" s="18">
        <v>451</v>
      </c>
      <c r="E380" s="19">
        <v>0.54861111111111105</v>
      </c>
      <c r="F380" s="19">
        <v>0.5541666666666667</v>
      </c>
      <c r="G380" s="18" t="s">
        <v>910</v>
      </c>
      <c r="H380" s="18" t="s">
        <v>454</v>
      </c>
      <c r="I380" s="20">
        <v>8.6999999999999993</v>
      </c>
      <c r="J380" s="21" t="s">
        <v>380</v>
      </c>
      <c r="K380" s="22">
        <v>304</v>
      </c>
      <c r="L380" s="23">
        <f t="shared" si="69"/>
        <v>2644.7999999999997</v>
      </c>
      <c r="M380" s="24" t="s">
        <v>892</v>
      </c>
      <c r="N380" s="25" t="s">
        <v>893</v>
      </c>
      <c r="O380" s="25">
        <v>9</v>
      </c>
      <c r="P380" s="25" t="s">
        <v>894</v>
      </c>
      <c r="Q380" s="25">
        <v>9</v>
      </c>
      <c r="R380" s="25" t="s">
        <v>898</v>
      </c>
      <c r="S380" s="35">
        <v>24</v>
      </c>
      <c r="T380" s="26" t="s">
        <v>911</v>
      </c>
      <c r="U380" s="26" t="s">
        <v>912</v>
      </c>
      <c r="V380" s="26" t="s">
        <v>899</v>
      </c>
      <c r="W380" s="26" t="s">
        <v>900</v>
      </c>
      <c r="X380" s="66">
        <v>44805</v>
      </c>
      <c r="Y380" s="66">
        <v>45169</v>
      </c>
      <c r="Z380" s="66"/>
      <c r="AA380" s="66"/>
      <c r="AB380" s="28" t="s">
        <v>459</v>
      </c>
      <c r="AC380" s="28"/>
      <c r="AD380" s="28" t="s">
        <v>90</v>
      </c>
      <c r="AE380" s="28" t="s">
        <v>90</v>
      </c>
      <c r="AF380" s="28" t="s">
        <v>90</v>
      </c>
      <c r="AG380" s="28"/>
      <c r="AH380" s="28" t="s">
        <v>90</v>
      </c>
      <c r="AI380" s="28" t="s">
        <v>90</v>
      </c>
      <c r="AJ380" s="28" t="s">
        <v>90</v>
      </c>
      <c r="AK380" s="28" t="s">
        <v>90</v>
      </c>
      <c r="AL380" s="28" t="s">
        <v>90</v>
      </c>
      <c r="AM380" s="28" t="s">
        <v>90</v>
      </c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9">
        <v>8.9</v>
      </c>
      <c r="AY380" s="30"/>
      <c r="AZ380" s="30"/>
      <c r="BA380" s="29"/>
      <c r="BB380" s="29"/>
      <c r="BC380" s="30"/>
      <c r="BD380" s="31">
        <f t="shared" si="61"/>
        <v>2705.6</v>
      </c>
      <c r="BE380" s="31"/>
      <c r="BF380" s="30"/>
      <c r="BG380" s="36">
        <v>1</v>
      </c>
      <c r="BH380" s="31">
        <f t="shared" si="70"/>
        <v>8.4999999999999982</v>
      </c>
      <c r="BI380" s="31">
        <f t="shared" si="71"/>
        <v>0</v>
      </c>
      <c r="BJ380" s="31">
        <f t="shared" si="72"/>
        <v>2583.9999999999995</v>
      </c>
      <c r="BK380" s="30"/>
      <c r="BL380" s="30"/>
      <c r="BM380" s="30"/>
      <c r="BN380" s="30"/>
      <c r="BO380" s="33">
        <f t="shared" si="65"/>
        <v>0</v>
      </c>
      <c r="BP380" s="30">
        <v>26</v>
      </c>
      <c r="BQ380" s="30">
        <v>26</v>
      </c>
      <c r="BR380" s="30"/>
      <c r="BS380" s="30"/>
      <c r="BT380" s="34">
        <f t="shared" si="73"/>
        <v>17.399999999999999</v>
      </c>
      <c r="BU380" s="34"/>
      <c r="BV380" s="34"/>
      <c r="BW380" s="34"/>
      <c r="BX380" s="34"/>
      <c r="BY380" s="30"/>
      <c r="BZ380" s="31">
        <f t="shared" si="67"/>
        <v>452.4</v>
      </c>
      <c r="CA380" s="31">
        <f t="shared" si="68"/>
        <v>452.4</v>
      </c>
    </row>
    <row r="381" spans="1:79" ht="51" x14ac:dyDescent="0.25">
      <c r="A381" s="17"/>
      <c r="B381" s="2">
        <v>375</v>
      </c>
      <c r="C381" s="18">
        <v>208</v>
      </c>
      <c r="D381" s="18">
        <v>384</v>
      </c>
      <c r="E381" s="19">
        <v>0.5541666666666667</v>
      </c>
      <c r="F381" s="19">
        <v>0.56666666666666665</v>
      </c>
      <c r="G381" s="18" t="s">
        <v>913</v>
      </c>
      <c r="H381" s="18" t="s">
        <v>273</v>
      </c>
      <c r="I381" s="20">
        <v>10.5</v>
      </c>
      <c r="J381" s="21" t="s">
        <v>380</v>
      </c>
      <c r="K381" s="22">
        <v>174</v>
      </c>
      <c r="L381" s="23">
        <f t="shared" si="69"/>
        <v>1827</v>
      </c>
      <c r="M381" s="24" t="s">
        <v>892</v>
      </c>
      <c r="N381" s="25" t="s">
        <v>894</v>
      </c>
      <c r="O381" s="25">
        <v>9</v>
      </c>
      <c r="P381" s="25" t="s">
        <v>893</v>
      </c>
      <c r="Q381" s="25">
        <v>9</v>
      </c>
      <c r="R381" s="17"/>
      <c r="S381" s="25"/>
      <c r="T381" s="26">
        <v>2219</v>
      </c>
      <c r="U381" s="26" t="s">
        <v>139</v>
      </c>
      <c r="V381" s="26" t="s">
        <v>202</v>
      </c>
      <c r="W381" s="26" t="s">
        <v>203</v>
      </c>
      <c r="X381" s="66">
        <v>44816</v>
      </c>
      <c r="Y381" s="66">
        <v>45086</v>
      </c>
      <c r="Z381" s="66"/>
      <c r="AA381" s="66"/>
      <c r="AB381" s="26" t="s">
        <v>282</v>
      </c>
      <c r="AC381" s="26"/>
      <c r="AD381" s="28"/>
      <c r="AE381" s="28"/>
      <c r="AF381" s="28"/>
      <c r="AG381" s="28" t="s">
        <v>90</v>
      </c>
      <c r="AH381" s="28" t="s">
        <v>90</v>
      </c>
      <c r="AI381" s="28" t="s">
        <v>90</v>
      </c>
      <c r="AJ381" s="28" t="s">
        <v>90</v>
      </c>
      <c r="AK381" s="28" t="s">
        <v>90</v>
      </c>
      <c r="AL381" s="28" t="s">
        <v>90</v>
      </c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9">
        <v>18.899999999999999</v>
      </c>
      <c r="AY381" s="30"/>
      <c r="AZ381" s="30"/>
      <c r="BA381" s="29"/>
      <c r="BB381" s="29"/>
      <c r="BC381" s="30"/>
      <c r="BD381" s="31">
        <f t="shared" si="61"/>
        <v>3288.6</v>
      </c>
      <c r="BE381" s="31"/>
      <c r="BF381" s="30"/>
      <c r="BG381" s="36">
        <v>1</v>
      </c>
      <c r="BH381" s="31">
        <f t="shared" si="70"/>
        <v>2.1000000000000014</v>
      </c>
      <c r="BI381" s="31">
        <f t="shared" si="71"/>
        <v>0</v>
      </c>
      <c r="BJ381" s="31">
        <f t="shared" si="72"/>
        <v>365.40000000000026</v>
      </c>
      <c r="BK381" s="30"/>
      <c r="BL381" s="30"/>
      <c r="BM381" s="30"/>
      <c r="BN381" s="30"/>
      <c r="BO381" s="33">
        <f t="shared" si="65"/>
        <v>0</v>
      </c>
      <c r="BP381" s="30">
        <v>15</v>
      </c>
      <c r="BQ381" s="30">
        <v>20</v>
      </c>
      <c r="BR381" s="30"/>
      <c r="BS381" s="30"/>
      <c r="BT381" s="34">
        <f t="shared" si="73"/>
        <v>21</v>
      </c>
      <c r="BU381" s="34"/>
      <c r="BV381" s="34"/>
      <c r="BW381" s="34"/>
      <c r="BX381" s="34"/>
      <c r="BY381" s="30"/>
      <c r="BZ381" s="31">
        <f t="shared" si="67"/>
        <v>315</v>
      </c>
      <c r="CA381" s="31">
        <f t="shared" si="68"/>
        <v>420</v>
      </c>
    </row>
    <row r="382" spans="1:79" ht="89.25" x14ac:dyDescent="0.25">
      <c r="A382" s="17"/>
      <c r="B382" s="2">
        <v>376</v>
      </c>
      <c r="C382" s="18">
        <v>208</v>
      </c>
      <c r="D382" s="18">
        <v>221</v>
      </c>
      <c r="E382" s="19">
        <v>0.55625000000000002</v>
      </c>
      <c r="F382" s="19">
        <v>0.57013888888888886</v>
      </c>
      <c r="G382" s="58" t="s">
        <v>914</v>
      </c>
      <c r="H382" s="18" t="s">
        <v>429</v>
      </c>
      <c r="I382" s="20">
        <v>9</v>
      </c>
      <c r="J382" s="21" t="s">
        <v>380</v>
      </c>
      <c r="K382" s="22">
        <v>34</v>
      </c>
      <c r="L382" s="23">
        <f t="shared" si="69"/>
        <v>306</v>
      </c>
      <c r="M382" s="24" t="s">
        <v>892</v>
      </c>
      <c r="N382" s="25" t="s">
        <v>894</v>
      </c>
      <c r="O382" s="25">
        <v>9</v>
      </c>
      <c r="P382" s="25" t="s">
        <v>893</v>
      </c>
      <c r="Q382" s="25">
        <v>9</v>
      </c>
      <c r="R382" s="17"/>
      <c r="S382" s="25"/>
      <c r="T382" s="26" t="s">
        <v>899</v>
      </c>
      <c r="U382" s="26" t="s">
        <v>900</v>
      </c>
      <c r="V382" s="26">
        <v>2180</v>
      </c>
      <c r="W382" s="26" t="s">
        <v>119</v>
      </c>
      <c r="X382" s="66">
        <v>44816</v>
      </c>
      <c r="Y382" s="66">
        <v>45086</v>
      </c>
      <c r="Z382" s="66"/>
      <c r="AA382" s="66"/>
      <c r="AB382" s="26" t="s">
        <v>382</v>
      </c>
      <c r="AC382" s="26"/>
      <c r="AD382" s="28"/>
      <c r="AE382" s="28"/>
      <c r="AF382" s="28"/>
      <c r="AG382" s="28" t="s">
        <v>90</v>
      </c>
      <c r="AH382" s="28"/>
      <c r="AI382" s="28"/>
      <c r="AJ382" s="28"/>
      <c r="AK382" s="28"/>
      <c r="AL382" s="28"/>
      <c r="AM382" s="28" t="s">
        <v>90</v>
      </c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9">
        <v>18.899999999999999</v>
      </c>
      <c r="AY382" s="30"/>
      <c r="AZ382" s="30"/>
      <c r="BA382" s="29"/>
      <c r="BB382" s="29"/>
      <c r="BC382" s="30"/>
      <c r="BD382" s="31">
        <f t="shared" si="61"/>
        <v>642.59999999999991</v>
      </c>
      <c r="BE382" s="31"/>
      <c r="BF382" s="30"/>
      <c r="BG382" s="36">
        <v>1</v>
      </c>
      <c r="BH382" s="31">
        <f t="shared" si="70"/>
        <v>0</v>
      </c>
      <c r="BI382" s="31">
        <f t="shared" si="71"/>
        <v>0</v>
      </c>
      <c r="BJ382" s="33">
        <f t="shared" si="72"/>
        <v>0</v>
      </c>
      <c r="BK382" s="30"/>
      <c r="BL382" s="30"/>
      <c r="BM382" s="30"/>
      <c r="BN382" s="30"/>
      <c r="BO382" s="33">
        <f t="shared" si="65"/>
        <v>0</v>
      </c>
      <c r="BP382" s="30">
        <v>2</v>
      </c>
      <c r="BQ382" s="30">
        <v>5</v>
      </c>
      <c r="BR382" s="30"/>
      <c r="BS382" s="30"/>
      <c r="BT382" s="34">
        <f t="shared" si="73"/>
        <v>18.899999999999999</v>
      </c>
      <c r="BU382" s="34"/>
      <c r="BV382" s="34"/>
      <c r="BW382" s="34"/>
      <c r="BX382" s="34"/>
      <c r="BY382" s="30"/>
      <c r="BZ382" s="31">
        <f t="shared" si="67"/>
        <v>37.799999999999997</v>
      </c>
      <c r="CA382" s="31">
        <f t="shared" si="68"/>
        <v>94.5</v>
      </c>
    </row>
    <row r="383" spans="1:79" ht="51" x14ac:dyDescent="0.25">
      <c r="A383" s="17"/>
      <c r="B383" s="2">
        <v>377</v>
      </c>
      <c r="C383" s="18">
        <v>208</v>
      </c>
      <c r="D383" s="21">
        <v>498</v>
      </c>
      <c r="E383" s="59">
        <v>0.5756944444444444</v>
      </c>
      <c r="F383" s="59">
        <v>0.59166666666666667</v>
      </c>
      <c r="G383" s="18" t="s">
        <v>915</v>
      </c>
      <c r="H383" s="18" t="s">
        <v>273</v>
      </c>
      <c r="I383" s="20">
        <v>10.5</v>
      </c>
      <c r="J383" s="21" t="s">
        <v>541</v>
      </c>
      <c r="K383" s="22">
        <v>174</v>
      </c>
      <c r="L383" s="23">
        <f t="shared" si="69"/>
        <v>1827</v>
      </c>
      <c r="M383" s="24" t="s">
        <v>114</v>
      </c>
      <c r="N383" s="25" t="s">
        <v>770</v>
      </c>
      <c r="O383" s="25">
        <v>37</v>
      </c>
      <c r="P383" s="25" t="s">
        <v>117</v>
      </c>
      <c r="Q383" s="25">
        <v>29</v>
      </c>
      <c r="R383" s="25" t="s">
        <v>916</v>
      </c>
      <c r="S383" s="35">
        <v>29</v>
      </c>
      <c r="T383" s="26">
        <v>2180</v>
      </c>
      <c r="U383" s="26" t="s">
        <v>119</v>
      </c>
      <c r="V383" s="26" t="s">
        <v>889</v>
      </c>
      <c r="W383" s="26" t="s">
        <v>890</v>
      </c>
      <c r="X383" s="66">
        <v>44816</v>
      </c>
      <c r="Y383" s="66">
        <v>45086</v>
      </c>
      <c r="Z383" s="66"/>
      <c r="AA383" s="66"/>
      <c r="AB383" s="26" t="s">
        <v>282</v>
      </c>
      <c r="AC383" s="26"/>
      <c r="AD383" s="28"/>
      <c r="AE383" s="28"/>
      <c r="AF383" s="28"/>
      <c r="AG383" s="28" t="s">
        <v>90</v>
      </c>
      <c r="AH383" s="28" t="s">
        <v>90</v>
      </c>
      <c r="AI383" s="28" t="s">
        <v>90</v>
      </c>
      <c r="AJ383" s="28" t="s">
        <v>90</v>
      </c>
      <c r="AK383" s="28" t="s">
        <v>90</v>
      </c>
      <c r="AL383" s="28" t="s">
        <v>90</v>
      </c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9">
        <v>18.899999999999999</v>
      </c>
      <c r="AY383" s="30"/>
      <c r="AZ383" s="30"/>
      <c r="BA383" s="29"/>
      <c r="BB383" s="29"/>
      <c r="BC383" s="30"/>
      <c r="BD383" s="31">
        <f t="shared" si="61"/>
        <v>3288.6</v>
      </c>
      <c r="BE383" s="31"/>
      <c r="BF383" s="30"/>
      <c r="BG383" s="36">
        <v>1</v>
      </c>
      <c r="BH383" s="31">
        <f t="shared" si="70"/>
        <v>2.1000000000000014</v>
      </c>
      <c r="BI383" s="31">
        <f t="shared" si="71"/>
        <v>0</v>
      </c>
      <c r="BJ383" s="31">
        <f t="shared" si="72"/>
        <v>365.40000000000026</v>
      </c>
      <c r="BK383" s="30"/>
      <c r="BL383" s="30"/>
      <c r="BM383" s="30"/>
      <c r="BN383" s="30"/>
      <c r="BO383" s="33">
        <f t="shared" si="65"/>
        <v>0</v>
      </c>
      <c r="BP383" s="30">
        <v>15</v>
      </c>
      <c r="BQ383" s="30">
        <v>20</v>
      </c>
      <c r="BR383" s="30"/>
      <c r="BS383" s="30"/>
      <c r="BT383" s="34">
        <f t="shared" si="73"/>
        <v>21</v>
      </c>
      <c r="BU383" s="34"/>
      <c r="BV383" s="34"/>
      <c r="BW383" s="34"/>
      <c r="BX383" s="34"/>
      <c r="BY383" s="30"/>
      <c r="BZ383" s="31">
        <f t="shared" si="67"/>
        <v>315</v>
      </c>
      <c r="CA383" s="31">
        <f t="shared" si="68"/>
        <v>420</v>
      </c>
    </row>
    <row r="384" spans="1:79" ht="51" x14ac:dyDescent="0.25">
      <c r="A384" s="17"/>
      <c r="B384" s="2">
        <v>378</v>
      </c>
      <c r="C384" s="18">
        <v>208</v>
      </c>
      <c r="D384" s="18">
        <v>223</v>
      </c>
      <c r="E384" s="19">
        <v>0.58472222222222225</v>
      </c>
      <c r="F384" s="19">
        <v>0.60138888888888886</v>
      </c>
      <c r="G384" s="18" t="s">
        <v>917</v>
      </c>
      <c r="H384" s="18" t="s">
        <v>273</v>
      </c>
      <c r="I384" s="20">
        <v>11.6</v>
      </c>
      <c r="J384" s="21" t="s">
        <v>918</v>
      </c>
      <c r="K384" s="22">
        <v>174</v>
      </c>
      <c r="L384" s="23">
        <f t="shared" si="69"/>
        <v>2018.3999999999999</v>
      </c>
      <c r="M384" s="24" t="s">
        <v>919</v>
      </c>
      <c r="N384" s="25" t="s">
        <v>920</v>
      </c>
      <c r="O384" s="25">
        <v>55</v>
      </c>
      <c r="P384" s="25" t="s">
        <v>921</v>
      </c>
      <c r="Q384" s="25">
        <v>57</v>
      </c>
      <c r="R384" s="25" t="s">
        <v>922</v>
      </c>
      <c r="S384" s="25">
        <v>37</v>
      </c>
      <c r="T384" s="26" t="s">
        <v>202</v>
      </c>
      <c r="U384" s="26" t="s">
        <v>203</v>
      </c>
      <c r="V384" s="26">
        <v>2218</v>
      </c>
      <c r="W384" s="26" t="s">
        <v>923</v>
      </c>
      <c r="X384" s="66">
        <v>44816</v>
      </c>
      <c r="Y384" s="66">
        <v>45086</v>
      </c>
      <c r="Z384" s="66"/>
      <c r="AA384" s="66"/>
      <c r="AB384" s="26" t="s">
        <v>282</v>
      </c>
      <c r="AC384" s="26"/>
      <c r="AD384" s="28"/>
      <c r="AE384" s="28"/>
      <c r="AF384" s="28"/>
      <c r="AG384" s="28" t="s">
        <v>90</v>
      </c>
      <c r="AH384" s="28" t="s">
        <v>90</v>
      </c>
      <c r="AI384" s="28" t="s">
        <v>90</v>
      </c>
      <c r="AJ384" s="28" t="s">
        <v>90</v>
      </c>
      <c r="AK384" s="28" t="s">
        <v>90</v>
      </c>
      <c r="AL384" s="28" t="s">
        <v>90</v>
      </c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9">
        <v>34.799999999999997</v>
      </c>
      <c r="AY384" s="30"/>
      <c r="AZ384" s="30"/>
      <c r="BA384" s="29"/>
      <c r="BB384" s="29"/>
      <c r="BC384" s="30"/>
      <c r="BD384" s="31">
        <f t="shared" si="61"/>
        <v>6055.2</v>
      </c>
      <c r="BE384" s="31"/>
      <c r="BF384" s="30"/>
      <c r="BG384" s="32">
        <v>2</v>
      </c>
      <c r="BH384" s="31">
        <f t="shared" si="70"/>
        <v>0</v>
      </c>
      <c r="BI384" s="31">
        <f t="shared" si="71"/>
        <v>0</v>
      </c>
      <c r="BJ384" s="33">
        <f t="shared" si="72"/>
        <v>0</v>
      </c>
      <c r="BK384" s="30"/>
      <c r="BL384" s="30"/>
      <c r="BM384" s="30"/>
      <c r="BN384" s="30"/>
      <c r="BO384" s="33">
        <f t="shared" si="65"/>
        <v>0</v>
      </c>
      <c r="BP384" s="30">
        <v>15</v>
      </c>
      <c r="BQ384" s="30">
        <v>20</v>
      </c>
      <c r="BR384" s="30"/>
      <c r="BS384" s="30"/>
      <c r="BT384" s="34">
        <f t="shared" si="73"/>
        <v>34.799999999999997</v>
      </c>
      <c r="BU384" s="34"/>
      <c r="BV384" s="34"/>
      <c r="BW384" s="34"/>
      <c r="BX384" s="34"/>
      <c r="BY384" s="30"/>
      <c r="BZ384" s="31">
        <f t="shared" si="67"/>
        <v>522</v>
      </c>
      <c r="CA384" s="31">
        <f t="shared" si="68"/>
        <v>696</v>
      </c>
    </row>
    <row r="385" spans="1:79" ht="63.75" x14ac:dyDescent="0.25">
      <c r="A385" s="17"/>
      <c r="B385" s="2">
        <v>379</v>
      </c>
      <c r="C385" s="18">
        <v>208</v>
      </c>
      <c r="D385" s="18">
        <v>420</v>
      </c>
      <c r="E385" s="59">
        <v>0.6875</v>
      </c>
      <c r="F385" s="59">
        <v>0.72152777777777777</v>
      </c>
      <c r="G385" s="18" t="s">
        <v>924</v>
      </c>
      <c r="H385" s="18" t="s">
        <v>294</v>
      </c>
      <c r="I385" s="20">
        <v>27.5</v>
      </c>
      <c r="J385" s="21">
        <v>50</v>
      </c>
      <c r="K385" s="22">
        <f>34+34+36+33</f>
        <v>137</v>
      </c>
      <c r="L385" s="23">
        <f t="shared" si="69"/>
        <v>3767.5</v>
      </c>
      <c r="M385" s="24" t="s">
        <v>114</v>
      </c>
      <c r="N385" s="25" t="s">
        <v>116</v>
      </c>
      <c r="O385" s="25">
        <v>45</v>
      </c>
      <c r="P385" s="25" t="s">
        <v>117</v>
      </c>
      <c r="Q385" s="25">
        <v>29</v>
      </c>
      <c r="R385" s="25" t="s">
        <v>770</v>
      </c>
      <c r="S385" s="25">
        <v>37</v>
      </c>
      <c r="T385" s="26">
        <v>2180</v>
      </c>
      <c r="U385" s="26" t="s">
        <v>119</v>
      </c>
      <c r="V385" s="26" t="s">
        <v>202</v>
      </c>
      <c r="W385" s="26" t="s">
        <v>203</v>
      </c>
      <c r="X385" s="66">
        <v>44816</v>
      </c>
      <c r="Y385" s="66">
        <v>45086</v>
      </c>
      <c r="Z385" s="66"/>
      <c r="AA385" s="66"/>
      <c r="AB385" s="62" t="s">
        <v>298</v>
      </c>
      <c r="AC385" s="62"/>
      <c r="AD385" s="28"/>
      <c r="AE385" s="28"/>
      <c r="AF385" s="28"/>
      <c r="AG385" s="28" t="s">
        <v>90</v>
      </c>
      <c r="AH385" s="28" t="s">
        <v>90</v>
      </c>
      <c r="AI385" s="28" t="s">
        <v>90</v>
      </c>
      <c r="AJ385" s="28" t="s">
        <v>90</v>
      </c>
      <c r="AK385" s="28" t="s">
        <v>90</v>
      </c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9">
        <v>81.36</v>
      </c>
      <c r="AY385" s="30"/>
      <c r="AZ385" s="30"/>
      <c r="BA385" s="29"/>
      <c r="BB385" s="29"/>
      <c r="BC385" s="30"/>
      <c r="BD385" s="31">
        <f t="shared" si="61"/>
        <v>11146.32</v>
      </c>
      <c r="BE385" s="31"/>
      <c r="BF385" s="30"/>
      <c r="BG385" s="32">
        <v>2</v>
      </c>
      <c r="BH385" s="31">
        <f t="shared" si="70"/>
        <v>0</v>
      </c>
      <c r="BI385" s="31">
        <f t="shared" si="71"/>
        <v>1.1400000000000006</v>
      </c>
      <c r="BJ385" s="33">
        <f t="shared" si="72"/>
        <v>156.18000000000006</v>
      </c>
      <c r="BK385" s="30"/>
      <c r="BL385" s="30"/>
      <c r="BM385" s="30"/>
      <c r="BN385" s="30"/>
      <c r="BO385" s="33">
        <f t="shared" si="65"/>
        <v>0</v>
      </c>
      <c r="BP385" s="30">
        <v>12</v>
      </c>
      <c r="BQ385" s="30">
        <v>16</v>
      </c>
      <c r="BR385" s="30"/>
      <c r="BS385" s="30"/>
      <c r="BT385" s="34">
        <f t="shared" si="73"/>
        <v>82.5</v>
      </c>
      <c r="BU385" s="34"/>
      <c r="BV385" s="34"/>
      <c r="BW385" s="34"/>
      <c r="BX385" s="34"/>
      <c r="BY385" s="30"/>
      <c r="BZ385" s="31">
        <f t="shared" si="67"/>
        <v>990</v>
      </c>
      <c r="CA385" s="31">
        <f t="shared" si="68"/>
        <v>1320</v>
      </c>
    </row>
    <row r="386" spans="1:79" ht="63.75" x14ac:dyDescent="0.25">
      <c r="A386" s="17"/>
      <c r="B386" s="2">
        <v>380</v>
      </c>
      <c r="C386" s="18">
        <v>208</v>
      </c>
      <c r="D386" s="21">
        <v>374</v>
      </c>
      <c r="E386" s="59">
        <v>0.72430555555555554</v>
      </c>
      <c r="F386" s="59">
        <v>0.74861111111111101</v>
      </c>
      <c r="G386" s="18" t="s">
        <v>925</v>
      </c>
      <c r="H386" s="18" t="s">
        <v>273</v>
      </c>
      <c r="I386" s="20">
        <v>17</v>
      </c>
      <c r="J386" s="21">
        <v>44</v>
      </c>
      <c r="K386" s="22">
        <v>174</v>
      </c>
      <c r="L386" s="23">
        <f t="shared" si="69"/>
        <v>2958</v>
      </c>
      <c r="M386" s="24" t="s">
        <v>114</v>
      </c>
      <c r="N386" s="25" t="s">
        <v>916</v>
      </c>
      <c r="O386" s="25">
        <v>29</v>
      </c>
      <c r="P386" s="25" t="s">
        <v>117</v>
      </c>
      <c r="Q386" s="25">
        <v>29</v>
      </c>
      <c r="R386" s="25" t="s">
        <v>887</v>
      </c>
      <c r="S386" s="35">
        <v>25</v>
      </c>
      <c r="T386" s="26">
        <v>2180</v>
      </c>
      <c r="U386" s="26" t="s">
        <v>119</v>
      </c>
      <c r="V386" s="26" t="s">
        <v>899</v>
      </c>
      <c r="W386" s="26" t="s">
        <v>900</v>
      </c>
      <c r="X386" s="66">
        <v>44816</v>
      </c>
      <c r="Y386" s="66">
        <v>45086</v>
      </c>
      <c r="Z386" s="66"/>
      <c r="AA386" s="66"/>
      <c r="AB386" s="26" t="s">
        <v>282</v>
      </c>
      <c r="AC386" s="26"/>
      <c r="AD386" s="28"/>
      <c r="AE386" s="28"/>
      <c r="AF386" s="28"/>
      <c r="AG386" s="28" t="s">
        <v>90</v>
      </c>
      <c r="AH386" s="28" t="s">
        <v>90</v>
      </c>
      <c r="AI386" s="28" t="s">
        <v>90</v>
      </c>
      <c r="AJ386" s="28" t="s">
        <v>90</v>
      </c>
      <c r="AK386" s="28" t="s">
        <v>90</v>
      </c>
      <c r="AL386" s="28" t="s">
        <v>90</v>
      </c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9">
        <v>69.38</v>
      </c>
      <c r="AY386" s="30"/>
      <c r="AZ386" s="30"/>
      <c r="BA386" s="29"/>
      <c r="BB386" s="29"/>
      <c r="BC386" s="30"/>
      <c r="BD386" s="31">
        <f t="shared" si="61"/>
        <v>12072.119999999999</v>
      </c>
      <c r="BE386" s="31"/>
      <c r="BF386" s="30"/>
      <c r="BG386" s="32">
        <v>2</v>
      </c>
      <c r="BH386" s="31">
        <f t="shared" si="70"/>
        <v>0</v>
      </c>
      <c r="BI386" s="31">
        <f t="shared" si="71"/>
        <v>0</v>
      </c>
      <c r="BJ386" s="33">
        <f t="shared" si="72"/>
        <v>0</v>
      </c>
      <c r="BK386" s="30"/>
      <c r="BL386" s="30"/>
      <c r="BM386" s="30"/>
      <c r="BN386" s="30"/>
      <c r="BO386" s="33">
        <f t="shared" si="65"/>
        <v>0</v>
      </c>
      <c r="BP386" s="30">
        <v>15</v>
      </c>
      <c r="BQ386" s="30">
        <v>20</v>
      </c>
      <c r="BR386" s="30"/>
      <c r="BS386" s="30"/>
      <c r="BT386" s="34">
        <f t="shared" si="73"/>
        <v>69.38</v>
      </c>
      <c r="BU386" s="34"/>
      <c r="BV386" s="34"/>
      <c r="BW386" s="34"/>
      <c r="BX386" s="34"/>
      <c r="BY386" s="30"/>
      <c r="BZ386" s="31">
        <f t="shared" si="67"/>
        <v>1040.6999999999998</v>
      </c>
      <c r="CA386" s="31">
        <f t="shared" si="68"/>
        <v>1387.6</v>
      </c>
    </row>
    <row r="387" spans="1:79" ht="63.75" x14ac:dyDescent="0.25">
      <c r="A387" s="17"/>
      <c r="B387" s="2">
        <v>381</v>
      </c>
      <c r="C387" s="18">
        <v>208</v>
      </c>
      <c r="D387" s="18">
        <v>54</v>
      </c>
      <c r="E387" s="19">
        <v>0.74305555555555547</v>
      </c>
      <c r="F387" s="19">
        <v>0.76736111111111116</v>
      </c>
      <c r="G387" s="18" t="s">
        <v>906</v>
      </c>
      <c r="H387" s="18" t="s">
        <v>273</v>
      </c>
      <c r="I387" s="20">
        <v>17</v>
      </c>
      <c r="J387" s="21">
        <v>22</v>
      </c>
      <c r="K387" s="22">
        <v>174</v>
      </c>
      <c r="L387" s="23">
        <f t="shared" si="69"/>
        <v>2958</v>
      </c>
      <c r="M387" s="24" t="s">
        <v>136</v>
      </c>
      <c r="N387" s="25" t="s">
        <v>138</v>
      </c>
      <c r="O387" s="25">
        <v>23</v>
      </c>
      <c r="P387" s="25" t="s">
        <v>137</v>
      </c>
      <c r="Q387" s="25">
        <v>23</v>
      </c>
      <c r="R387" s="25" t="s">
        <v>926</v>
      </c>
      <c r="S387" s="25">
        <v>17</v>
      </c>
      <c r="T387" s="26">
        <v>2180</v>
      </c>
      <c r="U387" s="26" t="s">
        <v>119</v>
      </c>
      <c r="V387" s="26" t="s">
        <v>899</v>
      </c>
      <c r="W387" s="26" t="s">
        <v>900</v>
      </c>
      <c r="X387" s="66">
        <v>44816</v>
      </c>
      <c r="Y387" s="66">
        <v>45086</v>
      </c>
      <c r="Z387" s="66"/>
      <c r="AA387" s="66"/>
      <c r="AB387" s="26" t="s">
        <v>282</v>
      </c>
      <c r="AC387" s="26"/>
      <c r="AD387" s="28"/>
      <c r="AE387" s="28"/>
      <c r="AF387" s="28"/>
      <c r="AG387" s="28" t="s">
        <v>90</v>
      </c>
      <c r="AH387" s="28" t="s">
        <v>90</v>
      </c>
      <c r="AI387" s="28" t="s">
        <v>90</v>
      </c>
      <c r="AJ387" s="28" t="s">
        <v>90</v>
      </c>
      <c r="AK387" s="28" t="s">
        <v>90</v>
      </c>
      <c r="AL387" s="28" t="s">
        <v>90</v>
      </c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9">
        <v>42.5</v>
      </c>
      <c r="AY387" s="30"/>
      <c r="AZ387" s="30"/>
      <c r="BA387" s="29"/>
      <c r="BB387" s="29"/>
      <c r="BC387" s="30"/>
      <c r="BD387" s="31">
        <f t="shared" ref="BD387:BD402" si="74">AX387*K387</f>
        <v>7395</v>
      </c>
      <c r="BE387" s="31"/>
      <c r="BF387" s="30"/>
      <c r="BG387" s="36">
        <v>1</v>
      </c>
      <c r="BH387" s="31">
        <f t="shared" si="70"/>
        <v>0</v>
      </c>
      <c r="BI387" s="31">
        <f t="shared" si="71"/>
        <v>0</v>
      </c>
      <c r="BJ387" s="33">
        <f t="shared" si="72"/>
        <v>0</v>
      </c>
      <c r="BK387" s="30"/>
      <c r="BL387" s="30"/>
      <c r="BM387" s="30"/>
      <c r="BN387" s="30"/>
      <c r="BO387" s="33">
        <f t="shared" ref="BO387:BO450" si="75">BN387*K387</f>
        <v>0</v>
      </c>
      <c r="BP387" s="30">
        <v>15</v>
      </c>
      <c r="BQ387" s="30">
        <v>20</v>
      </c>
      <c r="BR387" s="30"/>
      <c r="BS387" s="30"/>
      <c r="BT387" s="34">
        <f t="shared" ref="BT387:BT418" si="76">SUM(AX387:AZ387)+SUM(BH387:BI387)+SUM(BK387:BL387)+BN387</f>
        <v>42.5</v>
      </c>
      <c r="BU387" s="34"/>
      <c r="BV387" s="34"/>
      <c r="BW387" s="34"/>
      <c r="BX387" s="34"/>
      <c r="BY387" s="30"/>
      <c r="BZ387" s="31">
        <f t="shared" ref="BZ387:BZ450" si="77">(BT387*BP387)+(BV387*BX387)</f>
        <v>637.5</v>
      </c>
      <c r="CA387" s="31">
        <f t="shared" ref="CA387:CA450" si="78">(BT387*BQ387)+(BW387*BX387)</f>
        <v>850</v>
      </c>
    </row>
    <row r="388" spans="1:79" ht="56.25" x14ac:dyDescent="0.25">
      <c r="A388" s="17" t="s">
        <v>112</v>
      </c>
      <c r="B388" s="2">
        <v>382</v>
      </c>
      <c r="C388" s="37">
        <v>208</v>
      </c>
      <c r="D388" s="37">
        <v>226</v>
      </c>
      <c r="E388" s="38">
        <v>0.81597222222222221</v>
      </c>
      <c r="F388" s="38">
        <v>0.84027777777777779</v>
      </c>
      <c r="G388" s="39" t="s">
        <v>135</v>
      </c>
      <c r="H388" s="18" t="s">
        <v>80</v>
      </c>
      <c r="I388" s="37">
        <v>17</v>
      </c>
      <c r="J388" s="40">
        <v>50</v>
      </c>
      <c r="K388" s="22">
        <v>67</v>
      </c>
      <c r="L388" s="23">
        <f t="shared" ref="L388:L451" si="79">+K388*I388</f>
        <v>1139</v>
      </c>
      <c r="M388" s="24" t="s">
        <v>136</v>
      </c>
      <c r="N388" s="25" t="s">
        <v>137</v>
      </c>
      <c r="O388" s="25">
        <v>23</v>
      </c>
      <c r="P388" s="25" t="s">
        <v>138</v>
      </c>
      <c r="Q388" s="25">
        <v>23</v>
      </c>
      <c r="R388" s="17"/>
      <c r="S388" s="25"/>
      <c r="T388" s="26">
        <v>2180</v>
      </c>
      <c r="U388" s="26" t="s">
        <v>119</v>
      </c>
      <c r="V388" s="26">
        <v>2219</v>
      </c>
      <c r="W388" s="26" t="s">
        <v>139</v>
      </c>
      <c r="X388" s="27">
        <v>44562</v>
      </c>
      <c r="Y388" s="27">
        <v>44815</v>
      </c>
      <c r="Z388" s="27">
        <v>45101</v>
      </c>
      <c r="AA388" s="27">
        <v>45169</v>
      </c>
      <c r="AB388" s="28" t="s">
        <v>89</v>
      </c>
      <c r="AC388" s="28"/>
      <c r="AD388" s="28"/>
      <c r="AE388" s="28" t="s">
        <v>90</v>
      </c>
      <c r="AF388" s="28" t="s">
        <v>90</v>
      </c>
      <c r="AG388" s="28"/>
      <c r="AH388" s="28" t="s">
        <v>90</v>
      </c>
      <c r="AI388" s="28" t="s">
        <v>90</v>
      </c>
      <c r="AJ388" s="28" t="s">
        <v>90</v>
      </c>
      <c r="AK388" s="28" t="s">
        <v>90</v>
      </c>
      <c r="AL388" s="28" t="s">
        <v>90</v>
      </c>
      <c r="AM388" s="28" t="s">
        <v>90</v>
      </c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9">
        <v>40.799999999999997</v>
      </c>
      <c r="AY388" s="30"/>
      <c r="AZ388" s="30"/>
      <c r="BA388" s="29"/>
      <c r="BB388" s="29"/>
      <c r="BC388" s="30"/>
      <c r="BD388" s="31">
        <f t="shared" si="74"/>
        <v>2733.6</v>
      </c>
      <c r="BE388" s="31"/>
      <c r="BF388" s="30"/>
      <c r="BG388" s="32">
        <v>2</v>
      </c>
      <c r="BH388" s="31">
        <f t="shared" si="70"/>
        <v>0</v>
      </c>
      <c r="BI388" s="31">
        <f t="shared" si="71"/>
        <v>10.200000000000003</v>
      </c>
      <c r="BJ388" s="46">
        <f t="shared" si="72"/>
        <v>683.4000000000002</v>
      </c>
      <c r="BK388" s="30"/>
      <c r="BL388" s="30"/>
      <c r="BM388" s="30"/>
      <c r="BN388" s="30"/>
      <c r="BO388" s="33">
        <f t="shared" si="75"/>
        <v>0</v>
      </c>
      <c r="BP388" s="30">
        <v>9</v>
      </c>
      <c r="BQ388" s="30">
        <v>0</v>
      </c>
      <c r="BR388" s="30"/>
      <c r="BS388" s="30"/>
      <c r="BT388" s="34">
        <f t="shared" si="76"/>
        <v>51</v>
      </c>
      <c r="BU388" s="34"/>
      <c r="BV388" s="34"/>
      <c r="BW388" s="34"/>
      <c r="BX388" s="34"/>
      <c r="BY388" s="30"/>
      <c r="BZ388" s="31">
        <f t="shared" si="77"/>
        <v>459</v>
      </c>
      <c r="CA388" s="31">
        <f t="shared" si="78"/>
        <v>0</v>
      </c>
    </row>
    <row r="389" spans="1:79" ht="56.25" x14ac:dyDescent="0.25">
      <c r="A389" s="17"/>
      <c r="B389" s="2">
        <v>383</v>
      </c>
      <c r="C389" s="18">
        <v>209</v>
      </c>
      <c r="D389" s="18">
        <v>9</v>
      </c>
      <c r="E389" s="19">
        <v>0.26041666666666669</v>
      </c>
      <c r="F389" s="19">
        <v>0.27361111111111108</v>
      </c>
      <c r="G389" s="18" t="s">
        <v>927</v>
      </c>
      <c r="H389" s="18" t="s">
        <v>306</v>
      </c>
      <c r="I389" s="20">
        <v>10.3</v>
      </c>
      <c r="J389" s="21">
        <v>22</v>
      </c>
      <c r="K389" s="41">
        <v>208</v>
      </c>
      <c r="L389" s="23">
        <f t="shared" si="79"/>
        <v>2142.4</v>
      </c>
      <c r="M389" s="24" t="s">
        <v>136</v>
      </c>
      <c r="N389" s="25" t="s">
        <v>138</v>
      </c>
      <c r="O389" s="25">
        <v>23</v>
      </c>
      <c r="P389" s="25" t="s">
        <v>137</v>
      </c>
      <c r="Q389" s="25" t="s">
        <v>541</v>
      </c>
      <c r="R389" s="25" t="s">
        <v>926</v>
      </c>
      <c r="S389" s="25">
        <v>17</v>
      </c>
      <c r="T389" s="26">
        <v>2174</v>
      </c>
      <c r="U389" s="26" t="s">
        <v>141</v>
      </c>
      <c r="V389" s="26">
        <v>2180</v>
      </c>
      <c r="W389" s="26" t="s">
        <v>119</v>
      </c>
      <c r="X389" s="66">
        <v>44816</v>
      </c>
      <c r="Y389" s="66">
        <v>45086</v>
      </c>
      <c r="Z389" s="66"/>
      <c r="AA389" s="66"/>
      <c r="AB389" s="26" t="s">
        <v>309</v>
      </c>
      <c r="AC389" s="26"/>
      <c r="AD389" s="28"/>
      <c r="AE389" s="28"/>
      <c r="AF389" s="28"/>
      <c r="AG389" s="28" t="s">
        <v>90</v>
      </c>
      <c r="AH389" s="28" t="s">
        <v>90</v>
      </c>
      <c r="AI389" s="28" t="s">
        <v>90</v>
      </c>
      <c r="AJ389" s="28" t="s">
        <v>90</v>
      </c>
      <c r="AK389" s="28" t="s">
        <v>90</v>
      </c>
      <c r="AL389" s="28" t="s">
        <v>90</v>
      </c>
      <c r="AM389" s="28" t="s">
        <v>90</v>
      </c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9">
        <v>25.71</v>
      </c>
      <c r="AY389" s="30"/>
      <c r="AZ389" s="30"/>
      <c r="BA389" s="29"/>
      <c r="BB389" s="29"/>
      <c r="BC389" s="30"/>
      <c r="BD389" s="31">
        <f t="shared" si="74"/>
        <v>5347.68</v>
      </c>
      <c r="BE389" s="31"/>
      <c r="BF389" s="30"/>
      <c r="BG389" s="36">
        <v>1</v>
      </c>
      <c r="BH389" s="31">
        <f t="shared" si="70"/>
        <v>0</v>
      </c>
      <c r="BI389" s="31">
        <f t="shared" si="71"/>
        <v>0</v>
      </c>
      <c r="BJ389" s="33">
        <f t="shared" si="72"/>
        <v>0</v>
      </c>
      <c r="BK389" s="30"/>
      <c r="BL389" s="30"/>
      <c r="BM389" s="30"/>
      <c r="BN389" s="31">
        <f>IF((AX389+AY389+AZ389)&lt;20,(20-(AX389+AY389+AZ389)),0)</f>
        <v>0</v>
      </c>
      <c r="BO389" s="33">
        <f t="shared" si="75"/>
        <v>0</v>
      </c>
      <c r="BP389" s="30">
        <v>17</v>
      </c>
      <c r="BQ389" s="30">
        <v>25</v>
      </c>
      <c r="BR389" s="30"/>
      <c r="BS389" s="30"/>
      <c r="BT389" s="34">
        <f t="shared" si="76"/>
        <v>25.71</v>
      </c>
      <c r="BU389" s="34"/>
      <c r="BV389" s="34"/>
      <c r="BW389" s="34"/>
      <c r="BX389" s="34"/>
      <c r="BY389" s="30"/>
      <c r="BZ389" s="31">
        <f t="shared" si="77"/>
        <v>437.07</v>
      </c>
      <c r="CA389" s="31">
        <f t="shared" si="78"/>
        <v>642.75</v>
      </c>
    </row>
    <row r="390" spans="1:79" ht="56.25" x14ac:dyDescent="0.25">
      <c r="A390" s="17"/>
      <c r="B390" s="2">
        <v>384</v>
      </c>
      <c r="C390" s="18">
        <v>209</v>
      </c>
      <c r="D390" s="18">
        <v>11</v>
      </c>
      <c r="E390" s="19">
        <v>0.28819444444444448</v>
      </c>
      <c r="F390" s="19">
        <v>0.30208333333333331</v>
      </c>
      <c r="G390" s="18" t="s">
        <v>927</v>
      </c>
      <c r="H390" s="18" t="s">
        <v>306</v>
      </c>
      <c r="I390" s="20">
        <v>10</v>
      </c>
      <c r="J390" s="21">
        <v>22</v>
      </c>
      <c r="K390" s="22">
        <v>208</v>
      </c>
      <c r="L390" s="23">
        <f t="shared" si="79"/>
        <v>2080</v>
      </c>
      <c r="M390" s="24" t="s">
        <v>136</v>
      </c>
      <c r="N390" s="25" t="s">
        <v>138</v>
      </c>
      <c r="O390" s="25">
        <v>23</v>
      </c>
      <c r="P390" s="25" t="s">
        <v>137</v>
      </c>
      <c r="Q390" s="25">
        <v>23</v>
      </c>
      <c r="R390" s="25" t="s">
        <v>926</v>
      </c>
      <c r="S390" s="25">
        <v>17</v>
      </c>
      <c r="T390" s="26">
        <v>2174</v>
      </c>
      <c r="U390" s="26" t="s">
        <v>141</v>
      </c>
      <c r="V390" s="26">
        <v>2180</v>
      </c>
      <c r="W390" s="26" t="s">
        <v>119</v>
      </c>
      <c r="X390" s="66">
        <v>44816</v>
      </c>
      <c r="Y390" s="66">
        <v>45086</v>
      </c>
      <c r="Z390" s="66"/>
      <c r="AA390" s="66"/>
      <c r="AB390" s="26" t="s">
        <v>309</v>
      </c>
      <c r="AC390" s="26"/>
      <c r="AD390" s="28"/>
      <c r="AE390" s="28"/>
      <c r="AF390" s="28"/>
      <c r="AG390" s="28" t="s">
        <v>90</v>
      </c>
      <c r="AH390" s="28" t="s">
        <v>90</v>
      </c>
      <c r="AI390" s="28" t="s">
        <v>90</v>
      </c>
      <c r="AJ390" s="28" t="s">
        <v>90</v>
      </c>
      <c r="AK390" s="28" t="s">
        <v>90</v>
      </c>
      <c r="AL390" s="28" t="s">
        <v>90</v>
      </c>
      <c r="AM390" s="28" t="s">
        <v>90</v>
      </c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9">
        <v>26.33</v>
      </c>
      <c r="AY390" s="30"/>
      <c r="AZ390" s="30"/>
      <c r="BA390" s="29"/>
      <c r="BB390" s="29"/>
      <c r="BC390" s="30"/>
      <c r="BD390" s="31">
        <f t="shared" si="74"/>
        <v>5476.6399999999994</v>
      </c>
      <c r="BE390" s="31"/>
      <c r="BF390" s="30"/>
      <c r="BG390" s="36">
        <v>1</v>
      </c>
      <c r="BH390" s="31">
        <f t="shared" si="70"/>
        <v>0</v>
      </c>
      <c r="BI390" s="31">
        <f t="shared" si="71"/>
        <v>0</v>
      </c>
      <c r="BJ390" s="33">
        <f t="shared" si="72"/>
        <v>0</v>
      </c>
      <c r="BK390" s="30"/>
      <c r="BL390" s="30"/>
      <c r="BM390" s="30"/>
      <c r="BN390" s="31">
        <f>IF((AX390+AY390+AZ390)&lt;20,(20-(AX390+AY390+AZ390)),0)</f>
        <v>0</v>
      </c>
      <c r="BO390" s="33">
        <f t="shared" si="75"/>
        <v>0</v>
      </c>
      <c r="BP390" s="30">
        <v>17</v>
      </c>
      <c r="BQ390" s="30">
        <v>25</v>
      </c>
      <c r="BR390" s="30"/>
      <c r="BS390" s="30"/>
      <c r="BT390" s="34">
        <f t="shared" si="76"/>
        <v>26.33</v>
      </c>
      <c r="BU390" s="34"/>
      <c r="BV390" s="34"/>
      <c r="BW390" s="34"/>
      <c r="BX390" s="34"/>
      <c r="BY390" s="30"/>
      <c r="BZ390" s="31">
        <f t="shared" si="77"/>
        <v>447.60999999999996</v>
      </c>
      <c r="CA390" s="31">
        <f t="shared" si="78"/>
        <v>658.25</v>
      </c>
    </row>
    <row r="391" spans="1:79" ht="38.25" x14ac:dyDescent="0.25">
      <c r="A391" s="17" t="s">
        <v>112</v>
      </c>
      <c r="B391" s="2">
        <v>385</v>
      </c>
      <c r="C391" s="37">
        <v>209</v>
      </c>
      <c r="D391" s="37">
        <v>11</v>
      </c>
      <c r="E391" s="38">
        <v>0.2986111111111111</v>
      </c>
      <c r="F391" s="38">
        <v>0.3125</v>
      </c>
      <c r="G391" s="39" t="s">
        <v>928</v>
      </c>
      <c r="H391" s="18" t="s">
        <v>352</v>
      </c>
      <c r="I391" s="37">
        <v>9</v>
      </c>
      <c r="J391" s="40">
        <v>50</v>
      </c>
      <c r="K391" s="22">
        <v>55</v>
      </c>
      <c r="L391" s="23">
        <f t="shared" si="79"/>
        <v>495</v>
      </c>
      <c r="M391" s="24" t="s">
        <v>114</v>
      </c>
      <c r="N391" s="25" t="s">
        <v>115</v>
      </c>
      <c r="O391" s="25">
        <v>54</v>
      </c>
      <c r="P391" s="25" t="s">
        <v>116</v>
      </c>
      <c r="Q391" s="25">
        <v>45</v>
      </c>
      <c r="R391" s="25" t="s">
        <v>117</v>
      </c>
      <c r="S391" s="35">
        <v>28</v>
      </c>
      <c r="T391" s="26">
        <v>2174</v>
      </c>
      <c r="U391" s="26" t="s">
        <v>141</v>
      </c>
      <c r="V391" s="26">
        <v>2180</v>
      </c>
      <c r="W391" s="26" t="s">
        <v>119</v>
      </c>
      <c r="X391" s="27">
        <v>44562</v>
      </c>
      <c r="Y391" s="27">
        <v>44815</v>
      </c>
      <c r="Z391" s="27">
        <v>45101</v>
      </c>
      <c r="AA391" s="27">
        <v>45169</v>
      </c>
      <c r="AB391" s="26" t="s">
        <v>353</v>
      </c>
      <c r="AC391" s="26"/>
      <c r="AD391" s="28"/>
      <c r="AE391" s="28" t="s">
        <v>90</v>
      </c>
      <c r="AF391" s="28" t="s">
        <v>90</v>
      </c>
      <c r="AG391" s="28"/>
      <c r="AH391" s="28" t="s">
        <v>90</v>
      </c>
      <c r="AI391" s="28" t="s">
        <v>90</v>
      </c>
      <c r="AJ391" s="28" t="s">
        <v>90</v>
      </c>
      <c r="AK391" s="28" t="s">
        <v>90</v>
      </c>
      <c r="AL391" s="28" t="s">
        <v>90</v>
      </c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9"/>
      <c r="AY391" s="30"/>
      <c r="AZ391" s="30"/>
      <c r="BA391" s="30"/>
      <c r="BB391" s="43" t="s">
        <v>114</v>
      </c>
      <c r="BC391" s="30"/>
      <c r="BD391" s="31">
        <f t="shared" si="74"/>
        <v>0</v>
      </c>
      <c r="BE391" s="30"/>
      <c r="BF391" s="30"/>
      <c r="BG391" s="32">
        <v>2</v>
      </c>
      <c r="BH391" s="30"/>
      <c r="BI391" s="31"/>
      <c r="BJ391" s="30"/>
      <c r="BK391" s="30"/>
      <c r="BL391" s="30"/>
      <c r="BM391" s="30"/>
      <c r="BN391" s="30"/>
      <c r="BO391" s="33">
        <f t="shared" si="75"/>
        <v>0</v>
      </c>
      <c r="BP391" s="30">
        <v>7</v>
      </c>
      <c r="BQ391" s="30">
        <v>0</v>
      </c>
      <c r="BR391" s="30"/>
      <c r="BS391" s="30"/>
      <c r="BT391" s="34">
        <f t="shared" si="76"/>
        <v>0</v>
      </c>
      <c r="BU391" s="34"/>
      <c r="BV391" s="34"/>
      <c r="BW391" s="34"/>
      <c r="BX391" s="34"/>
      <c r="BY391" s="30"/>
      <c r="BZ391" s="31">
        <f t="shared" si="77"/>
        <v>0</v>
      </c>
      <c r="CA391" s="31">
        <f t="shared" si="78"/>
        <v>0</v>
      </c>
    </row>
    <row r="392" spans="1:79" ht="56.25" x14ac:dyDescent="0.25">
      <c r="A392" s="17"/>
      <c r="B392" s="2">
        <v>386</v>
      </c>
      <c r="C392" s="18">
        <v>209</v>
      </c>
      <c r="D392" s="58">
        <v>22</v>
      </c>
      <c r="E392" s="59">
        <v>0.60277777777777775</v>
      </c>
      <c r="F392" s="59">
        <v>0.6166666666666667</v>
      </c>
      <c r="G392" s="18" t="s">
        <v>929</v>
      </c>
      <c r="H392" s="18" t="s">
        <v>273</v>
      </c>
      <c r="I392" s="20">
        <v>10</v>
      </c>
      <c r="J392" s="21">
        <v>22</v>
      </c>
      <c r="K392" s="41">
        <v>174</v>
      </c>
      <c r="L392" s="23">
        <f t="shared" si="79"/>
        <v>1740</v>
      </c>
      <c r="M392" s="24" t="s">
        <v>136</v>
      </c>
      <c r="N392" s="25" t="s">
        <v>138</v>
      </c>
      <c r="O392" s="25">
        <v>23</v>
      </c>
      <c r="P392" s="25" t="s">
        <v>137</v>
      </c>
      <c r="Q392" s="25">
        <v>23</v>
      </c>
      <c r="R392" s="25" t="s">
        <v>926</v>
      </c>
      <c r="S392" s="25">
        <v>17</v>
      </c>
      <c r="T392" s="26">
        <v>2180</v>
      </c>
      <c r="U392" s="26" t="s">
        <v>119</v>
      </c>
      <c r="V392" s="26">
        <v>2174</v>
      </c>
      <c r="W392" s="26" t="s">
        <v>141</v>
      </c>
      <c r="X392" s="66">
        <v>44816</v>
      </c>
      <c r="Y392" s="66">
        <v>45086</v>
      </c>
      <c r="Z392" s="66"/>
      <c r="AA392" s="66"/>
      <c r="AB392" s="26" t="s">
        <v>282</v>
      </c>
      <c r="AC392" s="26"/>
      <c r="AD392" s="28"/>
      <c r="AE392" s="28"/>
      <c r="AF392" s="28"/>
      <c r="AG392" s="28" t="s">
        <v>90</v>
      </c>
      <c r="AH392" s="28" t="s">
        <v>90</v>
      </c>
      <c r="AI392" s="28" t="s">
        <v>90</v>
      </c>
      <c r="AJ392" s="28" t="s">
        <v>90</v>
      </c>
      <c r="AK392" s="28" t="s">
        <v>90</v>
      </c>
      <c r="AL392" s="28" t="s">
        <v>90</v>
      </c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9">
        <v>27.51</v>
      </c>
      <c r="AY392" s="30"/>
      <c r="AZ392" s="30"/>
      <c r="BA392" s="29"/>
      <c r="BB392" s="29"/>
      <c r="BC392" s="30"/>
      <c r="BD392" s="31">
        <f t="shared" si="74"/>
        <v>4786.7400000000007</v>
      </c>
      <c r="BE392" s="31"/>
      <c r="BF392" s="30"/>
      <c r="BG392" s="36">
        <v>1</v>
      </c>
      <c r="BH392" s="31">
        <f>IF(AND((AX392/I392)&lt;2,BG392=1),(I392*2)-AX392,0)</f>
        <v>0</v>
      </c>
      <c r="BI392" s="31">
        <f>IF(AND((AX392/I392)&lt;3,BG392=2),(I392*3)-AX392,0)</f>
        <v>0</v>
      </c>
      <c r="BJ392" s="33">
        <f>(BH392+BI392)*K392</f>
        <v>0</v>
      </c>
      <c r="BK392" s="30"/>
      <c r="BL392" s="30"/>
      <c r="BM392" s="30"/>
      <c r="BN392" s="30"/>
      <c r="BO392" s="33">
        <f t="shared" si="75"/>
        <v>0</v>
      </c>
      <c r="BP392" s="30">
        <v>15</v>
      </c>
      <c r="BQ392" s="30">
        <v>20</v>
      </c>
      <c r="BR392" s="30"/>
      <c r="BS392" s="30"/>
      <c r="BT392" s="34">
        <f t="shared" si="76"/>
        <v>27.51</v>
      </c>
      <c r="BU392" s="34"/>
      <c r="BV392" s="34"/>
      <c r="BW392" s="34"/>
      <c r="BX392" s="34"/>
      <c r="BY392" s="30"/>
      <c r="BZ392" s="31">
        <f t="shared" si="77"/>
        <v>412.65000000000003</v>
      </c>
      <c r="CA392" s="31">
        <f t="shared" si="78"/>
        <v>550.20000000000005</v>
      </c>
    </row>
    <row r="393" spans="1:79" ht="56.25" x14ac:dyDescent="0.25">
      <c r="A393" s="17" t="s">
        <v>112</v>
      </c>
      <c r="B393" s="2">
        <v>387</v>
      </c>
      <c r="C393" s="37">
        <v>209</v>
      </c>
      <c r="D393" s="37">
        <v>14</v>
      </c>
      <c r="E393" s="38">
        <v>0.77777777777777779</v>
      </c>
      <c r="F393" s="38">
        <v>0.79166666666666663</v>
      </c>
      <c r="G393" s="39" t="s">
        <v>140</v>
      </c>
      <c r="H393" s="18" t="s">
        <v>80</v>
      </c>
      <c r="I393" s="37">
        <v>9</v>
      </c>
      <c r="J393" s="40">
        <v>22</v>
      </c>
      <c r="K393" s="22">
        <v>67</v>
      </c>
      <c r="L393" s="23">
        <f t="shared" si="79"/>
        <v>603</v>
      </c>
      <c r="M393" s="24" t="s">
        <v>136</v>
      </c>
      <c r="N393" s="25" t="s">
        <v>137</v>
      </c>
      <c r="O393" s="25">
        <v>23</v>
      </c>
      <c r="P393" s="25" t="s">
        <v>138</v>
      </c>
      <c r="Q393" s="25">
        <v>23</v>
      </c>
      <c r="R393" s="25"/>
      <c r="S393" s="25"/>
      <c r="T393" s="26">
        <v>2180</v>
      </c>
      <c r="U393" s="26" t="s">
        <v>119</v>
      </c>
      <c r="V393" s="26">
        <v>2174</v>
      </c>
      <c r="W393" s="26" t="s">
        <v>141</v>
      </c>
      <c r="X393" s="27">
        <v>44562</v>
      </c>
      <c r="Y393" s="27">
        <v>44815</v>
      </c>
      <c r="Z393" s="27">
        <v>45101</v>
      </c>
      <c r="AA393" s="27">
        <v>45169</v>
      </c>
      <c r="AB393" s="28" t="s">
        <v>89</v>
      </c>
      <c r="AC393" s="28"/>
      <c r="AD393" s="28"/>
      <c r="AE393" s="28" t="s">
        <v>90</v>
      </c>
      <c r="AF393" s="28" t="s">
        <v>90</v>
      </c>
      <c r="AG393" s="28"/>
      <c r="AH393" s="28" t="s">
        <v>90</v>
      </c>
      <c r="AI393" s="28" t="s">
        <v>90</v>
      </c>
      <c r="AJ393" s="28" t="s">
        <v>90</v>
      </c>
      <c r="AK393" s="28" t="s">
        <v>90</v>
      </c>
      <c r="AL393" s="28" t="s">
        <v>90</v>
      </c>
      <c r="AM393" s="28" t="s">
        <v>90</v>
      </c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9">
        <v>21.6</v>
      </c>
      <c r="AY393" s="30"/>
      <c r="AZ393" s="30"/>
      <c r="BA393" s="29"/>
      <c r="BB393" s="29"/>
      <c r="BC393" s="30"/>
      <c r="BD393" s="31">
        <f t="shared" si="74"/>
        <v>1447.2</v>
      </c>
      <c r="BE393" s="31"/>
      <c r="BF393" s="30"/>
      <c r="BG393" s="36">
        <v>1</v>
      </c>
      <c r="BH393" s="31">
        <f>IF(AND((AX393/I393)&lt;2,BG393=1),(I393*2)-AX393,0)</f>
        <v>0</v>
      </c>
      <c r="BI393" s="31">
        <f>IF(AND((AX393/I393)&lt;3,BG393=2),(I393*3)-AX393,0)</f>
        <v>0</v>
      </c>
      <c r="BJ393" s="33">
        <f>(BH393+BI393)*K393</f>
        <v>0</v>
      </c>
      <c r="BK393" s="30"/>
      <c r="BL393" s="30"/>
      <c r="BM393" s="30"/>
      <c r="BN393" s="30"/>
      <c r="BO393" s="33">
        <f t="shared" si="75"/>
        <v>0</v>
      </c>
      <c r="BP393" s="30">
        <v>9</v>
      </c>
      <c r="BQ393" s="30">
        <v>0</v>
      </c>
      <c r="BR393" s="30"/>
      <c r="BS393" s="30"/>
      <c r="BT393" s="34">
        <f t="shared" si="76"/>
        <v>21.6</v>
      </c>
      <c r="BU393" s="34"/>
      <c r="BV393" s="34"/>
      <c r="BW393" s="34"/>
      <c r="BX393" s="34"/>
      <c r="BY393" s="30"/>
      <c r="BZ393" s="31">
        <f t="shared" si="77"/>
        <v>194.4</v>
      </c>
      <c r="CA393" s="31">
        <f t="shared" si="78"/>
        <v>0</v>
      </c>
    </row>
    <row r="394" spans="1:79" ht="34.5" x14ac:dyDescent="0.25">
      <c r="A394" s="17" t="s">
        <v>112</v>
      </c>
      <c r="B394" s="2">
        <v>388</v>
      </c>
      <c r="C394" s="37">
        <v>210</v>
      </c>
      <c r="D394" s="37">
        <v>55</v>
      </c>
      <c r="E394" s="38">
        <v>0.2902777777777778</v>
      </c>
      <c r="F394" s="38">
        <v>0.31180555555555556</v>
      </c>
      <c r="G394" s="39" t="s">
        <v>142</v>
      </c>
      <c r="H394" s="18" t="s">
        <v>92</v>
      </c>
      <c r="I394" s="37">
        <v>11</v>
      </c>
      <c r="J394" s="40">
        <v>50</v>
      </c>
      <c r="K394" s="41">
        <v>12</v>
      </c>
      <c r="L394" s="23">
        <f t="shared" si="79"/>
        <v>132</v>
      </c>
      <c r="M394" s="24" t="s">
        <v>114</v>
      </c>
      <c r="N394" s="25" t="s">
        <v>115</v>
      </c>
      <c r="O394" s="25">
        <v>54</v>
      </c>
      <c r="P394" s="25" t="s">
        <v>116</v>
      </c>
      <c r="Q394" s="25">
        <v>45</v>
      </c>
      <c r="R394" s="25" t="s">
        <v>117</v>
      </c>
      <c r="S394" s="35">
        <v>28</v>
      </c>
      <c r="T394" s="26">
        <v>2208</v>
      </c>
      <c r="U394" s="26" t="s">
        <v>143</v>
      </c>
      <c r="V394" s="26">
        <v>2180</v>
      </c>
      <c r="W394" s="26" t="s">
        <v>119</v>
      </c>
      <c r="X394" s="27">
        <v>44562</v>
      </c>
      <c r="Y394" s="27">
        <v>44815</v>
      </c>
      <c r="Z394" s="27">
        <v>45101</v>
      </c>
      <c r="AA394" s="27">
        <v>45169</v>
      </c>
      <c r="AB394" s="26" t="s">
        <v>101</v>
      </c>
      <c r="AC394" s="26"/>
      <c r="AD394" s="28"/>
      <c r="AE394" s="28" t="s">
        <v>90</v>
      </c>
      <c r="AF394" s="28" t="s">
        <v>90</v>
      </c>
      <c r="AG394" s="28"/>
      <c r="AH394" s="28"/>
      <c r="AI394" s="28"/>
      <c r="AJ394" s="28"/>
      <c r="AK394" s="28"/>
      <c r="AL394" s="28"/>
      <c r="AM394" s="28" t="s">
        <v>90</v>
      </c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9"/>
      <c r="AY394" s="30"/>
      <c r="AZ394" s="30"/>
      <c r="BA394" s="30"/>
      <c r="BB394" s="43" t="s">
        <v>114</v>
      </c>
      <c r="BC394" s="30"/>
      <c r="BD394" s="31">
        <f t="shared" si="74"/>
        <v>0</v>
      </c>
      <c r="BE394" s="30"/>
      <c r="BF394" s="30"/>
      <c r="BG394" s="32">
        <v>2</v>
      </c>
      <c r="BH394" s="30"/>
      <c r="BI394" s="31"/>
      <c r="BJ394" s="30"/>
      <c r="BK394" s="30"/>
      <c r="BL394" s="30"/>
      <c r="BM394" s="30"/>
      <c r="BN394" s="31"/>
      <c r="BO394" s="33">
        <f t="shared" si="75"/>
        <v>0</v>
      </c>
      <c r="BP394" s="30">
        <v>2</v>
      </c>
      <c r="BQ394" s="30">
        <v>0</v>
      </c>
      <c r="BR394" s="30"/>
      <c r="BS394" s="30"/>
      <c r="BT394" s="34">
        <f t="shared" si="76"/>
        <v>0</v>
      </c>
      <c r="BU394" s="34"/>
      <c r="BV394" s="34"/>
      <c r="BW394" s="34"/>
      <c r="BX394" s="34"/>
      <c r="BY394" s="30"/>
      <c r="BZ394" s="31">
        <f t="shared" si="77"/>
        <v>0</v>
      </c>
      <c r="CA394" s="31">
        <f t="shared" si="78"/>
        <v>0</v>
      </c>
    </row>
    <row r="395" spans="1:79" ht="102" x14ac:dyDescent="0.25">
      <c r="A395" s="17"/>
      <c r="B395" s="2">
        <v>389</v>
      </c>
      <c r="C395" s="18">
        <v>210</v>
      </c>
      <c r="D395" s="18">
        <v>55</v>
      </c>
      <c r="E395" s="19">
        <v>0.30486111111111108</v>
      </c>
      <c r="F395" s="19">
        <v>0.3263888888888889</v>
      </c>
      <c r="G395" s="18" t="s">
        <v>930</v>
      </c>
      <c r="H395" s="18" t="s">
        <v>273</v>
      </c>
      <c r="I395" s="20">
        <v>19</v>
      </c>
      <c r="J395" s="21">
        <v>50</v>
      </c>
      <c r="K395" s="41">
        <v>174</v>
      </c>
      <c r="L395" s="23">
        <f t="shared" si="79"/>
        <v>3306</v>
      </c>
      <c r="M395" s="24" t="s">
        <v>136</v>
      </c>
      <c r="N395" s="25" t="s">
        <v>149</v>
      </c>
      <c r="O395" s="25">
        <v>57</v>
      </c>
      <c r="P395" s="25" t="s">
        <v>763</v>
      </c>
      <c r="Q395" s="25">
        <v>57</v>
      </c>
      <c r="R395" s="25"/>
      <c r="S395" s="25"/>
      <c r="T395" s="26">
        <v>2197</v>
      </c>
      <c r="U395" s="26" t="s">
        <v>931</v>
      </c>
      <c r="V395" s="26">
        <v>2290</v>
      </c>
      <c r="W395" s="26" t="s">
        <v>118</v>
      </c>
      <c r="X395" s="66">
        <v>44816</v>
      </c>
      <c r="Y395" s="66">
        <v>45086</v>
      </c>
      <c r="Z395" s="66"/>
      <c r="AA395" s="66"/>
      <c r="AB395" s="26" t="s">
        <v>282</v>
      </c>
      <c r="AC395" s="26"/>
      <c r="AD395" s="28"/>
      <c r="AE395" s="28"/>
      <c r="AF395" s="28"/>
      <c r="AG395" s="28" t="s">
        <v>90</v>
      </c>
      <c r="AH395" s="28" t="s">
        <v>90</v>
      </c>
      <c r="AI395" s="28" t="s">
        <v>90</v>
      </c>
      <c r="AJ395" s="28" t="s">
        <v>90</v>
      </c>
      <c r="AK395" s="28" t="s">
        <v>90</v>
      </c>
      <c r="AL395" s="28" t="s">
        <v>90</v>
      </c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9">
        <v>162.84</v>
      </c>
      <c r="AY395" s="30"/>
      <c r="AZ395" s="30"/>
      <c r="BA395" s="29"/>
      <c r="BB395" s="29"/>
      <c r="BC395" s="30"/>
      <c r="BD395" s="31">
        <f t="shared" si="74"/>
        <v>28334.16</v>
      </c>
      <c r="BE395" s="31"/>
      <c r="BF395" s="30"/>
      <c r="BG395" s="32">
        <v>2</v>
      </c>
      <c r="BH395" s="31">
        <f>IF(AND((AX395/I395)&lt;2,BG395=1),(I395*2)-AX395,0)</f>
        <v>0</v>
      </c>
      <c r="BI395" s="31">
        <f>IF(AND((AX395/I395)&lt;3,BG395=2),(I395*3)-AX395,0)</f>
        <v>0</v>
      </c>
      <c r="BJ395" s="33">
        <f>(BH395+BI395)*K395</f>
        <v>0</v>
      </c>
      <c r="BK395" s="30"/>
      <c r="BL395" s="30"/>
      <c r="BM395" s="30"/>
      <c r="BN395" s="30"/>
      <c r="BO395" s="33">
        <f t="shared" si="75"/>
        <v>0</v>
      </c>
      <c r="BP395" s="30">
        <v>15</v>
      </c>
      <c r="BQ395" s="30">
        <v>20</v>
      </c>
      <c r="BR395" s="30"/>
      <c r="BS395" s="30"/>
      <c r="BT395" s="34">
        <f t="shared" si="76"/>
        <v>162.84</v>
      </c>
      <c r="BU395" s="34"/>
      <c r="BV395" s="34"/>
      <c r="BW395" s="34"/>
      <c r="BX395" s="34"/>
      <c r="BY395" s="30"/>
      <c r="BZ395" s="31">
        <f t="shared" si="77"/>
        <v>2442.6</v>
      </c>
      <c r="CA395" s="31">
        <f t="shared" si="78"/>
        <v>3256.8</v>
      </c>
    </row>
    <row r="396" spans="1:79" ht="56.25" x14ac:dyDescent="0.25">
      <c r="A396" s="17"/>
      <c r="B396" s="2">
        <v>390</v>
      </c>
      <c r="C396" s="18">
        <v>210</v>
      </c>
      <c r="D396" s="18">
        <v>245</v>
      </c>
      <c r="E396" s="59">
        <v>0.30902777777777779</v>
      </c>
      <c r="F396" s="59">
        <v>0.31666666666666665</v>
      </c>
      <c r="G396" s="18" t="s">
        <v>932</v>
      </c>
      <c r="H396" s="18" t="s">
        <v>273</v>
      </c>
      <c r="I396" s="20">
        <v>5</v>
      </c>
      <c r="J396" s="21">
        <v>22</v>
      </c>
      <c r="K396" s="22">
        <v>174</v>
      </c>
      <c r="L396" s="23">
        <f t="shared" si="79"/>
        <v>870</v>
      </c>
      <c r="M396" s="24" t="s">
        <v>136</v>
      </c>
      <c r="N396" s="25" t="s">
        <v>138</v>
      </c>
      <c r="O396" s="25">
        <v>23</v>
      </c>
      <c r="P396" s="25" t="s">
        <v>137</v>
      </c>
      <c r="Q396" s="25" t="s">
        <v>541</v>
      </c>
      <c r="R396" s="25" t="s">
        <v>926</v>
      </c>
      <c r="S396" s="25">
        <v>17</v>
      </c>
      <c r="T396" s="26">
        <v>2198</v>
      </c>
      <c r="U396" s="26" t="s">
        <v>933</v>
      </c>
      <c r="V396" s="26">
        <v>2180</v>
      </c>
      <c r="W396" s="26" t="s">
        <v>119</v>
      </c>
      <c r="X396" s="66">
        <v>44816</v>
      </c>
      <c r="Y396" s="66">
        <v>45086</v>
      </c>
      <c r="Z396" s="66"/>
      <c r="AA396" s="66"/>
      <c r="AB396" s="26" t="s">
        <v>282</v>
      </c>
      <c r="AC396" s="26"/>
      <c r="AD396" s="28"/>
      <c r="AE396" s="28"/>
      <c r="AF396" s="28"/>
      <c r="AG396" s="28" t="s">
        <v>90</v>
      </c>
      <c r="AH396" s="28" t="s">
        <v>90</v>
      </c>
      <c r="AI396" s="28" t="s">
        <v>90</v>
      </c>
      <c r="AJ396" s="28" t="s">
        <v>90</v>
      </c>
      <c r="AK396" s="28" t="s">
        <v>90</v>
      </c>
      <c r="AL396" s="28" t="s">
        <v>90</v>
      </c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9">
        <v>35.479999999999997</v>
      </c>
      <c r="AY396" s="30"/>
      <c r="AZ396" s="30"/>
      <c r="BA396" s="29"/>
      <c r="BB396" s="29"/>
      <c r="BC396" s="30"/>
      <c r="BD396" s="31">
        <f t="shared" si="74"/>
        <v>6173.5199999999995</v>
      </c>
      <c r="BE396" s="31"/>
      <c r="BF396" s="30"/>
      <c r="BG396" s="36">
        <v>1</v>
      </c>
      <c r="BH396" s="31">
        <f>IF(AND((AX396/I396)&lt;2,BG396=1),(I396*2)-AX396,0)</f>
        <v>0</v>
      </c>
      <c r="BI396" s="31">
        <f>IF(AND((AX396/I396)&lt;3,BG396=2),(I396*3)-AX396,0)</f>
        <v>0</v>
      </c>
      <c r="BJ396" s="33">
        <f>(BH396+BI396)*K396</f>
        <v>0</v>
      </c>
      <c r="BK396" s="30"/>
      <c r="BL396" s="30"/>
      <c r="BM396" s="30"/>
      <c r="BN396" s="30"/>
      <c r="BO396" s="33">
        <f t="shared" si="75"/>
        <v>0</v>
      </c>
      <c r="BP396" s="30">
        <v>15</v>
      </c>
      <c r="BQ396" s="30">
        <v>20</v>
      </c>
      <c r="BR396" s="30"/>
      <c r="BS396" s="30"/>
      <c r="BT396" s="34">
        <f t="shared" si="76"/>
        <v>35.479999999999997</v>
      </c>
      <c r="BU396" s="34"/>
      <c r="BV396" s="34"/>
      <c r="BW396" s="34"/>
      <c r="BX396" s="34"/>
      <c r="BY396" s="30"/>
      <c r="BZ396" s="31">
        <f t="shared" si="77"/>
        <v>532.19999999999993</v>
      </c>
      <c r="CA396" s="31">
        <f t="shared" si="78"/>
        <v>709.59999999999991</v>
      </c>
    </row>
    <row r="397" spans="1:79" ht="90" x14ac:dyDescent="0.25">
      <c r="A397" s="17"/>
      <c r="B397" s="2">
        <v>391</v>
      </c>
      <c r="C397" s="18">
        <v>210</v>
      </c>
      <c r="D397" s="18">
        <v>66</v>
      </c>
      <c r="E397" s="19">
        <v>0.63541666666666663</v>
      </c>
      <c r="F397" s="19">
        <v>0.64027777777777783</v>
      </c>
      <c r="G397" s="18" t="s">
        <v>934</v>
      </c>
      <c r="H397" s="18" t="s">
        <v>273</v>
      </c>
      <c r="I397" s="18">
        <v>5</v>
      </c>
      <c r="J397" s="21" t="s">
        <v>122</v>
      </c>
      <c r="K397" s="22">
        <v>174</v>
      </c>
      <c r="L397" s="23">
        <f t="shared" si="79"/>
        <v>870</v>
      </c>
      <c r="M397" s="24" t="s">
        <v>935</v>
      </c>
      <c r="N397" s="25" t="s">
        <v>936</v>
      </c>
      <c r="O397" s="25">
        <v>25</v>
      </c>
      <c r="P397" s="25" t="s">
        <v>937</v>
      </c>
      <c r="Q397" s="25">
        <v>23</v>
      </c>
      <c r="R397" s="17"/>
      <c r="S397" s="25"/>
      <c r="T397" s="26">
        <v>2180</v>
      </c>
      <c r="U397" s="26" t="s">
        <v>119</v>
      </c>
      <c r="V397" s="26">
        <v>2225</v>
      </c>
      <c r="W397" s="26" t="s">
        <v>938</v>
      </c>
      <c r="X397" s="66">
        <v>44816</v>
      </c>
      <c r="Y397" s="66">
        <v>45086</v>
      </c>
      <c r="Z397" s="66"/>
      <c r="AA397" s="66"/>
      <c r="AB397" s="26" t="s">
        <v>282</v>
      </c>
      <c r="AC397" s="26"/>
      <c r="AD397" s="28"/>
      <c r="AE397" s="28"/>
      <c r="AF397" s="28"/>
      <c r="AG397" s="28" t="s">
        <v>90</v>
      </c>
      <c r="AH397" s="28" t="s">
        <v>90</v>
      </c>
      <c r="AI397" s="28" t="s">
        <v>90</v>
      </c>
      <c r="AJ397" s="28" t="s">
        <v>90</v>
      </c>
      <c r="AK397" s="28" t="s">
        <v>90</v>
      </c>
      <c r="AL397" s="28" t="s">
        <v>90</v>
      </c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9">
        <f>9.6+5.4</f>
        <v>15</v>
      </c>
      <c r="AY397" s="30"/>
      <c r="AZ397" s="30"/>
      <c r="BA397" s="29"/>
      <c r="BB397" s="29"/>
      <c r="BC397" s="30"/>
      <c r="BD397" s="31">
        <f t="shared" si="74"/>
        <v>2610</v>
      </c>
      <c r="BE397" s="31"/>
      <c r="BF397" s="30"/>
      <c r="BG397" s="36">
        <v>1</v>
      </c>
      <c r="BH397" s="31">
        <f>IF(AND((AX397/I397)&lt;2,BG397=1),(I397*2)-AX397,0)</f>
        <v>0</v>
      </c>
      <c r="BI397" s="31">
        <f>IF(AND((AX397/I397)&lt;3,BG397=2),(I397*3)-AX397,0)</f>
        <v>0</v>
      </c>
      <c r="BJ397" s="33">
        <f>(BH397+BI397)*K397</f>
        <v>0</v>
      </c>
      <c r="BK397" s="30"/>
      <c r="BL397" s="30"/>
      <c r="BM397" s="30"/>
      <c r="BN397" s="30"/>
      <c r="BO397" s="33">
        <f t="shared" si="75"/>
        <v>0</v>
      </c>
      <c r="BP397" s="30">
        <v>15</v>
      </c>
      <c r="BQ397" s="30">
        <v>20</v>
      </c>
      <c r="BR397" s="30"/>
      <c r="BS397" s="30"/>
      <c r="BT397" s="34">
        <f t="shared" si="76"/>
        <v>15</v>
      </c>
      <c r="BU397" s="34"/>
      <c r="BV397" s="34"/>
      <c r="BW397" s="34"/>
      <c r="BX397" s="34"/>
      <c r="BY397" s="30"/>
      <c r="BZ397" s="31">
        <f t="shared" si="77"/>
        <v>225</v>
      </c>
      <c r="CA397" s="31">
        <f t="shared" si="78"/>
        <v>300</v>
      </c>
    </row>
    <row r="398" spans="1:79" ht="56.25" x14ac:dyDescent="0.25">
      <c r="A398" s="17"/>
      <c r="B398" s="2">
        <v>392</v>
      </c>
      <c r="C398" s="18">
        <v>210</v>
      </c>
      <c r="D398" s="18">
        <v>430</v>
      </c>
      <c r="E398" s="19">
        <v>0.64930555555555558</v>
      </c>
      <c r="F398" s="19">
        <v>0.65694444444444444</v>
      </c>
      <c r="G398" s="18" t="s">
        <v>939</v>
      </c>
      <c r="H398" s="18" t="s">
        <v>940</v>
      </c>
      <c r="I398" s="20">
        <v>5</v>
      </c>
      <c r="J398" s="21">
        <v>22</v>
      </c>
      <c r="K398" s="22">
        <f>33+36+36</f>
        <v>105</v>
      </c>
      <c r="L398" s="23">
        <f t="shared" si="79"/>
        <v>525</v>
      </c>
      <c r="M398" s="24" t="s">
        <v>136</v>
      </c>
      <c r="N398" s="25" t="s">
        <v>926</v>
      </c>
      <c r="O398" s="25">
        <v>17</v>
      </c>
      <c r="P398" s="25" t="s">
        <v>138</v>
      </c>
      <c r="Q398" s="25">
        <v>23</v>
      </c>
      <c r="R398" s="25" t="s">
        <v>137</v>
      </c>
      <c r="S398" s="25" t="s">
        <v>541</v>
      </c>
      <c r="T398" s="26">
        <v>2180</v>
      </c>
      <c r="U398" s="26" t="s">
        <v>119</v>
      </c>
      <c r="V398" s="26">
        <v>2198</v>
      </c>
      <c r="W398" s="26" t="s">
        <v>933</v>
      </c>
      <c r="X398" s="66">
        <v>44816</v>
      </c>
      <c r="Y398" s="66">
        <v>45086</v>
      </c>
      <c r="Z398" s="66"/>
      <c r="AA398" s="66"/>
      <c r="AB398" s="26" t="s">
        <v>389</v>
      </c>
      <c r="AC398" s="26"/>
      <c r="AD398" s="28"/>
      <c r="AE398" s="28"/>
      <c r="AF398" s="28"/>
      <c r="AG398" s="28" t="s">
        <v>90</v>
      </c>
      <c r="AH398" s="28" t="s">
        <v>90</v>
      </c>
      <c r="AI398" s="28"/>
      <c r="AJ398" s="28" t="s">
        <v>90</v>
      </c>
      <c r="AK398" s="28"/>
      <c r="AL398" s="28" t="s">
        <v>90</v>
      </c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9">
        <v>35.479999999999997</v>
      </c>
      <c r="AY398" s="30"/>
      <c r="AZ398" s="30"/>
      <c r="BA398" s="29"/>
      <c r="BB398" s="29"/>
      <c r="BC398" s="30"/>
      <c r="BD398" s="31">
        <f t="shared" si="74"/>
        <v>3725.3999999999996</v>
      </c>
      <c r="BE398" s="31"/>
      <c r="BF398" s="30"/>
      <c r="BG398" s="36">
        <v>1</v>
      </c>
      <c r="BH398" s="31">
        <f>IF(AND((AX398/I398)&lt;2,BG398=1),(I398*2)-AX398,0)</f>
        <v>0</v>
      </c>
      <c r="BI398" s="31">
        <f>IF(AND((AX398/I398)&lt;3,BG398=2),(I398*3)-AX398,0)</f>
        <v>0</v>
      </c>
      <c r="BJ398" s="33">
        <f>(BH398+BI398)*K398</f>
        <v>0</v>
      </c>
      <c r="BK398" s="30"/>
      <c r="BL398" s="30"/>
      <c r="BM398" s="30"/>
      <c r="BN398" s="30"/>
      <c r="BO398" s="33">
        <f t="shared" si="75"/>
        <v>0</v>
      </c>
      <c r="BP398" s="30">
        <v>9</v>
      </c>
      <c r="BQ398" s="30">
        <v>12</v>
      </c>
      <c r="BR398" s="30"/>
      <c r="BS398" s="30"/>
      <c r="BT398" s="34">
        <f t="shared" si="76"/>
        <v>35.479999999999997</v>
      </c>
      <c r="BU398" s="34"/>
      <c r="BV398" s="34"/>
      <c r="BW398" s="34"/>
      <c r="BX398" s="34"/>
      <c r="BY398" s="30"/>
      <c r="BZ398" s="31">
        <f t="shared" si="77"/>
        <v>319.32</v>
      </c>
      <c r="CA398" s="31">
        <f t="shared" si="78"/>
        <v>425.76</v>
      </c>
    </row>
    <row r="399" spans="1:79" ht="51" x14ac:dyDescent="0.25">
      <c r="A399" s="17"/>
      <c r="B399" s="2">
        <v>393</v>
      </c>
      <c r="C399" s="18">
        <v>210</v>
      </c>
      <c r="D399" s="21">
        <v>458</v>
      </c>
      <c r="E399" s="59">
        <v>0.6875</v>
      </c>
      <c r="F399" s="59">
        <v>0.70763888888888893</v>
      </c>
      <c r="G399" s="18" t="s">
        <v>941</v>
      </c>
      <c r="H399" s="18" t="s">
        <v>942</v>
      </c>
      <c r="I399" s="20">
        <v>11</v>
      </c>
      <c r="J399" s="21">
        <v>44</v>
      </c>
      <c r="K399" s="22">
        <f>33+34+34</f>
        <v>101</v>
      </c>
      <c r="L399" s="23">
        <f t="shared" si="79"/>
        <v>1111</v>
      </c>
      <c r="M399" s="24" t="s">
        <v>114</v>
      </c>
      <c r="N399" s="25" t="s">
        <v>916</v>
      </c>
      <c r="O399" s="25">
        <v>29</v>
      </c>
      <c r="P399" s="25" t="s">
        <v>117</v>
      </c>
      <c r="Q399" s="25">
        <v>29</v>
      </c>
      <c r="R399" s="25" t="s">
        <v>887</v>
      </c>
      <c r="S399" s="35">
        <v>25</v>
      </c>
      <c r="T399" s="26">
        <v>2180</v>
      </c>
      <c r="U399" s="26" t="s">
        <v>119</v>
      </c>
      <c r="V399" s="26">
        <v>2208</v>
      </c>
      <c r="W399" s="26" t="s">
        <v>143</v>
      </c>
      <c r="X399" s="66">
        <v>44816</v>
      </c>
      <c r="Y399" s="66">
        <v>45086</v>
      </c>
      <c r="Z399" s="66"/>
      <c r="AA399" s="66"/>
      <c r="AB399" s="62" t="s">
        <v>298</v>
      </c>
      <c r="AC399" s="62"/>
      <c r="AD399" s="28"/>
      <c r="AE399" s="28"/>
      <c r="AF399" s="28"/>
      <c r="AG399" s="28" t="s">
        <v>90</v>
      </c>
      <c r="AH399" s="28" t="s">
        <v>90</v>
      </c>
      <c r="AI399" s="28" t="s">
        <v>90</v>
      </c>
      <c r="AJ399" s="28"/>
      <c r="AK399" s="28" t="s">
        <v>90</v>
      </c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9">
        <v>64.67</v>
      </c>
      <c r="AY399" s="30"/>
      <c r="AZ399" s="30"/>
      <c r="BA399" s="29"/>
      <c r="BB399" s="29"/>
      <c r="BC399" s="30"/>
      <c r="BD399" s="31">
        <f t="shared" si="74"/>
        <v>6531.67</v>
      </c>
      <c r="BE399" s="31"/>
      <c r="BF399" s="30"/>
      <c r="BG399" s="32">
        <v>2</v>
      </c>
      <c r="BH399" s="31">
        <f>IF(AND((AX399/I399)&lt;2,BG399=1),(I399*2)-AX399,0)</f>
        <v>0</v>
      </c>
      <c r="BI399" s="31">
        <f>IF(AND((AX399/I399)&lt;3,BG399=2),(I399*3)-AX399,0)</f>
        <v>0</v>
      </c>
      <c r="BJ399" s="33">
        <f>(BH399+BI399)*K399</f>
        <v>0</v>
      </c>
      <c r="BK399" s="30"/>
      <c r="BL399" s="30"/>
      <c r="BM399" s="30"/>
      <c r="BN399" s="30"/>
      <c r="BO399" s="33">
        <f t="shared" si="75"/>
        <v>0</v>
      </c>
      <c r="BP399" s="30">
        <v>12</v>
      </c>
      <c r="BQ399" s="30">
        <v>16</v>
      </c>
      <c r="BR399" s="30"/>
      <c r="BS399" s="30"/>
      <c r="BT399" s="34">
        <f t="shared" si="76"/>
        <v>64.67</v>
      </c>
      <c r="BU399" s="34"/>
      <c r="BV399" s="34"/>
      <c r="BW399" s="34"/>
      <c r="BX399" s="34"/>
      <c r="BY399" s="30"/>
      <c r="BZ399" s="31">
        <f t="shared" si="77"/>
        <v>776.04</v>
      </c>
      <c r="CA399" s="31">
        <f t="shared" si="78"/>
        <v>1034.72</v>
      </c>
    </row>
    <row r="400" spans="1:79" ht="38.25" x14ac:dyDescent="0.25">
      <c r="A400" s="17" t="s">
        <v>112</v>
      </c>
      <c r="B400" s="2">
        <v>394</v>
      </c>
      <c r="C400" s="37">
        <v>211</v>
      </c>
      <c r="D400" s="37">
        <v>16</v>
      </c>
      <c r="E400" s="38">
        <v>0.26111111111111113</v>
      </c>
      <c r="F400" s="38">
        <v>0.27291666666666664</v>
      </c>
      <c r="G400" s="39" t="s">
        <v>144</v>
      </c>
      <c r="H400" s="18" t="s">
        <v>80</v>
      </c>
      <c r="I400" s="37">
        <v>7.5</v>
      </c>
      <c r="J400" s="40">
        <v>50</v>
      </c>
      <c r="K400" s="22">
        <v>67</v>
      </c>
      <c r="L400" s="23">
        <f t="shared" si="79"/>
        <v>502.5</v>
      </c>
      <c r="M400" s="24" t="s">
        <v>114</v>
      </c>
      <c r="N400" s="25" t="s">
        <v>115</v>
      </c>
      <c r="O400" s="25">
        <v>54</v>
      </c>
      <c r="P400" s="25" t="s">
        <v>116</v>
      </c>
      <c r="Q400" s="25">
        <v>45</v>
      </c>
      <c r="R400" s="25" t="s">
        <v>117</v>
      </c>
      <c r="S400" s="35">
        <v>28</v>
      </c>
      <c r="T400" s="26" t="s">
        <v>145</v>
      </c>
      <c r="U400" s="26" t="s">
        <v>146</v>
      </c>
      <c r="V400" s="26">
        <v>2180</v>
      </c>
      <c r="W400" s="26" t="s">
        <v>119</v>
      </c>
      <c r="X400" s="27">
        <v>44562</v>
      </c>
      <c r="Y400" s="27">
        <v>44815</v>
      </c>
      <c r="Z400" s="27">
        <v>45101</v>
      </c>
      <c r="AA400" s="27">
        <v>45169</v>
      </c>
      <c r="AB400" s="28" t="s">
        <v>89</v>
      </c>
      <c r="AC400" s="28"/>
      <c r="AD400" s="28"/>
      <c r="AE400" s="28" t="s">
        <v>90</v>
      </c>
      <c r="AF400" s="28" t="s">
        <v>90</v>
      </c>
      <c r="AG400" s="28"/>
      <c r="AH400" s="28" t="s">
        <v>90</v>
      </c>
      <c r="AI400" s="28" t="s">
        <v>90</v>
      </c>
      <c r="AJ400" s="28" t="s">
        <v>90</v>
      </c>
      <c r="AK400" s="28" t="s">
        <v>90</v>
      </c>
      <c r="AL400" s="28" t="s">
        <v>90</v>
      </c>
      <c r="AM400" s="28" t="s">
        <v>90</v>
      </c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9"/>
      <c r="AY400" s="30"/>
      <c r="AZ400" s="30"/>
      <c r="BA400" s="42"/>
      <c r="BB400" s="43" t="s">
        <v>114</v>
      </c>
      <c r="BC400" s="30"/>
      <c r="BD400" s="31">
        <f t="shared" si="74"/>
        <v>0</v>
      </c>
      <c r="BE400" s="30"/>
      <c r="BF400" s="30"/>
      <c r="BG400" s="32">
        <v>2</v>
      </c>
      <c r="BH400" s="30"/>
      <c r="BI400" s="31"/>
      <c r="BJ400" s="30"/>
      <c r="BK400" s="30"/>
      <c r="BL400" s="30"/>
      <c r="BM400" s="30"/>
      <c r="BN400" s="31"/>
      <c r="BO400" s="33">
        <f t="shared" si="75"/>
        <v>0</v>
      </c>
      <c r="BP400" s="30">
        <v>9</v>
      </c>
      <c r="BQ400" s="30">
        <v>0</v>
      </c>
      <c r="BR400" s="30"/>
      <c r="BS400" s="30"/>
      <c r="BT400" s="34">
        <f t="shared" si="76"/>
        <v>0</v>
      </c>
      <c r="BU400" s="34"/>
      <c r="BV400" s="34"/>
      <c r="BW400" s="34"/>
      <c r="BX400" s="34"/>
      <c r="BY400" s="30"/>
      <c r="BZ400" s="31">
        <f t="shared" si="77"/>
        <v>0</v>
      </c>
      <c r="CA400" s="31">
        <f t="shared" si="78"/>
        <v>0</v>
      </c>
    </row>
    <row r="401" spans="1:79" ht="90" x14ac:dyDescent="0.25">
      <c r="A401" s="17"/>
      <c r="B401" s="2">
        <v>395</v>
      </c>
      <c r="C401" s="18">
        <v>211</v>
      </c>
      <c r="D401" s="18">
        <v>8</v>
      </c>
      <c r="E401" s="59">
        <v>0.26111111111111113</v>
      </c>
      <c r="F401" s="59">
        <v>0.27847222222222223</v>
      </c>
      <c r="G401" s="58" t="s">
        <v>943</v>
      </c>
      <c r="H401" s="18" t="s">
        <v>273</v>
      </c>
      <c r="I401" s="18">
        <v>7.7</v>
      </c>
      <c r="J401" s="21" t="s">
        <v>122</v>
      </c>
      <c r="K401" s="41">
        <v>174</v>
      </c>
      <c r="L401" s="23">
        <f t="shared" si="79"/>
        <v>1339.8</v>
      </c>
      <c r="M401" s="24" t="s">
        <v>935</v>
      </c>
      <c r="N401" s="25" t="s">
        <v>937</v>
      </c>
      <c r="O401" s="25">
        <v>23</v>
      </c>
      <c r="P401" s="25" t="s">
        <v>944</v>
      </c>
      <c r="Q401" s="25">
        <v>9</v>
      </c>
      <c r="R401" s="17"/>
      <c r="S401" s="25"/>
      <c r="T401" s="26">
        <v>2186</v>
      </c>
      <c r="U401" s="26" t="s">
        <v>945</v>
      </c>
      <c r="V401" s="26" t="s">
        <v>946</v>
      </c>
      <c r="W401" s="26" t="s">
        <v>947</v>
      </c>
      <c r="X401" s="66">
        <v>44816</v>
      </c>
      <c r="Y401" s="66">
        <v>45086</v>
      </c>
      <c r="Z401" s="66"/>
      <c r="AA401" s="66"/>
      <c r="AB401" s="26" t="s">
        <v>282</v>
      </c>
      <c r="AC401" s="26"/>
      <c r="AD401" s="28"/>
      <c r="AE401" s="28"/>
      <c r="AF401" s="28"/>
      <c r="AG401" s="28" t="s">
        <v>90</v>
      </c>
      <c r="AH401" s="28" t="s">
        <v>90</v>
      </c>
      <c r="AI401" s="28" t="s">
        <v>90</v>
      </c>
      <c r="AJ401" s="28" t="s">
        <v>90</v>
      </c>
      <c r="AK401" s="28" t="s">
        <v>90</v>
      </c>
      <c r="AL401" s="28" t="s">
        <v>90</v>
      </c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9">
        <v>20</v>
      </c>
      <c r="AY401" s="30"/>
      <c r="AZ401" s="30"/>
      <c r="BA401" s="29"/>
      <c r="BB401" s="29"/>
      <c r="BC401" s="30"/>
      <c r="BD401" s="31">
        <f t="shared" si="74"/>
        <v>3480</v>
      </c>
      <c r="BE401" s="31"/>
      <c r="BF401" s="30"/>
      <c r="BG401" s="36">
        <v>1</v>
      </c>
      <c r="BH401" s="31">
        <f>IF(AND((AX401/I401)&lt;2,BG401=1),(I401*2)-AX401,0)</f>
        <v>0</v>
      </c>
      <c r="BI401" s="31">
        <f>IF(AND((AX401/I401)&lt;3,BG401=2),(I401*3)-AX401,0)</f>
        <v>0</v>
      </c>
      <c r="BJ401" s="33">
        <f>(BH401+BI401)*K401</f>
        <v>0</v>
      </c>
      <c r="BK401" s="30"/>
      <c r="BL401" s="30"/>
      <c r="BM401" s="30"/>
      <c r="BN401" s="31">
        <f>IF((AX401+AY401+AZ401)&lt;20,(20-(AX401+AY401+AZ401)),0)</f>
        <v>0</v>
      </c>
      <c r="BO401" s="33">
        <f t="shared" si="75"/>
        <v>0</v>
      </c>
      <c r="BP401" s="30">
        <v>15</v>
      </c>
      <c r="BQ401" s="30">
        <v>20</v>
      </c>
      <c r="BR401" s="30"/>
      <c r="BS401" s="30"/>
      <c r="BT401" s="34">
        <f t="shared" si="76"/>
        <v>20</v>
      </c>
      <c r="BU401" s="34"/>
      <c r="BV401" s="34"/>
      <c r="BW401" s="34"/>
      <c r="BX401" s="34"/>
      <c r="BY401" s="30"/>
      <c r="BZ401" s="31">
        <f t="shared" si="77"/>
        <v>300</v>
      </c>
      <c r="CA401" s="31">
        <f t="shared" si="78"/>
        <v>400</v>
      </c>
    </row>
    <row r="402" spans="1:79" ht="63.75" x14ac:dyDescent="0.25">
      <c r="A402" s="17"/>
      <c r="B402" s="2">
        <v>396</v>
      </c>
      <c r="C402" s="18">
        <v>211</v>
      </c>
      <c r="D402" s="18">
        <v>373</v>
      </c>
      <c r="E402" s="19">
        <v>0.29444444444444445</v>
      </c>
      <c r="F402" s="59">
        <v>0.29791666666666666</v>
      </c>
      <c r="G402" s="18" t="s">
        <v>948</v>
      </c>
      <c r="H402" s="18" t="s">
        <v>429</v>
      </c>
      <c r="I402" s="20">
        <v>1.5</v>
      </c>
      <c r="J402" s="21">
        <v>8</v>
      </c>
      <c r="K402" s="22">
        <v>34</v>
      </c>
      <c r="L402" s="23">
        <f t="shared" si="79"/>
        <v>51</v>
      </c>
      <c r="M402" s="24" t="s">
        <v>153</v>
      </c>
      <c r="N402" s="25" t="s">
        <v>386</v>
      </c>
      <c r="O402" s="25">
        <v>9</v>
      </c>
      <c r="P402" s="25" t="s">
        <v>387</v>
      </c>
      <c r="Q402" s="25">
        <v>23</v>
      </c>
      <c r="R402" s="25" t="s">
        <v>388</v>
      </c>
      <c r="S402" s="25">
        <v>7</v>
      </c>
      <c r="T402" s="26">
        <v>2221</v>
      </c>
      <c r="U402" s="26" t="s">
        <v>949</v>
      </c>
      <c r="V402" s="26">
        <v>2210</v>
      </c>
      <c r="W402" s="26" t="s">
        <v>950</v>
      </c>
      <c r="X402" s="66">
        <v>44816</v>
      </c>
      <c r="Y402" s="66">
        <v>45086</v>
      </c>
      <c r="Z402" s="66"/>
      <c r="AA402" s="66"/>
      <c r="AB402" s="26" t="s">
        <v>382</v>
      </c>
      <c r="AC402" s="26"/>
      <c r="AD402" s="28"/>
      <c r="AE402" s="28"/>
      <c r="AF402" s="28"/>
      <c r="AG402" s="28" t="s">
        <v>90</v>
      </c>
      <c r="AH402" s="28"/>
      <c r="AI402" s="28"/>
      <c r="AJ402" s="28"/>
      <c r="AK402" s="28"/>
      <c r="AL402" s="28"/>
      <c r="AM402" s="28" t="s">
        <v>90</v>
      </c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9">
        <v>34.69</v>
      </c>
      <c r="AY402" s="30"/>
      <c r="AZ402" s="30"/>
      <c r="BA402" s="29"/>
      <c r="BB402" s="29"/>
      <c r="BC402" s="30"/>
      <c r="BD402" s="31">
        <f t="shared" si="74"/>
        <v>1179.46</v>
      </c>
      <c r="BE402" s="31"/>
      <c r="BF402" s="30"/>
      <c r="BG402" s="36">
        <v>1</v>
      </c>
      <c r="BH402" s="31">
        <f>IF(AND((AX402/I402)&lt;2,BG402=1),(I402*2)-AX402,0)</f>
        <v>0</v>
      </c>
      <c r="BI402" s="31">
        <f>IF(AND((AX402/I402)&lt;3,BG402=2),(I402*3)-AX402,0)</f>
        <v>0</v>
      </c>
      <c r="BJ402" s="33">
        <f>(BH402+BI402)*K402</f>
        <v>0</v>
      </c>
      <c r="BK402" s="30"/>
      <c r="BL402" s="30"/>
      <c r="BM402" s="30"/>
      <c r="BN402" s="30"/>
      <c r="BO402" s="33">
        <f t="shared" si="75"/>
        <v>0</v>
      </c>
      <c r="BP402" s="30">
        <v>2</v>
      </c>
      <c r="BQ402" s="30">
        <v>5</v>
      </c>
      <c r="BR402" s="30"/>
      <c r="BS402" s="30"/>
      <c r="BT402" s="34">
        <f t="shared" si="76"/>
        <v>34.69</v>
      </c>
      <c r="BU402" s="34"/>
      <c r="BV402" s="34"/>
      <c r="BW402" s="34"/>
      <c r="BX402" s="34"/>
      <c r="BY402" s="30"/>
      <c r="BZ402" s="31">
        <f t="shared" si="77"/>
        <v>69.38</v>
      </c>
      <c r="CA402" s="31">
        <f t="shared" si="78"/>
        <v>173.45</v>
      </c>
    </row>
    <row r="403" spans="1:79" ht="56.25" x14ac:dyDescent="0.25">
      <c r="A403" s="17" t="s">
        <v>147</v>
      </c>
      <c r="B403" s="2">
        <v>397</v>
      </c>
      <c r="C403" s="18">
        <v>211</v>
      </c>
      <c r="D403" s="18"/>
      <c r="E403" s="19">
        <v>0.3611111111111111</v>
      </c>
      <c r="F403" s="19">
        <v>0.40208333333333335</v>
      </c>
      <c r="G403" s="18" t="s">
        <v>148</v>
      </c>
      <c r="H403" s="18" t="s">
        <v>80</v>
      </c>
      <c r="I403" s="20">
        <v>29</v>
      </c>
      <c r="J403" s="21" t="s">
        <v>81</v>
      </c>
      <c r="K403" s="22">
        <v>67</v>
      </c>
      <c r="L403" s="23">
        <f t="shared" si="79"/>
        <v>1943</v>
      </c>
      <c r="M403" s="24" t="s">
        <v>136</v>
      </c>
      <c r="N403" s="25" t="s">
        <v>149</v>
      </c>
      <c r="O403" s="25">
        <v>57</v>
      </c>
      <c r="P403" s="25" t="s">
        <v>150</v>
      </c>
      <c r="Q403" s="25">
        <v>57</v>
      </c>
      <c r="R403" s="17"/>
      <c r="S403" s="25"/>
      <c r="T403" s="26">
        <v>2180</v>
      </c>
      <c r="U403" s="26" t="s">
        <v>119</v>
      </c>
      <c r="V403" s="26">
        <v>960</v>
      </c>
      <c r="W403" s="26" t="s">
        <v>151</v>
      </c>
      <c r="X403" s="27">
        <v>44562</v>
      </c>
      <c r="Y403" s="27">
        <v>44815</v>
      </c>
      <c r="Z403" s="27">
        <v>45101</v>
      </c>
      <c r="AA403" s="27">
        <v>45169</v>
      </c>
      <c r="AB403" s="28" t="s">
        <v>89</v>
      </c>
      <c r="AC403" s="28"/>
      <c r="AD403" s="28"/>
      <c r="AE403" s="28" t="s">
        <v>90</v>
      </c>
      <c r="AF403" s="28" t="s">
        <v>90</v>
      </c>
      <c r="AG403" s="28"/>
      <c r="AH403" s="28" t="s">
        <v>90</v>
      </c>
      <c r="AI403" s="28" t="s">
        <v>90</v>
      </c>
      <c r="AJ403" s="28" t="s">
        <v>90</v>
      </c>
      <c r="AK403" s="28" t="s">
        <v>90</v>
      </c>
      <c r="AL403" s="28" t="s">
        <v>90</v>
      </c>
      <c r="AM403" s="28" t="s">
        <v>90</v>
      </c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9"/>
      <c r="AY403" s="30"/>
      <c r="AZ403" s="31">
        <f>3*I403</f>
        <v>87</v>
      </c>
      <c r="BA403" s="29"/>
      <c r="BB403" s="29"/>
      <c r="BC403" s="30"/>
      <c r="BD403" s="30"/>
      <c r="BE403" s="30"/>
      <c r="BF403" s="31">
        <f>AZ403*K403</f>
        <v>5829</v>
      </c>
      <c r="BG403" s="32">
        <v>2</v>
      </c>
      <c r="BH403" s="36"/>
      <c r="BI403" s="47"/>
      <c r="BJ403" s="36"/>
      <c r="BK403" s="36"/>
      <c r="BL403" s="36"/>
      <c r="BM403" s="36"/>
      <c r="BN403" s="30"/>
      <c r="BO403" s="33">
        <f t="shared" si="75"/>
        <v>0</v>
      </c>
      <c r="BP403" s="30">
        <v>9</v>
      </c>
      <c r="BQ403" s="30">
        <v>0</v>
      </c>
      <c r="BR403" s="30"/>
      <c r="BS403" s="30"/>
      <c r="BT403" s="34">
        <f t="shared" si="76"/>
        <v>87</v>
      </c>
      <c r="BU403" s="34"/>
      <c r="BV403" s="34"/>
      <c r="BW403" s="34"/>
      <c r="BX403" s="34"/>
      <c r="BY403" s="30"/>
      <c r="BZ403" s="31">
        <f t="shared" si="77"/>
        <v>783</v>
      </c>
      <c r="CA403" s="31">
        <f t="shared" si="78"/>
        <v>0</v>
      </c>
    </row>
    <row r="404" spans="1:79" ht="56.25" x14ac:dyDescent="0.25">
      <c r="A404" s="17" t="s">
        <v>147</v>
      </c>
      <c r="B404" s="2">
        <v>398</v>
      </c>
      <c r="C404" s="18">
        <v>211</v>
      </c>
      <c r="D404" s="18"/>
      <c r="E404" s="19">
        <v>0.40625</v>
      </c>
      <c r="F404" s="19">
        <v>0.4465277777777778</v>
      </c>
      <c r="G404" s="18" t="s">
        <v>152</v>
      </c>
      <c r="H404" s="18" t="s">
        <v>80</v>
      </c>
      <c r="I404" s="20">
        <v>29</v>
      </c>
      <c r="J404" s="21" t="s">
        <v>81</v>
      </c>
      <c r="K404" s="41">
        <v>67</v>
      </c>
      <c r="L404" s="23">
        <f t="shared" si="79"/>
        <v>1943</v>
      </c>
      <c r="M404" s="24" t="s">
        <v>136</v>
      </c>
      <c r="N404" s="25" t="s">
        <v>149</v>
      </c>
      <c r="O404" s="25">
        <v>57</v>
      </c>
      <c r="P404" s="25" t="s">
        <v>150</v>
      </c>
      <c r="Q404" s="25">
        <v>57</v>
      </c>
      <c r="R404" s="17"/>
      <c r="S404" s="25"/>
      <c r="T404" s="26">
        <v>960</v>
      </c>
      <c r="U404" s="26" t="s">
        <v>151</v>
      </c>
      <c r="V404" s="26">
        <v>2180</v>
      </c>
      <c r="W404" s="26" t="s">
        <v>119</v>
      </c>
      <c r="X404" s="27">
        <v>44562</v>
      </c>
      <c r="Y404" s="27">
        <v>44815</v>
      </c>
      <c r="Z404" s="27">
        <v>45101</v>
      </c>
      <c r="AA404" s="27">
        <v>45169</v>
      </c>
      <c r="AB404" s="28" t="s">
        <v>89</v>
      </c>
      <c r="AC404" s="28"/>
      <c r="AD404" s="28"/>
      <c r="AE404" s="28" t="s">
        <v>90</v>
      </c>
      <c r="AF404" s="28" t="s">
        <v>90</v>
      </c>
      <c r="AG404" s="28"/>
      <c r="AH404" s="28" t="s">
        <v>90</v>
      </c>
      <c r="AI404" s="28" t="s">
        <v>90</v>
      </c>
      <c r="AJ404" s="28" t="s">
        <v>90</v>
      </c>
      <c r="AK404" s="28" t="s">
        <v>90</v>
      </c>
      <c r="AL404" s="28" t="s">
        <v>90</v>
      </c>
      <c r="AM404" s="28" t="s">
        <v>90</v>
      </c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9"/>
      <c r="AY404" s="30"/>
      <c r="AZ404" s="31">
        <f>3*I404</f>
        <v>87</v>
      </c>
      <c r="BA404" s="29"/>
      <c r="BB404" s="29"/>
      <c r="BC404" s="30"/>
      <c r="BD404" s="30"/>
      <c r="BE404" s="30"/>
      <c r="BF404" s="31">
        <f>AZ404*K404</f>
        <v>5829</v>
      </c>
      <c r="BG404" s="32">
        <v>2</v>
      </c>
      <c r="BH404" s="36"/>
      <c r="BI404" s="47"/>
      <c r="BJ404" s="36"/>
      <c r="BK404" s="36"/>
      <c r="BL404" s="36"/>
      <c r="BM404" s="36"/>
      <c r="BN404" s="30"/>
      <c r="BO404" s="33">
        <f t="shared" si="75"/>
        <v>0</v>
      </c>
      <c r="BP404" s="30">
        <v>9</v>
      </c>
      <c r="BQ404" s="30">
        <v>0</v>
      </c>
      <c r="BR404" s="30"/>
      <c r="BS404" s="30"/>
      <c r="BT404" s="34">
        <f t="shared" si="76"/>
        <v>87</v>
      </c>
      <c r="BU404" s="34"/>
      <c r="BV404" s="34"/>
      <c r="BW404" s="34"/>
      <c r="BX404" s="34"/>
      <c r="BY404" s="30"/>
      <c r="BZ404" s="31">
        <f t="shared" si="77"/>
        <v>783</v>
      </c>
      <c r="CA404" s="31">
        <f t="shared" si="78"/>
        <v>0</v>
      </c>
    </row>
    <row r="405" spans="1:79" ht="56.25" x14ac:dyDescent="0.25">
      <c r="A405" s="17"/>
      <c r="B405" s="2">
        <v>399</v>
      </c>
      <c r="C405" s="18">
        <v>211</v>
      </c>
      <c r="D405" s="18">
        <v>376</v>
      </c>
      <c r="E405" s="19">
        <v>0.54652777777777783</v>
      </c>
      <c r="F405" s="19">
        <v>0.55000000000000004</v>
      </c>
      <c r="G405" s="18" t="s">
        <v>951</v>
      </c>
      <c r="H405" s="18" t="s">
        <v>306</v>
      </c>
      <c r="I405" s="20">
        <v>1.5</v>
      </c>
      <c r="J405" s="21">
        <v>22</v>
      </c>
      <c r="K405" s="22">
        <v>208</v>
      </c>
      <c r="L405" s="23">
        <f t="shared" si="79"/>
        <v>312</v>
      </c>
      <c r="M405" s="24" t="s">
        <v>136</v>
      </c>
      <c r="N405" s="25" t="s">
        <v>138</v>
      </c>
      <c r="O405" s="25">
        <v>23</v>
      </c>
      <c r="P405" s="25" t="s">
        <v>137</v>
      </c>
      <c r="Q405" s="25">
        <v>23</v>
      </c>
      <c r="R405" s="25" t="s">
        <v>926</v>
      </c>
      <c r="S405" s="25">
        <v>17</v>
      </c>
      <c r="T405" s="26">
        <v>2210</v>
      </c>
      <c r="U405" s="26" t="s">
        <v>950</v>
      </c>
      <c r="V405" s="26">
        <v>2221</v>
      </c>
      <c r="W405" s="26" t="s">
        <v>949</v>
      </c>
      <c r="X405" s="66">
        <v>44816</v>
      </c>
      <c r="Y405" s="66">
        <v>45086</v>
      </c>
      <c r="Z405" s="66"/>
      <c r="AA405" s="66"/>
      <c r="AB405" s="26" t="s">
        <v>309</v>
      </c>
      <c r="AC405" s="26"/>
      <c r="AD405" s="28"/>
      <c r="AE405" s="28"/>
      <c r="AF405" s="28"/>
      <c r="AG405" s="28" t="s">
        <v>90</v>
      </c>
      <c r="AH405" s="28" t="s">
        <v>90</v>
      </c>
      <c r="AI405" s="28" t="s">
        <v>90</v>
      </c>
      <c r="AJ405" s="28" t="s">
        <v>90</v>
      </c>
      <c r="AK405" s="28" t="s">
        <v>90</v>
      </c>
      <c r="AL405" s="28" t="s">
        <v>90</v>
      </c>
      <c r="AM405" s="28" t="s">
        <v>90</v>
      </c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31">
        <v>4.5</v>
      </c>
      <c r="AY405" s="30"/>
      <c r="AZ405" s="30"/>
      <c r="BA405" s="30"/>
      <c r="BB405" s="30"/>
      <c r="BC405" s="30"/>
      <c r="BD405" s="31">
        <f>AX405*K405</f>
        <v>936</v>
      </c>
      <c r="BE405" s="31"/>
      <c r="BF405" s="30"/>
      <c r="BG405" s="36">
        <v>1</v>
      </c>
      <c r="BH405" s="31">
        <f>IF(AND((AX405/I405)&lt;2,BG405=1),(I405*2)-AX405,0)</f>
        <v>0</v>
      </c>
      <c r="BI405" s="31">
        <f>IF(AND((AX405/I405)&lt;3,BG405=2),(I405*3)-AX405,0)</f>
        <v>0</v>
      </c>
      <c r="BJ405" s="33">
        <f>(BH405+BI405)*K405</f>
        <v>0</v>
      </c>
      <c r="BK405" s="30"/>
      <c r="BL405" s="30"/>
      <c r="BM405" s="30"/>
      <c r="BN405" s="30"/>
      <c r="BO405" s="33">
        <f t="shared" si="75"/>
        <v>0</v>
      </c>
      <c r="BP405" s="30">
        <v>17</v>
      </c>
      <c r="BQ405" s="30">
        <v>25</v>
      </c>
      <c r="BR405" s="30"/>
      <c r="BS405" s="30"/>
      <c r="BT405" s="34">
        <f t="shared" si="76"/>
        <v>4.5</v>
      </c>
      <c r="BU405" s="34"/>
      <c r="BV405" s="34"/>
      <c r="BW405" s="34"/>
      <c r="BX405" s="34"/>
      <c r="BY405" s="30"/>
      <c r="BZ405" s="31">
        <f t="shared" si="77"/>
        <v>76.5</v>
      </c>
      <c r="CA405" s="31">
        <f t="shared" si="78"/>
        <v>112.5</v>
      </c>
    </row>
    <row r="406" spans="1:79" ht="56.25" x14ac:dyDescent="0.25">
      <c r="A406" s="17"/>
      <c r="B406" s="2">
        <v>400</v>
      </c>
      <c r="C406" s="18">
        <v>211</v>
      </c>
      <c r="D406" s="18">
        <v>492</v>
      </c>
      <c r="E406" s="19">
        <v>0.56388888888888888</v>
      </c>
      <c r="F406" s="19">
        <v>0.56736111111111109</v>
      </c>
      <c r="G406" s="18" t="s">
        <v>951</v>
      </c>
      <c r="H406" s="18" t="s">
        <v>952</v>
      </c>
      <c r="I406" s="20">
        <v>1.5</v>
      </c>
      <c r="J406" s="21">
        <v>22</v>
      </c>
      <c r="K406" s="22">
        <f>174-34</f>
        <v>140</v>
      </c>
      <c r="L406" s="23">
        <f t="shared" si="79"/>
        <v>210</v>
      </c>
      <c r="M406" s="24" t="s">
        <v>136</v>
      </c>
      <c r="N406" s="25" t="s">
        <v>138</v>
      </c>
      <c r="O406" s="25">
        <v>23</v>
      </c>
      <c r="P406" s="25" t="s">
        <v>137</v>
      </c>
      <c r="Q406" s="25">
        <v>23</v>
      </c>
      <c r="R406" s="25" t="s">
        <v>926</v>
      </c>
      <c r="S406" s="25">
        <v>17</v>
      </c>
      <c r="T406" s="26">
        <v>2210</v>
      </c>
      <c r="U406" s="26" t="s">
        <v>950</v>
      </c>
      <c r="V406" s="26">
        <v>2221</v>
      </c>
      <c r="W406" s="26" t="s">
        <v>949</v>
      </c>
      <c r="X406" s="66">
        <v>44816</v>
      </c>
      <c r="Y406" s="66">
        <v>45086</v>
      </c>
      <c r="Z406" s="66"/>
      <c r="AA406" s="66"/>
      <c r="AB406" s="26" t="s">
        <v>953</v>
      </c>
      <c r="AC406" s="26"/>
      <c r="AD406" s="28"/>
      <c r="AE406" s="28"/>
      <c r="AF406" s="28"/>
      <c r="AG406" s="28" t="s">
        <v>90</v>
      </c>
      <c r="AH406" s="28" t="s">
        <v>90</v>
      </c>
      <c r="AI406" s="28" t="s">
        <v>90</v>
      </c>
      <c r="AJ406" s="28" t="s">
        <v>90</v>
      </c>
      <c r="AK406" s="28"/>
      <c r="AL406" s="28" t="s">
        <v>90</v>
      </c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9">
        <v>3.96</v>
      </c>
      <c r="AY406" s="30"/>
      <c r="AZ406" s="30"/>
      <c r="BA406" s="29"/>
      <c r="BB406" s="29"/>
      <c r="BC406" s="30"/>
      <c r="BD406" s="31">
        <f>AX406*K406</f>
        <v>554.4</v>
      </c>
      <c r="BE406" s="31"/>
      <c r="BF406" s="30"/>
      <c r="BG406" s="36">
        <v>1</v>
      </c>
      <c r="BH406" s="31">
        <f>IF(AND((AX406/I406)&lt;2,BG406=1),(I406*2)-AX406,0)</f>
        <v>0</v>
      </c>
      <c r="BI406" s="31">
        <f>IF(AND((AX406/I406)&lt;3,BG406=2),(I406*3)-AX406,0)</f>
        <v>0</v>
      </c>
      <c r="BJ406" s="33">
        <f>(BH406+BI406)*K406</f>
        <v>0</v>
      </c>
      <c r="BK406" s="30"/>
      <c r="BL406" s="30"/>
      <c r="BM406" s="30"/>
      <c r="BN406" s="30"/>
      <c r="BO406" s="33">
        <f t="shared" si="75"/>
        <v>0</v>
      </c>
      <c r="BP406" s="30">
        <v>12</v>
      </c>
      <c r="BQ406" s="30">
        <v>16</v>
      </c>
      <c r="BR406" s="30"/>
      <c r="BS406" s="30"/>
      <c r="BT406" s="34">
        <f t="shared" si="76"/>
        <v>3.96</v>
      </c>
      <c r="BU406" s="34"/>
      <c r="BV406" s="34"/>
      <c r="BW406" s="34"/>
      <c r="BX406" s="34"/>
      <c r="BY406" s="30"/>
      <c r="BZ406" s="31">
        <f t="shared" si="77"/>
        <v>47.519999999999996</v>
      </c>
      <c r="CA406" s="31">
        <f t="shared" si="78"/>
        <v>63.36</v>
      </c>
    </row>
    <row r="407" spans="1:79" ht="56.25" x14ac:dyDescent="0.25">
      <c r="A407" s="17"/>
      <c r="B407" s="2">
        <v>401</v>
      </c>
      <c r="C407" s="18">
        <v>211</v>
      </c>
      <c r="D407" s="18">
        <v>22</v>
      </c>
      <c r="E407" s="19">
        <v>0.58472222222222225</v>
      </c>
      <c r="F407" s="19">
        <v>0.60069444444444442</v>
      </c>
      <c r="G407" s="18" t="s">
        <v>954</v>
      </c>
      <c r="H407" s="18" t="s">
        <v>306</v>
      </c>
      <c r="I407" s="20">
        <v>18</v>
      </c>
      <c r="J407" s="21">
        <v>22</v>
      </c>
      <c r="K407" s="22">
        <v>208</v>
      </c>
      <c r="L407" s="23">
        <f t="shared" si="79"/>
        <v>3744</v>
      </c>
      <c r="M407" s="24" t="s">
        <v>136</v>
      </c>
      <c r="N407" s="25" t="s">
        <v>138</v>
      </c>
      <c r="O407" s="25">
        <v>23</v>
      </c>
      <c r="P407" s="25" t="s">
        <v>137</v>
      </c>
      <c r="Q407" s="25">
        <v>23</v>
      </c>
      <c r="R407" s="25" t="s">
        <v>926</v>
      </c>
      <c r="S407" s="25">
        <v>17</v>
      </c>
      <c r="T407" s="26">
        <v>2210</v>
      </c>
      <c r="U407" s="26" t="s">
        <v>950</v>
      </c>
      <c r="V407" s="26">
        <v>2180</v>
      </c>
      <c r="W407" s="26" t="s">
        <v>119</v>
      </c>
      <c r="X407" s="66">
        <v>44816</v>
      </c>
      <c r="Y407" s="66">
        <v>45086</v>
      </c>
      <c r="Z407" s="66"/>
      <c r="AA407" s="66"/>
      <c r="AB407" s="26" t="s">
        <v>309</v>
      </c>
      <c r="AC407" s="26"/>
      <c r="AD407" s="28"/>
      <c r="AE407" s="28"/>
      <c r="AF407" s="28"/>
      <c r="AG407" s="28" t="s">
        <v>90</v>
      </c>
      <c r="AH407" s="28" t="s">
        <v>90</v>
      </c>
      <c r="AI407" s="28" t="s">
        <v>90</v>
      </c>
      <c r="AJ407" s="28" t="s">
        <v>90</v>
      </c>
      <c r="AK407" s="28" t="s">
        <v>90</v>
      </c>
      <c r="AL407" s="28" t="s">
        <v>90</v>
      </c>
      <c r="AM407" s="28" t="s">
        <v>90</v>
      </c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9">
        <v>47.52</v>
      </c>
      <c r="AY407" s="30"/>
      <c r="AZ407" s="30"/>
      <c r="BA407" s="29"/>
      <c r="BB407" s="29"/>
      <c r="BC407" s="30"/>
      <c r="BD407" s="31">
        <f>AX407*K407</f>
        <v>9884.16</v>
      </c>
      <c r="BE407" s="31"/>
      <c r="BF407" s="30"/>
      <c r="BG407" s="36">
        <v>1</v>
      </c>
      <c r="BH407" s="31">
        <f>IF(AND((AX407/I407)&lt;2,BG407=1),(I407*2)-AX407,0)</f>
        <v>0</v>
      </c>
      <c r="BI407" s="31">
        <f>IF(AND((AX407/I407)&lt;3,BG407=2),(I407*3)-AX407,0)</f>
        <v>0</v>
      </c>
      <c r="BJ407" s="33">
        <f>(BH407+BI407)*K407</f>
        <v>0</v>
      </c>
      <c r="BK407" s="30"/>
      <c r="BL407" s="30"/>
      <c r="BM407" s="30"/>
      <c r="BN407" s="30"/>
      <c r="BO407" s="33">
        <f t="shared" si="75"/>
        <v>0</v>
      </c>
      <c r="BP407" s="30">
        <v>17</v>
      </c>
      <c r="BQ407" s="30">
        <v>25</v>
      </c>
      <c r="BR407" s="30"/>
      <c r="BS407" s="30"/>
      <c r="BT407" s="34">
        <f t="shared" si="76"/>
        <v>47.52</v>
      </c>
      <c r="BU407" s="34"/>
      <c r="BV407" s="34"/>
      <c r="BW407" s="34"/>
      <c r="BX407" s="34"/>
      <c r="BY407" s="30"/>
      <c r="BZ407" s="31">
        <f t="shared" si="77"/>
        <v>807.84</v>
      </c>
      <c r="CA407" s="31">
        <f t="shared" si="78"/>
        <v>1188</v>
      </c>
    </row>
    <row r="408" spans="1:79" ht="56.25" x14ac:dyDescent="0.25">
      <c r="A408" s="17" t="s">
        <v>147</v>
      </c>
      <c r="B408" s="2">
        <v>402</v>
      </c>
      <c r="C408" s="18">
        <v>211</v>
      </c>
      <c r="D408" s="18"/>
      <c r="E408" s="19">
        <v>0.61111111111111105</v>
      </c>
      <c r="F408" s="19">
        <v>0.65208333333333335</v>
      </c>
      <c r="G408" s="18" t="s">
        <v>148</v>
      </c>
      <c r="H408" s="18" t="s">
        <v>80</v>
      </c>
      <c r="I408" s="20">
        <v>29</v>
      </c>
      <c r="J408" s="21" t="s">
        <v>81</v>
      </c>
      <c r="K408" s="22">
        <v>67</v>
      </c>
      <c r="L408" s="23">
        <f t="shared" si="79"/>
        <v>1943</v>
      </c>
      <c r="M408" s="24" t="s">
        <v>153</v>
      </c>
      <c r="N408" s="25" t="s">
        <v>154</v>
      </c>
      <c r="O408" s="25">
        <v>57</v>
      </c>
      <c r="P408" s="25" t="s">
        <v>155</v>
      </c>
      <c r="Q408" s="25">
        <v>56</v>
      </c>
      <c r="R408" s="25" t="s">
        <v>156</v>
      </c>
      <c r="S408" s="25">
        <v>45</v>
      </c>
      <c r="T408" s="26">
        <v>2180</v>
      </c>
      <c r="U408" s="26" t="s">
        <v>119</v>
      </c>
      <c r="V408" s="26">
        <v>960</v>
      </c>
      <c r="W408" s="26" t="s">
        <v>151</v>
      </c>
      <c r="X408" s="27">
        <v>44562</v>
      </c>
      <c r="Y408" s="27">
        <v>44815</v>
      </c>
      <c r="Z408" s="27">
        <v>45101</v>
      </c>
      <c r="AA408" s="27">
        <v>45169</v>
      </c>
      <c r="AB408" s="28" t="s">
        <v>89</v>
      </c>
      <c r="AC408" s="28"/>
      <c r="AD408" s="28"/>
      <c r="AE408" s="28" t="s">
        <v>90</v>
      </c>
      <c r="AF408" s="28" t="s">
        <v>90</v>
      </c>
      <c r="AG408" s="28"/>
      <c r="AH408" s="28" t="s">
        <v>90</v>
      </c>
      <c r="AI408" s="28" t="s">
        <v>90</v>
      </c>
      <c r="AJ408" s="28" t="s">
        <v>90</v>
      </c>
      <c r="AK408" s="28" t="s">
        <v>90</v>
      </c>
      <c r="AL408" s="28" t="s">
        <v>90</v>
      </c>
      <c r="AM408" s="28" t="s">
        <v>90</v>
      </c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9"/>
      <c r="AY408" s="30"/>
      <c r="AZ408" s="31">
        <f>3*I408</f>
        <v>87</v>
      </c>
      <c r="BA408" s="29"/>
      <c r="BB408" s="29"/>
      <c r="BC408" s="30"/>
      <c r="BD408" s="30"/>
      <c r="BE408" s="30"/>
      <c r="BF408" s="31">
        <f>AZ408*K408</f>
        <v>5829</v>
      </c>
      <c r="BG408" s="32">
        <v>2</v>
      </c>
      <c r="BH408" s="36"/>
      <c r="BI408" s="47"/>
      <c r="BJ408" s="36"/>
      <c r="BK408" s="36"/>
      <c r="BL408" s="36"/>
      <c r="BM408" s="36"/>
      <c r="BN408" s="30"/>
      <c r="BO408" s="33">
        <f t="shared" si="75"/>
        <v>0</v>
      </c>
      <c r="BP408" s="30">
        <v>9</v>
      </c>
      <c r="BQ408" s="30">
        <v>0</v>
      </c>
      <c r="BR408" s="30"/>
      <c r="BS408" s="30"/>
      <c r="BT408" s="34">
        <f t="shared" si="76"/>
        <v>87</v>
      </c>
      <c r="BU408" s="34"/>
      <c r="BV408" s="34"/>
      <c r="BW408" s="34"/>
      <c r="BX408" s="34"/>
      <c r="BY408" s="30"/>
      <c r="BZ408" s="31">
        <f t="shared" si="77"/>
        <v>783</v>
      </c>
      <c r="CA408" s="31">
        <f t="shared" si="78"/>
        <v>0</v>
      </c>
    </row>
    <row r="409" spans="1:79" ht="90" x14ac:dyDescent="0.25">
      <c r="A409" s="17"/>
      <c r="B409" s="2">
        <v>403</v>
      </c>
      <c r="C409" s="18">
        <v>211</v>
      </c>
      <c r="D409" s="18">
        <v>86</v>
      </c>
      <c r="E409" s="19">
        <v>0.61249999999999993</v>
      </c>
      <c r="F409" s="19">
        <v>0.63472222222222219</v>
      </c>
      <c r="G409" s="18" t="s">
        <v>955</v>
      </c>
      <c r="H409" s="18" t="s">
        <v>273</v>
      </c>
      <c r="I409" s="18">
        <v>17.399999999999999</v>
      </c>
      <c r="J409" s="21" t="s">
        <v>122</v>
      </c>
      <c r="K409" s="22">
        <v>174</v>
      </c>
      <c r="L409" s="23">
        <f t="shared" si="79"/>
        <v>3027.6</v>
      </c>
      <c r="M409" s="24" t="s">
        <v>935</v>
      </c>
      <c r="N409" s="25" t="s">
        <v>936</v>
      </c>
      <c r="O409" s="25">
        <v>25</v>
      </c>
      <c r="P409" s="25" t="s">
        <v>937</v>
      </c>
      <c r="Q409" s="25">
        <v>23</v>
      </c>
      <c r="R409" s="17"/>
      <c r="S409" s="25"/>
      <c r="T409" s="26" t="s">
        <v>956</v>
      </c>
      <c r="U409" s="26" t="s">
        <v>957</v>
      </c>
      <c r="V409" s="26">
        <v>2180</v>
      </c>
      <c r="W409" s="26" t="s">
        <v>119</v>
      </c>
      <c r="X409" s="66">
        <v>44816</v>
      </c>
      <c r="Y409" s="66">
        <v>45086</v>
      </c>
      <c r="Z409" s="66"/>
      <c r="AA409" s="66"/>
      <c r="AB409" s="26" t="s">
        <v>282</v>
      </c>
      <c r="AC409" s="26"/>
      <c r="AD409" s="28"/>
      <c r="AE409" s="28"/>
      <c r="AF409" s="28"/>
      <c r="AG409" s="28" t="s">
        <v>90</v>
      </c>
      <c r="AH409" s="28" t="s">
        <v>90</v>
      </c>
      <c r="AI409" s="28" t="s">
        <v>90</v>
      </c>
      <c r="AJ409" s="28" t="s">
        <v>90</v>
      </c>
      <c r="AK409" s="28" t="s">
        <v>90</v>
      </c>
      <c r="AL409" s="28" t="s">
        <v>90</v>
      </c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9">
        <v>52.2</v>
      </c>
      <c r="AY409" s="30"/>
      <c r="AZ409" s="30"/>
      <c r="BA409" s="29"/>
      <c r="BB409" s="29"/>
      <c r="BC409" s="30"/>
      <c r="BD409" s="31">
        <f>AX409*K409</f>
        <v>9082.8000000000011</v>
      </c>
      <c r="BE409" s="31"/>
      <c r="BF409" s="30"/>
      <c r="BG409" s="36">
        <v>1</v>
      </c>
      <c r="BH409" s="31">
        <f>IF(AND((AX409/I409)&lt;2,BG409=1),(I409*2)-AX409,0)</f>
        <v>0</v>
      </c>
      <c r="BI409" s="31">
        <f>IF(AND((AX409/I409)&lt;3,BG409=2),(I409*3)-AX409,0)</f>
        <v>0</v>
      </c>
      <c r="BJ409" s="33">
        <f>(BH409+BI409)*K409</f>
        <v>0</v>
      </c>
      <c r="BK409" s="30"/>
      <c r="BL409" s="30"/>
      <c r="BM409" s="30"/>
      <c r="BN409" s="30"/>
      <c r="BO409" s="33">
        <f t="shared" si="75"/>
        <v>0</v>
      </c>
      <c r="BP409" s="30">
        <v>15</v>
      </c>
      <c r="BQ409" s="30">
        <v>20</v>
      </c>
      <c r="BR409" s="30"/>
      <c r="BS409" s="30"/>
      <c r="BT409" s="34">
        <f t="shared" si="76"/>
        <v>52.2</v>
      </c>
      <c r="BU409" s="34"/>
      <c r="BV409" s="34"/>
      <c r="BW409" s="34"/>
      <c r="BX409" s="34"/>
      <c r="BY409" s="30"/>
      <c r="BZ409" s="31">
        <f t="shared" si="77"/>
        <v>783</v>
      </c>
      <c r="CA409" s="31">
        <f t="shared" si="78"/>
        <v>1044</v>
      </c>
    </row>
    <row r="410" spans="1:79" ht="76.5" x14ac:dyDescent="0.25">
      <c r="A410" s="17"/>
      <c r="B410" s="2">
        <v>404</v>
      </c>
      <c r="C410" s="18">
        <v>211</v>
      </c>
      <c r="D410" s="21">
        <v>574</v>
      </c>
      <c r="E410" s="59">
        <v>0.6875</v>
      </c>
      <c r="F410" s="59">
        <v>0.69791666666666663</v>
      </c>
      <c r="G410" s="18" t="s">
        <v>958</v>
      </c>
      <c r="H410" s="18" t="s">
        <v>959</v>
      </c>
      <c r="I410" s="20">
        <v>21</v>
      </c>
      <c r="J410" s="21" t="s">
        <v>93</v>
      </c>
      <c r="K410" s="22">
        <f>33+34+34</f>
        <v>101</v>
      </c>
      <c r="L410" s="23">
        <f t="shared" si="79"/>
        <v>2121</v>
      </c>
      <c r="M410" s="24" t="s">
        <v>114</v>
      </c>
      <c r="N410" s="25" t="s">
        <v>916</v>
      </c>
      <c r="O410" s="25">
        <v>29</v>
      </c>
      <c r="P410" s="25" t="s">
        <v>117</v>
      </c>
      <c r="Q410" s="25">
        <v>29</v>
      </c>
      <c r="R410" s="25" t="s">
        <v>887</v>
      </c>
      <c r="S410" s="35">
        <v>25</v>
      </c>
      <c r="T410" s="26">
        <v>2180</v>
      </c>
      <c r="U410" s="26" t="s">
        <v>119</v>
      </c>
      <c r="V410" s="26" t="s">
        <v>960</v>
      </c>
      <c r="W410" s="26" t="s">
        <v>961</v>
      </c>
      <c r="X410" s="66">
        <v>44816</v>
      </c>
      <c r="Y410" s="66">
        <v>45086</v>
      </c>
      <c r="Z410" s="66"/>
      <c r="AA410" s="66"/>
      <c r="AB410" s="62" t="s">
        <v>298</v>
      </c>
      <c r="AC410" s="62"/>
      <c r="AD410" s="28"/>
      <c r="AE410" s="28"/>
      <c r="AF410" s="28"/>
      <c r="AG410" s="28" t="s">
        <v>90</v>
      </c>
      <c r="AH410" s="28" t="s">
        <v>90</v>
      </c>
      <c r="AI410" s="28" t="s">
        <v>90</v>
      </c>
      <c r="AJ410" s="28"/>
      <c r="AK410" s="28" t="s">
        <v>90</v>
      </c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31">
        <f>((37.8*33)+(80.71*68))/101</f>
        <v>66.689900990099005</v>
      </c>
      <c r="AY410" s="30"/>
      <c r="AZ410" s="30"/>
      <c r="BA410" s="29"/>
      <c r="BB410" s="29"/>
      <c r="BC410" s="30"/>
      <c r="BD410" s="31">
        <f>AX410*K410</f>
        <v>6735.6799999999994</v>
      </c>
      <c r="BE410" s="31"/>
      <c r="BF410" s="30"/>
      <c r="BG410" s="36">
        <v>1</v>
      </c>
      <c r="BH410" s="31">
        <f>IF(AND((AX410/I410)&lt;2,BG410=1),(I410*2)-AX410,0)</f>
        <v>0</v>
      </c>
      <c r="BI410" s="31">
        <f>IF(AND((AX410/I410)&lt;3,BG410=2),(I410*3)-AX410,0)</f>
        <v>0</v>
      </c>
      <c r="BJ410" s="33">
        <f>(BH410+BI410)*K410</f>
        <v>0</v>
      </c>
      <c r="BK410" s="30"/>
      <c r="BL410" s="30"/>
      <c r="BM410" s="30"/>
      <c r="BN410" s="30"/>
      <c r="BO410" s="33">
        <f t="shared" si="75"/>
        <v>0</v>
      </c>
      <c r="BP410" s="30">
        <v>12</v>
      </c>
      <c r="BQ410" s="30">
        <v>16</v>
      </c>
      <c r="BR410" s="30"/>
      <c r="BS410" s="30"/>
      <c r="BT410" s="34">
        <f t="shared" si="76"/>
        <v>66.689900990099005</v>
      </c>
      <c r="BU410" s="34"/>
      <c r="BV410" s="34"/>
      <c r="BW410" s="34"/>
      <c r="BX410" s="34"/>
      <c r="BY410" s="30"/>
      <c r="BZ410" s="31">
        <f t="shared" si="77"/>
        <v>800.27881188118806</v>
      </c>
      <c r="CA410" s="31">
        <f t="shared" si="78"/>
        <v>1067.0384158415841</v>
      </c>
    </row>
    <row r="411" spans="1:79" ht="56.25" x14ac:dyDescent="0.25">
      <c r="A411" s="17" t="s">
        <v>147</v>
      </c>
      <c r="B411" s="2">
        <v>405</v>
      </c>
      <c r="C411" s="37">
        <v>211</v>
      </c>
      <c r="D411" s="37">
        <v>8</v>
      </c>
      <c r="E411" s="38">
        <v>0.69791666666666663</v>
      </c>
      <c r="F411" s="38">
        <v>0.73819444444444438</v>
      </c>
      <c r="G411" s="39" t="s">
        <v>157</v>
      </c>
      <c r="H411" s="18" t="s">
        <v>80</v>
      </c>
      <c r="I411" s="37">
        <v>29</v>
      </c>
      <c r="J411" s="40">
        <v>50</v>
      </c>
      <c r="K411" s="22">
        <v>67</v>
      </c>
      <c r="L411" s="23">
        <f t="shared" si="79"/>
        <v>1943</v>
      </c>
      <c r="M411" s="24" t="s">
        <v>153</v>
      </c>
      <c r="N411" s="25" t="s">
        <v>154</v>
      </c>
      <c r="O411" s="25">
        <v>57</v>
      </c>
      <c r="P411" s="25" t="s">
        <v>155</v>
      </c>
      <c r="Q411" s="25">
        <v>56</v>
      </c>
      <c r="R411" s="25" t="s">
        <v>156</v>
      </c>
      <c r="S411" s="25">
        <v>45</v>
      </c>
      <c r="T411" s="26">
        <v>960</v>
      </c>
      <c r="U411" s="26" t="s">
        <v>151</v>
      </c>
      <c r="V411" s="26">
        <v>2180</v>
      </c>
      <c r="W411" s="26" t="s">
        <v>119</v>
      </c>
      <c r="X411" s="27">
        <v>44562</v>
      </c>
      <c r="Y411" s="27">
        <v>44815</v>
      </c>
      <c r="Z411" s="27">
        <v>45101</v>
      </c>
      <c r="AA411" s="27">
        <v>45169</v>
      </c>
      <c r="AB411" s="28" t="s">
        <v>89</v>
      </c>
      <c r="AC411" s="28"/>
      <c r="AD411" s="28"/>
      <c r="AE411" s="28" t="s">
        <v>90</v>
      </c>
      <c r="AF411" s="28" t="s">
        <v>90</v>
      </c>
      <c r="AG411" s="28"/>
      <c r="AH411" s="28" t="s">
        <v>90</v>
      </c>
      <c r="AI411" s="28" t="s">
        <v>90</v>
      </c>
      <c r="AJ411" s="28" t="s">
        <v>90</v>
      </c>
      <c r="AK411" s="28" t="s">
        <v>90</v>
      </c>
      <c r="AL411" s="28" t="s">
        <v>90</v>
      </c>
      <c r="AM411" s="28" t="s">
        <v>90</v>
      </c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9"/>
      <c r="AY411" s="30"/>
      <c r="AZ411" s="31">
        <f>3*I411</f>
        <v>87</v>
      </c>
      <c r="BA411" s="29"/>
      <c r="BB411" s="29"/>
      <c r="BC411" s="30"/>
      <c r="BD411" s="30"/>
      <c r="BE411" s="30"/>
      <c r="BF411" s="31">
        <f>AZ411*K411</f>
        <v>5829</v>
      </c>
      <c r="BG411" s="32">
        <v>2</v>
      </c>
      <c r="BH411" s="36"/>
      <c r="BI411" s="47"/>
      <c r="BJ411" s="36"/>
      <c r="BK411" s="36"/>
      <c r="BL411" s="36"/>
      <c r="BM411" s="36"/>
      <c r="BN411" s="30"/>
      <c r="BO411" s="33">
        <f t="shared" si="75"/>
        <v>0</v>
      </c>
      <c r="BP411" s="30">
        <v>9</v>
      </c>
      <c r="BQ411" s="30">
        <v>0</v>
      </c>
      <c r="BR411" s="30"/>
      <c r="BS411" s="30"/>
      <c r="BT411" s="34">
        <f t="shared" si="76"/>
        <v>87</v>
      </c>
      <c r="BU411" s="34"/>
      <c r="BV411" s="34"/>
      <c r="BW411" s="34"/>
      <c r="BX411" s="34"/>
      <c r="BY411" s="30"/>
      <c r="BZ411" s="31">
        <f t="shared" si="77"/>
        <v>783</v>
      </c>
      <c r="CA411" s="31">
        <f t="shared" si="78"/>
        <v>0</v>
      </c>
    </row>
    <row r="412" spans="1:79" ht="56.25" x14ac:dyDescent="0.25">
      <c r="A412" s="17"/>
      <c r="B412" s="2">
        <v>406</v>
      </c>
      <c r="C412" s="18">
        <v>211</v>
      </c>
      <c r="D412" s="18">
        <v>584</v>
      </c>
      <c r="E412" s="19">
        <v>0.69097222222222221</v>
      </c>
      <c r="F412" s="19">
        <v>0.72152777777777777</v>
      </c>
      <c r="G412" s="18" t="s">
        <v>962</v>
      </c>
      <c r="H412" s="18" t="s">
        <v>273</v>
      </c>
      <c r="I412" s="20">
        <v>23</v>
      </c>
      <c r="J412" s="21">
        <v>16</v>
      </c>
      <c r="K412" s="22">
        <v>174</v>
      </c>
      <c r="L412" s="23">
        <f t="shared" si="79"/>
        <v>4002</v>
      </c>
      <c r="M412" s="24" t="s">
        <v>153</v>
      </c>
      <c r="N412" s="25" t="s">
        <v>963</v>
      </c>
      <c r="O412" s="25">
        <v>29</v>
      </c>
      <c r="P412" s="25" t="s">
        <v>387</v>
      </c>
      <c r="Q412" s="25">
        <v>23</v>
      </c>
      <c r="R412" s="17"/>
      <c r="S412" s="25"/>
      <c r="T412" s="26">
        <v>960</v>
      </c>
      <c r="U412" s="26" t="s">
        <v>151</v>
      </c>
      <c r="V412" s="26" t="s">
        <v>964</v>
      </c>
      <c r="W412" s="26" t="s">
        <v>965</v>
      </c>
      <c r="X412" s="66">
        <v>44816</v>
      </c>
      <c r="Y412" s="66">
        <v>45086</v>
      </c>
      <c r="Z412" s="66"/>
      <c r="AA412" s="66"/>
      <c r="AB412" s="26" t="s">
        <v>282</v>
      </c>
      <c r="AC412" s="26"/>
      <c r="AD412" s="28"/>
      <c r="AE412" s="28"/>
      <c r="AF412" s="28"/>
      <c r="AG412" s="28" t="s">
        <v>90</v>
      </c>
      <c r="AH412" s="28" t="s">
        <v>90</v>
      </c>
      <c r="AI412" s="28" t="s">
        <v>90</v>
      </c>
      <c r="AJ412" s="28" t="s">
        <v>90</v>
      </c>
      <c r="AK412" s="28" t="s">
        <v>90</v>
      </c>
      <c r="AL412" s="28" t="s">
        <v>90</v>
      </c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9">
        <v>53.21</v>
      </c>
      <c r="AY412" s="30"/>
      <c r="AZ412" s="30"/>
      <c r="BA412" s="29"/>
      <c r="BB412" s="29"/>
      <c r="BC412" s="30"/>
      <c r="BD412" s="31">
        <f>AX412*K412</f>
        <v>9258.5400000000009</v>
      </c>
      <c r="BE412" s="31"/>
      <c r="BF412" s="30"/>
      <c r="BG412" s="36">
        <v>1</v>
      </c>
      <c r="BH412" s="31">
        <f>IF(AND((AX412/I412)&lt;2,BG412=1),(I412*2)-AX412,0)</f>
        <v>0</v>
      </c>
      <c r="BI412" s="31">
        <f>IF(AND((AX412/I412)&lt;3,BG412=2),(I412*3)-AX412,0)</f>
        <v>0</v>
      </c>
      <c r="BJ412" s="33">
        <f>(BH412+BI412)*K412</f>
        <v>0</v>
      </c>
      <c r="BK412" s="30"/>
      <c r="BL412" s="30"/>
      <c r="BM412" s="30"/>
      <c r="BN412" s="30"/>
      <c r="BO412" s="33">
        <f t="shared" si="75"/>
        <v>0</v>
      </c>
      <c r="BP412" s="30">
        <v>15</v>
      </c>
      <c r="BQ412" s="30">
        <v>20</v>
      </c>
      <c r="BR412" s="30"/>
      <c r="BS412" s="30"/>
      <c r="BT412" s="34">
        <f t="shared" si="76"/>
        <v>53.21</v>
      </c>
      <c r="BU412" s="34"/>
      <c r="BV412" s="34"/>
      <c r="BW412" s="34"/>
      <c r="BX412" s="34"/>
      <c r="BY412" s="30"/>
      <c r="BZ412" s="31">
        <f t="shared" si="77"/>
        <v>798.15</v>
      </c>
      <c r="CA412" s="31">
        <f t="shared" si="78"/>
        <v>1064.2</v>
      </c>
    </row>
    <row r="413" spans="1:79" ht="114.75" x14ac:dyDescent="0.25">
      <c r="A413" s="17"/>
      <c r="B413" s="2">
        <v>407</v>
      </c>
      <c r="C413" s="18">
        <v>211</v>
      </c>
      <c r="D413" s="18">
        <v>584</v>
      </c>
      <c r="E413" s="19">
        <v>0.72152777777777777</v>
      </c>
      <c r="F413" s="59">
        <v>0.7319444444444444</v>
      </c>
      <c r="G413" s="18" t="s">
        <v>966</v>
      </c>
      <c r="H413" s="18" t="s">
        <v>967</v>
      </c>
      <c r="I413" s="20">
        <v>7</v>
      </c>
      <c r="J413" s="21" t="s">
        <v>122</v>
      </c>
      <c r="K413" s="22">
        <f>34+34+36+33</f>
        <v>137</v>
      </c>
      <c r="L413" s="23">
        <f t="shared" si="79"/>
        <v>959</v>
      </c>
      <c r="M413" s="24" t="s">
        <v>153</v>
      </c>
      <c r="N413" s="25" t="s">
        <v>387</v>
      </c>
      <c r="O413" s="25">
        <v>23</v>
      </c>
      <c r="P413" s="25" t="s">
        <v>968</v>
      </c>
      <c r="Q413" s="25">
        <v>29</v>
      </c>
      <c r="R413" s="17"/>
      <c r="S413" s="25"/>
      <c r="T413" s="26" t="s">
        <v>964</v>
      </c>
      <c r="U413" s="26" t="s">
        <v>965</v>
      </c>
      <c r="V413" s="26">
        <v>2180</v>
      </c>
      <c r="W413" s="26" t="s">
        <v>119</v>
      </c>
      <c r="X413" s="66">
        <v>44816</v>
      </c>
      <c r="Y413" s="66">
        <v>45086</v>
      </c>
      <c r="Z413" s="66"/>
      <c r="AA413" s="66"/>
      <c r="AB413" s="62" t="s">
        <v>298</v>
      </c>
      <c r="AC413" s="62"/>
      <c r="AD413" s="28"/>
      <c r="AE413" s="28"/>
      <c r="AF413" s="28"/>
      <c r="AG413" s="28" t="s">
        <v>90</v>
      </c>
      <c r="AH413" s="28" t="s">
        <v>90</v>
      </c>
      <c r="AI413" s="28" t="s">
        <v>90</v>
      </c>
      <c r="AJ413" s="28" t="s">
        <v>90</v>
      </c>
      <c r="AK413" s="28" t="s">
        <v>90</v>
      </c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9">
        <v>17.5</v>
      </c>
      <c r="AY413" s="31"/>
      <c r="AZ413" s="30"/>
      <c r="BA413" s="29"/>
      <c r="BB413" s="29"/>
      <c r="BC413" s="30"/>
      <c r="BD413" s="31">
        <f>AX413*K413</f>
        <v>2397.5</v>
      </c>
      <c r="BE413" s="31"/>
      <c r="BF413" s="30"/>
      <c r="BG413" s="36">
        <v>1</v>
      </c>
      <c r="BH413" s="31">
        <f>IF(AND((AX413/I413)&lt;2,BG413=1),(I413*2)-AX413,0)</f>
        <v>0</v>
      </c>
      <c r="BI413" s="31">
        <f>IF(AND((AX413/I413)&lt;3,BG413=2),(I413*3)-AX413,0)</f>
        <v>0</v>
      </c>
      <c r="BJ413" s="33">
        <f>(BH413+BI413)*K413</f>
        <v>0</v>
      </c>
      <c r="BK413" s="30"/>
      <c r="BL413" s="30"/>
      <c r="BM413" s="30"/>
      <c r="BN413" s="30"/>
      <c r="BO413" s="33">
        <f t="shared" si="75"/>
        <v>0</v>
      </c>
      <c r="BP413" s="30">
        <v>12</v>
      </c>
      <c r="BQ413" s="30">
        <v>16</v>
      </c>
      <c r="BR413" s="30"/>
      <c r="BS413" s="30"/>
      <c r="BT413" s="34">
        <f t="shared" si="76"/>
        <v>17.5</v>
      </c>
      <c r="BU413" s="34"/>
      <c r="BV413" s="34"/>
      <c r="BW413" s="34"/>
      <c r="BX413" s="34"/>
      <c r="BY413" s="30"/>
      <c r="BZ413" s="31">
        <f t="shared" si="77"/>
        <v>210</v>
      </c>
      <c r="CA413" s="31">
        <f t="shared" si="78"/>
        <v>280</v>
      </c>
    </row>
    <row r="414" spans="1:79" ht="56.25" x14ac:dyDescent="0.25">
      <c r="A414" s="17" t="s">
        <v>147</v>
      </c>
      <c r="B414" s="2">
        <v>408</v>
      </c>
      <c r="C414" s="37">
        <v>211</v>
      </c>
      <c r="D414" s="37">
        <v>7</v>
      </c>
      <c r="E414" s="38">
        <v>0.74652777777777779</v>
      </c>
      <c r="F414" s="38">
        <v>0.78749999999999998</v>
      </c>
      <c r="G414" s="39" t="s">
        <v>158</v>
      </c>
      <c r="H414" s="18" t="s">
        <v>80</v>
      </c>
      <c r="I414" s="37">
        <v>29</v>
      </c>
      <c r="J414" s="40">
        <v>50</v>
      </c>
      <c r="K414" s="41">
        <v>67</v>
      </c>
      <c r="L414" s="23">
        <f t="shared" si="79"/>
        <v>1943</v>
      </c>
      <c r="M414" s="24" t="s">
        <v>153</v>
      </c>
      <c r="N414" s="25" t="s">
        <v>154</v>
      </c>
      <c r="O414" s="25">
        <v>57</v>
      </c>
      <c r="P414" s="25" t="s">
        <v>155</v>
      </c>
      <c r="Q414" s="25">
        <v>56</v>
      </c>
      <c r="R414" s="25" t="s">
        <v>156</v>
      </c>
      <c r="S414" s="25">
        <v>45</v>
      </c>
      <c r="T414" s="26">
        <v>2180</v>
      </c>
      <c r="U414" s="26" t="s">
        <v>119</v>
      </c>
      <c r="V414" s="26">
        <v>960</v>
      </c>
      <c r="W414" s="26" t="s">
        <v>151</v>
      </c>
      <c r="X414" s="27">
        <v>44562</v>
      </c>
      <c r="Y414" s="27">
        <v>44815</v>
      </c>
      <c r="Z414" s="27">
        <v>45101</v>
      </c>
      <c r="AA414" s="27">
        <v>45169</v>
      </c>
      <c r="AB414" s="28" t="s">
        <v>89</v>
      </c>
      <c r="AC414" s="28"/>
      <c r="AD414" s="28"/>
      <c r="AE414" s="28" t="s">
        <v>90</v>
      </c>
      <c r="AF414" s="28" t="s">
        <v>90</v>
      </c>
      <c r="AG414" s="28"/>
      <c r="AH414" s="28" t="s">
        <v>90</v>
      </c>
      <c r="AI414" s="28" t="s">
        <v>90</v>
      </c>
      <c r="AJ414" s="28" t="s">
        <v>90</v>
      </c>
      <c r="AK414" s="28" t="s">
        <v>90</v>
      </c>
      <c r="AL414" s="28" t="s">
        <v>90</v>
      </c>
      <c r="AM414" s="28" t="s">
        <v>90</v>
      </c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9"/>
      <c r="AY414" s="31"/>
      <c r="AZ414" s="31">
        <f>3*I414</f>
        <v>87</v>
      </c>
      <c r="BA414" s="29"/>
      <c r="BB414" s="29"/>
      <c r="BC414" s="30"/>
      <c r="BD414" s="30"/>
      <c r="BE414" s="30"/>
      <c r="BF414" s="31">
        <f>AZ414*K414</f>
        <v>5829</v>
      </c>
      <c r="BG414" s="32">
        <v>2</v>
      </c>
      <c r="BH414" s="36"/>
      <c r="BI414" s="47"/>
      <c r="BJ414" s="36"/>
      <c r="BK414" s="36"/>
      <c r="BL414" s="36"/>
      <c r="BM414" s="36"/>
      <c r="BN414" s="30"/>
      <c r="BO414" s="33">
        <f t="shared" si="75"/>
        <v>0</v>
      </c>
      <c r="BP414" s="30">
        <v>9</v>
      </c>
      <c r="BQ414" s="30">
        <v>0</v>
      </c>
      <c r="BR414" s="30"/>
      <c r="BS414" s="30"/>
      <c r="BT414" s="34">
        <f t="shared" si="76"/>
        <v>87</v>
      </c>
      <c r="BU414" s="34"/>
      <c r="BV414" s="34"/>
      <c r="BW414" s="34"/>
      <c r="BX414" s="34"/>
      <c r="BY414" s="30"/>
      <c r="BZ414" s="31">
        <f t="shared" si="77"/>
        <v>783</v>
      </c>
      <c r="CA414" s="31">
        <f t="shared" si="78"/>
        <v>0</v>
      </c>
    </row>
    <row r="415" spans="1:79" ht="63.75" x14ac:dyDescent="0.25">
      <c r="A415" s="25"/>
      <c r="B415" s="2">
        <v>409</v>
      </c>
      <c r="C415" s="18">
        <v>212</v>
      </c>
      <c r="D415" s="21">
        <v>318</v>
      </c>
      <c r="E415" s="19">
        <v>0.53888888888888886</v>
      </c>
      <c r="F415" s="19">
        <v>0.5493055555555556</v>
      </c>
      <c r="G415" s="18" t="s">
        <v>969</v>
      </c>
      <c r="H415" s="18" t="s">
        <v>273</v>
      </c>
      <c r="I415" s="20">
        <v>4</v>
      </c>
      <c r="J415" s="21" t="s">
        <v>122</v>
      </c>
      <c r="K415" s="41">
        <v>174</v>
      </c>
      <c r="L415" s="23">
        <f t="shared" si="79"/>
        <v>696</v>
      </c>
      <c r="M415" s="24" t="s">
        <v>165</v>
      </c>
      <c r="N415" s="25" t="s">
        <v>368</v>
      </c>
      <c r="O415" s="25">
        <v>21</v>
      </c>
      <c r="P415" s="25" t="s">
        <v>168</v>
      </c>
      <c r="Q415" s="25">
        <v>29</v>
      </c>
      <c r="R415" s="25" t="s">
        <v>775</v>
      </c>
      <c r="S415" s="25">
        <v>38</v>
      </c>
      <c r="T415" s="26" t="s">
        <v>970</v>
      </c>
      <c r="U415" s="26" t="s">
        <v>971</v>
      </c>
      <c r="V415" s="26">
        <v>2300</v>
      </c>
      <c r="W415" s="26" t="s">
        <v>972</v>
      </c>
      <c r="X415" s="66">
        <v>44816</v>
      </c>
      <c r="Y415" s="66">
        <v>45086</v>
      </c>
      <c r="Z415" s="66"/>
      <c r="AA415" s="66"/>
      <c r="AB415" s="26" t="s">
        <v>282</v>
      </c>
      <c r="AC415" s="26"/>
      <c r="AD415" s="28"/>
      <c r="AE415" s="28"/>
      <c r="AF415" s="28"/>
      <c r="AG415" s="28" t="s">
        <v>90</v>
      </c>
      <c r="AH415" s="28" t="s">
        <v>90</v>
      </c>
      <c r="AI415" s="28" t="s">
        <v>90</v>
      </c>
      <c r="AJ415" s="28" t="s">
        <v>90</v>
      </c>
      <c r="AK415" s="28" t="s">
        <v>90</v>
      </c>
      <c r="AL415" s="28" t="s">
        <v>90</v>
      </c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9">
        <v>55</v>
      </c>
      <c r="AY415" s="31"/>
      <c r="AZ415" s="30"/>
      <c r="BA415" s="29"/>
      <c r="BB415" s="29"/>
      <c r="BC415" s="30"/>
      <c r="BD415" s="31">
        <f t="shared" ref="BD415:BD453" si="80">AX415*K415</f>
        <v>9570</v>
      </c>
      <c r="BE415" s="31"/>
      <c r="BF415" s="30"/>
      <c r="BG415" s="36">
        <v>1</v>
      </c>
      <c r="BH415" s="31">
        <f>IF(AND((AX415/I415)&lt;2,BG415=1),(I415*2)-AX415,0)</f>
        <v>0</v>
      </c>
      <c r="BI415" s="31">
        <f>IF(AND((AX415/I415)&lt;3,BG415=2),(I415*3)-AX415,0)</f>
        <v>0</v>
      </c>
      <c r="BJ415" s="33">
        <f>(BH415+BI415)*K415</f>
        <v>0</v>
      </c>
      <c r="BK415" s="30"/>
      <c r="BL415" s="30"/>
      <c r="BM415" s="30"/>
      <c r="BN415" s="30"/>
      <c r="BO415" s="33">
        <f t="shared" si="75"/>
        <v>0</v>
      </c>
      <c r="BP415" s="30">
        <v>15</v>
      </c>
      <c r="BQ415" s="30">
        <v>20</v>
      </c>
      <c r="BR415" s="30"/>
      <c r="BS415" s="30"/>
      <c r="BT415" s="34">
        <f t="shared" si="76"/>
        <v>55</v>
      </c>
      <c r="BU415" s="34"/>
      <c r="BV415" s="34"/>
      <c r="BW415" s="34"/>
      <c r="BX415" s="34"/>
      <c r="BY415" s="30"/>
      <c r="BZ415" s="31">
        <f t="shared" si="77"/>
        <v>825</v>
      </c>
      <c r="CA415" s="31">
        <f t="shared" si="78"/>
        <v>1100</v>
      </c>
    </row>
    <row r="416" spans="1:79" ht="63.75" x14ac:dyDescent="0.25">
      <c r="A416" s="17"/>
      <c r="B416" s="2">
        <v>410</v>
      </c>
      <c r="C416" s="18">
        <v>212</v>
      </c>
      <c r="D416" s="21">
        <v>308</v>
      </c>
      <c r="E416" s="19">
        <v>0.6875</v>
      </c>
      <c r="F416" s="19">
        <v>0.6958333333333333</v>
      </c>
      <c r="G416" s="18" t="s">
        <v>969</v>
      </c>
      <c r="H416" s="18" t="s">
        <v>273</v>
      </c>
      <c r="I416" s="20">
        <v>4</v>
      </c>
      <c r="J416" s="21" t="s">
        <v>122</v>
      </c>
      <c r="K416" s="22">
        <v>174</v>
      </c>
      <c r="L416" s="23">
        <f t="shared" si="79"/>
        <v>696</v>
      </c>
      <c r="M416" s="24" t="s">
        <v>165</v>
      </c>
      <c r="N416" s="25" t="s">
        <v>368</v>
      </c>
      <c r="O416" s="25">
        <v>21</v>
      </c>
      <c r="P416" s="25" t="s">
        <v>973</v>
      </c>
      <c r="Q416" s="25">
        <v>9</v>
      </c>
      <c r="R416" s="25" t="s">
        <v>974</v>
      </c>
      <c r="S416" s="35">
        <v>9</v>
      </c>
      <c r="T416" s="26" t="s">
        <v>970</v>
      </c>
      <c r="U416" s="26" t="s">
        <v>971</v>
      </c>
      <c r="V416" s="26">
        <v>2300</v>
      </c>
      <c r="W416" s="26" t="s">
        <v>972</v>
      </c>
      <c r="X416" s="66">
        <v>44816</v>
      </c>
      <c r="Y416" s="66">
        <v>45086</v>
      </c>
      <c r="Z416" s="66"/>
      <c r="AA416" s="66"/>
      <c r="AB416" s="26" t="s">
        <v>282</v>
      </c>
      <c r="AC416" s="26"/>
      <c r="AD416" s="28"/>
      <c r="AE416" s="28"/>
      <c r="AF416" s="28"/>
      <c r="AG416" s="28" t="s">
        <v>90</v>
      </c>
      <c r="AH416" s="28" t="s">
        <v>90</v>
      </c>
      <c r="AI416" s="28" t="s">
        <v>90</v>
      </c>
      <c r="AJ416" s="28" t="s">
        <v>90</v>
      </c>
      <c r="AK416" s="28" t="s">
        <v>90</v>
      </c>
      <c r="AL416" s="28" t="s">
        <v>90</v>
      </c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9">
        <v>20</v>
      </c>
      <c r="AY416" s="31"/>
      <c r="AZ416" s="30"/>
      <c r="BA416" s="29"/>
      <c r="BB416" s="29"/>
      <c r="BC416" s="30"/>
      <c r="BD416" s="31">
        <f t="shared" si="80"/>
        <v>3480</v>
      </c>
      <c r="BE416" s="31"/>
      <c r="BF416" s="30"/>
      <c r="BG416" s="36">
        <v>1</v>
      </c>
      <c r="BH416" s="31">
        <f>IF(AND((AX416/I416)&lt;2,BG416=1),(I416*2)-AX416,0)</f>
        <v>0</v>
      </c>
      <c r="BI416" s="31">
        <f>IF(AND((AX416/I416)&lt;3,BG416=2),(I416*3)-AX416,0)</f>
        <v>0</v>
      </c>
      <c r="BJ416" s="33">
        <f>(BH416+BI416)*K416</f>
        <v>0</v>
      </c>
      <c r="BK416" s="30"/>
      <c r="BL416" s="30"/>
      <c r="BM416" s="30"/>
      <c r="BN416" s="30"/>
      <c r="BO416" s="33">
        <f t="shared" si="75"/>
        <v>0</v>
      </c>
      <c r="BP416" s="30">
        <v>15</v>
      </c>
      <c r="BQ416" s="30">
        <v>20</v>
      </c>
      <c r="BR416" s="30"/>
      <c r="BS416" s="30"/>
      <c r="BT416" s="34">
        <f t="shared" si="76"/>
        <v>20</v>
      </c>
      <c r="BU416" s="34"/>
      <c r="BV416" s="34"/>
      <c r="BW416" s="34"/>
      <c r="BX416" s="34"/>
      <c r="BY416" s="30"/>
      <c r="BZ416" s="31">
        <f t="shared" si="77"/>
        <v>300</v>
      </c>
      <c r="CA416" s="31">
        <f t="shared" si="78"/>
        <v>400</v>
      </c>
    </row>
    <row r="417" spans="1:79" ht="63.75" x14ac:dyDescent="0.25">
      <c r="A417" s="17"/>
      <c r="B417" s="2">
        <v>411</v>
      </c>
      <c r="C417" s="18">
        <v>213</v>
      </c>
      <c r="D417" s="18">
        <v>413</v>
      </c>
      <c r="E417" s="19">
        <v>0.29166666666666669</v>
      </c>
      <c r="F417" s="19">
        <v>0.2951388888888889</v>
      </c>
      <c r="G417" s="18" t="s">
        <v>975</v>
      </c>
      <c r="H417" s="18" t="s">
        <v>306</v>
      </c>
      <c r="I417" s="20">
        <v>3.2</v>
      </c>
      <c r="J417" s="21" t="s">
        <v>380</v>
      </c>
      <c r="K417" s="22">
        <v>208</v>
      </c>
      <c r="L417" s="23">
        <f t="shared" si="79"/>
        <v>665.6</v>
      </c>
      <c r="M417" s="24" t="s">
        <v>165</v>
      </c>
      <c r="N417" s="25" t="s">
        <v>973</v>
      </c>
      <c r="O417" s="25">
        <v>9</v>
      </c>
      <c r="P417" s="25" t="s">
        <v>974</v>
      </c>
      <c r="Q417" s="25">
        <v>9</v>
      </c>
      <c r="R417" s="25"/>
      <c r="S417" s="25"/>
      <c r="T417" s="26">
        <v>2308</v>
      </c>
      <c r="U417" s="26" t="s">
        <v>976</v>
      </c>
      <c r="V417" s="26" t="s">
        <v>977</v>
      </c>
      <c r="W417" s="26" t="s">
        <v>978</v>
      </c>
      <c r="X417" s="66">
        <v>44816</v>
      </c>
      <c r="Y417" s="66">
        <v>45086</v>
      </c>
      <c r="Z417" s="66"/>
      <c r="AA417" s="66"/>
      <c r="AB417" s="26" t="s">
        <v>309</v>
      </c>
      <c r="AC417" s="26"/>
      <c r="AD417" s="28"/>
      <c r="AE417" s="28"/>
      <c r="AF417" s="28"/>
      <c r="AG417" s="28" t="s">
        <v>90</v>
      </c>
      <c r="AH417" s="28" t="s">
        <v>90</v>
      </c>
      <c r="AI417" s="28" t="s">
        <v>90</v>
      </c>
      <c r="AJ417" s="28" t="s">
        <v>90</v>
      </c>
      <c r="AK417" s="28" t="s">
        <v>90</v>
      </c>
      <c r="AL417" s="28" t="s">
        <v>90</v>
      </c>
      <c r="AM417" s="28" t="s">
        <v>90</v>
      </c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9">
        <v>13.79</v>
      </c>
      <c r="AY417" s="31"/>
      <c r="AZ417" s="30"/>
      <c r="BA417" s="29"/>
      <c r="BB417" s="29"/>
      <c r="BC417" s="30"/>
      <c r="BD417" s="31">
        <f t="shared" si="80"/>
        <v>2868.3199999999997</v>
      </c>
      <c r="BE417" s="31"/>
      <c r="BF417" s="30"/>
      <c r="BG417" s="36">
        <v>1</v>
      </c>
      <c r="BH417" s="31">
        <f>IF(AND((AX417/I417)&lt;2,BG417=1),(I417*2)-AX417,0)</f>
        <v>0</v>
      </c>
      <c r="BI417" s="31">
        <f>IF(AND((AX417/I417)&lt;3,BG417=2),(I417*3)-AX417,0)</f>
        <v>0</v>
      </c>
      <c r="BJ417" s="33">
        <f>(BH417+BI417)*K417</f>
        <v>0</v>
      </c>
      <c r="BK417" s="30"/>
      <c r="BL417" s="30"/>
      <c r="BM417" s="30"/>
      <c r="BN417" s="30"/>
      <c r="BO417" s="33">
        <f t="shared" si="75"/>
        <v>0</v>
      </c>
      <c r="BP417" s="30">
        <v>17</v>
      </c>
      <c r="BQ417" s="30">
        <v>25</v>
      </c>
      <c r="BR417" s="30"/>
      <c r="BS417" s="30"/>
      <c r="BT417" s="34">
        <f t="shared" si="76"/>
        <v>13.79</v>
      </c>
      <c r="BU417" s="34"/>
      <c r="BV417" s="34"/>
      <c r="BW417" s="34"/>
      <c r="BX417" s="34"/>
      <c r="BY417" s="30"/>
      <c r="BZ417" s="31">
        <f t="shared" si="77"/>
        <v>234.42999999999998</v>
      </c>
      <c r="CA417" s="31">
        <f t="shared" si="78"/>
        <v>344.75</v>
      </c>
    </row>
    <row r="418" spans="1:79" ht="38.25" x14ac:dyDescent="0.25">
      <c r="A418" s="17"/>
      <c r="B418" s="2">
        <v>412</v>
      </c>
      <c r="C418" s="18">
        <v>213</v>
      </c>
      <c r="D418" s="18">
        <v>968</v>
      </c>
      <c r="E418" s="19">
        <v>0.55208333333333337</v>
      </c>
      <c r="F418" s="19">
        <v>0.55902777777777779</v>
      </c>
      <c r="G418" s="18" t="s">
        <v>979</v>
      </c>
      <c r="H418" s="18" t="s">
        <v>383</v>
      </c>
      <c r="I418" s="20">
        <v>4.5999999999999996</v>
      </c>
      <c r="J418" s="21" t="s">
        <v>367</v>
      </c>
      <c r="K418" s="22">
        <v>34</v>
      </c>
      <c r="L418" s="23">
        <f t="shared" si="79"/>
        <v>156.39999999999998</v>
      </c>
      <c r="M418" s="24" t="s">
        <v>165</v>
      </c>
      <c r="N418" s="25" t="s">
        <v>974</v>
      </c>
      <c r="O418" s="25">
        <v>9</v>
      </c>
      <c r="P418" s="25" t="s">
        <v>973</v>
      </c>
      <c r="Q418" s="25">
        <v>9</v>
      </c>
      <c r="R418" s="17"/>
      <c r="S418" s="25"/>
      <c r="T418" s="26">
        <v>2326</v>
      </c>
      <c r="U418" s="26" t="s">
        <v>980</v>
      </c>
      <c r="V418" s="26">
        <v>2324</v>
      </c>
      <c r="W418" s="26" t="s">
        <v>370</v>
      </c>
      <c r="X418" s="66">
        <v>44816</v>
      </c>
      <c r="Y418" s="66">
        <v>45086</v>
      </c>
      <c r="Z418" s="66"/>
      <c r="AA418" s="66"/>
      <c r="AB418" s="28" t="s">
        <v>382</v>
      </c>
      <c r="AC418" s="28"/>
      <c r="AD418" s="28"/>
      <c r="AE418" s="28"/>
      <c r="AF418" s="28"/>
      <c r="AG418" s="28" t="s">
        <v>90</v>
      </c>
      <c r="AH418" s="28"/>
      <c r="AI418" s="28"/>
      <c r="AJ418" s="28"/>
      <c r="AK418" s="28"/>
      <c r="AL418" s="28"/>
      <c r="AM418" s="28" t="s">
        <v>90</v>
      </c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9">
        <v>13.8</v>
      </c>
      <c r="AY418" s="31"/>
      <c r="AZ418" s="30"/>
      <c r="BA418" s="29"/>
      <c r="BB418" s="29"/>
      <c r="BC418" s="30"/>
      <c r="BD418" s="31">
        <f t="shared" si="80"/>
        <v>469.20000000000005</v>
      </c>
      <c r="BE418" s="31"/>
      <c r="BF418" s="30"/>
      <c r="BG418" s="36">
        <v>1</v>
      </c>
      <c r="BH418" s="31">
        <f>IF(AND((AX418/I418)&lt;2,BG418=1),(I418*2)-AX418,0)</f>
        <v>0</v>
      </c>
      <c r="BI418" s="31">
        <f>IF(AND((AX418/I418)&lt;3,BG418=2),(I418*3)-AX418,0)</f>
        <v>0</v>
      </c>
      <c r="BJ418" s="33">
        <f>(BH418+BI418)*K418</f>
        <v>0</v>
      </c>
      <c r="BK418" s="30"/>
      <c r="BL418" s="30"/>
      <c r="BM418" s="30"/>
      <c r="BN418" s="30"/>
      <c r="BO418" s="33">
        <f t="shared" si="75"/>
        <v>0</v>
      </c>
      <c r="BP418" s="30">
        <v>2</v>
      </c>
      <c r="BQ418" s="30">
        <v>5</v>
      </c>
      <c r="BR418" s="30"/>
      <c r="BS418" s="30"/>
      <c r="BT418" s="34">
        <f t="shared" si="76"/>
        <v>13.8</v>
      </c>
      <c r="BU418" s="34"/>
      <c r="BV418" s="34"/>
      <c r="BW418" s="34"/>
      <c r="BX418" s="34"/>
      <c r="BY418" s="30"/>
      <c r="BZ418" s="31">
        <f t="shared" si="77"/>
        <v>27.6</v>
      </c>
      <c r="CA418" s="31">
        <f t="shared" si="78"/>
        <v>69</v>
      </c>
    </row>
    <row r="419" spans="1:79" ht="51" x14ac:dyDescent="0.25">
      <c r="A419" s="25"/>
      <c r="B419" s="2">
        <v>413</v>
      </c>
      <c r="C419" s="18">
        <v>213</v>
      </c>
      <c r="D419" s="18">
        <v>6</v>
      </c>
      <c r="E419" s="19">
        <v>0.59375</v>
      </c>
      <c r="F419" s="19">
        <v>0.60416666666666663</v>
      </c>
      <c r="G419" s="18" t="s">
        <v>981</v>
      </c>
      <c r="H419" s="18" t="s">
        <v>273</v>
      </c>
      <c r="I419" s="20">
        <v>7</v>
      </c>
      <c r="J419" s="21" t="s">
        <v>516</v>
      </c>
      <c r="K419" s="22">
        <v>174</v>
      </c>
      <c r="L419" s="23">
        <f t="shared" si="79"/>
        <v>1218</v>
      </c>
      <c r="M419" s="24" t="s">
        <v>165</v>
      </c>
      <c r="N419" s="25" t="s">
        <v>973</v>
      </c>
      <c r="O419" s="25">
        <v>9</v>
      </c>
      <c r="P419" s="25" t="s">
        <v>974</v>
      </c>
      <c r="Q419" s="25">
        <v>9</v>
      </c>
      <c r="R419" s="25" t="s">
        <v>368</v>
      </c>
      <c r="S419" s="35">
        <v>21</v>
      </c>
      <c r="T419" s="26" t="s">
        <v>982</v>
      </c>
      <c r="U419" s="26" t="s">
        <v>983</v>
      </c>
      <c r="V419" s="26">
        <v>2324</v>
      </c>
      <c r="W419" s="26" t="s">
        <v>370</v>
      </c>
      <c r="X419" s="66">
        <v>44816</v>
      </c>
      <c r="Y419" s="66">
        <v>45086</v>
      </c>
      <c r="Z419" s="66"/>
      <c r="AA419" s="66"/>
      <c r="AB419" s="26" t="s">
        <v>282</v>
      </c>
      <c r="AC419" s="26"/>
      <c r="AD419" s="28"/>
      <c r="AE419" s="28"/>
      <c r="AF419" s="28"/>
      <c r="AG419" s="28" t="s">
        <v>90</v>
      </c>
      <c r="AH419" s="28" t="s">
        <v>90</v>
      </c>
      <c r="AI419" s="28" t="s">
        <v>90</v>
      </c>
      <c r="AJ419" s="28" t="s">
        <v>90</v>
      </c>
      <c r="AK419" s="28" t="s">
        <v>90</v>
      </c>
      <c r="AL419" s="28" t="s">
        <v>90</v>
      </c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31">
        <f>((24*137)+(12.6*37))/174</f>
        <v>21.575862068965517</v>
      </c>
      <c r="AY419" s="31"/>
      <c r="AZ419" s="30"/>
      <c r="BA419" s="29"/>
      <c r="BB419" s="29"/>
      <c r="BC419" s="30"/>
      <c r="BD419" s="31">
        <f t="shared" si="80"/>
        <v>3754.2</v>
      </c>
      <c r="BE419" s="31"/>
      <c r="BF419" s="30"/>
      <c r="BG419" s="36">
        <v>1</v>
      </c>
      <c r="BH419" s="31">
        <f>IF(AND((AX419/I419)&lt;2,BG419=1),(I419*2)-AX419,0)</f>
        <v>0</v>
      </c>
      <c r="BI419" s="31">
        <f>IF(AND((AX419/I419)&lt;3,BG419=2),(I419*3)-AX419,0)</f>
        <v>0</v>
      </c>
      <c r="BJ419" s="33">
        <f>(BH419+BI419)*K419</f>
        <v>0</v>
      </c>
      <c r="BK419" s="30"/>
      <c r="BL419" s="30"/>
      <c r="BM419" s="30"/>
      <c r="BN419" s="30"/>
      <c r="BO419" s="33">
        <f t="shared" si="75"/>
        <v>0</v>
      </c>
      <c r="BP419" s="30">
        <v>15</v>
      </c>
      <c r="BQ419" s="30">
        <v>20</v>
      </c>
      <c r="BR419" s="30"/>
      <c r="BS419" s="30"/>
      <c r="BT419" s="34">
        <f t="shared" ref="BT419:BT450" si="81">SUM(AX419:AZ419)+SUM(BH419:BI419)+SUM(BK419:BL419)+BN419</f>
        <v>21.575862068965517</v>
      </c>
      <c r="BU419" s="34"/>
      <c r="BV419" s="34"/>
      <c r="BW419" s="34"/>
      <c r="BX419" s="34"/>
      <c r="BY419" s="30"/>
      <c r="BZ419" s="31">
        <f t="shared" si="77"/>
        <v>323.63793103448273</v>
      </c>
      <c r="CA419" s="31">
        <f t="shared" si="78"/>
        <v>431.51724137931035</v>
      </c>
    </row>
    <row r="420" spans="1:79" ht="34.5" x14ac:dyDescent="0.25">
      <c r="A420" s="17"/>
      <c r="B420" s="2">
        <v>414</v>
      </c>
      <c r="C420" s="48">
        <v>214</v>
      </c>
      <c r="D420" s="48">
        <v>27</v>
      </c>
      <c r="E420" s="49">
        <v>0.24652777777777779</v>
      </c>
      <c r="F420" s="49">
        <v>0.30624999999999997</v>
      </c>
      <c r="G420" s="51" t="s">
        <v>984</v>
      </c>
      <c r="H420" s="48" t="s">
        <v>316</v>
      </c>
      <c r="I420" s="48">
        <v>54</v>
      </c>
      <c r="J420" s="52">
        <v>50</v>
      </c>
      <c r="K420" s="22">
        <v>67</v>
      </c>
      <c r="L420" s="23">
        <f t="shared" si="79"/>
        <v>3618</v>
      </c>
      <c r="M420" s="24" t="s">
        <v>160</v>
      </c>
      <c r="N420" s="25" t="s">
        <v>161</v>
      </c>
      <c r="O420" s="25">
        <v>54</v>
      </c>
      <c r="P420" s="25" t="s">
        <v>162</v>
      </c>
      <c r="Q420" s="25">
        <v>56</v>
      </c>
      <c r="R420" s="17" t="s">
        <v>766</v>
      </c>
      <c r="S420" s="35">
        <v>58</v>
      </c>
      <c r="T420" s="26">
        <v>2323</v>
      </c>
      <c r="U420" s="26" t="s">
        <v>163</v>
      </c>
      <c r="V420" s="26">
        <v>960</v>
      </c>
      <c r="W420" s="26" t="s">
        <v>151</v>
      </c>
      <c r="X420" s="27">
        <v>44562</v>
      </c>
      <c r="Y420" s="27">
        <v>44815</v>
      </c>
      <c r="Z420" s="27">
        <v>45101</v>
      </c>
      <c r="AA420" s="27">
        <v>45169</v>
      </c>
      <c r="AB420" s="28" t="s">
        <v>89</v>
      </c>
      <c r="AC420" s="28"/>
      <c r="AD420" s="28"/>
      <c r="AE420" s="28" t="s">
        <v>90</v>
      </c>
      <c r="AF420" s="28" t="s">
        <v>90</v>
      </c>
      <c r="AG420" s="28"/>
      <c r="AH420" s="28" t="s">
        <v>90</v>
      </c>
      <c r="AI420" s="28" t="s">
        <v>90</v>
      </c>
      <c r="AJ420" s="28" t="s">
        <v>90</v>
      </c>
      <c r="AK420" s="28" t="s">
        <v>90</v>
      </c>
      <c r="AL420" s="28" t="s">
        <v>90</v>
      </c>
      <c r="AM420" s="28" t="s">
        <v>90</v>
      </c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31"/>
      <c r="AY420" s="31">
        <v>220</v>
      </c>
      <c r="AZ420" s="30"/>
      <c r="BA420" s="55"/>
      <c r="BB420" s="55"/>
      <c r="BC420" s="30"/>
      <c r="BD420" s="31">
        <f t="shared" si="80"/>
        <v>0</v>
      </c>
      <c r="BE420" s="31">
        <f>AY420*K420</f>
        <v>14740</v>
      </c>
      <c r="BF420" s="30"/>
      <c r="BG420" s="32">
        <v>2</v>
      </c>
      <c r="BH420" s="30"/>
      <c r="BI420" s="31"/>
      <c r="BJ420" s="30"/>
      <c r="BK420" s="31">
        <f>IF(AND((AY420/I420)&lt;2,BG420=1),(I420*2)-AY420,0)</f>
        <v>0</v>
      </c>
      <c r="BL420" s="31">
        <f>IF(AND((AY420/I420)&lt;3,BG420=2),(I420*3)-AY420,0)</f>
        <v>0</v>
      </c>
      <c r="BM420" s="33">
        <f>(BK420+BL420)*K420</f>
        <v>0</v>
      </c>
      <c r="BN420" s="31">
        <f>IF((AX420+AY420+AZ420)&lt;20,(20-(AX420+AY420+AZ420)),0)</f>
        <v>0</v>
      </c>
      <c r="BO420" s="33">
        <f t="shared" si="75"/>
        <v>0</v>
      </c>
      <c r="BP420" s="30">
        <v>9</v>
      </c>
      <c r="BQ420" s="30">
        <v>0</v>
      </c>
      <c r="BR420" s="30"/>
      <c r="BS420" s="30"/>
      <c r="BT420" s="34">
        <f t="shared" si="81"/>
        <v>220</v>
      </c>
      <c r="BU420" s="34"/>
      <c r="BV420" s="34"/>
      <c r="BW420" s="34"/>
      <c r="BX420" s="34"/>
      <c r="BY420" s="30"/>
      <c r="BZ420" s="31">
        <f t="shared" si="77"/>
        <v>1980</v>
      </c>
      <c r="CA420" s="31">
        <f t="shared" si="78"/>
        <v>0</v>
      </c>
    </row>
    <row r="421" spans="1:79" ht="51" x14ac:dyDescent="0.25">
      <c r="A421" s="17"/>
      <c r="B421" s="2">
        <v>415</v>
      </c>
      <c r="C421" s="48">
        <v>214</v>
      </c>
      <c r="D421" s="48">
        <v>27</v>
      </c>
      <c r="E421" s="49">
        <v>0.25347222222222221</v>
      </c>
      <c r="F421" s="50">
        <v>0.31805555555555554</v>
      </c>
      <c r="G421" s="51" t="s">
        <v>984</v>
      </c>
      <c r="H421" s="51" t="s">
        <v>615</v>
      </c>
      <c r="I421" s="48">
        <f>50+4</f>
        <v>54</v>
      </c>
      <c r="J421" s="52">
        <v>50</v>
      </c>
      <c r="K421" s="22">
        <v>29</v>
      </c>
      <c r="L421" s="23">
        <f t="shared" si="79"/>
        <v>1566</v>
      </c>
      <c r="M421" s="24" t="s">
        <v>160</v>
      </c>
      <c r="N421" s="25" t="s">
        <v>161</v>
      </c>
      <c r="O421" s="25">
        <v>54</v>
      </c>
      <c r="P421" s="25" t="s">
        <v>162</v>
      </c>
      <c r="Q421" s="25">
        <v>56</v>
      </c>
      <c r="R421" s="17" t="s">
        <v>766</v>
      </c>
      <c r="S421" s="35">
        <v>58</v>
      </c>
      <c r="T421" s="26">
        <v>2323</v>
      </c>
      <c r="U421" s="26" t="s">
        <v>163</v>
      </c>
      <c r="V421" s="26">
        <v>960</v>
      </c>
      <c r="W421" s="26" t="s">
        <v>151</v>
      </c>
      <c r="X421" s="27">
        <v>44816</v>
      </c>
      <c r="Y421" s="27">
        <v>45100</v>
      </c>
      <c r="Z421" s="27"/>
      <c r="AA421" s="27"/>
      <c r="AB421" s="26" t="s">
        <v>360</v>
      </c>
      <c r="AC421" s="26"/>
      <c r="AD421" s="28" t="s">
        <v>90</v>
      </c>
      <c r="AE421" s="28"/>
      <c r="AF421" s="28" t="s">
        <v>90</v>
      </c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 t="s">
        <v>90</v>
      </c>
      <c r="AS421" s="28" t="s">
        <v>90</v>
      </c>
      <c r="AT421" s="28" t="s">
        <v>90</v>
      </c>
      <c r="AU421" s="28" t="s">
        <v>90</v>
      </c>
      <c r="AV421" s="28" t="s">
        <v>90</v>
      </c>
      <c r="AW421" s="28" t="s">
        <v>90</v>
      </c>
      <c r="AX421" s="31"/>
      <c r="AY421" s="31"/>
      <c r="AZ421" s="30"/>
      <c r="BA421" s="55" t="s">
        <v>985</v>
      </c>
      <c r="BB421" s="55"/>
      <c r="BC421" s="30"/>
      <c r="BD421" s="31">
        <f t="shared" si="80"/>
        <v>0</v>
      </c>
      <c r="BE421" s="30"/>
      <c r="BF421" s="30"/>
      <c r="BG421" s="32">
        <v>2</v>
      </c>
      <c r="BH421" s="30"/>
      <c r="BI421" s="31"/>
      <c r="BJ421" s="30"/>
      <c r="BK421" s="30"/>
      <c r="BL421" s="30"/>
      <c r="BM421" s="30"/>
      <c r="BN421" s="31"/>
      <c r="BO421" s="33">
        <f t="shared" si="75"/>
        <v>0</v>
      </c>
      <c r="BP421" s="30">
        <v>0</v>
      </c>
      <c r="BQ421" s="30">
        <v>1</v>
      </c>
      <c r="BR421" s="30"/>
      <c r="BS421" s="30"/>
      <c r="BT421" s="34">
        <f t="shared" si="81"/>
        <v>0</v>
      </c>
      <c r="BU421" s="34" t="s">
        <v>423</v>
      </c>
      <c r="BV421" s="30">
        <v>17</v>
      </c>
      <c r="BW421" s="30">
        <v>26</v>
      </c>
      <c r="BX421" s="34">
        <v>220</v>
      </c>
      <c r="BY421" s="30"/>
      <c r="BZ421" s="31">
        <f t="shared" si="77"/>
        <v>3740</v>
      </c>
      <c r="CA421" s="31">
        <f t="shared" si="78"/>
        <v>5720</v>
      </c>
    </row>
    <row r="422" spans="1:79" ht="51" x14ac:dyDescent="0.25">
      <c r="A422" s="17"/>
      <c r="B422" s="2">
        <v>416</v>
      </c>
      <c r="C422" s="48">
        <v>214</v>
      </c>
      <c r="D422" s="60">
        <v>582</v>
      </c>
      <c r="E422" s="49">
        <v>0.25833333333333336</v>
      </c>
      <c r="F422" s="49">
        <v>0.31805555555555554</v>
      </c>
      <c r="G422" s="51" t="s">
        <v>986</v>
      </c>
      <c r="H422" s="18" t="s">
        <v>306</v>
      </c>
      <c r="I422" s="48">
        <v>61</v>
      </c>
      <c r="J422" s="52">
        <v>55</v>
      </c>
      <c r="K422" s="22">
        <v>208</v>
      </c>
      <c r="L422" s="23">
        <f t="shared" si="79"/>
        <v>12688</v>
      </c>
      <c r="M422" s="24" t="s">
        <v>160</v>
      </c>
      <c r="N422" s="25" t="s">
        <v>161</v>
      </c>
      <c r="O422" s="25">
        <v>54</v>
      </c>
      <c r="P422" s="25" t="s">
        <v>162</v>
      </c>
      <c r="Q422" s="25">
        <v>56</v>
      </c>
      <c r="R422" s="17" t="s">
        <v>766</v>
      </c>
      <c r="S422" s="35">
        <v>58</v>
      </c>
      <c r="T422" s="26">
        <v>2305</v>
      </c>
      <c r="U422" s="26" t="s">
        <v>987</v>
      </c>
      <c r="V422" s="26">
        <v>960</v>
      </c>
      <c r="W422" s="26" t="s">
        <v>151</v>
      </c>
      <c r="X422" s="66">
        <v>44816</v>
      </c>
      <c r="Y422" s="66">
        <v>45086</v>
      </c>
      <c r="Z422" s="66"/>
      <c r="AA422" s="66"/>
      <c r="AB422" s="26" t="s">
        <v>309</v>
      </c>
      <c r="AC422" s="26"/>
      <c r="AD422" s="28"/>
      <c r="AE422" s="28"/>
      <c r="AF422" s="28"/>
      <c r="AG422" s="28" t="s">
        <v>90</v>
      </c>
      <c r="AH422" s="28" t="s">
        <v>90</v>
      </c>
      <c r="AI422" s="28" t="s">
        <v>90</v>
      </c>
      <c r="AJ422" s="28" t="s">
        <v>90</v>
      </c>
      <c r="AK422" s="28" t="s">
        <v>90</v>
      </c>
      <c r="AL422" s="28" t="s">
        <v>90</v>
      </c>
      <c r="AM422" s="28" t="s">
        <v>90</v>
      </c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31"/>
      <c r="AY422" s="31"/>
      <c r="AZ422" s="30"/>
      <c r="BA422" s="55" t="s">
        <v>985</v>
      </c>
      <c r="BB422" s="55"/>
      <c r="BC422" s="30">
        <v>44</v>
      </c>
      <c r="BD422" s="31">
        <f t="shared" si="80"/>
        <v>0</v>
      </c>
      <c r="BE422" s="30"/>
      <c r="BF422" s="30"/>
      <c r="BG422" s="32">
        <v>2</v>
      </c>
      <c r="BH422" s="30"/>
      <c r="BI422" s="31"/>
      <c r="BJ422" s="30"/>
      <c r="BK422" s="30"/>
      <c r="BL422" s="30"/>
      <c r="BM422" s="30"/>
      <c r="BN422" s="31"/>
      <c r="BO422" s="33">
        <f t="shared" si="75"/>
        <v>0</v>
      </c>
      <c r="BP422" s="30">
        <v>17</v>
      </c>
      <c r="BQ422" s="30">
        <v>25</v>
      </c>
      <c r="BR422" s="30"/>
      <c r="BS422" s="30"/>
      <c r="BT422" s="34">
        <f t="shared" si="81"/>
        <v>0</v>
      </c>
      <c r="BU422" s="34" t="s">
        <v>309</v>
      </c>
      <c r="BV422" s="30">
        <v>17</v>
      </c>
      <c r="BW422" s="30">
        <v>25</v>
      </c>
      <c r="BX422" s="31">
        <v>18.2</v>
      </c>
      <c r="BY422" s="30"/>
      <c r="BZ422" s="31">
        <f t="shared" si="77"/>
        <v>309.39999999999998</v>
      </c>
      <c r="CA422" s="31">
        <f t="shared" si="78"/>
        <v>455</v>
      </c>
    </row>
    <row r="423" spans="1:79" ht="76.5" x14ac:dyDescent="0.25">
      <c r="A423" s="17"/>
      <c r="B423" s="2">
        <v>417</v>
      </c>
      <c r="C423" s="18">
        <v>214</v>
      </c>
      <c r="D423" s="21">
        <v>582</v>
      </c>
      <c r="E423" s="19">
        <v>0.28472222222222221</v>
      </c>
      <c r="F423" s="19">
        <v>0.31805555555555554</v>
      </c>
      <c r="G423" s="18" t="s">
        <v>988</v>
      </c>
      <c r="H423" s="18" t="s">
        <v>989</v>
      </c>
      <c r="I423" s="20">
        <v>24</v>
      </c>
      <c r="J423" s="21" t="s">
        <v>81</v>
      </c>
      <c r="K423" s="22">
        <v>33</v>
      </c>
      <c r="L423" s="23">
        <f t="shared" si="79"/>
        <v>792</v>
      </c>
      <c r="M423" s="24" t="s">
        <v>333</v>
      </c>
      <c r="N423" s="25" t="s">
        <v>840</v>
      </c>
      <c r="O423" s="25">
        <v>51</v>
      </c>
      <c r="P423" s="25" t="s">
        <v>334</v>
      </c>
      <c r="Q423" s="25">
        <v>55</v>
      </c>
      <c r="R423" s="25" t="s">
        <v>335</v>
      </c>
      <c r="S423" s="25">
        <v>54</v>
      </c>
      <c r="T423" s="26" t="s">
        <v>990</v>
      </c>
      <c r="U423" s="26" t="s">
        <v>991</v>
      </c>
      <c r="V423" s="26">
        <v>960</v>
      </c>
      <c r="W423" s="26" t="s">
        <v>151</v>
      </c>
      <c r="X423" s="66">
        <v>44816</v>
      </c>
      <c r="Y423" s="66">
        <v>45086</v>
      </c>
      <c r="Z423" s="66"/>
      <c r="AA423" s="66"/>
      <c r="AB423" s="26" t="s">
        <v>646</v>
      </c>
      <c r="AC423" s="26"/>
      <c r="AD423" s="28"/>
      <c r="AE423" s="28"/>
      <c r="AF423" s="28"/>
      <c r="AG423" s="28" t="s">
        <v>90</v>
      </c>
      <c r="AH423" s="28" t="s">
        <v>90</v>
      </c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9">
        <f>15+150</f>
        <v>165</v>
      </c>
      <c r="AY423" s="31"/>
      <c r="AZ423" s="30"/>
      <c r="BA423" s="29"/>
      <c r="BB423" s="29"/>
      <c r="BC423" s="30"/>
      <c r="BD423" s="31">
        <f t="shared" si="80"/>
        <v>5445</v>
      </c>
      <c r="BE423" s="31"/>
      <c r="BF423" s="30"/>
      <c r="BG423" s="32">
        <v>2</v>
      </c>
      <c r="BH423" s="31">
        <f t="shared" ref="BH423:BH447" si="82">IF(AND((AX423/I423)&lt;2,BG423=1),(I423*2)-AX423,0)</f>
        <v>0</v>
      </c>
      <c r="BI423" s="31">
        <f t="shared" ref="BI423:BI447" si="83">IF(AND((AX423/I423)&lt;3,BG423=2),(I423*3)-AX423,0)</f>
        <v>0</v>
      </c>
      <c r="BJ423" s="33">
        <f t="shared" ref="BJ423:BJ447" si="84">(BH423+BI423)*K423</f>
        <v>0</v>
      </c>
      <c r="BK423" s="30"/>
      <c r="BL423" s="30"/>
      <c r="BM423" s="30"/>
      <c r="BN423" s="31">
        <f>IF((AX423+AY423+AZ423)&lt;20,(20-(AX423+AY423+AZ423)),0)</f>
        <v>0</v>
      </c>
      <c r="BO423" s="33">
        <f t="shared" si="75"/>
        <v>0</v>
      </c>
      <c r="BP423" s="30">
        <v>3</v>
      </c>
      <c r="BQ423" s="30">
        <v>4</v>
      </c>
      <c r="BR423" s="30"/>
      <c r="BS423" s="30"/>
      <c r="BT423" s="34">
        <f t="shared" si="81"/>
        <v>165</v>
      </c>
      <c r="BU423" s="34"/>
      <c r="BV423" s="34"/>
      <c r="BW423" s="34"/>
      <c r="BX423" s="34"/>
      <c r="BY423" s="30"/>
      <c r="BZ423" s="31">
        <f t="shared" si="77"/>
        <v>495</v>
      </c>
      <c r="CA423" s="31">
        <f t="shared" si="78"/>
        <v>660</v>
      </c>
    </row>
    <row r="424" spans="1:79" ht="56.25" x14ac:dyDescent="0.25">
      <c r="A424" s="17"/>
      <c r="B424" s="2">
        <v>418</v>
      </c>
      <c r="C424" s="18">
        <v>214</v>
      </c>
      <c r="D424" s="18">
        <v>450</v>
      </c>
      <c r="E424" s="19">
        <v>0.34027777777777773</v>
      </c>
      <c r="F424" s="19">
        <v>0.35416666666666669</v>
      </c>
      <c r="G424" s="18" t="s">
        <v>992</v>
      </c>
      <c r="H424" s="18" t="s">
        <v>737</v>
      </c>
      <c r="I424" s="20">
        <v>11.5</v>
      </c>
      <c r="J424" s="21">
        <v>8</v>
      </c>
      <c r="K424" s="22">
        <v>52</v>
      </c>
      <c r="L424" s="23">
        <f t="shared" si="79"/>
        <v>598</v>
      </c>
      <c r="M424" s="24" t="s">
        <v>153</v>
      </c>
      <c r="N424" s="25" t="s">
        <v>387</v>
      </c>
      <c r="O424" s="25">
        <v>23</v>
      </c>
      <c r="P424" s="25" t="s">
        <v>386</v>
      </c>
      <c r="Q424" s="25">
        <v>9</v>
      </c>
      <c r="R424" s="17"/>
      <c r="S424" s="25"/>
      <c r="T424" s="26">
        <v>960</v>
      </c>
      <c r="U424" s="26" t="s">
        <v>151</v>
      </c>
      <c r="V424" s="26">
        <v>2160</v>
      </c>
      <c r="W424" s="26" t="s">
        <v>377</v>
      </c>
      <c r="X424" s="66">
        <v>44805</v>
      </c>
      <c r="Y424" s="66">
        <v>45169</v>
      </c>
      <c r="Z424" s="66"/>
      <c r="AA424" s="66"/>
      <c r="AB424" s="28" t="s">
        <v>741</v>
      </c>
      <c r="AC424" s="28"/>
      <c r="AD424" s="28" t="s">
        <v>90</v>
      </c>
      <c r="AE424" s="28" t="s">
        <v>90</v>
      </c>
      <c r="AF424" s="28" t="s">
        <v>90</v>
      </c>
      <c r="AG424" s="28"/>
      <c r="AH424" s="28"/>
      <c r="AI424" s="28"/>
      <c r="AJ424" s="28" t="s">
        <v>90</v>
      </c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9">
        <v>26.39</v>
      </c>
      <c r="AY424" s="31"/>
      <c r="AZ424" s="30"/>
      <c r="BA424" s="29"/>
      <c r="BB424" s="29"/>
      <c r="BC424" s="30"/>
      <c r="BD424" s="31">
        <f t="shared" si="80"/>
        <v>1372.28</v>
      </c>
      <c r="BE424" s="31"/>
      <c r="BF424" s="30"/>
      <c r="BG424" s="36">
        <v>1</v>
      </c>
      <c r="BH424" s="31">
        <f t="shared" si="82"/>
        <v>0</v>
      </c>
      <c r="BI424" s="31">
        <f t="shared" si="83"/>
        <v>0</v>
      </c>
      <c r="BJ424" s="33">
        <f t="shared" si="84"/>
        <v>0</v>
      </c>
      <c r="BK424" s="30"/>
      <c r="BL424" s="30"/>
      <c r="BM424" s="30"/>
      <c r="BN424" s="30"/>
      <c r="BO424" s="33">
        <f t="shared" si="75"/>
        <v>0</v>
      </c>
      <c r="BP424" s="30">
        <v>4</v>
      </c>
      <c r="BQ424" s="30">
        <v>4</v>
      </c>
      <c r="BR424" s="30"/>
      <c r="BS424" s="30"/>
      <c r="BT424" s="34">
        <f t="shared" si="81"/>
        <v>26.39</v>
      </c>
      <c r="BU424" s="34"/>
      <c r="BV424" s="34"/>
      <c r="BW424" s="34"/>
      <c r="BX424" s="34"/>
      <c r="BY424" s="30"/>
      <c r="BZ424" s="31">
        <f t="shared" si="77"/>
        <v>105.56</v>
      </c>
      <c r="CA424" s="31">
        <f t="shared" si="78"/>
        <v>105.56</v>
      </c>
    </row>
    <row r="425" spans="1:79" ht="56.25" x14ac:dyDescent="0.25">
      <c r="A425" s="17"/>
      <c r="B425" s="2">
        <v>419</v>
      </c>
      <c r="C425" s="18">
        <v>214</v>
      </c>
      <c r="D425" s="18">
        <v>29</v>
      </c>
      <c r="E425" s="19">
        <v>0.35416666666666669</v>
      </c>
      <c r="F425" s="59">
        <v>0.36874999999999997</v>
      </c>
      <c r="G425" s="18" t="s">
        <v>372</v>
      </c>
      <c r="H425" s="18" t="s">
        <v>737</v>
      </c>
      <c r="I425" s="20">
        <v>11.5</v>
      </c>
      <c r="J425" s="21">
        <v>8</v>
      </c>
      <c r="K425" s="22">
        <v>52</v>
      </c>
      <c r="L425" s="23">
        <f t="shared" si="79"/>
        <v>598</v>
      </c>
      <c r="M425" s="24" t="s">
        <v>153</v>
      </c>
      <c r="N425" s="25" t="s">
        <v>387</v>
      </c>
      <c r="O425" s="25">
        <v>23</v>
      </c>
      <c r="P425" s="25" t="s">
        <v>386</v>
      </c>
      <c r="Q425" s="25">
        <v>9</v>
      </c>
      <c r="R425" s="17"/>
      <c r="S425" s="25"/>
      <c r="T425" s="26">
        <v>2160</v>
      </c>
      <c r="U425" s="26" t="s">
        <v>377</v>
      </c>
      <c r="V425" s="26">
        <v>960</v>
      </c>
      <c r="W425" s="26" t="s">
        <v>151</v>
      </c>
      <c r="X425" s="66">
        <v>44805</v>
      </c>
      <c r="Y425" s="66">
        <v>45169</v>
      </c>
      <c r="Z425" s="66"/>
      <c r="AA425" s="66"/>
      <c r="AB425" s="28" t="s">
        <v>741</v>
      </c>
      <c r="AC425" s="28"/>
      <c r="AD425" s="28" t="s">
        <v>90</v>
      </c>
      <c r="AE425" s="28" t="s">
        <v>90</v>
      </c>
      <c r="AF425" s="28" t="s">
        <v>90</v>
      </c>
      <c r="AG425" s="28"/>
      <c r="AH425" s="28"/>
      <c r="AI425" s="28"/>
      <c r="AJ425" s="28" t="s">
        <v>90</v>
      </c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9">
        <v>26.39</v>
      </c>
      <c r="AY425" s="31"/>
      <c r="AZ425" s="30"/>
      <c r="BA425" s="29"/>
      <c r="BB425" s="29"/>
      <c r="BC425" s="30"/>
      <c r="BD425" s="31">
        <f t="shared" si="80"/>
        <v>1372.28</v>
      </c>
      <c r="BE425" s="31"/>
      <c r="BF425" s="30"/>
      <c r="BG425" s="36">
        <v>1</v>
      </c>
      <c r="BH425" s="31">
        <f t="shared" si="82"/>
        <v>0</v>
      </c>
      <c r="BI425" s="31">
        <f t="shared" si="83"/>
        <v>0</v>
      </c>
      <c r="BJ425" s="33">
        <f t="shared" si="84"/>
        <v>0</v>
      </c>
      <c r="BK425" s="30"/>
      <c r="BL425" s="30"/>
      <c r="BM425" s="30"/>
      <c r="BN425" s="30"/>
      <c r="BO425" s="33">
        <f t="shared" si="75"/>
        <v>0</v>
      </c>
      <c r="BP425" s="30">
        <v>4</v>
      </c>
      <c r="BQ425" s="30">
        <v>4</v>
      </c>
      <c r="BR425" s="30"/>
      <c r="BS425" s="30"/>
      <c r="BT425" s="34">
        <f t="shared" si="81"/>
        <v>26.39</v>
      </c>
      <c r="BU425" s="34"/>
      <c r="BV425" s="34"/>
      <c r="BW425" s="34"/>
      <c r="BX425" s="34"/>
      <c r="BY425" s="30"/>
      <c r="BZ425" s="31">
        <f t="shared" si="77"/>
        <v>105.56</v>
      </c>
      <c r="CA425" s="31">
        <f t="shared" si="78"/>
        <v>105.56</v>
      </c>
    </row>
    <row r="426" spans="1:79" ht="63.75" x14ac:dyDescent="0.25">
      <c r="A426" s="17"/>
      <c r="B426" s="2">
        <v>420</v>
      </c>
      <c r="C426" s="18">
        <v>214</v>
      </c>
      <c r="D426" s="18">
        <v>615</v>
      </c>
      <c r="E426" s="19">
        <v>0.41666666666666669</v>
      </c>
      <c r="F426" s="19">
        <v>0.4291666666666667</v>
      </c>
      <c r="G426" s="18" t="s">
        <v>993</v>
      </c>
      <c r="H426" s="58" t="s">
        <v>994</v>
      </c>
      <c r="I426" s="20">
        <v>12.5</v>
      </c>
      <c r="J426" s="21" t="s">
        <v>93</v>
      </c>
      <c r="K426" s="68">
        <v>34</v>
      </c>
      <c r="L426" s="23">
        <f t="shared" si="79"/>
        <v>425</v>
      </c>
      <c r="M426" s="24" t="s">
        <v>160</v>
      </c>
      <c r="N426" s="25" t="s">
        <v>995</v>
      </c>
      <c r="O426" s="25">
        <v>20</v>
      </c>
      <c r="P426" s="25" t="s">
        <v>996</v>
      </c>
      <c r="Q426" s="25">
        <v>27</v>
      </c>
      <c r="R426" s="17"/>
      <c r="S426" s="25"/>
      <c r="T426" s="26">
        <v>2314</v>
      </c>
      <c r="U426" s="26" t="s">
        <v>997</v>
      </c>
      <c r="V426" s="26" t="s">
        <v>998</v>
      </c>
      <c r="W426" s="26" t="s">
        <v>999</v>
      </c>
      <c r="X426" s="27">
        <v>44562</v>
      </c>
      <c r="Y426" s="27">
        <v>44815</v>
      </c>
      <c r="Z426" s="27">
        <v>45108</v>
      </c>
      <c r="AA426" s="27">
        <v>45138</v>
      </c>
      <c r="AB426" s="28" t="s">
        <v>1000</v>
      </c>
      <c r="AC426" s="28" t="s">
        <v>628</v>
      </c>
      <c r="AD426" s="28"/>
      <c r="AE426" s="28" t="s">
        <v>90</v>
      </c>
      <c r="AF426" s="28" t="s">
        <v>90</v>
      </c>
      <c r="AG426" s="28"/>
      <c r="AH426" s="28" t="s">
        <v>90</v>
      </c>
      <c r="AI426" s="28" t="s">
        <v>90</v>
      </c>
      <c r="AJ426" s="28" t="s">
        <v>90</v>
      </c>
      <c r="AK426" s="28" t="s">
        <v>90</v>
      </c>
      <c r="AL426" s="28" t="s">
        <v>90</v>
      </c>
      <c r="AM426" s="28" t="s">
        <v>90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9">
        <v>37.5</v>
      </c>
      <c r="AY426" s="31"/>
      <c r="AZ426" s="30"/>
      <c r="BA426" s="29"/>
      <c r="BB426" s="29"/>
      <c r="BC426" s="30"/>
      <c r="BD426" s="31">
        <f t="shared" si="80"/>
        <v>1275</v>
      </c>
      <c r="BE426" s="31"/>
      <c r="BF426" s="30"/>
      <c r="BG426" s="36">
        <v>1</v>
      </c>
      <c r="BH426" s="31">
        <f t="shared" si="82"/>
        <v>0</v>
      </c>
      <c r="BI426" s="31">
        <f t="shared" si="83"/>
        <v>0</v>
      </c>
      <c r="BJ426" s="33">
        <f t="shared" si="84"/>
        <v>0</v>
      </c>
      <c r="BK426" s="30"/>
      <c r="BL426" s="30"/>
      <c r="BM426" s="30"/>
      <c r="BN426" s="30"/>
      <c r="BO426" s="33">
        <f t="shared" si="75"/>
        <v>0</v>
      </c>
      <c r="BP426" s="30">
        <v>9</v>
      </c>
      <c r="BQ426" s="30">
        <v>0</v>
      </c>
      <c r="BR426" s="30"/>
      <c r="BS426" s="30"/>
      <c r="BT426" s="34">
        <f t="shared" si="81"/>
        <v>37.5</v>
      </c>
      <c r="BU426" s="34"/>
      <c r="BV426" s="34"/>
      <c r="BW426" s="34"/>
      <c r="BX426" s="34"/>
      <c r="BY426" s="30"/>
      <c r="BZ426" s="31">
        <f t="shared" si="77"/>
        <v>337.5</v>
      </c>
      <c r="CA426" s="31">
        <f t="shared" si="78"/>
        <v>0</v>
      </c>
    </row>
    <row r="427" spans="1:79" ht="90" x14ac:dyDescent="0.25">
      <c r="A427" s="17"/>
      <c r="B427" s="71" t="s">
        <v>1001</v>
      </c>
      <c r="C427" s="18">
        <v>214</v>
      </c>
      <c r="D427" s="18">
        <v>615</v>
      </c>
      <c r="E427" s="19">
        <v>0.41666666666666669</v>
      </c>
      <c r="F427" s="19">
        <v>0.4291666666666667</v>
      </c>
      <c r="G427" s="18" t="s">
        <v>993</v>
      </c>
      <c r="H427" s="58" t="s">
        <v>994</v>
      </c>
      <c r="I427" s="20">
        <v>12.5</v>
      </c>
      <c r="J427" s="21" t="s">
        <v>93</v>
      </c>
      <c r="K427" s="68">
        <v>33</v>
      </c>
      <c r="L427" s="23">
        <f t="shared" si="79"/>
        <v>412.5</v>
      </c>
      <c r="M427" s="24" t="s">
        <v>170</v>
      </c>
      <c r="N427" s="25" t="s">
        <v>1002</v>
      </c>
      <c r="O427" s="25">
        <v>18</v>
      </c>
      <c r="P427" s="25" t="s">
        <v>1003</v>
      </c>
      <c r="Q427" s="25">
        <v>17</v>
      </c>
      <c r="R427" s="17"/>
      <c r="S427" s="25"/>
      <c r="T427" s="26">
        <v>2314</v>
      </c>
      <c r="U427" s="26" t="s">
        <v>997</v>
      </c>
      <c r="V427" s="26" t="s">
        <v>998</v>
      </c>
      <c r="W427" s="26" t="s">
        <v>999</v>
      </c>
      <c r="X427" s="27">
        <v>45101</v>
      </c>
      <c r="Y427" s="27">
        <v>45107</v>
      </c>
      <c r="Z427" s="27">
        <v>45139</v>
      </c>
      <c r="AA427" s="27">
        <v>45169</v>
      </c>
      <c r="AB427" s="28" t="s">
        <v>1004</v>
      </c>
      <c r="AC427" s="28" t="s">
        <v>628</v>
      </c>
      <c r="AD427" s="28"/>
      <c r="AE427" s="28" t="s">
        <v>90</v>
      </c>
      <c r="AF427" s="28" t="s">
        <v>90</v>
      </c>
      <c r="AG427" s="28"/>
      <c r="AH427" s="28" t="s">
        <v>90</v>
      </c>
      <c r="AI427" s="28" t="s">
        <v>90</v>
      </c>
      <c r="AJ427" s="28" t="s">
        <v>90</v>
      </c>
      <c r="AK427" s="28" t="s">
        <v>90</v>
      </c>
      <c r="AL427" s="28" t="s">
        <v>90</v>
      </c>
      <c r="AM427" s="28" t="s">
        <v>90</v>
      </c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9">
        <v>37.5</v>
      </c>
      <c r="AY427" s="31"/>
      <c r="AZ427" s="30"/>
      <c r="BA427" s="29"/>
      <c r="BB427" s="29"/>
      <c r="BC427" s="30"/>
      <c r="BD427" s="31">
        <f t="shared" si="80"/>
        <v>1237.5</v>
      </c>
      <c r="BE427" s="31"/>
      <c r="BF427" s="30"/>
      <c r="BG427" s="36">
        <v>1</v>
      </c>
      <c r="BH427" s="31">
        <f t="shared" si="82"/>
        <v>0</v>
      </c>
      <c r="BI427" s="31">
        <f t="shared" si="83"/>
        <v>0</v>
      </c>
      <c r="BJ427" s="33">
        <f t="shared" si="84"/>
        <v>0</v>
      </c>
      <c r="BK427" s="30"/>
      <c r="BL427" s="30"/>
      <c r="BM427" s="30"/>
      <c r="BN427" s="30"/>
      <c r="BO427" s="33">
        <f t="shared" si="75"/>
        <v>0</v>
      </c>
      <c r="BP427" s="30">
        <v>0</v>
      </c>
      <c r="BQ427" s="30">
        <v>0</v>
      </c>
      <c r="BR427" s="30"/>
      <c r="BS427" s="30"/>
      <c r="BT427" s="34">
        <f t="shared" si="81"/>
        <v>37.5</v>
      </c>
      <c r="BU427" s="34"/>
      <c r="BV427" s="34"/>
      <c r="BW427" s="34"/>
      <c r="BX427" s="34"/>
      <c r="BY427" s="30"/>
      <c r="BZ427" s="31">
        <f t="shared" si="77"/>
        <v>0</v>
      </c>
      <c r="CA427" s="31">
        <f t="shared" si="78"/>
        <v>0</v>
      </c>
    </row>
    <row r="428" spans="1:79" ht="56.25" x14ac:dyDescent="0.25">
      <c r="A428" s="25"/>
      <c r="B428" s="2">
        <v>421</v>
      </c>
      <c r="C428" s="18">
        <v>214</v>
      </c>
      <c r="D428" s="18">
        <v>18</v>
      </c>
      <c r="E428" s="19">
        <v>0.4236111111111111</v>
      </c>
      <c r="F428" s="19">
        <v>0.46597222222222223</v>
      </c>
      <c r="G428" s="18" t="s">
        <v>1005</v>
      </c>
      <c r="H428" s="18" t="s">
        <v>290</v>
      </c>
      <c r="I428" s="20">
        <v>28</v>
      </c>
      <c r="J428" s="21" t="s">
        <v>81</v>
      </c>
      <c r="K428" s="22">
        <v>13</v>
      </c>
      <c r="L428" s="23">
        <f t="shared" si="79"/>
        <v>364</v>
      </c>
      <c r="M428" s="24" t="s">
        <v>153</v>
      </c>
      <c r="N428" s="25" t="s">
        <v>154</v>
      </c>
      <c r="O428" s="25">
        <v>57</v>
      </c>
      <c r="P428" s="25" t="s">
        <v>155</v>
      </c>
      <c r="Q428" s="25">
        <v>56</v>
      </c>
      <c r="R428" s="17"/>
      <c r="S428" s="25"/>
      <c r="T428" s="26">
        <v>960</v>
      </c>
      <c r="U428" s="26" t="s">
        <v>151</v>
      </c>
      <c r="V428" s="26">
        <v>2156</v>
      </c>
      <c r="W428" s="26" t="s">
        <v>999</v>
      </c>
      <c r="X428" s="27">
        <v>44562</v>
      </c>
      <c r="Y428" s="27">
        <v>44815</v>
      </c>
      <c r="Z428" s="27">
        <v>45101</v>
      </c>
      <c r="AA428" s="27">
        <v>45169</v>
      </c>
      <c r="AB428" s="62" t="s">
        <v>291</v>
      </c>
      <c r="AC428" s="62"/>
      <c r="AD428" s="28"/>
      <c r="AE428" s="28" t="s">
        <v>90</v>
      </c>
      <c r="AF428" s="28"/>
      <c r="AG428" s="28"/>
      <c r="AH428" s="28"/>
      <c r="AI428" s="28"/>
      <c r="AJ428" s="28"/>
      <c r="AK428" s="28"/>
      <c r="AL428" s="28"/>
      <c r="AM428" s="28"/>
      <c r="AN428" s="28" t="s">
        <v>90</v>
      </c>
      <c r="AO428" s="28"/>
      <c r="AP428" s="28"/>
      <c r="AQ428" s="28"/>
      <c r="AR428" s="28"/>
      <c r="AS428" s="28"/>
      <c r="AT428" s="28"/>
      <c r="AU428" s="28"/>
      <c r="AV428" s="28"/>
      <c r="AW428" s="28"/>
      <c r="AX428" s="29">
        <v>84</v>
      </c>
      <c r="AY428" s="31"/>
      <c r="AZ428" s="30"/>
      <c r="BA428" s="29"/>
      <c r="BB428" s="29"/>
      <c r="BC428" s="30"/>
      <c r="BD428" s="31">
        <f t="shared" si="80"/>
        <v>1092</v>
      </c>
      <c r="BE428" s="31"/>
      <c r="BF428" s="30"/>
      <c r="BG428" s="32">
        <v>2</v>
      </c>
      <c r="BH428" s="31">
        <f t="shared" si="82"/>
        <v>0</v>
      </c>
      <c r="BI428" s="31">
        <f t="shared" si="83"/>
        <v>0</v>
      </c>
      <c r="BJ428" s="33">
        <f t="shared" si="84"/>
        <v>0</v>
      </c>
      <c r="BK428" s="30"/>
      <c r="BL428" s="30"/>
      <c r="BM428" s="30"/>
      <c r="BN428" s="30"/>
      <c r="BO428" s="33">
        <f t="shared" si="75"/>
        <v>0</v>
      </c>
      <c r="BP428" s="30">
        <v>2</v>
      </c>
      <c r="BQ428" s="30">
        <v>0</v>
      </c>
      <c r="BR428" s="30"/>
      <c r="BS428" s="30"/>
      <c r="BT428" s="34">
        <f t="shared" si="81"/>
        <v>84</v>
      </c>
      <c r="BU428" s="34"/>
      <c r="BV428" s="34"/>
      <c r="BW428" s="34"/>
      <c r="BX428" s="34"/>
      <c r="BY428" s="30"/>
      <c r="BZ428" s="31">
        <f t="shared" si="77"/>
        <v>168</v>
      </c>
      <c r="CA428" s="31">
        <f t="shared" si="78"/>
        <v>0</v>
      </c>
    </row>
    <row r="429" spans="1:79" ht="38.25" x14ac:dyDescent="0.25">
      <c r="A429" s="17"/>
      <c r="B429" s="2">
        <v>422</v>
      </c>
      <c r="C429" s="18">
        <v>214</v>
      </c>
      <c r="D429" s="18">
        <v>639</v>
      </c>
      <c r="E429" s="19">
        <v>0.45833333333333331</v>
      </c>
      <c r="F429" s="19">
        <v>0.47083333333333338</v>
      </c>
      <c r="G429" s="18" t="s">
        <v>993</v>
      </c>
      <c r="H429" s="18" t="s">
        <v>290</v>
      </c>
      <c r="I429" s="20">
        <v>12.5</v>
      </c>
      <c r="J429" s="21" t="s">
        <v>93</v>
      </c>
      <c r="K429" s="22">
        <v>13</v>
      </c>
      <c r="L429" s="23">
        <f t="shared" si="79"/>
        <v>162.5</v>
      </c>
      <c r="M429" s="24" t="s">
        <v>160</v>
      </c>
      <c r="N429" s="25" t="s">
        <v>995</v>
      </c>
      <c r="O429" s="25">
        <v>20</v>
      </c>
      <c r="P429" s="25" t="s">
        <v>996</v>
      </c>
      <c r="Q429" s="25">
        <v>27</v>
      </c>
      <c r="R429" s="17"/>
      <c r="S429" s="25"/>
      <c r="T429" s="26">
        <v>2314</v>
      </c>
      <c r="U429" s="26" t="s">
        <v>997</v>
      </c>
      <c r="V429" s="26" t="s">
        <v>998</v>
      </c>
      <c r="W429" s="26" t="s">
        <v>999</v>
      </c>
      <c r="X429" s="27">
        <v>44562</v>
      </c>
      <c r="Y429" s="27">
        <v>44815</v>
      </c>
      <c r="Z429" s="27">
        <v>45101</v>
      </c>
      <c r="AA429" s="27">
        <v>45169</v>
      </c>
      <c r="AB429" s="62" t="s">
        <v>291</v>
      </c>
      <c r="AC429" s="62"/>
      <c r="AD429" s="28"/>
      <c r="AE429" s="28" t="s">
        <v>90</v>
      </c>
      <c r="AF429" s="28"/>
      <c r="AG429" s="28"/>
      <c r="AH429" s="28"/>
      <c r="AI429" s="28"/>
      <c r="AJ429" s="28"/>
      <c r="AK429" s="28"/>
      <c r="AL429" s="28"/>
      <c r="AM429" s="28"/>
      <c r="AN429" s="28" t="s">
        <v>90</v>
      </c>
      <c r="AO429" s="28"/>
      <c r="AP429" s="28"/>
      <c r="AQ429" s="28"/>
      <c r="AR429" s="28"/>
      <c r="AS429" s="28"/>
      <c r="AT429" s="28"/>
      <c r="AU429" s="28"/>
      <c r="AV429" s="28"/>
      <c r="AW429" s="28"/>
      <c r="AX429" s="29">
        <v>37.5</v>
      </c>
      <c r="AY429" s="31"/>
      <c r="AZ429" s="30"/>
      <c r="BA429" s="29"/>
      <c r="BB429" s="29"/>
      <c r="BC429" s="30"/>
      <c r="BD429" s="31">
        <f t="shared" si="80"/>
        <v>487.5</v>
      </c>
      <c r="BE429" s="31"/>
      <c r="BF429" s="30"/>
      <c r="BG429" s="36">
        <v>1</v>
      </c>
      <c r="BH429" s="31">
        <f t="shared" si="82"/>
        <v>0</v>
      </c>
      <c r="BI429" s="31">
        <f t="shared" si="83"/>
        <v>0</v>
      </c>
      <c r="BJ429" s="33">
        <f t="shared" si="84"/>
        <v>0</v>
      </c>
      <c r="BK429" s="30"/>
      <c r="BL429" s="30"/>
      <c r="BM429" s="30"/>
      <c r="BN429" s="30"/>
      <c r="BO429" s="33">
        <f t="shared" si="75"/>
        <v>0</v>
      </c>
      <c r="BP429" s="30">
        <v>2</v>
      </c>
      <c r="BQ429" s="30">
        <v>0</v>
      </c>
      <c r="BR429" s="30"/>
      <c r="BS429" s="30"/>
      <c r="BT429" s="34">
        <f t="shared" si="81"/>
        <v>37.5</v>
      </c>
      <c r="BU429" s="34"/>
      <c r="BV429" s="34"/>
      <c r="BW429" s="34"/>
      <c r="BX429" s="34"/>
      <c r="BY429" s="30"/>
      <c r="BZ429" s="31">
        <f t="shared" si="77"/>
        <v>75</v>
      </c>
      <c r="CA429" s="31">
        <f t="shared" si="78"/>
        <v>0</v>
      </c>
    </row>
    <row r="430" spans="1:79" ht="63.75" x14ac:dyDescent="0.25">
      <c r="A430" s="17"/>
      <c r="B430" s="2">
        <v>423</v>
      </c>
      <c r="C430" s="18">
        <v>214</v>
      </c>
      <c r="D430" s="18">
        <v>36</v>
      </c>
      <c r="E430" s="19">
        <v>0.46666666666666662</v>
      </c>
      <c r="F430" s="19">
        <v>0.47916666666666669</v>
      </c>
      <c r="G430" s="18" t="s">
        <v>1006</v>
      </c>
      <c r="H430" s="58" t="s">
        <v>994</v>
      </c>
      <c r="I430" s="20">
        <v>12.5</v>
      </c>
      <c r="J430" s="21" t="s">
        <v>93</v>
      </c>
      <c r="K430" s="68">
        <v>34</v>
      </c>
      <c r="L430" s="23">
        <f t="shared" si="79"/>
        <v>425</v>
      </c>
      <c r="M430" s="24" t="s">
        <v>160</v>
      </c>
      <c r="N430" s="25" t="s">
        <v>995</v>
      </c>
      <c r="O430" s="25">
        <v>20</v>
      </c>
      <c r="P430" s="25" t="s">
        <v>996</v>
      </c>
      <c r="Q430" s="25">
        <v>27</v>
      </c>
      <c r="R430" s="17"/>
      <c r="S430" s="25"/>
      <c r="T430" s="26" t="s">
        <v>998</v>
      </c>
      <c r="U430" s="26" t="s">
        <v>999</v>
      </c>
      <c r="V430" s="26">
        <v>2314</v>
      </c>
      <c r="W430" s="26" t="s">
        <v>997</v>
      </c>
      <c r="X430" s="27">
        <v>44562</v>
      </c>
      <c r="Y430" s="27">
        <v>44815</v>
      </c>
      <c r="Z430" s="27">
        <v>45108</v>
      </c>
      <c r="AA430" s="27">
        <v>45138</v>
      </c>
      <c r="AB430" s="28" t="s">
        <v>1000</v>
      </c>
      <c r="AC430" s="28" t="s">
        <v>628</v>
      </c>
      <c r="AD430" s="28"/>
      <c r="AE430" s="28" t="s">
        <v>90</v>
      </c>
      <c r="AF430" s="28" t="s">
        <v>90</v>
      </c>
      <c r="AG430" s="28"/>
      <c r="AH430" s="28" t="s">
        <v>90</v>
      </c>
      <c r="AI430" s="28" t="s">
        <v>90</v>
      </c>
      <c r="AJ430" s="28" t="s">
        <v>90</v>
      </c>
      <c r="AK430" s="28" t="s">
        <v>90</v>
      </c>
      <c r="AL430" s="28" t="s">
        <v>90</v>
      </c>
      <c r="AM430" s="28" t="s">
        <v>90</v>
      </c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9">
        <v>37.5</v>
      </c>
      <c r="AY430" s="31"/>
      <c r="AZ430" s="30"/>
      <c r="BA430" s="29"/>
      <c r="BB430" s="29"/>
      <c r="BC430" s="30"/>
      <c r="BD430" s="31">
        <f t="shared" si="80"/>
        <v>1275</v>
      </c>
      <c r="BE430" s="31"/>
      <c r="BF430" s="30"/>
      <c r="BG430" s="36">
        <v>1</v>
      </c>
      <c r="BH430" s="31">
        <f t="shared" si="82"/>
        <v>0</v>
      </c>
      <c r="BI430" s="31">
        <f t="shared" si="83"/>
        <v>0</v>
      </c>
      <c r="BJ430" s="33">
        <f t="shared" si="84"/>
        <v>0</v>
      </c>
      <c r="BK430" s="30"/>
      <c r="BL430" s="30"/>
      <c r="BM430" s="30"/>
      <c r="BN430" s="30"/>
      <c r="BO430" s="33">
        <f t="shared" si="75"/>
        <v>0</v>
      </c>
      <c r="BP430" s="30">
        <v>9</v>
      </c>
      <c r="BQ430" s="30">
        <v>0</v>
      </c>
      <c r="BR430" s="30"/>
      <c r="BS430" s="30"/>
      <c r="BT430" s="34">
        <f t="shared" si="81"/>
        <v>37.5</v>
      </c>
      <c r="BU430" s="34"/>
      <c r="BV430" s="34"/>
      <c r="BW430" s="34"/>
      <c r="BX430" s="34"/>
      <c r="BY430" s="30"/>
      <c r="BZ430" s="31">
        <f t="shared" si="77"/>
        <v>337.5</v>
      </c>
      <c r="CA430" s="31">
        <f t="shared" si="78"/>
        <v>0</v>
      </c>
    </row>
    <row r="431" spans="1:79" ht="90" x14ac:dyDescent="0.25">
      <c r="A431" s="17"/>
      <c r="B431" s="71" t="s">
        <v>1007</v>
      </c>
      <c r="C431" s="18">
        <v>214</v>
      </c>
      <c r="D431" s="18">
        <v>36</v>
      </c>
      <c r="E431" s="19">
        <v>0.46666666666666662</v>
      </c>
      <c r="F431" s="19">
        <v>0.47916666666666669</v>
      </c>
      <c r="G431" s="18" t="s">
        <v>1006</v>
      </c>
      <c r="H431" s="58" t="s">
        <v>994</v>
      </c>
      <c r="I431" s="20">
        <v>12.5</v>
      </c>
      <c r="J431" s="21" t="s">
        <v>93</v>
      </c>
      <c r="K431" s="68">
        <v>33</v>
      </c>
      <c r="L431" s="23">
        <f t="shared" si="79"/>
        <v>412.5</v>
      </c>
      <c r="M431" s="24" t="s">
        <v>170</v>
      </c>
      <c r="N431" s="25" t="s">
        <v>1002</v>
      </c>
      <c r="O431" s="25">
        <v>18</v>
      </c>
      <c r="P431" s="25" t="s">
        <v>1003</v>
      </c>
      <c r="Q431" s="25">
        <v>17</v>
      </c>
      <c r="R431" s="17"/>
      <c r="S431" s="25"/>
      <c r="T431" s="26" t="s">
        <v>998</v>
      </c>
      <c r="U431" s="26" t="s">
        <v>999</v>
      </c>
      <c r="V431" s="26">
        <v>2314</v>
      </c>
      <c r="W431" s="26" t="s">
        <v>997</v>
      </c>
      <c r="X431" s="27">
        <v>45101</v>
      </c>
      <c r="Y431" s="27">
        <v>45107</v>
      </c>
      <c r="Z431" s="27">
        <v>45139</v>
      </c>
      <c r="AA431" s="27">
        <v>45169</v>
      </c>
      <c r="AB431" s="28" t="s">
        <v>1004</v>
      </c>
      <c r="AC431" s="28" t="s">
        <v>628</v>
      </c>
      <c r="AD431" s="28"/>
      <c r="AE431" s="28" t="s">
        <v>90</v>
      </c>
      <c r="AF431" s="28" t="s">
        <v>90</v>
      </c>
      <c r="AG431" s="28"/>
      <c r="AH431" s="28" t="s">
        <v>90</v>
      </c>
      <c r="AI431" s="28" t="s">
        <v>90</v>
      </c>
      <c r="AJ431" s="28" t="s">
        <v>90</v>
      </c>
      <c r="AK431" s="28" t="s">
        <v>90</v>
      </c>
      <c r="AL431" s="28" t="s">
        <v>90</v>
      </c>
      <c r="AM431" s="28" t="s">
        <v>90</v>
      </c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9">
        <v>37.5</v>
      </c>
      <c r="AY431" s="31"/>
      <c r="AZ431" s="30"/>
      <c r="BA431" s="29"/>
      <c r="BB431" s="29"/>
      <c r="BC431" s="30"/>
      <c r="BD431" s="31">
        <f t="shared" si="80"/>
        <v>1237.5</v>
      </c>
      <c r="BE431" s="31"/>
      <c r="BF431" s="30"/>
      <c r="BG431" s="36">
        <v>1</v>
      </c>
      <c r="BH431" s="31">
        <f t="shared" si="82"/>
        <v>0</v>
      </c>
      <c r="BI431" s="31">
        <f t="shared" si="83"/>
        <v>0</v>
      </c>
      <c r="BJ431" s="33">
        <f t="shared" si="84"/>
        <v>0</v>
      </c>
      <c r="BK431" s="30"/>
      <c r="BL431" s="30"/>
      <c r="BM431" s="30"/>
      <c r="BN431" s="30"/>
      <c r="BO431" s="33">
        <f t="shared" si="75"/>
        <v>0</v>
      </c>
      <c r="BP431" s="30">
        <v>0</v>
      </c>
      <c r="BQ431" s="30">
        <v>0</v>
      </c>
      <c r="BR431" s="30"/>
      <c r="BS431" s="30"/>
      <c r="BT431" s="34">
        <f t="shared" si="81"/>
        <v>37.5</v>
      </c>
      <c r="BU431" s="34"/>
      <c r="BV431" s="34"/>
      <c r="BW431" s="34"/>
      <c r="BX431" s="34"/>
      <c r="BY431" s="30"/>
      <c r="BZ431" s="31">
        <f t="shared" si="77"/>
        <v>0</v>
      </c>
      <c r="CA431" s="31">
        <f t="shared" si="78"/>
        <v>0</v>
      </c>
    </row>
    <row r="432" spans="1:79" ht="56.25" x14ac:dyDescent="0.25">
      <c r="A432" s="25"/>
      <c r="B432" s="2">
        <v>424</v>
      </c>
      <c r="C432" s="18">
        <v>214</v>
      </c>
      <c r="D432" s="18">
        <v>741</v>
      </c>
      <c r="E432" s="19">
        <v>0.47222222222222227</v>
      </c>
      <c r="F432" s="19">
        <v>0.51527777777777783</v>
      </c>
      <c r="G432" s="18" t="s">
        <v>1008</v>
      </c>
      <c r="H432" s="18" t="s">
        <v>290</v>
      </c>
      <c r="I432" s="20">
        <v>28</v>
      </c>
      <c r="J432" s="21" t="s">
        <v>81</v>
      </c>
      <c r="K432" s="22">
        <v>13</v>
      </c>
      <c r="L432" s="23">
        <f t="shared" si="79"/>
        <v>364</v>
      </c>
      <c r="M432" s="24" t="s">
        <v>153</v>
      </c>
      <c r="N432" s="25" t="s">
        <v>154</v>
      </c>
      <c r="O432" s="25">
        <v>57</v>
      </c>
      <c r="P432" s="25" t="s">
        <v>155</v>
      </c>
      <c r="Q432" s="25">
        <v>56</v>
      </c>
      <c r="R432" s="17"/>
      <c r="S432" s="25"/>
      <c r="T432" s="26">
        <v>2156</v>
      </c>
      <c r="U432" s="26" t="s">
        <v>999</v>
      </c>
      <c r="V432" s="26">
        <v>960</v>
      </c>
      <c r="W432" s="26" t="s">
        <v>151</v>
      </c>
      <c r="X432" s="27">
        <v>44562</v>
      </c>
      <c r="Y432" s="27">
        <v>44815</v>
      </c>
      <c r="Z432" s="27">
        <v>45101</v>
      </c>
      <c r="AA432" s="27">
        <v>45169</v>
      </c>
      <c r="AB432" s="62" t="s">
        <v>291</v>
      </c>
      <c r="AC432" s="62"/>
      <c r="AD432" s="28"/>
      <c r="AE432" s="28" t="s">
        <v>90</v>
      </c>
      <c r="AF432" s="28"/>
      <c r="AG432" s="28"/>
      <c r="AH432" s="28"/>
      <c r="AI432" s="28"/>
      <c r="AJ432" s="28"/>
      <c r="AK432" s="28"/>
      <c r="AL432" s="28"/>
      <c r="AM432" s="28"/>
      <c r="AN432" s="28" t="s">
        <v>90</v>
      </c>
      <c r="AO432" s="28"/>
      <c r="AP432" s="28"/>
      <c r="AQ432" s="28"/>
      <c r="AR432" s="28"/>
      <c r="AS432" s="28"/>
      <c r="AT432" s="28"/>
      <c r="AU432" s="28"/>
      <c r="AV432" s="28"/>
      <c r="AW432" s="28"/>
      <c r="AX432" s="29">
        <v>84</v>
      </c>
      <c r="AY432" s="31"/>
      <c r="AZ432" s="30"/>
      <c r="BA432" s="29"/>
      <c r="BB432" s="29"/>
      <c r="BC432" s="30"/>
      <c r="BD432" s="31">
        <f t="shared" si="80"/>
        <v>1092</v>
      </c>
      <c r="BE432" s="31"/>
      <c r="BF432" s="30"/>
      <c r="BG432" s="32">
        <v>2</v>
      </c>
      <c r="BH432" s="31">
        <f t="shared" si="82"/>
        <v>0</v>
      </c>
      <c r="BI432" s="31">
        <f t="shared" si="83"/>
        <v>0</v>
      </c>
      <c r="BJ432" s="33">
        <f t="shared" si="84"/>
        <v>0</v>
      </c>
      <c r="BK432" s="30"/>
      <c r="BL432" s="30"/>
      <c r="BM432" s="30"/>
      <c r="BN432" s="30"/>
      <c r="BO432" s="33">
        <f t="shared" si="75"/>
        <v>0</v>
      </c>
      <c r="BP432" s="30">
        <v>2</v>
      </c>
      <c r="BQ432" s="30">
        <v>0</v>
      </c>
      <c r="BR432" s="30"/>
      <c r="BS432" s="30"/>
      <c r="BT432" s="34">
        <f t="shared" si="81"/>
        <v>84</v>
      </c>
      <c r="BU432" s="34"/>
      <c r="BV432" s="34"/>
      <c r="BW432" s="34"/>
      <c r="BX432" s="34"/>
      <c r="BY432" s="30"/>
      <c r="BZ432" s="31">
        <f t="shared" si="77"/>
        <v>168</v>
      </c>
      <c r="CA432" s="31">
        <f t="shared" si="78"/>
        <v>0</v>
      </c>
    </row>
    <row r="433" spans="1:79" ht="38.25" x14ac:dyDescent="0.25">
      <c r="A433" s="17"/>
      <c r="B433" s="2">
        <v>425</v>
      </c>
      <c r="C433" s="18">
        <v>214</v>
      </c>
      <c r="D433" s="18">
        <v>36</v>
      </c>
      <c r="E433" s="19">
        <v>0.47222222222222227</v>
      </c>
      <c r="F433" s="19">
        <v>0.48472222222222222</v>
      </c>
      <c r="G433" s="18" t="s">
        <v>1009</v>
      </c>
      <c r="H433" s="18" t="s">
        <v>290</v>
      </c>
      <c r="I433" s="20">
        <v>12.5</v>
      </c>
      <c r="J433" s="21" t="s">
        <v>93</v>
      </c>
      <c r="K433" s="22">
        <v>13</v>
      </c>
      <c r="L433" s="23">
        <f t="shared" si="79"/>
        <v>162.5</v>
      </c>
      <c r="M433" s="24" t="s">
        <v>160</v>
      </c>
      <c r="N433" s="25" t="s">
        <v>995</v>
      </c>
      <c r="O433" s="25">
        <v>20</v>
      </c>
      <c r="P433" s="25" t="s">
        <v>996</v>
      </c>
      <c r="Q433" s="25">
        <v>27</v>
      </c>
      <c r="R433" s="17"/>
      <c r="S433" s="25"/>
      <c r="T433" s="26" t="s">
        <v>998</v>
      </c>
      <c r="U433" s="26" t="s">
        <v>999</v>
      </c>
      <c r="V433" s="26">
        <v>2314</v>
      </c>
      <c r="W433" s="26" t="s">
        <v>997</v>
      </c>
      <c r="X433" s="27">
        <v>44562</v>
      </c>
      <c r="Y433" s="27">
        <v>44815</v>
      </c>
      <c r="Z433" s="27">
        <v>45101</v>
      </c>
      <c r="AA433" s="27">
        <v>45169</v>
      </c>
      <c r="AB433" s="62" t="s">
        <v>291</v>
      </c>
      <c r="AC433" s="62"/>
      <c r="AD433" s="28"/>
      <c r="AE433" s="28" t="s">
        <v>90</v>
      </c>
      <c r="AF433" s="28"/>
      <c r="AG433" s="28"/>
      <c r="AH433" s="28"/>
      <c r="AI433" s="28"/>
      <c r="AJ433" s="28"/>
      <c r="AK433" s="28"/>
      <c r="AL433" s="28"/>
      <c r="AM433" s="28"/>
      <c r="AN433" s="28" t="s">
        <v>90</v>
      </c>
      <c r="AO433" s="28"/>
      <c r="AP433" s="28"/>
      <c r="AQ433" s="28"/>
      <c r="AR433" s="28"/>
      <c r="AS433" s="28"/>
      <c r="AT433" s="28"/>
      <c r="AU433" s="28"/>
      <c r="AV433" s="28"/>
      <c r="AW433" s="28"/>
      <c r="AX433" s="29">
        <v>37.5</v>
      </c>
      <c r="AY433" s="31"/>
      <c r="AZ433" s="30"/>
      <c r="BA433" s="29"/>
      <c r="BB433" s="29"/>
      <c r="BC433" s="30"/>
      <c r="BD433" s="31">
        <f t="shared" si="80"/>
        <v>487.5</v>
      </c>
      <c r="BE433" s="31"/>
      <c r="BF433" s="30"/>
      <c r="BG433" s="36">
        <v>1</v>
      </c>
      <c r="BH433" s="31">
        <f t="shared" si="82"/>
        <v>0</v>
      </c>
      <c r="BI433" s="31">
        <f t="shared" si="83"/>
        <v>0</v>
      </c>
      <c r="BJ433" s="33">
        <f t="shared" si="84"/>
        <v>0</v>
      </c>
      <c r="BK433" s="30"/>
      <c r="BL433" s="30"/>
      <c r="BM433" s="30"/>
      <c r="BN433" s="30"/>
      <c r="BO433" s="33">
        <f t="shared" si="75"/>
        <v>0</v>
      </c>
      <c r="BP433" s="30">
        <v>2</v>
      </c>
      <c r="BQ433" s="30">
        <v>0</v>
      </c>
      <c r="BR433" s="30"/>
      <c r="BS433" s="30"/>
      <c r="BT433" s="34">
        <f t="shared" si="81"/>
        <v>37.5</v>
      </c>
      <c r="BU433" s="34"/>
      <c r="BV433" s="34"/>
      <c r="BW433" s="34"/>
      <c r="BX433" s="34"/>
      <c r="BY433" s="30"/>
      <c r="BZ433" s="31">
        <f t="shared" si="77"/>
        <v>75</v>
      </c>
      <c r="CA433" s="31">
        <f t="shared" si="78"/>
        <v>0</v>
      </c>
    </row>
    <row r="434" spans="1:79" ht="90" x14ac:dyDescent="0.25">
      <c r="A434" s="17"/>
      <c r="B434" s="2">
        <v>426</v>
      </c>
      <c r="C434" s="18">
        <v>214</v>
      </c>
      <c r="D434" s="18">
        <v>38</v>
      </c>
      <c r="E434" s="19">
        <v>0.57361111111111118</v>
      </c>
      <c r="F434" s="19">
        <v>0.58472222222222225</v>
      </c>
      <c r="G434" s="18" t="s">
        <v>1010</v>
      </c>
      <c r="H434" s="18" t="s">
        <v>1011</v>
      </c>
      <c r="I434" s="20">
        <v>13</v>
      </c>
      <c r="J434" s="21" t="s">
        <v>463</v>
      </c>
      <c r="K434" s="22">
        <f>174-36</f>
        <v>138</v>
      </c>
      <c r="L434" s="23">
        <f t="shared" si="79"/>
        <v>1794</v>
      </c>
      <c r="M434" s="24" t="s">
        <v>170</v>
      </c>
      <c r="N434" s="25" t="s">
        <v>1002</v>
      </c>
      <c r="O434" s="25">
        <v>18</v>
      </c>
      <c r="P434" s="25" t="s">
        <v>1012</v>
      </c>
      <c r="Q434" s="25">
        <v>17</v>
      </c>
      <c r="R434" s="25" t="s">
        <v>1013</v>
      </c>
      <c r="S434" s="35">
        <v>24</v>
      </c>
      <c r="T434" s="26">
        <v>2156</v>
      </c>
      <c r="U434" s="26" t="s">
        <v>999</v>
      </c>
      <c r="V434" s="26" t="s">
        <v>1014</v>
      </c>
      <c r="W434" s="26" t="s">
        <v>997</v>
      </c>
      <c r="X434" s="66">
        <v>44816</v>
      </c>
      <c r="Y434" s="66">
        <v>45086</v>
      </c>
      <c r="Z434" s="66"/>
      <c r="AA434" s="66"/>
      <c r="AB434" s="26" t="s">
        <v>1015</v>
      </c>
      <c r="AC434" s="26"/>
      <c r="AD434" s="28"/>
      <c r="AE434" s="28"/>
      <c r="AF434" s="28"/>
      <c r="AG434" s="28" t="s">
        <v>90</v>
      </c>
      <c r="AH434" s="28" t="s">
        <v>90</v>
      </c>
      <c r="AI434" s="28" t="s">
        <v>90</v>
      </c>
      <c r="AJ434" s="28"/>
      <c r="AK434" s="28" t="s">
        <v>90</v>
      </c>
      <c r="AL434" s="28" t="s">
        <v>90</v>
      </c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9">
        <v>40.79</v>
      </c>
      <c r="AY434" s="31"/>
      <c r="AZ434" s="30"/>
      <c r="BA434" s="29"/>
      <c r="BB434" s="29"/>
      <c r="BC434" s="30"/>
      <c r="BD434" s="31">
        <f t="shared" si="80"/>
        <v>5629.0199999999995</v>
      </c>
      <c r="BE434" s="31"/>
      <c r="BF434" s="30"/>
      <c r="BG434" s="36">
        <v>1</v>
      </c>
      <c r="BH434" s="31">
        <f t="shared" si="82"/>
        <v>0</v>
      </c>
      <c r="BI434" s="31">
        <f t="shared" si="83"/>
        <v>0</v>
      </c>
      <c r="BJ434" s="33">
        <f t="shared" si="84"/>
        <v>0</v>
      </c>
      <c r="BK434" s="30"/>
      <c r="BL434" s="30"/>
      <c r="BM434" s="30"/>
      <c r="BN434" s="30"/>
      <c r="BO434" s="33">
        <f t="shared" si="75"/>
        <v>0</v>
      </c>
      <c r="BP434" s="30">
        <v>12</v>
      </c>
      <c r="BQ434" s="30">
        <v>16</v>
      </c>
      <c r="BR434" s="30"/>
      <c r="BS434" s="30"/>
      <c r="BT434" s="34">
        <f t="shared" si="81"/>
        <v>40.79</v>
      </c>
      <c r="BU434" s="34"/>
      <c r="BV434" s="34"/>
      <c r="BW434" s="34"/>
      <c r="BX434" s="34"/>
      <c r="BY434" s="30"/>
      <c r="BZ434" s="31">
        <f t="shared" si="77"/>
        <v>489.48</v>
      </c>
      <c r="CA434" s="31">
        <f t="shared" si="78"/>
        <v>652.64</v>
      </c>
    </row>
    <row r="435" spans="1:79" ht="56.25" x14ac:dyDescent="0.25">
      <c r="A435" s="25"/>
      <c r="B435" s="2">
        <v>427</v>
      </c>
      <c r="C435" s="18">
        <v>214</v>
      </c>
      <c r="D435" s="18">
        <v>66</v>
      </c>
      <c r="E435" s="19">
        <v>0.59027777777777779</v>
      </c>
      <c r="F435" s="19">
        <v>0.63263888888888886</v>
      </c>
      <c r="G435" s="18" t="s">
        <v>1005</v>
      </c>
      <c r="H435" s="18" t="s">
        <v>290</v>
      </c>
      <c r="I435" s="20">
        <v>28</v>
      </c>
      <c r="J435" s="21" t="s">
        <v>104</v>
      </c>
      <c r="K435" s="22">
        <v>13</v>
      </c>
      <c r="L435" s="23">
        <f t="shared" si="79"/>
        <v>364</v>
      </c>
      <c r="M435" s="24" t="s">
        <v>153</v>
      </c>
      <c r="N435" s="25" t="s">
        <v>154</v>
      </c>
      <c r="O435" s="25">
        <v>57</v>
      </c>
      <c r="P435" s="25" t="s">
        <v>155</v>
      </c>
      <c r="Q435" s="25">
        <v>56</v>
      </c>
      <c r="R435" s="17"/>
      <c r="S435" s="25"/>
      <c r="T435" s="26">
        <v>960</v>
      </c>
      <c r="U435" s="26" t="s">
        <v>151</v>
      </c>
      <c r="V435" s="26">
        <v>2156</v>
      </c>
      <c r="W435" s="26" t="s">
        <v>999</v>
      </c>
      <c r="X435" s="27">
        <v>44562</v>
      </c>
      <c r="Y435" s="27">
        <v>44815</v>
      </c>
      <c r="Z435" s="27">
        <v>45101</v>
      </c>
      <c r="AA435" s="27">
        <v>45169</v>
      </c>
      <c r="AB435" s="62" t="s">
        <v>291</v>
      </c>
      <c r="AC435" s="62"/>
      <c r="AD435" s="28"/>
      <c r="AE435" s="28" t="s">
        <v>90</v>
      </c>
      <c r="AF435" s="28"/>
      <c r="AG435" s="28"/>
      <c r="AH435" s="28"/>
      <c r="AI435" s="28"/>
      <c r="AJ435" s="28"/>
      <c r="AK435" s="28"/>
      <c r="AL435" s="28"/>
      <c r="AM435" s="28"/>
      <c r="AN435" s="28" t="s">
        <v>90</v>
      </c>
      <c r="AO435" s="28"/>
      <c r="AP435" s="28"/>
      <c r="AQ435" s="28"/>
      <c r="AR435" s="28"/>
      <c r="AS435" s="28"/>
      <c r="AT435" s="28"/>
      <c r="AU435" s="28"/>
      <c r="AV435" s="28"/>
      <c r="AW435" s="28"/>
      <c r="AX435" s="29">
        <v>84</v>
      </c>
      <c r="AY435" s="31"/>
      <c r="AZ435" s="30"/>
      <c r="BA435" s="29"/>
      <c r="BB435" s="29"/>
      <c r="BC435" s="30"/>
      <c r="BD435" s="31">
        <f t="shared" si="80"/>
        <v>1092</v>
      </c>
      <c r="BE435" s="31"/>
      <c r="BF435" s="30"/>
      <c r="BG435" s="36">
        <v>1</v>
      </c>
      <c r="BH435" s="31">
        <f t="shared" si="82"/>
        <v>0</v>
      </c>
      <c r="BI435" s="31">
        <f t="shared" si="83"/>
        <v>0</v>
      </c>
      <c r="BJ435" s="33">
        <f t="shared" si="84"/>
        <v>0</v>
      </c>
      <c r="BK435" s="30"/>
      <c r="BL435" s="30"/>
      <c r="BM435" s="30"/>
      <c r="BN435" s="30"/>
      <c r="BO435" s="33">
        <f t="shared" si="75"/>
        <v>0</v>
      </c>
      <c r="BP435" s="30">
        <v>2</v>
      </c>
      <c r="BQ435" s="30">
        <v>0</v>
      </c>
      <c r="BR435" s="30"/>
      <c r="BS435" s="30"/>
      <c r="BT435" s="34">
        <f t="shared" si="81"/>
        <v>84</v>
      </c>
      <c r="BU435" s="34"/>
      <c r="BV435" s="34"/>
      <c r="BW435" s="34"/>
      <c r="BX435" s="34"/>
      <c r="BY435" s="30"/>
      <c r="BZ435" s="31">
        <f t="shared" si="77"/>
        <v>168</v>
      </c>
      <c r="CA435" s="31">
        <f t="shared" si="78"/>
        <v>0</v>
      </c>
    </row>
    <row r="436" spans="1:79" ht="38.25" x14ac:dyDescent="0.25">
      <c r="A436" s="17"/>
      <c r="B436" s="2">
        <v>428</v>
      </c>
      <c r="C436" s="18">
        <v>214</v>
      </c>
      <c r="D436" s="18">
        <v>641</v>
      </c>
      <c r="E436" s="19">
        <v>0.625</v>
      </c>
      <c r="F436" s="19">
        <v>0.63750000000000007</v>
      </c>
      <c r="G436" s="18" t="s">
        <v>993</v>
      </c>
      <c r="H436" s="18" t="s">
        <v>290</v>
      </c>
      <c r="I436" s="20">
        <v>12.5</v>
      </c>
      <c r="J436" s="21" t="s">
        <v>93</v>
      </c>
      <c r="K436" s="22">
        <v>13</v>
      </c>
      <c r="L436" s="23">
        <f t="shared" si="79"/>
        <v>162.5</v>
      </c>
      <c r="M436" s="24" t="s">
        <v>160</v>
      </c>
      <c r="N436" s="25" t="s">
        <v>995</v>
      </c>
      <c r="O436" s="25">
        <v>20</v>
      </c>
      <c r="P436" s="25" t="s">
        <v>996</v>
      </c>
      <c r="Q436" s="25">
        <v>27</v>
      </c>
      <c r="R436" s="17"/>
      <c r="S436" s="25"/>
      <c r="T436" s="26">
        <v>2314</v>
      </c>
      <c r="U436" s="26" t="s">
        <v>997</v>
      </c>
      <c r="V436" s="26" t="s">
        <v>998</v>
      </c>
      <c r="W436" s="26" t="s">
        <v>999</v>
      </c>
      <c r="X436" s="27">
        <v>44562</v>
      </c>
      <c r="Y436" s="27">
        <v>44815</v>
      </c>
      <c r="Z436" s="27">
        <v>45101</v>
      </c>
      <c r="AA436" s="27">
        <v>45169</v>
      </c>
      <c r="AB436" s="62" t="s">
        <v>291</v>
      </c>
      <c r="AC436" s="62"/>
      <c r="AD436" s="28"/>
      <c r="AE436" s="28" t="s">
        <v>90</v>
      </c>
      <c r="AF436" s="28"/>
      <c r="AG436" s="28"/>
      <c r="AH436" s="28"/>
      <c r="AI436" s="28"/>
      <c r="AJ436" s="28"/>
      <c r="AK436" s="28"/>
      <c r="AL436" s="28"/>
      <c r="AM436" s="28"/>
      <c r="AN436" s="28" t="s">
        <v>90</v>
      </c>
      <c r="AO436" s="28"/>
      <c r="AP436" s="28"/>
      <c r="AQ436" s="28"/>
      <c r="AR436" s="28"/>
      <c r="AS436" s="28"/>
      <c r="AT436" s="28"/>
      <c r="AU436" s="28"/>
      <c r="AV436" s="28"/>
      <c r="AW436" s="28"/>
      <c r="AX436" s="29">
        <v>37.5</v>
      </c>
      <c r="AY436" s="31"/>
      <c r="AZ436" s="30"/>
      <c r="BA436" s="29"/>
      <c r="BB436" s="29"/>
      <c r="BC436" s="30"/>
      <c r="BD436" s="31">
        <f t="shared" si="80"/>
        <v>487.5</v>
      </c>
      <c r="BE436" s="31"/>
      <c r="BF436" s="30"/>
      <c r="BG436" s="36">
        <v>1</v>
      </c>
      <c r="BH436" s="31">
        <f t="shared" si="82"/>
        <v>0</v>
      </c>
      <c r="BI436" s="31">
        <f t="shared" si="83"/>
        <v>0</v>
      </c>
      <c r="BJ436" s="33">
        <f t="shared" si="84"/>
        <v>0</v>
      </c>
      <c r="BK436" s="30"/>
      <c r="BL436" s="30"/>
      <c r="BM436" s="30"/>
      <c r="BN436" s="30"/>
      <c r="BO436" s="33">
        <f t="shared" si="75"/>
        <v>0</v>
      </c>
      <c r="BP436" s="30">
        <v>2</v>
      </c>
      <c r="BQ436" s="30">
        <v>0</v>
      </c>
      <c r="BR436" s="30"/>
      <c r="BS436" s="30"/>
      <c r="BT436" s="34">
        <f t="shared" si="81"/>
        <v>37.5</v>
      </c>
      <c r="BU436" s="34"/>
      <c r="BV436" s="34"/>
      <c r="BW436" s="34"/>
      <c r="BX436" s="34"/>
      <c r="BY436" s="30"/>
      <c r="BZ436" s="31">
        <f t="shared" si="77"/>
        <v>75</v>
      </c>
      <c r="CA436" s="31">
        <f t="shared" si="78"/>
        <v>0</v>
      </c>
    </row>
    <row r="437" spans="1:79" ht="90" x14ac:dyDescent="0.25">
      <c r="A437" s="17"/>
      <c r="B437" s="2">
        <v>429</v>
      </c>
      <c r="C437" s="18">
        <v>214</v>
      </c>
      <c r="D437" s="18">
        <v>42</v>
      </c>
      <c r="E437" s="19">
        <v>0.62638888888888888</v>
      </c>
      <c r="F437" s="59">
        <v>0.66180555555555554</v>
      </c>
      <c r="G437" s="18" t="s">
        <v>1016</v>
      </c>
      <c r="H437" s="18" t="s">
        <v>273</v>
      </c>
      <c r="I437" s="20">
        <v>36</v>
      </c>
      <c r="J437" s="21" t="s">
        <v>541</v>
      </c>
      <c r="K437" s="22">
        <v>174</v>
      </c>
      <c r="L437" s="23">
        <f t="shared" si="79"/>
        <v>6264</v>
      </c>
      <c r="M437" s="24" t="s">
        <v>170</v>
      </c>
      <c r="N437" s="25" t="s">
        <v>1002</v>
      </c>
      <c r="O437" s="25">
        <v>18</v>
      </c>
      <c r="P437" s="25" t="s">
        <v>1012</v>
      </c>
      <c r="Q437" s="25">
        <v>17</v>
      </c>
      <c r="R437" s="17" t="s">
        <v>1013</v>
      </c>
      <c r="S437" s="35">
        <v>24</v>
      </c>
      <c r="T437" s="26">
        <v>2156</v>
      </c>
      <c r="U437" s="26" t="s">
        <v>999</v>
      </c>
      <c r="V437" s="26">
        <v>2305</v>
      </c>
      <c r="W437" s="26" t="s">
        <v>987</v>
      </c>
      <c r="X437" s="66">
        <v>44816</v>
      </c>
      <c r="Y437" s="66">
        <v>45086</v>
      </c>
      <c r="Z437" s="66"/>
      <c r="AA437" s="66"/>
      <c r="AB437" s="26" t="s">
        <v>282</v>
      </c>
      <c r="AC437" s="26"/>
      <c r="AD437" s="28"/>
      <c r="AE437" s="28"/>
      <c r="AF437" s="28"/>
      <c r="AG437" s="28" t="s">
        <v>90</v>
      </c>
      <c r="AH437" s="28" t="s">
        <v>90</v>
      </c>
      <c r="AI437" s="28" t="s">
        <v>90</v>
      </c>
      <c r="AJ437" s="28" t="s">
        <v>90</v>
      </c>
      <c r="AK437" s="28" t="s">
        <v>90</v>
      </c>
      <c r="AL437" s="28" t="s">
        <v>90</v>
      </c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31">
        <f>((108*138)+(102.59*36))/K437</f>
        <v>106.88068965517242</v>
      </c>
      <c r="AY437" s="31"/>
      <c r="AZ437" s="30"/>
      <c r="BA437" s="29"/>
      <c r="BB437" s="29"/>
      <c r="BC437" s="30"/>
      <c r="BD437" s="31">
        <f t="shared" si="80"/>
        <v>18597.240000000002</v>
      </c>
      <c r="BE437" s="31"/>
      <c r="BF437" s="30"/>
      <c r="BG437" s="36">
        <v>1</v>
      </c>
      <c r="BH437" s="31">
        <f t="shared" si="82"/>
        <v>0</v>
      </c>
      <c r="BI437" s="31">
        <f t="shared" si="83"/>
        <v>0</v>
      </c>
      <c r="BJ437" s="33">
        <f t="shared" si="84"/>
        <v>0</v>
      </c>
      <c r="BK437" s="30"/>
      <c r="BL437" s="30"/>
      <c r="BM437" s="30"/>
      <c r="BN437" s="30"/>
      <c r="BO437" s="33">
        <f t="shared" si="75"/>
        <v>0</v>
      </c>
      <c r="BP437" s="30">
        <v>15</v>
      </c>
      <c r="BQ437" s="30">
        <v>20</v>
      </c>
      <c r="BR437" s="30"/>
      <c r="BS437" s="30"/>
      <c r="BT437" s="34">
        <f t="shared" si="81"/>
        <v>106.88068965517242</v>
      </c>
      <c r="BU437" s="34"/>
      <c r="BV437" s="34"/>
      <c r="BW437" s="34"/>
      <c r="BX437" s="34"/>
      <c r="BY437" s="30"/>
      <c r="BZ437" s="31">
        <f t="shared" si="77"/>
        <v>1603.2103448275864</v>
      </c>
      <c r="CA437" s="31">
        <f t="shared" si="78"/>
        <v>2137.6137931034482</v>
      </c>
    </row>
    <row r="438" spans="1:79" ht="63.75" x14ac:dyDescent="0.25">
      <c r="A438" s="17"/>
      <c r="B438" s="2">
        <v>430</v>
      </c>
      <c r="C438" s="18">
        <v>214</v>
      </c>
      <c r="D438" s="18">
        <v>42</v>
      </c>
      <c r="E438" s="19">
        <v>0.63472222222222219</v>
      </c>
      <c r="F438" s="19">
        <v>0.67013888888888884</v>
      </c>
      <c r="G438" s="18" t="s">
        <v>1017</v>
      </c>
      <c r="H438" s="18" t="s">
        <v>429</v>
      </c>
      <c r="I438" s="20">
        <v>36</v>
      </c>
      <c r="J438" s="21" t="s">
        <v>380</v>
      </c>
      <c r="K438" s="22">
        <v>34</v>
      </c>
      <c r="L438" s="23">
        <f t="shared" si="79"/>
        <v>1224</v>
      </c>
      <c r="M438" s="24" t="s">
        <v>333</v>
      </c>
      <c r="N438" s="25" t="s">
        <v>830</v>
      </c>
      <c r="O438" s="25">
        <v>17</v>
      </c>
      <c r="P438" s="25" t="s">
        <v>1018</v>
      </c>
      <c r="Q438" s="25">
        <v>9</v>
      </c>
      <c r="R438" s="25"/>
      <c r="S438" s="25"/>
      <c r="T438" s="26">
        <v>2156</v>
      </c>
      <c r="U438" s="26" t="s">
        <v>999</v>
      </c>
      <c r="V438" s="26">
        <v>2305</v>
      </c>
      <c r="W438" s="26" t="s">
        <v>987</v>
      </c>
      <c r="X438" s="66">
        <v>44816</v>
      </c>
      <c r="Y438" s="66">
        <v>45086</v>
      </c>
      <c r="Z438" s="66"/>
      <c r="AA438" s="66"/>
      <c r="AB438" s="26" t="s">
        <v>382</v>
      </c>
      <c r="AC438" s="26"/>
      <c r="AD438" s="28"/>
      <c r="AE438" s="28"/>
      <c r="AF438" s="28"/>
      <c r="AG438" s="28" t="s">
        <v>90</v>
      </c>
      <c r="AH438" s="28"/>
      <c r="AI438" s="28"/>
      <c r="AJ438" s="28"/>
      <c r="AK438" s="28"/>
      <c r="AL438" s="28"/>
      <c r="AM438" s="28" t="s">
        <v>90</v>
      </c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9">
        <v>106.44</v>
      </c>
      <c r="AY438" s="31"/>
      <c r="AZ438" s="30"/>
      <c r="BA438" s="29"/>
      <c r="BB438" s="29"/>
      <c r="BC438" s="30"/>
      <c r="BD438" s="31">
        <f t="shared" si="80"/>
        <v>3618.96</v>
      </c>
      <c r="BE438" s="31"/>
      <c r="BF438" s="30"/>
      <c r="BG438" s="36">
        <v>1</v>
      </c>
      <c r="BH438" s="31">
        <f t="shared" si="82"/>
        <v>0</v>
      </c>
      <c r="BI438" s="31">
        <f t="shared" si="83"/>
        <v>0</v>
      </c>
      <c r="BJ438" s="33">
        <f t="shared" si="84"/>
        <v>0</v>
      </c>
      <c r="BK438" s="30"/>
      <c r="BL438" s="30"/>
      <c r="BM438" s="30"/>
      <c r="BN438" s="30"/>
      <c r="BO438" s="33">
        <f t="shared" si="75"/>
        <v>0</v>
      </c>
      <c r="BP438" s="30">
        <v>2</v>
      </c>
      <c r="BQ438" s="30">
        <v>5</v>
      </c>
      <c r="BR438" s="30"/>
      <c r="BS438" s="30"/>
      <c r="BT438" s="34">
        <f t="shared" si="81"/>
        <v>106.44</v>
      </c>
      <c r="BU438" s="34"/>
      <c r="BV438" s="34"/>
      <c r="BW438" s="34"/>
      <c r="BX438" s="34"/>
      <c r="BY438" s="30"/>
      <c r="BZ438" s="31">
        <f t="shared" si="77"/>
        <v>212.88</v>
      </c>
      <c r="CA438" s="31">
        <f t="shared" si="78"/>
        <v>532.20000000000005</v>
      </c>
    </row>
    <row r="439" spans="1:79" ht="56.25" x14ac:dyDescent="0.25">
      <c r="A439" s="25"/>
      <c r="B439" s="2">
        <v>431</v>
      </c>
      <c r="C439" s="18">
        <v>214</v>
      </c>
      <c r="D439" s="18">
        <v>745</v>
      </c>
      <c r="E439" s="19">
        <v>0.63888888888888895</v>
      </c>
      <c r="F439" s="19">
        <v>0.68194444444444446</v>
      </c>
      <c r="G439" s="18" t="s">
        <v>1008</v>
      </c>
      <c r="H439" s="18" t="s">
        <v>290</v>
      </c>
      <c r="I439" s="20">
        <v>28</v>
      </c>
      <c r="J439" s="21" t="s">
        <v>81</v>
      </c>
      <c r="K439" s="22">
        <v>13</v>
      </c>
      <c r="L439" s="23">
        <f t="shared" si="79"/>
        <v>364</v>
      </c>
      <c r="M439" s="24" t="s">
        <v>153</v>
      </c>
      <c r="N439" s="25" t="s">
        <v>154</v>
      </c>
      <c r="O439" s="25">
        <v>57</v>
      </c>
      <c r="P439" s="25" t="s">
        <v>155</v>
      </c>
      <c r="Q439" s="25">
        <v>56</v>
      </c>
      <c r="R439" s="17"/>
      <c r="S439" s="25"/>
      <c r="T439" s="26">
        <v>2156</v>
      </c>
      <c r="U439" s="26" t="s">
        <v>999</v>
      </c>
      <c r="V439" s="26">
        <v>960</v>
      </c>
      <c r="W439" s="26" t="s">
        <v>151</v>
      </c>
      <c r="X439" s="27">
        <v>44562</v>
      </c>
      <c r="Y439" s="27">
        <v>44815</v>
      </c>
      <c r="Z439" s="27">
        <v>45101</v>
      </c>
      <c r="AA439" s="27">
        <v>45169</v>
      </c>
      <c r="AB439" s="62" t="s">
        <v>291</v>
      </c>
      <c r="AC439" s="62"/>
      <c r="AD439" s="28"/>
      <c r="AE439" s="28" t="s">
        <v>90</v>
      </c>
      <c r="AF439" s="28"/>
      <c r="AG439" s="28"/>
      <c r="AH439" s="28"/>
      <c r="AI439" s="28"/>
      <c r="AJ439" s="28"/>
      <c r="AK439" s="28"/>
      <c r="AL439" s="28"/>
      <c r="AM439" s="28"/>
      <c r="AN439" s="28" t="s">
        <v>90</v>
      </c>
      <c r="AO439" s="28"/>
      <c r="AP439" s="28"/>
      <c r="AQ439" s="28"/>
      <c r="AR439" s="28"/>
      <c r="AS439" s="28"/>
      <c r="AT439" s="28"/>
      <c r="AU439" s="28"/>
      <c r="AV439" s="28"/>
      <c r="AW439" s="28"/>
      <c r="AX439" s="29">
        <v>84</v>
      </c>
      <c r="AY439" s="31"/>
      <c r="AZ439" s="30"/>
      <c r="BA439" s="29"/>
      <c r="BB439" s="29"/>
      <c r="BC439" s="30"/>
      <c r="BD439" s="31">
        <f t="shared" si="80"/>
        <v>1092</v>
      </c>
      <c r="BE439" s="31"/>
      <c r="BF439" s="30"/>
      <c r="BG439" s="32">
        <v>2</v>
      </c>
      <c r="BH439" s="31">
        <f t="shared" si="82"/>
        <v>0</v>
      </c>
      <c r="BI439" s="31">
        <f t="shared" si="83"/>
        <v>0</v>
      </c>
      <c r="BJ439" s="33">
        <f t="shared" si="84"/>
        <v>0</v>
      </c>
      <c r="BK439" s="30"/>
      <c r="BL439" s="30"/>
      <c r="BM439" s="30"/>
      <c r="BN439" s="30"/>
      <c r="BO439" s="33">
        <f t="shared" si="75"/>
        <v>0</v>
      </c>
      <c r="BP439" s="30">
        <v>2</v>
      </c>
      <c r="BQ439" s="30">
        <v>0</v>
      </c>
      <c r="BR439" s="30"/>
      <c r="BS439" s="30"/>
      <c r="BT439" s="34">
        <f t="shared" si="81"/>
        <v>84</v>
      </c>
      <c r="BU439" s="34"/>
      <c r="BV439" s="34"/>
      <c r="BW439" s="34"/>
      <c r="BX439" s="34"/>
      <c r="BY439" s="30"/>
      <c r="BZ439" s="31">
        <f t="shared" si="77"/>
        <v>168</v>
      </c>
      <c r="CA439" s="31">
        <f t="shared" si="78"/>
        <v>0</v>
      </c>
    </row>
    <row r="440" spans="1:79" ht="63.75" x14ac:dyDescent="0.25">
      <c r="A440" s="17"/>
      <c r="B440" s="2">
        <v>432</v>
      </c>
      <c r="C440" s="18">
        <v>214</v>
      </c>
      <c r="D440" s="18">
        <v>457</v>
      </c>
      <c r="E440" s="19">
        <v>0.66666666666666663</v>
      </c>
      <c r="F440" s="19">
        <v>0.6791666666666667</v>
      </c>
      <c r="G440" s="18" t="s">
        <v>993</v>
      </c>
      <c r="H440" s="58" t="s">
        <v>994</v>
      </c>
      <c r="I440" s="20">
        <v>12.5</v>
      </c>
      <c r="J440" s="21" t="s">
        <v>93</v>
      </c>
      <c r="K440" s="68">
        <v>34</v>
      </c>
      <c r="L440" s="23">
        <f t="shared" si="79"/>
        <v>425</v>
      </c>
      <c r="M440" s="24" t="s">
        <v>160</v>
      </c>
      <c r="N440" s="25" t="s">
        <v>995</v>
      </c>
      <c r="O440" s="25">
        <v>20</v>
      </c>
      <c r="P440" s="25" t="s">
        <v>996</v>
      </c>
      <c r="Q440" s="25">
        <v>27</v>
      </c>
      <c r="R440" s="17"/>
      <c r="S440" s="25"/>
      <c r="T440" s="26">
        <v>2314</v>
      </c>
      <c r="U440" s="26" t="s">
        <v>997</v>
      </c>
      <c r="V440" s="26" t="s">
        <v>998</v>
      </c>
      <c r="W440" s="26" t="s">
        <v>999</v>
      </c>
      <c r="X440" s="27">
        <v>44562</v>
      </c>
      <c r="Y440" s="27">
        <v>44815</v>
      </c>
      <c r="Z440" s="27">
        <v>45108</v>
      </c>
      <c r="AA440" s="27">
        <v>45138</v>
      </c>
      <c r="AB440" s="28" t="s">
        <v>1000</v>
      </c>
      <c r="AC440" s="28" t="s">
        <v>628</v>
      </c>
      <c r="AD440" s="28"/>
      <c r="AE440" s="28" t="s">
        <v>90</v>
      </c>
      <c r="AF440" s="28" t="s">
        <v>90</v>
      </c>
      <c r="AG440" s="28"/>
      <c r="AH440" s="28" t="s">
        <v>90</v>
      </c>
      <c r="AI440" s="28" t="s">
        <v>90</v>
      </c>
      <c r="AJ440" s="28" t="s">
        <v>90</v>
      </c>
      <c r="AK440" s="28" t="s">
        <v>90</v>
      </c>
      <c r="AL440" s="28" t="s">
        <v>90</v>
      </c>
      <c r="AM440" s="28" t="s">
        <v>90</v>
      </c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9">
        <v>37.5</v>
      </c>
      <c r="AY440" s="31"/>
      <c r="AZ440" s="30"/>
      <c r="BA440" s="29"/>
      <c r="BB440" s="29"/>
      <c r="BC440" s="30"/>
      <c r="BD440" s="31">
        <f t="shared" si="80"/>
        <v>1275</v>
      </c>
      <c r="BE440" s="31"/>
      <c r="BF440" s="30"/>
      <c r="BG440" s="36">
        <v>1</v>
      </c>
      <c r="BH440" s="31">
        <f t="shared" si="82"/>
        <v>0</v>
      </c>
      <c r="BI440" s="31">
        <f t="shared" si="83"/>
        <v>0</v>
      </c>
      <c r="BJ440" s="33">
        <f t="shared" si="84"/>
        <v>0</v>
      </c>
      <c r="BK440" s="30"/>
      <c r="BL440" s="30"/>
      <c r="BM440" s="30"/>
      <c r="BN440" s="30"/>
      <c r="BO440" s="33">
        <f t="shared" si="75"/>
        <v>0</v>
      </c>
      <c r="BP440" s="30">
        <v>9</v>
      </c>
      <c r="BQ440" s="30">
        <v>0</v>
      </c>
      <c r="BR440" s="30"/>
      <c r="BS440" s="30"/>
      <c r="BT440" s="34">
        <f t="shared" si="81"/>
        <v>37.5</v>
      </c>
      <c r="BU440" s="34"/>
      <c r="BV440" s="34"/>
      <c r="BW440" s="34"/>
      <c r="BX440" s="34"/>
      <c r="BY440" s="30"/>
      <c r="BZ440" s="31">
        <f t="shared" si="77"/>
        <v>337.5</v>
      </c>
      <c r="CA440" s="31">
        <f t="shared" si="78"/>
        <v>0</v>
      </c>
    </row>
    <row r="441" spans="1:79" ht="90" x14ac:dyDescent="0.25">
      <c r="A441" s="17"/>
      <c r="B441" s="71" t="s">
        <v>1019</v>
      </c>
      <c r="C441" s="18">
        <v>214</v>
      </c>
      <c r="D441" s="18">
        <v>457</v>
      </c>
      <c r="E441" s="19">
        <v>0.66666666666666663</v>
      </c>
      <c r="F441" s="19">
        <v>0.6791666666666667</v>
      </c>
      <c r="G441" s="18" t="s">
        <v>993</v>
      </c>
      <c r="H441" s="58" t="s">
        <v>994</v>
      </c>
      <c r="I441" s="20">
        <v>12.5</v>
      </c>
      <c r="J441" s="21" t="s">
        <v>93</v>
      </c>
      <c r="K441" s="68">
        <v>33</v>
      </c>
      <c r="L441" s="23">
        <f t="shared" si="79"/>
        <v>412.5</v>
      </c>
      <c r="M441" s="24" t="s">
        <v>170</v>
      </c>
      <c r="N441" s="25" t="s">
        <v>1002</v>
      </c>
      <c r="O441" s="25">
        <v>18</v>
      </c>
      <c r="P441" s="25" t="s">
        <v>1003</v>
      </c>
      <c r="Q441" s="25">
        <v>17</v>
      </c>
      <c r="R441" s="17"/>
      <c r="S441" s="25"/>
      <c r="T441" s="26">
        <v>2314</v>
      </c>
      <c r="U441" s="26" t="s">
        <v>997</v>
      </c>
      <c r="V441" s="26" t="s">
        <v>998</v>
      </c>
      <c r="W441" s="26" t="s">
        <v>999</v>
      </c>
      <c r="X441" s="27">
        <v>45101</v>
      </c>
      <c r="Y441" s="27">
        <v>45107</v>
      </c>
      <c r="Z441" s="27">
        <v>45139</v>
      </c>
      <c r="AA441" s="27">
        <v>45169</v>
      </c>
      <c r="AB441" s="28" t="s">
        <v>1004</v>
      </c>
      <c r="AC441" s="28" t="s">
        <v>628</v>
      </c>
      <c r="AD441" s="28"/>
      <c r="AE441" s="28" t="s">
        <v>90</v>
      </c>
      <c r="AF441" s="28" t="s">
        <v>90</v>
      </c>
      <c r="AG441" s="28"/>
      <c r="AH441" s="28" t="s">
        <v>90</v>
      </c>
      <c r="AI441" s="28" t="s">
        <v>90</v>
      </c>
      <c r="AJ441" s="28" t="s">
        <v>90</v>
      </c>
      <c r="AK441" s="28" t="s">
        <v>90</v>
      </c>
      <c r="AL441" s="28" t="s">
        <v>90</v>
      </c>
      <c r="AM441" s="28" t="s">
        <v>90</v>
      </c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9">
        <v>37.5</v>
      </c>
      <c r="AY441" s="31"/>
      <c r="AZ441" s="30"/>
      <c r="BA441" s="29"/>
      <c r="BB441" s="29"/>
      <c r="BC441" s="30"/>
      <c r="BD441" s="31">
        <f t="shared" si="80"/>
        <v>1237.5</v>
      </c>
      <c r="BE441" s="31"/>
      <c r="BF441" s="30"/>
      <c r="BG441" s="36">
        <v>1</v>
      </c>
      <c r="BH441" s="31">
        <f t="shared" si="82"/>
        <v>0</v>
      </c>
      <c r="BI441" s="31">
        <f t="shared" si="83"/>
        <v>0</v>
      </c>
      <c r="BJ441" s="33">
        <f t="shared" si="84"/>
        <v>0</v>
      </c>
      <c r="BK441" s="30"/>
      <c r="BL441" s="30"/>
      <c r="BM441" s="30"/>
      <c r="BN441" s="30"/>
      <c r="BO441" s="33">
        <f t="shared" si="75"/>
        <v>0</v>
      </c>
      <c r="BP441" s="30">
        <v>0</v>
      </c>
      <c r="BQ441" s="30">
        <v>0</v>
      </c>
      <c r="BR441" s="30"/>
      <c r="BS441" s="30"/>
      <c r="BT441" s="34">
        <f t="shared" si="81"/>
        <v>37.5</v>
      </c>
      <c r="BU441" s="34"/>
      <c r="BV441" s="34"/>
      <c r="BW441" s="34"/>
      <c r="BX441" s="34"/>
      <c r="BY441" s="30"/>
      <c r="BZ441" s="31">
        <f t="shared" si="77"/>
        <v>0</v>
      </c>
      <c r="CA441" s="31">
        <f t="shared" si="78"/>
        <v>0</v>
      </c>
    </row>
    <row r="442" spans="1:79" ht="56.25" x14ac:dyDescent="0.25">
      <c r="A442" s="25"/>
      <c r="B442" s="2">
        <v>433</v>
      </c>
      <c r="C442" s="18">
        <v>214</v>
      </c>
      <c r="D442" s="18">
        <v>334</v>
      </c>
      <c r="E442" s="19">
        <v>0.6875</v>
      </c>
      <c r="F442" s="19">
        <v>0.72986111111111107</v>
      </c>
      <c r="G442" s="18" t="s">
        <v>1005</v>
      </c>
      <c r="H442" s="18" t="s">
        <v>290</v>
      </c>
      <c r="I442" s="20">
        <v>28</v>
      </c>
      <c r="J442" s="21" t="s">
        <v>81</v>
      </c>
      <c r="K442" s="22">
        <v>13</v>
      </c>
      <c r="L442" s="23">
        <f t="shared" si="79"/>
        <v>364</v>
      </c>
      <c r="M442" s="24" t="s">
        <v>153</v>
      </c>
      <c r="N442" s="25" t="s">
        <v>154</v>
      </c>
      <c r="O442" s="25">
        <v>57</v>
      </c>
      <c r="P442" s="25" t="s">
        <v>155</v>
      </c>
      <c r="Q442" s="25">
        <v>56</v>
      </c>
      <c r="R442" s="17"/>
      <c r="S442" s="25"/>
      <c r="T442" s="26">
        <v>960</v>
      </c>
      <c r="U442" s="26" t="s">
        <v>151</v>
      </c>
      <c r="V442" s="26">
        <v>2156</v>
      </c>
      <c r="W442" s="26" t="s">
        <v>999</v>
      </c>
      <c r="X442" s="27">
        <v>44562</v>
      </c>
      <c r="Y442" s="27">
        <v>44815</v>
      </c>
      <c r="Z442" s="27">
        <v>45101</v>
      </c>
      <c r="AA442" s="27">
        <v>45169</v>
      </c>
      <c r="AB442" s="62" t="s">
        <v>291</v>
      </c>
      <c r="AC442" s="62"/>
      <c r="AD442" s="28"/>
      <c r="AE442" s="28" t="s">
        <v>90</v>
      </c>
      <c r="AF442" s="28"/>
      <c r="AG442" s="28"/>
      <c r="AH442" s="28"/>
      <c r="AI442" s="28"/>
      <c r="AJ442" s="28"/>
      <c r="AK442" s="28"/>
      <c r="AL442" s="28"/>
      <c r="AM442" s="28"/>
      <c r="AN442" s="28" t="s">
        <v>90</v>
      </c>
      <c r="AO442" s="28"/>
      <c r="AP442" s="28"/>
      <c r="AQ442" s="28"/>
      <c r="AR442" s="28"/>
      <c r="AS442" s="28"/>
      <c r="AT442" s="28"/>
      <c r="AU442" s="28"/>
      <c r="AV442" s="28"/>
      <c r="AW442" s="28"/>
      <c r="AX442" s="29">
        <v>84</v>
      </c>
      <c r="AY442" s="31"/>
      <c r="AZ442" s="30"/>
      <c r="BA442" s="29"/>
      <c r="BB442" s="29"/>
      <c r="BC442" s="30"/>
      <c r="BD442" s="31">
        <f t="shared" si="80"/>
        <v>1092</v>
      </c>
      <c r="BE442" s="31"/>
      <c r="BF442" s="30"/>
      <c r="BG442" s="32">
        <v>2</v>
      </c>
      <c r="BH442" s="31">
        <f t="shared" si="82"/>
        <v>0</v>
      </c>
      <c r="BI442" s="31">
        <f t="shared" si="83"/>
        <v>0</v>
      </c>
      <c r="BJ442" s="33">
        <f t="shared" si="84"/>
        <v>0</v>
      </c>
      <c r="BK442" s="30"/>
      <c r="BL442" s="30"/>
      <c r="BM442" s="30"/>
      <c r="BN442" s="30"/>
      <c r="BO442" s="33">
        <f t="shared" si="75"/>
        <v>0</v>
      </c>
      <c r="BP442" s="30">
        <v>2</v>
      </c>
      <c r="BQ442" s="30">
        <v>0</v>
      </c>
      <c r="BR442" s="30"/>
      <c r="BS442" s="30"/>
      <c r="BT442" s="34">
        <f t="shared" si="81"/>
        <v>84</v>
      </c>
      <c r="BU442" s="34"/>
      <c r="BV442" s="34"/>
      <c r="BW442" s="34"/>
      <c r="BX442" s="34"/>
      <c r="BY442" s="30"/>
      <c r="BZ442" s="31">
        <f t="shared" si="77"/>
        <v>168</v>
      </c>
      <c r="CA442" s="31">
        <f t="shared" si="78"/>
        <v>0</v>
      </c>
    </row>
    <row r="443" spans="1:79" ht="56.25" x14ac:dyDescent="0.25">
      <c r="A443" s="17"/>
      <c r="B443" s="2">
        <v>434</v>
      </c>
      <c r="C443" s="18">
        <v>214</v>
      </c>
      <c r="D443" s="18">
        <v>570</v>
      </c>
      <c r="E443" s="19">
        <v>0.6875</v>
      </c>
      <c r="F443" s="19">
        <v>0.72986111111111107</v>
      </c>
      <c r="G443" s="18" t="s">
        <v>1005</v>
      </c>
      <c r="H443" s="18" t="s">
        <v>1020</v>
      </c>
      <c r="I443" s="20">
        <v>28</v>
      </c>
      <c r="J443" s="21" t="s">
        <v>541</v>
      </c>
      <c r="K443" s="22">
        <v>26</v>
      </c>
      <c r="L443" s="23">
        <f t="shared" si="79"/>
        <v>728</v>
      </c>
      <c r="M443" s="24" t="s">
        <v>153</v>
      </c>
      <c r="N443" s="25" t="s">
        <v>968</v>
      </c>
      <c r="O443" s="25">
        <v>29</v>
      </c>
      <c r="P443" s="25" t="s">
        <v>387</v>
      </c>
      <c r="Q443" s="25">
        <v>23</v>
      </c>
      <c r="R443" s="17"/>
      <c r="S443" s="25"/>
      <c r="T443" s="26">
        <v>960</v>
      </c>
      <c r="U443" s="26" t="s">
        <v>151</v>
      </c>
      <c r="V443" s="26">
        <v>2156</v>
      </c>
      <c r="W443" s="26" t="s">
        <v>999</v>
      </c>
      <c r="X443" s="27">
        <v>44816</v>
      </c>
      <c r="Y443" s="27">
        <v>45100</v>
      </c>
      <c r="Z443" s="27"/>
      <c r="AA443" s="27"/>
      <c r="AB443" s="26" t="s">
        <v>1021</v>
      </c>
      <c r="AC443" s="26"/>
      <c r="AD443" s="28" t="s">
        <v>90</v>
      </c>
      <c r="AE443" s="28"/>
      <c r="AF443" s="28" t="s">
        <v>90</v>
      </c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 t="s">
        <v>90</v>
      </c>
      <c r="AS443" s="28" t="s">
        <v>90</v>
      </c>
      <c r="AT443" s="28" t="s">
        <v>90</v>
      </c>
      <c r="AU443" s="28" t="s">
        <v>90</v>
      </c>
      <c r="AV443" s="28" t="s">
        <v>90</v>
      </c>
      <c r="AW443" s="28"/>
      <c r="AX443" s="29">
        <v>84</v>
      </c>
      <c r="AY443" s="31"/>
      <c r="AZ443" s="30"/>
      <c r="BA443" s="29"/>
      <c r="BB443" s="29"/>
      <c r="BC443" s="30"/>
      <c r="BD443" s="31">
        <f t="shared" si="80"/>
        <v>2184</v>
      </c>
      <c r="BE443" s="31"/>
      <c r="BF443" s="30"/>
      <c r="BG443" s="36">
        <v>1</v>
      </c>
      <c r="BH443" s="31">
        <f t="shared" si="82"/>
        <v>0</v>
      </c>
      <c r="BI443" s="31">
        <f t="shared" si="83"/>
        <v>0</v>
      </c>
      <c r="BJ443" s="33">
        <f t="shared" si="84"/>
        <v>0</v>
      </c>
      <c r="BK443" s="30"/>
      <c r="BL443" s="30"/>
      <c r="BM443" s="30"/>
      <c r="BN443" s="30"/>
      <c r="BO443" s="33">
        <f t="shared" si="75"/>
        <v>0</v>
      </c>
      <c r="BP443" s="30">
        <v>0</v>
      </c>
      <c r="BQ443" s="30">
        <v>1</v>
      </c>
      <c r="BR443" s="30"/>
      <c r="BS443" s="30"/>
      <c r="BT443" s="34">
        <f t="shared" si="81"/>
        <v>84</v>
      </c>
      <c r="BU443" s="34"/>
      <c r="BV443" s="34"/>
      <c r="BW443" s="34"/>
      <c r="BX443" s="34"/>
      <c r="BY443" s="30"/>
      <c r="BZ443" s="31">
        <f t="shared" si="77"/>
        <v>0</v>
      </c>
      <c r="CA443" s="31">
        <f t="shared" si="78"/>
        <v>84</v>
      </c>
    </row>
    <row r="444" spans="1:79" ht="63.75" x14ac:dyDescent="0.25">
      <c r="A444" s="17"/>
      <c r="B444" s="2">
        <v>435</v>
      </c>
      <c r="C444" s="18">
        <v>214</v>
      </c>
      <c r="D444" s="58">
        <v>74</v>
      </c>
      <c r="E444" s="19">
        <v>0.72013888888888899</v>
      </c>
      <c r="F444" s="19">
        <v>0.73263888888888884</v>
      </c>
      <c r="G444" s="18" t="s">
        <v>1009</v>
      </c>
      <c r="H444" s="58" t="s">
        <v>994</v>
      </c>
      <c r="I444" s="20">
        <v>12.5</v>
      </c>
      <c r="J444" s="21" t="s">
        <v>93</v>
      </c>
      <c r="K444" s="68">
        <v>34</v>
      </c>
      <c r="L444" s="23">
        <f t="shared" si="79"/>
        <v>425</v>
      </c>
      <c r="M444" s="24" t="s">
        <v>160</v>
      </c>
      <c r="N444" s="25" t="s">
        <v>995</v>
      </c>
      <c r="O444" s="25">
        <v>20</v>
      </c>
      <c r="P444" s="25" t="s">
        <v>996</v>
      </c>
      <c r="Q444" s="25">
        <v>27</v>
      </c>
      <c r="R444" s="17"/>
      <c r="S444" s="25"/>
      <c r="T444" s="26" t="s">
        <v>998</v>
      </c>
      <c r="U444" s="26" t="s">
        <v>999</v>
      </c>
      <c r="V444" s="26">
        <v>2314</v>
      </c>
      <c r="W444" s="26" t="s">
        <v>997</v>
      </c>
      <c r="X444" s="27">
        <v>44562</v>
      </c>
      <c r="Y444" s="27">
        <v>44815</v>
      </c>
      <c r="Z444" s="27">
        <v>45108</v>
      </c>
      <c r="AA444" s="27">
        <v>45138</v>
      </c>
      <c r="AB444" s="28" t="s">
        <v>1000</v>
      </c>
      <c r="AC444" s="28" t="s">
        <v>628</v>
      </c>
      <c r="AD444" s="28"/>
      <c r="AE444" s="28" t="s">
        <v>90</v>
      </c>
      <c r="AF444" s="28" t="s">
        <v>90</v>
      </c>
      <c r="AG444" s="28"/>
      <c r="AH444" s="28" t="s">
        <v>90</v>
      </c>
      <c r="AI444" s="28" t="s">
        <v>90</v>
      </c>
      <c r="AJ444" s="28" t="s">
        <v>90</v>
      </c>
      <c r="AK444" s="28" t="s">
        <v>90</v>
      </c>
      <c r="AL444" s="28" t="s">
        <v>90</v>
      </c>
      <c r="AM444" s="28" t="s">
        <v>90</v>
      </c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9">
        <v>37.5</v>
      </c>
      <c r="AY444" s="31"/>
      <c r="AZ444" s="30"/>
      <c r="BA444" s="29"/>
      <c r="BB444" s="29"/>
      <c r="BC444" s="30"/>
      <c r="BD444" s="31">
        <f t="shared" si="80"/>
        <v>1275</v>
      </c>
      <c r="BE444" s="31"/>
      <c r="BF444" s="30"/>
      <c r="BG444" s="36">
        <v>1</v>
      </c>
      <c r="BH444" s="31">
        <f t="shared" si="82"/>
        <v>0</v>
      </c>
      <c r="BI444" s="31">
        <f t="shared" si="83"/>
        <v>0</v>
      </c>
      <c r="BJ444" s="33">
        <f t="shared" si="84"/>
        <v>0</v>
      </c>
      <c r="BK444" s="30"/>
      <c r="BL444" s="30"/>
      <c r="BM444" s="30"/>
      <c r="BN444" s="30"/>
      <c r="BO444" s="33">
        <f t="shared" si="75"/>
        <v>0</v>
      </c>
      <c r="BP444" s="30">
        <v>9</v>
      </c>
      <c r="BQ444" s="30">
        <v>0</v>
      </c>
      <c r="BR444" s="30"/>
      <c r="BS444" s="30"/>
      <c r="BT444" s="34">
        <f t="shared" si="81"/>
        <v>37.5</v>
      </c>
      <c r="BU444" s="34"/>
      <c r="BV444" s="34"/>
      <c r="BW444" s="34"/>
      <c r="BX444" s="34"/>
      <c r="BY444" s="30"/>
      <c r="BZ444" s="31">
        <f t="shared" si="77"/>
        <v>337.5</v>
      </c>
      <c r="CA444" s="31">
        <f t="shared" si="78"/>
        <v>0</v>
      </c>
    </row>
    <row r="445" spans="1:79" ht="90" x14ac:dyDescent="0.25">
      <c r="A445" s="17"/>
      <c r="B445" s="71" t="s">
        <v>1022</v>
      </c>
      <c r="C445" s="18">
        <v>214</v>
      </c>
      <c r="D445" s="58">
        <v>74</v>
      </c>
      <c r="E445" s="19">
        <v>0.72013888888888899</v>
      </c>
      <c r="F445" s="19">
        <v>0.73263888888888884</v>
      </c>
      <c r="G445" s="18" t="s">
        <v>1009</v>
      </c>
      <c r="H445" s="58" t="s">
        <v>994</v>
      </c>
      <c r="I445" s="20">
        <v>12.5</v>
      </c>
      <c r="J445" s="21" t="s">
        <v>93</v>
      </c>
      <c r="K445" s="68">
        <v>33</v>
      </c>
      <c r="L445" s="23">
        <f t="shared" si="79"/>
        <v>412.5</v>
      </c>
      <c r="M445" s="24" t="s">
        <v>170</v>
      </c>
      <c r="N445" s="25" t="s">
        <v>1002</v>
      </c>
      <c r="O445" s="25">
        <v>18</v>
      </c>
      <c r="P445" s="25" t="s">
        <v>1003</v>
      </c>
      <c r="Q445" s="25">
        <v>17</v>
      </c>
      <c r="R445" s="25"/>
      <c r="S445" s="25"/>
      <c r="T445" s="26" t="s">
        <v>998</v>
      </c>
      <c r="U445" s="26" t="s">
        <v>999</v>
      </c>
      <c r="V445" s="26">
        <v>2314</v>
      </c>
      <c r="W445" s="26" t="s">
        <v>997</v>
      </c>
      <c r="X445" s="27">
        <v>45101</v>
      </c>
      <c r="Y445" s="27">
        <v>45107</v>
      </c>
      <c r="Z445" s="27">
        <v>45139</v>
      </c>
      <c r="AA445" s="27">
        <v>45169</v>
      </c>
      <c r="AB445" s="28" t="s">
        <v>1004</v>
      </c>
      <c r="AC445" s="28" t="s">
        <v>628</v>
      </c>
      <c r="AD445" s="28"/>
      <c r="AE445" s="28" t="s">
        <v>90</v>
      </c>
      <c r="AF445" s="28" t="s">
        <v>90</v>
      </c>
      <c r="AG445" s="28"/>
      <c r="AH445" s="28" t="s">
        <v>90</v>
      </c>
      <c r="AI445" s="28" t="s">
        <v>90</v>
      </c>
      <c r="AJ445" s="28" t="s">
        <v>90</v>
      </c>
      <c r="AK445" s="28" t="s">
        <v>90</v>
      </c>
      <c r="AL445" s="28" t="s">
        <v>90</v>
      </c>
      <c r="AM445" s="28" t="s">
        <v>90</v>
      </c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9">
        <v>37.5</v>
      </c>
      <c r="AY445" s="31"/>
      <c r="AZ445" s="30"/>
      <c r="BA445" s="29"/>
      <c r="BB445" s="29"/>
      <c r="BC445" s="30"/>
      <c r="BD445" s="31">
        <f t="shared" si="80"/>
        <v>1237.5</v>
      </c>
      <c r="BE445" s="31"/>
      <c r="BF445" s="30"/>
      <c r="BG445" s="36">
        <v>1</v>
      </c>
      <c r="BH445" s="31">
        <f t="shared" si="82"/>
        <v>0</v>
      </c>
      <c r="BI445" s="31">
        <f t="shared" si="83"/>
        <v>0</v>
      </c>
      <c r="BJ445" s="33">
        <f t="shared" si="84"/>
        <v>0</v>
      </c>
      <c r="BK445" s="30"/>
      <c r="BL445" s="30"/>
      <c r="BM445" s="30"/>
      <c r="BN445" s="30"/>
      <c r="BO445" s="33">
        <f t="shared" si="75"/>
        <v>0</v>
      </c>
      <c r="BP445" s="30">
        <v>0</v>
      </c>
      <c r="BQ445" s="30">
        <v>0</v>
      </c>
      <c r="BR445" s="30"/>
      <c r="BS445" s="30"/>
      <c r="BT445" s="34">
        <f t="shared" si="81"/>
        <v>37.5</v>
      </c>
      <c r="BU445" s="34"/>
      <c r="BV445" s="34"/>
      <c r="BW445" s="34"/>
      <c r="BX445" s="34"/>
      <c r="BY445" s="30"/>
      <c r="BZ445" s="31">
        <f t="shared" si="77"/>
        <v>0</v>
      </c>
      <c r="CA445" s="31">
        <f t="shared" si="78"/>
        <v>0</v>
      </c>
    </row>
    <row r="446" spans="1:79" ht="38.25" x14ac:dyDescent="0.25">
      <c r="A446" s="17"/>
      <c r="B446" s="2">
        <v>436</v>
      </c>
      <c r="C446" s="18">
        <v>214</v>
      </c>
      <c r="D446" s="18">
        <v>574</v>
      </c>
      <c r="E446" s="19">
        <v>0.73055555555555562</v>
      </c>
      <c r="F446" s="19">
        <v>0.74305555555555547</v>
      </c>
      <c r="G446" s="18" t="s">
        <v>1009</v>
      </c>
      <c r="H446" s="18" t="s">
        <v>290</v>
      </c>
      <c r="I446" s="20">
        <v>12.5</v>
      </c>
      <c r="J446" s="21" t="s">
        <v>93</v>
      </c>
      <c r="K446" s="22">
        <v>13</v>
      </c>
      <c r="L446" s="23">
        <f t="shared" si="79"/>
        <v>162.5</v>
      </c>
      <c r="M446" s="24" t="s">
        <v>160</v>
      </c>
      <c r="N446" s="25" t="s">
        <v>995</v>
      </c>
      <c r="O446" s="25">
        <v>20</v>
      </c>
      <c r="P446" s="25" t="s">
        <v>996</v>
      </c>
      <c r="Q446" s="25">
        <v>27</v>
      </c>
      <c r="R446" s="17"/>
      <c r="S446" s="25"/>
      <c r="T446" s="26" t="s">
        <v>998</v>
      </c>
      <c r="U446" s="26" t="s">
        <v>999</v>
      </c>
      <c r="V446" s="26">
        <v>2314</v>
      </c>
      <c r="W446" s="26" t="s">
        <v>997</v>
      </c>
      <c r="X446" s="27">
        <v>44562</v>
      </c>
      <c r="Y446" s="27">
        <v>44815</v>
      </c>
      <c r="Z446" s="27">
        <v>45101</v>
      </c>
      <c r="AA446" s="27">
        <v>45169</v>
      </c>
      <c r="AB446" s="62" t="s">
        <v>291</v>
      </c>
      <c r="AC446" s="62"/>
      <c r="AD446" s="28"/>
      <c r="AE446" s="28" t="s">
        <v>90</v>
      </c>
      <c r="AF446" s="28"/>
      <c r="AG446" s="28"/>
      <c r="AH446" s="28"/>
      <c r="AI446" s="28"/>
      <c r="AJ446" s="28"/>
      <c r="AK446" s="28"/>
      <c r="AL446" s="28"/>
      <c r="AM446" s="28"/>
      <c r="AN446" s="28" t="s">
        <v>90</v>
      </c>
      <c r="AO446" s="28"/>
      <c r="AP446" s="28"/>
      <c r="AQ446" s="28"/>
      <c r="AR446" s="28"/>
      <c r="AS446" s="28"/>
      <c r="AT446" s="28"/>
      <c r="AU446" s="28"/>
      <c r="AV446" s="28"/>
      <c r="AW446" s="28"/>
      <c r="AX446" s="29">
        <v>37.5</v>
      </c>
      <c r="AY446" s="31"/>
      <c r="AZ446" s="30"/>
      <c r="BA446" s="29"/>
      <c r="BB446" s="29"/>
      <c r="BC446" s="30"/>
      <c r="BD446" s="31">
        <f t="shared" si="80"/>
        <v>487.5</v>
      </c>
      <c r="BE446" s="31"/>
      <c r="BF446" s="30"/>
      <c r="BG446" s="36">
        <v>1</v>
      </c>
      <c r="BH446" s="31">
        <f t="shared" si="82"/>
        <v>0</v>
      </c>
      <c r="BI446" s="31">
        <f t="shared" si="83"/>
        <v>0</v>
      </c>
      <c r="BJ446" s="33">
        <f t="shared" si="84"/>
        <v>0</v>
      </c>
      <c r="BK446" s="30"/>
      <c r="BL446" s="30"/>
      <c r="BM446" s="30"/>
      <c r="BN446" s="30"/>
      <c r="BO446" s="33">
        <f t="shared" si="75"/>
        <v>0</v>
      </c>
      <c r="BP446" s="30">
        <v>2</v>
      </c>
      <c r="BQ446" s="30">
        <v>0</v>
      </c>
      <c r="BR446" s="30"/>
      <c r="BS446" s="30"/>
      <c r="BT446" s="34">
        <f t="shared" si="81"/>
        <v>37.5</v>
      </c>
      <c r="BU446" s="34"/>
      <c r="BV446" s="34"/>
      <c r="BW446" s="34"/>
      <c r="BX446" s="34"/>
      <c r="BY446" s="30"/>
      <c r="BZ446" s="31">
        <f t="shared" si="77"/>
        <v>75</v>
      </c>
      <c r="CA446" s="31">
        <f t="shared" si="78"/>
        <v>0</v>
      </c>
    </row>
    <row r="447" spans="1:79" ht="56.25" x14ac:dyDescent="0.25">
      <c r="A447" s="25"/>
      <c r="B447" s="2">
        <v>437</v>
      </c>
      <c r="C447" s="18">
        <v>214</v>
      </c>
      <c r="D447" s="18">
        <v>41</v>
      </c>
      <c r="E447" s="19">
        <v>0.73263888888888884</v>
      </c>
      <c r="F447" s="19">
        <v>0.77569444444444446</v>
      </c>
      <c r="G447" s="18" t="s">
        <v>1008</v>
      </c>
      <c r="H447" s="18" t="s">
        <v>290</v>
      </c>
      <c r="I447" s="20">
        <v>28</v>
      </c>
      <c r="J447" s="21" t="s">
        <v>81</v>
      </c>
      <c r="K447" s="22">
        <v>13</v>
      </c>
      <c r="L447" s="23">
        <f t="shared" si="79"/>
        <v>364</v>
      </c>
      <c r="M447" s="24" t="s">
        <v>153</v>
      </c>
      <c r="N447" s="25" t="s">
        <v>154</v>
      </c>
      <c r="O447" s="25">
        <v>57</v>
      </c>
      <c r="P447" s="25" t="s">
        <v>155</v>
      </c>
      <c r="Q447" s="25">
        <v>56</v>
      </c>
      <c r="R447" s="17"/>
      <c r="S447" s="25"/>
      <c r="T447" s="26">
        <v>2156</v>
      </c>
      <c r="U447" s="26" t="s">
        <v>999</v>
      </c>
      <c r="V447" s="26">
        <v>960</v>
      </c>
      <c r="W447" s="26" t="s">
        <v>151</v>
      </c>
      <c r="X447" s="27">
        <v>44562</v>
      </c>
      <c r="Y447" s="27">
        <v>44815</v>
      </c>
      <c r="Z447" s="27">
        <v>45101</v>
      </c>
      <c r="AA447" s="27">
        <v>45169</v>
      </c>
      <c r="AB447" s="62" t="s">
        <v>291</v>
      </c>
      <c r="AC447" s="62"/>
      <c r="AD447" s="28"/>
      <c r="AE447" s="28" t="s">
        <v>90</v>
      </c>
      <c r="AF447" s="28"/>
      <c r="AG447" s="28"/>
      <c r="AH447" s="28"/>
      <c r="AI447" s="28"/>
      <c r="AJ447" s="28"/>
      <c r="AK447" s="28"/>
      <c r="AL447" s="28"/>
      <c r="AM447" s="28"/>
      <c r="AN447" s="28" t="s">
        <v>90</v>
      </c>
      <c r="AO447" s="28"/>
      <c r="AP447" s="28"/>
      <c r="AQ447" s="28"/>
      <c r="AR447" s="28"/>
      <c r="AS447" s="28"/>
      <c r="AT447" s="28"/>
      <c r="AU447" s="28"/>
      <c r="AV447" s="28"/>
      <c r="AW447" s="28"/>
      <c r="AX447" s="29">
        <v>84</v>
      </c>
      <c r="AY447" s="31"/>
      <c r="AZ447" s="30"/>
      <c r="BA447" s="29"/>
      <c r="BB447" s="29"/>
      <c r="BC447" s="30"/>
      <c r="BD447" s="31">
        <f t="shared" si="80"/>
        <v>1092</v>
      </c>
      <c r="BE447" s="31"/>
      <c r="BF447" s="30"/>
      <c r="BG447" s="32">
        <v>2</v>
      </c>
      <c r="BH447" s="31">
        <f t="shared" si="82"/>
        <v>0</v>
      </c>
      <c r="BI447" s="31">
        <f t="shared" si="83"/>
        <v>0</v>
      </c>
      <c r="BJ447" s="33">
        <f t="shared" si="84"/>
        <v>0</v>
      </c>
      <c r="BK447" s="30"/>
      <c r="BL447" s="30"/>
      <c r="BM447" s="30"/>
      <c r="BN447" s="30"/>
      <c r="BO447" s="33">
        <f t="shared" si="75"/>
        <v>0</v>
      </c>
      <c r="BP447" s="30">
        <v>2</v>
      </c>
      <c r="BQ447" s="30">
        <v>0</v>
      </c>
      <c r="BR447" s="30"/>
      <c r="BS447" s="30"/>
      <c r="BT447" s="34">
        <f t="shared" si="81"/>
        <v>84</v>
      </c>
      <c r="BU447" s="34"/>
      <c r="BV447" s="34"/>
      <c r="BW447" s="34"/>
      <c r="BX447" s="34"/>
      <c r="BY447" s="30"/>
      <c r="BZ447" s="31">
        <f t="shared" si="77"/>
        <v>168</v>
      </c>
      <c r="CA447" s="31">
        <f t="shared" si="78"/>
        <v>0</v>
      </c>
    </row>
    <row r="448" spans="1:79" ht="38.25" x14ac:dyDescent="0.25">
      <c r="A448" s="17"/>
      <c r="B448" s="2">
        <v>438</v>
      </c>
      <c r="C448" s="48">
        <v>214</v>
      </c>
      <c r="D448" s="48">
        <v>46</v>
      </c>
      <c r="E448" s="50">
        <v>0.78125</v>
      </c>
      <c r="F448" s="50">
        <v>0.84652777777777777</v>
      </c>
      <c r="G448" s="51" t="s">
        <v>159</v>
      </c>
      <c r="H448" s="18" t="s">
        <v>422</v>
      </c>
      <c r="I448" s="48">
        <v>50</v>
      </c>
      <c r="J448" s="52">
        <v>50</v>
      </c>
      <c r="K448" s="22">
        <v>240</v>
      </c>
      <c r="L448" s="23">
        <f t="shared" si="79"/>
        <v>12000</v>
      </c>
      <c r="M448" s="24" t="s">
        <v>160</v>
      </c>
      <c r="N448" s="25" t="s">
        <v>161</v>
      </c>
      <c r="O448" s="25">
        <v>54</v>
      </c>
      <c r="P448" s="25" t="s">
        <v>162</v>
      </c>
      <c r="Q448" s="25">
        <v>56</v>
      </c>
      <c r="R448" s="17"/>
      <c r="S448" s="25"/>
      <c r="T448" s="26">
        <v>960</v>
      </c>
      <c r="U448" s="26" t="s">
        <v>151</v>
      </c>
      <c r="V448" s="26">
        <v>2323</v>
      </c>
      <c r="W448" s="26" t="s">
        <v>163</v>
      </c>
      <c r="X448" s="27">
        <v>44816</v>
      </c>
      <c r="Y448" s="27">
        <v>45100</v>
      </c>
      <c r="Z448" s="27"/>
      <c r="AA448" s="27"/>
      <c r="AB448" s="26" t="s">
        <v>423</v>
      </c>
      <c r="AC448" s="26"/>
      <c r="AD448" s="28" t="s">
        <v>90</v>
      </c>
      <c r="AE448" s="28"/>
      <c r="AF448" s="28" t="s">
        <v>90</v>
      </c>
      <c r="AG448" s="28"/>
      <c r="AH448" s="28" t="s">
        <v>90</v>
      </c>
      <c r="AI448" s="28" t="s">
        <v>90</v>
      </c>
      <c r="AJ448" s="28" t="s">
        <v>90</v>
      </c>
      <c r="AK448" s="28" t="s">
        <v>90</v>
      </c>
      <c r="AL448" s="28" t="s">
        <v>90</v>
      </c>
      <c r="AM448" s="28" t="s">
        <v>90</v>
      </c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31"/>
      <c r="AY448" s="31">
        <f>2.6*50</f>
        <v>130</v>
      </c>
      <c r="AZ448" s="30"/>
      <c r="BA448" s="31"/>
      <c r="BB448" s="31"/>
      <c r="BC448" s="30"/>
      <c r="BD448" s="31">
        <f t="shared" si="80"/>
        <v>0</v>
      </c>
      <c r="BE448" s="31">
        <f>AY448*K448</f>
        <v>31200</v>
      </c>
      <c r="BF448" s="30"/>
      <c r="BG448" s="32">
        <v>2</v>
      </c>
      <c r="BH448" s="30"/>
      <c r="BI448" s="31"/>
      <c r="BJ448" s="30"/>
      <c r="BK448" s="53"/>
      <c r="BL448" s="53"/>
      <c r="BM448" s="54"/>
      <c r="BN448" s="30"/>
      <c r="BO448" s="33">
        <f t="shared" si="75"/>
        <v>0</v>
      </c>
      <c r="BP448" s="30">
        <v>17</v>
      </c>
      <c r="BQ448" s="30">
        <v>26</v>
      </c>
      <c r="BR448" s="30"/>
      <c r="BS448" s="30"/>
      <c r="BT448" s="34">
        <f t="shared" si="81"/>
        <v>130</v>
      </c>
      <c r="BU448" s="34"/>
      <c r="BV448" s="34"/>
      <c r="BW448" s="34"/>
      <c r="BX448" s="34"/>
      <c r="BY448" s="30"/>
      <c r="BZ448" s="31">
        <f t="shared" si="77"/>
        <v>2210</v>
      </c>
      <c r="CA448" s="31">
        <f t="shared" si="78"/>
        <v>3380</v>
      </c>
    </row>
    <row r="449" spans="1:79" ht="56.25" x14ac:dyDescent="0.25">
      <c r="A449" s="17"/>
      <c r="B449" s="2">
        <v>439</v>
      </c>
      <c r="C449" s="18">
        <v>214</v>
      </c>
      <c r="D449" s="18">
        <v>385</v>
      </c>
      <c r="E449" s="19">
        <v>0.77777777777777779</v>
      </c>
      <c r="F449" s="19">
        <v>0.81180555555555556</v>
      </c>
      <c r="G449" s="18" t="s">
        <v>1008</v>
      </c>
      <c r="H449" s="18" t="s">
        <v>1020</v>
      </c>
      <c r="I449" s="20">
        <v>28</v>
      </c>
      <c r="J449" s="21" t="s">
        <v>541</v>
      </c>
      <c r="K449" s="22">
        <v>26</v>
      </c>
      <c r="L449" s="23">
        <f t="shared" si="79"/>
        <v>728</v>
      </c>
      <c r="M449" s="24" t="s">
        <v>153</v>
      </c>
      <c r="N449" s="25" t="s">
        <v>387</v>
      </c>
      <c r="O449" s="25">
        <v>23</v>
      </c>
      <c r="P449" s="25" t="s">
        <v>968</v>
      </c>
      <c r="Q449" s="25">
        <v>29</v>
      </c>
      <c r="R449" s="17"/>
      <c r="S449" s="25"/>
      <c r="T449" s="26">
        <v>2156</v>
      </c>
      <c r="U449" s="26" t="s">
        <v>999</v>
      </c>
      <c r="V449" s="26">
        <v>960</v>
      </c>
      <c r="W449" s="26" t="s">
        <v>151</v>
      </c>
      <c r="X449" s="27">
        <v>44816</v>
      </c>
      <c r="Y449" s="27">
        <v>45100</v>
      </c>
      <c r="Z449" s="27"/>
      <c r="AA449" s="27"/>
      <c r="AB449" s="26" t="s">
        <v>1021</v>
      </c>
      <c r="AC449" s="26"/>
      <c r="AD449" s="28" t="s">
        <v>90</v>
      </c>
      <c r="AE449" s="28"/>
      <c r="AF449" s="28" t="s">
        <v>90</v>
      </c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 t="s">
        <v>90</v>
      </c>
      <c r="AS449" s="28" t="s">
        <v>90</v>
      </c>
      <c r="AT449" s="28" t="s">
        <v>90</v>
      </c>
      <c r="AU449" s="28" t="s">
        <v>90</v>
      </c>
      <c r="AV449" s="28" t="s">
        <v>90</v>
      </c>
      <c r="AW449" s="28"/>
      <c r="AX449" s="29">
        <f>69+6</f>
        <v>75</v>
      </c>
      <c r="AY449" s="31"/>
      <c r="AZ449" s="30"/>
      <c r="BA449" s="29"/>
      <c r="BB449" s="29"/>
      <c r="BC449" s="30"/>
      <c r="BD449" s="31">
        <f t="shared" si="80"/>
        <v>1950</v>
      </c>
      <c r="BE449" s="31"/>
      <c r="BF449" s="30"/>
      <c r="BG449" s="36">
        <v>1</v>
      </c>
      <c r="BH449" s="31">
        <f>IF(AND((AX449/I449)&lt;2,BG449=1),(I449*2)-AX449,0)</f>
        <v>0</v>
      </c>
      <c r="BI449" s="31">
        <f>IF(AND((AX449/I449)&lt;3,BG449=2),(I449*3)-AX449,0)</f>
        <v>0</v>
      </c>
      <c r="BJ449" s="33">
        <f>(BH449+BI449)*K449</f>
        <v>0</v>
      </c>
      <c r="BK449" s="30"/>
      <c r="BL449" s="30"/>
      <c r="BM449" s="30"/>
      <c r="BN449" s="30"/>
      <c r="BO449" s="33">
        <f t="shared" si="75"/>
        <v>0</v>
      </c>
      <c r="BP449" s="30">
        <v>0</v>
      </c>
      <c r="BQ449" s="30">
        <v>1</v>
      </c>
      <c r="BR449" s="30"/>
      <c r="BS449" s="30"/>
      <c r="BT449" s="34">
        <f t="shared" si="81"/>
        <v>75</v>
      </c>
      <c r="BU449" s="34"/>
      <c r="BV449" s="34"/>
      <c r="BW449" s="34"/>
      <c r="BX449" s="34"/>
      <c r="BY449" s="30"/>
      <c r="BZ449" s="31">
        <f t="shared" si="77"/>
        <v>0</v>
      </c>
      <c r="CA449" s="31">
        <f t="shared" si="78"/>
        <v>75</v>
      </c>
    </row>
    <row r="450" spans="1:79" ht="56.25" x14ac:dyDescent="0.25">
      <c r="A450" s="25"/>
      <c r="B450" s="2">
        <v>440</v>
      </c>
      <c r="C450" s="18">
        <v>214</v>
      </c>
      <c r="D450" s="18">
        <v>46</v>
      </c>
      <c r="E450" s="19">
        <v>0.78125</v>
      </c>
      <c r="F450" s="19">
        <v>0.82291666666666663</v>
      </c>
      <c r="G450" s="18" t="s">
        <v>1005</v>
      </c>
      <c r="H450" s="18" t="s">
        <v>290</v>
      </c>
      <c r="I450" s="20">
        <v>28</v>
      </c>
      <c r="J450" s="21" t="s">
        <v>81</v>
      </c>
      <c r="K450" s="22">
        <v>13</v>
      </c>
      <c r="L450" s="23">
        <f t="shared" si="79"/>
        <v>364</v>
      </c>
      <c r="M450" s="24" t="s">
        <v>153</v>
      </c>
      <c r="N450" s="25" t="s">
        <v>154</v>
      </c>
      <c r="O450" s="25">
        <v>57</v>
      </c>
      <c r="P450" s="25" t="s">
        <v>155</v>
      </c>
      <c r="Q450" s="25">
        <v>56</v>
      </c>
      <c r="R450" s="17"/>
      <c r="S450" s="25"/>
      <c r="T450" s="26">
        <v>960</v>
      </c>
      <c r="U450" s="26" t="s">
        <v>151</v>
      </c>
      <c r="V450" s="26">
        <v>2156</v>
      </c>
      <c r="W450" s="26" t="s">
        <v>999</v>
      </c>
      <c r="X450" s="27">
        <v>44562</v>
      </c>
      <c r="Y450" s="27">
        <v>44815</v>
      </c>
      <c r="Z450" s="27">
        <v>45101</v>
      </c>
      <c r="AA450" s="27">
        <v>45169</v>
      </c>
      <c r="AB450" s="62" t="s">
        <v>291</v>
      </c>
      <c r="AC450" s="62"/>
      <c r="AD450" s="28"/>
      <c r="AE450" s="28" t="s">
        <v>90</v>
      </c>
      <c r="AF450" s="28"/>
      <c r="AG450" s="28"/>
      <c r="AH450" s="28"/>
      <c r="AI450" s="28"/>
      <c r="AJ450" s="28"/>
      <c r="AK450" s="28"/>
      <c r="AL450" s="28"/>
      <c r="AM450" s="28"/>
      <c r="AN450" s="28" t="s">
        <v>90</v>
      </c>
      <c r="AO450" s="28"/>
      <c r="AP450" s="28"/>
      <c r="AQ450" s="28"/>
      <c r="AR450" s="28"/>
      <c r="AS450" s="28"/>
      <c r="AT450" s="28"/>
      <c r="AU450" s="28"/>
      <c r="AV450" s="28"/>
      <c r="AW450" s="28"/>
      <c r="AX450" s="29">
        <v>84</v>
      </c>
      <c r="AY450" s="31"/>
      <c r="AZ450" s="30"/>
      <c r="BA450" s="29"/>
      <c r="BB450" s="29"/>
      <c r="BC450" s="30"/>
      <c r="BD450" s="31">
        <f t="shared" si="80"/>
        <v>1092</v>
      </c>
      <c r="BE450" s="31"/>
      <c r="BF450" s="30"/>
      <c r="BG450" s="32">
        <v>2</v>
      </c>
      <c r="BH450" s="31">
        <f>IF(AND((AX450/I450)&lt;2,BG450=1),(I450*2)-AX450,0)</f>
        <v>0</v>
      </c>
      <c r="BI450" s="31">
        <f>IF(AND((AX450/I450)&lt;3,BG450=2),(I450*3)-AX450,0)</f>
        <v>0</v>
      </c>
      <c r="BJ450" s="33">
        <f>(BH450+BI450)*K450</f>
        <v>0</v>
      </c>
      <c r="BK450" s="30"/>
      <c r="BL450" s="30"/>
      <c r="BM450" s="30"/>
      <c r="BN450" s="30"/>
      <c r="BO450" s="33">
        <f t="shared" si="75"/>
        <v>0</v>
      </c>
      <c r="BP450" s="30">
        <v>2</v>
      </c>
      <c r="BQ450" s="30">
        <v>0</v>
      </c>
      <c r="BR450" s="30"/>
      <c r="BS450" s="30"/>
      <c r="BT450" s="34">
        <f t="shared" si="81"/>
        <v>84</v>
      </c>
      <c r="BU450" s="34"/>
      <c r="BV450" s="34"/>
      <c r="BW450" s="34"/>
      <c r="BX450" s="34"/>
      <c r="BY450" s="30"/>
      <c r="BZ450" s="31">
        <f t="shared" si="77"/>
        <v>168</v>
      </c>
      <c r="CA450" s="31">
        <f t="shared" si="78"/>
        <v>0</v>
      </c>
    </row>
    <row r="451" spans="1:79" ht="38.25" x14ac:dyDescent="0.25">
      <c r="A451" s="17"/>
      <c r="B451" s="2">
        <v>441</v>
      </c>
      <c r="C451" s="48">
        <v>214</v>
      </c>
      <c r="D451" s="48">
        <v>46</v>
      </c>
      <c r="E451" s="49">
        <v>0.79166666666666663</v>
      </c>
      <c r="F451" s="50">
        <v>0.8569444444444444</v>
      </c>
      <c r="G451" s="51" t="s">
        <v>159</v>
      </c>
      <c r="H451" s="18" t="s">
        <v>80</v>
      </c>
      <c r="I451" s="48">
        <v>50</v>
      </c>
      <c r="J451" s="52">
        <v>50</v>
      </c>
      <c r="K451" s="22">
        <v>67</v>
      </c>
      <c r="L451" s="23">
        <f t="shared" si="79"/>
        <v>3350</v>
      </c>
      <c r="M451" s="24" t="s">
        <v>160</v>
      </c>
      <c r="N451" s="25" t="s">
        <v>161</v>
      </c>
      <c r="O451" s="25">
        <v>54</v>
      </c>
      <c r="P451" s="25" t="s">
        <v>162</v>
      </c>
      <c r="Q451" s="25">
        <v>56</v>
      </c>
      <c r="R451" s="17"/>
      <c r="S451" s="25"/>
      <c r="T451" s="26">
        <v>960</v>
      </c>
      <c r="U451" s="26" t="s">
        <v>151</v>
      </c>
      <c r="V451" s="26">
        <v>2323</v>
      </c>
      <c r="W451" s="26" t="s">
        <v>163</v>
      </c>
      <c r="X451" s="27">
        <v>44562</v>
      </c>
      <c r="Y451" s="27">
        <v>44815</v>
      </c>
      <c r="Z451" s="27">
        <v>45101</v>
      </c>
      <c r="AA451" s="27">
        <v>45169</v>
      </c>
      <c r="AB451" s="28" t="s">
        <v>89</v>
      </c>
      <c r="AC451" s="28"/>
      <c r="AD451" s="28"/>
      <c r="AE451" s="28" t="s">
        <v>90</v>
      </c>
      <c r="AF451" s="28" t="s">
        <v>90</v>
      </c>
      <c r="AG451" s="28"/>
      <c r="AH451" s="28" t="s">
        <v>90</v>
      </c>
      <c r="AI451" s="28" t="s">
        <v>90</v>
      </c>
      <c r="AJ451" s="28" t="s">
        <v>90</v>
      </c>
      <c r="AK451" s="28" t="s">
        <v>90</v>
      </c>
      <c r="AL451" s="28" t="s">
        <v>90</v>
      </c>
      <c r="AM451" s="28" t="s">
        <v>90</v>
      </c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31"/>
      <c r="AY451" s="31">
        <f>2.6*50</f>
        <v>130</v>
      </c>
      <c r="AZ451" s="30"/>
      <c r="BA451" s="31"/>
      <c r="BB451" s="31"/>
      <c r="BC451" s="30"/>
      <c r="BD451" s="31">
        <f t="shared" si="80"/>
        <v>0</v>
      </c>
      <c r="BE451" s="31">
        <f>AY451*K451</f>
        <v>8710</v>
      </c>
      <c r="BF451" s="30"/>
      <c r="BG451" s="32">
        <v>2</v>
      </c>
      <c r="BH451" s="30"/>
      <c r="BI451" s="31"/>
      <c r="BJ451" s="30"/>
      <c r="BK451" s="53"/>
      <c r="BL451" s="53"/>
      <c r="BM451" s="54"/>
      <c r="BN451" s="30"/>
      <c r="BO451" s="33">
        <f t="shared" ref="BO451:BO497" si="85">BN451*K451</f>
        <v>0</v>
      </c>
      <c r="BP451" s="30">
        <v>9</v>
      </c>
      <c r="BQ451" s="30">
        <v>0</v>
      </c>
      <c r="BR451" s="30"/>
      <c r="BS451" s="30"/>
      <c r="BT451" s="34">
        <f t="shared" ref="BT451:BT458" si="86">SUM(AX451:AZ451)+SUM(BH451:BI451)+SUM(BK451:BL451)+BN451</f>
        <v>130</v>
      </c>
      <c r="BU451" s="34"/>
      <c r="BV451" s="34"/>
      <c r="BW451" s="34"/>
      <c r="BX451" s="34"/>
      <c r="BY451" s="30"/>
      <c r="BZ451" s="31">
        <f t="shared" ref="BZ451:BZ497" si="87">(BT451*BP451)+(BV451*BX451)</f>
        <v>1170</v>
      </c>
      <c r="CA451" s="31">
        <f t="shared" ref="CA451:CA514" si="88">(BT451*BQ451)+(BW451*BX451)</f>
        <v>0</v>
      </c>
    </row>
    <row r="452" spans="1:79" ht="38.25" x14ac:dyDescent="0.25">
      <c r="A452" s="25"/>
      <c r="B452" s="2">
        <v>442</v>
      </c>
      <c r="C452" s="37">
        <v>215</v>
      </c>
      <c r="D452" s="37">
        <v>135</v>
      </c>
      <c r="E452" s="86">
        <v>0.25555555555555559</v>
      </c>
      <c r="F452" s="86">
        <v>0.29583333333333334</v>
      </c>
      <c r="G452" s="39" t="s">
        <v>169</v>
      </c>
      <c r="H452" s="18" t="s">
        <v>422</v>
      </c>
      <c r="I452" s="37">
        <v>37</v>
      </c>
      <c r="J452" s="40">
        <v>50</v>
      </c>
      <c r="K452" s="22">
        <v>240</v>
      </c>
      <c r="L452" s="23">
        <f t="shared" ref="L452:L458" si="89">+K452*I452</f>
        <v>8880</v>
      </c>
      <c r="M452" s="24" t="s">
        <v>165</v>
      </c>
      <c r="N452" s="25" t="s">
        <v>166</v>
      </c>
      <c r="O452" s="25">
        <v>57</v>
      </c>
      <c r="P452" s="25" t="s">
        <v>167</v>
      </c>
      <c r="Q452" s="25">
        <v>57</v>
      </c>
      <c r="R452" s="25" t="s">
        <v>775</v>
      </c>
      <c r="S452" s="25">
        <v>38</v>
      </c>
      <c r="T452" s="26">
        <v>2323</v>
      </c>
      <c r="U452" s="26" t="s">
        <v>163</v>
      </c>
      <c r="V452" s="26">
        <v>2290</v>
      </c>
      <c r="W452" s="26" t="s">
        <v>118</v>
      </c>
      <c r="X452" s="27">
        <v>44816</v>
      </c>
      <c r="Y452" s="27">
        <v>45100</v>
      </c>
      <c r="Z452" s="27"/>
      <c r="AA452" s="27"/>
      <c r="AB452" s="26" t="s">
        <v>423</v>
      </c>
      <c r="AC452" s="26"/>
      <c r="AD452" s="28" t="s">
        <v>90</v>
      </c>
      <c r="AE452" s="28"/>
      <c r="AF452" s="28" t="s">
        <v>90</v>
      </c>
      <c r="AG452" s="28"/>
      <c r="AH452" s="28" t="s">
        <v>90</v>
      </c>
      <c r="AI452" s="28" t="s">
        <v>90</v>
      </c>
      <c r="AJ452" s="28" t="s">
        <v>90</v>
      </c>
      <c r="AK452" s="28" t="s">
        <v>90</v>
      </c>
      <c r="AL452" s="28" t="s">
        <v>90</v>
      </c>
      <c r="AM452" s="28" t="s">
        <v>90</v>
      </c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9">
        <v>88.8</v>
      </c>
      <c r="AY452" s="31"/>
      <c r="AZ452" s="30"/>
      <c r="BA452" s="29"/>
      <c r="BB452" s="29"/>
      <c r="BC452" s="30"/>
      <c r="BD452" s="31">
        <f t="shared" si="80"/>
        <v>21312</v>
      </c>
      <c r="BE452" s="31"/>
      <c r="BF452" s="30"/>
      <c r="BG452" s="32">
        <v>2</v>
      </c>
      <c r="BH452" s="53"/>
      <c r="BI452" s="53"/>
      <c r="BJ452" s="54"/>
      <c r="BK452" s="30"/>
      <c r="BL452" s="30"/>
      <c r="BM452" s="30"/>
      <c r="BN452" s="31">
        <f t="shared" ref="BN452:BN457" si="90">IF((AX452+AY452+AZ452)&lt;20,(20-(AX452+AY452+AZ452)),0)</f>
        <v>0</v>
      </c>
      <c r="BO452" s="33">
        <f t="shared" si="85"/>
        <v>0</v>
      </c>
      <c r="BP452" s="30">
        <v>17</v>
      </c>
      <c r="BQ452" s="30">
        <v>26</v>
      </c>
      <c r="BR452" s="30"/>
      <c r="BS452" s="30"/>
      <c r="BT452" s="34">
        <f t="shared" si="86"/>
        <v>88.8</v>
      </c>
      <c r="BU452" s="34"/>
      <c r="BV452" s="34"/>
      <c r="BW452" s="34"/>
      <c r="BX452" s="34"/>
      <c r="BY452" s="30"/>
      <c r="BZ452" s="31">
        <f t="shared" si="87"/>
        <v>1509.6</v>
      </c>
      <c r="CA452" s="31">
        <f t="shared" si="88"/>
        <v>2308.7999999999997</v>
      </c>
    </row>
    <row r="453" spans="1:79" ht="90" x14ac:dyDescent="0.25">
      <c r="A453" s="17"/>
      <c r="B453" s="2">
        <v>443</v>
      </c>
      <c r="C453" s="18">
        <v>215</v>
      </c>
      <c r="D453" s="18">
        <v>585</v>
      </c>
      <c r="E453" s="59">
        <v>0.27430555555555552</v>
      </c>
      <c r="F453" s="59">
        <v>0.27986111111111112</v>
      </c>
      <c r="G453" s="18" t="s">
        <v>1023</v>
      </c>
      <c r="H453" s="18" t="s">
        <v>306</v>
      </c>
      <c r="I453" s="20">
        <v>5.2</v>
      </c>
      <c r="J453" s="21">
        <v>19</v>
      </c>
      <c r="K453" s="41">
        <v>208</v>
      </c>
      <c r="L453" s="23">
        <f t="shared" si="89"/>
        <v>1081.6000000000001</v>
      </c>
      <c r="M453" s="24" t="s">
        <v>170</v>
      </c>
      <c r="N453" s="25" t="s">
        <v>1003</v>
      </c>
      <c r="O453" s="25">
        <v>17</v>
      </c>
      <c r="P453" s="25" t="s">
        <v>1012</v>
      </c>
      <c r="Q453" s="25">
        <v>17</v>
      </c>
      <c r="R453" s="25" t="s">
        <v>1024</v>
      </c>
      <c r="S453" s="35">
        <v>9</v>
      </c>
      <c r="T453" s="26">
        <v>2327</v>
      </c>
      <c r="U453" s="26" t="s">
        <v>1025</v>
      </c>
      <c r="V453" s="26">
        <v>2323</v>
      </c>
      <c r="W453" s="26" t="s">
        <v>163</v>
      </c>
      <c r="X453" s="66">
        <v>44816</v>
      </c>
      <c r="Y453" s="66">
        <v>45086</v>
      </c>
      <c r="Z453" s="66"/>
      <c r="AA453" s="66"/>
      <c r="AB453" s="26" t="s">
        <v>309</v>
      </c>
      <c r="AC453" s="26"/>
      <c r="AD453" s="28"/>
      <c r="AE453" s="28"/>
      <c r="AF453" s="28"/>
      <c r="AG453" s="28" t="s">
        <v>90</v>
      </c>
      <c r="AH453" s="28" t="s">
        <v>90</v>
      </c>
      <c r="AI453" s="28" t="s">
        <v>90</v>
      </c>
      <c r="AJ453" s="28" t="s">
        <v>90</v>
      </c>
      <c r="AK453" s="28" t="s">
        <v>90</v>
      </c>
      <c r="AL453" s="28" t="s">
        <v>90</v>
      </c>
      <c r="AM453" s="28" t="s">
        <v>90</v>
      </c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9">
        <v>16.850000000000001</v>
      </c>
      <c r="AY453" s="31"/>
      <c r="AZ453" s="30"/>
      <c r="BA453" s="29"/>
      <c r="BB453" s="29"/>
      <c r="BC453" s="30"/>
      <c r="BD453" s="31">
        <f t="shared" si="80"/>
        <v>3504.8</v>
      </c>
      <c r="BE453" s="31"/>
      <c r="BF453" s="30"/>
      <c r="BG453" s="36">
        <v>1</v>
      </c>
      <c r="BH453" s="31">
        <f>IF(AND((AX453/I453)&lt;2,BG453=1),(I453*2)-AX453,0)</f>
        <v>0</v>
      </c>
      <c r="BI453" s="31">
        <f>IF(AND((AX453/I453)&lt;3,BG453=2),(I453*3)-AX453,0)</f>
        <v>0</v>
      </c>
      <c r="BJ453" s="33">
        <f>(BH453+BI453)*K453</f>
        <v>0</v>
      </c>
      <c r="BK453" s="30"/>
      <c r="BL453" s="30"/>
      <c r="BM453" s="30"/>
      <c r="BN453" s="31">
        <f t="shared" si="90"/>
        <v>3.1499999999999986</v>
      </c>
      <c r="BO453" s="33">
        <f t="shared" si="85"/>
        <v>655.1999999999997</v>
      </c>
      <c r="BP453" s="30">
        <v>17</v>
      </c>
      <c r="BQ453" s="30">
        <v>25</v>
      </c>
      <c r="BR453" s="30"/>
      <c r="BS453" s="30"/>
      <c r="BT453" s="34">
        <f t="shared" si="86"/>
        <v>20</v>
      </c>
      <c r="BU453" s="34"/>
      <c r="BV453" s="34"/>
      <c r="BW453" s="34"/>
      <c r="BX453" s="34"/>
      <c r="BY453" s="30"/>
      <c r="BZ453" s="31">
        <f t="shared" si="87"/>
        <v>340</v>
      </c>
      <c r="CA453" s="31">
        <f t="shared" si="88"/>
        <v>500</v>
      </c>
    </row>
    <row r="454" spans="1:79" ht="51" x14ac:dyDescent="0.25">
      <c r="A454" s="17" t="s">
        <v>147</v>
      </c>
      <c r="B454" s="2">
        <v>444</v>
      </c>
      <c r="C454" s="18">
        <v>215</v>
      </c>
      <c r="D454" s="18"/>
      <c r="E454" s="19">
        <v>0.27430555555555552</v>
      </c>
      <c r="F454" s="19">
        <v>0.28125</v>
      </c>
      <c r="G454" s="18" t="s">
        <v>1026</v>
      </c>
      <c r="H454" s="18" t="s">
        <v>306</v>
      </c>
      <c r="I454" s="20">
        <v>6</v>
      </c>
      <c r="J454" s="21" t="s">
        <v>1027</v>
      </c>
      <c r="K454" s="22">
        <v>208</v>
      </c>
      <c r="L454" s="23">
        <f t="shared" si="89"/>
        <v>1248</v>
      </c>
      <c r="M454" s="24" t="s">
        <v>160</v>
      </c>
      <c r="N454" s="25" t="s">
        <v>1028</v>
      </c>
      <c r="O454" s="25">
        <v>8</v>
      </c>
      <c r="P454" s="25" t="s">
        <v>1029</v>
      </c>
      <c r="Q454" s="25">
        <v>9</v>
      </c>
      <c r="R454" s="17"/>
      <c r="S454" s="25"/>
      <c r="T454" s="26" t="s">
        <v>1030</v>
      </c>
      <c r="U454" s="26" t="s">
        <v>1031</v>
      </c>
      <c r="V454" s="26" t="s">
        <v>1032</v>
      </c>
      <c r="W454" s="26" t="s">
        <v>1033</v>
      </c>
      <c r="X454" s="66">
        <v>44816</v>
      </c>
      <c r="Y454" s="66">
        <v>45086</v>
      </c>
      <c r="Z454" s="66"/>
      <c r="AA454" s="66"/>
      <c r="AB454" s="26" t="s">
        <v>309</v>
      </c>
      <c r="AC454" s="26"/>
      <c r="AD454" s="28"/>
      <c r="AE454" s="28"/>
      <c r="AF454" s="28"/>
      <c r="AG454" s="28" t="s">
        <v>90</v>
      </c>
      <c r="AH454" s="28" t="s">
        <v>90</v>
      </c>
      <c r="AI454" s="28" t="s">
        <v>90</v>
      </c>
      <c r="AJ454" s="28" t="s">
        <v>90</v>
      </c>
      <c r="AK454" s="28" t="s">
        <v>90</v>
      </c>
      <c r="AL454" s="28" t="s">
        <v>90</v>
      </c>
      <c r="AM454" s="28" t="s">
        <v>90</v>
      </c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31"/>
      <c r="AY454" s="31"/>
      <c r="AZ454" s="31">
        <f>3*I454</f>
        <v>18</v>
      </c>
      <c r="BA454" s="29"/>
      <c r="BB454" s="29"/>
      <c r="BC454" s="30"/>
      <c r="BD454" s="30"/>
      <c r="BE454" s="30"/>
      <c r="BF454" s="31">
        <f>AZ454*K454</f>
        <v>3744</v>
      </c>
      <c r="BG454" s="36">
        <v>1</v>
      </c>
      <c r="BH454" s="36"/>
      <c r="BI454" s="47"/>
      <c r="BJ454" s="36"/>
      <c r="BK454" s="36"/>
      <c r="BL454" s="36"/>
      <c r="BM454" s="36"/>
      <c r="BN454" s="31">
        <f t="shared" si="90"/>
        <v>2</v>
      </c>
      <c r="BO454" s="33">
        <f t="shared" si="85"/>
        <v>416</v>
      </c>
      <c r="BP454" s="30">
        <v>17</v>
      </c>
      <c r="BQ454" s="30">
        <v>25</v>
      </c>
      <c r="BR454" s="30"/>
      <c r="BS454" s="30"/>
      <c r="BT454" s="34">
        <f t="shared" si="86"/>
        <v>20</v>
      </c>
      <c r="BU454" s="34"/>
      <c r="BV454" s="34"/>
      <c r="BW454" s="34"/>
      <c r="BX454" s="34"/>
      <c r="BY454" s="30"/>
      <c r="BZ454" s="31">
        <f t="shared" si="87"/>
        <v>340</v>
      </c>
      <c r="CA454" s="31">
        <f t="shared" si="88"/>
        <v>500</v>
      </c>
    </row>
    <row r="455" spans="1:79" ht="38.25" x14ac:dyDescent="0.25">
      <c r="A455" s="17" t="s">
        <v>112</v>
      </c>
      <c r="B455" s="2">
        <v>445</v>
      </c>
      <c r="C455" s="37">
        <v>215</v>
      </c>
      <c r="D455" s="37">
        <v>127</v>
      </c>
      <c r="E455" s="38">
        <v>0.28125</v>
      </c>
      <c r="F455" s="38">
        <v>0.3215277777777778</v>
      </c>
      <c r="G455" s="39" t="s">
        <v>169</v>
      </c>
      <c r="H455" s="58" t="s">
        <v>1034</v>
      </c>
      <c r="I455" s="37">
        <v>37</v>
      </c>
      <c r="J455" s="40">
        <v>50</v>
      </c>
      <c r="K455" s="107">
        <v>55</v>
      </c>
      <c r="L455" s="23">
        <f t="shared" si="89"/>
        <v>2035</v>
      </c>
      <c r="M455" s="24" t="s">
        <v>160</v>
      </c>
      <c r="N455" s="25" t="s">
        <v>161</v>
      </c>
      <c r="O455" s="25">
        <v>54</v>
      </c>
      <c r="P455" s="25" t="s">
        <v>162</v>
      </c>
      <c r="Q455" s="25">
        <v>56</v>
      </c>
      <c r="R455" s="17"/>
      <c r="S455" s="25"/>
      <c r="T455" s="26">
        <v>2323</v>
      </c>
      <c r="U455" s="26" t="s">
        <v>163</v>
      </c>
      <c r="V455" s="26">
        <v>2290</v>
      </c>
      <c r="W455" s="26" t="s">
        <v>118</v>
      </c>
      <c r="X455" s="27">
        <v>44562</v>
      </c>
      <c r="Y455" s="27">
        <v>44815</v>
      </c>
      <c r="Z455" s="27">
        <v>45101</v>
      </c>
      <c r="AA455" s="27">
        <v>45169</v>
      </c>
      <c r="AB455" s="108" t="s">
        <v>353</v>
      </c>
      <c r="AC455" s="28"/>
      <c r="AD455" s="28"/>
      <c r="AE455" s="28" t="s">
        <v>90</v>
      </c>
      <c r="AF455" s="28" t="s">
        <v>90</v>
      </c>
      <c r="AG455" s="28"/>
      <c r="AH455" s="28" t="s">
        <v>90</v>
      </c>
      <c r="AI455" s="28" t="s">
        <v>90</v>
      </c>
      <c r="AJ455" s="28" t="s">
        <v>90</v>
      </c>
      <c r="AK455" s="28" t="s">
        <v>90</v>
      </c>
      <c r="AL455" s="28" t="s">
        <v>90</v>
      </c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9"/>
      <c r="AY455" s="31"/>
      <c r="AZ455" s="30"/>
      <c r="BA455" s="42"/>
      <c r="BB455" s="55" t="s">
        <v>1035</v>
      </c>
      <c r="BC455" s="30"/>
      <c r="BD455" s="31">
        <f t="shared" ref="BD455:BD461" si="91">AX455*K455</f>
        <v>0</v>
      </c>
      <c r="BE455" s="30"/>
      <c r="BF455" s="30"/>
      <c r="BG455" s="32">
        <v>2</v>
      </c>
      <c r="BH455" s="30"/>
      <c r="BI455" s="31"/>
      <c r="BJ455" s="30"/>
      <c r="BK455" s="30"/>
      <c r="BL455" s="30"/>
      <c r="BM455" s="30"/>
      <c r="BN455" s="31"/>
      <c r="BO455" s="33">
        <f t="shared" si="85"/>
        <v>0</v>
      </c>
      <c r="BP455" s="30">
        <v>7</v>
      </c>
      <c r="BQ455" s="30">
        <v>0</v>
      </c>
      <c r="BR455" s="30"/>
      <c r="BS455" s="30"/>
      <c r="BT455" s="34">
        <f t="shared" si="86"/>
        <v>0</v>
      </c>
      <c r="BU455" s="34" t="s">
        <v>353</v>
      </c>
      <c r="BV455" s="30">
        <v>7</v>
      </c>
      <c r="BW455" s="30">
        <v>0</v>
      </c>
      <c r="BX455" s="34">
        <v>300</v>
      </c>
      <c r="BY455" s="30"/>
      <c r="BZ455" s="31">
        <f t="shared" si="87"/>
        <v>2100</v>
      </c>
      <c r="CA455" s="31">
        <f t="shared" si="88"/>
        <v>0</v>
      </c>
    </row>
    <row r="456" spans="1:79" ht="45.75" x14ac:dyDescent="0.25">
      <c r="A456" s="17" t="s">
        <v>112</v>
      </c>
      <c r="B456" s="71" t="s">
        <v>1036</v>
      </c>
      <c r="C456" s="37">
        <v>215</v>
      </c>
      <c r="D456" s="37">
        <v>127</v>
      </c>
      <c r="E456" s="38">
        <v>0.28125</v>
      </c>
      <c r="F456" s="38">
        <v>0.3215277777777778</v>
      </c>
      <c r="G456" s="39" t="s">
        <v>169</v>
      </c>
      <c r="H456" s="58" t="s">
        <v>1037</v>
      </c>
      <c r="I456" s="37">
        <v>37</v>
      </c>
      <c r="J456" s="40">
        <v>50</v>
      </c>
      <c r="K456" s="107">
        <f>67-K455</f>
        <v>12</v>
      </c>
      <c r="L456" s="23">
        <f t="shared" si="89"/>
        <v>444</v>
      </c>
      <c r="M456" s="24" t="s">
        <v>1038</v>
      </c>
      <c r="N456" s="25" t="s">
        <v>166</v>
      </c>
      <c r="O456" s="25">
        <v>57</v>
      </c>
      <c r="P456" s="25" t="s">
        <v>167</v>
      </c>
      <c r="Q456" s="25">
        <v>57</v>
      </c>
      <c r="R456" s="17"/>
      <c r="S456" s="25"/>
      <c r="T456" s="26">
        <v>2323</v>
      </c>
      <c r="U456" s="26" t="s">
        <v>163</v>
      </c>
      <c r="V456" s="26">
        <v>2290</v>
      </c>
      <c r="W456" s="26" t="s">
        <v>118</v>
      </c>
      <c r="X456" s="27">
        <v>44562</v>
      </c>
      <c r="Y456" s="27">
        <v>44815</v>
      </c>
      <c r="Z456" s="27">
        <v>45101</v>
      </c>
      <c r="AA456" s="27">
        <v>45169</v>
      </c>
      <c r="AB456" s="108" t="s">
        <v>101</v>
      </c>
      <c r="AC456" s="28"/>
      <c r="AD456" s="28"/>
      <c r="AE456" s="28" t="s">
        <v>90</v>
      </c>
      <c r="AF456" s="28" t="s">
        <v>90</v>
      </c>
      <c r="AG456" s="28"/>
      <c r="AH456" s="28"/>
      <c r="AI456" s="28"/>
      <c r="AJ456" s="28"/>
      <c r="AK456" s="28"/>
      <c r="AL456" s="28"/>
      <c r="AM456" s="28" t="s">
        <v>90</v>
      </c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9"/>
      <c r="AY456" s="31"/>
      <c r="AZ456" s="30"/>
      <c r="BA456" s="42"/>
      <c r="BB456" s="43" t="s">
        <v>1039</v>
      </c>
      <c r="BC456" s="30"/>
      <c r="BD456" s="31">
        <f t="shared" si="91"/>
        <v>0</v>
      </c>
      <c r="BE456" s="30"/>
      <c r="BF456" s="30"/>
      <c r="BG456" s="32">
        <v>2</v>
      </c>
      <c r="BH456" s="30"/>
      <c r="BI456" s="31"/>
      <c r="BJ456" s="30"/>
      <c r="BK456" s="30"/>
      <c r="BL456" s="30"/>
      <c r="BM456" s="30"/>
      <c r="BN456" s="31"/>
      <c r="BO456" s="33">
        <f t="shared" si="85"/>
        <v>0</v>
      </c>
      <c r="BP456" s="30">
        <v>2</v>
      </c>
      <c r="BQ456" s="30">
        <v>0</v>
      </c>
      <c r="BR456" s="30"/>
      <c r="BS456" s="30"/>
      <c r="BT456" s="34">
        <f t="shared" si="86"/>
        <v>0</v>
      </c>
      <c r="BU456" s="34"/>
      <c r="BV456" s="34"/>
      <c r="BW456" s="34"/>
      <c r="BX456" s="34"/>
      <c r="BY456" s="30"/>
      <c r="BZ456" s="31">
        <f t="shared" si="87"/>
        <v>0</v>
      </c>
      <c r="CA456" s="31">
        <f t="shared" si="88"/>
        <v>0</v>
      </c>
    </row>
    <row r="457" spans="1:79" ht="90" x14ac:dyDescent="0.25">
      <c r="A457" s="17"/>
      <c r="B457" s="2">
        <v>446</v>
      </c>
      <c r="C457" s="58">
        <v>225</v>
      </c>
      <c r="D457" s="18">
        <v>447</v>
      </c>
      <c r="E457" s="19">
        <v>0.28402777777777777</v>
      </c>
      <c r="F457" s="19">
        <v>0.29444444444444445</v>
      </c>
      <c r="G457" s="18" t="s">
        <v>1040</v>
      </c>
      <c r="H457" s="18" t="s">
        <v>306</v>
      </c>
      <c r="I457" s="20">
        <v>6</v>
      </c>
      <c r="J457" s="21" t="s">
        <v>541</v>
      </c>
      <c r="K457" s="22">
        <v>208</v>
      </c>
      <c r="L457" s="23">
        <f t="shared" si="89"/>
        <v>1248</v>
      </c>
      <c r="M457" s="24" t="s">
        <v>170</v>
      </c>
      <c r="N457" s="25" t="s">
        <v>1002</v>
      </c>
      <c r="O457" s="25">
        <v>18</v>
      </c>
      <c r="P457" s="25" t="s">
        <v>1024</v>
      </c>
      <c r="Q457" s="25">
        <v>9</v>
      </c>
      <c r="R457" s="25"/>
      <c r="S457" s="25"/>
      <c r="T457" s="26">
        <v>2312</v>
      </c>
      <c r="U457" s="26" t="s">
        <v>1041</v>
      </c>
      <c r="V457" s="26">
        <v>2311</v>
      </c>
      <c r="W457" s="26" t="s">
        <v>1042</v>
      </c>
      <c r="X457" s="66">
        <v>44816</v>
      </c>
      <c r="Y457" s="66">
        <v>45086</v>
      </c>
      <c r="Z457" s="66"/>
      <c r="AA457" s="66"/>
      <c r="AB457" s="26" t="s">
        <v>309</v>
      </c>
      <c r="AC457" s="26"/>
      <c r="AD457" s="28"/>
      <c r="AE457" s="28"/>
      <c r="AF457" s="28"/>
      <c r="AG457" s="28" t="s">
        <v>90</v>
      </c>
      <c r="AH457" s="28" t="s">
        <v>90</v>
      </c>
      <c r="AI457" s="28" t="s">
        <v>90</v>
      </c>
      <c r="AJ457" s="28" t="s">
        <v>90</v>
      </c>
      <c r="AK457" s="28" t="s">
        <v>90</v>
      </c>
      <c r="AL457" s="28" t="s">
        <v>90</v>
      </c>
      <c r="AM457" s="28" t="s">
        <v>90</v>
      </c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9">
        <v>31.3</v>
      </c>
      <c r="AY457" s="31"/>
      <c r="AZ457" s="30"/>
      <c r="BA457" s="29"/>
      <c r="BB457" s="29"/>
      <c r="BC457" s="30"/>
      <c r="BD457" s="31">
        <f t="shared" si="91"/>
        <v>6510.4000000000005</v>
      </c>
      <c r="BE457" s="31"/>
      <c r="BF457" s="30"/>
      <c r="BG457" s="36">
        <v>1</v>
      </c>
      <c r="BH457" s="31">
        <f>IF(AND((AX457/I457)&lt;2,BG457=1),(I457*2)-AX457,0)</f>
        <v>0</v>
      </c>
      <c r="BI457" s="31">
        <f>IF(AND((AX457/I457)&lt;3,BG457=2),(I457*3)-AX457,0)</f>
        <v>0</v>
      </c>
      <c r="BJ457" s="33">
        <f>(BH457+BI457)*K457</f>
        <v>0</v>
      </c>
      <c r="BK457" s="30"/>
      <c r="BL457" s="30"/>
      <c r="BM457" s="30"/>
      <c r="BN457" s="31">
        <f t="shared" si="90"/>
        <v>0</v>
      </c>
      <c r="BO457" s="33">
        <f t="shared" si="85"/>
        <v>0</v>
      </c>
      <c r="BP457" s="30">
        <v>17</v>
      </c>
      <c r="BQ457" s="30">
        <v>25</v>
      </c>
      <c r="BR457" s="30"/>
      <c r="BS457" s="30"/>
      <c r="BT457" s="34">
        <f t="shared" si="86"/>
        <v>31.3</v>
      </c>
      <c r="BU457" s="34"/>
      <c r="BV457" s="34"/>
      <c r="BW457" s="34"/>
      <c r="BX457" s="34"/>
      <c r="BY457" s="30"/>
      <c r="BZ457" s="31">
        <f t="shared" si="87"/>
        <v>532.1</v>
      </c>
      <c r="CA457" s="31">
        <f t="shared" si="88"/>
        <v>782.5</v>
      </c>
    </row>
    <row r="458" spans="1:79" ht="90" x14ac:dyDescent="0.25">
      <c r="A458" s="17"/>
      <c r="B458" s="2">
        <v>447</v>
      </c>
      <c r="C458" s="18">
        <v>215</v>
      </c>
      <c r="D458" s="18">
        <v>595</v>
      </c>
      <c r="E458" s="19">
        <v>0.29166666666666669</v>
      </c>
      <c r="F458" s="19">
        <v>0.30208333333333331</v>
      </c>
      <c r="G458" s="18" t="s">
        <v>1043</v>
      </c>
      <c r="H458" s="18" t="s">
        <v>306</v>
      </c>
      <c r="I458" s="20">
        <v>8.5</v>
      </c>
      <c r="J458" s="21">
        <v>19</v>
      </c>
      <c r="K458" s="22">
        <v>208</v>
      </c>
      <c r="L458" s="23">
        <f t="shared" si="89"/>
        <v>1768</v>
      </c>
      <c r="M458" s="24" t="s">
        <v>170</v>
      </c>
      <c r="N458" s="25" t="s">
        <v>1013</v>
      </c>
      <c r="O458" s="25">
        <v>24</v>
      </c>
      <c r="P458" s="25" t="s">
        <v>1012</v>
      </c>
      <c r="Q458" s="25">
        <v>17</v>
      </c>
      <c r="R458" s="25" t="s">
        <v>1024</v>
      </c>
      <c r="S458" s="35">
        <v>9</v>
      </c>
      <c r="T458" s="26">
        <v>2327</v>
      </c>
      <c r="U458" s="26" t="s">
        <v>1025</v>
      </c>
      <c r="V458" s="26">
        <v>2322</v>
      </c>
      <c r="W458" s="26" t="s">
        <v>1044</v>
      </c>
      <c r="X458" s="66">
        <v>44816</v>
      </c>
      <c r="Y458" s="66">
        <v>45086</v>
      </c>
      <c r="Z458" s="66"/>
      <c r="AA458" s="66"/>
      <c r="AB458" s="26" t="s">
        <v>309</v>
      </c>
      <c r="AC458" s="26"/>
      <c r="AD458" s="28"/>
      <c r="AE458" s="28"/>
      <c r="AF458" s="28"/>
      <c r="AG458" s="28" t="s">
        <v>90</v>
      </c>
      <c r="AH458" s="28" t="s">
        <v>90</v>
      </c>
      <c r="AI458" s="28" t="s">
        <v>90</v>
      </c>
      <c r="AJ458" s="28" t="s">
        <v>90</v>
      </c>
      <c r="AK458" s="28" t="s">
        <v>90</v>
      </c>
      <c r="AL458" s="28" t="s">
        <v>90</v>
      </c>
      <c r="AM458" s="28" t="s">
        <v>90</v>
      </c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9">
        <v>29.12</v>
      </c>
      <c r="AY458" s="31"/>
      <c r="AZ458" s="30"/>
      <c r="BA458" s="29"/>
      <c r="BB458" s="29"/>
      <c r="BC458" s="30"/>
      <c r="BD458" s="31">
        <f t="shared" si="91"/>
        <v>6056.96</v>
      </c>
      <c r="BE458" s="31"/>
      <c r="BF458" s="30"/>
      <c r="BG458" s="36">
        <v>1</v>
      </c>
      <c r="BH458" s="31">
        <f>IF(AND((AX458/I458)&lt;2,BG458=1),(I458*2)-AX458,0)</f>
        <v>0</v>
      </c>
      <c r="BI458" s="31">
        <f>IF(AND((AX458/I458)&lt;3,BG458=2),(I458*3)-AX458,0)</f>
        <v>0</v>
      </c>
      <c r="BJ458" s="33">
        <f>(BH458+BI458)*K458</f>
        <v>0</v>
      </c>
      <c r="BK458" s="30"/>
      <c r="BL458" s="30"/>
      <c r="BM458" s="30"/>
      <c r="BN458" s="30"/>
      <c r="BO458" s="33">
        <f t="shared" si="85"/>
        <v>0</v>
      </c>
      <c r="BP458" s="30">
        <v>17</v>
      </c>
      <c r="BQ458" s="30">
        <v>25</v>
      </c>
      <c r="BR458" s="30"/>
      <c r="BS458" s="30"/>
      <c r="BT458" s="34">
        <f t="shared" si="86"/>
        <v>29.12</v>
      </c>
      <c r="BU458" s="34"/>
      <c r="BV458" s="34"/>
      <c r="BW458" s="34"/>
      <c r="BX458" s="34"/>
      <c r="BY458" s="30"/>
      <c r="BZ458" s="31">
        <f t="shared" si="87"/>
        <v>495.04</v>
      </c>
      <c r="CA458" s="31">
        <f t="shared" si="88"/>
        <v>728</v>
      </c>
    </row>
    <row r="459" spans="1:79" ht="114.75" x14ac:dyDescent="0.25">
      <c r="A459" s="17"/>
      <c r="B459" s="2">
        <v>448</v>
      </c>
      <c r="C459" s="18">
        <v>215</v>
      </c>
      <c r="D459" s="18"/>
      <c r="E459" s="109">
        <v>0.29166666666666669</v>
      </c>
      <c r="F459" s="109">
        <v>0.58333333333333337</v>
      </c>
      <c r="G459" s="110" t="s">
        <v>1045</v>
      </c>
      <c r="H459" s="18" t="s">
        <v>268</v>
      </c>
      <c r="I459" s="20"/>
      <c r="J459" s="21">
        <v>9</v>
      </c>
      <c r="K459" s="22">
        <v>252</v>
      </c>
      <c r="L459" s="23">
        <v>43200</v>
      </c>
      <c r="M459" s="24" t="s">
        <v>170</v>
      </c>
      <c r="N459" s="25" t="s">
        <v>1046</v>
      </c>
      <c r="O459" s="25">
        <v>9</v>
      </c>
      <c r="P459" s="25" t="s">
        <v>1047</v>
      </c>
      <c r="Q459" s="25">
        <v>9</v>
      </c>
      <c r="R459" s="25" t="s">
        <v>1048</v>
      </c>
      <c r="S459" s="25">
        <v>18</v>
      </c>
      <c r="T459" s="78">
        <v>2327</v>
      </c>
      <c r="U459" s="78" t="s">
        <v>1025</v>
      </c>
      <c r="V459" s="78">
        <v>2290</v>
      </c>
      <c r="W459" s="78" t="s">
        <v>118</v>
      </c>
      <c r="X459" s="66">
        <v>44805</v>
      </c>
      <c r="Y459" s="66">
        <v>45169</v>
      </c>
      <c r="Z459" s="66"/>
      <c r="AA459" s="66"/>
      <c r="AB459" s="26" t="s">
        <v>1049</v>
      </c>
      <c r="AC459" s="26" t="s">
        <v>628</v>
      </c>
      <c r="AD459" s="28" t="s">
        <v>90</v>
      </c>
      <c r="AE459" s="28" t="s">
        <v>90</v>
      </c>
      <c r="AF459" s="28" t="s">
        <v>90</v>
      </c>
      <c r="AG459" s="28"/>
      <c r="AH459" s="28" t="s">
        <v>90</v>
      </c>
      <c r="AI459" s="28" t="s">
        <v>90</v>
      </c>
      <c r="AJ459" s="28" t="s">
        <v>90</v>
      </c>
      <c r="AK459" s="28" t="s">
        <v>90</v>
      </c>
      <c r="AL459" s="28" t="s">
        <v>90</v>
      </c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53">
        <f>122.45+(0.55*(43200/252))</f>
        <v>216.73571428571429</v>
      </c>
      <c r="AY459" s="31"/>
      <c r="AZ459" s="30"/>
      <c r="BA459" s="29"/>
      <c r="BB459" s="29"/>
      <c r="BC459" s="30"/>
      <c r="BD459" s="31">
        <f t="shared" si="91"/>
        <v>54617.4</v>
      </c>
      <c r="BE459" s="31"/>
      <c r="BF459" s="30"/>
      <c r="BG459" s="36">
        <v>1</v>
      </c>
      <c r="BH459" s="53"/>
      <c r="BI459" s="53"/>
      <c r="BJ459" s="54"/>
      <c r="BK459" s="30"/>
      <c r="BL459" s="30"/>
      <c r="BM459" s="30"/>
      <c r="BN459" s="30"/>
      <c r="BO459" s="33">
        <f t="shared" si="85"/>
        <v>0</v>
      </c>
      <c r="BP459" s="30">
        <v>22</v>
      </c>
      <c r="BQ459" s="30">
        <v>21</v>
      </c>
      <c r="BR459" s="30"/>
      <c r="BS459" s="30"/>
      <c r="BT459" s="111">
        <v>209.75</v>
      </c>
      <c r="BU459" s="34"/>
      <c r="BV459" s="34"/>
      <c r="BW459" s="34"/>
      <c r="BX459" s="34"/>
      <c r="BY459" s="30"/>
      <c r="BZ459" s="31">
        <f t="shared" si="87"/>
        <v>4614.5</v>
      </c>
      <c r="CA459" s="31">
        <f t="shared" si="88"/>
        <v>4404.75</v>
      </c>
    </row>
    <row r="460" spans="1:79" ht="63.75" x14ac:dyDescent="0.25">
      <c r="A460" s="17" t="s">
        <v>1050</v>
      </c>
      <c r="B460" s="2">
        <v>449</v>
      </c>
      <c r="C460" s="18">
        <v>215</v>
      </c>
      <c r="D460" s="18">
        <v>127</v>
      </c>
      <c r="E460" s="112">
        <v>0.29166666666666669</v>
      </c>
      <c r="F460" s="112">
        <v>0.32361111111111113</v>
      </c>
      <c r="G460" s="113" t="s">
        <v>1051</v>
      </c>
      <c r="H460" s="114" t="s">
        <v>273</v>
      </c>
      <c r="I460" s="87">
        <v>26.5</v>
      </c>
      <c r="J460" s="21" t="s">
        <v>81</v>
      </c>
      <c r="K460" s="22">
        <v>174</v>
      </c>
      <c r="L460" s="23">
        <f t="shared" ref="L460:L466" si="92">+K460*I460</f>
        <v>4611</v>
      </c>
      <c r="M460" s="24" t="s">
        <v>136</v>
      </c>
      <c r="N460" s="25" t="s">
        <v>150</v>
      </c>
      <c r="O460" s="25">
        <v>57</v>
      </c>
      <c r="P460" s="25" t="s">
        <v>1052</v>
      </c>
      <c r="Q460" s="25">
        <v>60</v>
      </c>
      <c r="R460" s="25" t="s">
        <v>763</v>
      </c>
      <c r="S460" s="25">
        <v>57</v>
      </c>
      <c r="T460" s="26" t="s">
        <v>1053</v>
      </c>
      <c r="U460" s="26" t="s">
        <v>1054</v>
      </c>
      <c r="V460" s="26" t="s">
        <v>1055</v>
      </c>
      <c r="W460" s="26" t="s">
        <v>1056</v>
      </c>
      <c r="X460" s="66">
        <v>44816</v>
      </c>
      <c r="Y460" s="66">
        <v>45086</v>
      </c>
      <c r="Z460" s="66"/>
      <c r="AA460" s="66"/>
      <c r="AB460" s="26" t="s">
        <v>282</v>
      </c>
      <c r="AC460" s="26"/>
      <c r="AD460" s="28"/>
      <c r="AE460" s="28"/>
      <c r="AF460" s="28"/>
      <c r="AG460" s="28" t="s">
        <v>90</v>
      </c>
      <c r="AH460" s="28" t="s">
        <v>90</v>
      </c>
      <c r="AI460" s="28" t="s">
        <v>90</v>
      </c>
      <c r="AJ460" s="28" t="s">
        <v>90</v>
      </c>
      <c r="AK460" s="28" t="s">
        <v>90</v>
      </c>
      <c r="AL460" s="28" t="s">
        <v>90</v>
      </c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9">
        <f>52.5+193.7</f>
        <v>246.2</v>
      </c>
      <c r="AY460" s="31"/>
      <c r="AZ460" s="30"/>
      <c r="BA460" s="29"/>
      <c r="BB460" s="29"/>
      <c r="BC460" s="30"/>
      <c r="BD460" s="31">
        <f t="shared" si="91"/>
        <v>42838.799999999996</v>
      </c>
      <c r="BE460" s="31"/>
      <c r="BF460" s="30"/>
      <c r="BG460" s="32">
        <v>2</v>
      </c>
      <c r="BH460" s="31">
        <f>IF(AND((AX460/I460)&lt;2,BG460=1),(I460*2)-AX460,0)</f>
        <v>0</v>
      </c>
      <c r="BI460" s="31">
        <f>IF(AND((AX460/I460)&lt;3,BG460=2),(I460*3)-AX460,0)</f>
        <v>0</v>
      </c>
      <c r="BJ460" s="33">
        <f>(BH460+BI460)*K460</f>
        <v>0</v>
      </c>
      <c r="BK460" s="30"/>
      <c r="BL460" s="30"/>
      <c r="BM460" s="30"/>
      <c r="BN460" s="30"/>
      <c r="BO460" s="33">
        <f t="shared" si="85"/>
        <v>0</v>
      </c>
      <c r="BP460" s="30">
        <v>15</v>
      </c>
      <c r="BQ460" s="30">
        <v>20</v>
      </c>
      <c r="BR460" s="30"/>
      <c r="BS460" s="30"/>
      <c r="BT460" s="34">
        <f t="shared" ref="BT460:BT466" si="93">SUM(AX460:AZ460)+SUM(BH460:BI460)+SUM(BK460:BL460)+BN460</f>
        <v>246.2</v>
      </c>
      <c r="BU460" s="34"/>
      <c r="BV460" s="34"/>
      <c r="BW460" s="34"/>
      <c r="BX460" s="34"/>
      <c r="BY460" s="30"/>
      <c r="BZ460" s="31">
        <f t="shared" si="87"/>
        <v>3693</v>
      </c>
      <c r="CA460" s="31">
        <f t="shared" si="88"/>
        <v>4924</v>
      </c>
    </row>
    <row r="461" spans="1:79" ht="51" x14ac:dyDescent="0.25">
      <c r="A461" s="17"/>
      <c r="B461" s="2">
        <v>450</v>
      </c>
      <c r="C461" s="18">
        <v>215</v>
      </c>
      <c r="D461" s="18">
        <v>467</v>
      </c>
      <c r="E461" s="115">
        <v>0.2986111111111111</v>
      </c>
      <c r="F461" s="115">
        <v>0.30208333333333331</v>
      </c>
      <c r="G461" s="116" t="s">
        <v>1057</v>
      </c>
      <c r="H461" s="18" t="s">
        <v>306</v>
      </c>
      <c r="I461" s="20">
        <v>3</v>
      </c>
      <c r="J461" s="21" t="s">
        <v>380</v>
      </c>
      <c r="K461" s="22">
        <v>208</v>
      </c>
      <c r="L461" s="23">
        <f t="shared" si="92"/>
        <v>624</v>
      </c>
      <c r="M461" s="24" t="s">
        <v>165</v>
      </c>
      <c r="N461" s="25" t="s">
        <v>973</v>
      </c>
      <c r="O461" s="25">
        <v>9</v>
      </c>
      <c r="P461" s="25" t="s">
        <v>974</v>
      </c>
      <c r="Q461" s="25">
        <v>9</v>
      </c>
      <c r="R461" s="17"/>
      <c r="S461" s="25"/>
      <c r="T461" s="26">
        <v>2307</v>
      </c>
      <c r="U461" s="26" t="s">
        <v>1058</v>
      </c>
      <c r="V461" s="26">
        <v>2305</v>
      </c>
      <c r="W461" s="26" t="s">
        <v>987</v>
      </c>
      <c r="X461" s="66">
        <v>44816</v>
      </c>
      <c r="Y461" s="66">
        <v>45086</v>
      </c>
      <c r="Z461" s="66"/>
      <c r="AA461" s="66"/>
      <c r="AB461" s="26" t="s">
        <v>309</v>
      </c>
      <c r="AC461" s="26"/>
      <c r="AD461" s="28"/>
      <c r="AE461" s="28"/>
      <c r="AF461" s="28"/>
      <c r="AG461" s="28" t="s">
        <v>90</v>
      </c>
      <c r="AH461" s="28" t="s">
        <v>90</v>
      </c>
      <c r="AI461" s="28" t="s">
        <v>90</v>
      </c>
      <c r="AJ461" s="28" t="s">
        <v>90</v>
      </c>
      <c r="AK461" s="28" t="s">
        <v>90</v>
      </c>
      <c r="AL461" s="28" t="s">
        <v>90</v>
      </c>
      <c r="AM461" s="28" t="s">
        <v>90</v>
      </c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9">
        <v>12.38</v>
      </c>
      <c r="AY461" s="31"/>
      <c r="AZ461" s="30"/>
      <c r="BA461" s="29"/>
      <c r="BB461" s="29"/>
      <c r="BC461" s="30"/>
      <c r="BD461" s="31">
        <f t="shared" si="91"/>
        <v>2575.04</v>
      </c>
      <c r="BE461" s="31"/>
      <c r="BF461" s="30"/>
      <c r="BG461" s="36">
        <v>1</v>
      </c>
      <c r="BH461" s="31">
        <f>IF(AND((AX461/I461)&lt;2,BG461=1),(I461*2)-AX461,0)</f>
        <v>0</v>
      </c>
      <c r="BI461" s="31">
        <f>IF(AND((AX461/I461)&lt;3,BG461=2),(I461*3)-AX461,0)</f>
        <v>0</v>
      </c>
      <c r="BJ461" s="33">
        <f>(BH461+BI461)*K461</f>
        <v>0</v>
      </c>
      <c r="BK461" s="30"/>
      <c r="BL461" s="30"/>
      <c r="BM461" s="30"/>
      <c r="BN461" s="30"/>
      <c r="BO461" s="33">
        <f t="shared" si="85"/>
        <v>0</v>
      </c>
      <c r="BP461" s="30">
        <v>17</v>
      </c>
      <c r="BQ461" s="30">
        <v>25</v>
      </c>
      <c r="BR461" s="30"/>
      <c r="BS461" s="30"/>
      <c r="BT461" s="34">
        <f t="shared" si="93"/>
        <v>12.38</v>
      </c>
      <c r="BU461" s="34"/>
      <c r="BV461" s="34"/>
      <c r="BW461" s="34"/>
      <c r="BX461" s="34"/>
      <c r="BY461" s="30"/>
      <c r="BZ461" s="31">
        <f t="shared" si="87"/>
        <v>210.46</v>
      </c>
      <c r="CA461" s="31">
        <f t="shared" si="88"/>
        <v>309.5</v>
      </c>
    </row>
    <row r="462" spans="1:79" ht="90" x14ac:dyDescent="0.25">
      <c r="A462" s="17" t="s">
        <v>147</v>
      </c>
      <c r="B462" s="2">
        <v>451</v>
      </c>
      <c r="C462" s="18">
        <v>215</v>
      </c>
      <c r="D462" s="58">
        <v>593</v>
      </c>
      <c r="E462" s="59">
        <v>0.33194444444444443</v>
      </c>
      <c r="F462" s="59">
        <v>0.37361111111111112</v>
      </c>
      <c r="G462" s="18" t="s">
        <v>169</v>
      </c>
      <c r="H462" s="18" t="s">
        <v>1059</v>
      </c>
      <c r="I462" s="20">
        <v>37</v>
      </c>
      <c r="J462" s="21" t="s">
        <v>81</v>
      </c>
      <c r="K462" s="22">
        <v>38</v>
      </c>
      <c r="L462" s="23">
        <f t="shared" si="92"/>
        <v>1406</v>
      </c>
      <c r="M462" s="24" t="s">
        <v>170</v>
      </c>
      <c r="N462" s="25" t="s">
        <v>172</v>
      </c>
      <c r="O462" s="25">
        <v>60</v>
      </c>
      <c r="P462" s="25" t="s">
        <v>173</v>
      </c>
      <c r="Q462" s="25">
        <v>57</v>
      </c>
      <c r="R462" s="17"/>
      <c r="S462" s="25"/>
      <c r="T462" s="26">
        <v>2323</v>
      </c>
      <c r="U462" s="26" t="s">
        <v>1060</v>
      </c>
      <c r="V462" s="26">
        <v>2290</v>
      </c>
      <c r="W462" s="26" t="s">
        <v>1061</v>
      </c>
      <c r="X462" s="27">
        <v>44816</v>
      </c>
      <c r="Y462" s="27">
        <v>45100</v>
      </c>
      <c r="Z462" s="27"/>
      <c r="AA462" s="27"/>
      <c r="AB462" s="28" t="s">
        <v>771</v>
      </c>
      <c r="AC462" s="28"/>
      <c r="AD462" s="28" t="s">
        <v>90</v>
      </c>
      <c r="AE462" s="28"/>
      <c r="AF462" s="28" t="s">
        <v>90</v>
      </c>
      <c r="AG462" s="28"/>
      <c r="AH462" s="28"/>
      <c r="AI462" s="28"/>
      <c r="AJ462" s="28"/>
      <c r="AK462" s="28"/>
      <c r="AL462" s="28"/>
      <c r="AM462" s="28" t="s">
        <v>90</v>
      </c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30"/>
      <c r="AY462" s="30"/>
      <c r="AZ462" s="31">
        <f>3*I462</f>
        <v>111</v>
      </c>
      <c r="BA462" s="29"/>
      <c r="BB462" s="29"/>
      <c r="BC462" s="30">
        <v>58</v>
      </c>
      <c r="BD462" s="30"/>
      <c r="BE462" s="30"/>
      <c r="BF462" s="31">
        <f>AZ462*K462</f>
        <v>4218</v>
      </c>
      <c r="BG462" s="32">
        <v>2</v>
      </c>
      <c r="BH462" s="36"/>
      <c r="BI462" s="47"/>
      <c r="BJ462" s="36"/>
      <c r="BK462" s="36"/>
      <c r="BL462" s="36"/>
      <c r="BM462" s="36"/>
      <c r="BN462" s="30"/>
      <c r="BO462" s="33">
        <f t="shared" si="85"/>
        <v>0</v>
      </c>
      <c r="BP462" s="30">
        <v>2</v>
      </c>
      <c r="BQ462" s="30">
        <v>5</v>
      </c>
      <c r="BR462" s="30"/>
      <c r="BS462" s="30"/>
      <c r="BT462" s="34">
        <f t="shared" si="93"/>
        <v>111</v>
      </c>
      <c r="BU462" s="34" t="s">
        <v>771</v>
      </c>
      <c r="BV462" s="30">
        <v>2</v>
      </c>
      <c r="BW462" s="30">
        <v>5</v>
      </c>
      <c r="BX462" s="34">
        <v>150</v>
      </c>
      <c r="BY462" s="30"/>
      <c r="BZ462" s="31">
        <f t="shared" si="87"/>
        <v>522</v>
      </c>
      <c r="CA462" s="31">
        <f t="shared" si="88"/>
        <v>1305</v>
      </c>
    </row>
    <row r="463" spans="1:79" ht="34.5" x14ac:dyDescent="0.25">
      <c r="A463" s="17" t="s">
        <v>112</v>
      </c>
      <c r="B463" s="2">
        <v>452</v>
      </c>
      <c r="C463" s="37">
        <v>215</v>
      </c>
      <c r="D463" s="37">
        <v>602</v>
      </c>
      <c r="E463" s="38">
        <v>0.33263888888888887</v>
      </c>
      <c r="F463" s="38">
        <v>0.3743055555555555</v>
      </c>
      <c r="G463" s="39" t="s">
        <v>164</v>
      </c>
      <c r="H463" s="18" t="s">
        <v>92</v>
      </c>
      <c r="I463" s="37">
        <v>37</v>
      </c>
      <c r="J463" s="40">
        <v>50</v>
      </c>
      <c r="K463" s="41">
        <v>12</v>
      </c>
      <c r="L463" s="23">
        <f t="shared" si="92"/>
        <v>444</v>
      </c>
      <c r="M463" s="24" t="s">
        <v>165</v>
      </c>
      <c r="N463" s="25" t="s">
        <v>166</v>
      </c>
      <c r="O463" s="25">
        <v>57</v>
      </c>
      <c r="P463" s="25" t="s">
        <v>167</v>
      </c>
      <c r="Q463" s="25">
        <v>57</v>
      </c>
      <c r="R463" s="25" t="s">
        <v>168</v>
      </c>
      <c r="S463" s="35">
        <v>29</v>
      </c>
      <c r="T463" s="26">
        <v>2290</v>
      </c>
      <c r="U463" s="26" t="s">
        <v>118</v>
      </c>
      <c r="V463" s="26">
        <v>2323</v>
      </c>
      <c r="W463" s="26" t="s">
        <v>163</v>
      </c>
      <c r="X463" s="27">
        <v>44562</v>
      </c>
      <c r="Y463" s="27">
        <v>44815</v>
      </c>
      <c r="Z463" s="27">
        <v>45101</v>
      </c>
      <c r="AA463" s="27">
        <v>45169</v>
      </c>
      <c r="AB463" s="26" t="s">
        <v>101</v>
      </c>
      <c r="AC463" s="26"/>
      <c r="AD463" s="28"/>
      <c r="AE463" s="28" t="s">
        <v>90</v>
      </c>
      <c r="AF463" s="28" t="s">
        <v>90</v>
      </c>
      <c r="AG463" s="28"/>
      <c r="AH463" s="28"/>
      <c r="AI463" s="28"/>
      <c r="AJ463" s="28"/>
      <c r="AK463" s="28"/>
      <c r="AL463" s="28"/>
      <c r="AM463" s="28" t="s">
        <v>90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31"/>
      <c r="AY463" s="31"/>
      <c r="AZ463" s="30"/>
      <c r="BA463" s="42"/>
      <c r="BB463" s="43" t="s">
        <v>165</v>
      </c>
      <c r="BC463" s="30"/>
      <c r="BD463" s="31">
        <f>AX463*K463</f>
        <v>0</v>
      </c>
      <c r="BE463" s="30"/>
      <c r="BF463" s="30"/>
      <c r="BG463" s="32">
        <v>2</v>
      </c>
      <c r="BH463" s="30"/>
      <c r="BI463" s="31"/>
      <c r="BJ463" s="30"/>
      <c r="BK463" s="30"/>
      <c r="BL463" s="30"/>
      <c r="BM463" s="30"/>
      <c r="BN463" s="30"/>
      <c r="BO463" s="33">
        <f t="shared" si="85"/>
        <v>0</v>
      </c>
      <c r="BP463" s="30">
        <v>2</v>
      </c>
      <c r="BQ463" s="30">
        <v>0</v>
      </c>
      <c r="BR463" s="30"/>
      <c r="BS463" s="30"/>
      <c r="BT463" s="34">
        <f t="shared" si="93"/>
        <v>0</v>
      </c>
      <c r="BU463" s="34"/>
      <c r="BV463" s="34"/>
      <c r="BW463" s="34"/>
      <c r="BX463" s="34"/>
      <c r="BY463" s="30"/>
      <c r="BZ463" s="31">
        <f t="shared" si="87"/>
        <v>0</v>
      </c>
      <c r="CA463" s="31">
        <f t="shared" si="88"/>
        <v>0</v>
      </c>
    </row>
    <row r="464" spans="1:79" ht="90" x14ac:dyDescent="0.25">
      <c r="A464" s="17" t="s">
        <v>147</v>
      </c>
      <c r="B464" s="2">
        <v>453</v>
      </c>
      <c r="C464" s="37">
        <v>215</v>
      </c>
      <c r="D464" s="87">
        <v>603</v>
      </c>
      <c r="E464" s="38">
        <v>0.37361111111111112</v>
      </c>
      <c r="F464" s="38">
        <v>0.41388888888888892</v>
      </c>
      <c r="G464" s="39" t="s">
        <v>169</v>
      </c>
      <c r="H464" s="18" t="s">
        <v>422</v>
      </c>
      <c r="I464" s="37">
        <v>37</v>
      </c>
      <c r="J464" s="40">
        <v>50</v>
      </c>
      <c r="K464" s="41">
        <v>240</v>
      </c>
      <c r="L464" s="23">
        <f t="shared" si="92"/>
        <v>8880</v>
      </c>
      <c r="M464" s="24" t="s">
        <v>170</v>
      </c>
      <c r="N464" s="25" t="s">
        <v>171</v>
      </c>
      <c r="O464" s="25">
        <v>57</v>
      </c>
      <c r="P464" s="25" t="s">
        <v>1062</v>
      </c>
      <c r="Q464" s="25">
        <v>60</v>
      </c>
      <c r="R464" s="25" t="s">
        <v>173</v>
      </c>
      <c r="S464" s="25">
        <v>57</v>
      </c>
      <c r="T464" s="26">
        <v>2323</v>
      </c>
      <c r="U464" s="26" t="s">
        <v>163</v>
      </c>
      <c r="V464" s="26">
        <v>2290</v>
      </c>
      <c r="W464" s="26" t="s">
        <v>118</v>
      </c>
      <c r="X464" s="27">
        <v>44816</v>
      </c>
      <c r="Y464" s="27">
        <v>45100</v>
      </c>
      <c r="Z464" s="27"/>
      <c r="AA464" s="27"/>
      <c r="AB464" s="26" t="s">
        <v>423</v>
      </c>
      <c r="AC464" s="26"/>
      <c r="AD464" s="28" t="s">
        <v>90</v>
      </c>
      <c r="AE464" s="28"/>
      <c r="AF464" s="28" t="s">
        <v>90</v>
      </c>
      <c r="AG464" s="28"/>
      <c r="AH464" s="28" t="s">
        <v>90</v>
      </c>
      <c r="AI464" s="28" t="s">
        <v>90</v>
      </c>
      <c r="AJ464" s="28" t="s">
        <v>90</v>
      </c>
      <c r="AK464" s="28" t="s">
        <v>90</v>
      </c>
      <c r="AL464" s="28" t="s">
        <v>90</v>
      </c>
      <c r="AM464" s="28" t="s">
        <v>90</v>
      </c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31"/>
      <c r="AY464" s="31"/>
      <c r="AZ464" s="31">
        <f>3*I464</f>
        <v>111</v>
      </c>
      <c r="BA464" s="29"/>
      <c r="BB464" s="29"/>
      <c r="BC464" s="30"/>
      <c r="BD464" s="30"/>
      <c r="BE464" s="30"/>
      <c r="BF464" s="31">
        <f>AZ464*K464</f>
        <v>26640</v>
      </c>
      <c r="BG464" s="32">
        <v>2</v>
      </c>
      <c r="BH464" s="36"/>
      <c r="BI464" s="47"/>
      <c r="BJ464" s="36"/>
      <c r="BK464" s="36"/>
      <c r="BL464" s="36"/>
      <c r="BM464" s="36"/>
      <c r="BN464" s="30"/>
      <c r="BO464" s="33">
        <f t="shared" si="85"/>
        <v>0</v>
      </c>
      <c r="BP464" s="30">
        <v>17</v>
      </c>
      <c r="BQ464" s="30">
        <v>26</v>
      </c>
      <c r="BR464" s="30"/>
      <c r="BS464" s="30"/>
      <c r="BT464" s="34">
        <f t="shared" si="93"/>
        <v>111</v>
      </c>
      <c r="BU464" s="34"/>
      <c r="BV464" s="34"/>
      <c r="BW464" s="34"/>
      <c r="BX464" s="34"/>
      <c r="BY464" s="30"/>
      <c r="BZ464" s="31">
        <f t="shared" si="87"/>
        <v>1887</v>
      </c>
      <c r="CA464" s="31">
        <f t="shared" si="88"/>
        <v>2886</v>
      </c>
    </row>
    <row r="465" spans="1:79" ht="38.25" x14ac:dyDescent="0.25">
      <c r="A465" s="17" t="s">
        <v>112</v>
      </c>
      <c r="B465" s="2">
        <v>454</v>
      </c>
      <c r="C465" s="37">
        <v>215</v>
      </c>
      <c r="D465" s="37">
        <v>136</v>
      </c>
      <c r="E465" s="38">
        <v>0.375</v>
      </c>
      <c r="F465" s="38">
        <v>0.41666666666666669</v>
      </c>
      <c r="G465" s="39" t="s">
        <v>164</v>
      </c>
      <c r="H465" s="58" t="s">
        <v>1034</v>
      </c>
      <c r="I465" s="37">
        <v>37</v>
      </c>
      <c r="J465" s="40">
        <v>50</v>
      </c>
      <c r="K465" s="107">
        <v>55</v>
      </c>
      <c r="L465" s="23">
        <f t="shared" si="92"/>
        <v>2035</v>
      </c>
      <c r="M465" s="24" t="s">
        <v>160</v>
      </c>
      <c r="N465" s="25" t="s">
        <v>161</v>
      </c>
      <c r="O465" s="25">
        <v>54</v>
      </c>
      <c r="P465" s="25" t="s">
        <v>162</v>
      </c>
      <c r="Q465" s="25">
        <v>56</v>
      </c>
      <c r="R465" s="25"/>
      <c r="S465" s="25"/>
      <c r="T465" s="26">
        <v>2290</v>
      </c>
      <c r="U465" s="26" t="s">
        <v>118</v>
      </c>
      <c r="V465" s="26">
        <v>2323</v>
      </c>
      <c r="W465" s="26" t="s">
        <v>163</v>
      </c>
      <c r="X465" s="27">
        <v>44562</v>
      </c>
      <c r="Y465" s="27">
        <v>44815</v>
      </c>
      <c r="Z465" s="27">
        <v>45101</v>
      </c>
      <c r="AA465" s="27">
        <v>45169</v>
      </c>
      <c r="AB465" s="108" t="s">
        <v>353</v>
      </c>
      <c r="AC465" s="28"/>
      <c r="AD465" s="28"/>
      <c r="AE465" s="28" t="s">
        <v>90</v>
      </c>
      <c r="AF465" s="28" t="s">
        <v>90</v>
      </c>
      <c r="AG465" s="28"/>
      <c r="AH465" s="28" t="s">
        <v>90</v>
      </c>
      <c r="AI465" s="28" t="s">
        <v>90</v>
      </c>
      <c r="AJ465" s="28" t="s">
        <v>90</v>
      </c>
      <c r="AK465" s="28" t="s">
        <v>90</v>
      </c>
      <c r="AL465" s="28" t="s">
        <v>90</v>
      </c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9"/>
      <c r="AY465" s="31"/>
      <c r="AZ465" s="30"/>
      <c r="BA465" s="42"/>
      <c r="BB465" s="55" t="s">
        <v>1035</v>
      </c>
      <c r="BC465" s="30"/>
      <c r="BD465" s="31">
        <f t="shared" ref="BD465:BD470" si="94">AX465*K465</f>
        <v>0</v>
      </c>
      <c r="BE465" s="30"/>
      <c r="BF465" s="30"/>
      <c r="BG465" s="32">
        <v>2</v>
      </c>
      <c r="BH465" s="30"/>
      <c r="BI465" s="31"/>
      <c r="BJ465" s="30"/>
      <c r="BK465" s="30"/>
      <c r="BL465" s="30"/>
      <c r="BM465" s="30"/>
      <c r="BN465" s="30"/>
      <c r="BO465" s="33">
        <f t="shared" si="85"/>
        <v>0</v>
      </c>
      <c r="BP465" s="30">
        <v>7</v>
      </c>
      <c r="BQ465" s="30">
        <v>0</v>
      </c>
      <c r="BR465" s="30"/>
      <c r="BS465" s="30"/>
      <c r="BT465" s="34">
        <f t="shared" si="93"/>
        <v>0</v>
      </c>
      <c r="BU465" s="34"/>
      <c r="BV465" s="34"/>
      <c r="BW465" s="34"/>
      <c r="BX465" s="34"/>
      <c r="BY465" s="30"/>
      <c r="BZ465" s="31">
        <f t="shared" si="87"/>
        <v>0</v>
      </c>
      <c r="CA465" s="31">
        <f t="shared" si="88"/>
        <v>0</v>
      </c>
    </row>
    <row r="466" spans="1:79" ht="34.5" x14ac:dyDescent="0.25">
      <c r="A466" s="17" t="s">
        <v>112</v>
      </c>
      <c r="B466" s="71" t="s">
        <v>1063</v>
      </c>
      <c r="C466" s="37">
        <v>215</v>
      </c>
      <c r="D466" s="37">
        <v>136</v>
      </c>
      <c r="E466" s="38">
        <v>0.375</v>
      </c>
      <c r="F466" s="38">
        <v>0.41666666666666669</v>
      </c>
      <c r="G466" s="39" t="s">
        <v>164</v>
      </c>
      <c r="H466" s="58" t="s">
        <v>1037</v>
      </c>
      <c r="I466" s="37">
        <v>37</v>
      </c>
      <c r="J466" s="40">
        <v>50</v>
      </c>
      <c r="K466" s="107">
        <f>67-K465</f>
        <v>12</v>
      </c>
      <c r="L466" s="23">
        <f t="shared" si="92"/>
        <v>444</v>
      </c>
      <c r="M466" s="24" t="s">
        <v>114</v>
      </c>
      <c r="N466" s="25" t="s">
        <v>115</v>
      </c>
      <c r="O466" s="25">
        <v>54</v>
      </c>
      <c r="P466" s="25" t="s">
        <v>116</v>
      </c>
      <c r="Q466" s="25">
        <v>45</v>
      </c>
      <c r="R466" s="25" t="s">
        <v>117</v>
      </c>
      <c r="S466" s="35">
        <v>28</v>
      </c>
      <c r="T466" s="26">
        <v>2290</v>
      </c>
      <c r="U466" s="26" t="s">
        <v>118</v>
      </c>
      <c r="V466" s="26">
        <v>2323</v>
      </c>
      <c r="W466" s="26" t="s">
        <v>163</v>
      </c>
      <c r="X466" s="27">
        <v>44562</v>
      </c>
      <c r="Y466" s="27">
        <v>44815</v>
      </c>
      <c r="Z466" s="27">
        <v>45101</v>
      </c>
      <c r="AA466" s="27">
        <v>45169</v>
      </c>
      <c r="AB466" s="108" t="s">
        <v>101</v>
      </c>
      <c r="AC466" s="28"/>
      <c r="AD466" s="28"/>
      <c r="AE466" s="28" t="s">
        <v>90</v>
      </c>
      <c r="AF466" s="28" t="s">
        <v>90</v>
      </c>
      <c r="AG466" s="28"/>
      <c r="AH466" s="28"/>
      <c r="AI466" s="28"/>
      <c r="AJ466" s="28"/>
      <c r="AK466" s="28"/>
      <c r="AL466" s="28"/>
      <c r="AM466" s="28" t="s">
        <v>90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9"/>
      <c r="AY466" s="31"/>
      <c r="AZ466" s="30"/>
      <c r="BA466" s="42"/>
      <c r="BB466" s="43" t="s">
        <v>1064</v>
      </c>
      <c r="BC466" s="30"/>
      <c r="BD466" s="31">
        <f t="shared" si="94"/>
        <v>0</v>
      </c>
      <c r="BE466" s="30"/>
      <c r="BF466" s="30"/>
      <c r="BG466" s="32">
        <v>2</v>
      </c>
      <c r="BH466" s="30"/>
      <c r="BI466" s="31"/>
      <c r="BJ466" s="30"/>
      <c r="BK466" s="30"/>
      <c r="BL466" s="30"/>
      <c r="BM466" s="30"/>
      <c r="BN466" s="30"/>
      <c r="BO466" s="33">
        <f t="shared" si="85"/>
        <v>0</v>
      </c>
      <c r="BP466" s="30">
        <v>2</v>
      </c>
      <c r="BQ466" s="30">
        <v>0</v>
      </c>
      <c r="BR466" s="30"/>
      <c r="BS466" s="30"/>
      <c r="BT466" s="34">
        <f t="shared" si="93"/>
        <v>0</v>
      </c>
      <c r="BU466" s="34"/>
      <c r="BV466" s="34"/>
      <c r="BW466" s="34"/>
      <c r="BX466" s="34"/>
      <c r="BY466" s="30"/>
      <c r="BZ466" s="31">
        <f t="shared" si="87"/>
        <v>0</v>
      </c>
      <c r="CA466" s="31">
        <f t="shared" si="88"/>
        <v>0</v>
      </c>
    </row>
    <row r="467" spans="1:79" ht="127.5" x14ac:dyDescent="0.25">
      <c r="A467" s="17"/>
      <c r="B467" s="2">
        <v>455</v>
      </c>
      <c r="C467" s="18">
        <v>215</v>
      </c>
      <c r="D467" s="18" t="s">
        <v>645</v>
      </c>
      <c r="E467" s="19">
        <v>0.38541666666666669</v>
      </c>
      <c r="F467" s="19">
        <v>0.77083333333333337</v>
      </c>
      <c r="G467" s="18" t="s">
        <v>1065</v>
      </c>
      <c r="H467" s="18" t="s">
        <v>268</v>
      </c>
      <c r="I467" s="20"/>
      <c r="J467" s="21" t="s">
        <v>541</v>
      </c>
      <c r="K467" s="22">
        <v>252</v>
      </c>
      <c r="L467" s="23">
        <v>59300</v>
      </c>
      <c r="M467" s="24" t="s">
        <v>170</v>
      </c>
      <c r="N467" s="25" t="s">
        <v>1066</v>
      </c>
      <c r="O467" s="25">
        <v>7</v>
      </c>
      <c r="P467" s="25" t="s">
        <v>1012</v>
      </c>
      <c r="Q467" s="25">
        <v>17</v>
      </c>
      <c r="R467" s="25" t="s">
        <v>1024</v>
      </c>
      <c r="S467" s="35">
        <v>9</v>
      </c>
      <c r="T467" s="78">
        <v>2305</v>
      </c>
      <c r="U467" s="78" t="s">
        <v>987</v>
      </c>
      <c r="V467" s="78">
        <v>2290</v>
      </c>
      <c r="W467" s="78" t="s">
        <v>118</v>
      </c>
      <c r="X467" s="66">
        <v>44805</v>
      </c>
      <c r="Y467" s="66">
        <v>45169</v>
      </c>
      <c r="Z467" s="66"/>
      <c r="AA467" s="66"/>
      <c r="AB467" s="26" t="s">
        <v>1049</v>
      </c>
      <c r="AC467" s="26" t="s">
        <v>628</v>
      </c>
      <c r="AD467" s="28" t="s">
        <v>90</v>
      </c>
      <c r="AE467" s="28" t="s">
        <v>90</v>
      </c>
      <c r="AF467" s="28" t="s">
        <v>90</v>
      </c>
      <c r="AG467" s="28"/>
      <c r="AH467" s="28" t="s">
        <v>90</v>
      </c>
      <c r="AI467" s="28" t="s">
        <v>90</v>
      </c>
      <c r="AJ467" s="28" t="s">
        <v>90</v>
      </c>
      <c r="AK467" s="28" t="s">
        <v>90</v>
      </c>
      <c r="AL467" s="28" t="s">
        <v>90</v>
      </c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53">
        <f>122.45+(0.55*(59300/252))</f>
        <v>251.87460317460318</v>
      </c>
      <c r="AY467" s="31"/>
      <c r="AZ467" s="30"/>
      <c r="BA467" s="29"/>
      <c r="BB467" s="29"/>
      <c r="BC467" s="30"/>
      <c r="BD467" s="31">
        <f t="shared" si="94"/>
        <v>63472.4</v>
      </c>
      <c r="BE467" s="31"/>
      <c r="BF467" s="30"/>
      <c r="BG467" s="36">
        <v>1</v>
      </c>
      <c r="BH467" s="53"/>
      <c r="BI467" s="53"/>
      <c r="BJ467" s="54"/>
      <c r="BK467" s="30"/>
      <c r="BL467" s="30"/>
      <c r="BM467" s="30"/>
      <c r="BN467" s="30"/>
      <c r="BO467" s="33">
        <f t="shared" si="85"/>
        <v>0</v>
      </c>
      <c r="BP467" s="30">
        <v>22</v>
      </c>
      <c r="BQ467" s="30">
        <v>21</v>
      </c>
      <c r="BR467" s="30"/>
      <c r="BS467" s="30"/>
      <c r="BT467" s="111">
        <v>231.65</v>
      </c>
      <c r="BU467" s="34"/>
      <c r="BV467" s="34"/>
      <c r="BW467" s="34"/>
      <c r="BX467" s="34"/>
      <c r="BY467" s="30"/>
      <c r="BZ467" s="31">
        <f t="shared" si="87"/>
        <v>5096.3</v>
      </c>
      <c r="CA467" s="31">
        <f t="shared" si="88"/>
        <v>4864.6500000000005</v>
      </c>
    </row>
    <row r="468" spans="1:79" ht="38.25" x14ac:dyDescent="0.25">
      <c r="A468" s="25"/>
      <c r="B468" s="2">
        <v>456</v>
      </c>
      <c r="C468" s="37">
        <v>215</v>
      </c>
      <c r="D468" s="87">
        <v>138</v>
      </c>
      <c r="E468" s="86">
        <v>0.41666666666666669</v>
      </c>
      <c r="F468" s="86">
        <v>0.45833333333333331</v>
      </c>
      <c r="G468" s="39" t="s">
        <v>164</v>
      </c>
      <c r="H468" s="18" t="s">
        <v>422</v>
      </c>
      <c r="I468" s="37">
        <v>44</v>
      </c>
      <c r="J468" s="40">
        <v>50</v>
      </c>
      <c r="K468" s="41">
        <v>240</v>
      </c>
      <c r="L468" s="23">
        <f t="shared" ref="L468:L531" si="95">+K468*I468</f>
        <v>10560</v>
      </c>
      <c r="M468" s="24" t="s">
        <v>165</v>
      </c>
      <c r="N468" s="25" t="s">
        <v>166</v>
      </c>
      <c r="O468" s="25">
        <v>57</v>
      </c>
      <c r="P468" s="25" t="s">
        <v>167</v>
      </c>
      <c r="Q468" s="25">
        <v>57</v>
      </c>
      <c r="R468" s="25" t="s">
        <v>775</v>
      </c>
      <c r="S468" s="25">
        <v>38</v>
      </c>
      <c r="T468" s="26">
        <v>2290</v>
      </c>
      <c r="U468" s="26" t="s">
        <v>118</v>
      </c>
      <c r="V468" s="26">
        <v>2323</v>
      </c>
      <c r="W468" s="26" t="s">
        <v>163</v>
      </c>
      <c r="X468" s="27">
        <v>44816</v>
      </c>
      <c r="Y468" s="27">
        <v>45100</v>
      </c>
      <c r="Z468" s="27"/>
      <c r="AA468" s="27"/>
      <c r="AB468" s="26" t="s">
        <v>423</v>
      </c>
      <c r="AC468" s="26"/>
      <c r="AD468" s="28" t="s">
        <v>90</v>
      </c>
      <c r="AE468" s="28"/>
      <c r="AF468" s="28" t="s">
        <v>90</v>
      </c>
      <c r="AG468" s="28"/>
      <c r="AH468" s="28" t="s">
        <v>90</v>
      </c>
      <c r="AI468" s="28" t="s">
        <v>90</v>
      </c>
      <c r="AJ468" s="28" t="s">
        <v>90</v>
      </c>
      <c r="AK468" s="28" t="s">
        <v>90</v>
      </c>
      <c r="AL468" s="28" t="s">
        <v>90</v>
      </c>
      <c r="AM468" s="28" t="s">
        <v>90</v>
      </c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9">
        <v>88.8</v>
      </c>
      <c r="AY468" s="31"/>
      <c r="AZ468" s="30"/>
      <c r="BA468" s="29"/>
      <c r="BB468" s="29"/>
      <c r="BC468" s="30"/>
      <c r="BD468" s="31">
        <f t="shared" si="94"/>
        <v>21312</v>
      </c>
      <c r="BE468" s="31"/>
      <c r="BF468" s="30"/>
      <c r="BG468" s="32">
        <v>2</v>
      </c>
      <c r="BH468" s="53"/>
      <c r="BI468" s="53"/>
      <c r="BJ468" s="54"/>
      <c r="BK468" s="30"/>
      <c r="BL468" s="30"/>
      <c r="BM468" s="30"/>
      <c r="BN468" s="30"/>
      <c r="BO468" s="33">
        <f t="shared" si="85"/>
        <v>0</v>
      </c>
      <c r="BP468" s="30">
        <v>17</v>
      </c>
      <c r="BQ468" s="30">
        <v>26</v>
      </c>
      <c r="BR468" s="30"/>
      <c r="BS468" s="30"/>
      <c r="BT468" s="34">
        <f t="shared" ref="BT468:BT497" si="96">SUM(AX468:AZ468)+SUM(BH468:BI468)+SUM(BK468:BL468)+BN468</f>
        <v>88.8</v>
      </c>
      <c r="BU468" s="34"/>
      <c r="BV468" s="34"/>
      <c r="BW468" s="34"/>
      <c r="BX468" s="34"/>
      <c r="BY468" s="30"/>
      <c r="BZ468" s="31">
        <f t="shared" si="87"/>
        <v>1509.6</v>
      </c>
      <c r="CA468" s="31">
        <f t="shared" si="88"/>
        <v>2308.7999999999997</v>
      </c>
    </row>
    <row r="469" spans="1:79" ht="90.75" x14ac:dyDescent="0.25">
      <c r="A469" s="17" t="s">
        <v>112</v>
      </c>
      <c r="B469" s="2">
        <v>457</v>
      </c>
      <c r="C469" s="37">
        <v>215</v>
      </c>
      <c r="D469" s="37">
        <v>595</v>
      </c>
      <c r="E469" s="38">
        <v>0.47916666666666669</v>
      </c>
      <c r="F469" s="38">
        <v>0.54097222222222219</v>
      </c>
      <c r="G469" s="39" t="s">
        <v>169</v>
      </c>
      <c r="H469" s="18" t="s">
        <v>80</v>
      </c>
      <c r="I469" s="37">
        <v>37</v>
      </c>
      <c r="J469" s="40">
        <v>50</v>
      </c>
      <c r="K469" s="41">
        <v>67</v>
      </c>
      <c r="L469" s="23">
        <f t="shared" si="95"/>
        <v>2479</v>
      </c>
      <c r="M469" s="24" t="s">
        <v>170</v>
      </c>
      <c r="N469" s="25" t="s">
        <v>171</v>
      </c>
      <c r="O469" s="25">
        <v>57</v>
      </c>
      <c r="P469" s="25" t="s">
        <v>172</v>
      </c>
      <c r="Q469" s="25">
        <v>60</v>
      </c>
      <c r="R469" s="25" t="s">
        <v>173</v>
      </c>
      <c r="S469" s="25">
        <v>57</v>
      </c>
      <c r="T469" s="26">
        <v>2323</v>
      </c>
      <c r="U469" s="26" t="s">
        <v>163</v>
      </c>
      <c r="V469" s="26">
        <v>2290</v>
      </c>
      <c r="W469" s="26" t="s">
        <v>118</v>
      </c>
      <c r="X469" s="27">
        <v>44562</v>
      </c>
      <c r="Y469" s="27">
        <v>44815</v>
      </c>
      <c r="Z469" s="27">
        <v>45101</v>
      </c>
      <c r="AA469" s="27">
        <v>45169</v>
      </c>
      <c r="AB469" s="28" t="s">
        <v>89</v>
      </c>
      <c r="AC469" s="28"/>
      <c r="AD469" s="28"/>
      <c r="AE469" s="28" t="s">
        <v>90</v>
      </c>
      <c r="AF469" s="28" t="s">
        <v>90</v>
      </c>
      <c r="AG469" s="28"/>
      <c r="AH469" s="28" t="s">
        <v>90</v>
      </c>
      <c r="AI469" s="28" t="s">
        <v>90</v>
      </c>
      <c r="AJ469" s="28" t="s">
        <v>90</v>
      </c>
      <c r="AK469" s="28" t="s">
        <v>90</v>
      </c>
      <c r="AL469" s="28" t="s">
        <v>90</v>
      </c>
      <c r="AM469" s="28" t="s">
        <v>90</v>
      </c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9"/>
      <c r="AY469" s="31"/>
      <c r="AZ469" s="30"/>
      <c r="BA469" s="42"/>
      <c r="BB469" s="43" t="s">
        <v>170</v>
      </c>
      <c r="BC469" s="30"/>
      <c r="BD469" s="31">
        <f t="shared" si="94"/>
        <v>0</v>
      </c>
      <c r="BE469" s="30"/>
      <c r="BF469" s="30"/>
      <c r="BG469" s="32">
        <v>2</v>
      </c>
      <c r="BH469" s="30"/>
      <c r="BI469" s="31"/>
      <c r="BJ469" s="30"/>
      <c r="BK469" s="30"/>
      <c r="BL469" s="30"/>
      <c r="BM469" s="30"/>
      <c r="BN469" s="30"/>
      <c r="BO469" s="33">
        <f t="shared" si="85"/>
        <v>0</v>
      </c>
      <c r="BP469" s="30">
        <v>9</v>
      </c>
      <c r="BQ469" s="30">
        <v>0</v>
      </c>
      <c r="BR469" s="30"/>
      <c r="BS469" s="30"/>
      <c r="BT469" s="34">
        <f t="shared" si="96"/>
        <v>0</v>
      </c>
      <c r="BU469" s="34" t="s">
        <v>89</v>
      </c>
      <c r="BV469" s="30">
        <v>9</v>
      </c>
      <c r="BW469" s="30">
        <v>0</v>
      </c>
      <c r="BX469" s="34">
        <v>350</v>
      </c>
      <c r="BY469" s="30"/>
      <c r="BZ469" s="31">
        <f t="shared" si="87"/>
        <v>3150</v>
      </c>
      <c r="CA469" s="31">
        <f t="shared" si="88"/>
        <v>0</v>
      </c>
    </row>
    <row r="470" spans="1:79" ht="38.25" x14ac:dyDescent="0.25">
      <c r="A470" s="17" t="s">
        <v>112</v>
      </c>
      <c r="B470" s="2">
        <v>458</v>
      </c>
      <c r="C470" s="37">
        <v>215</v>
      </c>
      <c r="D470" s="37">
        <v>606</v>
      </c>
      <c r="E470" s="38">
        <v>0.4993055555555555</v>
      </c>
      <c r="F470" s="38">
        <v>0.54097222222222219</v>
      </c>
      <c r="G470" s="39" t="s">
        <v>164</v>
      </c>
      <c r="H470" s="18" t="s">
        <v>80</v>
      </c>
      <c r="I470" s="37">
        <v>37</v>
      </c>
      <c r="J470" s="40">
        <v>50</v>
      </c>
      <c r="K470" s="41">
        <v>67</v>
      </c>
      <c r="L470" s="23">
        <f t="shared" si="95"/>
        <v>2479</v>
      </c>
      <c r="M470" s="24" t="s">
        <v>165</v>
      </c>
      <c r="N470" s="25" t="s">
        <v>166</v>
      </c>
      <c r="O470" s="25">
        <v>57</v>
      </c>
      <c r="P470" s="25" t="s">
        <v>167</v>
      </c>
      <c r="Q470" s="25">
        <v>57</v>
      </c>
      <c r="R470" s="25" t="s">
        <v>174</v>
      </c>
      <c r="S470" s="35">
        <v>29</v>
      </c>
      <c r="T470" s="26">
        <v>2290</v>
      </c>
      <c r="U470" s="26" t="s">
        <v>118</v>
      </c>
      <c r="V470" s="26">
        <v>2323</v>
      </c>
      <c r="W470" s="26" t="s">
        <v>163</v>
      </c>
      <c r="X470" s="27">
        <v>44562</v>
      </c>
      <c r="Y470" s="27">
        <v>44815</v>
      </c>
      <c r="Z470" s="27">
        <v>45101</v>
      </c>
      <c r="AA470" s="27">
        <v>45169</v>
      </c>
      <c r="AB470" s="28" t="s">
        <v>89</v>
      </c>
      <c r="AC470" s="28"/>
      <c r="AD470" s="28"/>
      <c r="AE470" s="28" t="s">
        <v>90</v>
      </c>
      <c r="AF470" s="28" t="s">
        <v>90</v>
      </c>
      <c r="AG470" s="28"/>
      <c r="AH470" s="28" t="s">
        <v>90</v>
      </c>
      <c r="AI470" s="28" t="s">
        <v>90</v>
      </c>
      <c r="AJ470" s="28" t="s">
        <v>90</v>
      </c>
      <c r="AK470" s="28" t="s">
        <v>90</v>
      </c>
      <c r="AL470" s="28" t="s">
        <v>90</v>
      </c>
      <c r="AM470" s="28" t="s">
        <v>90</v>
      </c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31"/>
      <c r="AY470" s="31"/>
      <c r="AZ470" s="30"/>
      <c r="BA470" s="42"/>
      <c r="BB470" s="43" t="s">
        <v>165</v>
      </c>
      <c r="BC470" s="30"/>
      <c r="BD470" s="31">
        <f t="shared" si="94"/>
        <v>0</v>
      </c>
      <c r="BE470" s="30"/>
      <c r="BF470" s="30"/>
      <c r="BG470" s="32">
        <v>2</v>
      </c>
      <c r="BH470" s="30"/>
      <c r="BI470" s="31"/>
      <c r="BJ470" s="30"/>
      <c r="BK470" s="30"/>
      <c r="BL470" s="30"/>
      <c r="BM470" s="30"/>
      <c r="BN470" s="30"/>
      <c r="BO470" s="33">
        <f t="shared" si="85"/>
        <v>0</v>
      </c>
      <c r="BP470" s="30">
        <v>9</v>
      </c>
      <c r="BQ470" s="30">
        <v>0</v>
      </c>
      <c r="BR470" s="30"/>
      <c r="BS470" s="30"/>
      <c r="BT470" s="34">
        <f t="shared" si="96"/>
        <v>0</v>
      </c>
      <c r="BU470" s="34"/>
      <c r="BV470" s="34"/>
      <c r="BW470" s="34"/>
      <c r="BX470" s="34"/>
      <c r="BY470" s="30"/>
      <c r="BZ470" s="31">
        <f t="shared" si="87"/>
        <v>0</v>
      </c>
      <c r="CA470" s="31">
        <f t="shared" si="88"/>
        <v>0</v>
      </c>
    </row>
    <row r="471" spans="1:79" ht="90" x14ac:dyDescent="0.25">
      <c r="A471" s="17" t="s">
        <v>147</v>
      </c>
      <c r="B471" s="2">
        <v>459</v>
      </c>
      <c r="C471" s="37">
        <v>215</v>
      </c>
      <c r="D471" s="87">
        <v>606</v>
      </c>
      <c r="E471" s="38">
        <v>0.4993055555555555</v>
      </c>
      <c r="F471" s="38">
        <v>0.54097222222222219</v>
      </c>
      <c r="G471" s="39" t="s">
        <v>164</v>
      </c>
      <c r="H471" s="18" t="s">
        <v>422</v>
      </c>
      <c r="I471" s="37">
        <v>37</v>
      </c>
      <c r="J471" s="40">
        <v>50</v>
      </c>
      <c r="K471" s="41">
        <v>240</v>
      </c>
      <c r="L471" s="23">
        <f t="shared" si="95"/>
        <v>8880</v>
      </c>
      <c r="M471" s="24" t="s">
        <v>170</v>
      </c>
      <c r="N471" s="25" t="s">
        <v>172</v>
      </c>
      <c r="O471" s="25">
        <v>60</v>
      </c>
      <c r="P471" s="25" t="s">
        <v>173</v>
      </c>
      <c r="Q471" s="25">
        <v>57</v>
      </c>
      <c r="R471" s="25" t="s">
        <v>1067</v>
      </c>
      <c r="S471" s="25">
        <v>57</v>
      </c>
      <c r="T471" s="26">
        <v>2290</v>
      </c>
      <c r="U471" s="26" t="s">
        <v>118</v>
      </c>
      <c r="V471" s="26">
        <v>2323</v>
      </c>
      <c r="W471" s="26" t="s">
        <v>163</v>
      </c>
      <c r="X471" s="27">
        <v>44816</v>
      </c>
      <c r="Y471" s="27">
        <v>45100</v>
      </c>
      <c r="Z471" s="27"/>
      <c r="AA471" s="27"/>
      <c r="AB471" s="26" t="s">
        <v>423</v>
      </c>
      <c r="AC471" s="26"/>
      <c r="AD471" s="28" t="s">
        <v>90</v>
      </c>
      <c r="AE471" s="28"/>
      <c r="AF471" s="28" t="s">
        <v>90</v>
      </c>
      <c r="AG471" s="28"/>
      <c r="AH471" s="28" t="s">
        <v>90</v>
      </c>
      <c r="AI471" s="28" t="s">
        <v>90</v>
      </c>
      <c r="AJ471" s="28" t="s">
        <v>90</v>
      </c>
      <c r="AK471" s="28" t="s">
        <v>90</v>
      </c>
      <c r="AL471" s="28" t="s">
        <v>90</v>
      </c>
      <c r="AM471" s="28" t="s">
        <v>90</v>
      </c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9"/>
      <c r="AY471" s="31"/>
      <c r="AZ471" s="31">
        <f>3*I471</f>
        <v>111</v>
      </c>
      <c r="BA471" s="29"/>
      <c r="BB471" s="29"/>
      <c r="BC471" s="30"/>
      <c r="BD471" s="30"/>
      <c r="BE471" s="30"/>
      <c r="BF471" s="31">
        <f>AZ471*K471</f>
        <v>26640</v>
      </c>
      <c r="BG471" s="32">
        <v>2</v>
      </c>
      <c r="BH471" s="36"/>
      <c r="BI471" s="47"/>
      <c r="BJ471" s="36"/>
      <c r="BK471" s="36"/>
      <c r="BL471" s="36"/>
      <c r="BM471" s="36"/>
      <c r="BN471" s="30"/>
      <c r="BO471" s="33">
        <f t="shared" si="85"/>
        <v>0</v>
      </c>
      <c r="BP471" s="30">
        <v>17</v>
      </c>
      <c r="BQ471" s="30">
        <v>26</v>
      </c>
      <c r="BR471" s="30"/>
      <c r="BS471" s="30"/>
      <c r="BT471" s="34">
        <f t="shared" si="96"/>
        <v>111</v>
      </c>
      <c r="BU471" s="34"/>
      <c r="BV471" s="34"/>
      <c r="BW471" s="34"/>
      <c r="BX471" s="34"/>
      <c r="BY471" s="30"/>
      <c r="BZ471" s="31">
        <f t="shared" si="87"/>
        <v>1887</v>
      </c>
      <c r="CA471" s="31">
        <f t="shared" si="88"/>
        <v>2886</v>
      </c>
    </row>
    <row r="472" spans="1:79" ht="38.25" x14ac:dyDescent="0.25">
      <c r="A472" s="17" t="s">
        <v>112</v>
      </c>
      <c r="B472" s="2">
        <v>460</v>
      </c>
      <c r="C472" s="37">
        <v>215</v>
      </c>
      <c r="D472" s="37">
        <v>129</v>
      </c>
      <c r="E472" s="38">
        <v>0.51388888888888895</v>
      </c>
      <c r="F472" s="38">
        <v>0.5541666666666667</v>
      </c>
      <c r="G472" s="39" t="s">
        <v>169</v>
      </c>
      <c r="H472" s="18" t="s">
        <v>352</v>
      </c>
      <c r="I472" s="37">
        <v>37</v>
      </c>
      <c r="J472" s="40">
        <v>50</v>
      </c>
      <c r="K472" s="41">
        <v>55</v>
      </c>
      <c r="L472" s="23">
        <f t="shared" si="95"/>
        <v>2035</v>
      </c>
      <c r="M472" s="83" t="s">
        <v>160</v>
      </c>
      <c r="N472" s="25" t="s">
        <v>161</v>
      </c>
      <c r="O472" s="25">
        <v>54</v>
      </c>
      <c r="P472" s="25" t="s">
        <v>162</v>
      </c>
      <c r="Q472" s="25">
        <v>56</v>
      </c>
      <c r="R472" s="25"/>
      <c r="S472" s="25"/>
      <c r="T472" s="26">
        <v>2323</v>
      </c>
      <c r="U472" s="26" t="s">
        <v>163</v>
      </c>
      <c r="V472" s="26">
        <v>2290</v>
      </c>
      <c r="W472" s="26" t="s">
        <v>118</v>
      </c>
      <c r="X472" s="27">
        <v>44562</v>
      </c>
      <c r="Y472" s="27">
        <v>44815</v>
      </c>
      <c r="Z472" s="27">
        <v>45101</v>
      </c>
      <c r="AA472" s="27">
        <v>45169</v>
      </c>
      <c r="AB472" s="26" t="s">
        <v>353</v>
      </c>
      <c r="AC472" s="26"/>
      <c r="AD472" s="28"/>
      <c r="AE472" s="28" t="s">
        <v>90</v>
      </c>
      <c r="AF472" s="28" t="s">
        <v>90</v>
      </c>
      <c r="AG472" s="28"/>
      <c r="AH472" s="28" t="s">
        <v>90</v>
      </c>
      <c r="AI472" s="28" t="s">
        <v>90</v>
      </c>
      <c r="AJ472" s="28" t="s">
        <v>90</v>
      </c>
      <c r="AK472" s="28" t="s">
        <v>90</v>
      </c>
      <c r="AL472" s="28" t="s">
        <v>90</v>
      </c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9"/>
      <c r="AY472" s="31"/>
      <c r="AZ472" s="30"/>
      <c r="BA472" s="42"/>
      <c r="BB472" s="55" t="s">
        <v>1035</v>
      </c>
      <c r="BC472" s="30"/>
      <c r="BD472" s="31">
        <f t="shared" ref="BD472:BD478" si="97">AX472*K472</f>
        <v>0</v>
      </c>
      <c r="BE472" s="30"/>
      <c r="BF472" s="30"/>
      <c r="BG472" s="32">
        <v>2</v>
      </c>
      <c r="BH472" s="30"/>
      <c r="BI472" s="31"/>
      <c r="BJ472" s="30"/>
      <c r="BK472" s="30"/>
      <c r="BL472" s="30"/>
      <c r="BM472" s="30"/>
      <c r="BN472" s="30"/>
      <c r="BO472" s="33">
        <f t="shared" si="85"/>
        <v>0</v>
      </c>
      <c r="BP472" s="30">
        <v>7</v>
      </c>
      <c r="BQ472" s="30">
        <v>0</v>
      </c>
      <c r="BR472" s="30"/>
      <c r="BS472" s="30"/>
      <c r="BT472" s="34">
        <f t="shared" si="96"/>
        <v>0</v>
      </c>
      <c r="BU472" s="34"/>
      <c r="BV472" s="34"/>
      <c r="BW472" s="34"/>
      <c r="BX472" s="34"/>
      <c r="BY472" s="30"/>
      <c r="BZ472" s="31">
        <f t="shared" si="87"/>
        <v>0</v>
      </c>
      <c r="CA472" s="31">
        <f t="shared" si="88"/>
        <v>0</v>
      </c>
    </row>
    <row r="473" spans="1:79" ht="90.75" x14ac:dyDescent="0.25">
      <c r="A473" s="17" t="s">
        <v>112</v>
      </c>
      <c r="B473" s="2">
        <v>461</v>
      </c>
      <c r="C473" s="37">
        <v>215</v>
      </c>
      <c r="D473" s="37">
        <v>140</v>
      </c>
      <c r="E473" s="38">
        <v>0.52222222222222225</v>
      </c>
      <c r="F473" s="38">
        <v>0.56388888888888888</v>
      </c>
      <c r="G473" s="39" t="s">
        <v>164</v>
      </c>
      <c r="H473" s="18" t="s">
        <v>80</v>
      </c>
      <c r="I473" s="37">
        <v>37</v>
      </c>
      <c r="J473" s="40">
        <v>50</v>
      </c>
      <c r="K473" s="22">
        <v>67</v>
      </c>
      <c r="L473" s="23">
        <f t="shared" si="95"/>
        <v>2479</v>
      </c>
      <c r="M473" s="24" t="s">
        <v>170</v>
      </c>
      <c r="N473" s="25" t="s">
        <v>171</v>
      </c>
      <c r="O473" s="25">
        <v>57</v>
      </c>
      <c r="P473" s="25" t="s">
        <v>172</v>
      </c>
      <c r="Q473" s="25">
        <v>60</v>
      </c>
      <c r="R473" s="25" t="s">
        <v>173</v>
      </c>
      <c r="S473" s="25">
        <v>57</v>
      </c>
      <c r="T473" s="26">
        <v>2290</v>
      </c>
      <c r="U473" s="26" t="s">
        <v>118</v>
      </c>
      <c r="V473" s="26">
        <v>2323</v>
      </c>
      <c r="W473" s="26" t="s">
        <v>163</v>
      </c>
      <c r="X473" s="27">
        <v>44562</v>
      </c>
      <c r="Y473" s="27">
        <v>44815</v>
      </c>
      <c r="Z473" s="27">
        <v>45101</v>
      </c>
      <c r="AA473" s="27">
        <v>45169</v>
      </c>
      <c r="AB473" s="28" t="s">
        <v>89</v>
      </c>
      <c r="AC473" s="28"/>
      <c r="AD473" s="28"/>
      <c r="AE473" s="28" t="s">
        <v>90</v>
      </c>
      <c r="AF473" s="28" t="s">
        <v>90</v>
      </c>
      <c r="AG473" s="28"/>
      <c r="AH473" s="28" t="s">
        <v>90</v>
      </c>
      <c r="AI473" s="28" t="s">
        <v>90</v>
      </c>
      <c r="AJ473" s="28" t="s">
        <v>90</v>
      </c>
      <c r="AK473" s="28" t="s">
        <v>90</v>
      </c>
      <c r="AL473" s="28" t="s">
        <v>90</v>
      </c>
      <c r="AM473" s="28" t="s">
        <v>90</v>
      </c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9"/>
      <c r="AY473" s="31"/>
      <c r="AZ473" s="30"/>
      <c r="BA473" s="42"/>
      <c r="BB473" s="43" t="s">
        <v>170</v>
      </c>
      <c r="BC473" s="30"/>
      <c r="BD473" s="31">
        <f t="shared" si="97"/>
        <v>0</v>
      </c>
      <c r="BE473" s="30"/>
      <c r="BF473" s="30"/>
      <c r="BG473" s="32">
        <v>2</v>
      </c>
      <c r="BH473" s="30"/>
      <c r="BI473" s="31"/>
      <c r="BJ473" s="30"/>
      <c r="BK473" s="30"/>
      <c r="BL473" s="30"/>
      <c r="BM473" s="30"/>
      <c r="BN473" s="30"/>
      <c r="BO473" s="33">
        <f t="shared" si="85"/>
        <v>0</v>
      </c>
      <c r="BP473" s="30">
        <v>9</v>
      </c>
      <c r="BQ473" s="30">
        <v>0</v>
      </c>
      <c r="BR473" s="30"/>
      <c r="BS473" s="30"/>
      <c r="BT473" s="34">
        <f t="shared" si="96"/>
        <v>0</v>
      </c>
      <c r="BU473" s="34"/>
      <c r="BV473" s="34"/>
      <c r="BW473" s="34"/>
      <c r="BX473" s="34"/>
      <c r="BY473" s="30"/>
      <c r="BZ473" s="31">
        <f t="shared" si="87"/>
        <v>0</v>
      </c>
      <c r="CA473" s="31">
        <f t="shared" si="88"/>
        <v>0</v>
      </c>
    </row>
    <row r="474" spans="1:79" ht="34.5" x14ac:dyDescent="0.25">
      <c r="A474" s="17"/>
      <c r="B474" s="2">
        <v>462</v>
      </c>
      <c r="C474" s="18">
        <v>215</v>
      </c>
      <c r="D474" s="18">
        <v>140</v>
      </c>
      <c r="E474" s="59">
        <v>0.52222222222222225</v>
      </c>
      <c r="F474" s="59">
        <v>0.56388888888888888</v>
      </c>
      <c r="G474" s="18" t="s">
        <v>1068</v>
      </c>
      <c r="H474" s="18" t="s">
        <v>441</v>
      </c>
      <c r="I474" s="20">
        <v>37</v>
      </c>
      <c r="J474" s="21">
        <v>55</v>
      </c>
      <c r="K474" s="41">
        <v>47</v>
      </c>
      <c r="L474" s="23">
        <f t="shared" si="95"/>
        <v>1739</v>
      </c>
      <c r="M474" s="24" t="s">
        <v>114</v>
      </c>
      <c r="N474" s="25" t="s">
        <v>770</v>
      </c>
      <c r="O474" s="25">
        <v>37</v>
      </c>
      <c r="P474" s="25" t="s">
        <v>117</v>
      </c>
      <c r="Q474" s="25">
        <v>29</v>
      </c>
      <c r="R474" s="25" t="s">
        <v>116</v>
      </c>
      <c r="S474" s="25">
        <v>45</v>
      </c>
      <c r="T474" s="26">
        <v>2290</v>
      </c>
      <c r="U474" s="26" t="s">
        <v>118</v>
      </c>
      <c r="V474" s="26">
        <v>2323</v>
      </c>
      <c r="W474" s="26" t="s">
        <v>163</v>
      </c>
      <c r="X474" s="27">
        <v>44816</v>
      </c>
      <c r="Y474" s="27">
        <v>45100</v>
      </c>
      <c r="Z474" s="27"/>
      <c r="AA474" s="27"/>
      <c r="AB474" s="62" t="s">
        <v>289</v>
      </c>
      <c r="AC474" s="62"/>
      <c r="AD474" s="28" t="s">
        <v>90</v>
      </c>
      <c r="AE474" s="28"/>
      <c r="AF474" s="28"/>
      <c r="AG474" s="28"/>
      <c r="AH474" s="28"/>
      <c r="AI474" s="28"/>
      <c r="AJ474" s="28"/>
      <c r="AK474" s="28"/>
      <c r="AL474" s="28"/>
      <c r="AM474" s="28"/>
      <c r="AN474" s="28" t="s">
        <v>90</v>
      </c>
      <c r="AO474" s="28"/>
      <c r="AP474" s="28"/>
      <c r="AQ474" s="28"/>
      <c r="AR474" s="28"/>
      <c r="AS474" s="28"/>
      <c r="AT474" s="28"/>
      <c r="AU474" s="28"/>
      <c r="AV474" s="28"/>
      <c r="AW474" s="28"/>
      <c r="AX474" s="29">
        <v>89</v>
      </c>
      <c r="AY474" s="31"/>
      <c r="AZ474" s="30"/>
      <c r="BA474" s="29"/>
      <c r="BB474" s="29"/>
      <c r="BC474" s="30"/>
      <c r="BD474" s="31">
        <f t="shared" si="97"/>
        <v>4183</v>
      </c>
      <c r="BE474" s="31"/>
      <c r="BF474" s="30"/>
      <c r="BG474" s="32">
        <v>2</v>
      </c>
      <c r="BH474" s="31">
        <f>IF(AND((AX474/I474)&lt;2,BG474=1),(I474*2)-AX474,0)</f>
        <v>0</v>
      </c>
      <c r="BI474" s="31">
        <f>IF(AND((AX474/I474)&lt;3,BG474=2),(I474*3)-AX474,0)</f>
        <v>22</v>
      </c>
      <c r="BJ474" s="33">
        <f>(BH474+BI474)*K474</f>
        <v>1034</v>
      </c>
      <c r="BK474" s="30"/>
      <c r="BL474" s="30"/>
      <c r="BM474" s="30"/>
      <c r="BN474" s="30"/>
      <c r="BO474" s="33">
        <f t="shared" si="85"/>
        <v>0</v>
      </c>
      <c r="BP474" s="30">
        <v>2</v>
      </c>
      <c r="BQ474" s="30">
        <v>5</v>
      </c>
      <c r="BR474" s="30"/>
      <c r="BS474" s="30"/>
      <c r="BT474" s="34">
        <f t="shared" si="96"/>
        <v>111</v>
      </c>
      <c r="BU474" s="34"/>
      <c r="BV474" s="34"/>
      <c r="BW474" s="34"/>
      <c r="BX474" s="34"/>
      <c r="BY474" s="30"/>
      <c r="BZ474" s="31">
        <f t="shared" si="87"/>
        <v>222</v>
      </c>
      <c r="CA474" s="31">
        <f t="shared" si="88"/>
        <v>555</v>
      </c>
    </row>
    <row r="475" spans="1:79" ht="90" x14ac:dyDescent="0.25">
      <c r="A475" s="25"/>
      <c r="B475" s="2">
        <v>463</v>
      </c>
      <c r="C475" s="18">
        <v>215</v>
      </c>
      <c r="D475" s="18">
        <v>140</v>
      </c>
      <c r="E475" s="19">
        <v>0.52430555555555558</v>
      </c>
      <c r="F475" s="19">
        <v>0.57361111111111118</v>
      </c>
      <c r="G475" s="18" t="s">
        <v>164</v>
      </c>
      <c r="H475" s="18" t="s">
        <v>273</v>
      </c>
      <c r="I475" s="20">
        <v>37</v>
      </c>
      <c r="J475" s="21">
        <v>55</v>
      </c>
      <c r="K475" s="22">
        <v>174</v>
      </c>
      <c r="L475" s="23">
        <f t="shared" si="95"/>
        <v>6438</v>
      </c>
      <c r="M475" s="24" t="s">
        <v>170</v>
      </c>
      <c r="N475" s="25" t="s">
        <v>171</v>
      </c>
      <c r="O475" s="25">
        <v>57</v>
      </c>
      <c r="P475" s="25" t="s">
        <v>173</v>
      </c>
      <c r="Q475" s="25">
        <v>57</v>
      </c>
      <c r="R475" s="17"/>
      <c r="S475" s="25"/>
      <c r="T475" s="26" t="s">
        <v>1055</v>
      </c>
      <c r="U475" s="26" t="s">
        <v>1056</v>
      </c>
      <c r="V475" s="26">
        <v>2323</v>
      </c>
      <c r="W475" s="26" t="s">
        <v>163</v>
      </c>
      <c r="X475" s="66">
        <v>44816</v>
      </c>
      <c r="Y475" s="66">
        <v>45086</v>
      </c>
      <c r="Z475" s="66"/>
      <c r="AA475" s="66"/>
      <c r="AB475" s="26" t="s">
        <v>282</v>
      </c>
      <c r="AC475" s="26"/>
      <c r="AD475" s="28"/>
      <c r="AE475" s="28"/>
      <c r="AF475" s="28"/>
      <c r="AG475" s="28" t="s">
        <v>90</v>
      </c>
      <c r="AH475" s="28" t="s">
        <v>90</v>
      </c>
      <c r="AI475" s="28" t="s">
        <v>90</v>
      </c>
      <c r="AJ475" s="28" t="s">
        <v>90</v>
      </c>
      <c r="AK475" s="28" t="s">
        <v>90</v>
      </c>
      <c r="AL475" s="28" t="s">
        <v>90</v>
      </c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31">
        <v>111</v>
      </c>
      <c r="AY475" s="31"/>
      <c r="AZ475" s="30"/>
      <c r="BA475" s="29"/>
      <c r="BB475" s="29"/>
      <c r="BC475" s="30"/>
      <c r="BD475" s="31">
        <f t="shared" si="97"/>
        <v>19314</v>
      </c>
      <c r="BE475" s="31"/>
      <c r="BF475" s="30"/>
      <c r="BG475" s="32">
        <v>2</v>
      </c>
      <c r="BH475" s="31">
        <f>IF(AND((AX475/I475)&lt;2,BG475=1),(I475*2)-AX475,0)</f>
        <v>0</v>
      </c>
      <c r="BI475" s="31">
        <f>IF(AND((AX475/I475)&lt;3,BG475=2),(I475*3)-AX475,0)</f>
        <v>0</v>
      </c>
      <c r="BJ475" s="33">
        <f>(BH475+BI475)*K475</f>
        <v>0</v>
      </c>
      <c r="BK475" s="30"/>
      <c r="BL475" s="30"/>
      <c r="BM475" s="30"/>
      <c r="BN475" s="30"/>
      <c r="BO475" s="33">
        <f t="shared" si="85"/>
        <v>0</v>
      </c>
      <c r="BP475" s="30">
        <v>15</v>
      </c>
      <c r="BQ475" s="30">
        <v>20</v>
      </c>
      <c r="BR475" s="30"/>
      <c r="BS475" s="30"/>
      <c r="BT475" s="34">
        <f t="shared" si="96"/>
        <v>111</v>
      </c>
      <c r="BU475" s="34"/>
      <c r="BV475" s="34"/>
      <c r="BW475" s="34"/>
      <c r="BX475" s="34"/>
      <c r="BY475" s="30"/>
      <c r="BZ475" s="31">
        <f t="shared" si="87"/>
        <v>1665</v>
      </c>
      <c r="CA475" s="31">
        <f t="shared" si="88"/>
        <v>2220</v>
      </c>
    </row>
    <row r="476" spans="1:79" ht="90" x14ac:dyDescent="0.25">
      <c r="A476" s="17"/>
      <c r="B476" s="2">
        <v>464</v>
      </c>
      <c r="C476" s="37">
        <v>215</v>
      </c>
      <c r="D476" s="18">
        <v>349</v>
      </c>
      <c r="E476" s="19">
        <v>0.53819444444444442</v>
      </c>
      <c r="F476" s="19">
        <v>0.54791666666666672</v>
      </c>
      <c r="G476" s="117" t="s">
        <v>1069</v>
      </c>
      <c r="H476" s="18" t="s">
        <v>383</v>
      </c>
      <c r="I476" s="20">
        <v>8.6999999999999993</v>
      </c>
      <c r="J476" s="40">
        <v>9</v>
      </c>
      <c r="K476" s="22">
        <v>34</v>
      </c>
      <c r="L476" s="23">
        <f t="shared" si="95"/>
        <v>295.79999999999995</v>
      </c>
      <c r="M476" s="24" t="s">
        <v>170</v>
      </c>
      <c r="N476" s="25" t="s">
        <v>1046</v>
      </c>
      <c r="O476" s="25">
        <v>9</v>
      </c>
      <c r="P476" s="25" t="s">
        <v>1012</v>
      </c>
      <c r="Q476" s="25">
        <v>17</v>
      </c>
      <c r="R476" s="25" t="s">
        <v>1047</v>
      </c>
      <c r="S476" s="35">
        <v>9</v>
      </c>
      <c r="T476" s="26" t="s">
        <v>1070</v>
      </c>
      <c r="U476" s="26" t="s">
        <v>1071</v>
      </c>
      <c r="V476" s="26">
        <v>2327</v>
      </c>
      <c r="W476" s="26" t="s">
        <v>1025</v>
      </c>
      <c r="X476" s="66">
        <v>44816</v>
      </c>
      <c r="Y476" s="66">
        <v>45086</v>
      </c>
      <c r="Z476" s="66"/>
      <c r="AA476" s="66"/>
      <c r="AB476" s="28" t="s">
        <v>382</v>
      </c>
      <c r="AC476" s="28"/>
      <c r="AD476" s="28"/>
      <c r="AE476" s="28"/>
      <c r="AF476" s="28"/>
      <c r="AG476" s="28" t="s">
        <v>90</v>
      </c>
      <c r="AH476" s="28"/>
      <c r="AI476" s="28"/>
      <c r="AJ476" s="28"/>
      <c r="AK476" s="28"/>
      <c r="AL476" s="28"/>
      <c r="AM476" s="28" t="s">
        <v>90</v>
      </c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31">
        <f>I476*3</f>
        <v>26.099999999999998</v>
      </c>
      <c r="AY476" s="31"/>
      <c r="AZ476" s="30"/>
      <c r="BA476" s="31"/>
      <c r="BB476" s="31"/>
      <c r="BC476" s="30"/>
      <c r="BD476" s="31">
        <f t="shared" si="97"/>
        <v>887.4</v>
      </c>
      <c r="BE476" s="31"/>
      <c r="BF476" s="30"/>
      <c r="BG476" s="36">
        <v>1</v>
      </c>
      <c r="BH476" s="31">
        <f>IF(AND((AX476/I476)&lt;2,BG476=1),(I476*2)-AX476,0)</f>
        <v>0</v>
      </c>
      <c r="BI476" s="31">
        <f>IF(AND((AX476/I476)&lt;3,BG476=2),(I476*3)-AX476,0)</f>
        <v>0</v>
      </c>
      <c r="BJ476" s="33">
        <f>(BH476+BI476)*K476</f>
        <v>0</v>
      </c>
      <c r="BK476" s="30"/>
      <c r="BL476" s="30"/>
      <c r="BM476" s="30"/>
      <c r="BN476" s="30"/>
      <c r="BO476" s="33">
        <f t="shared" si="85"/>
        <v>0</v>
      </c>
      <c r="BP476" s="30">
        <v>2</v>
      </c>
      <c r="BQ476" s="30">
        <v>5</v>
      </c>
      <c r="BR476" s="30"/>
      <c r="BS476" s="30"/>
      <c r="BT476" s="34">
        <f t="shared" si="96"/>
        <v>26.099999999999998</v>
      </c>
      <c r="BU476" s="34"/>
      <c r="BV476" s="34"/>
      <c r="BW476" s="34"/>
      <c r="BX476" s="34"/>
      <c r="BY476" s="30"/>
      <c r="BZ476" s="31">
        <f t="shared" si="87"/>
        <v>52.199999999999996</v>
      </c>
      <c r="CA476" s="31">
        <f t="shared" si="88"/>
        <v>130.5</v>
      </c>
    </row>
    <row r="477" spans="1:79" ht="51" x14ac:dyDescent="0.25">
      <c r="A477" s="17"/>
      <c r="B477" s="2">
        <v>465</v>
      </c>
      <c r="C477" s="48">
        <v>215</v>
      </c>
      <c r="D477" s="48">
        <v>363</v>
      </c>
      <c r="E477" s="49">
        <v>0.54166666666666663</v>
      </c>
      <c r="F477" s="49">
        <v>0.55486111111111114</v>
      </c>
      <c r="G477" s="51" t="s">
        <v>1072</v>
      </c>
      <c r="H477" s="18" t="s">
        <v>306</v>
      </c>
      <c r="I477" s="48">
        <v>13</v>
      </c>
      <c r="J477" s="52">
        <v>40</v>
      </c>
      <c r="K477" s="22">
        <v>208</v>
      </c>
      <c r="L477" s="23">
        <f t="shared" si="95"/>
        <v>2704</v>
      </c>
      <c r="M477" s="24" t="s">
        <v>160</v>
      </c>
      <c r="N477" s="25" t="s">
        <v>161</v>
      </c>
      <c r="O477" s="25">
        <v>54</v>
      </c>
      <c r="P477" s="25" t="s">
        <v>162</v>
      </c>
      <c r="Q477" s="25">
        <v>56</v>
      </c>
      <c r="R477" s="25"/>
      <c r="S477" s="25"/>
      <c r="T477" s="26">
        <v>2322</v>
      </c>
      <c r="U477" s="26" t="s">
        <v>1073</v>
      </c>
      <c r="V477" s="26">
        <v>2323</v>
      </c>
      <c r="W477" s="26" t="s">
        <v>163</v>
      </c>
      <c r="X477" s="66">
        <v>44816</v>
      </c>
      <c r="Y477" s="66">
        <v>45086</v>
      </c>
      <c r="Z477" s="66"/>
      <c r="AA477" s="66"/>
      <c r="AB477" s="26" t="s">
        <v>309</v>
      </c>
      <c r="AC477" s="26"/>
      <c r="AD477" s="28"/>
      <c r="AE477" s="28"/>
      <c r="AF477" s="28"/>
      <c r="AG477" s="28" t="s">
        <v>90</v>
      </c>
      <c r="AH477" s="28" t="s">
        <v>90</v>
      </c>
      <c r="AI477" s="28" t="s">
        <v>90</v>
      </c>
      <c r="AJ477" s="28" t="s">
        <v>90</v>
      </c>
      <c r="AK477" s="28" t="s">
        <v>90</v>
      </c>
      <c r="AL477" s="28" t="s">
        <v>90</v>
      </c>
      <c r="AM477" s="28" t="s">
        <v>90</v>
      </c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31"/>
      <c r="AY477" s="31"/>
      <c r="AZ477" s="30"/>
      <c r="BA477" s="55" t="s">
        <v>985</v>
      </c>
      <c r="BB477" s="55"/>
      <c r="BC477" s="30"/>
      <c r="BD477" s="31">
        <f t="shared" si="97"/>
        <v>0</v>
      </c>
      <c r="BE477" s="30"/>
      <c r="BF477" s="30"/>
      <c r="BG477" s="32">
        <v>2</v>
      </c>
      <c r="BH477" s="30"/>
      <c r="BI477" s="31"/>
      <c r="BJ477" s="30"/>
      <c r="BK477" s="30"/>
      <c r="BL477" s="30"/>
      <c r="BM477" s="30"/>
      <c r="BN477" s="30"/>
      <c r="BO477" s="33">
        <f t="shared" si="85"/>
        <v>0</v>
      </c>
      <c r="BP477" s="30">
        <v>17</v>
      </c>
      <c r="BQ477" s="30">
        <v>25</v>
      </c>
      <c r="BR477" s="30"/>
      <c r="BS477" s="30"/>
      <c r="BT477" s="34">
        <f t="shared" si="96"/>
        <v>0</v>
      </c>
      <c r="BU477" s="30"/>
      <c r="BV477" s="30"/>
      <c r="BW477" s="30"/>
      <c r="BX477" s="30"/>
      <c r="BY477" s="30"/>
      <c r="BZ477" s="31">
        <f t="shared" si="87"/>
        <v>0</v>
      </c>
      <c r="CA477" s="31">
        <f t="shared" si="88"/>
        <v>0</v>
      </c>
    </row>
    <row r="478" spans="1:79" ht="38.25" x14ac:dyDescent="0.25">
      <c r="A478" s="17" t="s">
        <v>112</v>
      </c>
      <c r="B478" s="2">
        <v>466</v>
      </c>
      <c r="C478" s="37">
        <v>215</v>
      </c>
      <c r="D478" s="37">
        <v>611</v>
      </c>
      <c r="E478" s="38">
        <v>0.54513888888888895</v>
      </c>
      <c r="F478" s="38">
        <v>0.5854166666666667</v>
      </c>
      <c r="G478" s="39" t="s">
        <v>169</v>
      </c>
      <c r="H478" s="18" t="s">
        <v>80</v>
      </c>
      <c r="I478" s="37">
        <v>37</v>
      </c>
      <c r="J478" s="40">
        <v>50</v>
      </c>
      <c r="K478" s="22">
        <v>67</v>
      </c>
      <c r="L478" s="23">
        <f t="shared" si="95"/>
        <v>2479</v>
      </c>
      <c r="M478" s="24" t="s">
        <v>165</v>
      </c>
      <c r="N478" s="25" t="s">
        <v>166</v>
      </c>
      <c r="O478" s="25">
        <v>57</v>
      </c>
      <c r="P478" s="25" t="s">
        <v>167</v>
      </c>
      <c r="Q478" s="25">
        <v>57</v>
      </c>
      <c r="R478" s="25" t="s">
        <v>174</v>
      </c>
      <c r="S478" s="35">
        <v>29</v>
      </c>
      <c r="T478" s="26">
        <v>2323</v>
      </c>
      <c r="U478" s="26" t="s">
        <v>163</v>
      </c>
      <c r="V478" s="26">
        <v>2290</v>
      </c>
      <c r="W478" s="26" t="s">
        <v>118</v>
      </c>
      <c r="X478" s="27">
        <v>44562</v>
      </c>
      <c r="Y478" s="27">
        <v>44815</v>
      </c>
      <c r="Z478" s="27">
        <v>45101</v>
      </c>
      <c r="AA478" s="27">
        <v>45169</v>
      </c>
      <c r="AB478" s="28" t="s">
        <v>89</v>
      </c>
      <c r="AC478" s="28"/>
      <c r="AD478" s="28"/>
      <c r="AE478" s="28" t="s">
        <v>90</v>
      </c>
      <c r="AF478" s="28" t="s">
        <v>90</v>
      </c>
      <c r="AG478" s="28"/>
      <c r="AH478" s="28" t="s">
        <v>90</v>
      </c>
      <c r="AI478" s="28" t="s">
        <v>90</v>
      </c>
      <c r="AJ478" s="28" t="s">
        <v>90</v>
      </c>
      <c r="AK478" s="28" t="s">
        <v>90</v>
      </c>
      <c r="AL478" s="28" t="s">
        <v>90</v>
      </c>
      <c r="AM478" s="28" t="s">
        <v>90</v>
      </c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31"/>
      <c r="AY478" s="31"/>
      <c r="AZ478" s="30"/>
      <c r="BA478" s="42"/>
      <c r="BB478" s="43" t="s">
        <v>165</v>
      </c>
      <c r="BC478" s="30"/>
      <c r="BD478" s="31">
        <f t="shared" si="97"/>
        <v>0</v>
      </c>
      <c r="BE478" s="30"/>
      <c r="BF478" s="30"/>
      <c r="BG478" s="32">
        <v>2</v>
      </c>
      <c r="BH478" s="30"/>
      <c r="BI478" s="31"/>
      <c r="BJ478" s="30"/>
      <c r="BK478" s="30"/>
      <c r="BL478" s="30"/>
      <c r="BM478" s="30"/>
      <c r="BN478" s="30"/>
      <c r="BO478" s="33">
        <f t="shared" si="85"/>
        <v>0</v>
      </c>
      <c r="BP478" s="30">
        <v>9</v>
      </c>
      <c r="BQ478" s="30">
        <v>0</v>
      </c>
      <c r="BR478" s="30"/>
      <c r="BS478" s="30"/>
      <c r="BT478" s="34">
        <f t="shared" si="96"/>
        <v>0</v>
      </c>
      <c r="BU478" s="34"/>
      <c r="BV478" s="34"/>
      <c r="BW478" s="34"/>
      <c r="BX478" s="34"/>
      <c r="BY478" s="30"/>
      <c r="BZ478" s="31">
        <f t="shared" si="87"/>
        <v>0</v>
      </c>
      <c r="CA478" s="31">
        <f t="shared" si="88"/>
        <v>0</v>
      </c>
    </row>
    <row r="479" spans="1:79" ht="90" x14ac:dyDescent="0.25">
      <c r="A479" s="17" t="s">
        <v>147</v>
      </c>
      <c r="B479" s="2">
        <v>467</v>
      </c>
      <c r="C479" s="37">
        <v>215</v>
      </c>
      <c r="D479" s="87">
        <v>611</v>
      </c>
      <c r="E479" s="38">
        <v>0.54513888888888895</v>
      </c>
      <c r="F479" s="38">
        <v>0.5854166666666667</v>
      </c>
      <c r="G479" s="39" t="s">
        <v>169</v>
      </c>
      <c r="H479" s="18" t="s">
        <v>422</v>
      </c>
      <c r="I479" s="37">
        <v>37</v>
      </c>
      <c r="J479" s="40">
        <v>50</v>
      </c>
      <c r="K479" s="41">
        <v>240</v>
      </c>
      <c r="L479" s="23">
        <f t="shared" si="95"/>
        <v>8880</v>
      </c>
      <c r="M479" s="24" t="s">
        <v>170</v>
      </c>
      <c r="N479" s="25" t="s">
        <v>172</v>
      </c>
      <c r="O479" s="25">
        <v>60</v>
      </c>
      <c r="P479" s="25" t="s">
        <v>173</v>
      </c>
      <c r="Q479" s="25">
        <v>57</v>
      </c>
      <c r="R479" s="25" t="s">
        <v>1067</v>
      </c>
      <c r="S479" s="25">
        <v>57</v>
      </c>
      <c r="T479" s="26">
        <v>2323</v>
      </c>
      <c r="U479" s="26" t="s">
        <v>163</v>
      </c>
      <c r="V479" s="26">
        <v>2290</v>
      </c>
      <c r="W479" s="26" t="s">
        <v>118</v>
      </c>
      <c r="X479" s="27">
        <v>44816</v>
      </c>
      <c r="Y479" s="27">
        <v>45100</v>
      </c>
      <c r="Z479" s="27"/>
      <c r="AA479" s="27"/>
      <c r="AB479" s="26" t="s">
        <v>423</v>
      </c>
      <c r="AC479" s="26"/>
      <c r="AD479" s="28" t="s">
        <v>90</v>
      </c>
      <c r="AE479" s="28"/>
      <c r="AF479" s="28" t="s">
        <v>90</v>
      </c>
      <c r="AG479" s="28"/>
      <c r="AH479" s="28" t="s">
        <v>90</v>
      </c>
      <c r="AI479" s="28" t="s">
        <v>90</v>
      </c>
      <c r="AJ479" s="28" t="s">
        <v>90</v>
      </c>
      <c r="AK479" s="28" t="s">
        <v>90</v>
      </c>
      <c r="AL479" s="28" t="s">
        <v>90</v>
      </c>
      <c r="AM479" s="28" t="s">
        <v>90</v>
      </c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9"/>
      <c r="AY479" s="31"/>
      <c r="AZ479" s="31">
        <f>3*I479</f>
        <v>111</v>
      </c>
      <c r="BA479" s="29"/>
      <c r="BB479" s="29"/>
      <c r="BC479" s="30"/>
      <c r="BD479" s="30"/>
      <c r="BE479" s="30"/>
      <c r="BF479" s="31">
        <f>AZ479*K479</f>
        <v>26640</v>
      </c>
      <c r="BG479" s="32">
        <v>2</v>
      </c>
      <c r="BH479" s="36"/>
      <c r="BI479" s="47"/>
      <c r="BJ479" s="36"/>
      <c r="BK479" s="36"/>
      <c r="BL479" s="36"/>
      <c r="BM479" s="36"/>
      <c r="BN479" s="30"/>
      <c r="BO479" s="33">
        <f t="shared" si="85"/>
        <v>0</v>
      </c>
      <c r="BP479" s="30">
        <v>17</v>
      </c>
      <c r="BQ479" s="30">
        <v>26</v>
      </c>
      <c r="BR479" s="30"/>
      <c r="BS479" s="30"/>
      <c r="BT479" s="34">
        <f t="shared" si="96"/>
        <v>111</v>
      </c>
      <c r="BU479" s="34"/>
      <c r="BV479" s="34"/>
      <c r="BW479" s="34"/>
      <c r="BX479" s="34"/>
      <c r="BY479" s="30"/>
      <c r="BZ479" s="31">
        <f t="shared" si="87"/>
        <v>1887</v>
      </c>
      <c r="CA479" s="31">
        <f t="shared" si="88"/>
        <v>2886</v>
      </c>
    </row>
    <row r="480" spans="1:79" ht="90" x14ac:dyDescent="0.25">
      <c r="A480" s="17"/>
      <c r="B480" s="2">
        <v>468</v>
      </c>
      <c r="C480" s="58">
        <v>225</v>
      </c>
      <c r="D480" s="18">
        <v>448</v>
      </c>
      <c r="E480" s="19">
        <v>0.55138888888888882</v>
      </c>
      <c r="F480" s="19">
        <v>0.56111111111111112</v>
      </c>
      <c r="G480" s="18" t="s">
        <v>1074</v>
      </c>
      <c r="H480" s="18" t="s">
        <v>1075</v>
      </c>
      <c r="I480" s="20">
        <v>6</v>
      </c>
      <c r="J480" s="21" t="s">
        <v>541</v>
      </c>
      <c r="K480" s="41">
        <v>70</v>
      </c>
      <c r="L480" s="23">
        <f t="shared" si="95"/>
        <v>420</v>
      </c>
      <c r="M480" s="24" t="s">
        <v>170</v>
      </c>
      <c r="N480" s="25" t="s">
        <v>1003</v>
      </c>
      <c r="O480" s="25">
        <v>17</v>
      </c>
      <c r="P480" s="25" t="s">
        <v>1012</v>
      </c>
      <c r="Q480" s="25">
        <v>17</v>
      </c>
      <c r="R480" s="25" t="s">
        <v>1013</v>
      </c>
      <c r="S480" s="35">
        <v>24</v>
      </c>
      <c r="T480" s="26">
        <v>2311</v>
      </c>
      <c r="U480" s="26" t="s">
        <v>1042</v>
      </c>
      <c r="V480" s="26">
        <v>2312</v>
      </c>
      <c r="W480" s="26" t="s">
        <v>1041</v>
      </c>
      <c r="X480" s="66">
        <v>44816</v>
      </c>
      <c r="Y480" s="66">
        <v>45086</v>
      </c>
      <c r="Z480" s="66"/>
      <c r="AA480" s="66"/>
      <c r="AB480" s="26" t="s">
        <v>1076</v>
      </c>
      <c r="AC480" s="26"/>
      <c r="AD480" s="28"/>
      <c r="AE480" s="28"/>
      <c r="AF480" s="28"/>
      <c r="AG480" s="28" t="s">
        <v>90</v>
      </c>
      <c r="AH480" s="28"/>
      <c r="AI480" s="28"/>
      <c r="AJ480" s="28"/>
      <c r="AK480" s="28"/>
      <c r="AL480" s="28" t="s">
        <v>90</v>
      </c>
      <c r="AM480" s="28" t="s">
        <v>90</v>
      </c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9">
        <v>31.3</v>
      </c>
      <c r="AY480" s="31"/>
      <c r="AZ480" s="30"/>
      <c r="BA480" s="29"/>
      <c r="BB480" s="29"/>
      <c r="BC480" s="30"/>
      <c r="BD480" s="31">
        <f t="shared" ref="BD480:BD494" si="98">AX480*K480</f>
        <v>2191</v>
      </c>
      <c r="BE480" s="31"/>
      <c r="BF480" s="30"/>
      <c r="BG480" s="36">
        <v>1</v>
      </c>
      <c r="BH480" s="31">
        <f t="shared" ref="BH480:BH487" si="99">IF(AND((AX480/I480)&lt;2,BG480=1),(I480*2)-AX480,0)</f>
        <v>0</v>
      </c>
      <c r="BI480" s="31">
        <f t="shared" ref="BI480:BI487" si="100">IF(AND((AX480/I480)&lt;3,BG480=2),(I480*3)-AX480,0)</f>
        <v>0</v>
      </c>
      <c r="BJ480" s="33">
        <f t="shared" ref="BJ480:BJ487" si="101">(BH480+BI480)*K480</f>
        <v>0</v>
      </c>
      <c r="BK480" s="30"/>
      <c r="BL480" s="30"/>
      <c r="BM480" s="30"/>
      <c r="BN480" s="30"/>
      <c r="BO480" s="33">
        <f t="shared" si="85"/>
        <v>0</v>
      </c>
      <c r="BP480" s="30">
        <v>5</v>
      </c>
      <c r="BQ480" s="30">
        <v>9</v>
      </c>
      <c r="BR480" s="30"/>
      <c r="BS480" s="30"/>
      <c r="BT480" s="34">
        <f t="shared" si="96"/>
        <v>31.3</v>
      </c>
      <c r="BU480" s="34"/>
      <c r="BV480" s="34"/>
      <c r="BW480" s="34"/>
      <c r="BX480" s="34"/>
      <c r="BY480" s="30"/>
      <c r="BZ480" s="31">
        <f t="shared" si="87"/>
        <v>156.5</v>
      </c>
      <c r="CA480" s="31">
        <f t="shared" si="88"/>
        <v>281.7</v>
      </c>
    </row>
    <row r="481" spans="1:79" ht="90" x14ac:dyDescent="0.25">
      <c r="A481" s="17"/>
      <c r="B481" s="2">
        <v>469</v>
      </c>
      <c r="C481" s="18">
        <v>215</v>
      </c>
      <c r="D481" s="18">
        <v>602</v>
      </c>
      <c r="E481" s="19">
        <v>0.56597222222222221</v>
      </c>
      <c r="F481" s="19">
        <v>0.57152777777777775</v>
      </c>
      <c r="G481" s="18" t="s">
        <v>1077</v>
      </c>
      <c r="H481" s="18" t="s">
        <v>1078</v>
      </c>
      <c r="I481" s="20">
        <v>5.3</v>
      </c>
      <c r="J481" s="21" t="s">
        <v>516</v>
      </c>
      <c r="K481" s="22">
        <f>34+34+36</f>
        <v>104</v>
      </c>
      <c r="L481" s="23">
        <f t="shared" si="95"/>
        <v>551.19999999999993</v>
      </c>
      <c r="M481" s="24" t="s">
        <v>170</v>
      </c>
      <c r="N481" s="25" t="s">
        <v>1024</v>
      </c>
      <c r="O481" s="25">
        <v>9</v>
      </c>
      <c r="P481" s="25" t="s">
        <v>1012</v>
      </c>
      <c r="Q481" s="25">
        <v>17</v>
      </c>
      <c r="R481" s="25" t="s">
        <v>1047</v>
      </c>
      <c r="S481" s="35">
        <v>9</v>
      </c>
      <c r="T481" s="26">
        <v>2323</v>
      </c>
      <c r="U481" s="26" t="s">
        <v>163</v>
      </c>
      <c r="V481" s="26">
        <v>2327</v>
      </c>
      <c r="W481" s="26" t="s">
        <v>1025</v>
      </c>
      <c r="X481" s="66">
        <v>44816</v>
      </c>
      <c r="Y481" s="66">
        <v>45086</v>
      </c>
      <c r="Z481" s="66"/>
      <c r="AA481" s="66"/>
      <c r="AB481" s="26" t="s">
        <v>1079</v>
      </c>
      <c r="AC481" s="26"/>
      <c r="AD481" s="28"/>
      <c r="AE481" s="28"/>
      <c r="AF481" s="28"/>
      <c r="AG481" s="28" t="s">
        <v>90</v>
      </c>
      <c r="AH481" s="28"/>
      <c r="AI481" s="28" t="s">
        <v>90</v>
      </c>
      <c r="AJ481" s="28"/>
      <c r="AK481" s="28" t="s">
        <v>90</v>
      </c>
      <c r="AL481" s="28" t="s">
        <v>90</v>
      </c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9">
        <v>15.9</v>
      </c>
      <c r="AY481" s="31"/>
      <c r="AZ481" s="30"/>
      <c r="BA481" s="29"/>
      <c r="BB481" s="29"/>
      <c r="BC481" s="30"/>
      <c r="BD481" s="31">
        <f t="shared" si="98"/>
        <v>1653.6000000000001</v>
      </c>
      <c r="BE481" s="31"/>
      <c r="BF481" s="30"/>
      <c r="BG481" s="36">
        <v>1</v>
      </c>
      <c r="BH481" s="31">
        <f t="shared" si="99"/>
        <v>0</v>
      </c>
      <c r="BI481" s="31">
        <f t="shared" si="100"/>
        <v>0</v>
      </c>
      <c r="BJ481" s="33">
        <f t="shared" si="101"/>
        <v>0</v>
      </c>
      <c r="BK481" s="30"/>
      <c r="BL481" s="30"/>
      <c r="BM481" s="30"/>
      <c r="BN481" s="30"/>
      <c r="BO481" s="33">
        <f t="shared" si="85"/>
        <v>0</v>
      </c>
      <c r="BP481" s="30">
        <v>9</v>
      </c>
      <c r="BQ481" s="30">
        <v>12</v>
      </c>
      <c r="BR481" s="30"/>
      <c r="BS481" s="30"/>
      <c r="BT481" s="34">
        <f t="shared" si="96"/>
        <v>15.9</v>
      </c>
      <c r="BU481" s="34"/>
      <c r="BV481" s="34"/>
      <c r="BW481" s="34"/>
      <c r="BX481" s="34"/>
      <c r="BY481" s="30"/>
      <c r="BZ481" s="31">
        <f t="shared" si="87"/>
        <v>143.1</v>
      </c>
      <c r="CA481" s="31">
        <f t="shared" si="88"/>
        <v>190.8</v>
      </c>
    </row>
    <row r="482" spans="1:79" ht="90" x14ac:dyDescent="0.25">
      <c r="A482" s="17"/>
      <c r="B482" s="2">
        <v>470</v>
      </c>
      <c r="C482" s="18">
        <v>215</v>
      </c>
      <c r="D482" s="18">
        <v>588</v>
      </c>
      <c r="E482" s="19">
        <v>0.57638888888888895</v>
      </c>
      <c r="F482" s="19">
        <v>0.58194444444444449</v>
      </c>
      <c r="G482" s="18" t="s">
        <v>1077</v>
      </c>
      <c r="H482" s="18" t="s">
        <v>1080</v>
      </c>
      <c r="I482" s="20">
        <v>5.3</v>
      </c>
      <c r="J482" s="21" t="s">
        <v>516</v>
      </c>
      <c r="K482" s="22">
        <v>34</v>
      </c>
      <c r="L482" s="23">
        <f t="shared" si="95"/>
        <v>180.2</v>
      </c>
      <c r="M482" s="24" t="s">
        <v>170</v>
      </c>
      <c r="N482" s="25" t="s">
        <v>1024</v>
      </c>
      <c r="O482" s="25">
        <v>9</v>
      </c>
      <c r="P482" s="25" t="s">
        <v>1012</v>
      </c>
      <c r="Q482" s="25">
        <v>17</v>
      </c>
      <c r="R482" s="25" t="s">
        <v>1047</v>
      </c>
      <c r="S482" s="35">
        <v>9</v>
      </c>
      <c r="T482" s="26">
        <v>2323</v>
      </c>
      <c r="U482" s="26" t="s">
        <v>163</v>
      </c>
      <c r="V482" s="26">
        <v>2327</v>
      </c>
      <c r="W482" s="26" t="s">
        <v>1025</v>
      </c>
      <c r="X482" s="66">
        <v>44816</v>
      </c>
      <c r="Y482" s="66">
        <v>45086</v>
      </c>
      <c r="Z482" s="66"/>
      <c r="AA482" s="66"/>
      <c r="AB482" s="26" t="s">
        <v>382</v>
      </c>
      <c r="AC482" s="26"/>
      <c r="AD482" s="28"/>
      <c r="AE482" s="28"/>
      <c r="AF482" s="28"/>
      <c r="AG482" s="28" t="s">
        <v>90</v>
      </c>
      <c r="AH482" s="28"/>
      <c r="AI482" s="28"/>
      <c r="AJ482" s="28"/>
      <c r="AK482" s="28"/>
      <c r="AL482" s="28"/>
      <c r="AM482" s="28" t="s">
        <v>90</v>
      </c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9">
        <v>15.9</v>
      </c>
      <c r="AY482" s="31"/>
      <c r="AZ482" s="30"/>
      <c r="BA482" s="29"/>
      <c r="BB482" s="29"/>
      <c r="BC482" s="30"/>
      <c r="BD482" s="31">
        <f t="shared" si="98"/>
        <v>540.6</v>
      </c>
      <c r="BE482" s="31"/>
      <c r="BF482" s="30"/>
      <c r="BG482" s="36">
        <v>1</v>
      </c>
      <c r="BH482" s="31">
        <f t="shared" si="99"/>
        <v>0</v>
      </c>
      <c r="BI482" s="31">
        <f t="shared" si="100"/>
        <v>0</v>
      </c>
      <c r="BJ482" s="33">
        <f t="shared" si="101"/>
        <v>0</v>
      </c>
      <c r="BK482" s="30"/>
      <c r="BL482" s="30"/>
      <c r="BM482" s="30"/>
      <c r="BN482" s="30"/>
      <c r="BO482" s="33">
        <f t="shared" si="85"/>
        <v>0</v>
      </c>
      <c r="BP482" s="30">
        <v>2</v>
      </c>
      <c r="BQ482" s="30">
        <v>5</v>
      </c>
      <c r="BR482" s="30"/>
      <c r="BS482" s="30"/>
      <c r="BT482" s="34">
        <f t="shared" si="96"/>
        <v>15.9</v>
      </c>
      <c r="BU482" s="34"/>
      <c r="BV482" s="34"/>
      <c r="BW482" s="34"/>
      <c r="BX482" s="34"/>
      <c r="BY482" s="30"/>
      <c r="BZ482" s="31">
        <f t="shared" si="87"/>
        <v>31.8</v>
      </c>
      <c r="CA482" s="31">
        <f t="shared" si="88"/>
        <v>79.5</v>
      </c>
    </row>
    <row r="483" spans="1:79" ht="34.5" x14ac:dyDescent="0.25">
      <c r="A483" s="67" t="s">
        <v>322</v>
      </c>
      <c r="B483" s="2">
        <v>471</v>
      </c>
      <c r="C483" s="48">
        <v>215</v>
      </c>
      <c r="D483" s="48">
        <v>131</v>
      </c>
      <c r="E483" s="50">
        <v>0.58194444444444449</v>
      </c>
      <c r="F483" s="50">
        <v>0.6166666666666667</v>
      </c>
      <c r="G483" s="51" t="s">
        <v>169</v>
      </c>
      <c r="H483" s="58" t="s">
        <v>824</v>
      </c>
      <c r="I483" s="48">
        <v>37</v>
      </c>
      <c r="J483" s="48">
        <v>40</v>
      </c>
      <c r="K483" s="22">
        <v>45</v>
      </c>
      <c r="L483" s="23">
        <f t="shared" si="95"/>
        <v>1665</v>
      </c>
      <c r="M483" s="24" t="s">
        <v>114</v>
      </c>
      <c r="N483" s="25" t="s">
        <v>770</v>
      </c>
      <c r="O483" s="25">
        <v>37</v>
      </c>
      <c r="P483" s="25" t="s">
        <v>117</v>
      </c>
      <c r="Q483" s="25">
        <v>29</v>
      </c>
      <c r="R483" s="25" t="s">
        <v>116</v>
      </c>
      <c r="S483" s="25">
        <v>45</v>
      </c>
      <c r="T483" s="26">
        <v>2323</v>
      </c>
      <c r="U483" s="26" t="s">
        <v>163</v>
      </c>
      <c r="V483" s="26">
        <v>2290</v>
      </c>
      <c r="W483" s="26" t="s">
        <v>118</v>
      </c>
      <c r="X483" s="27">
        <v>44816</v>
      </c>
      <c r="Y483" s="27">
        <v>45100</v>
      </c>
      <c r="Z483" s="27"/>
      <c r="AA483" s="27"/>
      <c r="AB483" s="26" t="s">
        <v>289</v>
      </c>
      <c r="AC483" s="26"/>
      <c r="AD483" s="28" t="s">
        <v>90</v>
      </c>
      <c r="AE483" s="28"/>
      <c r="AF483" s="28"/>
      <c r="AG483" s="28"/>
      <c r="AH483" s="28"/>
      <c r="AI483" s="28"/>
      <c r="AJ483" s="28"/>
      <c r="AK483" s="28"/>
      <c r="AL483" s="28"/>
      <c r="AM483" s="28"/>
      <c r="AN483" s="28" t="s">
        <v>90</v>
      </c>
      <c r="AO483" s="28"/>
      <c r="AP483" s="28"/>
      <c r="AQ483" s="28"/>
      <c r="AR483" s="28"/>
      <c r="AS483" s="28"/>
      <c r="AT483" s="28"/>
      <c r="AU483" s="28"/>
      <c r="AV483" s="28"/>
      <c r="AW483" s="28"/>
      <c r="AX483" s="31">
        <v>89</v>
      </c>
      <c r="AY483" s="31"/>
      <c r="AZ483" s="30"/>
      <c r="BA483" s="29"/>
      <c r="BB483" s="29"/>
      <c r="BC483" s="30"/>
      <c r="BD483" s="31">
        <f t="shared" si="98"/>
        <v>4005</v>
      </c>
      <c r="BE483" s="31"/>
      <c r="BF483" s="30"/>
      <c r="BG483" s="32">
        <v>2</v>
      </c>
      <c r="BH483" s="31">
        <f t="shared" si="99"/>
        <v>0</v>
      </c>
      <c r="BI483" s="31">
        <f t="shared" si="100"/>
        <v>22</v>
      </c>
      <c r="BJ483" s="33">
        <f t="shared" si="101"/>
        <v>990</v>
      </c>
      <c r="BK483" s="30"/>
      <c r="BL483" s="30"/>
      <c r="BM483" s="30"/>
      <c r="BN483" s="30"/>
      <c r="BO483" s="33">
        <f t="shared" si="85"/>
        <v>0</v>
      </c>
      <c r="BP483" s="30">
        <v>2</v>
      </c>
      <c r="BQ483" s="30">
        <v>5</v>
      </c>
      <c r="BR483" s="30"/>
      <c r="BS483" s="30"/>
      <c r="BT483" s="34">
        <f t="shared" si="96"/>
        <v>111</v>
      </c>
      <c r="BU483" s="34"/>
      <c r="BV483" s="34"/>
      <c r="BW483" s="34"/>
      <c r="BX483" s="34"/>
      <c r="BY483" s="30"/>
      <c r="BZ483" s="31">
        <f t="shared" si="87"/>
        <v>222</v>
      </c>
      <c r="CA483" s="31">
        <f t="shared" si="88"/>
        <v>555</v>
      </c>
    </row>
    <row r="484" spans="1:79" ht="90" x14ac:dyDescent="0.25">
      <c r="A484" s="17"/>
      <c r="B484" s="2">
        <v>472</v>
      </c>
      <c r="C484" s="37">
        <v>215</v>
      </c>
      <c r="D484" s="18">
        <v>349</v>
      </c>
      <c r="E484" s="19">
        <v>0.57986111111111105</v>
      </c>
      <c r="F484" s="19">
        <v>0.58958333333333335</v>
      </c>
      <c r="G484" s="117" t="s">
        <v>1069</v>
      </c>
      <c r="H484" s="18" t="s">
        <v>1081</v>
      </c>
      <c r="I484" s="20">
        <v>8.6999999999999993</v>
      </c>
      <c r="J484" s="40">
        <v>9</v>
      </c>
      <c r="K484" s="22">
        <v>70</v>
      </c>
      <c r="L484" s="23">
        <f t="shared" si="95"/>
        <v>609</v>
      </c>
      <c r="M484" s="24" t="s">
        <v>170</v>
      </c>
      <c r="N484" s="25" t="s">
        <v>1046</v>
      </c>
      <c r="O484" s="25">
        <v>9</v>
      </c>
      <c r="P484" s="25" t="s">
        <v>1012</v>
      </c>
      <c r="Q484" s="25">
        <v>17</v>
      </c>
      <c r="R484" s="25" t="s">
        <v>1047</v>
      </c>
      <c r="S484" s="35">
        <v>9</v>
      </c>
      <c r="T484" s="26" t="s">
        <v>1070</v>
      </c>
      <c r="U484" s="26" t="s">
        <v>1071</v>
      </c>
      <c r="V484" s="26">
        <v>2327</v>
      </c>
      <c r="W484" s="26" t="s">
        <v>1025</v>
      </c>
      <c r="X484" s="66">
        <v>44816</v>
      </c>
      <c r="Y484" s="66">
        <v>45086</v>
      </c>
      <c r="Z484" s="66"/>
      <c r="AA484" s="66"/>
      <c r="AB484" s="62" t="s">
        <v>1082</v>
      </c>
      <c r="AC484" s="62"/>
      <c r="AD484" s="28"/>
      <c r="AE484" s="28"/>
      <c r="AF484" s="28"/>
      <c r="AG484" s="28" t="s">
        <v>90</v>
      </c>
      <c r="AH484" s="28"/>
      <c r="AI484" s="28"/>
      <c r="AJ484" s="28"/>
      <c r="AK484" s="28" t="s">
        <v>90</v>
      </c>
      <c r="AL484" s="28" t="s">
        <v>90</v>
      </c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31">
        <f>I484*3</f>
        <v>26.099999999999998</v>
      </c>
      <c r="AY484" s="31"/>
      <c r="AZ484" s="30"/>
      <c r="BA484" s="31"/>
      <c r="BB484" s="31"/>
      <c r="BC484" s="30"/>
      <c r="BD484" s="31">
        <f t="shared" si="98"/>
        <v>1826.9999999999998</v>
      </c>
      <c r="BE484" s="31"/>
      <c r="BF484" s="30"/>
      <c r="BG484" s="36">
        <v>1</v>
      </c>
      <c r="BH484" s="31">
        <f t="shared" si="99"/>
        <v>0</v>
      </c>
      <c r="BI484" s="31">
        <f t="shared" si="100"/>
        <v>0</v>
      </c>
      <c r="BJ484" s="33">
        <f t="shared" si="101"/>
        <v>0</v>
      </c>
      <c r="BK484" s="30"/>
      <c r="BL484" s="30"/>
      <c r="BM484" s="30"/>
      <c r="BN484" s="30"/>
      <c r="BO484" s="33">
        <f t="shared" si="85"/>
        <v>0</v>
      </c>
      <c r="BP484" s="30">
        <v>6</v>
      </c>
      <c r="BQ484" s="30">
        <v>8</v>
      </c>
      <c r="BR484" s="30"/>
      <c r="BS484" s="30"/>
      <c r="BT484" s="34">
        <f t="shared" si="96"/>
        <v>26.099999999999998</v>
      </c>
      <c r="BU484" s="34"/>
      <c r="BV484" s="34"/>
      <c r="BW484" s="34"/>
      <c r="BX484" s="34"/>
      <c r="BY484" s="30"/>
      <c r="BZ484" s="31">
        <f t="shared" si="87"/>
        <v>156.6</v>
      </c>
      <c r="CA484" s="31">
        <f t="shared" si="88"/>
        <v>208.79999999999998</v>
      </c>
    </row>
    <row r="485" spans="1:79" ht="90" x14ac:dyDescent="0.25">
      <c r="A485" s="17"/>
      <c r="B485" s="2">
        <v>473</v>
      </c>
      <c r="C485" s="18">
        <v>215</v>
      </c>
      <c r="D485" s="18">
        <v>38</v>
      </c>
      <c r="E485" s="19">
        <v>0.58472222222222225</v>
      </c>
      <c r="F485" s="19">
        <v>0.58888888888888891</v>
      </c>
      <c r="G485" s="18" t="s">
        <v>1083</v>
      </c>
      <c r="H485" s="18" t="s">
        <v>1011</v>
      </c>
      <c r="I485" s="20">
        <v>6</v>
      </c>
      <c r="J485" s="21" t="s">
        <v>463</v>
      </c>
      <c r="K485" s="22">
        <f>174-36</f>
        <v>138</v>
      </c>
      <c r="L485" s="23">
        <f t="shared" si="95"/>
        <v>828</v>
      </c>
      <c r="M485" s="24" t="s">
        <v>170</v>
      </c>
      <c r="N485" s="25" t="s">
        <v>1002</v>
      </c>
      <c r="O485" s="25">
        <v>18</v>
      </c>
      <c r="P485" s="25" t="s">
        <v>1012</v>
      </c>
      <c r="Q485" s="25">
        <v>17</v>
      </c>
      <c r="R485" s="25" t="s">
        <v>1013</v>
      </c>
      <c r="S485" s="35">
        <v>24</v>
      </c>
      <c r="T485" s="26" t="s">
        <v>1014</v>
      </c>
      <c r="U485" s="26" t="s">
        <v>997</v>
      </c>
      <c r="V485" s="26">
        <v>2323</v>
      </c>
      <c r="W485" s="26" t="s">
        <v>163</v>
      </c>
      <c r="X485" s="66">
        <v>44816</v>
      </c>
      <c r="Y485" s="66">
        <v>45086</v>
      </c>
      <c r="Z485" s="66"/>
      <c r="AA485" s="66"/>
      <c r="AB485" s="26" t="s">
        <v>1015</v>
      </c>
      <c r="AC485" s="26"/>
      <c r="AD485" s="28"/>
      <c r="AE485" s="28"/>
      <c r="AF485" s="28"/>
      <c r="AG485" s="28" t="s">
        <v>90</v>
      </c>
      <c r="AH485" s="28" t="s">
        <v>90</v>
      </c>
      <c r="AI485" s="28" t="s">
        <v>90</v>
      </c>
      <c r="AJ485" s="28"/>
      <c r="AK485" s="28" t="s">
        <v>90</v>
      </c>
      <c r="AL485" s="28" t="s">
        <v>90</v>
      </c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9">
        <v>18</v>
      </c>
      <c r="AY485" s="31"/>
      <c r="AZ485" s="30"/>
      <c r="BA485" s="29"/>
      <c r="BB485" s="29"/>
      <c r="BC485" s="30"/>
      <c r="BD485" s="31">
        <f t="shared" si="98"/>
        <v>2484</v>
      </c>
      <c r="BE485" s="31"/>
      <c r="BF485" s="30"/>
      <c r="BG485" s="36">
        <v>1</v>
      </c>
      <c r="BH485" s="31">
        <f t="shared" si="99"/>
        <v>0</v>
      </c>
      <c r="BI485" s="31">
        <f t="shared" si="100"/>
        <v>0</v>
      </c>
      <c r="BJ485" s="33">
        <f t="shared" si="101"/>
        <v>0</v>
      </c>
      <c r="BK485" s="30"/>
      <c r="BL485" s="30"/>
      <c r="BM485" s="30"/>
      <c r="BN485" s="30"/>
      <c r="BO485" s="33">
        <f t="shared" si="85"/>
        <v>0</v>
      </c>
      <c r="BP485" s="30">
        <v>12</v>
      </c>
      <c r="BQ485" s="30">
        <v>16</v>
      </c>
      <c r="BR485" s="30"/>
      <c r="BS485" s="30"/>
      <c r="BT485" s="34">
        <f t="shared" si="96"/>
        <v>18</v>
      </c>
      <c r="BU485" s="34"/>
      <c r="BV485" s="34"/>
      <c r="BW485" s="34"/>
      <c r="BX485" s="34"/>
      <c r="BY485" s="30"/>
      <c r="BZ485" s="31">
        <f t="shared" si="87"/>
        <v>216</v>
      </c>
      <c r="CA485" s="31">
        <f t="shared" si="88"/>
        <v>288</v>
      </c>
    </row>
    <row r="486" spans="1:79" ht="63.75" x14ac:dyDescent="0.25">
      <c r="A486" s="25"/>
      <c r="B486" s="2">
        <v>474</v>
      </c>
      <c r="C486" s="18">
        <v>215</v>
      </c>
      <c r="D486" s="21">
        <v>478</v>
      </c>
      <c r="E486" s="19">
        <v>0.58611111111111114</v>
      </c>
      <c r="F486" s="19">
        <v>0.58888888888888891</v>
      </c>
      <c r="G486" s="18" t="s">
        <v>1084</v>
      </c>
      <c r="H486" s="18" t="s">
        <v>273</v>
      </c>
      <c r="I486" s="20">
        <v>2.5</v>
      </c>
      <c r="J486" s="21" t="s">
        <v>380</v>
      </c>
      <c r="K486" s="22">
        <v>174</v>
      </c>
      <c r="L486" s="23">
        <f t="shared" si="95"/>
        <v>435</v>
      </c>
      <c r="M486" s="24" t="s">
        <v>165</v>
      </c>
      <c r="N486" s="25" t="s">
        <v>973</v>
      </c>
      <c r="O486" s="25">
        <v>9</v>
      </c>
      <c r="P486" s="25" t="s">
        <v>974</v>
      </c>
      <c r="Q486" s="25">
        <v>9</v>
      </c>
      <c r="R486" s="25" t="s">
        <v>368</v>
      </c>
      <c r="S486" s="35">
        <v>21</v>
      </c>
      <c r="T486" s="26">
        <v>2305</v>
      </c>
      <c r="U486" s="26" t="s">
        <v>987</v>
      </c>
      <c r="V486" s="26">
        <v>2307</v>
      </c>
      <c r="W486" s="26" t="s">
        <v>1058</v>
      </c>
      <c r="X486" s="66">
        <v>44816</v>
      </c>
      <c r="Y486" s="66">
        <v>45086</v>
      </c>
      <c r="Z486" s="66"/>
      <c r="AA486" s="66"/>
      <c r="AB486" s="26" t="s">
        <v>282</v>
      </c>
      <c r="AC486" s="26"/>
      <c r="AD486" s="28"/>
      <c r="AE486" s="28"/>
      <c r="AF486" s="28"/>
      <c r="AG486" s="28" t="s">
        <v>90</v>
      </c>
      <c r="AH486" s="28" t="s">
        <v>90</v>
      </c>
      <c r="AI486" s="28" t="s">
        <v>90</v>
      </c>
      <c r="AJ486" s="28" t="s">
        <v>90</v>
      </c>
      <c r="AK486" s="28" t="s">
        <v>90</v>
      </c>
      <c r="AL486" s="28" t="s">
        <v>90</v>
      </c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9">
        <v>4.5</v>
      </c>
      <c r="AY486" s="31"/>
      <c r="AZ486" s="30"/>
      <c r="BA486" s="29"/>
      <c r="BB486" s="29"/>
      <c r="BC486" s="30"/>
      <c r="BD486" s="31">
        <f t="shared" si="98"/>
        <v>783</v>
      </c>
      <c r="BE486" s="31"/>
      <c r="BF486" s="30"/>
      <c r="BG486" s="36">
        <v>1</v>
      </c>
      <c r="BH486" s="31">
        <f t="shared" si="99"/>
        <v>0.5</v>
      </c>
      <c r="BI486" s="31">
        <f t="shared" si="100"/>
        <v>0</v>
      </c>
      <c r="BJ486" s="31">
        <f t="shared" si="101"/>
        <v>87</v>
      </c>
      <c r="BK486" s="30"/>
      <c r="BL486" s="30"/>
      <c r="BM486" s="30"/>
      <c r="BN486" s="30"/>
      <c r="BO486" s="33">
        <f t="shared" si="85"/>
        <v>0</v>
      </c>
      <c r="BP486" s="30">
        <v>15</v>
      </c>
      <c r="BQ486" s="30">
        <v>20</v>
      </c>
      <c r="BR486" s="30"/>
      <c r="BS486" s="30"/>
      <c r="BT486" s="34">
        <f t="shared" si="96"/>
        <v>5</v>
      </c>
      <c r="BU486" s="34"/>
      <c r="BV486" s="34"/>
      <c r="BW486" s="34"/>
      <c r="BX486" s="34"/>
      <c r="BY486" s="30"/>
      <c r="BZ486" s="31">
        <f t="shared" si="87"/>
        <v>75</v>
      </c>
      <c r="CA486" s="31">
        <f t="shared" si="88"/>
        <v>100</v>
      </c>
    </row>
    <row r="487" spans="1:79" ht="90" x14ac:dyDescent="0.25">
      <c r="A487" s="17"/>
      <c r="B487" s="2">
        <v>475</v>
      </c>
      <c r="C487" s="58">
        <v>225</v>
      </c>
      <c r="D487" s="18">
        <v>441</v>
      </c>
      <c r="E487" s="19">
        <v>0.59027777777777779</v>
      </c>
      <c r="F487" s="19">
        <v>0.60069444444444442</v>
      </c>
      <c r="G487" s="18" t="s">
        <v>1074</v>
      </c>
      <c r="H487" s="18" t="s">
        <v>273</v>
      </c>
      <c r="I487" s="20">
        <v>6</v>
      </c>
      <c r="J487" s="21" t="s">
        <v>541</v>
      </c>
      <c r="K487" s="22">
        <v>174</v>
      </c>
      <c r="L487" s="23">
        <f t="shared" si="95"/>
        <v>1044</v>
      </c>
      <c r="M487" s="24" t="s">
        <v>170</v>
      </c>
      <c r="N487" s="25" t="s">
        <v>1003</v>
      </c>
      <c r="O487" s="25">
        <v>17</v>
      </c>
      <c r="P487" s="25" t="s">
        <v>1047</v>
      </c>
      <c r="Q487" s="25">
        <v>9</v>
      </c>
      <c r="R487" s="25" t="s">
        <v>1013</v>
      </c>
      <c r="S487" s="35">
        <v>24</v>
      </c>
      <c r="T487" s="26">
        <v>2311</v>
      </c>
      <c r="U487" s="26" t="s">
        <v>1042</v>
      </c>
      <c r="V487" s="26">
        <v>2312</v>
      </c>
      <c r="W487" s="26" t="s">
        <v>1041</v>
      </c>
      <c r="X487" s="66">
        <v>44816</v>
      </c>
      <c r="Y487" s="66">
        <v>45086</v>
      </c>
      <c r="Z487" s="66"/>
      <c r="AA487" s="66"/>
      <c r="AB487" s="26" t="s">
        <v>282</v>
      </c>
      <c r="AC487" s="26"/>
      <c r="AD487" s="28"/>
      <c r="AE487" s="28"/>
      <c r="AF487" s="28"/>
      <c r="AG487" s="28" t="s">
        <v>90</v>
      </c>
      <c r="AH487" s="28" t="s">
        <v>90</v>
      </c>
      <c r="AI487" s="28" t="s">
        <v>90</v>
      </c>
      <c r="AJ487" s="28" t="s">
        <v>90</v>
      </c>
      <c r="AK487" s="28" t="s">
        <v>90</v>
      </c>
      <c r="AL487" s="28" t="s">
        <v>90</v>
      </c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9">
        <v>31.3</v>
      </c>
      <c r="AY487" s="31"/>
      <c r="AZ487" s="30"/>
      <c r="BA487" s="29"/>
      <c r="BB487" s="29"/>
      <c r="BC487" s="30"/>
      <c r="BD487" s="31">
        <f t="shared" si="98"/>
        <v>5446.2</v>
      </c>
      <c r="BE487" s="31"/>
      <c r="BF487" s="30"/>
      <c r="BG487" s="36">
        <v>1</v>
      </c>
      <c r="BH487" s="31">
        <f t="shared" si="99"/>
        <v>0</v>
      </c>
      <c r="BI487" s="31">
        <f t="shared" si="100"/>
        <v>0</v>
      </c>
      <c r="BJ487" s="33">
        <f t="shared" si="101"/>
        <v>0</v>
      </c>
      <c r="BK487" s="30"/>
      <c r="BL487" s="30"/>
      <c r="BM487" s="30"/>
      <c r="BN487" s="30"/>
      <c r="BO487" s="33">
        <f t="shared" si="85"/>
        <v>0</v>
      </c>
      <c r="BP487" s="30">
        <v>15</v>
      </c>
      <c r="BQ487" s="30">
        <v>20</v>
      </c>
      <c r="BR487" s="30"/>
      <c r="BS487" s="30"/>
      <c r="BT487" s="34">
        <f t="shared" si="96"/>
        <v>31.3</v>
      </c>
      <c r="BU487" s="34"/>
      <c r="BV487" s="34"/>
      <c r="BW487" s="34"/>
      <c r="BX487" s="34"/>
      <c r="BY487" s="30"/>
      <c r="BZ487" s="31">
        <f t="shared" si="87"/>
        <v>469.5</v>
      </c>
      <c r="CA487" s="31">
        <f t="shared" si="88"/>
        <v>626</v>
      </c>
    </row>
    <row r="488" spans="1:79" ht="51" x14ac:dyDescent="0.25">
      <c r="A488" s="17"/>
      <c r="B488" s="2">
        <v>476</v>
      </c>
      <c r="C488" s="48">
        <v>215</v>
      </c>
      <c r="D488" s="48">
        <v>142</v>
      </c>
      <c r="E488" s="49">
        <v>0.59930555555555554</v>
      </c>
      <c r="F488" s="49">
        <v>0.64097222222222217</v>
      </c>
      <c r="G488" s="51" t="s">
        <v>164</v>
      </c>
      <c r="H488" s="18" t="s">
        <v>1085</v>
      </c>
      <c r="I488" s="48">
        <v>38</v>
      </c>
      <c r="J488" s="52">
        <v>40</v>
      </c>
      <c r="K488" s="22">
        <v>3</v>
      </c>
      <c r="L488" s="23">
        <f t="shared" si="95"/>
        <v>114</v>
      </c>
      <c r="M488" s="24" t="s">
        <v>160</v>
      </c>
      <c r="N488" s="25" t="s">
        <v>161</v>
      </c>
      <c r="O488" s="25">
        <v>54</v>
      </c>
      <c r="P488" s="25" t="s">
        <v>162</v>
      </c>
      <c r="Q488" s="25">
        <v>56</v>
      </c>
      <c r="R488" s="25"/>
      <c r="S488" s="25"/>
      <c r="T488" s="26">
        <v>2290</v>
      </c>
      <c r="U488" s="26" t="s">
        <v>118</v>
      </c>
      <c r="V488" s="26">
        <v>2323</v>
      </c>
      <c r="W488" s="26" t="s">
        <v>163</v>
      </c>
      <c r="X488" s="27">
        <v>44816</v>
      </c>
      <c r="Y488" s="27">
        <v>45100</v>
      </c>
      <c r="Z488" s="27"/>
      <c r="AA488" s="27"/>
      <c r="AB488" s="26" t="s">
        <v>1086</v>
      </c>
      <c r="AC488" s="26"/>
      <c r="AD488" s="28" t="s">
        <v>90</v>
      </c>
      <c r="AE488" s="28"/>
      <c r="AF488" s="28" t="s">
        <v>90</v>
      </c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 t="s">
        <v>90</v>
      </c>
      <c r="AX488" s="31"/>
      <c r="AY488" s="31"/>
      <c r="AZ488" s="30"/>
      <c r="BA488" s="55" t="s">
        <v>1087</v>
      </c>
      <c r="BB488" s="55"/>
      <c r="BC488" s="30"/>
      <c r="BD488" s="31">
        <f t="shared" si="98"/>
        <v>0</v>
      </c>
      <c r="BE488" s="30"/>
      <c r="BF488" s="30"/>
      <c r="BG488" s="32">
        <v>2</v>
      </c>
      <c r="BH488" s="30"/>
      <c r="BI488" s="31"/>
      <c r="BJ488" s="30"/>
      <c r="BK488" s="30"/>
      <c r="BL488" s="30"/>
      <c r="BM488" s="30"/>
      <c r="BN488" s="30"/>
      <c r="BO488" s="33">
        <f t="shared" si="85"/>
        <v>0</v>
      </c>
      <c r="BP488" s="30">
        <v>0</v>
      </c>
      <c r="BQ488" s="30">
        <v>0</v>
      </c>
      <c r="BR488" s="30"/>
      <c r="BS488" s="30"/>
      <c r="BT488" s="34">
        <f t="shared" si="96"/>
        <v>0</v>
      </c>
      <c r="BU488" s="34" t="s">
        <v>1086</v>
      </c>
      <c r="BV488" s="30">
        <v>0</v>
      </c>
      <c r="BW488" s="30">
        <v>0</v>
      </c>
      <c r="BX488" s="34">
        <v>220</v>
      </c>
      <c r="BY488" s="30"/>
      <c r="BZ488" s="31">
        <f t="shared" si="87"/>
        <v>0</v>
      </c>
      <c r="CA488" s="31">
        <f t="shared" si="88"/>
        <v>0</v>
      </c>
    </row>
    <row r="489" spans="1:79" ht="90" x14ac:dyDescent="0.25">
      <c r="A489" s="17"/>
      <c r="B489" s="2">
        <v>477</v>
      </c>
      <c r="C489" s="18">
        <v>215</v>
      </c>
      <c r="D489" s="18">
        <v>604</v>
      </c>
      <c r="E489" s="19">
        <v>0.60416666666666663</v>
      </c>
      <c r="F489" s="19">
        <v>0.60972222222222217</v>
      </c>
      <c r="G489" s="18" t="s">
        <v>1077</v>
      </c>
      <c r="H489" s="18" t="s">
        <v>1088</v>
      </c>
      <c r="I489" s="20">
        <v>5.3</v>
      </c>
      <c r="J489" s="21" t="s">
        <v>516</v>
      </c>
      <c r="K489" s="22">
        <f>33+36</f>
        <v>69</v>
      </c>
      <c r="L489" s="23">
        <f t="shared" si="95"/>
        <v>365.7</v>
      </c>
      <c r="M489" s="24" t="s">
        <v>170</v>
      </c>
      <c r="N489" s="25" t="s">
        <v>1012</v>
      </c>
      <c r="O489" s="25">
        <v>17</v>
      </c>
      <c r="P489" s="25" t="s">
        <v>1024</v>
      </c>
      <c r="Q489" s="25">
        <v>9</v>
      </c>
      <c r="R489" s="25" t="s">
        <v>1047</v>
      </c>
      <c r="S489" s="35">
        <v>9</v>
      </c>
      <c r="T489" s="26">
        <v>2323</v>
      </c>
      <c r="U489" s="26" t="s">
        <v>163</v>
      </c>
      <c r="V489" s="26">
        <v>2327</v>
      </c>
      <c r="W489" s="26" t="s">
        <v>1025</v>
      </c>
      <c r="X489" s="66">
        <v>44816</v>
      </c>
      <c r="Y489" s="66">
        <v>45086</v>
      </c>
      <c r="Z489" s="66"/>
      <c r="AA489" s="66"/>
      <c r="AB489" s="26" t="s">
        <v>1089</v>
      </c>
      <c r="AC489" s="26"/>
      <c r="AD489" s="28"/>
      <c r="AE489" s="28"/>
      <c r="AF489" s="28"/>
      <c r="AG489" s="28" t="s">
        <v>90</v>
      </c>
      <c r="AH489" s="28" t="s">
        <v>90</v>
      </c>
      <c r="AI489" s="28"/>
      <c r="AJ489" s="28" t="s">
        <v>90</v>
      </c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9">
        <v>15.9</v>
      </c>
      <c r="AY489" s="31"/>
      <c r="AZ489" s="30"/>
      <c r="BA489" s="29"/>
      <c r="BB489" s="29"/>
      <c r="BC489" s="30"/>
      <c r="BD489" s="31">
        <f t="shared" si="98"/>
        <v>1097.1000000000001</v>
      </c>
      <c r="BE489" s="31"/>
      <c r="BF489" s="30"/>
      <c r="BG489" s="36">
        <v>1</v>
      </c>
      <c r="BH489" s="31">
        <f>IF(AND((AX489/I489)&lt;2,BG489=1),(I489*2)-AX489,0)</f>
        <v>0</v>
      </c>
      <c r="BI489" s="31">
        <f>IF(AND((AX489/I489)&lt;3,BG489=2),(I489*3)-AX489,0)</f>
        <v>0</v>
      </c>
      <c r="BJ489" s="33">
        <f>(BH489+BI489)*K489</f>
        <v>0</v>
      </c>
      <c r="BK489" s="30"/>
      <c r="BL489" s="30"/>
      <c r="BM489" s="30"/>
      <c r="BN489" s="30"/>
      <c r="BO489" s="33">
        <f t="shared" si="85"/>
        <v>0</v>
      </c>
      <c r="BP489" s="30">
        <v>6</v>
      </c>
      <c r="BQ489" s="30">
        <v>8</v>
      </c>
      <c r="BR489" s="30"/>
      <c r="BS489" s="30"/>
      <c r="BT489" s="34">
        <f t="shared" si="96"/>
        <v>15.9</v>
      </c>
      <c r="BU489" s="34"/>
      <c r="BV489" s="34"/>
      <c r="BW489" s="34"/>
      <c r="BX489" s="34"/>
      <c r="BY489" s="30"/>
      <c r="BZ489" s="31">
        <f t="shared" si="87"/>
        <v>95.4</v>
      </c>
      <c r="CA489" s="31">
        <f t="shared" si="88"/>
        <v>127.2</v>
      </c>
    </row>
    <row r="490" spans="1:79" ht="90" x14ac:dyDescent="0.25">
      <c r="A490" s="17"/>
      <c r="B490" s="2">
        <v>478</v>
      </c>
      <c r="C490" s="58">
        <v>215</v>
      </c>
      <c r="D490" s="18">
        <v>610</v>
      </c>
      <c r="E490" s="19">
        <v>0.60555555555555551</v>
      </c>
      <c r="F490" s="19">
        <v>0.61597222222222225</v>
      </c>
      <c r="G490" s="18" t="s">
        <v>1090</v>
      </c>
      <c r="H490" s="18" t="s">
        <v>273</v>
      </c>
      <c r="I490" s="20">
        <v>9</v>
      </c>
      <c r="J490" s="21">
        <v>16</v>
      </c>
      <c r="K490" s="22">
        <v>174</v>
      </c>
      <c r="L490" s="23">
        <f t="shared" si="95"/>
        <v>1566</v>
      </c>
      <c r="M490" s="24" t="s">
        <v>170</v>
      </c>
      <c r="N490" s="25" t="s">
        <v>1003</v>
      </c>
      <c r="O490" s="25">
        <v>17</v>
      </c>
      <c r="P490" s="25" t="s">
        <v>1012</v>
      </c>
      <c r="Q490" s="25">
        <v>17</v>
      </c>
      <c r="R490" s="25" t="s">
        <v>1047</v>
      </c>
      <c r="S490" s="35">
        <v>9</v>
      </c>
      <c r="T490" s="26" t="s">
        <v>1014</v>
      </c>
      <c r="U490" s="26" t="s">
        <v>997</v>
      </c>
      <c r="V490" s="26">
        <v>2323</v>
      </c>
      <c r="W490" s="26" t="s">
        <v>163</v>
      </c>
      <c r="X490" s="66">
        <v>44816</v>
      </c>
      <c r="Y490" s="66">
        <v>45086</v>
      </c>
      <c r="Z490" s="66"/>
      <c r="AA490" s="66"/>
      <c r="AB490" s="26" t="s">
        <v>282</v>
      </c>
      <c r="AC490" s="26"/>
      <c r="AD490" s="28"/>
      <c r="AE490" s="28"/>
      <c r="AF490" s="28"/>
      <c r="AG490" s="28" t="s">
        <v>90</v>
      </c>
      <c r="AH490" s="28" t="s">
        <v>90</v>
      </c>
      <c r="AI490" s="28" t="s">
        <v>90</v>
      </c>
      <c r="AJ490" s="28" t="s">
        <v>90</v>
      </c>
      <c r="AK490" s="28" t="s">
        <v>90</v>
      </c>
      <c r="AL490" s="28" t="s">
        <v>90</v>
      </c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9">
        <v>16.2</v>
      </c>
      <c r="AY490" s="31"/>
      <c r="AZ490" s="30"/>
      <c r="BA490" s="29"/>
      <c r="BB490" s="29"/>
      <c r="BC490" s="30"/>
      <c r="BD490" s="31">
        <f t="shared" si="98"/>
        <v>2818.7999999999997</v>
      </c>
      <c r="BE490" s="31"/>
      <c r="BF490" s="30"/>
      <c r="BG490" s="36">
        <v>1</v>
      </c>
      <c r="BH490" s="31">
        <f>IF(AND((AX490/I490)&lt;2,BG490=1),(I490*2)-AX490,0)</f>
        <v>1.8000000000000007</v>
      </c>
      <c r="BI490" s="31">
        <f>IF(AND((AX490/I490)&lt;3,BG490=2),(I490*3)-AX490,0)</f>
        <v>0</v>
      </c>
      <c r="BJ490" s="31">
        <f>(BH490+BI490)*K490</f>
        <v>313.2000000000001</v>
      </c>
      <c r="BK490" s="30"/>
      <c r="BL490" s="30"/>
      <c r="BM490" s="30"/>
      <c r="BN490" s="30"/>
      <c r="BO490" s="33">
        <f t="shared" si="85"/>
        <v>0</v>
      </c>
      <c r="BP490" s="30">
        <v>15</v>
      </c>
      <c r="BQ490" s="30">
        <v>20</v>
      </c>
      <c r="BR490" s="30"/>
      <c r="BS490" s="30"/>
      <c r="BT490" s="34">
        <f t="shared" si="96"/>
        <v>18</v>
      </c>
      <c r="BU490" s="34"/>
      <c r="BV490" s="34"/>
      <c r="BW490" s="34"/>
      <c r="BX490" s="34"/>
      <c r="BY490" s="30"/>
      <c r="BZ490" s="31">
        <f t="shared" si="87"/>
        <v>270</v>
      </c>
      <c r="CA490" s="31">
        <f t="shared" si="88"/>
        <v>360</v>
      </c>
    </row>
    <row r="491" spans="1:79" ht="51" x14ac:dyDescent="0.25">
      <c r="A491" s="17"/>
      <c r="B491" s="2">
        <v>479</v>
      </c>
      <c r="C491" s="18">
        <v>215</v>
      </c>
      <c r="D491" s="21">
        <v>40</v>
      </c>
      <c r="E491" s="19">
        <v>0.6118055555555556</v>
      </c>
      <c r="F491" s="19">
        <v>0.62013888888888891</v>
      </c>
      <c r="G491" s="18" t="s">
        <v>1091</v>
      </c>
      <c r="H491" s="18" t="s">
        <v>294</v>
      </c>
      <c r="I491" s="20">
        <v>7.5</v>
      </c>
      <c r="J491" s="21" t="s">
        <v>93</v>
      </c>
      <c r="K491" s="22">
        <f>34+34+36+33</f>
        <v>137</v>
      </c>
      <c r="L491" s="23">
        <f t="shared" si="95"/>
        <v>1027.5</v>
      </c>
      <c r="M491" s="24" t="s">
        <v>165</v>
      </c>
      <c r="N491" s="25" t="s">
        <v>368</v>
      </c>
      <c r="O491" s="25">
        <v>21</v>
      </c>
      <c r="P491" s="25" t="s">
        <v>973</v>
      </c>
      <c r="Q491" s="25">
        <v>9</v>
      </c>
      <c r="R491" s="25" t="s">
        <v>974</v>
      </c>
      <c r="S491" s="35">
        <v>9</v>
      </c>
      <c r="T491" s="26">
        <v>2311</v>
      </c>
      <c r="U491" s="26" t="s">
        <v>1042</v>
      </c>
      <c r="V491" s="26">
        <v>2304</v>
      </c>
      <c r="W491" s="26" t="s">
        <v>978</v>
      </c>
      <c r="X491" s="66">
        <v>44816</v>
      </c>
      <c r="Y491" s="66">
        <v>45086</v>
      </c>
      <c r="Z491" s="66"/>
      <c r="AA491" s="66"/>
      <c r="AB491" s="62" t="s">
        <v>298</v>
      </c>
      <c r="AC491" s="62"/>
      <c r="AD491" s="28"/>
      <c r="AE491" s="28"/>
      <c r="AF491" s="28"/>
      <c r="AG491" s="28" t="s">
        <v>90</v>
      </c>
      <c r="AH491" s="28" t="s">
        <v>90</v>
      </c>
      <c r="AI491" s="28" t="s">
        <v>90</v>
      </c>
      <c r="AJ491" s="28" t="s">
        <v>90</v>
      </c>
      <c r="AK491" s="28" t="s">
        <v>90</v>
      </c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9">
        <v>13.5</v>
      </c>
      <c r="AY491" s="31"/>
      <c r="AZ491" s="30"/>
      <c r="BA491" s="29"/>
      <c r="BB491" s="29"/>
      <c r="BC491" s="30"/>
      <c r="BD491" s="31">
        <f t="shared" si="98"/>
        <v>1849.5</v>
      </c>
      <c r="BE491" s="31"/>
      <c r="BF491" s="30"/>
      <c r="BG491" s="36">
        <v>1</v>
      </c>
      <c r="BH491" s="31">
        <f>IF(AND((AX491/I491)&lt;2,BG491=1),(I491*2)-AX491,0)</f>
        <v>1.5</v>
      </c>
      <c r="BI491" s="31">
        <f>IF(AND((AX491/I491)&lt;3,BG491=2),(I491*3)-AX491,0)</f>
        <v>0</v>
      </c>
      <c r="BJ491" s="31">
        <f>(BH491+BI491)*K491</f>
        <v>205.5</v>
      </c>
      <c r="BK491" s="30"/>
      <c r="BL491" s="30"/>
      <c r="BM491" s="30"/>
      <c r="BN491" s="30"/>
      <c r="BO491" s="33">
        <f t="shared" si="85"/>
        <v>0</v>
      </c>
      <c r="BP491" s="30">
        <v>12</v>
      </c>
      <c r="BQ491" s="30">
        <v>16</v>
      </c>
      <c r="BR491" s="30"/>
      <c r="BS491" s="30"/>
      <c r="BT491" s="34">
        <f t="shared" si="96"/>
        <v>15</v>
      </c>
      <c r="BU491" s="34"/>
      <c r="BV491" s="34"/>
      <c r="BW491" s="34"/>
      <c r="BX491" s="34"/>
      <c r="BY491" s="30"/>
      <c r="BZ491" s="31">
        <f t="shared" si="87"/>
        <v>180</v>
      </c>
      <c r="CA491" s="31">
        <f t="shared" si="88"/>
        <v>240</v>
      </c>
    </row>
    <row r="492" spans="1:79" ht="90" x14ac:dyDescent="0.25">
      <c r="A492" s="17"/>
      <c r="B492" s="2">
        <v>480</v>
      </c>
      <c r="C492" s="37">
        <v>215</v>
      </c>
      <c r="D492" s="18">
        <v>349</v>
      </c>
      <c r="E492" s="19">
        <v>0.62152777777777779</v>
      </c>
      <c r="F492" s="19">
        <v>0.63124999999999998</v>
      </c>
      <c r="G492" s="117" t="s">
        <v>1069</v>
      </c>
      <c r="H492" s="18" t="s">
        <v>1092</v>
      </c>
      <c r="I492" s="20">
        <v>8.6999999999999993</v>
      </c>
      <c r="J492" s="40">
        <v>9</v>
      </c>
      <c r="K492" s="22">
        <v>103</v>
      </c>
      <c r="L492" s="23">
        <f t="shared" si="95"/>
        <v>896.09999999999991</v>
      </c>
      <c r="M492" s="24" t="s">
        <v>170</v>
      </c>
      <c r="N492" s="25" t="s">
        <v>1046</v>
      </c>
      <c r="O492" s="25">
        <v>9</v>
      </c>
      <c r="P492" s="25" t="s">
        <v>1012</v>
      </c>
      <c r="Q492" s="25">
        <v>17</v>
      </c>
      <c r="R492" s="25" t="s">
        <v>1047</v>
      </c>
      <c r="S492" s="35">
        <v>9</v>
      </c>
      <c r="T492" s="26" t="s">
        <v>1070</v>
      </c>
      <c r="U492" s="26" t="s">
        <v>1071</v>
      </c>
      <c r="V492" s="26">
        <v>2327</v>
      </c>
      <c r="W492" s="26" t="s">
        <v>1025</v>
      </c>
      <c r="X492" s="66">
        <v>44816</v>
      </c>
      <c r="Y492" s="66">
        <v>45086</v>
      </c>
      <c r="Z492" s="66"/>
      <c r="AA492" s="66"/>
      <c r="AB492" s="62" t="s">
        <v>1093</v>
      </c>
      <c r="AC492" s="62"/>
      <c r="AD492" s="28"/>
      <c r="AE492" s="28"/>
      <c r="AF492" s="28"/>
      <c r="AG492" s="28" t="s">
        <v>90</v>
      </c>
      <c r="AH492" s="28" t="s">
        <v>90</v>
      </c>
      <c r="AI492" s="28" t="s">
        <v>90</v>
      </c>
      <c r="AJ492" s="28" t="s">
        <v>90</v>
      </c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31">
        <f>I492*3</f>
        <v>26.099999999999998</v>
      </c>
      <c r="AY492" s="31"/>
      <c r="AZ492" s="30"/>
      <c r="BA492" s="31"/>
      <c r="BB492" s="31"/>
      <c r="BC492" s="30"/>
      <c r="BD492" s="31">
        <f t="shared" si="98"/>
        <v>2688.2999999999997</v>
      </c>
      <c r="BE492" s="31"/>
      <c r="BF492" s="30"/>
      <c r="BG492" s="36">
        <v>1</v>
      </c>
      <c r="BH492" s="31">
        <f>IF(AND((AX492/I492)&lt;2,BG492=1),(I492*2)-AX492,0)</f>
        <v>0</v>
      </c>
      <c r="BI492" s="31">
        <f>IF(AND((AX492/I492)&lt;3,BG492=2),(I492*3)-AX492,0)</f>
        <v>0</v>
      </c>
      <c r="BJ492" s="33">
        <f>(BH492+BI492)*K492</f>
        <v>0</v>
      </c>
      <c r="BK492" s="30"/>
      <c r="BL492" s="30"/>
      <c r="BM492" s="30"/>
      <c r="BN492" s="30"/>
      <c r="BO492" s="33">
        <f t="shared" si="85"/>
        <v>0</v>
      </c>
      <c r="BP492" s="30">
        <v>9</v>
      </c>
      <c r="BQ492" s="30">
        <v>12</v>
      </c>
      <c r="BR492" s="30"/>
      <c r="BS492" s="30"/>
      <c r="BT492" s="34">
        <f t="shared" si="96"/>
        <v>26.099999999999998</v>
      </c>
      <c r="BU492" s="34"/>
      <c r="BV492" s="34"/>
      <c r="BW492" s="34"/>
      <c r="BX492" s="34"/>
      <c r="BY492" s="30"/>
      <c r="BZ492" s="31">
        <f t="shared" si="87"/>
        <v>234.89999999999998</v>
      </c>
      <c r="CA492" s="31">
        <f t="shared" si="88"/>
        <v>313.2</v>
      </c>
    </row>
    <row r="493" spans="1:79" ht="38.25" x14ac:dyDescent="0.25">
      <c r="A493" s="17" t="s">
        <v>112</v>
      </c>
      <c r="B493" s="2">
        <v>481</v>
      </c>
      <c r="C493" s="37">
        <v>215</v>
      </c>
      <c r="D493" s="37">
        <v>142</v>
      </c>
      <c r="E493" s="38">
        <v>0.625</v>
      </c>
      <c r="F493" s="38">
        <v>0.66666666666666663</v>
      </c>
      <c r="G493" s="39" t="s">
        <v>164</v>
      </c>
      <c r="H493" s="18" t="s">
        <v>80</v>
      </c>
      <c r="I493" s="37">
        <v>37</v>
      </c>
      <c r="J493" s="40">
        <v>50</v>
      </c>
      <c r="K493" s="41">
        <v>67</v>
      </c>
      <c r="L493" s="23">
        <f t="shared" si="95"/>
        <v>2479</v>
      </c>
      <c r="M493" s="24" t="s">
        <v>165</v>
      </c>
      <c r="N493" s="25" t="s">
        <v>166</v>
      </c>
      <c r="O493" s="25">
        <v>57</v>
      </c>
      <c r="P493" s="25" t="s">
        <v>167</v>
      </c>
      <c r="Q493" s="25">
        <v>57</v>
      </c>
      <c r="R493" s="25" t="s">
        <v>174</v>
      </c>
      <c r="S493" s="35">
        <v>29</v>
      </c>
      <c r="T493" s="26">
        <v>2290</v>
      </c>
      <c r="U493" s="26" t="s">
        <v>118</v>
      </c>
      <c r="V493" s="26">
        <v>2323</v>
      </c>
      <c r="W493" s="26" t="s">
        <v>163</v>
      </c>
      <c r="X493" s="27">
        <v>44562</v>
      </c>
      <c r="Y493" s="27">
        <v>44815</v>
      </c>
      <c r="Z493" s="27">
        <v>45101</v>
      </c>
      <c r="AA493" s="27">
        <v>45169</v>
      </c>
      <c r="AB493" s="28" t="s">
        <v>89</v>
      </c>
      <c r="AC493" s="28"/>
      <c r="AD493" s="28"/>
      <c r="AE493" s="28" t="s">
        <v>90</v>
      </c>
      <c r="AF493" s="28" t="s">
        <v>90</v>
      </c>
      <c r="AG493" s="28"/>
      <c r="AH493" s="28" t="s">
        <v>90</v>
      </c>
      <c r="AI493" s="28" t="s">
        <v>90</v>
      </c>
      <c r="AJ493" s="28" t="s">
        <v>90</v>
      </c>
      <c r="AK493" s="28" t="s">
        <v>90</v>
      </c>
      <c r="AL493" s="28" t="s">
        <v>90</v>
      </c>
      <c r="AM493" s="28" t="s">
        <v>90</v>
      </c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31"/>
      <c r="AY493" s="31"/>
      <c r="AZ493" s="30"/>
      <c r="BA493" s="42"/>
      <c r="BB493" s="43" t="s">
        <v>165</v>
      </c>
      <c r="BC493" s="30"/>
      <c r="BD493" s="31">
        <f t="shared" si="98"/>
        <v>0</v>
      </c>
      <c r="BE493" s="30"/>
      <c r="BF493" s="30"/>
      <c r="BG493" s="32">
        <v>2</v>
      </c>
      <c r="BH493" s="30"/>
      <c r="BI493" s="31"/>
      <c r="BJ493" s="30"/>
      <c r="BK493" s="30"/>
      <c r="BL493" s="30"/>
      <c r="BM493" s="30"/>
      <c r="BN493" s="30"/>
      <c r="BO493" s="33">
        <f t="shared" si="85"/>
        <v>0</v>
      </c>
      <c r="BP493" s="30">
        <v>9</v>
      </c>
      <c r="BQ493" s="30">
        <v>0</v>
      </c>
      <c r="BR493" s="30"/>
      <c r="BS493" s="30"/>
      <c r="BT493" s="34">
        <f t="shared" si="96"/>
        <v>0</v>
      </c>
      <c r="BU493" s="34"/>
      <c r="BV493" s="34"/>
      <c r="BW493" s="34"/>
      <c r="BX493" s="34"/>
      <c r="BY493" s="30"/>
      <c r="BZ493" s="31">
        <f t="shared" si="87"/>
        <v>0</v>
      </c>
      <c r="CA493" s="31">
        <f t="shared" si="88"/>
        <v>0</v>
      </c>
    </row>
    <row r="494" spans="1:79" ht="38.25" x14ac:dyDescent="0.25">
      <c r="A494" s="17" t="s">
        <v>112</v>
      </c>
      <c r="B494" s="2">
        <v>482</v>
      </c>
      <c r="C494" s="37">
        <v>215</v>
      </c>
      <c r="D494" s="37">
        <v>133</v>
      </c>
      <c r="E494" s="38">
        <v>0.66527777777777775</v>
      </c>
      <c r="F494" s="38">
        <v>0.7055555555555556</v>
      </c>
      <c r="G494" s="39" t="s">
        <v>169</v>
      </c>
      <c r="H494" s="18" t="s">
        <v>80</v>
      </c>
      <c r="I494" s="37">
        <v>37</v>
      </c>
      <c r="J494" s="40">
        <v>50</v>
      </c>
      <c r="K494" s="41">
        <v>67</v>
      </c>
      <c r="L494" s="23">
        <f t="shared" si="95"/>
        <v>2479</v>
      </c>
      <c r="M494" s="24" t="s">
        <v>114</v>
      </c>
      <c r="N494" s="25" t="s">
        <v>115</v>
      </c>
      <c r="O494" s="25">
        <v>54</v>
      </c>
      <c r="P494" s="25" t="s">
        <v>116</v>
      </c>
      <c r="Q494" s="25">
        <v>45</v>
      </c>
      <c r="R494" s="25" t="s">
        <v>117</v>
      </c>
      <c r="S494" s="35">
        <v>28</v>
      </c>
      <c r="T494" s="26">
        <v>2323</v>
      </c>
      <c r="U494" s="26" t="s">
        <v>163</v>
      </c>
      <c r="V494" s="26">
        <v>2290</v>
      </c>
      <c r="W494" s="26" t="s">
        <v>118</v>
      </c>
      <c r="X494" s="27">
        <v>44562</v>
      </c>
      <c r="Y494" s="27">
        <v>44815</v>
      </c>
      <c r="Z494" s="27">
        <v>45101</v>
      </c>
      <c r="AA494" s="27">
        <v>45169</v>
      </c>
      <c r="AB494" s="28" t="s">
        <v>89</v>
      </c>
      <c r="AC494" s="28"/>
      <c r="AD494" s="28"/>
      <c r="AE494" s="28" t="s">
        <v>90</v>
      </c>
      <c r="AF494" s="28" t="s">
        <v>90</v>
      </c>
      <c r="AG494" s="28"/>
      <c r="AH494" s="28" t="s">
        <v>90</v>
      </c>
      <c r="AI494" s="28" t="s">
        <v>90</v>
      </c>
      <c r="AJ494" s="28" t="s">
        <v>90</v>
      </c>
      <c r="AK494" s="28" t="s">
        <v>90</v>
      </c>
      <c r="AL494" s="28" t="s">
        <v>90</v>
      </c>
      <c r="AM494" s="28" t="s">
        <v>90</v>
      </c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9"/>
      <c r="AY494" s="31"/>
      <c r="AZ494" s="30"/>
      <c r="BA494" s="42"/>
      <c r="BB494" s="43" t="s">
        <v>114</v>
      </c>
      <c r="BC494" s="30"/>
      <c r="BD494" s="31">
        <f t="shared" si="98"/>
        <v>0</v>
      </c>
      <c r="BE494" s="30"/>
      <c r="BF494" s="30"/>
      <c r="BG494" s="32">
        <v>2</v>
      </c>
      <c r="BH494" s="30"/>
      <c r="BI494" s="31"/>
      <c r="BJ494" s="30"/>
      <c r="BK494" s="30"/>
      <c r="BL494" s="30"/>
      <c r="BM494" s="30"/>
      <c r="BN494" s="30"/>
      <c r="BO494" s="33">
        <f t="shared" si="85"/>
        <v>0</v>
      </c>
      <c r="BP494" s="30">
        <v>9</v>
      </c>
      <c r="BQ494" s="30">
        <v>0</v>
      </c>
      <c r="BR494" s="30"/>
      <c r="BS494" s="30"/>
      <c r="BT494" s="34">
        <f t="shared" si="96"/>
        <v>0</v>
      </c>
      <c r="BU494" s="34"/>
      <c r="BV494" s="34"/>
      <c r="BW494" s="34"/>
      <c r="BX494" s="34"/>
      <c r="BY494" s="30"/>
      <c r="BZ494" s="31">
        <f t="shared" si="87"/>
        <v>0</v>
      </c>
      <c r="CA494" s="31">
        <f t="shared" si="88"/>
        <v>0</v>
      </c>
    </row>
    <row r="495" spans="1:79" ht="38.25" x14ac:dyDescent="0.25">
      <c r="A495" s="17" t="s">
        <v>147</v>
      </c>
      <c r="B495" s="2">
        <v>483</v>
      </c>
      <c r="C495" s="37">
        <v>215</v>
      </c>
      <c r="D495" s="87">
        <v>133</v>
      </c>
      <c r="E495" s="38">
        <v>0.66527777777777775</v>
      </c>
      <c r="F495" s="38">
        <v>0.7055555555555556</v>
      </c>
      <c r="G495" s="39" t="s">
        <v>169</v>
      </c>
      <c r="H495" s="18" t="s">
        <v>422</v>
      </c>
      <c r="I495" s="37">
        <v>37</v>
      </c>
      <c r="J495" s="40">
        <v>50</v>
      </c>
      <c r="K495" s="41">
        <v>240</v>
      </c>
      <c r="L495" s="23">
        <f t="shared" si="95"/>
        <v>8880</v>
      </c>
      <c r="M495" s="24" t="s">
        <v>165</v>
      </c>
      <c r="N495" s="25" t="s">
        <v>166</v>
      </c>
      <c r="O495" s="25">
        <v>57</v>
      </c>
      <c r="P495" s="25" t="s">
        <v>167</v>
      </c>
      <c r="Q495" s="25">
        <v>57</v>
      </c>
      <c r="R495" s="25" t="s">
        <v>775</v>
      </c>
      <c r="S495" s="25">
        <v>38</v>
      </c>
      <c r="T495" s="26">
        <v>2323</v>
      </c>
      <c r="U495" s="26" t="s">
        <v>163</v>
      </c>
      <c r="V495" s="26">
        <v>2290</v>
      </c>
      <c r="W495" s="26" t="s">
        <v>118</v>
      </c>
      <c r="X495" s="27">
        <v>44816</v>
      </c>
      <c r="Y495" s="27">
        <v>45100</v>
      </c>
      <c r="Z495" s="27"/>
      <c r="AA495" s="27"/>
      <c r="AB495" s="26" t="s">
        <v>423</v>
      </c>
      <c r="AC495" s="26"/>
      <c r="AD495" s="28" t="s">
        <v>90</v>
      </c>
      <c r="AE495" s="28"/>
      <c r="AF495" s="28" t="s">
        <v>90</v>
      </c>
      <c r="AG495" s="28"/>
      <c r="AH495" s="28" t="s">
        <v>90</v>
      </c>
      <c r="AI495" s="28" t="s">
        <v>90</v>
      </c>
      <c r="AJ495" s="28" t="s">
        <v>90</v>
      </c>
      <c r="AK495" s="28" t="s">
        <v>90</v>
      </c>
      <c r="AL495" s="28" t="s">
        <v>90</v>
      </c>
      <c r="AM495" s="28" t="s">
        <v>90</v>
      </c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9"/>
      <c r="AY495" s="31"/>
      <c r="AZ495" s="31">
        <f>3*I495</f>
        <v>111</v>
      </c>
      <c r="BA495" s="29"/>
      <c r="BB495" s="29"/>
      <c r="BC495" s="30"/>
      <c r="BD495" s="30"/>
      <c r="BE495" s="30"/>
      <c r="BF495" s="31">
        <f>AZ495*K495</f>
        <v>26640</v>
      </c>
      <c r="BG495" s="32">
        <v>2</v>
      </c>
      <c r="BH495" s="36"/>
      <c r="BI495" s="47"/>
      <c r="BJ495" s="36"/>
      <c r="BK495" s="36"/>
      <c r="BL495" s="36"/>
      <c r="BM495" s="36"/>
      <c r="BN495" s="30"/>
      <c r="BO495" s="33">
        <f t="shared" si="85"/>
        <v>0</v>
      </c>
      <c r="BP495" s="30">
        <v>17</v>
      </c>
      <c r="BQ495" s="30">
        <v>26</v>
      </c>
      <c r="BR495" s="30"/>
      <c r="BS495" s="30"/>
      <c r="BT495" s="34">
        <f t="shared" si="96"/>
        <v>111</v>
      </c>
      <c r="BU495" s="34"/>
      <c r="BV495" s="34"/>
      <c r="BW495" s="34"/>
      <c r="BX495" s="34"/>
      <c r="BY495" s="30"/>
      <c r="BZ495" s="31">
        <f t="shared" si="87"/>
        <v>1887</v>
      </c>
      <c r="CA495" s="31">
        <f t="shared" si="88"/>
        <v>2886</v>
      </c>
    </row>
    <row r="496" spans="1:79" ht="90" x14ac:dyDescent="0.25">
      <c r="A496" s="17"/>
      <c r="B496" s="2">
        <v>484</v>
      </c>
      <c r="C496" s="58">
        <v>225</v>
      </c>
      <c r="D496" s="18">
        <v>452</v>
      </c>
      <c r="E496" s="19">
        <v>0.70833333333333337</v>
      </c>
      <c r="F496" s="19">
        <v>0.71875</v>
      </c>
      <c r="G496" s="18" t="s">
        <v>1074</v>
      </c>
      <c r="H496" s="18" t="s">
        <v>294</v>
      </c>
      <c r="I496" s="20">
        <v>6</v>
      </c>
      <c r="J496" s="21" t="s">
        <v>541</v>
      </c>
      <c r="K496" s="22">
        <f>34+34+36+33</f>
        <v>137</v>
      </c>
      <c r="L496" s="23">
        <f t="shared" si="95"/>
        <v>822</v>
      </c>
      <c r="M496" s="24" t="s">
        <v>170</v>
      </c>
      <c r="N496" s="25" t="s">
        <v>1013</v>
      </c>
      <c r="O496" s="25">
        <v>24</v>
      </c>
      <c r="P496" s="25" t="s">
        <v>1012</v>
      </c>
      <c r="Q496" s="25">
        <v>17</v>
      </c>
      <c r="R496" s="25" t="s">
        <v>1003</v>
      </c>
      <c r="S496" s="35">
        <v>17</v>
      </c>
      <c r="T496" s="26">
        <v>2311</v>
      </c>
      <c r="U496" s="26" t="s">
        <v>1042</v>
      </c>
      <c r="V496" s="26">
        <v>2312</v>
      </c>
      <c r="W496" s="26" t="s">
        <v>1041</v>
      </c>
      <c r="X496" s="66">
        <v>44816</v>
      </c>
      <c r="Y496" s="66">
        <v>45086</v>
      </c>
      <c r="Z496" s="66"/>
      <c r="AA496" s="66"/>
      <c r="AB496" s="62" t="s">
        <v>298</v>
      </c>
      <c r="AC496" s="62"/>
      <c r="AD496" s="28"/>
      <c r="AE496" s="28"/>
      <c r="AF496" s="28"/>
      <c r="AG496" s="28" t="s">
        <v>90</v>
      </c>
      <c r="AH496" s="28" t="s">
        <v>90</v>
      </c>
      <c r="AI496" s="28" t="s">
        <v>90</v>
      </c>
      <c r="AJ496" s="28" t="s">
        <v>90</v>
      </c>
      <c r="AK496" s="28" t="s">
        <v>90</v>
      </c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9">
        <v>31.3</v>
      </c>
      <c r="AY496" s="31"/>
      <c r="AZ496" s="30"/>
      <c r="BA496" s="29"/>
      <c r="BB496" s="29"/>
      <c r="BC496" s="30"/>
      <c r="BD496" s="31">
        <f>AX496*K496</f>
        <v>4288.1000000000004</v>
      </c>
      <c r="BE496" s="31"/>
      <c r="BF496" s="30"/>
      <c r="BG496" s="36">
        <v>1</v>
      </c>
      <c r="BH496" s="31">
        <f>IF(AND((AX496/I496)&lt;2,BG496=1),(I496*2)-AX496,0)</f>
        <v>0</v>
      </c>
      <c r="BI496" s="31">
        <f>IF(AND((AX496/I496)&lt;3,BG496=2),(I496*3)-AX496,0)</f>
        <v>0</v>
      </c>
      <c r="BJ496" s="33">
        <f>(BH496+BI496)*K496</f>
        <v>0</v>
      </c>
      <c r="BK496" s="30"/>
      <c r="BL496" s="30"/>
      <c r="BM496" s="30"/>
      <c r="BN496" s="30"/>
      <c r="BO496" s="33">
        <f t="shared" si="85"/>
        <v>0</v>
      </c>
      <c r="BP496" s="30">
        <v>12</v>
      </c>
      <c r="BQ496" s="30">
        <v>16</v>
      </c>
      <c r="BR496" s="30"/>
      <c r="BS496" s="30"/>
      <c r="BT496" s="34">
        <f t="shared" si="96"/>
        <v>31.3</v>
      </c>
      <c r="BU496" s="34"/>
      <c r="BV496" s="34"/>
      <c r="BW496" s="34"/>
      <c r="BX496" s="34"/>
      <c r="BY496" s="30"/>
      <c r="BZ496" s="31">
        <f t="shared" si="87"/>
        <v>375.6</v>
      </c>
      <c r="CA496" s="31">
        <f t="shared" si="88"/>
        <v>500.8</v>
      </c>
    </row>
    <row r="497" spans="1:79" ht="38.25" x14ac:dyDescent="0.25">
      <c r="A497" s="17" t="s">
        <v>112</v>
      </c>
      <c r="B497" s="2">
        <v>485</v>
      </c>
      <c r="C497" s="37">
        <v>215</v>
      </c>
      <c r="D497" s="37">
        <v>146</v>
      </c>
      <c r="E497" s="38">
        <v>0.75763888888888886</v>
      </c>
      <c r="F497" s="38">
        <v>0.7993055555555556</v>
      </c>
      <c r="G497" s="39" t="s">
        <v>164</v>
      </c>
      <c r="H497" s="18" t="s">
        <v>80</v>
      </c>
      <c r="I497" s="37">
        <v>37</v>
      </c>
      <c r="J497" s="40">
        <v>50</v>
      </c>
      <c r="K497" s="41">
        <v>67</v>
      </c>
      <c r="L497" s="23">
        <f t="shared" si="95"/>
        <v>2479</v>
      </c>
      <c r="M497" s="24" t="s">
        <v>114</v>
      </c>
      <c r="N497" s="25" t="s">
        <v>115</v>
      </c>
      <c r="O497" s="25">
        <v>54</v>
      </c>
      <c r="P497" s="25" t="s">
        <v>116</v>
      </c>
      <c r="Q497" s="25">
        <v>45</v>
      </c>
      <c r="R497" s="25" t="s">
        <v>117</v>
      </c>
      <c r="S497" s="35">
        <v>28</v>
      </c>
      <c r="T497" s="26">
        <v>2290</v>
      </c>
      <c r="U497" s="26" t="s">
        <v>118</v>
      </c>
      <c r="V497" s="26">
        <v>2323</v>
      </c>
      <c r="W497" s="26" t="s">
        <v>163</v>
      </c>
      <c r="X497" s="27">
        <v>44562</v>
      </c>
      <c r="Y497" s="27">
        <v>44815</v>
      </c>
      <c r="Z497" s="27">
        <v>45101</v>
      </c>
      <c r="AA497" s="27">
        <v>45169</v>
      </c>
      <c r="AB497" s="28" t="s">
        <v>89</v>
      </c>
      <c r="AC497" s="28"/>
      <c r="AD497" s="28"/>
      <c r="AE497" s="28" t="s">
        <v>90</v>
      </c>
      <c r="AF497" s="28" t="s">
        <v>90</v>
      </c>
      <c r="AG497" s="28"/>
      <c r="AH497" s="28" t="s">
        <v>90</v>
      </c>
      <c r="AI497" s="28" t="s">
        <v>90</v>
      </c>
      <c r="AJ497" s="28" t="s">
        <v>90</v>
      </c>
      <c r="AK497" s="28" t="s">
        <v>90</v>
      </c>
      <c r="AL497" s="28" t="s">
        <v>90</v>
      </c>
      <c r="AM497" s="28" t="s">
        <v>90</v>
      </c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9"/>
      <c r="AY497" s="31"/>
      <c r="AZ497" s="30"/>
      <c r="BA497" s="42"/>
      <c r="BB497" s="43" t="s">
        <v>114</v>
      </c>
      <c r="BC497" s="30"/>
      <c r="BD497" s="31">
        <f>AX497*K497</f>
        <v>0</v>
      </c>
      <c r="BE497" s="30"/>
      <c r="BF497" s="30"/>
      <c r="BG497" s="32">
        <v>2</v>
      </c>
      <c r="BH497" s="30"/>
      <c r="BI497" s="31"/>
      <c r="BJ497" s="30"/>
      <c r="BK497" s="30"/>
      <c r="BL497" s="30"/>
      <c r="BM497" s="30"/>
      <c r="BN497" s="30"/>
      <c r="BO497" s="33">
        <f t="shared" si="85"/>
        <v>0</v>
      </c>
      <c r="BP497" s="30">
        <v>9</v>
      </c>
      <c r="BQ497" s="30">
        <v>0</v>
      </c>
      <c r="BR497" s="30"/>
      <c r="BS497" s="30"/>
      <c r="BT497" s="34">
        <f t="shared" si="96"/>
        <v>0</v>
      </c>
      <c r="BU497" s="34"/>
      <c r="BV497" s="34"/>
      <c r="BW497" s="34"/>
      <c r="BX497" s="34"/>
      <c r="BY497" s="30"/>
      <c r="BZ497" s="31">
        <f t="shared" si="87"/>
        <v>0</v>
      </c>
      <c r="CA497" s="31">
        <f t="shared" si="88"/>
        <v>0</v>
      </c>
    </row>
    <row r="498" spans="1:79" ht="25.5" x14ac:dyDescent="0.25">
      <c r="A498" s="97" t="s">
        <v>1094</v>
      </c>
      <c r="B498" s="2">
        <v>486</v>
      </c>
      <c r="C498" s="118">
        <v>215</v>
      </c>
      <c r="D498" s="118">
        <v>146</v>
      </c>
      <c r="E498" s="119">
        <v>0.75763888888888886</v>
      </c>
      <c r="F498" s="119">
        <v>0.7993055555555556</v>
      </c>
      <c r="G498" s="120" t="s">
        <v>164</v>
      </c>
      <c r="H498" s="80" t="s">
        <v>1059</v>
      </c>
      <c r="I498" s="118">
        <v>37</v>
      </c>
      <c r="J498" s="121">
        <v>50</v>
      </c>
      <c r="K498" s="94"/>
      <c r="L498" s="95">
        <f t="shared" si="95"/>
        <v>0</v>
      </c>
      <c r="M498" s="96" t="s">
        <v>1095</v>
      </c>
      <c r="N498" s="97"/>
      <c r="O498" s="97"/>
      <c r="P498" s="97"/>
      <c r="Q498" s="97"/>
      <c r="R498" s="97"/>
      <c r="S498" s="97"/>
      <c r="T498" s="98"/>
      <c r="U498" s="98"/>
      <c r="V498" s="98"/>
      <c r="W498" s="98"/>
      <c r="X498" s="99"/>
      <c r="Y498" s="99"/>
      <c r="Z498" s="99"/>
      <c r="AA498" s="99"/>
      <c r="AB498" s="99"/>
      <c r="AC498" s="99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  <c r="AP498" s="98"/>
      <c r="AQ498" s="98"/>
      <c r="AR498" s="98"/>
      <c r="AS498" s="98"/>
      <c r="AT498" s="98"/>
      <c r="AU498" s="98"/>
      <c r="AV498" s="98"/>
      <c r="AW498" s="98"/>
      <c r="AX498" s="99"/>
      <c r="AY498" s="99"/>
      <c r="AZ498" s="99"/>
      <c r="BA498" s="99"/>
      <c r="BB498" s="99"/>
      <c r="BC498" s="99"/>
      <c r="BD498" s="99"/>
      <c r="BE498" s="99"/>
      <c r="BF498" s="99"/>
      <c r="BG498" s="99"/>
      <c r="BH498" s="99"/>
      <c r="BI498" s="99"/>
      <c r="BJ498" s="99"/>
      <c r="BK498" s="99"/>
      <c r="BL498" s="99"/>
      <c r="BM498" s="99"/>
      <c r="BN498" s="99"/>
      <c r="BO498" s="100"/>
      <c r="BP498" s="101"/>
      <c r="BQ498" s="101"/>
      <c r="BR498" s="101"/>
      <c r="BS498" s="101"/>
      <c r="BT498" s="102"/>
      <c r="BU498" s="102"/>
      <c r="BV498" s="102"/>
      <c r="BW498" s="102"/>
      <c r="BX498" s="102"/>
      <c r="BY498" s="101"/>
      <c r="BZ498" s="103"/>
      <c r="CA498" s="31">
        <f t="shared" si="88"/>
        <v>0</v>
      </c>
    </row>
    <row r="499" spans="1:79" ht="90.75" x14ac:dyDescent="0.25">
      <c r="A499" s="17" t="s">
        <v>112</v>
      </c>
      <c r="B499" s="2">
        <v>487</v>
      </c>
      <c r="C499" s="37">
        <v>215</v>
      </c>
      <c r="D499" s="37">
        <v>633</v>
      </c>
      <c r="E499" s="38">
        <v>0.79027777777777775</v>
      </c>
      <c r="F499" s="38">
        <v>0.8305555555555556</v>
      </c>
      <c r="G499" s="39" t="s">
        <v>169</v>
      </c>
      <c r="H499" s="18" t="s">
        <v>80</v>
      </c>
      <c r="I499" s="37">
        <v>37</v>
      </c>
      <c r="J499" s="40">
        <v>50</v>
      </c>
      <c r="K499" s="41">
        <v>67</v>
      </c>
      <c r="L499" s="23">
        <f t="shared" si="95"/>
        <v>2479</v>
      </c>
      <c r="M499" s="24" t="s">
        <v>170</v>
      </c>
      <c r="N499" s="25" t="s">
        <v>171</v>
      </c>
      <c r="O499" s="25">
        <v>57</v>
      </c>
      <c r="P499" s="25" t="s">
        <v>172</v>
      </c>
      <c r="Q499" s="25">
        <v>60</v>
      </c>
      <c r="R499" s="25" t="s">
        <v>173</v>
      </c>
      <c r="S499" s="25">
        <v>57</v>
      </c>
      <c r="T499" s="26">
        <v>2323</v>
      </c>
      <c r="U499" s="26" t="s">
        <v>163</v>
      </c>
      <c r="V499" s="26">
        <v>2290</v>
      </c>
      <c r="W499" s="26" t="s">
        <v>118</v>
      </c>
      <c r="X499" s="27">
        <v>44562</v>
      </c>
      <c r="Y499" s="27">
        <v>44815</v>
      </c>
      <c r="Z499" s="27">
        <v>45101</v>
      </c>
      <c r="AA499" s="27">
        <v>45169</v>
      </c>
      <c r="AB499" s="28" t="s">
        <v>89</v>
      </c>
      <c r="AC499" s="28"/>
      <c r="AD499" s="28"/>
      <c r="AE499" s="28" t="s">
        <v>90</v>
      </c>
      <c r="AF499" s="28" t="s">
        <v>90</v>
      </c>
      <c r="AG499" s="28"/>
      <c r="AH499" s="28" t="s">
        <v>90</v>
      </c>
      <c r="AI499" s="28" t="s">
        <v>90</v>
      </c>
      <c r="AJ499" s="28" t="s">
        <v>90</v>
      </c>
      <c r="AK499" s="28" t="s">
        <v>90</v>
      </c>
      <c r="AL499" s="28" t="s">
        <v>90</v>
      </c>
      <c r="AM499" s="28" t="s">
        <v>90</v>
      </c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9"/>
      <c r="AY499" s="31"/>
      <c r="AZ499" s="30"/>
      <c r="BA499" s="42"/>
      <c r="BB499" s="43" t="s">
        <v>170</v>
      </c>
      <c r="BC499" s="30"/>
      <c r="BD499" s="31">
        <f t="shared" ref="BD499:BD505" si="102">AX499*K499</f>
        <v>0</v>
      </c>
      <c r="BE499" s="30"/>
      <c r="BF499" s="30"/>
      <c r="BG499" s="32">
        <v>2</v>
      </c>
      <c r="BH499" s="30"/>
      <c r="BI499" s="31"/>
      <c r="BJ499" s="30"/>
      <c r="BK499" s="30"/>
      <c r="BL499" s="30"/>
      <c r="BM499" s="30"/>
      <c r="BN499" s="30"/>
      <c r="BO499" s="33">
        <f t="shared" ref="BO499:BO505" si="103">BN499*K499</f>
        <v>0</v>
      </c>
      <c r="BP499" s="30">
        <v>9</v>
      </c>
      <c r="BQ499" s="30">
        <v>0</v>
      </c>
      <c r="BR499" s="30"/>
      <c r="BS499" s="30"/>
      <c r="BT499" s="34">
        <f t="shared" ref="BT499:BT505" si="104">SUM(AX499:AZ499)+SUM(BH499:BI499)+SUM(BK499:BL499)+BN499</f>
        <v>0</v>
      </c>
      <c r="BU499" s="34"/>
      <c r="BV499" s="34"/>
      <c r="BW499" s="34"/>
      <c r="BX499" s="34"/>
      <c r="BY499" s="30"/>
      <c r="BZ499" s="31">
        <f t="shared" ref="BZ499:BZ505" si="105">(BT499*BP499)+(BV499*BX499)</f>
        <v>0</v>
      </c>
      <c r="CA499" s="31">
        <f t="shared" si="88"/>
        <v>0</v>
      </c>
    </row>
    <row r="500" spans="1:79" ht="38.25" x14ac:dyDescent="0.25">
      <c r="A500" s="67" t="s">
        <v>322</v>
      </c>
      <c r="B500" s="2">
        <v>488</v>
      </c>
      <c r="C500" s="37">
        <v>215</v>
      </c>
      <c r="D500" s="87">
        <v>424</v>
      </c>
      <c r="E500" s="86">
        <v>0.7909722222222223</v>
      </c>
      <c r="F500" s="38">
        <v>0.83263888888888893</v>
      </c>
      <c r="G500" s="39" t="s">
        <v>164</v>
      </c>
      <c r="H500" s="58" t="s">
        <v>422</v>
      </c>
      <c r="I500" s="37">
        <v>37</v>
      </c>
      <c r="J500" s="40">
        <v>50</v>
      </c>
      <c r="K500" s="41">
        <v>240</v>
      </c>
      <c r="L500" s="23">
        <f t="shared" si="95"/>
        <v>8880</v>
      </c>
      <c r="M500" s="24" t="s">
        <v>114</v>
      </c>
      <c r="N500" s="25" t="s">
        <v>117</v>
      </c>
      <c r="O500" s="25">
        <v>29</v>
      </c>
      <c r="P500" s="25" t="s">
        <v>770</v>
      </c>
      <c r="Q500" s="25">
        <v>37</v>
      </c>
      <c r="R500" s="25" t="s">
        <v>916</v>
      </c>
      <c r="S500" s="35">
        <v>29</v>
      </c>
      <c r="T500" s="26">
        <v>2290</v>
      </c>
      <c r="U500" s="26" t="s">
        <v>118</v>
      </c>
      <c r="V500" s="26">
        <v>2323</v>
      </c>
      <c r="W500" s="26" t="s">
        <v>163</v>
      </c>
      <c r="X500" s="27">
        <v>44816</v>
      </c>
      <c r="Y500" s="27">
        <v>45100</v>
      </c>
      <c r="Z500" s="27"/>
      <c r="AA500" s="27"/>
      <c r="AB500" s="26" t="s">
        <v>423</v>
      </c>
      <c r="AC500" s="26"/>
      <c r="AD500" s="28" t="s">
        <v>90</v>
      </c>
      <c r="AE500" s="28"/>
      <c r="AF500" s="28" t="s">
        <v>90</v>
      </c>
      <c r="AG500" s="28"/>
      <c r="AH500" s="28" t="s">
        <v>90</v>
      </c>
      <c r="AI500" s="28" t="s">
        <v>90</v>
      </c>
      <c r="AJ500" s="28" t="s">
        <v>90</v>
      </c>
      <c r="AK500" s="28" t="s">
        <v>90</v>
      </c>
      <c r="AL500" s="28" t="s">
        <v>90</v>
      </c>
      <c r="AM500" s="28" t="s">
        <v>90</v>
      </c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31">
        <v>91.64</v>
      </c>
      <c r="AY500" s="31"/>
      <c r="AZ500" s="30"/>
      <c r="BA500" s="29"/>
      <c r="BB500" s="29"/>
      <c r="BC500" s="30"/>
      <c r="BD500" s="31">
        <f t="shared" si="102"/>
        <v>21993.599999999999</v>
      </c>
      <c r="BE500" s="31"/>
      <c r="BF500" s="30"/>
      <c r="BG500" s="32">
        <v>2</v>
      </c>
      <c r="BH500" s="31">
        <f>IF(AND((AX500/I500)&lt;2,BG500=1),(I500*2)-AX500,0)</f>
        <v>0</v>
      </c>
      <c r="BI500" s="31">
        <f>IF(AND((AX500/I500)&lt;3,BG500=2),(I500*3)-AX500,0)</f>
        <v>19.36</v>
      </c>
      <c r="BJ500" s="33">
        <f>(BH500+BI500)*K500</f>
        <v>4646.3999999999996</v>
      </c>
      <c r="BK500" s="30"/>
      <c r="BL500" s="30"/>
      <c r="BM500" s="30"/>
      <c r="BN500" s="30"/>
      <c r="BO500" s="33">
        <f t="shared" si="103"/>
        <v>0</v>
      </c>
      <c r="BP500" s="30">
        <v>17</v>
      </c>
      <c r="BQ500" s="30">
        <v>26</v>
      </c>
      <c r="BR500" s="30"/>
      <c r="BS500" s="30"/>
      <c r="BT500" s="34">
        <f t="shared" si="104"/>
        <v>111</v>
      </c>
      <c r="BU500" s="34"/>
      <c r="BV500" s="34"/>
      <c r="BW500" s="34"/>
      <c r="BX500" s="34"/>
      <c r="BY500" s="30"/>
      <c r="BZ500" s="31">
        <f t="shared" si="105"/>
        <v>1887</v>
      </c>
      <c r="CA500" s="31">
        <f t="shared" si="88"/>
        <v>2886</v>
      </c>
    </row>
    <row r="501" spans="1:79" ht="90.75" x14ac:dyDescent="0.25">
      <c r="A501" s="17" t="s">
        <v>112</v>
      </c>
      <c r="B501" s="2">
        <v>489</v>
      </c>
      <c r="C501" s="37">
        <v>215</v>
      </c>
      <c r="D501" s="37">
        <v>426</v>
      </c>
      <c r="E501" s="38">
        <v>0.83263888888888893</v>
      </c>
      <c r="F501" s="38">
        <v>0.87430555555555556</v>
      </c>
      <c r="G501" s="39" t="s">
        <v>164</v>
      </c>
      <c r="H501" s="18" t="s">
        <v>80</v>
      </c>
      <c r="I501" s="37">
        <v>37</v>
      </c>
      <c r="J501" s="40">
        <v>50</v>
      </c>
      <c r="K501" s="41">
        <v>67</v>
      </c>
      <c r="L501" s="23">
        <f t="shared" si="95"/>
        <v>2479</v>
      </c>
      <c r="M501" s="24" t="s">
        <v>170</v>
      </c>
      <c r="N501" s="25" t="s">
        <v>171</v>
      </c>
      <c r="O501" s="25">
        <v>57</v>
      </c>
      <c r="P501" s="25" t="s">
        <v>172</v>
      </c>
      <c r="Q501" s="25">
        <v>60</v>
      </c>
      <c r="R501" s="25" t="s">
        <v>173</v>
      </c>
      <c r="S501" s="25">
        <v>57</v>
      </c>
      <c r="T501" s="26">
        <v>2290</v>
      </c>
      <c r="U501" s="26" t="s">
        <v>118</v>
      </c>
      <c r="V501" s="26">
        <v>2323</v>
      </c>
      <c r="W501" s="26" t="s">
        <v>163</v>
      </c>
      <c r="X501" s="27">
        <v>44562</v>
      </c>
      <c r="Y501" s="27">
        <v>44815</v>
      </c>
      <c r="Z501" s="27">
        <v>45101</v>
      </c>
      <c r="AA501" s="27">
        <v>45169</v>
      </c>
      <c r="AB501" s="28" t="s">
        <v>89</v>
      </c>
      <c r="AC501" s="28"/>
      <c r="AD501" s="28"/>
      <c r="AE501" s="28" t="s">
        <v>90</v>
      </c>
      <c r="AF501" s="28" t="s">
        <v>90</v>
      </c>
      <c r="AG501" s="28"/>
      <c r="AH501" s="28" t="s">
        <v>90</v>
      </c>
      <c r="AI501" s="28" t="s">
        <v>90</v>
      </c>
      <c r="AJ501" s="28" t="s">
        <v>90</v>
      </c>
      <c r="AK501" s="28" t="s">
        <v>90</v>
      </c>
      <c r="AL501" s="28" t="s">
        <v>90</v>
      </c>
      <c r="AM501" s="28" t="s">
        <v>90</v>
      </c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9"/>
      <c r="AY501" s="31"/>
      <c r="AZ501" s="30"/>
      <c r="BA501" s="42"/>
      <c r="BB501" s="43" t="s">
        <v>170</v>
      </c>
      <c r="BC501" s="30"/>
      <c r="BD501" s="31">
        <f t="shared" si="102"/>
        <v>0</v>
      </c>
      <c r="BE501" s="30"/>
      <c r="BF501" s="30"/>
      <c r="BG501" s="32">
        <v>2</v>
      </c>
      <c r="BH501" s="30"/>
      <c r="BI501" s="31"/>
      <c r="BJ501" s="30"/>
      <c r="BK501" s="30"/>
      <c r="BL501" s="30"/>
      <c r="BM501" s="30"/>
      <c r="BN501" s="30"/>
      <c r="BO501" s="33">
        <f t="shared" si="103"/>
        <v>0</v>
      </c>
      <c r="BP501" s="30">
        <v>9</v>
      </c>
      <c r="BQ501" s="30">
        <v>0</v>
      </c>
      <c r="BR501" s="30"/>
      <c r="BS501" s="30"/>
      <c r="BT501" s="34">
        <f t="shared" si="104"/>
        <v>0</v>
      </c>
      <c r="BU501" s="34"/>
      <c r="BV501" s="34"/>
      <c r="BW501" s="34"/>
      <c r="BX501" s="34"/>
      <c r="BY501" s="30"/>
      <c r="BZ501" s="31">
        <f t="shared" si="105"/>
        <v>0</v>
      </c>
      <c r="CA501" s="31">
        <f t="shared" si="88"/>
        <v>0</v>
      </c>
    </row>
    <row r="502" spans="1:79" ht="51" x14ac:dyDescent="0.25">
      <c r="A502" s="17" t="s">
        <v>1096</v>
      </c>
      <c r="B502" s="2">
        <v>490</v>
      </c>
      <c r="C502" s="18">
        <v>215</v>
      </c>
      <c r="D502" s="18">
        <v>593</v>
      </c>
      <c r="E502" s="59">
        <v>0.85416666666666663</v>
      </c>
      <c r="F502" s="59">
        <v>0.91249999999999998</v>
      </c>
      <c r="G502" s="58" t="s">
        <v>1097</v>
      </c>
      <c r="H502" s="18" t="s">
        <v>1098</v>
      </c>
      <c r="I502" s="57">
        <v>54</v>
      </c>
      <c r="J502" s="21">
        <v>22</v>
      </c>
      <c r="K502" s="22">
        <v>41</v>
      </c>
      <c r="L502" s="23">
        <f t="shared" si="95"/>
        <v>2214</v>
      </c>
      <c r="M502" s="24" t="s">
        <v>160</v>
      </c>
      <c r="N502" s="25" t="s">
        <v>995</v>
      </c>
      <c r="O502" s="25">
        <v>20</v>
      </c>
      <c r="P502" s="25" t="s">
        <v>996</v>
      </c>
      <c r="Q502" s="25">
        <v>27</v>
      </c>
      <c r="R502" s="17"/>
      <c r="S502" s="25"/>
      <c r="T502" s="26">
        <v>2330</v>
      </c>
      <c r="U502" s="26" t="s">
        <v>1099</v>
      </c>
      <c r="V502" s="74">
        <v>2290</v>
      </c>
      <c r="W502" s="74" t="s">
        <v>1061</v>
      </c>
      <c r="X502" s="27">
        <v>44816</v>
      </c>
      <c r="Y502" s="27">
        <v>45100</v>
      </c>
      <c r="Z502" s="27"/>
      <c r="AA502" s="27"/>
      <c r="AB502" s="28" t="s">
        <v>1100</v>
      </c>
      <c r="AC502" s="28"/>
      <c r="AD502" s="28" t="s">
        <v>90</v>
      </c>
      <c r="AE502" s="28"/>
      <c r="AF502" s="28" t="s">
        <v>90</v>
      </c>
      <c r="AG502" s="28"/>
      <c r="AH502" s="28"/>
      <c r="AI502" s="28"/>
      <c r="AJ502" s="28"/>
      <c r="AK502" s="28"/>
      <c r="AL502" s="28" t="s">
        <v>90</v>
      </c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9">
        <v>124.5</v>
      </c>
      <c r="AY502" s="31"/>
      <c r="AZ502" s="30"/>
      <c r="BA502" s="29"/>
      <c r="BB502" s="29"/>
      <c r="BC502" s="30"/>
      <c r="BD502" s="31">
        <f t="shared" si="102"/>
        <v>5104.5</v>
      </c>
      <c r="BE502" s="31"/>
      <c r="BF502" s="30"/>
      <c r="BG502" s="36">
        <v>1</v>
      </c>
      <c r="BH502" s="31">
        <f>IF(AND((AX502/I502)&lt;2,BG502=1),(I502*2)-AX502,0)</f>
        <v>0</v>
      </c>
      <c r="BI502" s="31">
        <f>IF(AND((AX502/I502)&lt;3,BG502=2),(I502*3)-AX502,0)</f>
        <v>0</v>
      </c>
      <c r="BJ502" s="31">
        <f>(BH502+BI502)*K502</f>
        <v>0</v>
      </c>
      <c r="BK502" s="30"/>
      <c r="BL502" s="30"/>
      <c r="BM502" s="30"/>
      <c r="BN502" s="30"/>
      <c r="BO502" s="33">
        <f t="shared" si="103"/>
        <v>0</v>
      </c>
      <c r="BP502" s="30">
        <v>3</v>
      </c>
      <c r="BQ502" s="30">
        <v>4</v>
      </c>
      <c r="BR502" s="30"/>
      <c r="BS502" s="30"/>
      <c r="BT502" s="34">
        <f t="shared" si="104"/>
        <v>124.5</v>
      </c>
      <c r="BU502" s="34"/>
      <c r="BV502" s="34"/>
      <c r="BW502" s="34"/>
      <c r="BX502" s="34"/>
      <c r="BY502" s="30"/>
      <c r="BZ502" s="31">
        <f t="shared" si="105"/>
        <v>373.5</v>
      </c>
      <c r="CA502" s="31">
        <f t="shared" si="88"/>
        <v>498</v>
      </c>
    </row>
    <row r="503" spans="1:79" ht="51" x14ac:dyDescent="0.25">
      <c r="A503" s="17"/>
      <c r="B503" s="2">
        <v>491</v>
      </c>
      <c r="C503" s="18">
        <v>216</v>
      </c>
      <c r="D503" s="18">
        <v>48</v>
      </c>
      <c r="E503" s="59">
        <v>0.54791666666666672</v>
      </c>
      <c r="F503" s="59">
        <v>0.55763888888888891</v>
      </c>
      <c r="G503" s="18" t="s">
        <v>1101</v>
      </c>
      <c r="H503" s="18" t="s">
        <v>273</v>
      </c>
      <c r="I503" s="20">
        <v>5.5</v>
      </c>
      <c r="J503" s="21" t="s">
        <v>93</v>
      </c>
      <c r="K503" s="22">
        <v>174</v>
      </c>
      <c r="L503" s="23">
        <f t="shared" si="95"/>
        <v>957</v>
      </c>
      <c r="M503" s="24" t="s">
        <v>114</v>
      </c>
      <c r="N503" s="25" t="s">
        <v>117</v>
      </c>
      <c r="O503" s="25">
        <v>29</v>
      </c>
      <c r="P503" s="25" t="s">
        <v>916</v>
      </c>
      <c r="Q503" s="25">
        <v>29</v>
      </c>
      <c r="R503" s="25" t="s">
        <v>887</v>
      </c>
      <c r="S503" s="35">
        <v>25</v>
      </c>
      <c r="T503" s="26">
        <v>2251</v>
      </c>
      <c r="U503" s="26" t="s">
        <v>1102</v>
      </c>
      <c r="V503" s="26">
        <v>2280</v>
      </c>
      <c r="W503" s="26" t="s">
        <v>1103</v>
      </c>
      <c r="X503" s="66">
        <v>44816</v>
      </c>
      <c r="Y503" s="66">
        <v>45086</v>
      </c>
      <c r="Z503" s="66"/>
      <c r="AA503" s="66"/>
      <c r="AB503" s="26" t="s">
        <v>282</v>
      </c>
      <c r="AC503" s="26"/>
      <c r="AD503" s="28"/>
      <c r="AE503" s="28"/>
      <c r="AF503" s="28"/>
      <c r="AG503" s="28" t="s">
        <v>90</v>
      </c>
      <c r="AH503" s="28" t="s">
        <v>90</v>
      </c>
      <c r="AI503" s="28" t="s">
        <v>90</v>
      </c>
      <c r="AJ503" s="28" t="s">
        <v>90</v>
      </c>
      <c r="AK503" s="28" t="s">
        <v>90</v>
      </c>
      <c r="AL503" s="28" t="s">
        <v>90</v>
      </c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31">
        <v>9.9</v>
      </c>
      <c r="AY503" s="31"/>
      <c r="AZ503" s="30"/>
      <c r="BA503" s="29"/>
      <c r="BB503" s="29"/>
      <c r="BC503" s="30"/>
      <c r="BD503" s="31">
        <f t="shared" si="102"/>
        <v>1722.6000000000001</v>
      </c>
      <c r="BE503" s="31"/>
      <c r="BF503" s="30"/>
      <c r="BG503" s="36">
        <v>1</v>
      </c>
      <c r="BH503" s="31">
        <f>IF(AND((AX503/I503)&lt;2,BG503=1),(I503*2)-AX503,0)</f>
        <v>1.0999999999999996</v>
      </c>
      <c r="BI503" s="31">
        <f>IF(AND((AX503/I503)&lt;3,BG503=2),(I503*3)-AX503,0)</f>
        <v>0</v>
      </c>
      <c r="BJ503" s="31">
        <f>(BH503+BI503)*K503</f>
        <v>191.39999999999995</v>
      </c>
      <c r="BK503" s="30"/>
      <c r="BL503" s="30"/>
      <c r="BM503" s="30"/>
      <c r="BN503" s="30"/>
      <c r="BO503" s="33">
        <f t="shared" si="103"/>
        <v>0</v>
      </c>
      <c r="BP503" s="30">
        <v>15</v>
      </c>
      <c r="BQ503" s="30">
        <v>20</v>
      </c>
      <c r="BR503" s="30"/>
      <c r="BS503" s="30"/>
      <c r="BT503" s="34">
        <f t="shared" si="104"/>
        <v>11</v>
      </c>
      <c r="BU503" s="34"/>
      <c r="BV503" s="34"/>
      <c r="BW503" s="34"/>
      <c r="BX503" s="34"/>
      <c r="BY503" s="30"/>
      <c r="BZ503" s="31">
        <f t="shared" si="105"/>
        <v>165</v>
      </c>
      <c r="CA503" s="31">
        <f t="shared" si="88"/>
        <v>220</v>
      </c>
    </row>
    <row r="504" spans="1:79" ht="51" x14ac:dyDescent="0.25">
      <c r="A504" s="17"/>
      <c r="B504" s="2">
        <v>492</v>
      </c>
      <c r="C504" s="18">
        <v>216</v>
      </c>
      <c r="D504" s="18">
        <v>45</v>
      </c>
      <c r="E504" s="59">
        <v>0.55902777777777779</v>
      </c>
      <c r="F504" s="59">
        <v>0.59027777777777779</v>
      </c>
      <c r="G504" s="18" t="s">
        <v>1104</v>
      </c>
      <c r="H504" s="18" t="s">
        <v>273</v>
      </c>
      <c r="I504" s="20">
        <v>20</v>
      </c>
      <c r="J504" s="21" t="s">
        <v>93</v>
      </c>
      <c r="K504" s="22">
        <v>174</v>
      </c>
      <c r="L504" s="23">
        <f t="shared" si="95"/>
        <v>3480</v>
      </c>
      <c r="M504" s="24" t="s">
        <v>114</v>
      </c>
      <c r="N504" s="25" t="s">
        <v>117</v>
      </c>
      <c r="O504" s="25">
        <v>29</v>
      </c>
      <c r="P504" s="25" t="s">
        <v>916</v>
      </c>
      <c r="Q504" s="25">
        <v>29</v>
      </c>
      <c r="R504" s="25" t="s">
        <v>887</v>
      </c>
      <c r="S504" s="35">
        <v>25</v>
      </c>
      <c r="T504" s="26">
        <v>2280</v>
      </c>
      <c r="U504" s="26" t="s">
        <v>1103</v>
      </c>
      <c r="V504" s="26">
        <v>2290</v>
      </c>
      <c r="W504" s="26" t="s">
        <v>118</v>
      </c>
      <c r="X504" s="66">
        <v>44816</v>
      </c>
      <c r="Y504" s="66">
        <v>45086</v>
      </c>
      <c r="Z504" s="66"/>
      <c r="AA504" s="66"/>
      <c r="AB504" s="26" t="s">
        <v>282</v>
      </c>
      <c r="AC504" s="26"/>
      <c r="AD504" s="28"/>
      <c r="AE504" s="28"/>
      <c r="AF504" s="28"/>
      <c r="AG504" s="28" t="s">
        <v>90</v>
      </c>
      <c r="AH504" s="28" t="s">
        <v>90</v>
      </c>
      <c r="AI504" s="28" t="s">
        <v>90</v>
      </c>
      <c r="AJ504" s="28" t="s">
        <v>90</v>
      </c>
      <c r="AK504" s="28" t="s">
        <v>90</v>
      </c>
      <c r="AL504" s="28" t="s">
        <v>90</v>
      </c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31">
        <v>36</v>
      </c>
      <c r="AY504" s="31"/>
      <c r="AZ504" s="30"/>
      <c r="BA504" s="29"/>
      <c r="BB504" s="29"/>
      <c r="BC504" s="30"/>
      <c r="BD504" s="31">
        <f t="shared" si="102"/>
        <v>6264</v>
      </c>
      <c r="BE504" s="31"/>
      <c r="BF504" s="30"/>
      <c r="BG504" s="36">
        <v>1</v>
      </c>
      <c r="BH504" s="31">
        <f>IF(AND((AX504/I504)&lt;2,BG504=1),(I504*2)-AX504,0)</f>
        <v>4</v>
      </c>
      <c r="BI504" s="31">
        <f>IF(AND((AX504/I504)&lt;3,BG504=2),(I504*3)-AX504,0)</f>
        <v>0</v>
      </c>
      <c r="BJ504" s="31">
        <f>(BH504+BI504)*K504</f>
        <v>696</v>
      </c>
      <c r="BK504" s="30"/>
      <c r="BL504" s="30"/>
      <c r="BM504" s="30"/>
      <c r="BN504" s="30"/>
      <c r="BO504" s="33">
        <f t="shared" si="103"/>
        <v>0</v>
      </c>
      <c r="BP504" s="30">
        <v>15</v>
      </c>
      <c r="BQ504" s="30">
        <v>20</v>
      </c>
      <c r="BR504" s="30"/>
      <c r="BS504" s="30"/>
      <c r="BT504" s="34">
        <f t="shared" si="104"/>
        <v>40</v>
      </c>
      <c r="BU504" s="34"/>
      <c r="BV504" s="34"/>
      <c r="BW504" s="34"/>
      <c r="BX504" s="34"/>
      <c r="BY504" s="30"/>
      <c r="BZ504" s="31">
        <f t="shared" si="105"/>
        <v>600</v>
      </c>
      <c r="CA504" s="31">
        <f t="shared" si="88"/>
        <v>800</v>
      </c>
    </row>
    <row r="505" spans="1:79" ht="56.25" x14ac:dyDescent="0.25">
      <c r="A505" s="17"/>
      <c r="B505" s="2">
        <v>493</v>
      </c>
      <c r="C505" s="18">
        <v>216</v>
      </c>
      <c r="D505" s="21">
        <v>398</v>
      </c>
      <c r="E505" s="59">
        <v>0.67152777777777783</v>
      </c>
      <c r="F505" s="59">
        <v>0.70486111111111116</v>
      </c>
      <c r="G505" s="18" t="s">
        <v>1105</v>
      </c>
      <c r="H505" s="18" t="s">
        <v>294</v>
      </c>
      <c r="I505" s="20">
        <v>19</v>
      </c>
      <c r="J505" s="21" t="s">
        <v>541</v>
      </c>
      <c r="K505" s="22">
        <f>34+34+36+33</f>
        <v>137</v>
      </c>
      <c r="L505" s="23">
        <f t="shared" si="95"/>
        <v>2603</v>
      </c>
      <c r="M505" s="24" t="s">
        <v>136</v>
      </c>
      <c r="N505" s="25" t="s">
        <v>1106</v>
      </c>
      <c r="O505" s="25">
        <v>21</v>
      </c>
      <c r="P505" s="25" t="s">
        <v>137</v>
      </c>
      <c r="Q505" s="25">
        <v>22</v>
      </c>
      <c r="R505" s="25" t="s">
        <v>138</v>
      </c>
      <c r="S505" s="25">
        <v>23</v>
      </c>
      <c r="T505" s="26" t="s">
        <v>1055</v>
      </c>
      <c r="U505" s="26" t="s">
        <v>1056</v>
      </c>
      <c r="V505" s="26">
        <v>2280</v>
      </c>
      <c r="W505" s="26" t="s">
        <v>1103</v>
      </c>
      <c r="X505" s="66">
        <v>44816</v>
      </c>
      <c r="Y505" s="66">
        <v>45086</v>
      </c>
      <c r="Z505" s="66"/>
      <c r="AA505" s="66"/>
      <c r="AB505" s="62" t="s">
        <v>298</v>
      </c>
      <c r="AC505" s="62"/>
      <c r="AD505" s="28"/>
      <c r="AE505" s="28"/>
      <c r="AF505" s="28"/>
      <c r="AG505" s="28" t="s">
        <v>90</v>
      </c>
      <c r="AH505" s="28" t="s">
        <v>90</v>
      </c>
      <c r="AI505" s="28" t="s">
        <v>90</v>
      </c>
      <c r="AJ505" s="28" t="s">
        <v>90</v>
      </c>
      <c r="AK505" s="28" t="s">
        <v>90</v>
      </c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9">
        <v>47.5</v>
      </c>
      <c r="AY505" s="31"/>
      <c r="AZ505" s="30"/>
      <c r="BA505" s="29"/>
      <c r="BB505" s="29"/>
      <c r="BC505" s="30"/>
      <c r="BD505" s="31">
        <f t="shared" si="102"/>
        <v>6507.5</v>
      </c>
      <c r="BE505" s="31"/>
      <c r="BF505" s="30"/>
      <c r="BG505" s="36">
        <v>1</v>
      </c>
      <c r="BH505" s="31">
        <f>IF(AND((AX505/I505)&lt;2,BG505=1),(I505*2)-AX505,0)</f>
        <v>0</v>
      </c>
      <c r="BI505" s="31">
        <f>IF(AND((AX505/I505)&lt;3,BG505=2),(I505*3)-AX505,0)</f>
        <v>0</v>
      </c>
      <c r="BJ505" s="33">
        <f>(BH505+BI505)*K505</f>
        <v>0</v>
      </c>
      <c r="BK505" s="30"/>
      <c r="BL505" s="30"/>
      <c r="BM505" s="30"/>
      <c r="BN505" s="30"/>
      <c r="BO505" s="33">
        <f t="shared" si="103"/>
        <v>0</v>
      </c>
      <c r="BP505" s="30">
        <v>12</v>
      </c>
      <c r="BQ505" s="30">
        <v>16</v>
      </c>
      <c r="BR505" s="30"/>
      <c r="BS505" s="30"/>
      <c r="BT505" s="34">
        <f t="shared" si="104"/>
        <v>47.5</v>
      </c>
      <c r="BU505" s="34"/>
      <c r="BV505" s="34"/>
      <c r="BW505" s="34"/>
      <c r="BX505" s="34"/>
      <c r="BY505" s="30"/>
      <c r="BZ505" s="31">
        <f t="shared" si="105"/>
        <v>570</v>
      </c>
      <c r="CA505" s="31">
        <f t="shared" si="88"/>
        <v>760</v>
      </c>
    </row>
    <row r="506" spans="1:79" ht="51" x14ac:dyDescent="0.25">
      <c r="A506" s="90" t="s">
        <v>1107</v>
      </c>
      <c r="B506" s="2">
        <v>494</v>
      </c>
      <c r="C506" s="118">
        <v>217</v>
      </c>
      <c r="D506" s="118"/>
      <c r="E506" s="119">
        <v>0.58680555555555558</v>
      </c>
      <c r="F506" s="119">
        <v>0.59375</v>
      </c>
      <c r="G506" s="120" t="s">
        <v>1108</v>
      </c>
      <c r="H506" s="80" t="s">
        <v>349</v>
      </c>
      <c r="I506" s="118">
        <v>4</v>
      </c>
      <c r="J506" s="121">
        <v>50</v>
      </c>
      <c r="K506" s="94"/>
      <c r="L506" s="95">
        <f t="shared" si="95"/>
        <v>0</v>
      </c>
      <c r="M506" s="96" t="s">
        <v>160</v>
      </c>
      <c r="N506" s="97"/>
      <c r="O506" s="97"/>
      <c r="P506" s="97"/>
      <c r="Q506" s="97"/>
      <c r="R506" s="97"/>
      <c r="S506" s="97"/>
      <c r="T506" s="98"/>
      <c r="U506" s="98"/>
      <c r="V506" s="98"/>
      <c r="W506" s="98"/>
      <c r="X506" s="99"/>
      <c r="Y506" s="99"/>
      <c r="Z506" s="99"/>
      <c r="AA506" s="99"/>
      <c r="AB506" s="99"/>
      <c r="AC506" s="99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  <c r="AP506" s="98"/>
      <c r="AQ506" s="98"/>
      <c r="AR506" s="98"/>
      <c r="AS506" s="98"/>
      <c r="AT506" s="98"/>
      <c r="AU506" s="98"/>
      <c r="AV506" s="98"/>
      <c r="AW506" s="98"/>
      <c r="AX506" s="99"/>
      <c r="AY506" s="99"/>
      <c r="AZ506" s="99"/>
      <c r="BA506" s="99"/>
      <c r="BB506" s="99"/>
      <c r="BC506" s="99"/>
      <c r="BD506" s="99"/>
      <c r="BE506" s="99"/>
      <c r="BF506" s="99"/>
      <c r="BG506" s="99"/>
      <c r="BH506" s="99"/>
      <c r="BI506" s="99"/>
      <c r="BJ506" s="99"/>
      <c r="BK506" s="99"/>
      <c r="BL506" s="99"/>
      <c r="BM506" s="99"/>
      <c r="BN506" s="99"/>
      <c r="BO506" s="100"/>
      <c r="BP506" s="101"/>
      <c r="BQ506" s="101"/>
      <c r="BR506" s="101"/>
      <c r="BS506" s="101"/>
      <c r="BT506" s="102"/>
      <c r="BU506" s="102"/>
      <c r="BV506" s="102"/>
      <c r="BW506" s="102"/>
      <c r="BX506" s="102"/>
      <c r="BY506" s="101"/>
      <c r="BZ506" s="103"/>
      <c r="CA506" s="31">
        <f t="shared" si="88"/>
        <v>0</v>
      </c>
    </row>
    <row r="507" spans="1:79" ht="51" x14ac:dyDescent="0.25">
      <c r="A507" s="17"/>
      <c r="B507" s="2">
        <v>495</v>
      </c>
      <c r="C507" s="18">
        <v>218</v>
      </c>
      <c r="D507" s="21">
        <v>407</v>
      </c>
      <c r="E507" s="19">
        <v>0.57291666666666663</v>
      </c>
      <c r="F507" s="19">
        <v>0.5756944444444444</v>
      </c>
      <c r="G507" s="18" t="s">
        <v>1109</v>
      </c>
      <c r="H507" s="18" t="s">
        <v>306</v>
      </c>
      <c r="I507" s="20">
        <v>4</v>
      </c>
      <c r="J507" s="21" t="s">
        <v>571</v>
      </c>
      <c r="K507" s="22">
        <v>208</v>
      </c>
      <c r="L507" s="23">
        <f t="shared" si="95"/>
        <v>832</v>
      </c>
      <c r="M507" s="44" t="s">
        <v>123</v>
      </c>
      <c r="N507" s="25" t="s">
        <v>124</v>
      </c>
      <c r="O507" s="25">
        <v>17</v>
      </c>
      <c r="P507" s="45" t="s">
        <v>125</v>
      </c>
      <c r="Q507" s="45">
        <v>21</v>
      </c>
      <c r="R507" s="17"/>
      <c r="S507" s="25"/>
      <c r="T507" s="26" t="s">
        <v>1110</v>
      </c>
      <c r="U507" s="26" t="s">
        <v>1111</v>
      </c>
      <c r="V507" s="26">
        <v>2054</v>
      </c>
      <c r="W507" s="26" t="s">
        <v>127</v>
      </c>
      <c r="X507" s="66">
        <v>44816</v>
      </c>
      <c r="Y507" s="66">
        <v>45086</v>
      </c>
      <c r="Z507" s="66"/>
      <c r="AA507" s="66"/>
      <c r="AB507" s="26" t="s">
        <v>309</v>
      </c>
      <c r="AC507" s="26"/>
      <c r="AD507" s="28"/>
      <c r="AE507" s="28"/>
      <c r="AF507" s="28"/>
      <c r="AG507" s="28" t="s">
        <v>90</v>
      </c>
      <c r="AH507" s="28" t="s">
        <v>90</v>
      </c>
      <c r="AI507" s="28" t="s">
        <v>90</v>
      </c>
      <c r="AJ507" s="28" t="s">
        <v>90</v>
      </c>
      <c r="AK507" s="28" t="s">
        <v>90</v>
      </c>
      <c r="AL507" s="28" t="s">
        <v>90</v>
      </c>
      <c r="AM507" s="28" t="s">
        <v>90</v>
      </c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9">
        <v>12.77</v>
      </c>
      <c r="AY507" s="31"/>
      <c r="AZ507" s="30"/>
      <c r="BA507" s="29"/>
      <c r="BB507" s="29"/>
      <c r="BC507" s="30"/>
      <c r="BD507" s="31">
        <f t="shared" ref="BD507:BD512" si="106">AX507*K507</f>
        <v>2656.16</v>
      </c>
      <c r="BE507" s="31"/>
      <c r="BF507" s="30"/>
      <c r="BG507" s="36">
        <v>1</v>
      </c>
      <c r="BH507" s="31">
        <f t="shared" ref="BH507:BH512" si="107">IF(AND((AX507/I507)&lt;2,BG507=1),(I507*2)-AX507,0)</f>
        <v>0</v>
      </c>
      <c r="BI507" s="31">
        <f t="shared" ref="BI507:BI512" si="108">IF(AND((AX507/I507)&lt;3,BG507=2),(I507*3)-AX507,0)</f>
        <v>0</v>
      </c>
      <c r="BJ507" s="33">
        <f t="shared" ref="BJ507:BJ512" si="109">(BH507+BI507)*K507</f>
        <v>0</v>
      </c>
      <c r="BK507" s="30"/>
      <c r="BL507" s="30"/>
      <c r="BM507" s="30"/>
      <c r="BN507" s="30"/>
      <c r="BO507" s="33">
        <f t="shared" ref="BO507:BO564" si="110">BN507*K507</f>
        <v>0</v>
      </c>
      <c r="BP507" s="30">
        <v>17</v>
      </c>
      <c r="BQ507" s="30">
        <v>25</v>
      </c>
      <c r="BR507" s="30"/>
      <c r="BS507" s="30"/>
      <c r="BT507" s="34">
        <f t="shared" ref="BT507:BT538" si="111">SUM(AX507:AZ507)+SUM(BH507:BI507)+SUM(BK507:BL507)+BN507</f>
        <v>12.77</v>
      </c>
      <c r="BU507" s="34"/>
      <c r="BV507" s="34"/>
      <c r="BW507" s="34"/>
      <c r="BX507" s="34"/>
      <c r="BY507" s="30"/>
      <c r="BZ507" s="31">
        <f t="shared" ref="BZ507:BZ530" si="112">(BT507*BP507)+(BV507*BX507)</f>
        <v>217.09</v>
      </c>
      <c r="CA507" s="31">
        <f t="shared" si="88"/>
        <v>319.25</v>
      </c>
    </row>
    <row r="508" spans="1:79" ht="51" x14ac:dyDescent="0.25">
      <c r="A508" s="17"/>
      <c r="B508" s="2">
        <v>496</v>
      </c>
      <c r="C508" s="18">
        <v>218</v>
      </c>
      <c r="D508" s="21">
        <v>408</v>
      </c>
      <c r="E508" s="19">
        <v>0.57638888888888895</v>
      </c>
      <c r="F508" s="19">
        <v>0.57986111111111105</v>
      </c>
      <c r="G508" s="18" t="s">
        <v>1112</v>
      </c>
      <c r="H508" s="18" t="s">
        <v>306</v>
      </c>
      <c r="I508" s="20">
        <v>4</v>
      </c>
      <c r="J508" s="21" t="s">
        <v>571</v>
      </c>
      <c r="K508" s="22">
        <v>208</v>
      </c>
      <c r="L508" s="23">
        <f t="shared" si="95"/>
        <v>832</v>
      </c>
      <c r="M508" s="44" t="s">
        <v>123</v>
      </c>
      <c r="N508" s="25" t="s">
        <v>124</v>
      </c>
      <c r="O508" s="25">
        <v>17</v>
      </c>
      <c r="P508" s="45" t="s">
        <v>125</v>
      </c>
      <c r="Q508" s="45">
        <v>21</v>
      </c>
      <c r="R508" s="17"/>
      <c r="S508" s="25"/>
      <c r="T508" s="26">
        <v>2054</v>
      </c>
      <c r="U508" s="26" t="s">
        <v>127</v>
      </c>
      <c r="V508" s="26" t="s">
        <v>1110</v>
      </c>
      <c r="W508" s="26" t="s">
        <v>1111</v>
      </c>
      <c r="X508" s="66">
        <v>44816</v>
      </c>
      <c r="Y508" s="66">
        <v>45086</v>
      </c>
      <c r="Z508" s="66"/>
      <c r="AA508" s="66"/>
      <c r="AB508" s="26" t="s">
        <v>309</v>
      </c>
      <c r="AC508" s="26"/>
      <c r="AD508" s="28"/>
      <c r="AE508" s="28"/>
      <c r="AF508" s="28"/>
      <c r="AG508" s="28" t="s">
        <v>90</v>
      </c>
      <c r="AH508" s="28" t="s">
        <v>90</v>
      </c>
      <c r="AI508" s="28" t="s">
        <v>90</v>
      </c>
      <c r="AJ508" s="28" t="s">
        <v>90</v>
      </c>
      <c r="AK508" s="28" t="s">
        <v>90</v>
      </c>
      <c r="AL508" s="28" t="s">
        <v>90</v>
      </c>
      <c r="AM508" s="28" t="s">
        <v>90</v>
      </c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9">
        <v>12.77</v>
      </c>
      <c r="AY508" s="31"/>
      <c r="AZ508" s="30"/>
      <c r="BA508" s="29"/>
      <c r="BB508" s="29"/>
      <c r="BC508" s="30"/>
      <c r="BD508" s="31">
        <f t="shared" si="106"/>
        <v>2656.16</v>
      </c>
      <c r="BE508" s="31"/>
      <c r="BF508" s="30"/>
      <c r="BG508" s="36">
        <v>1</v>
      </c>
      <c r="BH508" s="31">
        <f t="shared" si="107"/>
        <v>0</v>
      </c>
      <c r="BI508" s="31">
        <f t="shared" si="108"/>
        <v>0</v>
      </c>
      <c r="BJ508" s="33">
        <f t="shared" si="109"/>
        <v>0</v>
      </c>
      <c r="BK508" s="30"/>
      <c r="BL508" s="30"/>
      <c r="BM508" s="30"/>
      <c r="BN508" s="30"/>
      <c r="BO508" s="33">
        <f t="shared" si="110"/>
        <v>0</v>
      </c>
      <c r="BP508" s="30">
        <v>17</v>
      </c>
      <c r="BQ508" s="30">
        <v>25</v>
      </c>
      <c r="BR508" s="30"/>
      <c r="BS508" s="30"/>
      <c r="BT508" s="34">
        <f t="shared" si="111"/>
        <v>12.77</v>
      </c>
      <c r="BU508" s="34"/>
      <c r="BV508" s="34"/>
      <c r="BW508" s="34"/>
      <c r="BX508" s="34"/>
      <c r="BY508" s="30"/>
      <c r="BZ508" s="31">
        <f t="shared" si="112"/>
        <v>217.09</v>
      </c>
      <c r="CA508" s="31">
        <f t="shared" si="88"/>
        <v>319.25</v>
      </c>
    </row>
    <row r="509" spans="1:79" ht="63.75" x14ac:dyDescent="0.25">
      <c r="A509" s="17"/>
      <c r="B509" s="2">
        <v>497</v>
      </c>
      <c r="C509" s="18">
        <v>218</v>
      </c>
      <c r="D509" s="21">
        <v>410</v>
      </c>
      <c r="E509" s="19">
        <v>0.60069444444444442</v>
      </c>
      <c r="F509" s="59">
        <v>0.60833333333333328</v>
      </c>
      <c r="G509" s="18" t="s">
        <v>1113</v>
      </c>
      <c r="H509" s="18" t="s">
        <v>306</v>
      </c>
      <c r="I509" s="20">
        <v>7.5</v>
      </c>
      <c r="J509" s="21" t="s">
        <v>571</v>
      </c>
      <c r="K509" s="22">
        <v>208</v>
      </c>
      <c r="L509" s="23">
        <f t="shared" si="95"/>
        <v>1560</v>
      </c>
      <c r="M509" s="44" t="s">
        <v>123</v>
      </c>
      <c r="N509" s="25" t="s">
        <v>124</v>
      </c>
      <c r="O509" s="25">
        <v>17</v>
      </c>
      <c r="P509" s="45" t="s">
        <v>125</v>
      </c>
      <c r="Q509" s="45">
        <v>21</v>
      </c>
      <c r="R509" s="17"/>
      <c r="S509" s="25"/>
      <c r="T509" s="26">
        <v>2054</v>
      </c>
      <c r="U509" s="26" t="s">
        <v>127</v>
      </c>
      <c r="V509" s="26">
        <v>2057</v>
      </c>
      <c r="W509" s="26" t="s">
        <v>126</v>
      </c>
      <c r="X509" s="66">
        <v>44816</v>
      </c>
      <c r="Y509" s="66">
        <v>45086</v>
      </c>
      <c r="Z509" s="66"/>
      <c r="AA509" s="66"/>
      <c r="AB509" s="26" t="s">
        <v>309</v>
      </c>
      <c r="AC509" s="26"/>
      <c r="AD509" s="28"/>
      <c r="AE509" s="28"/>
      <c r="AF509" s="28"/>
      <c r="AG509" s="28" t="s">
        <v>90</v>
      </c>
      <c r="AH509" s="28" t="s">
        <v>90</v>
      </c>
      <c r="AI509" s="28" t="s">
        <v>90</v>
      </c>
      <c r="AJ509" s="28" t="s">
        <v>90</v>
      </c>
      <c r="AK509" s="28" t="s">
        <v>90</v>
      </c>
      <c r="AL509" s="28" t="s">
        <v>90</v>
      </c>
      <c r="AM509" s="28" t="s">
        <v>90</v>
      </c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9">
        <f>12.77+6.3</f>
        <v>19.07</v>
      </c>
      <c r="AY509" s="31"/>
      <c r="AZ509" s="30"/>
      <c r="BA509" s="29"/>
      <c r="BB509" s="29"/>
      <c r="BC509" s="30"/>
      <c r="BD509" s="31">
        <f t="shared" si="106"/>
        <v>3966.56</v>
      </c>
      <c r="BE509" s="31"/>
      <c r="BF509" s="30"/>
      <c r="BG509" s="36">
        <v>1</v>
      </c>
      <c r="BH509" s="31">
        <f t="shared" si="107"/>
        <v>0</v>
      </c>
      <c r="BI509" s="31">
        <f t="shared" si="108"/>
        <v>0</v>
      </c>
      <c r="BJ509" s="33">
        <f t="shared" si="109"/>
        <v>0</v>
      </c>
      <c r="BK509" s="30"/>
      <c r="BL509" s="30"/>
      <c r="BM509" s="30"/>
      <c r="BN509" s="30"/>
      <c r="BO509" s="33">
        <f t="shared" si="110"/>
        <v>0</v>
      </c>
      <c r="BP509" s="30">
        <v>17</v>
      </c>
      <c r="BQ509" s="30">
        <v>25</v>
      </c>
      <c r="BR509" s="30"/>
      <c r="BS509" s="30"/>
      <c r="BT509" s="34">
        <f t="shared" si="111"/>
        <v>19.07</v>
      </c>
      <c r="BU509" s="34"/>
      <c r="BV509" s="34"/>
      <c r="BW509" s="34"/>
      <c r="BX509" s="34"/>
      <c r="BY509" s="30"/>
      <c r="BZ509" s="31">
        <f t="shared" si="112"/>
        <v>324.19</v>
      </c>
      <c r="CA509" s="31">
        <f t="shared" si="88"/>
        <v>476.75</v>
      </c>
    </row>
    <row r="510" spans="1:79" ht="51" x14ac:dyDescent="0.25">
      <c r="A510" s="17"/>
      <c r="B510" s="2">
        <v>498</v>
      </c>
      <c r="C510" s="104">
        <v>224</v>
      </c>
      <c r="D510" s="21">
        <v>149</v>
      </c>
      <c r="E510" s="19">
        <v>0.27430555555555552</v>
      </c>
      <c r="F510" s="19">
        <v>0.28402777777777777</v>
      </c>
      <c r="G510" s="18" t="s">
        <v>785</v>
      </c>
      <c r="H510" s="18" t="s">
        <v>306</v>
      </c>
      <c r="I510" s="20">
        <v>10</v>
      </c>
      <c r="J510" s="21" t="s">
        <v>571</v>
      </c>
      <c r="K510" s="22">
        <v>208</v>
      </c>
      <c r="L510" s="23">
        <f t="shared" si="95"/>
        <v>2080</v>
      </c>
      <c r="M510" s="44" t="s">
        <v>123</v>
      </c>
      <c r="N510" s="25" t="s">
        <v>1114</v>
      </c>
      <c r="O510" s="25">
        <v>9</v>
      </c>
      <c r="P510" s="45" t="s">
        <v>1115</v>
      </c>
      <c r="Q510" s="45">
        <v>7</v>
      </c>
      <c r="R510" s="17"/>
      <c r="S510" s="25"/>
      <c r="T510" s="26">
        <v>2670</v>
      </c>
      <c r="U510" s="26" t="s">
        <v>780</v>
      </c>
      <c r="V510" s="26">
        <v>2049</v>
      </c>
      <c r="W510" s="26" t="s">
        <v>783</v>
      </c>
      <c r="X510" s="66">
        <v>44816</v>
      </c>
      <c r="Y510" s="66">
        <v>45086</v>
      </c>
      <c r="Z510" s="66"/>
      <c r="AA510" s="66"/>
      <c r="AB510" s="26" t="s">
        <v>309</v>
      </c>
      <c r="AC510" s="26"/>
      <c r="AD510" s="28"/>
      <c r="AE510" s="28"/>
      <c r="AF510" s="28"/>
      <c r="AG510" s="28" t="s">
        <v>90</v>
      </c>
      <c r="AH510" s="28" t="s">
        <v>90</v>
      </c>
      <c r="AI510" s="28" t="s">
        <v>90</v>
      </c>
      <c r="AJ510" s="28" t="s">
        <v>90</v>
      </c>
      <c r="AK510" s="28" t="s">
        <v>90</v>
      </c>
      <c r="AL510" s="28" t="s">
        <v>90</v>
      </c>
      <c r="AM510" s="28" t="s">
        <v>90</v>
      </c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9">
        <v>30</v>
      </c>
      <c r="AY510" s="31"/>
      <c r="AZ510" s="30"/>
      <c r="BA510" s="29"/>
      <c r="BB510" s="29"/>
      <c r="BC510" s="30"/>
      <c r="BD510" s="31">
        <f t="shared" si="106"/>
        <v>6240</v>
      </c>
      <c r="BE510" s="31"/>
      <c r="BF510" s="30"/>
      <c r="BG510" s="36">
        <v>1</v>
      </c>
      <c r="BH510" s="31">
        <f t="shared" si="107"/>
        <v>0</v>
      </c>
      <c r="BI510" s="31">
        <f t="shared" si="108"/>
        <v>0</v>
      </c>
      <c r="BJ510" s="33">
        <f t="shared" si="109"/>
        <v>0</v>
      </c>
      <c r="BK510" s="30"/>
      <c r="BL510" s="30"/>
      <c r="BM510" s="30"/>
      <c r="BN510" s="31">
        <f>IF((AX510+AY510+AZ510)&lt;20,(20-(AX510+AY510+AZ510)),0)</f>
        <v>0</v>
      </c>
      <c r="BO510" s="33">
        <f t="shared" si="110"/>
        <v>0</v>
      </c>
      <c r="BP510" s="30">
        <v>17</v>
      </c>
      <c r="BQ510" s="30">
        <v>25</v>
      </c>
      <c r="BR510" s="30"/>
      <c r="BS510" s="30"/>
      <c r="BT510" s="34">
        <f t="shared" si="111"/>
        <v>30</v>
      </c>
      <c r="BU510" s="34"/>
      <c r="BV510" s="34"/>
      <c r="BW510" s="34"/>
      <c r="BX510" s="34"/>
      <c r="BY510" s="30"/>
      <c r="BZ510" s="31">
        <f t="shared" si="112"/>
        <v>510</v>
      </c>
      <c r="CA510" s="31">
        <f t="shared" si="88"/>
        <v>750</v>
      </c>
    </row>
    <row r="511" spans="1:79" ht="63.75" x14ac:dyDescent="0.25">
      <c r="A511" s="25"/>
      <c r="B511" s="2">
        <v>499</v>
      </c>
      <c r="C511" s="18">
        <v>231</v>
      </c>
      <c r="D511" s="18">
        <v>62</v>
      </c>
      <c r="E511" s="59">
        <v>0.27916666666666667</v>
      </c>
      <c r="F511" s="59">
        <v>0.32291666666666669</v>
      </c>
      <c r="G511" s="18" t="s">
        <v>1116</v>
      </c>
      <c r="H511" s="18" t="s">
        <v>1117</v>
      </c>
      <c r="I511" s="20">
        <v>33</v>
      </c>
      <c r="J511" s="21" t="s">
        <v>81</v>
      </c>
      <c r="K511" s="22">
        <v>287</v>
      </c>
      <c r="L511" s="23">
        <f t="shared" si="95"/>
        <v>9471</v>
      </c>
      <c r="M511" s="24" t="s">
        <v>114</v>
      </c>
      <c r="N511" s="25" t="s">
        <v>115</v>
      </c>
      <c r="O511" s="25">
        <v>54</v>
      </c>
      <c r="P511" s="25" t="s">
        <v>116</v>
      </c>
      <c r="Q511" s="25">
        <v>45</v>
      </c>
      <c r="R511" s="25" t="s">
        <v>770</v>
      </c>
      <c r="S511" s="25">
        <v>37</v>
      </c>
      <c r="T511" s="26">
        <v>2290</v>
      </c>
      <c r="U511" s="26" t="s">
        <v>118</v>
      </c>
      <c r="V511" s="26">
        <v>958</v>
      </c>
      <c r="W511" s="26" t="s">
        <v>1118</v>
      </c>
      <c r="X511" s="27">
        <v>44816</v>
      </c>
      <c r="Y511" s="27">
        <v>45100</v>
      </c>
      <c r="Z511" s="27"/>
      <c r="AA511" s="27"/>
      <c r="AB511" s="26" t="s">
        <v>1117</v>
      </c>
      <c r="AC511" s="26"/>
      <c r="AD511" s="28" t="s">
        <v>90</v>
      </c>
      <c r="AE511" s="28"/>
      <c r="AF511" s="28" t="s">
        <v>90</v>
      </c>
      <c r="AG511" s="28"/>
      <c r="AH511" s="28" t="s">
        <v>90</v>
      </c>
      <c r="AI511" s="28" t="s">
        <v>90</v>
      </c>
      <c r="AJ511" s="28" t="s">
        <v>90</v>
      </c>
      <c r="AK511" s="28" t="s">
        <v>90</v>
      </c>
      <c r="AL511" s="28" t="s">
        <v>90</v>
      </c>
      <c r="AM511" s="28" t="s">
        <v>90</v>
      </c>
      <c r="AN511" s="28" t="s">
        <v>90</v>
      </c>
      <c r="AO511" s="28"/>
      <c r="AP511" s="28"/>
      <c r="AQ511" s="28"/>
      <c r="AR511" s="28"/>
      <c r="AS511" s="28"/>
      <c r="AT511" s="28"/>
      <c r="AU511" s="28"/>
      <c r="AV511" s="28"/>
      <c r="AW511" s="28"/>
      <c r="AX511" s="29">
        <v>118.06</v>
      </c>
      <c r="AY511" s="31"/>
      <c r="AZ511" s="30"/>
      <c r="BA511" s="29"/>
      <c r="BB511" s="29"/>
      <c r="BC511" s="30"/>
      <c r="BD511" s="31">
        <f t="shared" si="106"/>
        <v>33883.22</v>
      </c>
      <c r="BE511" s="31"/>
      <c r="BF511" s="30"/>
      <c r="BG511" s="32">
        <v>2</v>
      </c>
      <c r="BH511" s="31">
        <f t="shared" si="107"/>
        <v>0</v>
      </c>
      <c r="BI511" s="31">
        <f t="shared" si="108"/>
        <v>0</v>
      </c>
      <c r="BJ511" s="33">
        <f t="shared" si="109"/>
        <v>0</v>
      </c>
      <c r="BK511" s="30"/>
      <c r="BL511" s="30"/>
      <c r="BM511" s="30"/>
      <c r="BN511" s="31">
        <f>IF((AX511+AY511+AZ511)&lt;20,(20-(AX511+AY511+AZ511)),0)</f>
        <v>0</v>
      </c>
      <c r="BO511" s="33">
        <f t="shared" si="110"/>
        <v>0</v>
      </c>
      <c r="BP511" s="30">
        <v>19</v>
      </c>
      <c r="BQ511" s="30">
        <v>31</v>
      </c>
      <c r="BR511" s="30"/>
      <c r="BS511" s="30"/>
      <c r="BT511" s="34">
        <f t="shared" si="111"/>
        <v>118.06</v>
      </c>
      <c r="BU511" s="34"/>
      <c r="BV511" s="34"/>
      <c r="BW511" s="34"/>
      <c r="BX511" s="34"/>
      <c r="BY511" s="30"/>
      <c r="BZ511" s="31">
        <f t="shared" si="112"/>
        <v>2243.14</v>
      </c>
      <c r="CA511" s="31">
        <f t="shared" si="88"/>
        <v>3659.86</v>
      </c>
    </row>
    <row r="512" spans="1:79" ht="90" x14ac:dyDescent="0.25">
      <c r="A512" s="17"/>
      <c r="B512" s="2">
        <v>500</v>
      </c>
      <c r="C512" s="18">
        <v>231</v>
      </c>
      <c r="D512" s="18">
        <v>63</v>
      </c>
      <c r="E512" s="19">
        <v>0.2986111111111111</v>
      </c>
      <c r="F512" s="19">
        <v>0.30208333333333331</v>
      </c>
      <c r="G512" s="18" t="s">
        <v>1119</v>
      </c>
      <c r="H512" s="18" t="s">
        <v>273</v>
      </c>
      <c r="I512" s="20">
        <v>2</v>
      </c>
      <c r="J512" s="21" t="s">
        <v>380</v>
      </c>
      <c r="K512" s="22">
        <v>174</v>
      </c>
      <c r="L512" s="23">
        <f t="shared" si="95"/>
        <v>348</v>
      </c>
      <c r="M512" s="24" t="s">
        <v>170</v>
      </c>
      <c r="N512" s="25" t="s">
        <v>1003</v>
      </c>
      <c r="O512" s="25">
        <v>17</v>
      </c>
      <c r="P512" s="25" t="s">
        <v>1012</v>
      </c>
      <c r="Q512" s="25">
        <v>17</v>
      </c>
      <c r="R512" s="25"/>
      <c r="S512" s="25"/>
      <c r="T512" s="26">
        <v>2439</v>
      </c>
      <c r="U512" s="26" t="s">
        <v>1120</v>
      </c>
      <c r="V512" s="26">
        <v>2440</v>
      </c>
      <c r="W512" s="26" t="s">
        <v>1121</v>
      </c>
      <c r="X512" s="66">
        <v>44816</v>
      </c>
      <c r="Y512" s="66">
        <v>45086</v>
      </c>
      <c r="Z512" s="66"/>
      <c r="AA512" s="66"/>
      <c r="AB512" s="26" t="s">
        <v>282</v>
      </c>
      <c r="AC512" s="26"/>
      <c r="AD512" s="28"/>
      <c r="AE512" s="28"/>
      <c r="AF512" s="28"/>
      <c r="AG512" s="28" t="s">
        <v>90</v>
      </c>
      <c r="AH512" s="28" t="s">
        <v>90</v>
      </c>
      <c r="AI512" s="28" t="s">
        <v>90</v>
      </c>
      <c r="AJ512" s="28" t="s">
        <v>90</v>
      </c>
      <c r="AK512" s="28" t="s">
        <v>90</v>
      </c>
      <c r="AL512" s="28" t="s">
        <v>90</v>
      </c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31">
        <v>10</v>
      </c>
      <c r="AY512" s="31"/>
      <c r="AZ512" s="30"/>
      <c r="BA512" s="31"/>
      <c r="BB512" s="31"/>
      <c r="BC512" s="30"/>
      <c r="BD512" s="31">
        <f t="shared" si="106"/>
        <v>1740</v>
      </c>
      <c r="BE512" s="31"/>
      <c r="BF512" s="30"/>
      <c r="BG512" s="36">
        <v>1</v>
      </c>
      <c r="BH512" s="31">
        <f t="shared" si="107"/>
        <v>0</v>
      </c>
      <c r="BI512" s="31">
        <f t="shared" si="108"/>
        <v>0</v>
      </c>
      <c r="BJ512" s="33">
        <f t="shared" si="109"/>
        <v>0</v>
      </c>
      <c r="BK512" s="30"/>
      <c r="BL512" s="30"/>
      <c r="BM512" s="30"/>
      <c r="BN512" s="30"/>
      <c r="BO512" s="33">
        <f t="shared" si="110"/>
        <v>0</v>
      </c>
      <c r="BP512" s="30">
        <v>15</v>
      </c>
      <c r="BQ512" s="30">
        <v>20</v>
      </c>
      <c r="BR512" s="30"/>
      <c r="BS512" s="30"/>
      <c r="BT512" s="34">
        <f t="shared" si="111"/>
        <v>10</v>
      </c>
      <c r="BU512" s="34"/>
      <c r="BV512" s="34"/>
      <c r="BW512" s="34"/>
      <c r="BX512" s="34"/>
      <c r="BY512" s="30"/>
      <c r="BZ512" s="31">
        <f t="shared" si="112"/>
        <v>150</v>
      </c>
      <c r="CA512" s="31">
        <f t="shared" si="88"/>
        <v>200</v>
      </c>
    </row>
    <row r="513" spans="1:79" ht="38.25" x14ac:dyDescent="0.25">
      <c r="A513" s="17" t="s">
        <v>147</v>
      </c>
      <c r="B513" s="2">
        <v>501</v>
      </c>
      <c r="C513" s="37">
        <v>231</v>
      </c>
      <c r="D513" s="87">
        <v>253</v>
      </c>
      <c r="E513" s="86">
        <v>0.32777777777777778</v>
      </c>
      <c r="F513" s="38">
        <v>0.37361111111111112</v>
      </c>
      <c r="G513" s="39" t="s">
        <v>1122</v>
      </c>
      <c r="H513" s="18" t="s">
        <v>422</v>
      </c>
      <c r="I513" s="37">
        <v>33</v>
      </c>
      <c r="J513" s="40">
        <v>50</v>
      </c>
      <c r="K513" s="22">
        <v>240</v>
      </c>
      <c r="L513" s="23">
        <f t="shared" si="95"/>
        <v>7920</v>
      </c>
      <c r="M513" s="24" t="s">
        <v>114</v>
      </c>
      <c r="N513" s="25" t="s">
        <v>115</v>
      </c>
      <c r="O513" s="25">
        <v>54</v>
      </c>
      <c r="P513" s="25" t="s">
        <v>116</v>
      </c>
      <c r="Q513" s="25">
        <v>45</v>
      </c>
      <c r="R513" s="25" t="s">
        <v>770</v>
      </c>
      <c r="S513" s="25">
        <v>37</v>
      </c>
      <c r="T513" s="26">
        <v>958</v>
      </c>
      <c r="U513" s="26" t="s">
        <v>1118</v>
      </c>
      <c r="V513" s="26">
        <v>2290</v>
      </c>
      <c r="W513" s="26" t="s">
        <v>118</v>
      </c>
      <c r="X513" s="27">
        <v>44816</v>
      </c>
      <c r="Y513" s="27">
        <v>45100</v>
      </c>
      <c r="Z513" s="27"/>
      <c r="AA513" s="27"/>
      <c r="AB513" s="26" t="s">
        <v>423</v>
      </c>
      <c r="AC513" s="26"/>
      <c r="AD513" s="28" t="s">
        <v>90</v>
      </c>
      <c r="AE513" s="28"/>
      <c r="AF513" s="28" t="s">
        <v>90</v>
      </c>
      <c r="AG513" s="28"/>
      <c r="AH513" s="28" t="s">
        <v>90</v>
      </c>
      <c r="AI513" s="28" t="s">
        <v>90</v>
      </c>
      <c r="AJ513" s="28" t="s">
        <v>90</v>
      </c>
      <c r="AK513" s="28" t="s">
        <v>90</v>
      </c>
      <c r="AL513" s="28" t="s">
        <v>90</v>
      </c>
      <c r="AM513" s="28" t="s">
        <v>90</v>
      </c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9"/>
      <c r="AY513" s="31"/>
      <c r="AZ513" s="31">
        <f>3*I513</f>
        <v>99</v>
      </c>
      <c r="BA513" s="29"/>
      <c r="BB513" s="29"/>
      <c r="BC513" s="30"/>
      <c r="BD513" s="30"/>
      <c r="BE513" s="30"/>
      <c r="BF513" s="31">
        <f>AZ513*K513</f>
        <v>23760</v>
      </c>
      <c r="BG513" s="32">
        <v>2</v>
      </c>
      <c r="BH513" s="36"/>
      <c r="BI513" s="47"/>
      <c r="BJ513" s="36"/>
      <c r="BK513" s="36"/>
      <c r="BL513" s="36"/>
      <c r="BM513" s="36"/>
      <c r="BN513" s="30"/>
      <c r="BO513" s="33">
        <f t="shared" si="110"/>
        <v>0</v>
      </c>
      <c r="BP513" s="30">
        <v>17</v>
      </c>
      <c r="BQ513" s="30">
        <v>26</v>
      </c>
      <c r="BR513" s="30"/>
      <c r="BS513" s="30"/>
      <c r="BT513" s="34">
        <f t="shared" si="111"/>
        <v>99</v>
      </c>
      <c r="BU513" s="34"/>
      <c r="BV513" s="34"/>
      <c r="BW513" s="34"/>
      <c r="BX513" s="34"/>
      <c r="BY513" s="30"/>
      <c r="BZ513" s="31">
        <f t="shared" si="112"/>
        <v>1683</v>
      </c>
      <c r="CA513" s="31">
        <f t="shared" si="88"/>
        <v>2574</v>
      </c>
    </row>
    <row r="514" spans="1:79" ht="38.25" x14ac:dyDescent="0.25">
      <c r="A514" s="17" t="s">
        <v>112</v>
      </c>
      <c r="B514" s="2">
        <v>502</v>
      </c>
      <c r="C514" s="37">
        <v>231</v>
      </c>
      <c r="D514" s="37">
        <v>932</v>
      </c>
      <c r="E514" s="38">
        <v>0.4694444444444445</v>
      </c>
      <c r="F514" s="38">
        <v>0.5131944444444444</v>
      </c>
      <c r="G514" s="39" t="s">
        <v>1123</v>
      </c>
      <c r="H514" s="18" t="s">
        <v>290</v>
      </c>
      <c r="I514" s="37">
        <v>33</v>
      </c>
      <c r="J514" s="40">
        <v>50</v>
      </c>
      <c r="K514" s="41">
        <v>13</v>
      </c>
      <c r="L514" s="23">
        <f t="shared" si="95"/>
        <v>429</v>
      </c>
      <c r="M514" s="83" t="s">
        <v>160</v>
      </c>
      <c r="N514" s="25" t="s">
        <v>161</v>
      </c>
      <c r="O514" s="25">
        <v>54</v>
      </c>
      <c r="P514" s="25" t="s">
        <v>162</v>
      </c>
      <c r="Q514" s="25">
        <v>56</v>
      </c>
      <c r="R514" s="25"/>
      <c r="S514" s="25"/>
      <c r="T514" s="26">
        <v>2290</v>
      </c>
      <c r="U514" s="26" t="s">
        <v>118</v>
      </c>
      <c r="V514" s="26">
        <v>958</v>
      </c>
      <c r="W514" s="26" t="s">
        <v>1118</v>
      </c>
      <c r="X514" s="27">
        <v>44562</v>
      </c>
      <c r="Y514" s="27">
        <v>44815</v>
      </c>
      <c r="Z514" s="27">
        <v>45101</v>
      </c>
      <c r="AA514" s="27">
        <v>45169</v>
      </c>
      <c r="AB514" s="62" t="s">
        <v>291</v>
      </c>
      <c r="AC514" s="62"/>
      <c r="AD514" s="28"/>
      <c r="AE514" s="28" t="s">
        <v>90</v>
      </c>
      <c r="AF514" s="28"/>
      <c r="AG514" s="28"/>
      <c r="AH514" s="28"/>
      <c r="AI514" s="28"/>
      <c r="AJ514" s="28"/>
      <c r="AK514" s="28"/>
      <c r="AL514" s="28"/>
      <c r="AM514" s="28"/>
      <c r="AN514" s="28" t="s">
        <v>90</v>
      </c>
      <c r="AO514" s="28"/>
      <c r="AP514" s="28"/>
      <c r="AQ514" s="28"/>
      <c r="AR514" s="28"/>
      <c r="AS514" s="28"/>
      <c r="AT514" s="28"/>
      <c r="AU514" s="28"/>
      <c r="AV514" s="28"/>
      <c r="AW514" s="28"/>
      <c r="AX514" s="29"/>
      <c r="AY514" s="31"/>
      <c r="AZ514" s="30"/>
      <c r="BA514" s="42"/>
      <c r="BB514" s="55" t="s">
        <v>767</v>
      </c>
      <c r="BC514" s="30"/>
      <c r="BD514" s="31">
        <f>AX514*K514</f>
        <v>0</v>
      </c>
      <c r="BE514" s="30"/>
      <c r="BF514" s="30"/>
      <c r="BG514" s="32">
        <v>2</v>
      </c>
      <c r="BH514" s="30"/>
      <c r="BI514" s="31"/>
      <c r="BJ514" s="30"/>
      <c r="BK514" s="30"/>
      <c r="BL514" s="30"/>
      <c r="BM514" s="30"/>
      <c r="BN514" s="30"/>
      <c r="BO514" s="33">
        <f t="shared" si="110"/>
        <v>0</v>
      </c>
      <c r="BP514" s="30">
        <v>2</v>
      </c>
      <c r="BQ514" s="30">
        <v>0</v>
      </c>
      <c r="BR514" s="30"/>
      <c r="BS514" s="30"/>
      <c r="BT514" s="34">
        <f t="shared" si="111"/>
        <v>0</v>
      </c>
      <c r="BU514" s="34"/>
      <c r="BV514" s="34"/>
      <c r="BW514" s="34"/>
      <c r="BX514" s="34"/>
      <c r="BY514" s="30"/>
      <c r="BZ514" s="31">
        <f t="shared" si="112"/>
        <v>0</v>
      </c>
      <c r="CA514" s="31">
        <f t="shared" si="88"/>
        <v>0</v>
      </c>
    </row>
    <row r="515" spans="1:79" ht="34.5" x14ac:dyDescent="0.25">
      <c r="A515" s="17" t="s">
        <v>112</v>
      </c>
      <c r="B515" s="2">
        <v>503</v>
      </c>
      <c r="C515" s="37">
        <v>231</v>
      </c>
      <c r="D515" s="37">
        <v>971</v>
      </c>
      <c r="E515" s="38">
        <v>0.57847222222222217</v>
      </c>
      <c r="F515" s="38">
        <v>0.62361111111111112</v>
      </c>
      <c r="G515" s="39" t="s">
        <v>1122</v>
      </c>
      <c r="H515" s="18" t="s">
        <v>290</v>
      </c>
      <c r="I515" s="37">
        <v>33</v>
      </c>
      <c r="J515" s="40">
        <v>50</v>
      </c>
      <c r="K515" s="41">
        <v>13</v>
      </c>
      <c r="L515" s="23">
        <f t="shared" si="95"/>
        <v>429</v>
      </c>
      <c r="M515" s="83" t="s">
        <v>160</v>
      </c>
      <c r="N515" s="25" t="s">
        <v>161</v>
      </c>
      <c r="O515" s="25">
        <v>54</v>
      </c>
      <c r="P515" s="25" t="s">
        <v>162</v>
      </c>
      <c r="Q515" s="25">
        <v>56</v>
      </c>
      <c r="R515" s="25"/>
      <c r="S515" s="25"/>
      <c r="T515" s="26">
        <v>958</v>
      </c>
      <c r="U515" s="26" t="s">
        <v>1118</v>
      </c>
      <c r="V515" s="26">
        <v>2290</v>
      </c>
      <c r="W515" s="26" t="s">
        <v>118</v>
      </c>
      <c r="X515" s="27">
        <v>44562</v>
      </c>
      <c r="Y515" s="27">
        <v>44815</v>
      </c>
      <c r="Z515" s="27">
        <v>45101</v>
      </c>
      <c r="AA515" s="27">
        <v>45169</v>
      </c>
      <c r="AB515" s="62" t="s">
        <v>291</v>
      </c>
      <c r="AC515" s="62"/>
      <c r="AD515" s="28"/>
      <c r="AE515" s="28" t="s">
        <v>90</v>
      </c>
      <c r="AF515" s="28"/>
      <c r="AG515" s="28"/>
      <c r="AH515" s="28"/>
      <c r="AI515" s="28"/>
      <c r="AJ515" s="28"/>
      <c r="AK515" s="28"/>
      <c r="AL515" s="28"/>
      <c r="AM515" s="28"/>
      <c r="AN515" s="28" t="s">
        <v>90</v>
      </c>
      <c r="AO515" s="28"/>
      <c r="AP515" s="28"/>
      <c r="AQ515" s="28"/>
      <c r="AR515" s="28"/>
      <c r="AS515" s="28"/>
      <c r="AT515" s="28"/>
      <c r="AU515" s="28"/>
      <c r="AV515" s="28"/>
      <c r="AW515" s="28"/>
      <c r="AX515" s="29"/>
      <c r="AY515" s="31"/>
      <c r="AZ515" s="30"/>
      <c r="BA515" s="42"/>
      <c r="BB515" s="55" t="s">
        <v>767</v>
      </c>
      <c r="BC515" s="30"/>
      <c r="BD515" s="31">
        <f>AX515*K515</f>
        <v>0</v>
      </c>
      <c r="BE515" s="30"/>
      <c r="BF515" s="30"/>
      <c r="BG515" s="32">
        <v>2</v>
      </c>
      <c r="BH515" s="30"/>
      <c r="BI515" s="31"/>
      <c r="BJ515" s="30"/>
      <c r="BK515" s="30"/>
      <c r="BL515" s="30"/>
      <c r="BM515" s="30"/>
      <c r="BN515" s="30"/>
      <c r="BO515" s="33">
        <f t="shared" si="110"/>
        <v>0</v>
      </c>
      <c r="BP515" s="30">
        <v>2</v>
      </c>
      <c r="BQ515" s="30">
        <v>0</v>
      </c>
      <c r="BR515" s="30"/>
      <c r="BS515" s="30"/>
      <c r="BT515" s="34">
        <f t="shared" si="111"/>
        <v>0</v>
      </c>
      <c r="BU515" s="34"/>
      <c r="BV515" s="34"/>
      <c r="BW515" s="34"/>
      <c r="BX515" s="34"/>
      <c r="BY515" s="30"/>
      <c r="BZ515" s="31">
        <f t="shared" si="112"/>
        <v>0</v>
      </c>
      <c r="CA515" s="31">
        <f t="shared" ref="CA515:CA578" si="113">(BT515*BQ515)+(BW515*BX515)</f>
        <v>0</v>
      </c>
    </row>
    <row r="516" spans="1:79" ht="38.25" x14ac:dyDescent="0.25">
      <c r="A516" s="17" t="s">
        <v>147</v>
      </c>
      <c r="B516" s="2">
        <v>504</v>
      </c>
      <c r="C516" s="37">
        <v>231</v>
      </c>
      <c r="D516" s="87">
        <v>978</v>
      </c>
      <c r="E516" s="38">
        <v>0.67013888888888884</v>
      </c>
      <c r="F516" s="38">
        <v>0.71388888888888891</v>
      </c>
      <c r="G516" s="39" t="s">
        <v>1123</v>
      </c>
      <c r="H516" s="18" t="s">
        <v>349</v>
      </c>
      <c r="I516" s="37">
        <v>33</v>
      </c>
      <c r="J516" s="40">
        <v>50</v>
      </c>
      <c r="K516" s="22">
        <v>202</v>
      </c>
      <c r="L516" s="23">
        <f t="shared" si="95"/>
        <v>6666</v>
      </c>
      <c r="M516" s="24" t="s">
        <v>114</v>
      </c>
      <c r="N516" s="25" t="s">
        <v>115</v>
      </c>
      <c r="O516" s="25">
        <v>54</v>
      </c>
      <c r="P516" s="25" t="s">
        <v>770</v>
      </c>
      <c r="Q516" s="25">
        <v>37</v>
      </c>
      <c r="R516" s="25" t="s">
        <v>1124</v>
      </c>
      <c r="S516" s="25">
        <v>45</v>
      </c>
      <c r="T516" s="26">
        <v>2290</v>
      </c>
      <c r="U516" s="26" t="s">
        <v>118</v>
      </c>
      <c r="V516" s="26">
        <v>958</v>
      </c>
      <c r="W516" s="26" t="s">
        <v>1118</v>
      </c>
      <c r="X516" s="27">
        <v>44816</v>
      </c>
      <c r="Y516" s="27">
        <v>45100</v>
      </c>
      <c r="Z516" s="27"/>
      <c r="AA516" s="27"/>
      <c r="AB516" s="26" t="s">
        <v>351</v>
      </c>
      <c r="AC516" s="26"/>
      <c r="AD516" s="28" t="s">
        <v>90</v>
      </c>
      <c r="AE516" s="28"/>
      <c r="AF516" s="28" t="s">
        <v>90</v>
      </c>
      <c r="AG516" s="28"/>
      <c r="AH516" s="28" t="s">
        <v>90</v>
      </c>
      <c r="AI516" s="28" t="s">
        <v>90</v>
      </c>
      <c r="AJ516" s="28" t="s">
        <v>90</v>
      </c>
      <c r="AK516" s="28" t="s">
        <v>90</v>
      </c>
      <c r="AL516" s="28" t="s">
        <v>90</v>
      </c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9"/>
      <c r="AY516" s="31"/>
      <c r="AZ516" s="31">
        <f>3*I516</f>
        <v>99</v>
      </c>
      <c r="BA516" s="29"/>
      <c r="BB516" s="29"/>
      <c r="BC516" s="30"/>
      <c r="BD516" s="30"/>
      <c r="BE516" s="30"/>
      <c r="BF516" s="31">
        <f>AZ516*K516</f>
        <v>19998</v>
      </c>
      <c r="BG516" s="32">
        <v>2</v>
      </c>
      <c r="BH516" s="36"/>
      <c r="BI516" s="47"/>
      <c r="BJ516" s="36"/>
      <c r="BK516" s="36"/>
      <c r="BL516" s="36"/>
      <c r="BM516" s="36"/>
      <c r="BN516" s="30"/>
      <c r="BO516" s="33">
        <f t="shared" si="110"/>
        <v>0</v>
      </c>
      <c r="BP516" s="30">
        <v>15</v>
      </c>
      <c r="BQ516" s="30">
        <v>21</v>
      </c>
      <c r="BR516" s="30"/>
      <c r="BS516" s="30"/>
      <c r="BT516" s="34">
        <f t="shared" si="111"/>
        <v>99</v>
      </c>
      <c r="BU516" s="34"/>
      <c r="BV516" s="34"/>
      <c r="BW516" s="34"/>
      <c r="BX516" s="34"/>
      <c r="BY516" s="30"/>
      <c r="BZ516" s="31">
        <f t="shared" si="112"/>
        <v>1485</v>
      </c>
      <c r="CA516" s="31">
        <f t="shared" si="113"/>
        <v>2079</v>
      </c>
    </row>
    <row r="517" spans="1:79" ht="38.25" x14ac:dyDescent="0.25">
      <c r="A517" s="25" t="s">
        <v>147</v>
      </c>
      <c r="B517" s="2">
        <v>505</v>
      </c>
      <c r="C517" s="37">
        <v>231</v>
      </c>
      <c r="D517" s="37">
        <v>938</v>
      </c>
      <c r="E517" s="38">
        <v>0.7909722222222223</v>
      </c>
      <c r="F517" s="38">
        <v>0.8354166666666667</v>
      </c>
      <c r="G517" s="39" t="s">
        <v>1123</v>
      </c>
      <c r="H517" s="18" t="s">
        <v>422</v>
      </c>
      <c r="I517" s="37">
        <v>33</v>
      </c>
      <c r="J517" s="40">
        <v>50</v>
      </c>
      <c r="K517" s="22">
        <v>240</v>
      </c>
      <c r="L517" s="23">
        <f t="shared" si="95"/>
        <v>7920</v>
      </c>
      <c r="M517" s="24" t="s">
        <v>114</v>
      </c>
      <c r="N517" s="25" t="s">
        <v>115</v>
      </c>
      <c r="O517" s="25">
        <v>54</v>
      </c>
      <c r="P517" s="25" t="s">
        <v>770</v>
      </c>
      <c r="Q517" s="25">
        <v>37</v>
      </c>
      <c r="R517" s="25" t="s">
        <v>116</v>
      </c>
      <c r="S517" s="25">
        <v>45</v>
      </c>
      <c r="T517" s="26">
        <v>2290</v>
      </c>
      <c r="U517" s="26" t="s">
        <v>1125</v>
      </c>
      <c r="V517" s="26">
        <v>958</v>
      </c>
      <c r="W517" s="26" t="s">
        <v>1126</v>
      </c>
      <c r="X517" s="27">
        <v>44816</v>
      </c>
      <c r="Y517" s="27">
        <v>45100</v>
      </c>
      <c r="Z517" s="27"/>
      <c r="AA517" s="27"/>
      <c r="AB517" s="26" t="s">
        <v>423</v>
      </c>
      <c r="AC517" s="26"/>
      <c r="AD517" s="26" t="s">
        <v>90</v>
      </c>
      <c r="AE517" s="26"/>
      <c r="AF517" s="26" t="s">
        <v>90</v>
      </c>
      <c r="AG517" s="26"/>
      <c r="AH517" s="26" t="s">
        <v>90</v>
      </c>
      <c r="AI517" s="26" t="s">
        <v>90</v>
      </c>
      <c r="AJ517" s="26" t="s">
        <v>90</v>
      </c>
      <c r="AK517" s="26" t="s">
        <v>90</v>
      </c>
      <c r="AL517" s="26" t="s">
        <v>90</v>
      </c>
      <c r="AM517" s="26" t="s">
        <v>90</v>
      </c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9"/>
      <c r="AY517" s="31"/>
      <c r="AZ517" s="31">
        <f>3*I517</f>
        <v>99</v>
      </c>
      <c r="BA517" s="29"/>
      <c r="BB517" s="29"/>
      <c r="BC517" s="30"/>
      <c r="BD517" s="30"/>
      <c r="BE517" s="30"/>
      <c r="BF517" s="31">
        <f>AZ517*K517</f>
        <v>23760</v>
      </c>
      <c r="BG517" s="32">
        <v>2</v>
      </c>
      <c r="BH517" s="36"/>
      <c r="BI517" s="47"/>
      <c r="BJ517" s="36"/>
      <c r="BK517" s="36"/>
      <c r="BL517" s="36"/>
      <c r="BM517" s="36"/>
      <c r="BN517" s="30"/>
      <c r="BO517" s="33">
        <f t="shared" si="110"/>
        <v>0</v>
      </c>
      <c r="BP517" s="30">
        <v>17</v>
      </c>
      <c r="BQ517" s="30">
        <v>26</v>
      </c>
      <c r="BR517" s="30"/>
      <c r="BS517" s="30"/>
      <c r="BT517" s="34">
        <f t="shared" si="111"/>
        <v>99</v>
      </c>
      <c r="BU517" s="34"/>
      <c r="BV517" s="34"/>
      <c r="BW517" s="34"/>
      <c r="BX517" s="34"/>
      <c r="BY517" s="30"/>
      <c r="BZ517" s="31">
        <f t="shared" si="112"/>
        <v>1683</v>
      </c>
      <c r="CA517" s="31">
        <f t="shared" si="113"/>
        <v>2574</v>
      </c>
    </row>
    <row r="518" spans="1:79" ht="38.25" x14ac:dyDescent="0.25">
      <c r="A518" s="17" t="s">
        <v>147</v>
      </c>
      <c r="B518" s="2">
        <v>506</v>
      </c>
      <c r="C518" s="37">
        <v>231</v>
      </c>
      <c r="D518" s="87">
        <v>261</v>
      </c>
      <c r="E518" s="86">
        <v>0.74444444444444446</v>
      </c>
      <c r="F518" s="38">
        <v>0.78888888888888886</v>
      </c>
      <c r="G518" s="39" t="s">
        <v>1122</v>
      </c>
      <c r="H518" s="18" t="s">
        <v>349</v>
      </c>
      <c r="I518" s="37">
        <v>33</v>
      </c>
      <c r="J518" s="40">
        <v>50</v>
      </c>
      <c r="K518" s="22">
        <v>202</v>
      </c>
      <c r="L518" s="23">
        <f t="shared" si="95"/>
        <v>6666</v>
      </c>
      <c r="M518" s="24" t="s">
        <v>114</v>
      </c>
      <c r="N518" s="25" t="s">
        <v>115</v>
      </c>
      <c r="O518" s="25">
        <v>54</v>
      </c>
      <c r="P518" s="25" t="s">
        <v>770</v>
      </c>
      <c r="Q518" s="25">
        <v>37</v>
      </c>
      <c r="R518" s="25" t="s">
        <v>1124</v>
      </c>
      <c r="S518" s="25">
        <v>45</v>
      </c>
      <c r="T518" s="26">
        <v>958</v>
      </c>
      <c r="U518" s="26" t="s">
        <v>1118</v>
      </c>
      <c r="V518" s="26">
        <v>2290</v>
      </c>
      <c r="W518" s="26" t="s">
        <v>118</v>
      </c>
      <c r="X518" s="27">
        <v>44816</v>
      </c>
      <c r="Y518" s="27">
        <v>45100</v>
      </c>
      <c r="Z518" s="27"/>
      <c r="AA518" s="27"/>
      <c r="AB518" s="26" t="s">
        <v>351</v>
      </c>
      <c r="AC518" s="26"/>
      <c r="AD518" s="28" t="s">
        <v>90</v>
      </c>
      <c r="AE518" s="28"/>
      <c r="AF518" s="28" t="s">
        <v>90</v>
      </c>
      <c r="AG518" s="28"/>
      <c r="AH518" s="28" t="s">
        <v>90</v>
      </c>
      <c r="AI518" s="28" t="s">
        <v>90</v>
      </c>
      <c r="AJ518" s="28" t="s">
        <v>90</v>
      </c>
      <c r="AK518" s="28" t="s">
        <v>90</v>
      </c>
      <c r="AL518" s="28" t="s">
        <v>90</v>
      </c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9"/>
      <c r="AY518" s="31"/>
      <c r="AZ518" s="31">
        <f>3*I518</f>
        <v>99</v>
      </c>
      <c r="BA518" s="29"/>
      <c r="BB518" s="29"/>
      <c r="BC518" s="30"/>
      <c r="BD518" s="30"/>
      <c r="BE518" s="30"/>
      <c r="BF518" s="31">
        <f>AZ518*K518</f>
        <v>19998</v>
      </c>
      <c r="BG518" s="32">
        <v>2</v>
      </c>
      <c r="BH518" s="36"/>
      <c r="BI518" s="47"/>
      <c r="BJ518" s="36"/>
      <c r="BK518" s="36"/>
      <c r="BL518" s="36"/>
      <c r="BM518" s="36"/>
      <c r="BN518" s="30"/>
      <c r="BO518" s="33">
        <f t="shared" si="110"/>
        <v>0</v>
      </c>
      <c r="BP518" s="30">
        <v>15</v>
      </c>
      <c r="BQ518" s="30">
        <v>21</v>
      </c>
      <c r="BR518" s="30"/>
      <c r="BS518" s="30"/>
      <c r="BT518" s="34">
        <f t="shared" si="111"/>
        <v>99</v>
      </c>
      <c r="BU518" s="34"/>
      <c r="BV518" s="34"/>
      <c r="BW518" s="34"/>
      <c r="BX518" s="34"/>
      <c r="BY518" s="30"/>
      <c r="BZ518" s="31">
        <f t="shared" si="112"/>
        <v>1485</v>
      </c>
      <c r="CA518" s="31">
        <f t="shared" si="113"/>
        <v>2079</v>
      </c>
    </row>
    <row r="519" spans="1:79" ht="34.5" x14ac:dyDescent="0.25">
      <c r="A519" s="67" t="s">
        <v>322</v>
      </c>
      <c r="B519" s="2">
        <v>507</v>
      </c>
      <c r="C519" s="37">
        <v>231</v>
      </c>
      <c r="D519" s="87">
        <v>293</v>
      </c>
      <c r="E519" s="86">
        <v>0.82777777777777783</v>
      </c>
      <c r="F519" s="38">
        <v>0.87222222222222223</v>
      </c>
      <c r="G519" s="39" t="s">
        <v>1122</v>
      </c>
      <c r="H519" s="87" t="s">
        <v>1127</v>
      </c>
      <c r="I519" s="37">
        <v>33</v>
      </c>
      <c r="J519" s="40">
        <v>50</v>
      </c>
      <c r="K519" s="68">
        <v>45</v>
      </c>
      <c r="L519" s="23">
        <f t="shared" si="95"/>
        <v>1485</v>
      </c>
      <c r="M519" s="24" t="s">
        <v>114</v>
      </c>
      <c r="N519" s="25" t="s">
        <v>770</v>
      </c>
      <c r="O519" s="25">
        <v>37</v>
      </c>
      <c r="P519" s="25" t="s">
        <v>115</v>
      </c>
      <c r="Q519" s="25">
        <v>54</v>
      </c>
      <c r="R519" s="25" t="s">
        <v>116</v>
      </c>
      <c r="S519" s="25">
        <v>45</v>
      </c>
      <c r="T519" s="26">
        <v>958</v>
      </c>
      <c r="U519" s="26" t="s">
        <v>1118</v>
      </c>
      <c r="V519" s="26">
        <v>2290</v>
      </c>
      <c r="W519" s="26" t="s">
        <v>118</v>
      </c>
      <c r="X519" s="27">
        <v>44816</v>
      </c>
      <c r="Y519" s="27">
        <v>45100</v>
      </c>
      <c r="Z519" s="27"/>
      <c r="AA519" s="27"/>
      <c r="AB519" s="26" t="s">
        <v>289</v>
      </c>
      <c r="AC519" s="26"/>
      <c r="AD519" s="28" t="s">
        <v>90</v>
      </c>
      <c r="AE519" s="28"/>
      <c r="AF519" s="28"/>
      <c r="AG519" s="28"/>
      <c r="AH519" s="28"/>
      <c r="AI519" s="28"/>
      <c r="AJ519" s="28"/>
      <c r="AK519" s="28"/>
      <c r="AL519" s="28"/>
      <c r="AM519" s="28"/>
      <c r="AN519" s="28" t="s">
        <v>90</v>
      </c>
      <c r="AO519" s="28"/>
      <c r="AP519" s="28"/>
      <c r="AQ519" s="28"/>
      <c r="AR519" s="28"/>
      <c r="AS519" s="28"/>
      <c r="AT519" s="28"/>
      <c r="AU519" s="28"/>
      <c r="AV519" s="28"/>
      <c r="AW519" s="28"/>
      <c r="AX519" s="29">
        <v>158.53</v>
      </c>
      <c r="AY519" s="31"/>
      <c r="AZ519" s="30"/>
      <c r="BA519" s="29"/>
      <c r="BB519" s="29"/>
      <c r="BC519" s="30"/>
      <c r="BD519" s="31">
        <f t="shared" ref="BD519:BD530" si="114">AX519*K519</f>
        <v>7133.85</v>
      </c>
      <c r="BE519" s="31"/>
      <c r="BF519" s="30"/>
      <c r="BG519" s="32">
        <v>2</v>
      </c>
      <c r="BH519" s="31">
        <f t="shared" ref="BH519:BH528" si="115">IF(AND((AX519/I519)&lt;2,BG519=1),(I519*2)-AX519,0)</f>
        <v>0</v>
      </c>
      <c r="BI519" s="31">
        <f t="shared" ref="BI519:BI528" si="116">IF(AND((AX519/I519)&lt;3,BG519=2),(I519*3)-AX519,0)</f>
        <v>0</v>
      </c>
      <c r="BJ519" s="33">
        <f t="shared" ref="BJ519:BJ528" si="117">(BH519+BI519)*K519</f>
        <v>0</v>
      </c>
      <c r="BK519" s="30"/>
      <c r="BL519" s="30"/>
      <c r="BM519" s="30"/>
      <c r="BN519" s="30"/>
      <c r="BO519" s="33">
        <f t="shared" si="110"/>
        <v>0</v>
      </c>
      <c r="BP519" s="30">
        <v>2</v>
      </c>
      <c r="BQ519" s="30">
        <v>5</v>
      </c>
      <c r="BR519" s="30"/>
      <c r="BS519" s="30"/>
      <c r="BT519" s="34">
        <f t="shared" si="111"/>
        <v>158.53</v>
      </c>
      <c r="BU519" s="34"/>
      <c r="BV519" s="34"/>
      <c r="BW519" s="34"/>
      <c r="BX519" s="34"/>
      <c r="BY519" s="30"/>
      <c r="BZ519" s="31">
        <f t="shared" si="112"/>
        <v>317.06</v>
      </c>
      <c r="CA519" s="31">
        <f t="shared" si="113"/>
        <v>792.65</v>
      </c>
    </row>
    <row r="520" spans="1:79" ht="38.25" x14ac:dyDescent="0.25">
      <c r="A520" s="17"/>
      <c r="B520" s="2">
        <v>508</v>
      </c>
      <c r="C520" s="58">
        <v>236</v>
      </c>
      <c r="D520" s="18">
        <v>471</v>
      </c>
      <c r="E520" s="19">
        <v>0.38541666666666669</v>
      </c>
      <c r="F520" s="19">
        <v>0.39374999999999999</v>
      </c>
      <c r="G520" s="18" t="s">
        <v>1128</v>
      </c>
      <c r="H520" s="18" t="s">
        <v>268</v>
      </c>
      <c r="I520" s="20">
        <v>8.1999999999999993</v>
      </c>
      <c r="J520" s="21" t="s">
        <v>93</v>
      </c>
      <c r="K520" s="22">
        <v>252</v>
      </c>
      <c r="L520" s="23">
        <f t="shared" si="95"/>
        <v>2066.3999999999996</v>
      </c>
      <c r="M520" s="24" t="s">
        <v>129</v>
      </c>
      <c r="N520" s="25" t="s">
        <v>779</v>
      </c>
      <c r="O520" s="25">
        <v>21</v>
      </c>
      <c r="P520" s="25" t="s">
        <v>802</v>
      </c>
      <c r="Q520" s="25">
        <v>24</v>
      </c>
      <c r="R520" s="25" t="s">
        <v>787</v>
      </c>
      <c r="S520" s="35">
        <v>23</v>
      </c>
      <c r="T520" s="26">
        <v>2021</v>
      </c>
      <c r="U520" s="26" t="s">
        <v>876</v>
      </c>
      <c r="V520" s="26" t="s">
        <v>1129</v>
      </c>
      <c r="W520" s="26" t="s">
        <v>1130</v>
      </c>
      <c r="X520" s="66">
        <v>44805</v>
      </c>
      <c r="Y520" s="66">
        <v>45169</v>
      </c>
      <c r="Z520" s="66"/>
      <c r="AA520" s="66"/>
      <c r="AB520" s="26" t="s">
        <v>269</v>
      </c>
      <c r="AC520" s="26"/>
      <c r="AD520" s="28" t="s">
        <v>90</v>
      </c>
      <c r="AE520" s="28" t="s">
        <v>90</v>
      </c>
      <c r="AF520" s="28" t="s">
        <v>90</v>
      </c>
      <c r="AG520" s="28"/>
      <c r="AH520" s="28" t="s">
        <v>90</v>
      </c>
      <c r="AI520" s="28" t="s">
        <v>90</v>
      </c>
      <c r="AJ520" s="28" t="s">
        <v>90</v>
      </c>
      <c r="AK520" s="28" t="s">
        <v>90</v>
      </c>
      <c r="AL520" s="28" t="s">
        <v>90</v>
      </c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9">
        <v>11.87</v>
      </c>
      <c r="AY520" s="31"/>
      <c r="AZ520" s="30"/>
      <c r="BA520" s="29"/>
      <c r="BB520" s="29"/>
      <c r="BC520" s="30"/>
      <c r="BD520" s="31">
        <f t="shared" si="114"/>
        <v>2991.24</v>
      </c>
      <c r="BE520" s="31"/>
      <c r="BF520" s="30"/>
      <c r="BG520" s="36">
        <v>1</v>
      </c>
      <c r="BH520" s="31">
        <f t="shared" si="115"/>
        <v>4.5299999999999994</v>
      </c>
      <c r="BI520" s="31">
        <f t="shared" si="116"/>
        <v>0</v>
      </c>
      <c r="BJ520" s="31">
        <f t="shared" si="117"/>
        <v>1141.56</v>
      </c>
      <c r="BK520" s="30"/>
      <c r="BL520" s="30"/>
      <c r="BM520" s="30"/>
      <c r="BN520" s="30"/>
      <c r="BO520" s="33">
        <f t="shared" si="110"/>
        <v>0</v>
      </c>
      <c r="BP520" s="30">
        <v>22</v>
      </c>
      <c r="BQ520" s="30">
        <v>21</v>
      </c>
      <c r="BR520" s="30"/>
      <c r="BS520" s="30"/>
      <c r="BT520" s="34">
        <f t="shared" si="111"/>
        <v>16.399999999999999</v>
      </c>
      <c r="BU520" s="34"/>
      <c r="BV520" s="34"/>
      <c r="BW520" s="34"/>
      <c r="BX520" s="34"/>
      <c r="BY520" s="30"/>
      <c r="BZ520" s="31">
        <f t="shared" si="112"/>
        <v>360.79999999999995</v>
      </c>
      <c r="CA520" s="31">
        <f t="shared" si="113"/>
        <v>344.4</v>
      </c>
    </row>
    <row r="521" spans="1:79" ht="51" x14ac:dyDescent="0.25">
      <c r="A521" s="17"/>
      <c r="B521" s="2">
        <v>509</v>
      </c>
      <c r="C521" s="58">
        <v>236</v>
      </c>
      <c r="D521" s="18">
        <v>470</v>
      </c>
      <c r="E521" s="59">
        <v>0.40972222222222227</v>
      </c>
      <c r="F521" s="59">
        <v>0.42986111111111108</v>
      </c>
      <c r="G521" s="18" t="s">
        <v>1131</v>
      </c>
      <c r="H521" s="18" t="s">
        <v>268</v>
      </c>
      <c r="I521" s="20">
        <v>16</v>
      </c>
      <c r="J521" s="21" t="s">
        <v>93</v>
      </c>
      <c r="K521" s="22">
        <v>252</v>
      </c>
      <c r="L521" s="23">
        <f t="shared" si="95"/>
        <v>4032</v>
      </c>
      <c r="M521" s="24" t="s">
        <v>129</v>
      </c>
      <c r="N521" s="25" t="s">
        <v>779</v>
      </c>
      <c r="O521" s="25">
        <v>21</v>
      </c>
      <c r="P521" s="25" t="s">
        <v>802</v>
      </c>
      <c r="Q521" s="25">
        <v>24</v>
      </c>
      <c r="R521" s="17"/>
      <c r="S521" s="25"/>
      <c r="T521" s="26" t="s">
        <v>1129</v>
      </c>
      <c r="U521" s="26" t="s">
        <v>1132</v>
      </c>
      <c r="V521" s="26" t="s">
        <v>364</v>
      </c>
      <c r="W521" s="26" t="s">
        <v>365</v>
      </c>
      <c r="X521" s="66">
        <v>44805</v>
      </c>
      <c r="Y521" s="66">
        <v>45169</v>
      </c>
      <c r="Z521" s="66"/>
      <c r="AA521" s="66"/>
      <c r="AB521" s="26" t="s">
        <v>269</v>
      </c>
      <c r="AC521" s="26"/>
      <c r="AD521" s="28" t="s">
        <v>90</v>
      </c>
      <c r="AE521" s="28" t="s">
        <v>90</v>
      </c>
      <c r="AF521" s="28" t="s">
        <v>90</v>
      </c>
      <c r="AG521" s="28"/>
      <c r="AH521" s="28" t="s">
        <v>90</v>
      </c>
      <c r="AI521" s="28" t="s">
        <v>90</v>
      </c>
      <c r="AJ521" s="28" t="s">
        <v>90</v>
      </c>
      <c r="AK521" s="28" t="s">
        <v>90</v>
      </c>
      <c r="AL521" s="28" t="s">
        <v>90</v>
      </c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9">
        <v>24.27</v>
      </c>
      <c r="AY521" s="31"/>
      <c r="AZ521" s="30"/>
      <c r="BA521" s="29"/>
      <c r="BB521" s="29"/>
      <c r="BC521" s="30"/>
      <c r="BD521" s="31">
        <f t="shared" si="114"/>
        <v>6116.04</v>
      </c>
      <c r="BE521" s="31"/>
      <c r="BF521" s="30"/>
      <c r="BG521" s="36">
        <v>1</v>
      </c>
      <c r="BH521" s="31">
        <f t="shared" si="115"/>
        <v>7.73</v>
      </c>
      <c r="BI521" s="31">
        <f t="shared" si="116"/>
        <v>0</v>
      </c>
      <c r="BJ521" s="31">
        <f t="shared" si="117"/>
        <v>1947.96</v>
      </c>
      <c r="BK521" s="30"/>
      <c r="BL521" s="30"/>
      <c r="BM521" s="30"/>
      <c r="BN521" s="30"/>
      <c r="BO521" s="33">
        <f t="shared" si="110"/>
        <v>0</v>
      </c>
      <c r="BP521" s="30">
        <v>22</v>
      </c>
      <c r="BQ521" s="30">
        <v>21</v>
      </c>
      <c r="BR521" s="30"/>
      <c r="BS521" s="30"/>
      <c r="BT521" s="34">
        <f t="shared" si="111"/>
        <v>32</v>
      </c>
      <c r="BU521" s="34"/>
      <c r="BV521" s="34"/>
      <c r="BW521" s="34"/>
      <c r="BX521" s="34"/>
      <c r="BY521" s="30"/>
      <c r="BZ521" s="31">
        <f t="shared" si="112"/>
        <v>704</v>
      </c>
      <c r="CA521" s="31">
        <f t="shared" si="113"/>
        <v>672</v>
      </c>
    </row>
    <row r="522" spans="1:79" ht="51" x14ac:dyDescent="0.25">
      <c r="A522" s="17"/>
      <c r="B522" s="2">
        <v>510</v>
      </c>
      <c r="C522" s="58">
        <v>236</v>
      </c>
      <c r="D522" s="18">
        <v>473</v>
      </c>
      <c r="E522" s="59">
        <v>0.43402777777777773</v>
      </c>
      <c r="F522" s="59">
        <v>0.45208333333333334</v>
      </c>
      <c r="G522" s="18" t="s">
        <v>1133</v>
      </c>
      <c r="H522" s="18" t="s">
        <v>268</v>
      </c>
      <c r="I522" s="20">
        <v>16</v>
      </c>
      <c r="J522" s="21" t="s">
        <v>93</v>
      </c>
      <c r="K522" s="22">
        <v>252</v>
      </c>
      <c r="L522" s="23">
        <f t="shared" si="95"/>
        <v>4032</v>
      </c>
      <c r="M522" s="24" t="s">
        <v>129</v>
      </c>
      <c r="N522" s="25" t="s">
        <v>779</v>
      </c>
      <c r="O522" s="25">
        <v>21</v>
      </c>
      <c r="P522" s="25" t="s">
        <v>130</v>
      </c>
      <c r="Q522" s="25">
        <v>37</v>
      </c>
      <c r="R522" s="25"/>
      <c r="S522" s="25"/>
      <c r="T522" s="26" t="s">
        <v>364</v>
      </c>
      <c r="U522" s="26" t="s">
        <v>365</v>
      </c>
      <c r="V522" s="26" t="s">
        <v>1129</v>
      </c>
      <c r="W522" s="26" t="s">
        <v>1130</v>
      </c>
      <c r="X522" s="66">
        <v>44805</v>
      </c>
      <c r="Y522" s="66">
        <v>45169</v>
      </c>
      <c r="Z522" s="66"/>
      <c r="AA522" s="66"/>
      <c r="AB522" s="26" t="s">
        <v>269</v>
      </c>
      <c r="AC522" s="26"/>
      <c r="AD522" s="28" t="s">
        <v>90</v>
      </c>
      <c r="AE522" s="28" t="s">
        <v>90</v>
      </c>
      <c r="AF522" s="28" t="s">
        <v>90</v>
      </c>
      <c r="AG522" s="28"/>
      <c r="AH522" s="28" t="s">
        <v>90</v>
      </c>
      <c r="AI522" s="28" t="s">
        <v>90</v>
      </c>
      <c r="AJ522" s="28" t="s">
        <v>90</v>
      </c>
      <c r="AK522" s="28" t="s">
        <v>90</v>
      </c>
      <c r="AL522" s="28" t="s">
        <v>90</v>
      </c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9">
        <v>20.85</v>
      </c>
      <c r="AY522" s="31"/>
      <c r="AZ522" s="30"/>
      <c r="BA522" s="29"/>
      <c r="BB522" s="29"/>
      <c r="BC522" s="30"/>
      <c r="BD522" s="31">
        <f t="shared" si="114"/>
        <v>5254.2000000000007</v>
      </c>
      <c r="BE522" s="31"/>
      <c r="BF522" s="30"/>
      <c r="BG522" s="36">
        <v>1</v>
      </c>
      <c r="BH522" s="31">
        <f t="shared" si="115"/>
        <v>11.149999999999999</v>
      </c>
      <c r="BI522" s="31">
        <f t="shared" si="116"/>
        <v>0</v>
      </c>
      <c r="BJ522" s="31">
        <f t="shared" si="117"/>
        <v>2809.7999999999997</v>
      </c>
      <c r="BK522" s="30"/>
      <c r="BL522" s="30"/>
      <c r="BM522" s="30"/>
      <c r="BN522" s="30"/>
      <c r="BO522" s="33">
        <f t="shared" si="110"/>
        <v>0</v>
      </c>
      <c r="BP522" s="30">
        <v>22</v>
      </c>
      <c r="BQ522" s="30">
        <v>21</v>
      </c>
      <c r="BR522" s="30"/>
      <c r="BS522" s="30"/>
      <c r="BT522" s="34">
        <f t="shared" si="111"/>
        <v>32</v>
      </c>
      <c r="BU522" s="34"/>
      <c r="BV522" s="34"/>
      <c r="BW522" s="34"/>
      <c r="BX522" s="34"/>
      <c r="BY522" s="30"/>
      <c r="BZ522" s="31">
        <f t="shared" si="112"/>
        <v>704</v>
      </c>
      <c r="CA522" s="31">
        <f t="shared" si="113"/>
        <v>672</v>
      </c>
    </row>
    <row r="523" spans="1:79" ht="51" x14ac:dyDescent="0.25">
      <c r="A523" s="17"/>
      <c r="B523" s="2">
        <v>511</v>
      </c>
      <c r="C523" s="58">
        <v>236</v>
      </c>
      <c r="D523" s="18">
        <v>472</v>
      </c>
      <c r="E523" s="59">
        <v>0.46597222222222223</v>
      </c>
      <c r="F523" s="59">
        <v>0.4861111111111111</v>
      </c>
      <c r="G523" s="18" t="s">
        <v>1131</v>
      </c>
      <c r="H523" s="18" t="s">
        <v>268</v>
      </c>
      <c r="I523" s="20">
        <v>16</v>
      </c>
      <c r="J523" s="21" t="s">
        <v>93</v>
      </c>
      <c r="K523" s="22">
        <v>252</v>
      </c>
      <c r="L523" s="23">
        <f t="shared" si="95"/>
        <v>4032</v>
      </c>
      <c r="M523" s="24" t="s">
        <v>129</v>
      </c>
      <c r="N523" s="25" t="s">
        <v>779</v>
      </c>
      <c r="O523" s="25">
        <v>21</v>
      </c>
      <c r="P523" s="25" t="s">
        <v>130</v>
      </c>
      <c r="Q523" s="25">
        <v>37</v>
      </c>
      <c r="R523" s="25" t="s">
        <v>1134</v>
      </c>
      <c r="S523" s="35">
        <v>23</v>
      </c>
      <c r="T523" s="26" t="s">
        <v>1129</v>
      </c>
      <c r="U523" s="26" t="s">
        <v>1132</v>
      </c>
      <c r="V523" s="26" t="s">
        <v>364</v>
      </c>
      <c r="W523" s="26" t="s">
        <v>365</v>
      </c>
      <c r="X523" s="66">
        <v>44805</v>
      </c>
      <c r="Y523" s="66">
        <v>45169</v>
      </c>
      <c r="Z523" s="66"/>
      <c r="AA523" s="66"/>
      <c r="AB523" s="26" t="s">
        <v>269</v>
      </c>
      <c r="AC523" s="26"/>
      <c r="AD523" s="28" t="s">
        <v>90</v>
      </c>
      <c r="AE523" s="28" t="s">
        <v>90</v>
      </c>
      <c r="AF523" s="28" t="s">
        <v>90</v>
      </c>
      <c r="AG523" s="28"/>
      <c r="AH523" s="28" t="s">
        <v>90</v>
      </c>
      <c r="AI523" s="28" t="s">
        <v>90</v>
      </c>
      <c r="AJ523" s="28" t="s">
        <v>90</v>
      </c>
      <c r="AK523" s="28" t="s">
        <v>90</v>
      </c>
      <c r="AL523" s="28" t="s">
        <v>90</v>
      </c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9">
        <v>24.27</v>
      </c>
      <c r="AY523" s="31"/>
      <c r="AZ523" s="30"/>
      <c r="BA523" s="29"/>
      <c r="BB523" s="29"/>
      <c r="BC523" s="30"/>
      <c r="BD523" s="31">
        <f t="shared" si="114"/>
        <v>6116.04</v>
      </c>
      <c r="BE523" s="31"/>
      <c r="BF523" s="30"/>
      <c r="BG523" s="36">
        <v>1</v>
      </c>
      <c r="BH523" s="31">
        <f t="shared" si="115"/>
        <v>7.73</v>
      </c>
      <c r="BI523" s="31">
        <f t="shared" si="116"/>
        <v>0</v>
      </c>
      <c r="BJ523" s="31">
        <f t="shared" si="117"/>
        <v>1947.96</v>
      </c>
      <c r="BK523" s="30"/>
      <c r="BL523" s="30"/>
      <c r="BM523" s="30"/>
      <c r="BN523" s="30"/>
      <c r="BO523" s="33">
        <f t="shared" si="110"/>
        <v>0</v>
      </c>
      <c r="BP523" s="30">
        <v>22</v>
      </c>
      <c r="BQ523" s="30">
        <v>21</v>
      </c>
      <c r="BR523" s="30"/>
      <c r="BS523" s="30"/>
      <c r="BT523" s="34">
        <f t="shared" si="111"/>
        <v>32</v>
      </c>
      <c r="BU523" s="34"/>
      <c r="BV523" s="34"/>
      <c r="BW523" s="34"/>
      <c r="BX523" s="34"/>
      <c r="BY523" s="30"/>
      <c r="BZ523" s="31">
        <f t="shared" si="112"/>
        <v>704</v>
      </c>
      <c r="CA523" s="31">
        <f t="shared" si="113"/>
        <v>672</v>
      </c>
    </row>
    <row r="524" spans="1:79" ht="51" x14ac:dyDescent="0.25">
      <c r="A524" s="17"/>
      <c r="B524" s="2">
        <v>512</v>
      </c>
      <c r="C524" s="58">
        <v>236</v>
      </c>
      <c r="D524" s="18">
        <v>475</v>
      </c>
      <c r="E524" s="59">
        <v>0.49027777777777781</v>
      </c>
      <c r="F524" s="59">
        <v>0.5083333333333333</v>
      </c>
      <c r="G524" s="18" t="s">
        <v>1133</v>
      </c>
      <c r="H524" s="18" t="s">
        <v>268</v>
      </c>
      <c r="I524" s="20">
        <v>16</v>
      </c>
      <c r="J524" s="21" t="s">
        <v>93</v>
      </c>
      <c r="K524" s="22">
        <v>252</v>
      </c>
      <c r="L524" s="23">
        <f t="shared" si="95"/>
        <v>4032</v>
      </c>
      <c r="M524" s="24" t="s">
        <v>129</v>
      </c>
      <c r="N524" s="25" t="s">
        <v>779</v>
      </c>
      <c r="O524" s="25">
        <v>21</v>
      </c>
      <c r="P524" s="25" t="s">
        <v>787</v>
      </c>
      <c r="Q524" s="25">
        <v>23</v>
      </c>
      <c r="R524" s="25" t="s">
        <v>802</v>
      </c>
      <c r="S524" s="35">
        <v>24</v>
      </c>
      <c r="T524" s="26" t="s">
        <v>364</v>
      </c>
      <c r="U524" s="26" t="s">
        <v>365</v>
      </c>
      <c r="V524" s="26" t="s">
        <v>1129</v>
      </c>
      <c r="W524" s="26" t="s">
        <v>1130</v>
      </c>
      <c r="X524" s="66">
        <v>44805</v>
      </c>
      <c r="Y524" s="66">
        <v>45169</v>
      </c>
      <c r="Z524" s="66"/>
      <c r="AA524" s="66"/>
      <c r="AB524" s="26" t="s">
        <v>269</v>
      </c>
      <c r="AC524" s="26"/>
      <c r="AD524" s="28" t="s">
        <v>90</v>
      </c>
      <c r="AE524" s="28" t="s">
        <v>90</v>
      </c>
      <c r="AF524" s="28" t="s">
        <v>90</v>
      </c>
      <c r="AG524" s="28"/>
      <c r="AH524" s="28" t="s">
        <v>90</v>
      </c>
      <c r="AI524" s="28" t="s">
        <v>90</v>
      </c>
      <c r="AJ524" s="28" t="s">
        <v>90</v>
      </c>
      <c r="AK524" s="28" t="s">
        <v>90</v>
      </c>
      <c r="AL524" s="28" t="s">
        <v>90</v>
      </c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9">
        <v>24.27</v>
      </c>
      <c r="AY524" s="31"/>
      <c r="AZ524" s="30"/>
      <c r="BA524" s="29"/>
      <c r="BB524" s="29"/>
      <c r="BC524" s="30"/>
      <c r="BD524" s="31">
        <f t="shared" si="114"/>
        <v>6116.04</v>
      </c>
      <c r="BE524" s="31"/>
      <c r="BF524" s="30"/>
      <c r="BG524" s="36">
        <v>1</v>
      </c>
      <c r="BH524" s="31">
        <f t="shared" si="115"/>
        <v>7.73</v>
      </c>
      <c r="BI524" s="31">
        <f t="shared" si="116"/>
        <v>0</v>
      </c>
      <c r="BJ524" s="31">
        <f t="shared" si="117"/>
        <v>1947.96</v>
      </c>
      <c r="BK524" s="30"/>
      <c r="BL524" s="30"/>
      <c r="BM524" s="30"/>
      <c r="BN524" s="30"/>
      <c r="BO524" s="33">
        <f t="shared" si="110"/>
        <v>0</v>
      </c>
      <c r="BP524" s="30">
        <v>22</v>
      </c>
      <c r="BQ524" s="30">
        <v>21</v>
      </c>
      <c r="BR524" s="30"/>
      <c r="BS524" s="30"/>
      <c r="BT524" s="34">
        <f t="shared" si="111"/>
        <v>32</v>
      </c>
      <c r="BU524" s="34"/>
      <c r="BV524" s="34"/>
      <c r="BW524" s="34"/>
      <c r="BX524" s="34"/>
      <c r="BY524" s="30"/>
      <c r="BZ524" s="31">
        <f t="shared" si="112"/>
        <v>704</v>
      </c>
      <c r="CA524" s="31">
        <f t="shared" si="113"/>
        <v>672</v>
      </c>
    </row>
    <row r="525" spans="1:79" ht="51" x14ac:dyDescent="0.25">
      <c r="A525" s="17"/>
      <c r="B525" s="2">
        <v>513</v>
      </c>
      <c r="C525" s="58">
        <v>236</v>
      </c>
      <c r="D525" s="18">
        <v>477</v>
      </c>
      <c r="E525" s="59">
        <v>0.61527777777777781</v>
      </c>
      <c r="F525" s="59">
        <v>0.6333333333333333</v>
      </c>
      <c r="G525" s="18" t="s">
        <v>1133</v>
      </c>
      <c r="H525" s="18" t="s">
        <v>268</v>
      </c>
      <c r="I525" s="20">
        <v>16</v>
      </c>
      <c r="J525" s="21" t="s">
        <v>93</v>
      </c>
      <c r="K525" s="22">
        <v>252</v>
      </c>
      <c r="L525" s="23">
        <f t="shared" si="95"/>
        <v>4032</v>
      </c>
      <c r="M525" s="24" t="s">
        <v>129</v>
      </c>
      <c r="N525" s="25" t="s">
        <v>802</v>
      </c>
      <c r="O525" s="25">
        <v>24</v>
      </c>
      <c r="P525" s="25" t="s">
        <v>779</v>
      </c>
      <c r="Q525" s="25">
        <v>21</v>
      </c>
      <c r="R525" s="25" t="s">
        <v>787</v>
      </c>
      <c r="S525" s="35">
        <v>23</v>
      </c>
      <c r="T525" s="26" t="s">
        <v>364</v>
      </c>
      <c r="U525" s="26" t="s">
        <v>365</v>
      </c>
      <c r="V525" s="26" t="s">
        <v>1129</v>
      </c>
      <c r="W525" s="26" t="s">
        <v>1130</v>
      </c>
      <c r="X525" s="66">
        <v>44805</v>
      </c>
      <c r="Y525" s="66">
        <v>45169</v>
      </c>
      <c r="Z525" s="66"/>
      <c r="AA525" s="66"/>
      <c r="AB525" s="26" t="s">
        <v>269</v>
      </c>
      <c r="AC525" s="26"/>
      <c r="AD525" s="28" t="s">
        <v>90</v>
      </c>
      <c r="AE525" s="28" t="s">
        <v>90</v>
      </c>
      <c r="AF525" s="28" t="s">
        <v>90</v>
      </c>
      <c r="AG525" s="28"/>
      <c r="AH525" s="28" t="s">
        <v>90</v>
      </c>
      <c r="AI525" s="28" t="s">
        <v>90</v>
      </c>
      <c r="AJ525" s="28" t="s">
        <v>90</v>
      </c>
      <c r="AK525" s="28" t="s">
        <v>90</v>
      </c>
      <c r="AL525" s="28" t="s">
        <v>90</v>
      </c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9">
        <v>24.27</v>
      </c>
      <c r="AY525" s="31"/>
      <c r="AZ525" s="30"/>
      <c r="BA525" s="29"/>
      <c r="BB525" s="29"/>
      <c r="BC525" s="30"/>
      <c r="BD525" s="31">
        <f t="shared" si="114"/>
        <v>6116.04</v>
      </c>
      <c r="BE525" s="31"/>
      <c r="BF525" s="30"/>
      <c r="BG525" s="36">
        <v>1</v>
      </c>
      <c r="BH525" s="31">
        <f t="shared" si="115"/>
        <v>7.73</v>
      </c>
      <c r="BI525" s="31">
        <f t="shared" si="116"/>
        <v>0</v>
      </c>
      <c r="BJ525" s="31">
        <f t="shared" si="117"/>
        <v>1947.96</v>
      </c>
      <c r="BK525" s="30"/>
      <c r="BL525" s="30"/>
      <c r="BM525" s="30"/>
      <c r="BN525" s="30"/>
      <c r="BO525" s="33">
        <f t="shared" si="110"/>
        <v>0</v>
      </c>
      <c r="BP525" s="30">
        <v>22</v>
      </c>
      <c r="BQ525" s="30">
        <v>21</v>
      </c>
      <c r="BR525" s="30"/>
      <c r="BS525" s="30"/>
      <c r="BT525" s="34">
        <f t="shared" si="111"/>
        <v>32</v>
      </c>
      <c r="BU525" s="34"/>
      <c r="BV525" s="34"/>
      <c r="BW525" s="34"/>
      <c r="BX525" s="34"/>
      <c r="BY525" s="30"/>
      <c r="BZ525" s="31">
        <f t="shared" si="112"/>
        <v>704</v>
      </c>
      <c r="CA525" s="31">
        <f t="shared" si="113"/>
        <v>672</v>
      </c>
    </row>
    <row r="526" spans="1:79" ht="51" x14ac:dyDescent="0.25">
      <c r="A526" s="17"/>
      <c r="B526" s="2">
        <v>514</v>
      </c>
      <c r="C526" s="58">
        <v>236</v>
      </c>
      <c r="D526" s="18">
        <v>474</v>
      </c>
      <c r="E526" s="59">
        <v>0.64930555555555558</v>
      </c>
      <c r="F526" s="59">
        <v>0.6694444444444444</v>
      </c>
      <c r="G526" s="18" t="s">
        <v>1131</v>
      </c>
      <c r="H526" s="18" t="s">
        <v>268</v>
      </c>
      <c r="I526" s="20">
        <v>16</v>
      </c>
      <c r="J526" s="21" t="s">
        <v>122</v>
      </c>
      <c r="K526" s="22">
        <v>252</v>
      </c>
      <c r="L526" s="23">
        <f t="shared" si="95"/>
        <v>4032</v>
      </c>
      <c r="M526" s="24" t="s">
        <v>129</v>
      </c>
      <c r="N526" s="25" t="s">
        <v>779</v>
      </c>
      <c r="O526" s="25">
        <v>21</v>
      </c>
      <c r="P526" s="25" t="s">
        <v>802</v>
      </c>
      <c r="Q526" s="25">
        <v>24</v>
      </c>
      <c r="R526" s="25" t="s">
        <v>796</v>
      </c>
      <c r="S526" s="35">
        <v>23</v>
      </c>
      <c r="T526" s="26" t="s">
        <v>1129</v>
      </c>
      <c r="U526" s="26" t="s">
        <v>1132</v>
      </c>
      <c r="V526" s="26" t="s">
        <v>364</v>
      </c>
      <c r="W526" s="26" t="s">
        <v>365</v>
      </c>
      <c r="X526" s="66">
        <v>44805</v>
      </c>
      <c r="Y526" s="66">
        <v>45169</v>
      </c>
      <c r="Z526" s="66"/>
      <c r="AA526" s="66"/>
      <c r="AB526" s="26" t="s">
        <v>269</v>
      </c>
      <c r="AC526" s="26"/>
      <c r="AD526" s="28" t="s">
        <v>90</v>
      </c>
      <c r="AE526" s="28" t="s">
        <v>90</v>
      </c>
      <c r="AF526" s="28" t="s">
        <v>90</v>
      </c>
      <c r="AG526" s="28"/>
      <c r="AH526" s="28" t="s">
        <v>90</v>
      </c>
      <c r="AI526" s="28" t="s">
        <v>90</v>
      </c>
      <c r="AJ526" s="28" t="s">
        <v>90</v>
      </c>
      <c r="AK526" s="28" t="s">
        <v>90</v>
      </c>
      <c r="AL526" s="28" t="s">
        <v>90</v>
      </c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9">
        <v>24.27</v>
      </c>
      <c r="AY526" s="31"/>
      <c r="AZ526" s="30"/>
      <c r="BA526" s="29"/>
      <c r="BB526" s="29"/>
      <c r="BC526" s="30"/>
      <c r="BD526" s="31">
        <f t="shared" si="114"/>
        <v>6116.04</v>
      </c>
      <c r="BE526" s="31"/>
      <c r="BF526" s="30"/>
      <c r="BG526" s="36">
        <v>1</v>
      </c>
      <c r="BH526" s="31">
        <f t="shared" si="115"/>
        <v>7.73</v>
      </c>
      <c r="BI526" s="31">
        <f t="shared" si="116"/>
        <v>0</v>
      </c>
      <c r="BJ526" s="31">
        <f t="shared" si="117"/>
        <v>1947.96</v>
      </c>
      <c r="BK526" s="30"/>
      <c r="BL526" s="30"/>
      <c r="BM526" s="30"/>
      <c r="BN526" s="30"/>
      <c r="BO526" s="33">
        <f t="shared" si="110"/>
        <v>0</v>
      </c>
      <c r="BP526" s="30">
        <v>22</v>
      </c>
      <c r="BQ526" s="30">
        <v>21</v>
      </c>
      <c r="BR526" s="30"/>
      <c r="BS526" s="30"/>
      <c r="BT526" s="34">
        <f t="shared" si="111"/>
        <v>32</v>
      </c>
      <c r="BU526" s="34"/>
      <c r="BV526" s="34"/>
      <c r="BW526" s="34"/>
      <c r="BX526" s="34"/>
      <c r="BY526" s="30"/>
      <c r="BZ526" s="31">
        <f t="shared" si="112"/>
        <v>704</v>
      </c>
      <c r="CA526" s="31">
        <f t="shared" si="113"/>
        <v>672</v>
      </c>
    </row>
    <row r="527" spans="1:79" ht="51" x14ac:dyDescent="0.25">
      <c r="A527" s="17"/>
      <c r="B527" s="2">
        <v>515</v>
      </c>
      <c r="C527" s="58">
        <v>236</v>
      </c>
      <c r="D527" s="18">
        <v>479</v>
      </c>
      <c r="E527" s="19">
        <v>0.71875</v>
      </c>
      <c r="F527" s="19">
        <v>0.7368055555555556</v>
      </c>
      <c r="G527" s="18" t="s">
        <v>1133</v>
      </c>
      <c r="H527" s="18" t="s">
        <v>268</v>
      </c>
      <c r="I527" s="20">
        <v>16</v>
      </c>
      <c r="J527" s="21" t="s">
        <v>93</v>
      </c>
      <c r="K527" s="22">
        <v>252</v>
      </c>
      <c r="L527" s="23">
        <f t="shared" si="95"/>
        <v>4032</v>
      </c>
      <c r="M527" s="24" t="s">
        <v>129</v>
      </c>
      <c r="N527" s="25" t="s">
        <v>802</v>
      </c>
      <c r="O527" s="25">
        <v>24</v>
      </c>
      <c r="P527" s="25" t="s">
        <v>779</v>
      </c>
      <c r="Q527" s="25">
        <v>21</v>
      </c>
      <c r="R527" s="25" t="s">
        <v>787</v>
      </c>
      <c r="S527" s="35">
        <v>23</v>
      </c>
      <c r="T527" s="26" t="s">
        <v>364</v>
      </c>
      <c r="U527" s="26" t="s">
        <v>365</v>
      </c>
      <c r="V527" s="26" t="s">
        <v>1129</v>
      </c>
      <c r="W527" s="26" t="s">
        <v>1130</v>
      </c>
      <c r="X527" s="66">
        <v>44805</v>
      </c>
      <c r="Y527" s="66">
        <v>45169</v>
      </c>
      <c r="Z527" s="66"/>
      <c r="AA527" s="66"/>
      <c r="AB527" s="26" t="s">
        <v>269</v>
      </c>
      <c r="AC527" s="26"/>
      <c r="AD527" s="28" t="s">
        <v>90</v>
      </c>
      <c r="AE527" s="28" t="s">
        <v>90</v>
      </c>
      <c r="AF527" s="28" t="s">
        <v>90</v>
      </c>
      <c r="AG527" s="28"/>
      <c r="AH527" s="28" t="s">
        <v>90</v>
      </c>
      <c r="AI527" s="28" t="s">
        <v>90</v>
      </c>
      <c r="AJ527" s="28" t="s">
        <v>90</v>
      </c>
      <c r="AK527" s="28" t="s">
        <v>90</v>
      </c>
      <c r="AL527" s="28" t="s">
        <v>90</v>
      </c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9">
        <v>20.85</v>
      </c>
      <c r="AY527" s="31"/>
      <c r="AZ527" s="30"/>
      <c r="BA527" s="29"/>
      <c r="BB527" s="29"/>
      <c r="BC527" s="30"/>
      <c r="BD527" s="31">
        <f t="shared" si="114"/>
        <v>5254.2000000000007</v>
      </c>
      <c r="BE527" s="31"/>
      <c r="BF527" s="30"/>
      <c r="BG527" s="36">
        <v>1</v>
      </c>
      <c r="BH527" s="31">
        <f t="shared" si="115"/>
        <v>11.149999999999999</v>
      </c>
      <c r="BI527" s="31">
        <f t="shared" si="116"/>
        <v>0</v>
      </c>
      <c r="BJ527" s="31">
        <f t="shared" si="117"/>
        <v>2809.7999999999997</v>
      </c>
      <c r="BK527" s="30"/>
      <c r="BL527" s="30"/>
      <c r="BM527" s="30"/>
      <c r="BN527" s="30"/>
      <c r="BO527" s="33">
        <f t="shared" si="110"/>
        <v>0</v>
      </c>
      <c r="BP527" s="30">
        <v>22</v>
      </c>
      <c r="BQ527" s="30">
        <v>21</v>
      </c>
      <c r="BR527" s="30"/>
      <c r="BS527" s="30"/>
      <c r="BT527" s="34">
        <f t="shared" si="111"/>
        <v>32</v>
      </c>
      <c r="BU527" s="34"/>
      <c r="BV527" s="34"/>
      <c r="BW527" s="34"/>
      <c r="BX527" s="34"/>
      <c r="BY527" s="30"/>
      <c r="BZ527" s="31">
        <f t="shared" si="112"/>
        <v>704</v>
      </c>
      <c r="CA527" s="31">
        <f t="shared" si="113"/>
        <v>672</v>
      </c>
    </row>
    <row r="528" spans="1:79" ht="51" x14ac:dyDescent="0.25">
      <c r="A528" s="17"/>
      <c r="B528" s="2">
        <v>516</v>
      </c>
      <c r="C528" s="58">
        <v>236</v>
      </c>
      <c r="D528" s="18">
        <v>476</v>
      </c>
      <c r="E528" s="59">
        <v>0.75138888888888899</v>
      </c>
      <c r="F528" s="59">
        <v>0.7715277777777777</v>
      </c>
      <c r="G528" s="18" t="s">
        <v>1135</v>
      </c>
      <c r="H528" s="18" t="s">
        <v>268</v>
      </c>
      <c r="I528" s="20">
        <v>16</v>
      </c>
      <c r="J528" s="21" t="s">
        <v>93</v>
      </c>
      <c r="K528" s="22">
        <v>252</v>
      </c>
      <c r="L528" s="23">
        <f t="shared" si="95"/>
        <v>4032</v>
      </c>
      <c r="M528" s="24" t="s">
        <v>129</v>
      </c>
      <c r="N528" s="25" t="s">
        <v>802</v>
      </c>
      <c r="O528" s="25">
        <v>24</v>
      </c>
      <c r="P528" s="25" t="s">
        <v>779</v>
      </c>
      <c r="Q528" s="25">
        <v>21</v>
      </c>
      <c r="R528" s="25" t="s">
        <v>787</v>
      </c>
      <c r="S528" s="35">
        <v>23</v>
      </c>
      <c r="T528" s="26" t="s">
        <v>1129</v>
      </c>
      <c r="U528" s="26" t="s">
        <v>1132</v>
      </c>
      <c r="V528" s="26" t="s">
        <v>364</v>
      </c>
      <c r="W528" s="26" t="s">
        <v>365</v>
      </c>
      <c r="X528" s="66">
        <v>44805</v>
      </c>
      <c r="Y528" s="66">
        <v>45169</v>
      </c>
      <c r="Z528" s="66"/>
      <c r="AA528" s="66"/>
      <c r="AB528" s="26" t="s">
        <v>269</v>
      </c>
      <c r="AC528" s="26"/>
      <c r="AD528" s="28" t="s">
        <v>90</v>
      </c>
      <c r="AE528" s="28" t="s">
        <v>90</v>
      </c>
      <c r="AF528" s="28" t="s">
        <v>90</v>
      </c>
      <c r="AG528" s="28"/>
      <c r="AH528" s="28" t="s">
        <v>90</v>
      </c>
      <c r="AI528" s="28" t="s">
        <v>90</v>
      </c>
      <c r="AJ528" s="28" t="s">
        <v>90</v>
      </c>
      <c r="AK528" s="28" t="s">
        <v>90</v>
      </c>
      <c r="AL528" s="28" t="s">
        <v>90</v>
      </c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9">
        <v>24.27</v>
      </c>
      <c r="AY528" s="31"/>
      <c r="AZ528" s="30"/>
      <c r="BA528" s="29"/>
      <c r="BB528" s="29"/>
      <c r="BC528" s="30"/>
      <c r="BD528" s="31">
        <f t="shared" si="114"/>
        <v>6116.04</v>
      </c>
      <c r="BE528" s="31"/>
      <c r="BF528" s="30"/>
      <c r="BG528" s="36">
        <v>1</v>
      </c>
      <c r="BH528" s="31">
        <f t="shared" si="115"/>
        <v>7.73</v>
      </c>
      <c r="BI528" s="31">
        <f t="shared" si="116"/>
        <v>0</v>
      </c>
      <c r="BJ528" s="31">
        <f t="shared" si="117"/>
        <v>1947.96</v>
      </c>
      <c r="BK528" s="30"/>
      <c r="BL528" s="30"/>
      <c r="BM528" s="30"/>
      <c r="BN528" s="30"/>
      <c r="BO528" s="33">
        <f t="shared" si="110"/>
        <v>0</v>
      </c>
      <c r="BP528" s="30">
        <v>22</v>
      </c>
      <c r="BQ528" s="30">
        <v>21</v>
      </c>
      <c r="BR528" s="30"/>
      <c r="BS528" s="30"/>
      <c r="BT528" s="34">
        <f t="shared" si="111"/>
        <v>32</v>
      </c>
      <c r="BU528" s="34"/>
      <c r="BV528" s="34"/>
      <c r="BW528" s="34"/>
      <c r="BX528" s="34"/>
      <c r="BY528" s="30"/>
      <c r="BZ528" s="31">
        <f t="shared" si="112"/>
        <v>704</v>
      </c>
      <c r="CA528" s="31">
        <f t="shared" si="113"/>
        <v>672</v>
      </c>
    </row>
    <row r="529" spans="1:79" ht="51" x14ac:dyDescent="0.25">
      <c r="A529" s="17"/>
      <c r="B529" s="2">
        <v>517</v>
      </c>
      <c r="C529" s="48">
        <v>301</v>
      </c>
      <c r="D529" s="48">
        <v>169</v>
      </c>
      <c r="E529" s="49">
        <v>0.21319444444444444</v>
      </c>
      <c r="F529" s="49">
        <v>0.24513888888888888</v>
      </c>
      <c r="G529" s="51" t="s">
        <v>1136</v>
      </c>
      <c r="H529" s="18" t="s">
        <v>273</v>
      </c>
      <c r="I529" s="48">
        <v>28</v>
      </c>
      <c r="J529" s="52">
        <v>30</v>
      </c>
      <c r="K529" s="22">
        <v>174</v>
      </c>
      <c r="L529" s="23">
        <f t="shared" si="95"/>
        <v>4872</v>
      </c>
      <c r="M529" s="24" t="s">
        <v>1137</v>
      </c>
      <c r="N529" s="25" t="s">
        <v>1138</v>
      </c>
      <c r="O529" s="25">
        <v>31</v>
      </c>
      <c r="P529" s="25" t="s">
        <v>1139</v>
      </c>
      <c r="Q529" s="25">
        <v>29</v>
      </c>
      <c r="R529" s="25"/>
      <c r="S529" s="25"/>
      <c r="T529" s="26" t="s">
        <v>1140</v>
      </c>
      <c r="U529" s="26" t="s">
        <v>1141</v>
      </c>
      <c r="V529" s="26">
        <v>1</v>
      </c>
      <c r="W529" s="26" t="s">
        <v>300</v>
      </c>
      <c r="X529" s="66">
        <v>44816</v>
      </c>
      <c r="Y529" s="66">
        <v>45086</v>
      </c>
      <c r="Z529" s="66"/>
      <c r="AA529" s="66"/>
      <c r="AB529" s="26" t="s">
        <v>282</v>
      </c>
      <c r="AC529" s="26"/>
      <c r="AD529" s="28"/>
      <c r="AE529" s="28"/>
      <c r="AF529" s="28"/>
      <c r="AG529" s="28" t="s">
        <v>90</v>
      </c>
      <c r="AH529" s="28" t="s">
        <v>90</v>
      </c>
      <c r="AI529" s="28" t="s">
        <v>90</v>
      </c>
      <c r="AJ529" s="28" t="s">
        <v>90</v>
      </c>
      <c r="AK529" s="28" t="s">
        <v>90</v>
      </c>
      <c r="AL529" s="28" t="s">
        <v>90</v>
      </c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31"/>
      <c r="AY529" s="31">
        <f>165/2</f>
        <v>82.5</v>
      </c>
      <c r="AZ529" s="30"/>
      <c r="BA529" s="42"/>
      <c r="BB529" s="42"/>
      <c r="BC529" s="30"/>
      <c r="BD529" s="31">
        <f t="shared" si="114"/>
        <v>0</v>
      </c>
      <c r="BE529" s="31">
        <f>AY529*K529</f>
        <v>14355</v>
      </c>
      <c r="BF529" s="30"/>
      <c r="BG529" s="36">
        <v>1</v>
      </c>
      <c r="BH529" s="30"/>
      <c r="BI529" s="31"/>
      <c r="BJ529" s="30"/>
      <c r="BK529" s="31">
        <f>IF(AND((AY529/I529)&lt;2,BG529=1),(I529*2)-AY529,0)</f>
        <v>0</v>
      </c>
      <c r="BL529" s="31">
        <f>IF(AND((AY529/I529)&lt;3,BG529=2),(I529*3)-AY529,0)</f>
        <v>0</v>
      </c>
      <c r="BM529" s="33">
        <f>(BK529+BL529)*K529</f>
        <v>0</v>
      </c>
      <c r="BN529" s="31">
        <f>IF((AX529+AY529+AZ529)&lt;20,(20-(AX529+AY529+AZ529)),0)</f>
        <v>0</v>
      </c>
      <c r="BO529" s="33">
        <f t="shared" si="110"/>
        <v>0</v>
      </c>
      <c r="BP529" s="30">
        <v>15</v>
      </c>
      <c r="BQ529" s="30">
        <v>20</v>
      </c>
      <c r="BR529" s="30"/>
      <c r="BS529" s="30"/>
      <c r="BT529" s="34">
        <f t="shared" si="111"/>
        <v>82.5</v>
      </c>
      <c r="BU529" s="34"/>
      <c r="BV529" s="34"/>
      <c r="BW529" s="34"/>
      <c r="BX529" s="34"/>
      <c r="BY529" s="30"/>
      <c r="BZ529" s="31">
        <f t="shared" si="112"/>
        <v>1237.5</v>
      </c>
      <c r="CA529" s="31">
        <f t="shared" si="113"/>
        <v>1650</v>
      </c>
    </row>
    <row r="530" spans="1:79" ht="51" x14ac:dyDescent="0.25">
      <c r="A530" s="17"/>
      <c r="B530" s="2">
        <v>518</v>
      </c>
      <c r="C530" s="48">
        <v>301</v>
      </c>
      <c r="D530" s="48">
        <v>354</v>
      </c>
      <c r="E530" s="49">
        <v>0.24791666666666667</v>
      </c>
      <c r="F530" s="49">
        <v>0.27986111111111112</v>
      </c>
      <c r="G530" s="51" t="s">
        <v>1142</v>
      </c>
      <c r="H530" s="18" t="s">
        <v>273</v>
      </c>
      <c r="I530" s="48">
        <v>28</v>
      </c>
      <c r="J530" s="52">
        <v>30</v>
      </c>
      <c r="K530" s="22">
        <v>174</v>
      </c>
      <c r="L530" s="23">
        <f t="shared" si="95"/>
        <v>4872</v>
      </c>
      <c r="M530" s="24" t="s">
        <v>1137</v>
      </c>
      <c r="N530" s="25" t="s">
        <v>1138</v>
      </c>
      <c r="O530" s="25">
        <v>31</v>
      </c>
      <c r="P530" s="25" t="s">
        <v>1139</v>
      </c>
      <c r="Q530" s="25">
        <v>29</v>
      </c>
      <c r="R530" s="25"/>
      <c r="S530" s="25"/>
      <c r="T530" s="26">
        <v>1</v>
      </c>
      <c r="U530" s="26" t="s">
        <v>179</v>
      </c>
      <c r="V530" s="26" t="s">
        <v>1143</v>
      </c>
      <c r="W530" s="26" t="s">
        <v>1141</v>
      </c>
      <c r="X530" s="66">
        <v>44816</v>
      </c>
      <c r="Y530" s="66">
        <v>45086</v>
      </c>
      <c r="Z530" s="66"/>
      <c r="AA530" s="66"/>
      <c r="AB530" s="26" t="s">
        <v>282</v>
      </c>
      <c r="AC530" s="26"/>
      <c r="AD530" s="28"/>
      <c r="AE530" s="28"/>
      <c r="AF530" s="28"/>
      <c r="AG530" s="28" t="s">
        <v>90</v>
      </c>
      <c r="AH530" s="28" t="s">
        <v>90</v>
      </c>
      <c r="AI530" s="28" t="s">
        <v>90</v>
      </c>
      <c r="AJ530" s="28" t="s">
        <v>90</v>
      </c>
      <c r="AK530" s="28" t="s">
        <v>90</v>
      </c>
      <c r="AL530" s="28" t="s">
        <v>90</v>
      </c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31"/>
      <c r="AY530" s="31">
        <f>165/2</f>
        <v>82.5</v>
      </c>
      <c r="AZ530" s="30"/>
      <c r="BA530" s="42"/>
      <c r="BB530" s="42"/>
      <c r="BC530" s="30"/>
      <c r="BD530" s="31">
        <f t="shared" si="114"/>
        <v>0</v>
      </c>
      <c r="BE530" s="31">
        <f>AY530*K530</f>
        <v>14355</v>
      </c>
      <c r="BF530" s="30"/>
      <c r="BG530" s="36">
        <v>1</v>
      </c>
      <c r="BH530" s="30"/>
      <c r="BI530" s="31"/>
      <c r="BJ530" s="30"/>
      <c r="BK530" s="31">
        <f>IF(AND((AY530/I530)&lt;2,BG530=1),(I530*2)-AY530,0)</f>
        <v>0</v>
      </c>
      <c r="BL530" s="31">
        <f>IF(AND((AY530/I530)&lt;3,BG530=2),(I530*3)-AY530,0)</f>
        <v>0</v>
      </c>
      <c r="BM530" s="33">
        <f>(BK530+BL530)*K530</f>
        <v>0</v>
      </c>
      <c r="BN530" s="31">
        <f>IF((AX530+AY530+AZ530)&lt;20,(20-(AX530+AY530+AZ530)),0)</f>
        <v>0</v>
      </c>
      <c r="BO530" s="33">
        <f t="shared" si="110"/>
        <v>0</v>
      </c>
      <c r="BP530" s="30">
        <v>15</v>
      </c>
      <c r="BQ530" s="30">
        <v>20</v>
      </c>
      <c r="BR530" s="30"/>
      <c r="BS530" s="30"/>
      <c r="BT530" s="34">
        <f t="shared" si="111"/>
        <v>82.5</v>
      </c>
      <c r="BU530" s="34"/>
      <c r="BV530" s="34"/>
      <c r="BW530" s="34"/>
      <c r="BX530" s="34"/>
      <c r="BY530" s="30"/>
      <c r="BZ530" s="31">
        <f t="shared" si="112"/>
        <v>1237.5</v>
      </c>
      <c r="CA530" s="31">
        <f t="shared" si="113"/>
        <v>1650</v>
      </c>
    </row>
    <row r="531" spans="1:79" ht="42" x14ac:dyDescent="0.25">
      <c r="A531" s="67" t="s">
        <v>1144</v>
      </c>
      <c r="B531" s="2">
        <v>519</v>
      </c>
      <c r="C531" s="37">
        <v>301</v>
      </c>
      <c r="D531" s="87">
        <v>815</v>
      </c>
      <c r="E531" s="86">
        <v>0.81180555555555556</v>
      </c>
      <c r="F531" s="86">
        <v>0.84652777777777777</v>
      </c>
      <c r="G531" s="39" t="s">
        <v>1136</v>
      </c>
      <c r="H531" s="58" t="s">
        <v>1145</v>
      </c>
      <c r="I531" s="37">
        <v>27</v>
      </c>
      <c r="J531" s="40">
        <v>50</v>
      </c>
      <c r="K531" s="107">
        <v>202</v>
      </c>
      <c r="L531" s="23">
        <f t="shared" si="95"/>
        <v>5454</v>
      </c>
      <c r="M531" s="24" t="s">
        <v>262</v>
      </c>
      <c r="N531" s="17"/>
      <c r="O531" s="17"/>
      <c r="P531" s="17"/>
      <c r="Q531" s="17"/>
      <c r="R531" s="17" t="s">
        <v>1146</v>
      </c>
      <c r="S531" s="35">
        <v>55</v>
      </c>
      <c r="T531" s="26" t="s">
        <v>1140</v>
      </c>
      <c r="U531" s="26" t="s">
        <v>1141</v>
      </c>
      <c r="V531" s="26">
        <v>1</v>
      </c>
      <c r="W531" s="26" t="s">
        <v>300</v>
      </c>
      <c r="X531" s="27">
        <v>44816</v>
      </c>
      <c r="Y531" s="27">
        <v>45100</v>
      </c>
      <c r="Z531" s="27"/>
      <c r="AA531" s="27"/>
      <c r="AB531" s="28" t="s">
        <v>351</v>
      </c>
      <c r="AC531" s="28"/>
      <c r="AD531" s="28" t="s">
        <v>90</v>
      </c>
      <c r="AE531" s="28"/>
      <c r="AF531" s="28" t="s">
        <v>90</v>
      </c>
      <c r="AG531" s="28"/>
      <c r="AH531" s="28" t="s">
        <v>90</v>
      </c>
      <c r="AI531" s="28" t="s">
        <v>90</v>
      </c>
      <c r="AJ531" s="28" t="s">
        <v>90</v>
      </c>
      <c r="AK531" s="28" t="s">
        <v>90</v>
      </c>
      <c r="AL531" s="28" t="s">
        <v>90</v>
      </c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9"/>
      <c r="AY531" s="31"/>
      <c r="AZ531" s="31">
        <f>3*I531</f>
        <v>81</v>
      </c>
      <c r="BA531" s="29"/>
      <c r="BB531" s="29"/>
      <c r="BC531" s="30"/>
      <c r="BD531" s="30"/>
      <c r="BE531" s="30"/>
      <c r="BF531" s="31">
        <f>AZ531*K531</f>
        <v>16362</v>
      </c>
      <c r="BG531" s="32">
        <v>2</v>
      </c>
      <c r="BH531" s="36"/>
      <c r="BI531" s="47"/>
      <c r="BJ531" s="36"/>
      <c r="BK531" s="36"/>
      <c r="BL531" s="36"/>
      <c r="BM531" s="36"/>
      <c r="BN531" s="30"/>
      <c r="BO531" s="33">
        <f t="shared" si="110"/>
        <v>0</v>
      </c>
      <c r="BP531" s="30">
        <v>15</v>
      </c>
      <c r="BQ531" s="30">
        <v>21</v>
      </c>
      <c r="BR531" s="30"/>
      <c r="BS531" s="30"/>
      <c r="BT531" s="34">
        <f t="shared" si="111"/>
        <v>81</v>
      </c>
      <c r="BU531" s="34"/>
      <c r="BV531" s="34"/>
      <c r="BW531" s="34"/>
      <c r="BX531" s="34"/>
      <c r="BY531" s="122">
        <v>69</v>
      </c>
      <c r="BZ531" s="70">
        <f>((BT531+BY531)*BP531)+(BV531*BX531)</f>
        <v>2250</v>
      </c>
      <c r="CA531" s="31">
        <f>(BT531*BQ531)+(BQ531*(BX531+BY531))</f>
        <v>3150</v>
      </c>
    </row>
    <row r="532" spans="1:79" ht="51" x14ac:dyDescent="0.25">
      <c r="A532" s="17"/>
      <c r="B532" s="2">
        <v>520</v>
      </c>
      <c r="C532" s="18">
        <v>302</v>
      </c>
      <c r="D532" s="18">
        <v>473</v>
      </c>
      <c r="E532" s="19">
        <v>0.26597222222222222</v>
      </c>
      <c r="F532" s="19">
        <v>0.2722222222222222</v>
      </c>
      <c r="G532" s="18" t="s">
        <v>1147</v>
      </c>
      <c r="H532" s="18" t="s">
        <v>306</v>
      </c>
      <c r="I532" s="20">
        <v>3</v>
      </c>
      <c r="J532" s="21" t="s">
        <v>93</v>
      </c>
      <c r="K532" s="22">
        <v>208</v>
      </c>
      <c r="L532" s="23">
        <f t="shared" ref="L532:L596" si="118">+K532*I532</f>
        <v>624</v>
      </c>
      <c r="M532" s="24" t="s">
        <v>455</v>
      </c>
      <c r="N532" s="25" t="s">
        <v>1148</v>
      </c>
      <c r="O532" s="25">
        <v>20</v>
      </c>
      <c r="P532" s="25" t="s">
        <v>1149</v>
      </c>
      <c r="Q532" s="25">
        <v>17</v>
      </c>
      <c r="R532" s="25" t="s">
        <v>1150</v>
      </c>
      <c r="S532" s="35">
        <v>24</v>
      </c>
      <c r="T532" s="26">
        <v>3677</v>
      </c>
      <c r="U532" s="26" t="s">
        <v>1151</v>
      </c>
      <c r="V532" s="26" t="s">
        <v>1152</v>
      </c>
      <c r="W532" s="26" t="s">
        <v>1153</v>
      </c>
      <c r="X532" s="66">
        <v>44816</v>
      </c>
      <c r="Y532" s="66">
        <v>45086</v>
      </c>
      <c r="Z532" s="66"/>
      <c r="AA532" s="66"/>
      <c r="AB532" s="26" t="s">
        <v>309</v>
      </c>
      <c r="AC532" s="26"/>
      <c r="AD532" s="28"/>
      <c r="AE532" s="28"/>
      <c r="AF532" s="28"/>
      <c r="AG532" s="28" t="s">
        <v>90</v>
      </c>
      <c r="AH532" s="28" t="s">
        <v>90</v>
      </c>
      <c r="AI532" s="28" t="s">
        <v>90</v>
      </c>
      <c r="AJ532" s="28" t="s">
        <v>90</v>
      </c>
      <c r="AK532" s="28" t="s">
        <v>90</v>
      </c>
      <c r="AL532" s="28" t="s">
        <v>90</v>
      </c>
      <c r="AM532" s="28" t="s">
        <v>90</v>
      </c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9">
        <v>10</v>
      </c>
      <c r="AY532" s="31"/>
      <c r="AZ532" s="30"/>
      <c r="BA532" s="29"/>
      <c r="BB532" s="29"/>
      <c r="BC532" s="30"/>
      <c r="BD532" s="31">
        <f t="shared" ref="BD532:BD564" si="119">AX532*K532</f>
        <v>2080</v>
      </c>
      <c r="BE532" s="31"/>
      <c r="BF532" s="30"/>
      <c r="BG532" s="36">
        <v>1</v>
      </c>
      <c r="BH532" s="31">
        <f t="shared" ref="BH532:BH564" si="120">IF(AND((AX532/I532)&lt;2,BG532=1),(I532*2)-AX532,0)</f>
        <v>0</v>
      </c>
      <c r="BI532" s="31">
        <f t="shared" ref="BI532:BI564" si="121">IF(AND((AX532/I532)&lt;3,BG532=2),(I532*3)-AX532,0)</f>
        <v>0</v>
      </c>
      <c r="BJ532" s="33">
        <f t="shared" ref="BJ532:BJ564" si="122">(BH532+BI532)*K532</f>
        <v>0</v>
      </c>
      <c r="BK532" s="30"/>
      <c r="BL532" s="30"/>
      <c r="BM532" s="30"/>
      <c r="BN532" s="31">
        <f>IF((AX532+AY532+AZ532)&lt;20,(20-(AX532+AY532+AZ532)),0)</f>
        <v>10</v>
      </c>
      <c r="BO532" s="33">
        <f t="shared" si="110"/>
        <v>2080</v>
      </c>
      <c r="BP532" s="30">
        <v>17</v>
      </c>
      <c r="BQ532" s="30">
        <v>25</v>
      </c>
      <c r="BR532" s="30"/>
      <c r="BS532" s="30"/>
      <c r="BT532" s="34">
        <f t="shared" si="111"/>
        <v>20</v>
      </c>
      <c r="BU532" s="34"/>
      <c r="BV532" s="34"/>
      <c r="BW532" s="34"/>
      <c r="BX532" s="34"/>
      <c r="BY532" s="30"/>
      <c r="BZ532" s="31">
        <f t="shared" ref="BZ532:BZ564" si="123">(BT532*BP532)+(BV532*BX532)</f>
        <v>340</v>
      </c>
      <c r="CA532" s="31">
        <f t="shared" si="113"/>
        <v>500</v>
      </c>
    </row>
    <row r="533" spans="1:79" ht="51" x14ac:dyDescent="0.25">
      <c r="A533" s="17"/>
      <c r="B533" s="2">
        <v>521</v>
      </c>
      <c r="C533" s="18">
        <v>302</v>
      </c>
      <c r="D533" s="18">
        <v>463</v>
      </c>
      <c r="E533" s="19">
        <v>0.28263888888888888</v>
      </c>
      <c r="F533" s="59">
        <v>0.28750000000000003</v>
      </c>
      <c r="G533" s="18" t="s">
        <v>1147</v>
      </c>
      <c r="H533" s="18" t="s">
        <v>306</v>
      </c>
      <c r="I533" s="20">
        <v>3</v>
      </c>
      <c r="J533" s="21" t="s">
        <v>93</v>
      </c>
      <c r="K533" s="22">
        <v>208</v>
      </c>
      <c r="L533" s="23">
        <f t="shared" si="118"/>
        <v>624</v>
      </c>
      <c r="M533" s="24" t="s">
        <v>455</v>
      </c>
      <c r="N533" s="25" t="s">
        <v>1148</v>
      </c>
      <c r="O533" s="25">
        <v>20</v>
      </c>
      <c r="P533" s="25" t="s">
        <v>1149</v>
      </c>
      <c r="Q533" s="25">
        <v>17</v>
      </c>
      <c r="R533" s="25" t="s">
        <v>1150</v>
      </c>
      <c r="S533" s="35">
        <v>24</v>
      </c>
      <c r="T533" s="26">
        <v>3677</v>
      </c>
      <c r="U533" s="26" t="s">
        <v>1151</v>
      </c>
      <c r="V533" s="26" t="s">
        <v>1152</v>
      </c>
      <c r="W533" s="26" t="s">
        <v>1153</v>
      </c>
      <c r="X533" s="66">
        <v>44816</v>
      </c>
      <c r="Y533" s="66">
        <v>45086</v>
      </c>
      <c r="Z533" s="66"/>
      <c r="AA533" s="66"/>
      <c r="AB533" s="26" t="s">
        <v>309</v>
      </c>
      <c r="AC533" s="26"/>
      <c r="AD533" s="28"/>
      <c r="AE533" s="28"/>
      <c r="AF533" s="28"/>
      <c r="AG533" s="28" t="s">
        <v>90</v>
      </c>
      <c r="AH533" s="28" t="s">
        <v>90</v>
      </c>
      <c r="AI533" s="28" t="s">
        <v>90</v>
      </c>
      <c r="AJ533" s="28" t="s">
        <v>90</v>
      </c>
      <c r="AK533" s="28" t="s">
        <v>90</v>
      </c>
      <c r="AL533" s="28" t="s">
        <v>90</v>
      </c>
      <c r="AM533" s="28" t="s">
        <v>90</v>
      </c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9">
        <v>19.41</v>
      </c>
      <c r="AY533" s="31"/>
      <c r="AZ533" s="30"/>
      <c r="BA533" s="29"/>
      <c r="BB533" s="29"/>
      <c r="BC533" s="30"/>
      <c r="BD533" s="31">
        <f t="shared" si="119"/>
        <v>4037.28</v>
      </c>
      <c r="BE533" s="31"/>
      <c r="BF533" s="30"/>
      <c r="BG533" s="36">
        <v>1</v>
      </c>
      <c r="BH533" s="31">
        <f t="shared" si="120"/>
        <v>0</v>
      </c>
      <c r="BI533" s="31">
        <f t="shared" si="121"/>
        <v>0</v>
      </c>
      <c r="BJ533" s="33">
        <f t="shared" si="122"/>
        <v>0</v>
      </c>
      <c r="BK533" s="30"/>
      <c r="BL533" s="30"/>
      <c r="BM533" s="30"/>
      <c r="BN533" s="31">
        <f>IF((AX533+AY533+AZ533)&lt;20,(20-(AX533+AY533+AZ533)),0)</f>
        <v>0.58999999999999986</v>
      </c>
      <c r="BO533" s="33">
        <f t="shared" si="110"/>
        <v>122.71999999999997</v>
      </c>
      <c r="BP533" s="30">
        <v>17</v>
      </c>
      <c r="BQ533" s="30">
        <v>25</v>
      </c>
      <c r="BR533" s="30"/>
      <c r="BS533" s="30"/>
      <c r="BT533" s="34">
        <f t="shared" si="111"/>
        <v>20</v>
      </c>
      <c r="BU533" s="34"/>
      <c r="BV533" s="34"/>
      <c r="BW533" s="34"/>
      <c r="BX533" s="34"/>
      <c r="BY533" s="30"/>
      <c r="BZ533" s="31">
        <f t="shared" si="123"/>
        <v>340</v>
      </c>
      <c r="CA533" s="31">
        <f t="shared" si="113"/>
        <v>500</v>
      </c>
    </row>
    <row r="534" spans="1:79" ht="63.75" x14ac:dyDescent="0.25">
      <c r="A534" s="17"/>
      <c r="B534" s="2">
        <v>522</v>
      </c>
      <c r="C534" s="18">
        <v>302</v>
      </c>
      <c r="D534" s="18">
        <v>463</v>
      </c>
      <c r="E534" s="19">
        <v>0.28263888888888888</v>
      </c>
      <c r="F534" s="59">
        <v>0.28750000000000003</v>
      </c>
      <c r="G534" s="18" t="s">
        <v>1147</v>
      </c>
      <c r="H534" s="18" t="s">
        <v>1154</v>
      </c>
      <c r="I534" s="20">
        <v>3</v>
      </c>
      <c r="J534" s="21" t="s">
        <v>93</v>
      </c>
      <c r="K534" s="22">
        <v>29</v>
      </c>
      <c r="L534" s="23">
        <f t="shared" si="118"/>
        <v>87</v>
      </c>
      <c r="M534" s="24" t="s">
        <v>455</v>
      </c>
      <c r="N534" s="25" t="s">
        <v>1148</v>
      </c>
      <c r="O534" s="25">
        <v>20</v>
      </c>
      <c r="P534" s="25" t="s">
        <v>1149</v>
      </c>
      <c r="Q534" s="25">
        <v>17</v>
      </c>
      <c r="R534" s="25" t="s">
        <v>1150</v>
      </c>
      <c r="S534" s="35">
        <v>24</v>
      </c>
      <c r="T534" s="26">
        <v>3677</v>
      </c>
      <c r="U534" s="26" t="s">
        <v>1151</v>
      </c>
      <c r="V534" s="26" t="s">
        <v>1152</v>
      </c>
      <c r="W534" s="26" t="s">
        <v>1153</v>
      </c>
      <c r="X534" s="27">
        <v>44816</v>
      </c>
      <c r="Y534" s="27">
        <v>45100</v>
      </c>
      <c r="Z534" s="27"/>
      <c r="AA534" s="27"/>
      <c r="AB534" s="26" t="s">
        <v>360</v>
      </c>
      <c r="AC534" s="26"/>
      <c r="AD534" s="28" t="s">
        <v>90</v>
      </c>
      <c r="AE534" s="28"/>
      <c r="AF534" s="28" t="s">
        <v>90</v>
      </c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 t="s">
        <v>90</v>
      </c>
      <c r="AS534" s="28" t="s">
        <v>90</v>
      </c>
      <c r="AT534" s="28" t="s">
        <v>90</v>
      </c>
      <c r="AU534" s="28" t="s">
        <v>90</v>
      </c>
      <c r="AV534" s="28" t="s">
        <v>90</v>
      </c>
      <c r="AW534" s="28" t="s">
        <v>90</v>
      </c>
      <c r="AX534" s="29">
        <v>19.41</v>
      </c>
      <c r="AY534" s="31"/>
      <c r="AZ534" s="30"/>
      <c r="BA534" s="29"/>
      <c r="BB534" s="29"/>
      <c r="BC534" s="30"/>
      <c r="BD534" s="31">
        <f t="shared" si="119"/>
        <v>562.89</v>
      </c>
      <c r="BE534" s="31"/>
      <c r="BF534" s="30"/>
      <c r="BG534" s="36">
        <v>1</v>
      </c>
      <c r="BH534" s="31">
        <f t="shared" si="120"/>
        <v>0</v>
      </c>
      <c r="BI534" s="31">
        <f t="shared" si="121"/>
        <v>0</v>
      </c>
      <c r="BJ534" s="33">
        <f t="shared" si="122"/>
        <v>0</v>
      </c>
      <c r="BK534" s="30"/>
      <c r="BL534" s="30"/>
      <c r="BM534" s="30"/>
      <c r="BN534" s="31">
        <f>IF((AX534+AY534+AZ534)&lt;20,(20-(AX534+AY534+AZ534)),0)</f>
        <v>0.58999999999999986</v>
      </c>
      <c r="BO534" s="33">
        <f t="shared" si="110"/>
        <v>17.109999999999996</v>
      </c>
      <c r="BP534" s="30">
        <v>0</v>
      </c>
      <c r="BQ534" s="30">
        <v>1</v>
      </c>
      <c r="BR534" s="30"/>
      <c r="BS534" s="30"/>
      <c r="BT534" s="34">
        <f t="shared" si="111"/>
        <v>20</v>
      </c>
      <c r="BU534" s="34"/>
      <c r="BV534" s="34"/>
      <c r="BW534" s="34"/>
      <c r="BX534" s="34"/>
      <c r="BY534" s="30"/>
      <c r="BZ534" s="31">
        <f t="shared" si="123"/>
        <v>0</v>
      </c>
      <c r="CA534" s="31">
        <f t="shared" si="113"/>
        <v>20</v>
      </c>
    </row>
    <row r="535" spans="1:79" ht="51" x14ac:dyDescent="0.25">
      <c r="A535" s="17"/>
      <c r="B535" s="2">
        <v>523</v>
      </c>
      <c r="C535" s="18">
        <v>302</v>
      </c>
      <c r="D535" s="18">
        <v>463</v>
      </c>
      <c r="E535" s="19">
        <v>0.28472222222222221</v>
      </c>
      <c r="F535" s="19">
        <v>0.28958333333333336</v>
      </c>
      <c r="G535" s="18" t="s">
        <v>1147</v>
      </c>
      <c r="H535" s="18" t="s">
        <v>352</v>
      </c>
      <c r="I535" s="20">
        <v>3</v>
      </c>
      <c r="J535" s="21" t="s">
        <v>93</v>
      </c>
      <c r="K535" s="22">
        <v>55</v>
      </c>
      <c r="L535" s="23">
        <f t="shared" si="118"/>
        <v>165</v>
      </c>
      <c r="M535" s="24" t="s">
        <v>455</v>
      </c>
      <c r="N535" s="25" t="s">
        <v>1148</v>
      </c>
      <c r="O535" s="25">
        <v>20</v>
      </c>
      <c r="P535" s="25" t="s">
        <v>1149</v>
      </c>
      <c r="Q535" s="25">
        <v>17</v>
      </c>
      <c r="R535" s="25" t="s">
        <v>1150</v>
      </c>
      <c r="S535" s="35">
        <v>24</v>
      </c>
      <c r="T535" s="26">
        <v>3677</v>
      </c>
      <c r="U535" s="26" t="s">
        <v>1151</v>
      </c>
      <c r="V535" s="26" t="s">
        <v>1152</v>
      </c>
      <c r="W535" s="26" t="s">
        <v>1153</v>
      </c>
      <c r="X535" s="27">
        <v>44562</v>
      </c>
      <c r="Y535" s="27">
        <v>44815</v>
      </c>
      <c r="Z535" s="27">
        <v>45101</v>
      </c>
      <c r="AA535" s="27">
        <v>45169</v>
      </c>
      <c r="AB535" s="26" t="s">
        <v>353</v>
      </c>
      <c r="AC535" s="26"/>
      <c r="AD535" s="28"/>
      <c r="AE535" s="28" t="s">
        <v>90</v>
      </c>
      <c r="AF535" s="28" t="s">
        <v>90</v>
      </c>
      <c r="AG535" s="28"/>
      <c r="AH535" s="28" t="s">
        <v>90</v>
      </c>
      <c r="AI535" s="28" t="s">
        <v>90</v>
      </c>
      <c r="AJ535" s="28" t="s">
        <v>90</v>
      </c>
      <c r="AK535" s="28" t="s">
        <v>90</v>
      </c>
      <c r="AL535" s="28" t="s">
        <v>90</v>
      </c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9">
        <v>10</v>
      </c>
      <c r="AY535" s="31"/>
      <c r="AZ535" s="30"/>
      <c r="BA535" s="29"/>
      <c r="BB535" s="29"/>
      <c r="BC535" s="30"/>
      <c r="BD535" s="31">
        <f t="shared" si="119"/>
        <v>550</v>
      </c>
      <c r="BE535" s="31"/>
      <c r="BF535" s="30"/>
      <c r="BG535" s="36">
        <v>1</v>
      </c>
      <c r="BH535" s="31">
        <f t="shared" si="120"/>
        <v>0</v>
      </c>
      <c r="BI535" s="31">
        <f t="shared" si="121"/>
        <v>0</v>
      </c>
      <c r="BJ535" s="33">
        <f t="shared" si="122"/>
        <v>0</v>
      </c>
      <c r="BK535" s="30"/>
      <c r="BL535" s="30"/>
      <c r="BM535" s="30"/>
      <c r="BN535" s="31">
        <f>IF((AX535+AY535+AZ535)&lt;20,(20-(AX535+AY535+AZ535)),0)</f>
        <v>10</v>
      </c>
      <c r="BO535" s="33">
        <f t="shared" si="110"/>
        <v>550</v>
      </c>
      <c r="BP535" s="30">
        <v>7</v>
      </c>
      <c r="BQ535" s="30">
        <v>0</v>
      </c>
      <c r="BR535" s="30"/>
      <c r="BS535" s="30"/>
      <c r="BT535" s="34">
        <f t="shared" si="111"/>
        <v>20</v>
      </c>
      <c r="BU535" s="34"/>
      <c r="BV535" s="34"/>
      <c r="BW535" s="34"/>
      <c r="BX535" s="34"/>
      <c r="BY535" s="30"/>
      <c r="BZ535" s="31">
        <f t="shared" si="123"/>
        <v>140</v>
      </c>
      <c r="CA535" s="31">
        <f t="shared" si="113"/>
        <v>0</v>
      </c>
    </row>
    <row r="536" spans="1:79" ht="51" x14ac:dyDescent="0.25">
      <c r="A536" s="17"/>
      <c r="B536" s="2">
        <v>524</v>
      </c>
      <c r="C536" s="18">
        <v>302</v>
      </c>
      <c r="D536" s="18">
        <v>465</v>
      </c>
      <c r="E536" s="19">
        <v>0.30902777777777779</v>
      </c>
      <c r="F536" s="19">
        <v>0.31388888888888888</v>
      </c>
      <c r="G536" s="18" t="s">
        <v>1147</v>
      </c>
      <c r="H536" s="18" t="s">
        <v>306</v>
      </c>
      <c r="I536" s="20">
        <v>3</v>
      </c>
      <c r="J536" s="21" t="s">
        <v>93</v>
      </c>
      <c r="K536" s="22">
        <v>208</v>
      </c>
      <c r="L536" s="23">
        <f t="shared" si="118"/>
        <v>624</v>
      </c>
      <c r="M536" s="24" t="s">
        <v>455</v>
      </c>
      <c r="N536" s="25" t="s">
        <v>1148</v>
      </c>
      <c r="O536" s="25">
        <v>20</v>
      </c>
      <c r="P536" s="25" t="s">
        <v>1149</v>
      </c>
      <c r="Q536" s="25">
        <v>17</v>
      </c>
      <c r="R536" s="25" t="s">
        <v>1150</v>
      </c>
      <c r="S536" s="35">
        <v>24</v>
      </c>
      <c r="T536" s="26">
        <v>3677</v>
      </c>
      <c r="U536" s="26" t="s">
        <v>1151</v>
      </c>
      <c r="V536" s="26" t="s">
        <v>1152</v>
      </c>
      <c r="W536" s="26" t="s">
        <v>1153</v>
      </c>
      <c r="X536" s="66">
        <v>44816</v>
      </c>
      <c r="Y536" s="66">
        <v>45086</v>
      </c>
      <c r="Z536" s="66"/>
      <c r="AA536" s="66"/>
      <c r="AB536" s="26" t="s">
        <v>309</v>
      </c>
      <c r="AC536" s="26"/>
      <c r="AD536" s="28"/>
      <c r="AE536" s="28"/>
      <c r="AF536" s="28"/>
      <c r="AG536" s="28" t="s">
        <v>90</v>
      </c>
      <c r="AH536" s="28" t="s">
        <v>90</v>
      </c>
      <c r="AI536" s="28" t="s">
        <v>90</v>
      </c>
      <c r="AJ536" s="28" t="s">
        <v>90</v>
      </c>
      <c r="AK536" s="28" t="s">
        <v>90</v>
      </c>
      <c r="AL536" s="28" t="s">
        <v>90</v>
      </c>
      <c r="AM536" s="28" t="s">
        <v>90</v>
      </c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9">
        <v>19.41</v>
      </c>
      <c r="AY536" s="31"/>
      <c r="AZ536" s="30"/>
      <c r="BA536" s="29"/>
      <c r="BB536" s="29"/>
      <c r="BC536" s="30"/>
      <c r="BD536" s="31">
        <f t="shared" si="119"/>
        <v>4037.28</v>
      </c>
      <c r="BE536" s="31"/>
      <c r="BF536" s="30"/>
      <c r="BG536" s="36">
        <v>1</v>
      </c>
      <c r="BH536" s="31">
        <f t="shared" si="120"/>
        <v>0</v>
      </c>
      <c r="BI536" s="31">
        <f t="shared" si="121"/>
        <v>0</v>
      </c>
      <c r="BJ536" s="33">
        <f t="shared" si="122"/>
        <v>0</v>
      </c>
      <c r="BK536" s="30"/>
      <c r="BL536" s="30"/>
      <c r="BM536" s="30"/>
      <c r="BN536" s="30"/>
      <c r="BO536" s="33">
        <f t="shared" si="110"/>
        <v>0</v>
      </c>
      <c r="BP536" s="30">
        <v>17</v>
      </c>
      <c r="BQ536" s="30">
        <v>25</v>
      </c>
      <c r="BR536" s="30"/>
      <c r="BS536" s="30"/>
      <c r="BT536" s="34">
        <f t="shared" si="111"/>
        <v>19.41</v>
      </c>
      <c r="BU536" s="34"/>
      <c r="BV536" s="34"/>
      <c r="BW536" s="34"/>
      <c r="BX536" s="34"/>
      <c r="BY536" s="30"/>
      <c r="BZ536" s="31">
        <f t="shared" si="123"/>
        <v>329.97</v>
      </c>
      <c r="CA536" s="31">
        <f t="shared" si="113"/>
        <v>485.25</v>
      </c>
    </row>
    <row r="537" spans="1:79" ht="63.75" x14ac:dyDescent="0.25">
      <c r="A537" s="17"/>
      <c r="B537" s="2">
        <v>525</v>
      </c>
      <c r="C537" s="18">
        <v>302</v>
      </c>
      <c r="D537" s="18">
        <v>465</v>
      </c>
      <c r="E537" s="19">
        <v>0.3125</v>
      </c>
      <c r="F537" s="19">
        <v>0.31736111111111115</v>
      </c>
      <c r="G537" s="18" t="s">
        <v>1147</v>
      </c>
      <c r="H537" s="18" t="s">
        <v>1155</v>
      </c>
      <c r="I537" s="20">
        <v>3</v>
      </c>
      <c r="J537" s="21" t="s">
        <v>93</v>
      </c>
      <c r="K537" s="22">
        <v>11</v>
      </c>
      <c r="L537" s="23">
        <f t="shared" si="118"/>
        <v>33</v>
      </c>
      <c r="M537" s="24" t="s">
        <v>455</v>
      </c>
      <c r="N537" s="25" t="s">
        <v>1148</v>
      </c>
      <c r="O537" s="25">
        <v>20</v>
      </c>
      <c r="P537" s="25" t="s">
        <v>1149</v>
      </c>
      <c r="Q537" s="25">
        <v>17</v>
      </c>
      <c r="R537" s="25" t="s">
        <v>1150</v>
      </c>
      <c r="S537" s="35">
        <v>24</v>
      </c>
      <c r="T537" s="26">
        <v>3677</v>
      </c>
      <c r="U537" s="26" t="s">
        <v>1151</v>
      </c>
      <c r="V537" s="26" t="s">
        <v>1152</v>
      </c>
      <c r="W537" s="26" t="s">
        <v>1153</v>
      </c>
      <c r="X537" s="27">
        <v>44562</v>
      </c>
      <c r="Y537" s="27">
        <v>44815</v>
      </c>
      <c r="Z537" s="27">
        <v>45101</v>
      </c>
      <c r="AA537" s="27">
        <v>45169</v>
      </c>
      <c r="AB537" s="62" t="s">
        <v>1156</v>
      </c>
      <c r="AC537" s="62"/>
      <c r="AD537" s="28"/>
      <c r="AE537" s="28" t="s">
        <v>90</v>
      </c>
      <c r="AF537" s="28" t="s">
        <v>90</v>
      </c>
      <c r="AG537" s="28"/>
      <c r="AH537" s="28"/>
      <c r="AI537" s="28"/>
      <c r="AJ537" s="28"/>
      <c r="AK537" s="28" t="s">
        <v>90</v>
      </c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9">
        <v>18</v>
      </c>
      <c r="AY537" s="31"/>
      <c r="AZ537" s="30"/>
      <c r="BA537" s="29"/>
      <c r="BB537" s="29"/>
      <c r="BC537" s="30"/>
      <c r="BD537" s="31">
        <f t="shared" si="119"/>
        <v>198</v>
      </c>
      <c r="BE537" s="31"/>
      <c r="BF537" s="30"/>
      <c r="BG537" s="36">
        <v>1</v>
      </c>
      <c r="BH537" s="31">
        <f t="shared" si="120"/>
        <v>0</v>
      </c>
      <c r="BI537" s="31">
        <f t="shared" si="121"/>
        <v>0</v>
      </c>
      <c r="BJ537" s="33">
        <f t="shared" si="122"/>
        <v>0</v>
      </c>
      <c r="BK537" s="30"/>
      <c r="BL537" s="30"/>
      <c r="BM537" s="30"/>
      <c r="BN537" s="30"/>
      <c r="BO537" s="33">
        <f t="shared" si="110"/>
        <v>0</v>
      </c>
      <c r="BP537" s="30">
        <v>2</v>
      </c>
      <c r="BQ537" s="30">
        <v>0</v>
      </c>
      <c r="BR537" s="30"/>
      <c r="BS537" s="30"/>
      <c r="BT537" s="34">
        <f t="shared" si="111"/>
        <v>18</v>
      </c>
      <c r="BU537" s="34"/>
      <c r="BV537" s="34"/>
      <c r="BW537" s="34"/>
      <c r="BX537" s="34"/>
      <c r="BY537" s="30"/>
      <c r="BZ537" s="31">
        <f t="shared" si="123"/>
        <v>36</v>
      </c>
      <c r="CA537" s="31">
        <f t="shared" si="113"/>
        <v>0</v>
      </c>
    </row>
    <row r="538" spans="1:79" ht="76.5" x14ac:dyDescent="0.25">
      <c r="A538" s="17"/>
      <c r="B538" s="2">
        <v>526</v>
      </c>
      <c r="C538" s="18">
        <v>302</v>
      </c>
      <c r="D538" s="18">
        <v>149</v>
      </c>
      <c r="E538" s="19">
        <v>0.3520833333333333</v>
      </c>
      <c r="F538" s="19">
        <v>0.38541666666666669</v>
      </c>
      <c r="G538" s="18" t="s">
        <v>1157</v>
      </c>
      <c r="H538" s="18" t="s">
        <v>1158</v>
      </c>
      <c r="I538" s="20">
        <v>25</v>
      </c>
      <c r="J538" s="21" t="s">
        <v>93</v>
      </c>
      <c r="K538" s="22">
        <v>47</v>
      </c>
      <c r="L538" s="23">
        <f t="shared" si="118"/>
        <v>1175</v>
      </c>
      <c r="M538" s="24" t="s">
        <v>176</v>
      </c>
      <c r="N538" s="25" t="s">
        <v>178</v>
      </c>
      <c r="O538" s="25">
        <v>23</v>
      </c>
      <c r="P538" s="25" t="s">
        <v>177</v>
      </c>
      <c r="Q538" s="25">
        <v>24</v>
      </c>
      <c r="R538" s="17"/>
      <c r="S538" s="25"/>
      <c r="T538" s="26">
        <v>3695</v>
      </c>
      <c r="U538" s="26" t="s">
        <v>1159</v>
      </c>
      <c r="V538" s="26">
        <v>1</v>
      </c>
      <c r="W538" s="26" t="s">
        <v>300</v>
      </c>
      <c r="X538" s="27">
        <v>44816</v>
      </c>
      <c r="Y538" s="27">
        <v>45100</v>
      </c>
      <c r="Z538" s="27"/>
      <c r="AA538" s="27"/>
      <c r="AB538" s="28" t="s">
        <v>289</v>
      </c>
      <c r="AC538" s="28"/>
      <c r="AD538" s="28" t="s">
        <v>90</v>
      </c>
      <c r="AE538" s="28"/>
      <c r="AF538" s="28"/>
      <c r="AG538" s="28"/>
      <c r="AH538" s="28"/>
      <c r="AI538" s="28"/>
      <c r="AJ538" s="28"/>
      <c r="AK538" s="28"/>
      <c r="AL538" s="28"/>
      <c r="AM538" s="28"/>
      <c r="AN538" s="28" t="s">
        <v>90</v>
      </c>
      <c r="AO538" s="28"/>
      <c r="AP538" s="28"/>
      <c r="AQ538" s="28"/>
      <c r="AR538" s="28"/>
      <c r="AS538" s="28"/>
      <c r="AT538" s="28"/>
      <c r="AU538" s="28"/>
      <c r="AV538" s="28"/>
      <c r="AW538" s="28"/>
      <c r="AX538" s="29">
        <v>75</v>
      </c>
      <c r="AY538" s="31"/>
      <c r="AZ538" s="30"/>
      <c r="BA538" s="29"/>
      <c r="BB538" s="29"/>
      <c r="BC538" s="30"/>
      <c r="BD538" s="31">
        <f t="shared" si="119"/>
        <v>3525</v>
      </c>
      <c r="BE538" s="31"/>
      <c r="BF538" s="30"/>
      <c r="BG538" s="36">
        <v>1</v>
      </c>
      <c r="BH538" s="31">
        <f t="shared" si="120"/>
        <v>0</v>
      </c>
      <c r="BI538" s="31">
        <f t="shared" si="121"/>
        <v>0</v>
      </c>
      <c r="BJ538" s="33">
        <f t="shared" si="122"/>
        <v>0</v>
      </c>
      <c r="BK538" s="30"/>
      <c r="BL538" s="30"/>
      <c r="BM538" s="30"/>
      <c r="BN538" s="30"/>
      <c r="BO538" s="33">
        <f t="shared" si="110"/>
        <v>0</v>
      </c>
      <c r="BP538" s="30">
        <v>2</v>
      </c>
      <c r="BQ538" s="30">
        <v>5</v>
      </c>
      <c r="BR538" s="30"/>
      <c r="BS538" s="30"/>
      <c r="BT538" s="34">
        <f t="shared" si="111"/>
        <v>75</v>
      </c>
      <c r="BU538" s="34"/>
      <c r="BV538" s="34"/>
      <c r="BW538" s="34"/>
      <c r="BX538" s="34"/>
      <c r="BY538" s="30"/>
      <c r="BZ538" s="31">
        <f t="shared" si="123"/>
        <v>150</v>
      </c>
      <c r="CA538" s="31">
        <f t="shared" si="113"/>
        <v>375</v>
      </c>
    </row>
    <row r="539" spans="1:79" ht="76.5" x14ac:dyDescent="0.25">
      <c r="A539" s="17"/>
      <c r="B539" s="2">
        <v>527</v>
      </c>
      <c r="C539" s="18">
        <v>302</v>
      </c>
      <c r="D539" s="18">
        <v>149</v>
      </c>
      <c r="E539" s="19">
        <v>0.3520833333333333</v>
      </c>
      <c r="F539" s="19">
        <v>0.38541666666666669</v>
      </c>
      <c r="G539" s="18" t="s">
        <v>1160</v>
      </c>
      <c r="H539" s="18" t="s">
        <v>290</v>
      </c>
      <c r="I539" s="20">
        <v>25</v>
      </c>
      <c r="J539" s="21" t="s">
        <v>1161</v>
      </c>
      <c r="K539" s="22">
        <v>13</v>
      </c>
      <c r="L539" s="23">
        <f t="shared" si="118"/>
        <v>325</v>
      </c>
      <c r="M539" s="24" t="s">
        <v>176</v>
      </c>
      <c r="N539" s="25" t="s">
        <v>178</v>
      </c>
      <c r="O539" s="25">
        <v>23</v>
      </c>
      <c r="P539" s="25" t="s">
        <v>177</v>
      </c>
      <c r="Q539" s="25">
        <v>24</v>
      </c>
      <c r="R539" s="17"/>
      <c r="S539" s="25"/>
      <c r="T539" s="26">
        <v>3695</v>
      </c>
      <c r="U539" s="26" t="s">
        <v>1159</v>
      </c>
      <c r="V539" s="26">
        <v>1</v>
      </c>
      <c r="W539" s="26" t="s">
        <v>300</v>
      </c>
      <c r="X539" s="27">
        <v>44562</v>
      </c>
      <c r="Y539" s="27">
        <v>44815</v>
      </c>
      <c r="Z539" s="27">
        <v>45101</v>
      </c>
      <c r="AA539" s="27">
        <v>45169</v>
      </c>
      <c r="AB539" s="62" t="s">
        <v>291</v>
      </c>
      <c r="AC539" s="62"/>
      <c r="AD539" s="28"/>
      <c r="AE539" s="28" t="s">
        <v>90</v>
      </c>
      <c r="AF539" s="28"/>
      <c r="AG539" s="28"/>
      <c r="AH539" s="28"/>
      <c r="AI539" s="28"/>
      <c r="AJ539" s="28"/>
      <c r="AK539" s="28"/>
      <c r="AL539" s="28"/>
      <c r="AM539" s="28"/>
      <c r="AN539" s="28" t="s">
        <v>90</v>
      </c>
      <c r="AO539" s="28"/>
      <c r="AP539" s="28"/>
      <c r="AQ539" s="28"/>
      <c r="AR539" s="28"/>
      <c r="AS539" s="28"/>
      <c r="AT539" s="28"/>
      <c r="AU539" s="28"/>
      <c r="AV539" s="28"/>
      <c r="AW539" s="28"/>
      <c r="AX539" s="29">
        <v>75</v>
      </c>
      <c r="AY539" s="31"/>
      <c r="AZ539" s="30"/>
      <c r="BA539" s="29"/>
      <c r="BB539" s="29"/>
      <c r="BC539" s="30"/>
      <c r="BD539" s="31">
        <f t="shared" si="119"/>
        <v>975</v>
      </c>
      <c r="BE539" s="31"/>
      <c r="BF539" s="30"/>
      <c r="BG539" s="36">
        <v>1</v>
      </c>
      <c r="BH539" s="31">
        <f t="shared" si="120"/>
        <v>0</v>
      </c>
      <c r="BI539" s="31">
        <f t="shared" si="121"/>
        <v>0</v>
      </c>
      <c r="BJ539" s="33">
        <f t="shared" si="122"/>
        <v>0</v>
      </c>
      <c r="BK539" s="30"/>
      <c r="BL539" s="30"/>
      <c r="BM539" s="30"/>
      <c r="BN539" s="30"/>
      <c r="BO539" s="33">
        <f t="shared" si="110"/>
        <v>0</v>
      </c>
      <c r="BP539" s="30">
        <v>2</v>
      </c>
      <c r="BQ539" s="30">
        <v>0</v>
      </c>
      <c r="BR539" s="30"/>
      <c r="BS539" s="30"/>
      <c r="BT539" s="34">
        <f t="shared" ref="BT539:BT564" si="124">SUM(AX539:AZ539)+SUM(BH539:BI539)+SUM(BK539:BL539)+BN539</f>
        <v>75</v>
      </c>
      <c r="BU539" s="34"/>
      <c r="BV539" s="34"/>
      <c r="BW539" s="34"/>
      <c r="BX539" s="34"/>
      <c r="BY539" s="30"/>
      <c r="BZ539" s="31">
        <f t="shared" si="123"/>
        <v>150</v>
      </c>
      <c r="CA539" s="31">
        <f t="shared" si="113"/>
        <v>0</v>
      </c>
    </row>
    <row r="540" spans="1:79" ht="51" x14ac:dyDescent="0.25">
      <c r="A540" s="17"/>
      <c r="B540" s="2">
        <v>528</v>
      </c>
      <c r="C540" s="18">
        <v>302</v>
      </c>
      <c r="D540" s="18">
        <v>154</v>
      </c>
      <c r="E540" s="19">
        <v>0.49374999999999997</v>
      </c>
      <c r="F540" s="59">
        <v>0.50972222222222219</v>
      </c>
      <c r="G540" s="18" t="s">
        <v>1162</v>
      </c>
      <c r="H540" s="18" t="s">
        <v>422</v>
      </c>
      <c r="I540" s="20">
        <v>12</v>
      </c>
      <c r="J540" s="21" t="s">
        <v>1161</v>
      </c>
      <c r="K540" s="22">
        <v>240</v>
      </c>
      <c r="L540" s="23">
        <f t="shared" si="118"/>
        <v>2880</v>
      </c>
      <c r="M540" s="24" t="s">
        <v>176</v>
      </c>
      <c r="N540" s="25" t="s">
        <v>178</v>
      </c>
      <c r="O540" s="25">
        <v>23</v>
      </c>
      <c r="P540" s="25" t="s">
        <v>356</v>
      </c>
      <c r="Q540" s="25">
        <v>20</v>
      </c>
      <c r="R540" s="25" t="s">
        <v>177</v>
      </c>
      <c r="S540" s="35">
        <v>24</v>
      </c>
      <c r="T540" s="26">
        <v>3640</v>
      </c>
      <c r="U540" s="26" t="s">
        <v>1163</v>
      </c>
      <c r="V540" s="26">
        <v>3695</v>
      </c>
      <c r="W540" s="26" t="s">
        <v>1159</v>
      </c>
      <c r="X540" s="27">
        <v>44816</v>
      </c>
      <c r="Y540" s="27">
        <v>45100</v>
      </c>
      <c r="Z540" s="27"/>
      <c r="AA540" s="27"/>
      <c r="AB540" s="26" t="s">
        <v>423</v>
      </c>
      <c r="AC540" s="26"/>
      <c r="AD540" s="28" t="s">
        <v>90</v>
      </c>
      <c r="AE540" s="28"/>
      <c r="AF540" s="28" t="s">
        <v>90</v>
      </c>
      <c r="AG540" s="28"/>
      <c r="AH540" s="28" t="s">
        <v>90</v>
      </c>
      <c r="AI540" s="28" t="s">
        <v>90</v>
      </c>
      <c r="AJ540" s="28" t="s">
        <v>90</v>
      </c>
      <c r="AK540" s="28" t="s">
        <v>90</v>
      </c>
      <c r="AL540" s="28" t="s">
        <v>90</v>
      </c>
      <c r="AM540" s="28" t="s">
        <v>90</v>
      </c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9">
        <v>46.16</v>
      </c>
      <c r="AY540" s="31"/>
      <c r="AZ540" s="30"/>
      <c r="BA540" s="29"/>
      <c r="BB540" s="29"/>
      <c r="BC540" s="30"/>
      <c r="BD540" s="31">
        <f t="shared" si="119"/>
        <v>11078.4</v>
      </c>
      <c r="BE540" s="31"/>
      <c r="BF540" s="30"/>
      <c r="BG540" s="36">
        <v>1</v>
      </c>
      <c r="BH540" s="31">
        <f t="shared" si="120"/>
        <v>0</v>
      </c>
      <c r="BI540" s="31">
        <f t="shared" si="121"/>
        <v>0</v>
      </c>
      <c r="BJ540" s="33">
        <f t="shared" si="122"/>
        <v>0</v>
      </c>
      <c r="BK540" s="30"/>
      <c r="BL540" s="30"/>
      <c r="BM540" s="30"/>
      <c r="BN540" s="30"/>
      <c r="BO540" s="33">
        <f t="shared" si="110"/>
        <v>0</v>
      </c>
      <c r="BP540" s="30">
        <v>17</v>
      </c>
      <c r="BQ540" s="30">
        <v>26</v>
      </c>
      <c r="BR540" s="30"/>
      <c r="BS540" s="30"/>
      <c r="BT540" s="34">
        <f t="shared" si="124"/>
        <v>46.16</v>
      </c>
      <c r="BU540" s="34"/>
      <c r="BV540" s="34"/>
      <c r="BW540" s="34"/>
      <c r="BX540" s="34"/>
      <c r="BY540" s="30"/>
      <c r="BZ540" s="31">
        <f t="shared" si="123"/>
        <v>784.71999999999991</v>
      </c>
      <c r="CA540" s="31">
        <f t="shared" si="113"/>
        <v>1200.1599999999999</v>
      </c>
    </row>
    <row r="541" spans="1:79" ht="63.75" x14ac:dyDescent="0.25">
      <c r="A541" s="17"/>
      <c r="B541" s="2">
        <v>529</v>
      </c>
      <c r="C541" s="18">
        <v>302</v>
      </c>
      <c r="D541" s="18">
        <v>537</v>
      </c>
      <c r="E541" s="19">
        <v>0.51041666666666663</v>
      </c>
      <c r="F541" s="19">
        <v>0.54374999999999996</v>
      </c>
      <c r="G541" s="18" t="s">
        <v>1164</v>
      </c>
      <c r="H541" s="18" t="s">
        <v>422</v>
      </c>
      <c r="I541" s="20">
        <v>25</v>
      </c>
      <c r="J541" s="21" t="s">
        <v>1161</v>
      </c>
      <c r="K541" s="22">
        <v>240</v>
      </c>
      <c r="L541" s="23">
        <f t="shared" si="118"/>
        <v>6000</v>
      </c>
      <c r="M541" s="24" t="s">
        <v>176</v>
      </c>
      <c r="N541" s="25" t="s">
        <v>178</v>
      </c>
      <c r="O541" s="25">
        <v>23</v>
      </c>
      <c r="P541" s="25" t="s">
        <v>356</v>
      </c>
      <c r="Q541" s="25">
        <v>20</v>
      </c>
      <c r="R541" s="25" t="s">
        <v>177</v>
      </c>
      <c r="S541" s="35">
        <v>24</v>
      </c>
      <c r="T541" s="26">
        <v>3695</v>
      </c>
      <c r="U541" s="26" t="s">
        <v>1159</v>
      </c>
      <c r="V541" s="26">
        <v>1</v>
      </c>
      <c r="W541" s="26" t="s">
        <v>300</v>
      </c>
      <c r="X541" s="27">
        <v>44816</v>
      </c>
      <c r="Y541" s="27">
        <v>45100</v>
      </c>
      <c r="Z541" s="27"/>
      <c r="AA541" s="27"/>
      <c r="AB541" s="26" t="s">
        <v>423</v>
      </c>
      <c r="AC541" s="26"/>
      <c r="AD541" s="28" t="s">
        <v>90</v>
      </c>
      <c r="AE541" s="28"/>
      <c r="AF541" s="28" t="s">
        <v>90</v>
      </c>
      <c r="AG541" s="28"/>
      <c r="AH541" s="28" t="s">
        <v>90</v>
      </c>
      <c r="AI541" s="28" t="s">
        <v>90</v>
      </c>
      <c r="AJ541" s="28" t="s">
        <v>90</v>
      </c>
      <c r="AK541" s="28" t="s">
        <v>90</v>
      </c>
      <c r="AL541" s="28" t="s">
        <v>90</v>
      </c>
      <c r="AM541" s="28" t="s">
        <v>90</v>
      </c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9">
        <v>46.16</v>
      </c>
      <c r="AY541" s="31"/>
      <c r="AZ541" s="30"/>
      <c r="BA541" s="29"/>
      <c r="BB541" s="29"/>
      <c r="BC541" s="30"/>
      <c r="BD541" s="31">
        <f t="shared" si="119"/>
        <v>11078.4</v>
      </c>
      <c r="BE541" s="31"/>
      <c r="BF541" s="30"/>
      <c r="BG541" s="36">
        <v>1</v>
      </c>
      <c r="BH541" s="31">
        <f t="shared" si="120"/>
        <v>3.8400000000000034</v>
      </c>
      <c r="BI541" s="31">
        <f t="shared" si="121"/>
        <v>0</v>
      </c>
      <c r="BJ541" s="31">
        <f t="shared" si="122"/>
        <v>921.60000000000082</v>
      </c>
      <c r="BK541" s="30"/>
      <c r="BL541" s="30"/>
      <c r="BM541" s="30"/>
      <c r="BN541" s="30"/>
      <c r="BO541" s="33">
        <f t="shared" si="110"/>
        <v>0</v>
      </c>
      <c r="BP541" s="30">
        <v>17</v>
      </c>
      <c r="BQ541" s="30">
        <v>26</v>
      </c>
      <c r="BR541" s="30"/>
      <c r="BS541" s="30"/>
      <c r="BT541" s="34">
        <f t="shared" si="124"/>
        <v>50</v>
      </c>
      <c r="BU541" s="34"/>
      <c r="BV541" s="34"/>
      <c r="BW541" s="34"/>
      <c r="BX541" s="34"/>
      <c r="BY541" s="30"/>
      <c r="BZ541" s="31">
        <f t="shared" si="123"/>
        <v>850</v>
      </c>
      <c r="CA541" s="31">
        <f t="shared" si="113"/>
        <v>1300</v>
      </c>
    </row>
    <row r="542" spans="1:79" ht="63.75" x14ac:dyDescent="0.25">
      <c r="A542" s="17"/>
      <c r="B542" s="2">
        <v>530</v>
      </c>
      <c r="C542" s="18">
        <v>302</v>
      </c>
      <c r="D542" s="18">
        <v>156</v>
      </c>
      <c r="E542" s="19">
        <v>0.51388888888888895</v>
      </c>
      <c r="F542" s="19">
        <v>0.55694444444444446</v>
      </c>
      <c r="G542" s="18" t="s">
        <v>1165</v>
      </c>
      <c r="H542" s="18" t="s">
        <v>290</v>
      </c>
      <c r="I542" s="20">
        <v>25</v>
      </c>
      <c r="J542" s="21" t="s">
        <v>1161</v>
      </c>
      <c r="K542" s="22">
        <v>13</v>
      </c>
      <c r="L542" s="23">
        <f t="shared" si="118"/>
        <v>325</v>
      </c>
      <c r="M542" s="24" t="s">
        <v>176</v>
      </c>
      <c r="N542" s="25" t="s">
        <v>178</v>
      </c>
      <c r="O542" s="25">
        <v>23</v>
      </c>
      <c r="P542" s="25" t="s">
        <v>177</v>
      </c>
      <c r="Q542" s="25">
        <v>24</v>
      </c>
      <c r="R542" s="17"/>
      <c r="S542" s="25"/>
      <c r="T542" s="26">
        <v>1</v>
      </c>
      <c r="U542" s="26" t="s">
        <v>179</v>
      </c>
      <c r="V542" s="26">
        <v>3695</v>
      </c>
      <c r="W542" s="26" t="s">
        <v>1159</v>
      </c>
      <c r="X542" s="27">
        <v>44562</v>
      </c>
      <c r="Y542" s="27">
        <v>44815</v>
      </c>
      <c r="Z542" s="27">
        <v>45101</v>
      </c>
      <c r="AA542" s="27">
        <v>45169</v>
      </c>
      <c r="AB542" s="62" t="s">
        <v>291</v>
      </c>
      <c r="AC542" s="62"/>
      <c r="AD542" s="28"/>
      <c r="AE542" s="28" t="s">
        <v>90</v>
      </c>
      <c r="AF542" s="28"/>
      <c r="AG542" s="28"/>
      <c r="AH542" s="28"/>
      <c r="AI542" s="28"/>
      <c r="AJ542" s="28"/>
      <c r="AK542" s="28"/>
      <c r="AL542" s="28"/>
      <c r="AM542" s="28"/>
      <c r="AN542" s="28" t="s">
        <v>90</v>
      </c>
      <c r="AO542" s="28"/>
      <c r="AP542" s="28"/>
      <c r="AQ542" s="28"/>
      <c r="AR542" s="28"/>
      <c r="AS542" s="28"/>
      <c r="AT542" s="28"/>
      <c r="AU542" s="28"/>
      <c r="AV542" s="28"/>
      <c r="AW542" s="28"/>
      <c r="AX542" s="29">
        <v>71.239999999999995</v>
      </c>
      <c r="AY542" s="30"/>
      <c r="AZ542" s="30"/>
      <c r="BA542" s="29"/>
      <c r="BB542" s="29"/>
      <c r="BC542" s="30"/>
      <c r="BD542" s="31">
        <f t="shared" si="119"/>
        <v>926.11999999999989</v>
      </c>
      <c r="BE542" s="31"/>
      <c r="BF542" s="30"/>
      <c r="BG542" s="36">
        <v>1</v>
      </c>
      <c r="BH542" s="31">
        <f t="shared" si="120"/>
        <v>0</v>
      </c>
      <c r="BI542" s="31">
        <f t="shared" si="121"/>
        <v>0</v>
      </c>
      <c r="BJ542" s="33">
        <f t="shared" si="122"/>
        <v>0</v>
      </c>
      <c r="BK542" s="30"/>
      <c r="BL542" s="30"/>
      <c r="BM542" s="30"/>
      <c r="BN542" s="30"/>
      <c r="BO542" s="33">
        <f t="shared" si="110"/>
        <v>0</v>
      </c>
      <c r="BP542" s="30">
        <v>2</v>
      </c>
      <c r="BQ542" s="30">
        <v>0</v>
      </c>
      <c r="BR542" s="30"/>
      <c r="BS542" s="30"/>
      <c r="BT542" s="34">
        <f t="shared" si="124"/>
        <v>71.239999999999995</v>
      </c>
      <c r="BU542" s="34"/>
      <c r="BV542" s="34"/>
      <c r="BW542" s="34"/>
      <c r="BX542" s="34"/>
      <c r="BY542" s="30"/>
      <c r="BZ542" s="31">
        <f t="shared" si="123"/>
        <v>142.47999999999999</v>
      </c>
      <c r="CA542" s="31">
        <f t="shared" si="113"/>
        <v>0</v>
      </c>
    </row>
    <row r="543" spans="1:79" ht="63.75" x14ac:dyDescent="0.25">
      <c r="A543" s="17"/>
      <c r="B543" s="2">
        <v>531</v>
      </c>
      <c r="C543" s="18">
        <v>302</v>
      </c>
      <c r="D543" s="18">
        <v>156</v>
      </c>
      <c r="E543" s="19">
        <v>0.51388888888888895</v>
      </c>
      <c r="F543" s="59">
        <v>0.54722222222222217</v>
      </c>
      <c r="G543" s="18" t="s">
        <v>1165</v>
      </c>
      <c r="H543" s="18" t="s">
        <v>441</v>
      </c>
      <c r="I543" s="20">
        <v>25</v>
      </c>
      <c r="J543" s="21" t="s">
        <v>1161</v>
      </c>
      <c r="K543" s="22">
        <v>47</v>
      </c>
      <c r="L543" s="23">
        <f t="shared" si="118"/>
        <v>1175</v>
      </c>
      <c r="M543" s="24" t="s">
        <v>176</v>
      </c>
      <c r="N543" s="25" t="s">
        <v>178</v>
      </c>
      <c r="O543" s="25">
        <v>23</v>
      </c>
      <c r="P543" s="25" t="s">
        <v>177</v>
      </c>
      <c r="Q543" s="25">
        <v>24</v>
      </c>
      <c r="R543" s="17"/>
      <c r="S543" s="25"/>
      <c r="T543" s="26">
        <v>1</v>
      </c>
      <c r="U543" s="26" t="s">
        <v>179</v>
      </c>
      <c r="V543" s="26">
        <v>3695</v>
      </c>
      <c r="W543" s="26" t="s">
        <v>1159</v>
      </c>
      <c r="X543" s="27">
        <v>44816</v>
      </c>
      <c r="Y543" s="27">
        <v>45100</v>
      </c>
      <c r="Z543" s="27"/>
      <c r="AA543" s="27"/>
      <c r="AB543" s="62" t="s">
        <v>289</v>
      </c>
      <c r="AC543" s="62"/>
      <c r="AD543" s="28" t="s">
        <v>90</v>
      </c>
      <c r="AE543" s="28"/>
      <c r="AF543" s="28"/>
      <c r="AG543" s="28"/>
      <c r="AH543" s="28"/>
      <c r="AI543" s="28"/>
      <c r="AJ543" s="28"/>
      <c r="AK543" s="28"/>
      <c r="AL543" s="28"/>
      <c r="AM543" s="28"/>
      <c r="AN543" s="28" t="s">
        <v>90</v>
      </c>
      <c r="AO543" s="28"/>
      <c r="AP543" s="28"/>
      <c r="AQ543" s="28"/>
      <c r="AR543" s="28"/>
      <c r="AS543" s="28"/>
      <c r="AT543" s="28"/>
      <c r="AU543" s="28"/>
      <c r="AV543" s="28"/>
      <c r="AW543" s="28"/>
      <c r="AX543" s="29">
        <v>71.239999999999995</v>
      </c>
      <c r="AY543" s="30"/>
      <c r="AZ543" s="30"/>
      <c r="BA543" s="29"/>
      <c r="BB543" s="29"/>
      <c r="BC543" s="30"/>
      <c r="BD543" s="31">
        <f t="shared" si="119"/>
        <v>3348.2799999999997</v>
      </c>
      <c r="BE543" s="31"/>
      <c r="BF543" s="30"/>
      <c r="BG543" s="36">
        <v>1</v>
      </c>
      <c r="BH543" s="31">
        <f t="shared" si="120"/>
        <v>0</v>
      </c>
      <c r="BI543" s="31">
        <f t="shared" si="121"/>
        <v>0</v>
      </c>
      <c r="BJ543" s="33">
        <f t="shared" si="122"/>
        <v>0</v>
      </c>
      <c r="BK543" s="30"/>
      <c r="BL543" s="30"/>
      <c r="BM543" s="30"/>
      <c r="BN543" s="30"/>
      <c r="BO543" s="33">
        <f t="shared" si="110"/>
        <v>0</v>
      </c>
      <c r="BP543" s="30">
        <v>2</v>
      </c>
      <c r="BQ543" s="30">
        <v>5</v>
      </c>
      <c r="BR543" s="30"/>
      <c r="BS543" s="30"/>
      <c r="BT543" s="34">
        <f t="shared" si="124"/>
        <v>71.239999999999995</v>
      </c>
      <c r="BU543" s="34"/>
      <c r="BV543" s="34"/>
      <c r="BW543" s="34"/>
      <c r="BX543" s="34"/>
      <c r="BY543" s="30"/>
      <c r="BZ543" s="31">
        <f t="shared" si="123"/>
        <v>142.47999999999999</v>
      </c>
      <c r="CA543" s="31">
        <f t="shared" si="113"/>
        <v>356.2</v>
      </c>
    </row>
    <row r="544" spans="1:79" ht="63.75" x14ac:dyDescent="0.25">
      <c r="A544" s="17"/>
      <c r="B544" s="2">
        <v>532</v>
      </c>
      <c r="C544" s="18">
        <v>302</v>
      </c>
      <c r="D544" s="18">
        <v>462</v>
      </c>
      <c r="E544" s="19">
        <v>0.53680555555555554</v>
      </c>
      <c r="F544" s="19">
        <v>0.54166666666666663</v>
      </c>
      <c r="G544" s="18" t="s">
        <v>1166</v>
      </c>
      <c r="H544" s="18" t="s">
        <v>1155</v>
      </c>
      <c r="I544" s="20">
        <v>3</v>
      </c>
      <c r="J544" s="21" t="s">
        <v>93</v>
      </c>
      <c r="K544" s="22">
        <v>11</v>
      </c>
      <c r="L544" s="23">
        <f t="shared" si="118"/>
        <v>33</v>
      </c>
      <c r="M544" s="24" t="s">
        <v>455</v>
      </c>
      <c r="N544" s="25" t="s">
        <v>1148</v>
      </c>
      <c r="O544" s="25">
        <v>20</v>
      </c>
      <c r="P544" s="25" t="s">
        <v>1149</v>
      </c>
      <c r="Q544" s="25">
        <v>17</v>
      </c>
      <c r="R544" s="25" t="s">
        <v>1150</v>
      </c>
      <c r="S544" s="35">
        <v>24</v>
      </c>
      <c r="T544" s="26" t="s">
        <v>1152</v>
      </c>
      <c r="U544" s="26" t="s">
        <v>1153</v>
      </c>
      <c r="V544" s="26">
        <v>3677</v>
      </c>
      <c r="W544" s="26" t="s">
        <v>1151</v>
      </c>
      <c r="X544" s="27">
        <v>44562</v>
      </c>
      <c r="Y544" s="27">
        <v>44815</v>
      </c>
      <c r="Z544" s="27">
        <v>45101</v>
      </c>
      <c r="AA544" s="27">
        <v>45169</v>
      </c>
      <c r="AB544" s="62" t="s">
        <v>1156</v>
      </c>
      <c r="AC544" s="62"/>
      <c r="AD544" s="28"/>
      <c r="AE544" s="28" t="s">
        <v>90</v>
      </c>
      <c r="AF544" s="28" t="s">
        <v>90</v>
      </c>
      <c r="AG544" s="28"/>
      <c r="AH544" s="28"/>
      <c r="AI544" s="28"/>
      <c r="AJ544" s="28"/>
      <c r="AK544" s="28" t="s">
        <v>90</v>
      </c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9">
        <v>18</v>
      </c>
      <c r="AY544" s="30"/>
      <c r="AZ544" s="30"/>
      <c r="BA544" s="29"/>
      <c r="BB544" s="29"/>
      <c r="BC544" s="30"/>
      <c r="BD544" s="31">
        <f t="shared" si="119"/>
        <v>198</v>
      </c>
      <c r="BE544" s="31"/>
      <c r="BF544" s="30"/>
      <c r="BG544" s="36">
        <v>1</v>
      </c>
      <c r="BH544" s="31">
        <f t="shared" si="120"/>
        <v>0</v>
      </c>
      <c r="BI544" s="31">
        <f t="shared" si="121"/>
        <v>0</v>
      </c>
      <c r="BJ544" s="33">
        <f t="shared" si="122"/>
        <v>0</v>
      </c>
      <c r="BK544" s="30"/>
      <c r="BL544" s="30"/>
      <c r="BM544" s="30"/>
      <c r="BN544" s="30"/>
      <c r="BO544" s="33">
        <f t="shared" si="110"/>
        <v>0</v>
      </c>
      <c r="BP544" s="30">
        <v>2</v>
      </c>
      <c r="BQ544" s="30">
        <v>0</v>
      </c>
      <c r="BR544" s="30"/>
      <c r="BS544" s="30"/>
      <c r="BT544" s="34">
        <f t="shared" si="124"/>
        <v>18</v>
      </c>
      <c r="BU544" s="34"/>
      <c r="BV544" s="34"/>
      <c r="BW544" s="34"/>
      <c r="BX544" s="34"/>
      <c r="BY544" s="30"/>
      <c r="BZ544" s="31">
        <f t="shared" si="123"/>
        <v>36</v>
      </c>
      <c r="CA544" s="31">
        <f t="shared" si="113"/>
        <v>0</v>
      </c>
    </row>
    <row r="545" spans="1:79" ht="51" x14ac:dyDescent="0.25">
      <c r="A545" s="17"/>
      <c r="B545" s="2">
        <v>533</v>
      </c>
      <c r="C545" s="18">
        <v>302</v>
      </c>
      <c r="D545" s="18">
        <v>462</v>
      </c>
      <c r="E545" s="19">
        <v>0.54374999999999996</v>
      </c>
      <c r="F545" s="19">
        <v>0.54861111111111105</v>
      </c>
      <c r="G545" s="18" t="s">
        <v>1166</v>
      </c>
      <c r="H545" s="18" t="s">
        <v>306</v>
      </c>
      <c r="I545" s="20">
        <v>3</v>
      </c>
      <c r="J545" s="21" t="s">
        <v>93</v>
      </c>
      <c r="K545" s="22">
        <v>208</v>
      </c>
      <c r="L545" s="23">
        <f t="shared" si="118"/>
        <v>624</v>
      </c>
      <c r="M545" s="24" t="s">
        <v>455</v>
      </c>
      <c r="N545" s="25" t="s">
        <v>1148</v>
      </c>
      <c r="O545" s="25">
        <v>20</v>
      </c>
      <c r="P545" s="25" t="s">
        <v>1149</v>
      </c>
      <c r="Q545" s="25">
        <v>17</v>
      </c>
      <c r="R545" s="25" t="s">
        <v>1150</v>
      </c>
      <c r="S545" s="35">
        <v>24</v>
      </c>
      <c r="T545" s="26" t="s">
        <v>1152</v>
      </c>
      <c r="U545" s="26" t="s">
        <v>1153</v>
      </c>
      <c r="V545" s="26">
        <v>3677</v>
      </c>
      <c r="W545" s="26" t="s">
        <v>1151</v>
      </c>
      <c r="X545" s="66">
        <v>44816</v>
      </c>
      <c r="Y545" s="66">
        <v>45086</v>
      </c>
      <c r="Z545" s="66"/>
      <c r="AA545" s="66"/>
      <c r="AB545" s="26" t="s">
        <v>309</v>
      </c>
      <c r="AC545" s="26"/>
      <c r="AD545" s="28"/>
      <c r="AE545" s="28"/>
      <c r="AF545" s="28"/>
      <c r="AG545" s="28" t="s">
        <v>90</v>
      </c>
      <c r="AH545" s="28" t="s">
        <v>90</v>
      </c>
      <c r="AI545" s="28" t="s">
        <v>90</v>
      </c>
      <c r="AJ545" s="28" t="s">
        <v>90</v>
      </c>
      <c r="AK545" s="28" t="s">
        <v>90</v>
      </c>
      <c r="AL545" s="28" t="s">
        <v>90</v>
      </c>
      <c r="AM545" s="28" t="s">
        <v>90</v>
      </c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9">
        <v>19.41</v>
      </c>
      <c r="AY545" s="30"/>
      <c r="AZ545" s="30"/>
      <c r="BA545" s="29"/>
      <c r="BB545" s="29"/>
      <c r="BC545" s="30"/>
      <c r="BD545" s="31">
        <f t="shared" si="119"/>
        <v>4037.28</v>
      </c>
      <c r="BE545" s="31"/>
      <c r="BF545" s="30"/>
      <c r="BG545" s="36">
        <v>1</v>
      </c>
      <c r="BH545" s="31">
        <f t="shared" si="120"/>
        <v>0</v>
      </c>
      <c r="BI545" s="31">
        <f t="shared" si="121"/>
        <v>0</v>
      </c>
      <c r="BJ545" s="33">
        <f t="shared" si="122"/>
        <v>0</v>
      </c>
      <c r="BK545" s="30"/>
      <c r="BL545" s="30"/>
      <c r="BM545" s="30"/>
      <c r="BN545" s="30"/>
      <c r="BO545" s="33">
        <f t="shared" si="110"/>
        <v>0</v>
      </c>
      <c r="BP545" s="30">
        <v>17</v>
      </c>
      <c r="BQ545" s="30">
        <v>25</v>
      </c>
      <c r="BR545" s="30"/>
      <c r="BS545" s="30"/>
      <c r="BT545" s="34">
        <f t="shared" si="124"/>
        <v>19.41</v>
      </c>
      <c r="BU545" s="34"/>
      <c r="BV545" s="34"/>
      <c r="BW545" s="34"/>
      <c r="BX545" s="34"/>
      <c r="BY545" s="30"/>
      <c r="BZ545" s="31">
        <f t="shared" si="123"/>
        <v>329.97</v>
      </c>
      <c r="CA545" s="31">
        <f t="shared" si="113"/>
        <v>485.25</v>
      </c>
    </row>
    <row r="546" spans="1:79" ht="63.75" x14ac:dyDescent="0.25">
      <c r="A546" s="17"/>
      <c r="B546" s="2">
        <v>534</v>
      </c>
      <c r="C546" s="18">
        <v>302</v>
      </c>
      <c r="D546" s="18">
        <v>421</v>
      </c>
      <c r="E546" s="19">
        <v>0.56597222222222221</v>
      </c>
      <c r="F546" s="19">
        <v>0.60555555555555551</v>
      </c>
      <c r="G546" s="18" t="s">
        <v>1164</v>
      </c>
      <c r="H546" s="18" t="s">
        <v>290</v>
      </c>
      <c r="I546" s="20">
        <v>25</v>
      </c>
      <c r="J546" s="21" t="s">
        <v>1161</v>
      </c>
      <c r="K546" s="22">
        <v>13</v>
      </c>
      <c r="L546" s="23">
        <f t="shared" si="118"/>
        <v>325</v>
      </c>
      <c r="M546" s="24" t="s">
        <v>176</v>
      </c>
      <c r="N546" s="25" t="s">
        <v>178</v>
      </c>
      <c r="O546" s="25">
        <v>23</v>
      </c>
      <c r="P546" s="25" t="s">
        <v>177</v>
      </c>
      <c r="Q546" s="25">
        <v>24</v>
      </c>
      <c r="R546" s="17"/>
      <c r="S546" s="25"/>
      <c r="T546" s="26">
        <v>3695</v>
      </c>
      <c r="U546" s="26" t="s">
        <v>1159</v>
      </c>
      <c r="V546" s="26">
        <v>1</v>
      </c>
      <c r="W546" s="26" t="s">
        <v>300</v>
      </c>
      <c r="X546" s="27">
        <v>44562</v>
      </c>
      <c r="Y546" s="27">
        <v>44815</v>
      </c>
      <c r="Z546" s="27">
        <v>45101</v>
      </c>
      <c r="AA546" s="27">
        <v>45169</v>
      </c>
      <c r="AB546" s="62" t="s">
        <v>291</v>
      </c>
      <c r="AC546" s="62"/>
      <c r="AD546" s="28"/>
      <c r="AE546" s="28" t="s">
        <v>90</v>
      </c>
      <c r="AF546" s="28"/>
      <c r="AG546" s="28"/>
      <c r="AH546" s="28"/>
      <c r="AI546" s="28"/>
      <c r="AJ546" s="28"/>
      <c r="AK546" s="28"/>
      <c r="AL546" s="28"/>
      <c r="AM546" s="28"/>
      <c r="AN546" s="28" t="s">
        <v>90</v>
      </c>
      <c r="AO546" s="28"/>
      <c r="AP546" s="28"/>
      <c r="AQ546" s="28"/>
      <c r="AR546" s="28"/>
      <c r="AS546" s="28"/>
      <c r="AT546" s="28"/>
      <c r="AU546" s="28"/>
      <c r="AV546" s="28"/>
      <c r="AW546" s="28"/>
      <c r="AX546" s="29">
        <v>71.239999999999995</v>
      </c>
      <c r="AY546" s="30"/>
      <c r="AZ546" s="30"/>
      <c r="BA546" s="29"/>
      <c r="BB546" s="29"/>
      <c r="BC546" s="30"/>
      <c r="BD546" s="31">
        <f t="shared" si="119"/>
        <v>926.11999999999989</v>
      </c>
      <c r="BE546" s="31"/>
      <c r="BF546" s="30"/>
      <c r="BG546" s="36">
        <v>1</v>
      </c>
      <c r="BH546" s="31">
        <f t="shared" si="120"/>
        <v>0</v>
      </c>
      <c r="BI546" s="31">
        <f t="shared" si="121"/>
        <v>0</v>
      </c>
      <c r="BJ546" s="33">
        <f t="shared" si="122"/>
        <v>0</v>
      </c>
      <c r="BK546" s="30"/>
      <c r="BL546" s="30"/>
      <c r="BM546" s="30"/>
      <c r="BN546" s="30"/>
      <c r="BO546" s="33">
        <f t="shared" si="110"/>
        <v>0</v>
      </c>
      <c r="BP546" s="30">
        <v>2</v>
      </c>
      <c r="BQ546" s="30">
        <v>0</v>
      </c>
      <c r="BR546" s="30"/>
      <c r="BS546" s="30"/>
      <c r="BT546" s="34">
        <f t="shared" si="124"/>
        <v>71.239999999999995</v>
      </c>
      <c r="BU546" s="34"/>
      <c r="BV546" s="34"/>
      <c r="BW546" s="34"/>
      <c r="BX546" s="34"/>
      <c r="BY546" s="30"/>
      <c r="BZ546" s="31">
        <f t="shared" si="123"/>
        <v>142.47999999999999</v>
      </c>
      <c r="CA546" s="31">
        <f t="shared" si="113"/>
        <v>0</v>
      </c>
    </row>
    <row r="547" spans="1:79" ht="63.75" x14ac:dyDescent="0.25">
      <c r="A547" s="17"/>
      <c r="B547" s="2">
        <v>535</v>
      </c>
      <c r="C547" s="18">
        <v>302</v>
      </c>
      <c r="D547" s="18">
        <v>421</v>
      </c>
      <c r="E547" s="19">
        <v>0.56597222222222221</v>
      </c>
      <c r="F547" s="19">
        <v>0.60555555555555551</v>
      </c>
      <c r="G547" s="18" t="s">
        <v>1164</v>
      </c>
      <c r="H547" s="18" t="s">
        <v>441</v>
      </c>
      <c r="I547" s="20">
        <v>25</v>
      </c>
      <c r="J547" s="21" t="s">
        <v>1161</v>
      </c>
      <c r="K547" s="22">
        <v>47</v>
      </c>
      <c r="L547" s="23">
        <f t="shared" si="118"/>
        <v>1175</v>
      </c>
      <c r="M547" s="24" t="s">
        <v>176</v>
      </c>
      <c r="N547" s="25" t="s">
        <v>178</v>
      </c>
      <c r="O547" s="25">
        <v>23</v>
      </c>
      <c r="P547" s="25" t="s">
        <v>177</v>
      </c>
      <c r="Q547" s="25">
        <v>24</v>
      </c>
      <c r="R547" s="17"/>
      <c r="S547" s="25"/>
      <c r="T547" s="26">
        <v>3695</v>
      </c>
      <c r="U547" s="26" t="s">
        <v>1159</v>
      </c>
      <c r="V547" s="26">
        <v>1</v>
      </c>
      <c r="W547" s="26" t="s">
        <v>300</v>
      </c>
      <c r="X547" s="27">
        <v>44816</v>
      </c>
      <c r="Y547" s="27">
        <v>45100</v>
      </c>
      <c r="Z547" s="27"/>
      <c r="AA547" s="27"/>
      <c r="AB547" s="62" t="s">
        <v>289</v>
      </c>
      <c r="AC547" s="62"/>
      <c r="AD547" s="28" t="s">
        <v>90</v>
      </c>
      <c r="AE547" s="28"/>
      <c r="AF547" s="28"/>
      <c r="AG547" s="28"/>
      <c r="AH547" s="28"/>
      <c r="AI547" s="28"/>
      <c r="AJ547" s="28"/>
      <c r="AK547" s="28"/>
      <c r="AL547" s="28"/>
      <c r="AM547" s="28"/>
      <c r="AN547" s="28" t="s">
        <v>90</v>
      </c>
      <c r="AO547" s="28"/>
      <c r="AP547" s="28"/>
      <c r="AQ547" s="28"/>
      <c r="AR547" s="28"/>
      <c r="AS547" s="28"/>
      <c r="AT547" s="28"/>
      <c r="AU547" s="28"/>
      <c r="AV547" s="28"/>
      <c r="AW547" s="28"/>
      <c r="AX547" s="29">
        <v>71.239999999999995</v>
      </c>
      <c r="AY547" s="30"/>
      <c r="AZ547" s="30"/>
      <c r="BA547" s="29"/>
      <c r="BB547" s="29"/>
      <c r="BC547" s="30"/>
      <c r="BD547" s="31">
        <f t="shared" si="119"/>
        <v>3348.2799999999997</v>
      </c>
      <c r="BE547" s="31"/>
      <c r="BF547" s="30"/>
      <c r="BG547" s="36">
        <v>1</v>
      </c>
      <c r="BH547" s="31">
        <f t="shared" si="120"/>
        <v>0</v>
      </c>
      <c r="BI547" s="31">
        <f t="shared" si="121"/>
        <v>0</v>
      </c>
      <c r="BJ547" s="33">
        <f t="shared" si="122"/>
        <v>0</v>
      </c>
      <c r="BK547" s="30"/>
      <c r="BL547" s="30"/>
      <c r="BM547" s="30"/>
      <c r="BN547" s="30"/>
      <c r="BO547" s="33">
        <f t="shared" si="110"/>
        <v>0</v>
      </c>
      <c r="BP547" s="30">
        <v>2</v>
      </c>
      <c r="BQ547" s="30">
        <v>5</v>
      </c>
      <c r="BR547" s="30"/>
      <c r="BS547" s="30"/>
      <c r="BT547" s="34">
        <f t="shared" si="124"/>
        <v>71.239999999999995</v>
      </c>
      <c r="BU547" s="34"/>
      <c r="BV547" s="34"/>
      <c r="BW547" s="34"/>
      <c r="BX547" s="34"/>
      <c r="BY547" s="30"/>
      <c r="BZ547" s="31">
        <f t="shared" si="123"/>
        <v>142.47999999999999</v>
      </c>
      <c r="CA547" s="31">
        <f t="shared" si="113"/>
        <v>356.2</v>
      </c>
    </row>
    <row r="548" spans="1:79" ht="51" x14ac:dyDescent="0.25">
      <c r="A548" s="17"/>
      <c r="B548" s="2">
        <v>536</v>
      </c>
      <c r="C548" s="18">
        <v>302</v>
      </c>
      <c r="D548" s="18">
        <v>464</v>
      </c>
      <c r="E548" s="19">
        <v>0.58958333333333335</v>
      </c>
      <c r="F548" s="19">
        <v>0.59444444444444444</v>
      </c>
      <c r="G548" s="18" t="s">
        <v>1166</v>
      </c>
      <c r="H548" s="18" t="s">
        <v>306</v>
      </c>
      <c r="I548" s="20">
        <v>3</v>
      </c>
      <c r="J548" s="21" t="s">
        <v>93</v>
      </c>
      <c r="K548" s="22">
        <v>208</v>
      </c>
      <c r="L548" s="23">
        <f t="shared" si="118"/>
        <v>624</v>
      </c>
      <c r="M548" s="24" t="s">
        <v>455</v>
      </c>
      <c r="N548" s="25" t="s">
        <v>1148</v>
      </c>
      <c r="O548" s="25">
        <v>20</v>
      </c>
      <c r="P548" s="25" t="s">
        <v>1149</v>
      </c>
      <c r="Q548" s="25">
        <v>17</v>
      </c>
      <c r="R548" s="25" t="s">
        <v>1150</v>
      </c>
      <c r="S548" s="35">
        <v>24</v>
      </c>
      <c r="T548" s="26" t="s">
        <v>1152</v>
      </c>
      <c r="U548" s="26" t="s">
        <v>1153</v>
      </c>
      <c r="V548" s="26">
        <v>3677</v>
      </c>
      <c r="W548" s="26" t="s">
        <v>1151</v>
      </c>
      <c r="X548" s="66">
        <v>44816</v>
      </c>
      <c r="Y548" s="66">
        <v>45086</v>
      </c>
      <c r="Z548" s="66"/>
      <c r="AA548" s="66"/>
      <c r="AB548" s="26" t="s">
        <v>309</v>
      </c>
      <c r="AC548" s="26"/>
      <c r="AD548" s="28"/>
      <c r="AE548" s="28"/>
      <c r="AF548" s="28"/>
      <c r="AG548" s="28" t="s">
        <v>90</v>
      </c>
      <c r="AH548" s="28" t="s">
        <v>90</v>
      </c>
      <c r="AI548" s="28" t="s">
        <v>90</v>
      </c>
      <c r="AJ548" s="28" t="s">
        <v>90</v>
      </c>
      <c r="AK548" s="28" t="s">
        <v>90</v>
      </c>
      <c r="AL548" s="28" t="s">
        <v>90</v>
      </c>
      <c r="AM548" s="28" t="s">
        <v>90</v>
      </c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9">
        <v>19.41</v>
      </c>
      <c r="AY548" s="30"/>
      <c r="AZ548" s="30"/>
      <c r="BA548" s="29"/>
      <c r="BB548" s="29"/>
      <c r="BC548" s="30"/>
      <c r="BD548" s="31">
        <f t="shared" si="119"/>
        <v>4037.28</v>
      </c>
      <c r="BE548" s="31"/>
      <c r="BF548" s="30"/>
      <c r="BG548" s="36">
        <v>1</v>
      </c>
      <c r="BH548" s="31">
        <f t="shared" si="120"/>
        <v>0</v>
      </c>
      <c r="BI548" s="31">
        <f t="shared" si="121"/>
        <v>0</v>
      </c>
      <c r="BJ548" s="33">
        <f t="shared" si="122"/>
        <v>0</v>
      </c>
      <c r="BK548" s="30"/>
      <c r="BL548" s="30"/>
      <c r="BM548" s="30"/>
      <c r="BN548" s="30"/>
      <c r="BO548" s="33">
        <f t="shared" si="110"/>
        <v>0</v>
      </c>
      <c r="BP548" s="30">
        <v>17</v>
      </c>
      <c r="BQ548" s="30">
        <v>25</v>
      </c>
      <c r="BR548" s="30"/>
      <c r="BS548" s="30"/>
      <c r="BT548" s="34">
        <f t="shared" si="124"/>
        <v>19.41</v>
      </c>
      <c r="BU548" s="34"/>
      <c r="BV548" s="34"/>
      <c r="BW548" s="34"/>
      <c r="BX548" s="34"/>
      <c r="BY548" s="30"/>
      <c r="BZ548" s="31">
        <f t="shared" si="123"/>
        <v>329.97</v>
      </c>
      <c r="CA548" s="31">
        <f t="shared" si="113"/>
        <v>485.25</v>
      </c>
    </row>
    <row r="549" spans="1:79" ht="63.75" x14ac:dyDescent="0.25">
      <c r="A549" s="17"/>
      <c r="B549" s="2">
        <v>537</v>
      </c>
      <c r="C549" s="18">
        <v>302</v>
      </c>
      <c r="D549" s="18">
        <v>440</v>
      </c>
      <c r="E549" s="19">
        <v>0.72222222222222221</v>
      </c>
      <c r="F549" s="59">
        <v>0.7597222222222223</v>
      </c>
      <c r="G549" s="18" t="s">
        <v>1167</v>
      </c>
      <c r="H549" s="18" t="s">
        <v>290</v>
      </c>
      <c r="I549" s="20">
        <v>25</v>
      </c>
      <c r="J549" s="21" t="s">
        <v>1161</v>
      </c>
      <c r="K549" s="22">
        <v>13</v>
      </c>
      <c r="L549" s="23">
        <f t="shared" si="118"/>
        <v>325</v>
      </c>
      <c r="M549" s="24" t="s">
        <v>176</v>
      </c>
      <c r="N549" s="25" t="s">
        <v>178</v>
      </c>
      <c r="O549" s="25">
        <v>23</v>
      </c>
      <c r="P549" s="25" t="s">
        <v>177</v>
      </c>
      <c r="Q549" s="25">
        <v>24</v>
      </c>
      <c r="R549" s="17"/>
      <c r="S549" s="25"/>
      <c r="T549" s="26">
        <v>1</v>
      </c>
      <c r="U549" s="26" t="s">
        <v>179</v>
      </c>
      <c r="V549" s="26">
        <v>3695</v>
      </c>
      <c r="W549" s="26" t="s">
        <v>1159</v>
      </c>
      <c r="X549" s="27">
        <v>44562</v>
      </c>
      <c r="Y549" s="27">
        <v>44815</v>
      </c>
      <c r="Z549" s="27">
        <v>45101</v>
      </c>
      <c r="AA549" s="27">
        <v>45169</v>
      </c>
      <c r="AB549" s="62" t="s">
        <v>291</v>
      </c>
      <c r="AC549" s="62"/>
      <c r="AD549" s="28"/>
      <c r="AE549" s="28" t="s">
        <v>90</v>
      </c>
      <c r="AF549" s="28"/>
      <c r="AG549" s="28"/>
      <c r="AH549" s="28"/>
      <c r="AI549" s="28"/>
      <c r="AJ549" s="28"/>
      <c r="AK549" s="28"/>
      <c r="AL549" s="28"/>
      <c r="AM549" s="28"/>
      <c r="AN549" s="28" t="s">
        <v>90</v>
      </c>
      <c r="AO549" s="28"/>
      <c r="AP549" s="28"/>
      <c r="AQ549" s="28"/>
      <c r="AR549" s="28"/>
      <c r="AS549" s="28"/>
      <c r="AT549" s="28"/>
      <c r="AU549" s="28"/>
      <c r="AV549" s="28"/>
      <c r="AW549" s="28"/>
      <c r="AX549" s="29">
        <v>71.239999999999995</v>
      </c>
      <c r="AY549" s="30"/>
      <c r="AZ549" s="30"/>
      <c r="BA549" s="29"/>
      <c r="BB549" s="29"/>
      <c r="BC549" s="30"/>
      <c r="BD549" s="31">
        <f t="shared" si="119"/>
        <v>926.11999999999989</v>
      </c>
      <c r="BE549" s="31"/>
      <c r="BF549" s="30"/>
      <c r="BG549" s="36">
        <v>1</v>
      </c>
      <c r="BH549" s="31">
        <f t="shared" si="120"/>
        <v>0</v>
      </c>
      <c r="BI549" s="31">
        <f t="shared" si="121"/>
        <v>0</v>
      </c>
      <c r="BJ549" s="33">
        <f t="shared" si="122"/>
        <v>0</v>
      </c>
      <c r="BK549" s="30"/>
      <c r="BL549" s="30"/>
      <c r="BM549" s="30"/>
      <c r="BN549" s="30"/>
      <c r="BO549" s="33">
        <f t="shared" si="110"/>
        <v>0</v>
      </c>
      <c r="BP549" s="30">
        <v>2</v>
      </c>
      <c r="BQ549" s="30">
        <v>0</v>
      </c>
      <c r="BR549" s="30"/>
      <c r="BS549" s="30"/>
      <c r="BT549" s="34">
        <f t="shared" si="124"/>
        <v>71.239999999999995</v>
      </c>
      <c r="BU549" s="34"/>
      <c r="BV549" s="34"/>
      <c r="BW549" s="34"/>
      <c r="BX549" s="34"/>
      <c r="BY549" s="30"/>
      <c r="BZ549" s="31">
        <f t="shared" si="123"/>
        <v>142.47999999999999</v>
      </c>
      <c r="CA549" s="31">
        <f t="shared" si="113"/>
        <v>0</v>
      </c>
    </row>
    <row r="550" spans="1:79" ht="63.75" x14ac:dyDescent="0.25">
      <c r="A550" s="17"/>
      <c r="B550" s="2">
        <v>538</v>
      </c>
      <c r="C550" s="18">
        <v>302</v>
      </c>
      <c r="D550" s="18">
        <v>440</v>
      </c>
      <c r="E550" s="19">
        <v>0.72222222222222221</v>
      </c>
      <c r="F550" s="59">
        <v>0.7597222222222223</v>
      </c>
      <c r="G550" s="18" t="s">
        <v>1167</v>
      </c>
      <c r="H550" s="18" t="s">
        <v>441</v>
      </c>
      <c r="I550" s="20">
        <v>25</v>
      </c>
      <c r="J550" s="21" t="s">
        <v>1161</v>
      </c>
      <c r="K550" s="22">
        <v>47</v>
      </c>
      <c r="L550" s="23">
        <f t="shared" si="118"/>
        <v>1175</v>
      </c>
      <c r="M550" s="24" t="s">
        <v>176</v>
      </c>
      <c r="N550" s="25" t="s">
        <v>178</v>
      </c>
      <c r="O550" s="25">
        <v>23</v>
      </c>
      <c r="P550" s="25" t="s">
        <v>177</v>
      </c>
      <c r="Q550" s="25">
        <v>24</v>
      </c>
      <c r="R550" s="17"/>
      <c r="S550" s="25"/>
      <c r="T550" s="26">
        <v>1</v>
      </c>
      <c r="U550" s="26" t="s">
        <v>179</v>
      </c>
      <c r="V550" s="26">
        <v>3695</v>
      </c>
      <c r="W550" s="26" t="s">
        <v>1159</v>
      </c>
      <c r="X550" s="27">
        <v>44816</v>
      </c>
      <c r="Y550" s="27">
        <v>45100</v>
      </c>
      <c r="Z550" s="27"/>
      <c r="AA550" s="27"/>
      <c r="AB550" s="62" t="s">
        <v>289</v>
      </c>
      <c r="AC550" s="62"/>
      <c r="AD550" s="28" t="s">
        <v>90</v>
      </c>
      <c r="AE550" s="28"/>
      <c r="AF550" s="28"/>
      <c r="AG550" s="28"/>
      <c r="AH550" s="28"/>
      <c r="AI550" s="28"/>
      <c r="AJ550" s="28"/>
      <c r="AK550" s="28"/>
      <c r="AL550" s="28"/>
      <c r="AM550" s="28"/>
      <c r="AN550" s="28" t="s">
        <v>90</v>
      </c>
      <c r="AO550" s="28"/>
      <c r="AP550" s="28"/>
      <c r="AQ550" s="28"/>
      <c r="AR550" s="28"/>
      <c r="AS550" s="28"/>
      <c r="AT550" s="28"/>
      <c r="AU550" s="28"/>
      <c r="AV550" s="28"/>
      <c r="AW550" s="28"/>
      <c r="AX550" s="29">
        <v>71.239999999999995</v>
      </c>
      <c r="AY550" s="30"/>
      <c r="AZ550" s="30"/>
      <c r="BA550" s="29"/>
      <c r="BB550" s="29"/>
      <c r="BC550" s="30"/>
      <c r="BD550" s="31">
        <f t="shared" si="119"/>
        <v>3348.2799999999997</v>
      </c>
      <c r="BE550" s="31"/>
      <c r="BF550" s="30"/>
      <c r="BG550" s="36">
        <v>1</v>
      </c>
      <c r="BH550" s="31">
        <f t="shared" si="120"/>
        <v>0</v>
      </c>
      <c r="BI550" s="31">
        <f t="shared" si="121"/>
        <v>0</v>
      </c>
      <c r="BJ550" s="33">
        <f t="shared" si="122"/>
        <v>0</v>
      </c>
      <c r="BK550" s="30"/>
      <c r="BL550" s="30"/>
      <c r="BM550" s="30"/>
      <c r="BN550" s="30"/>
      <c r="BO550" s="33">
        <f t="shared" si="110"/>
        <v>0</v>
      </c>
      <c r="BP550" s="30">
        <v>2</v>
      </c>
      <c r="BQ550" s="30">
        <v>5</v>
      </c>
      <c r="BR550" s="30"/>
      <c r="BS550" s="30"/>
      <c r="BT550" s="34">
        <f t="shared" si="124"/>
        <v>71.239999999999995</v>
      </c>
      <c r="BU550" s="34"/>
      <c r="BV550" s="34"/>
      <c r="BW550" s="34"/>
      <c r="BX550" s="34"/>
      <c r="BY550" s="30"/>
      <c r="BZ550" s="31">
        <f t="shared" si="123"/>
        <v>142.47999999999999</v>
      </c>
      <c r="CA550" s="31">
        <f t="shared" si="113"/>
        <v>356.2</v>
      </c>
    </row>
    <row r="551" spans="1:79" ht="51" x14ac:dyDescent="0.25">
      <c r="A551" s="17"/>
      <c r="B551" s="2">
        <v>539</v>
      </c>
      <c r="C551" s="18">
        <v>302</v>
      </c>
      <c r="D551" s="18">
        <v>474</v>
      </c>
      <c r="E551" s="19">
        <v>0.72916666666666663</v>
      </c>
      <c r="F551" s="19">
        <v>0.73402777777777783</v>
      </c>
      <c r="G551" s="18" t="s">
        <v>1166</v>
      </c>
      <c r="H551" s="18" t="s">
        <v>273</v>
      </c>
      <c r="I551" s="20">
        <v>3</v>
      </c>
      <c r="J551" s="21" t="s">
        <v>93</v>
      </c>
      <c r="K551" s="22">
        <v>174</v>
      </c>
      <c r="L551" s="23">
        <f t="shared" si="118"/>
        <v>522</v>
      </c>
      <c r="M551" s="24" t="s">
        <v>455</v>
      </c>
      <c r="N551" s="25" t="s">
        <v>1148</v>
      </c>
      <c r="O551" s="25">
        <v>20</v>
      </c>
      <c r="P551" s="25" t="s">
        <v>1149</v>
      </c>
      <c r="Q551" s="25">
        <v>17</v>
      </c>
      <c r="R551" s="25" t="s">
        <v>1150</v>
      </c>
      <c r="S551" s="35">
        <v>24</v>
      </c>
      <c r="T551" s="26" t="s">
        <v>1152</v>
      </c>
      <c r="U551" s="26" t="s">
        <v>1153</v>
      </c>
      <c r="V551" s="26">
        <v>3677</v>
      </c>
      <c r="W551" s="26" t="s">
        <v>1151</v>
      </c>
      <c r="X551" s="66">
        <v>44816</v>
      </c>
      <c r="Y551" s="66">
        <v>45086</v>
      </c>
      <c r="Z551" s="66"/>
      <c r="AA551" s="66"/>
      <c r="AB551" s="26" t="s">
        <v>282</v>
      </c>
      <c r="AC551" s="26"/>
      <c r="AD551" s="28"/>
      <c r="AE551" s="28"/>
      <c r="AF551" s="28"/>
      <c r="AG551" s="28" t="s">
        <v>90</v>
      </c>
      <c r="AH551" s="28" t="s">
        <v>90</v>
      </c>
      <c r="AI551" s="28" t="s">
        <v>90</v>
      </c>
      <c r="AJ551" s="28" t="s">
        <v>90</v>
      </c>
      <c r="AK551" s="28" t="s">
        <v>90</v>
      </c>
      <c r="AL551" s="28" t="s">
        <v>90</v>
      </c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9">
        <v>10</v>
      </c>
      <c r="AY551" s="30"/>
      <c r="AZ551" s="30"/>
      <c r="BA551" s="29"/>
      <c r="BB551" s="29"/>
      <c r="BC551" s="30"/>
      <c r="BD551" s="31">
        <f t="shared" si="119"/>
        <v>1740</v>
      </c>
      <c r="BE551" s="31"/>
      <c r="BF551" s="30"/>
      <c r="BG551" s="36">
        <v>1</v>
      </c>
      <c r="BH551" s="31">
        <f t="shared" si="120"/>
        <v>0</v>
      </c>
      <c r="BI551" s="31">
        <f t="shared" si="121"/>
        <v>0</v>
      </c>
      <c r="BJ551" s="33">
        <f t="shared" si="122"/>
        <v>0</v>
      </c>
      <c r="BK551" s="30"/>
      <c r="BL551" s="30"/>
      <c r="BM551" s="30"/>
      <c r="BN551" s="30"/>
      <c r="BO551" s="33">
        <f t="shared" si="110"/>
        <v>0</v>
      </c>
      <c r="BP551" s="30">
        <v>15</v>
      </c>
      <c r="BQ551" s="30">
        <v>20</v>
      </c>
      <c r="BR551" s="30"/>
      <c r="BS551" s="30"/>
      <c r="BT551" s="34">
        <f t="shared" si="124"/>
        <v>10</v>
      </c>
      <c r="BU551" s="34"/>
      <c r="BV551" s="34"/>
      <c r="BW551" s="34"/>
      <c r="BX551" s="34"/>
      <c r="BY551" s="30"/>
      <c r="BZ551" s="31">
        <f t="shared" si="123"/>
        <v>150</v>
      </c>
      <c r="CA551" s="31">
        <f t="shared" si="113"/>
        <v>200</v>
      </c>
    </row>
    <row r="552" spans="1:79" ht="51" x14ac:dyDescent="0.25">
      <c r="A552" s="17"/>
      <c r="B552" s="2">
        <v>540</v>
      </c>
      <c r="C552" s="18">
        <v>302</v>
      </c>
      <c r="D552" s="18">
        <v>466</v>
      </c>
      <c r="E552" s="19">
        <v>0.74930555555555556</v>
      </c>
      <c r="F552" s="19">
        <v>0.75416666666666676</v>
      </c>
      <c r="G552" s="18" t="s">
        <v>1166</v>
      </c>
      <c r="H552" s="18" t="s">
        <v>273</v>
      </c>
      <c r="I552" s="20">
        <v>3</v>
      </c>
      <c r="J552" s="21" t="s">
        <v>93</v>
      </c>
      <c r="K552" s="22">
        <v>174</v>
      </c>
      <c r="L552" s="23">
        <f t="shared" si="118"/>
        <v>522</v>
      </c>
      <c r="M552" s="24" t="s">
        <v>455</v>
      </c>
      <c r="N552" s="25" t="s">
        <v>1148</v>
      </c>
      <c r="O552" s="25">
        <v>20</v>
      </c>
      <c r="P552" s="25" t="s">
        <v>1149</v>
      </c>
      <c r="Q552" s="25">
        <v>17</v>
      </c>
      <c r="R552" s="25" t="s">
        <v>1150</v>
      </c>
      <c r="S552" s="35">
        <v>24</v>
      </c>
      <c r="T552" s="26" t="s">
        <v>1152</v>
      </c>
      <c r="U552" s="26" t="s">
        <v>1153</v>
      </c>
      <c r="V552" s="26">
        <v>3677</v>
      </c>
      <c r="W552" s="26" t="s">
        <v>1151</v>
      </c>
      <c r="X552" s="66">
        <v>44816</v>
      </c>
      <c r="Y552" s="66">
        <v>45086</v>
      </c>
      <c r="Z552" s="66"/>
      <c r="AA552" s="66"/>
      <c r="AB552" s="26" t="s">
        <v>282</v>
      </c>
      <c r="AC552" s="26"/>
      <c r="AD552" s="28"/>
      <c r="AE552" s="28"/>
      <c r="AF552" s="28"/>
      <c r="AG552" s="28" t="s">
        <v>90</v>
      </c>
      <c r="AH552" s="28" t="s">
        <v>90</v>
      </c>
      <c r="AI552" s="28" t="s">
        <v>90</v>
      </c>
      <c r="AJ552" s="28" t="s">
        <v>90</v>
      </c>
      <c r="AK552" s="28" t="s">
        <v>90</v>
      </c>
      <c r="AL552" s="28" t="s">
        <v>90</v>
      </c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9">
        <v>18.760000000000002</v>
      </c>
      <c r="AY552" s="30"/>
      <c r="AZ552" s="30"/>
      <c r="BA552" s="29"/>
      <c r="BB552" s="29"/>
      <c r="BC552" s="30"/>
      <c r="BD552" s="31">
        <f t="shared" si="119"/>
        <v>3264.2400000000002</v>
      </c>
      <c r="BE552" s="31"/>
      <c r="BF552" s="30"/>
      <c r="BG552" s="36">
        <v>1</v>
      </c>
      <c r="BH552" s="31">
        <f t="shared" si="120"/>
        <v>0</v>
      </c>
      <c r="BI552" s="31">
        <f t="shared" si="121"/>
        <v>0</v>
      </c>
      <c r="BJ552" s="33">
        <f t="shared" si="122"/>
        <v>0</v>
      </c>
      <c r="BK552" s="30"/>
      <c r="BL552" s="30"/>
      <c r="BM552" s="30"/>
      <c r="BN552" s="30"/>
      <c r="BO552" s="33">
        <f t="shared" si="110"/>
        <v>0</v>
      </c>
      <c r="BP552" s="30">
        <v>15</v>
      </c>
      <c r="BQ552" s="30">
        <v>20</v>
      </c>
      <c r="BR552" s="30"/>
      <c r="BS552" s="30"/>
      <c r="BT552" s="34">
        <f t="shared" si="124"/>
        <v>18.760000000000002</v>
      </c>
      <c r="BU552" s="34"/>
      <c r="BV552" s="34"/>
      <c r="BW552" s="34"/>
      <c r="BX552" s="34"/>
      <c r="BY552" s="30"/>
      <c r="BZ552" s="31">
        <f t="shared" si="123"/>
        <v>281.40000000000003</v>
      </c>
      <c r="CA552" s="31">
        <f t="shared" si="113"/>
        <v>375.20000000000005</v>
      </c>
    </row>
    <row r="553" spans="1:79" ht="63.75" x14ac:dyDescent="0.25">
      <c r="A553" s="17"/>
      <c r="B553" s="2">
        <v>541</v>
      </c>
      <c r="C553" s="18">
        <v>302</v>
      </c>
      <c r="D553" s="18">
        <v>466</v>
      </c>
      <c r="E553" s="19">
        <v>0.74930555555555556</v>
      </c>
      <c r="F553" s="19">
        <v>0.75416666666666676</v>
      </c>
      <c r="G553" s="18" t="s">
        <v>1166</v>
      </c>
      <c r="H553" s="18" t="s">
        <v>1168</v>
      </c>
      <c r="I553" s="20">
        <v>3</v>
      </c>
      <c r="J553" s="21" t="s">
        <v>93</v>
      </c>
      <c r="K553" s="22">
        <v>26</v>
      </c>
      <c r="L553" s="23">
        <f t="shared" si="118"/>
        <v>78</v>
      </c>
      <c r="M553" s="24" t="s">
        <v>455</v>
      </c>
      <c r="N553" s="25" t="s">
        <v>1148</v>
      </c>
      <c r="O553" s="25">
        <v>20</v>
      </c>
      <c r="P553" s="25" t="s">
        <v>1149</v>
      </c>
      <c r="Q553" s="25">
        <v>17</v>
      </c>
      <c r="R553" s="25" t="s">
        <v>1150</v>
      </c>
      <c r="S553" s="35">
        <v>24</v>
      </c>
      <c r="T553" s="26" t="s">
        <v>1152</v>
      </c>
      <c r="U553" s="26" t="s">
        <v>1153</v>
      </c>
      <c r="V553" s="26">
        <v>3677</v>
      </c>
      <c r="W553" s="26" t="s">
        <v>1151</v>
      </c>
      <c r="X553" s="27">
        <v>44816</v>
      </c>
      <c r="Y553" s="27">
        <v>45100</v>
      </c>
      <c r="Z553" s="27"/>
      <c r="AA553" s="27"/>
      <c r="AB553" s="26" t="s">
        <v>1021</v>
      </c>
      <c r="AC553" s="26"/>
      <c r="AD553" s="28" t="s">
        <v>90</v>
      </c>
      <c r="AE553" s="28"/>
      <c r="AF553" s="28" t="s">
        <v>90</v>
      </c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 t="s">
        <v>90</v>
      </c>
      <c r="AS553" s="28" t="s">
        <v>90</v>
      </c>
      <c r="AT553" s="28" t="s">
        <v>90</v>
      </c>
      <c r="AU553" s="28" t="s">
        <v>90</v>
      </c>
      <c r="AV553" s="28" t="s">
        <v>90</v>
      </c>
      <c r="AW553" s="28"/>
      <c r="AX553" s="29">
        <v>18.760000000000002</v>
      </c>
      <c r="AY553" s="30"/>
      <c r="AZ553" s="30"/>
      <c r="BA553" s="29"/>
      <c r="BB553" s="29"/>
      <c r="BC553" s="30"/>
      <c r="BD553" s="31">
        <f t="shared" si="119"/>
        <v>487.76000000000005</v>
      </c>
      <c r="BE553" s="31"/>
      <c r="BF553" s="30"/>
      <c r="BG553" s="36">
        <v>1</v>
      </c>
      <c r="BH553" s="31">
        <f t="shared" si="120"/>
        <v>0</v>
      </c>
      <c r="BI553" s="31">
        <f t="shared" si="121"/>
        <v>0</v>
      </c>
      <c r="BJ553" s="33">
        <f t="shared" si="122"/>
        <v>0</v>
      </c>
      <c r="BK553" s="30"/>
      <c r="BL553" s="30"/>
      <c r="BM553" s="30"/>
      <c r="BN553" s="30"/>
      <c r="BO553" s="33">
        <f t="shared" si="110"/>
        <v>0</v>
      </c>
      <c r="BP553" s="30">
        <v>0</v>
      </c>
      <c r="BQ553" s="30">
        <v>1</v>
      </c>
      <c r="BR553" s="30"/>
      <c r="BS553" s="30"/>
      <c r="BT553" s="34">
        <f t="shared" si="124"/>
        <v>18.760000000000002</v>
      </c>
      <c r="BU553" s="34"/>
      <c r="BV553" s="34"/>
      <c r="BW553" s="34"/>
      <c r="BX553" s="34"/>
      <c r="BY553" s="30"/>
      <c r="BZ553" s="31">
        <f t="shared" si="123"/>
        <v>0</v>
      </c>
      <c r="CA553" s="31">
        <f t="shared" si="113"/>
        <v>18.760000000000002</v>
      </c>
    </row>
    <row r="554" spans="1:79" ht="51" x14ac:dyDescent="0.25">
      <c r="A554" s="17"/>
      <c r="B554" s="2">
        <v>542</v>
      </c>
      <c r="C554" s="18">
        <v>302</v>
      </c>
      <c r="D554" s="18">
        <v>466</v>
      </c>
      <c r="E554" s="19">
        <v>0.74930555555555556</v>
      </c>
      <c r="F554" s="19">
        <v>0.75416666666666676</v>
      </c>
      <c r="G554" s="18" t="s">
        <v>1166</v>
      </c>
      <c r="H554" s="18" t="s">
        <v>1169</v>
      </c>
      <c r="I554" s="20">
        <v>3</v>
      </c>
      <c r="J554" s="21" t="s">
        <v>93</v>
      </c>
      <c r="K554" s="22">
        <v>44</v>
      </c>
      <c r="L554" s="23">
        <f t="shared" si="118"/>
        <v>132</v>
      </c>
      <c r="M554" s="24" t="s">
        <v>455</v>
      </c>
      <c r="N554" s="25" t="s">
        <v>1148</v>
      </c>
      <c r="O554" s="25">
        <v>20</v>
      </c>
      <c r="P554" s="25" t="s">
        <v>1149</v>
      </c>
      <c r="Q554" s="25">
        <v>17</v>
      </c>
      <c r="R554" s="25" t="s">
        <v>1150</v>
      </c>
      <c r="S554" s="35">
        <v>24</v>
      </c>
      <c r="T554" s="26" t="s">
        <v>1152</v>
      </c>
      <c r="U554" s="26" t="s">
        <v>1153</v>
      </c>
      <c r="V554" s="26">
        <v>3677</v>
      </c>
      <c r="W554" s="26" t="s">
        <v>1151</v>
      </c>
      <c r="X554" s="27">
        <v>44562</v>
      </c>
      <c r="Y554" s="27">
        <v>44815</v>
      </c>
      <c r="Z554" s="27">
        <v>45101</v>
      </c>
      <c r="AA554" s="27">
        <v>45169</v>
      </c>
      <c r="AB554" s="62" t="s">
        <v>1170</v>
      </c>
      <c r="AC554" s="62"/>
      <c r="AD554" s="28"/>
      <c r="AE554" s="28" t="s">
        <v>90</v>
      </c>
      <c r="AF554" s="28" t="s">
        <v>90</v>
      </c>
      <c r="AG554" s="28"/>
      <c r="AH554" s="28" t="s">
        <v>90</v>
      </c>
      <c r="AI554" s="28" t="s">
        <v>90</v>
      </c>
      <c r="AJ554" s="28" t="s">
        <v>90</v>
      </c>
      <c r="AK554" s="28" t="s">
        <v>90</v>
      </c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9">
        <v>10</v>
      </c>
      <c r="AY554" s="30"/>
      <c r="AZ554" s="30"/>
      <c r="BA554" s="29"/>
      <c r="BB554" s="29"/>
      <c r="BC554" s="30"/>
      <c r="BD554" s="31">
        <f t="shared" si="119"/>
        <v>440</v>
      </c>
      <c r="BE554" s="31"/>
      <c r="BF554" s="30"/>
      <c r="BG554" s="36">
        <v>1</v>
      </c>
      <c r="BH554" s="31">
        <f t="shared" si="120"/>
        <v>0</v>
      </c>
      <c r="BI554" s="31">
        <f t="shared" si="121"/>
        <v>0</v>
      </c>
      <c r="BJ554" s="33">
        <f t="shared" si="122"/>
        <v>0</v>
      </c>
      <c r="BK554" s="30"/>
      <c r="BL554" s="30"/>
      <c r="BM554" s="30"/>
      <c r="BN554" s="30"/>
      <c r="BO554" s="33">
        <f t="shared" si="110"/>
        <v>0</v>
      </c>
      <c r="BP554" s="30">
        <v>5</v>
      </c>
      <c r="BQ554" s="30">
        <v>0</v>
      </c>
      <c r="BR554" s="30"/>
      <c r="BS554" s="30"/>
      <c r="BT554" s="34">
        <f t="shared" si="124"/>
        <v>10</v>
      </c>
      <c r="BU554" s="34"/>
      <c r="BV554" s="34"/>
      <c r="BW554" s="34"/>
      <c r="BX554" s="34"/>
      <c r="BY554" s="30"/>
      <c r="BZ554" s="31">
        <f t="shared" si="123"/>
        <v>50</v>
      </c>
      <c r="CA554" s="31">
        <f t="shared" si="113"/>
        <v>0</v>
      </c>
    </row>
    <row r="555" spans="1:79" ht="63.75" x14ac:dyDescent="0.25">
      <c r="A555" s="17"/>
      <c r="B555" s="2">
        <v>543</v>
      </c>
      <c r="C555" s="18">
        <v>302</v>
      </c>
      <c r="D555" s="18">
        <v>167</v>
      </c>
      <c r="E555" s="19">
        <v>0.76736111111111116</v>
      </c>
      <c r="F555" s="19">
        <v>0.80069444444444438</v>
      </c>
      <c r="G555" s="18" t="s">
        <v>1164</v>
      </c>
      <c r="H555" s="18" t="s">
        <v>290</v>
      </c>
      <c r="I555" s="20">
        <v>25</v>
      </c>
      <c r="J555" s="21" t="s">
        <v>1161</v>
      </c>
      <c r="K555" s="22">
        <v>13</v>
      </c>
      <c r="L555" s="23">
        <f t="shared" si="118"/>
        <v>325</v>
      </c>
      <c r="M555" s="24" t="s">
        <v>176</v>
      </c>
      <c r="N555" s="25" t="s">
        <v>178</v>
      </c>
      <c r="O555" s="25">
        <v>23</v>
      </c>
      <c r="P555" s="25" t="s">
        <v>177</v>
      </c>
      <c r="Q555" s="25">
        <v>24</v>
      </c>
      <c r="R555" s="25"/>
      <c r="S555" s="25"/>
      <c r="T555" s="26">
        <v>3695</v>
      </c>
      <c r="U555" s="26" t="s">
        <v>1159</v>
      </c>
      <c r="V555" s="26">
        <v>1</v>
      </c>
      <c r="W555" s="26" t="s">
        <v>300</v>
      </c>
      <c r="X555" s="27">
        <v>44562</v>
      </c>
      <c r="Y555" s="27">
        <v>44815</v>
      </c>
      <c r="Z555" s="27">
        <v>45101</v>
      </c>
      <c r="AA555" s="27">
        <v>45169</v>
      </c>
      <c r="AB555" s="62" t="s">
        <v>291</v>
      </c>
      <c r="AC555" s="62"/>
      <c r="AD555" s="28"/>
      <c r="AE555" s="28" t="s">
        <v>90</v>
      </c>
      <c r="AF555" s="28"/>
      <c r="AG555" s="28"/>
      <c r="AH555" s="28"/>
      <c r="AI555" s="28"/>
      <c r="AJ555" s="28"/>
      <c r="AK555" s="28"/>
      <c r="AL555" s="28"/>
      <c r="AM555" s="28"/>
      <c r="AN555" s="28" t="s">
        <v>90</v>
      </c>
      <c r="AO555" s="28"/>
      <c r="AP555" s="28"/>
      <c r="AQ555" s="28"/>
      <c r="AR555" s="28"/>
      <c r="AS555" s="28"/>
      <c r="AT555" s="28"/>
      <c r="AU555" s="28"/>
      <c r="AV555" s="28"/>
      <c r="AW555" s="28"/>
      <c r="AX555" s="29">
        <v>71.239999999999995</v>
      </c>
      <c r="AY555" s="30"/>
      <c r="AZ555" s="30"/>
      <c r="BA555" s="29"/>
      <c r="BB555" s="29"/>
      <c r="BC555" s="30"/>
      <c r="BD555" s="31">
        <f t="shared" si="119"/>
        <v>926.11999999999989</v>
      </c>
      <c r="BE555" s="31"/>
      <c r="BF555" s="30"/>
      <c r="BG555" s="36">
        <v>1</v>
      </c>
      <c r="BH555" s="31">
        <f t="shared" si="120"/>
        <v>0</v>
      </c>
      <c r="BI555" s="31">
        <f t="shared" si="121"/>
        <v>0</v>
      </c>
      <c r="BJ555" s="33">
        <f t="shared" si="122"/>
        <v>0</v>
      </c>
      <c r="BK555" s="30"/>
      <c r="BL555" s="30"/>
      <c r="BM555" s="30"/>
      <c r="BN555" s="30"/>
      <c r="BO555" s="33">
        <f t="shared" si="110"/>
        <v>0</v>
      </c>
      <c r="BP555" s="30">
        <v>2</v>
      </c>
      <c r="BQ555" s="30">
        <v>0</v>
      </c>
      <c r="BR555" s="30"/>
      <c r="BS555" s="30"/>
      <c r="BT555" s="34">
        <f t="shared" si="124"/>
        <v>71.239999999999995</v>
      </c>
      <c r="BU555" s="34"/>
      <c r="BV555" s="34"/>
      <c r="BW555" s="34"/>
      <c r="BX555" s="34"/>
      <c r="BY555" s="30"/>
      <c r="BZ555" s="31">
        <f t="shared" si="123"/>
        <v>142.47999999999999</v>
      </c>
      <c r="CA555" s="31">
        <f t="shared" si="113"/>
        <v>0</v>
      </c>
    </row>
    <row r="556" spans="1:79" ht="63.75" x14ac:dyDescent="0.25">
      <c r="A556" s="17"/>
      <c r="B556" s="2">
        <v>544</v>
      </c>
      <c r="C556" s="18">
        <v>302</v>
      </c>
      <c r="D556" s="18">
        <v>167</v>
      </c>
      <c r="E556" s="19">
        <v>0.76736111111111116</v>
      </c>
      <c r="F556" s="19">
        <v>0.80069444444444438</v>
      </c>
      <c r="G556" s="18" t="s">
        <v>1164</v>
      </c>
      <c r="H556" s="18" t="s">
        <v>441</v>
      </c>
      <c r="I556" s="20">
        <v>25</v>
      </c>
      <c r="J556" s="21" t="s">
        <v>1161</v>
      </c>
      <c r="K556" s="22">
        <v>47</v>
      </c>
      <c r="L556" s="23">
        <f t="shared" si="118"/>
        <v>1175</v>
      </c>
      <c r="M556" s="24" t="s">
        <v>176</v>
      </c>
      <c r="N556" s="25" t="s">
        <v>178</v>
      </c>
      <c r="O556" s="25">
        <v>23</v>
      </c>
      <c r="P556" s="25" t="s">
        <v>177</v>
      </c>
      <c r="Q556" s="25">
        <v>24</v>
      </c>
      <c r="R556" s="25"/>
      <c r="S556" s="25"/>
      <c r="T556" s="26">
        <v>3695</v>
      </c>
      <c r="U556" s="26" t="s">
        <v>1159</v>
      </c>
      <c r="V556" s="26">
        <v>1</v>
      </c>
      <c r="W556" s="26" t="s">
        <v>300</v>
      </c>
      <c r="X556" s="27">
        <v>44816</v>
      </c>
      <c r="Y556" s="27">
        <v>45100</v>
      </c>
      <c r="Z556" s="27"/>
      <c r="AA556" s="27"/>
      <c r="AB556" s="62" t="s">
        <v>289</v>
      </c>
      <c r="AC556" s="62"/>
      <c r="AD556" s="28" t="s">
        <v>90</v>
      </c>
      <c r="AE556" s="28"/>
      <c r="AF556" s="28"/>
      <c r="AG556" s="28"/>
      <c r="AH556" s="28"/>
      <c r="AI556" s="28"/>
      <c r="AJ556" s="28"/>
      <c r="AK556" s="28"/>
      <c r="AL556" s="28"/>
      <c r="AM556" s="28"/>
      <c r="AN556" s="28" t="s">
        <v>90</v>
      </c>
      <c r="AO556" s="28"/>
      <c r="AP556" s="28"/>
      <c r="AQ556" s="28"/>
      <c r="AR556" s="28"/>
      <c r="AS556" s="28"/>
      <c r="AT556" s="28"/>
      <c r="AU556" s="28"/>
      <c r="AV556" s="28"/>
      <c r="AW556" s="28"/>
      <c r="AX556" s="29">
        <v>71.239999999999995</v>
      </c>
      <c r="AY556" s="30"/>
      <c r="AZ556" s="30"/>
      <c r="BA556" s="29"/>
      <c r="BB556" s="29"/>
      <c r="BC556" s="30"/>
      <c r="BD556" s="31">
        <f t="shared" si="119"/>
        <v>3348.2799999999997</v>
      </c>
      <c r="BE556" s="31"/>
      <c r="BF556" s="30"/>
      <c r="BG556" s="36">
        <v>1</v>
      </c>
      <c r="BH556" s="31">
        <f t="shared" si="120"/>
        <v>0</v>
      </c>
      <c r="BI556" s="31">
        <f t="shared" si="121"/>
        <v>0</v>
      </c>
      <c r="BJ556" s="33">
        <f t="shared" si="122"/>
        <v>0</v>
      </c>
      <c r="BK556" s="30"/>
      <c r="BL556" s="30"/>
      <c r="BM556" s="30"/>
      <c r="BN556" s="30"/>
      <c r="BO556" s="33">
        <f t="shared" si="110"/>
        <v>0</v>
      </c>
      <c r="BP556" s="30">
        <v>2</v>
      </c>
      <c r="BQ556" s="30">
        <v>5</v>
      </c>
      <c r="BR556" s="30"/>
      <c r="BS556" s="30"/>
      <c r="BT556" s="34">
        <f t="shared" si="124"/>
        <v>71.239999999999995</v>
      </c>
      <c r="BU556" s="34"/>
      <c r="BV556" s="34"/>
      <c r="BW556" s="34"/>
      <c r="BX556" s="34"/>
      <c r="BY556" s="30"/>
      <c r="BZ556" s="31">
        <f t="shared" si="123"/>
        <v>142.47999999999999</v>
      </c>
      <c r="CA556" s="31">
        <f t="shared" si="113"/>
        <v>356.2</v>
      </c>
    </row>
    <row r="557" spans="1:79" ht="38.25" x14ac:dyDescent="0.25">
      <c r="A557" s="17"/>
      <c r="B557" s="2">
        <v>545</v>
      </c>
      <c r="C557" s="18">
        <v>302</v>
      </c>
      <c r="D557" s="18">
        <v>238</v>
      </c>
      <c r="E557" s="19">
        <v>0.85416666666666663</v>
      </c>
      <c r="F557" s="19">
        <v>0.87847222222222221</v>
      </c>
      <c r="G557" s="18" t="s">
        <v>175</v>
      </c>
      <c r="H557" s="18" t="s">
        <v>352</v>
      </c>
      <c r="I557" s="20">
        <v>22</v>
      </c>
      <c r="J557" s="21" t="s">
        <v>93</v>
      </c>
      <c r="K557" s="22">
        <v>55</v>
      </c>
      <c r="L557" s="23">
        <f t="shared" si="118"/>
        <v>1210</v>
      </c>
      <c r="M557" s="24" t="s">
        <v>176</v>
      </c>
      <c r="N557" s="25" t="s">
        <v>177</v>
      </c>
      <c r="O557" s="25">
        <v>24</v>
      </c>
      <c r="P557" s="25" t="s">
        <v>178</v>
      </c>
      <c r="Q557" s="25">
        <v>23</v>
      </c>
      <c r="R557" s="25"/>
      <c r="S557" s="25"/>
      <c r="T557" s="26">
        <v>1</v>
      </c>
      <c r="U557" s="26" t="s">
        <v>179</v>
      </c>
      <c r="V557" s="26">
        <v>3690</v>
      </c>
      <c r="W557" s="26" t="s">
        <v>180</v>
      </c>
      <c r="X557" s="27">
        <v>44562</v>
      </c>
      <c r="Y557" s="27">
        <v>44815</v>
      </c>
      <c r="Z557" s="27">
        <v>45101</v>
      </c>
      <c r="AA557" s="27">
        <v>45169</v>
      </c>
      <c r="AB557" s="26" t="s">
        <v>353</v>
      </c>
      <c r="AC557" s="26"/>
      <c r="AD557" s="28"/>
      <c r="AE557" s="28" t="s">
        <v>90</v>
      </c>
      <c r="AF557" s="28" t="s">
        <v>90</v>
      </c>
      <c r="AG557" s="28"/>
      <c r="AH557" s="28" t="s">
        <v>90</v>
      </c>
      <c r="AI557" s="28" t="s">
        <v>90</v>
      </c>
      <c r="AJ557" s="28" t="s">
        <v>90</v>
      </c>
      <c r="AK557" s="28" t="s">
        <v>90</v>
      </c>
      <c r="AL557" s="28" t="s">
        <v>90</v>
      </c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9">
        <v>126.1</v>
      </c>
      <c r="AY557" s="30"/>
      <c r="AZ557" s="30"/>
      <c r="BA557" s="29"/>
      <c r="BB557" s="29"/>
      <c r="BC557" s="30"/>
      <c r="BD557" s="31">
        <f t="shared" si="119"/>
        <v>6935.5</v>
      </c>
      <c r="BE557" s="31"/>
      <c r="BF557" s="30"/>
      <c r="BG557" s="36">
        <v>1</v>
      </c>
      <c r="BH557" s="31">
        <f t="shared" si="120"/>
        <v>0</v>
      </c>
      <c r="BI557" s="31">
        <f t="shared" si="121"/>
        <v>0</v>
      </c>
      <c r="BJ557" s="33">
        <f t="shared" si="122"/>
        <v>0</v>
      </c>
      <c r="BK557" s="30"/>
      <c r="BL557" s="30"/>
      <c r="BM557" s="30"/>
      <c r="BN557" s="30"/>
      <c r="BO557" s="33">
        <f t="shared" si="110"/>
        <v>0</v>
      </c>
      <c r="BP557" s="30">
        <v>7</v>
      </c>
      <c r="BQ557" s="30">
        <v>0</v>
      </c>
      <c r="BR557" s="30"/>
      <c r="BS557" s="30"/>
      <c r="BT557" s="34">
        <f t="shared" si="124"/>
        <v>126.1</v>
      </c>
      <c r="BU557" s="34"/>
      <c r="BV557" s="34"/>
      <c r="BW557" s="34"/>
      <c r="BX557" s="34"/>
      <c r="BY557" s="30"/>
      <c r="BZ557" s="31">
        <f t="shared" si="123"/>
        <v>882.69999999999993</v>
      </c>
      <c r="CA557" s="31">
        <f t="shared" si="113"/>
        <v>0</v>
      </c>
    </row>
    <row r="558" spans="1:79" ht="38.25" x14ac:dyDescent="0.25">
      <c r="A558" s="17"/>
      <c r="B558" s="2">
        <v>546</v>
      </c>
      <c r="C558" s="18">
        <v>302</v>
      </c>
      <c r="D558" s="18">
        <v>238</v>
      </c>
      <c r="E558" s="19">
        <v>0.85416666666666663</v>
      </c>
      <c r="F558" s="19">
        <v>0.87847222222222221</v>
      </c>
      <c r="G558" s="18" t="s">
        <v>175</v>
      </c>
      <c r="H558" s="18" t="s">
        <v>349</v>
      </c>
      <c r="I558" s="20">
        <v>22</v>
      </c>
      <c r="J558" s="21" t="s">
        <v>93</v>
      </c>
      <c r="K558" s="22">
        <v>202</v>
      </c>
      <c r="L558" s="23">
        <f t="shared" si="118"/>
        <v>4444</v>
      </c>
      <c r="M558" s="24" t="s">
        <v>176</v>
      </c>
      <c r="N558" s="25" t="s">
        <v>178</v>
      </c>
      <c r="O558" s="25">
        <v>23</v>
      </c>
      <c r="P558" s="25" t="s">
        <v>356</v>
      </c>
      <c r="Q558" s="25">
        <v>20</v>
      </c>
      <c r="R558" s="25"/>
      <c r="S558" s="25"/>
      <c r="T558" s="26">
        <v>1</v>
      </c>
      <c r="U558" s="26" t="s">
        <v>179</v>
      </c>
      <c r="V558" s="26">
        <v>3690</v>
      </c>
      <c r="W558" s="26" t="s">
        <v>180</v>
      </c>
      <c r="X558" s="27">
        <v>44816</v>
      </c>
      <c r="Y558" s="27">
        <v>45100</v>
      </c>
      <c r="Z558" s="27"/>
      <c r="AA558" s="27"/>
      <c r="AB558" s="26" t="s">
        <v>351</v>
      </c>
      <c r="AC558" s="26"/>
      <c r="AD558" s="28" t="s">
        <v>90</v>
      </c>
      <c r="AE558" s="28"/>
      <c r="AF558" s="28" t="s">
        <v>90</v>
      </c>
      <c r="AG558" s="28"/>
      <c r="AH558" s="28" t="s">
        <v>90</v>
      </c>
      <c r="AI558" s="28" t="s">
        <v>90</v>
      </c>
      <c r="AJ558" s="28" t="s">
        <v>90</v>
      </c>
      <c r="AK558" s="28" t="s">
        <v>90</v>
      </c>
      <c r="AL558" s="28" t="s">
        <v>90</v>
      </c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9">
        <v>126.1</v>
      </c>
      <c r="AY558" s="30"/>
      <c r="AZ558" s="30"/>
      <c r="BA558" s="29"/>
      <c r="BB558" s="29"/>
      <c r="BC558" s="30"/>
      <c r="BD558" s="31">
        <f t="shared" si="119"/>
        <v>25472.199999999997</v>
      </c>
      <c r="BE558" s="31"/>
      <c r="BF558" s="30"/>
      <c r="BG558" s="36">
        <v>1</v>
      </c>
      <c r="BH558" s="31">
        <f t="shared" si="120"/>
        <v>0</v>
      </c>
      <c r="BI558" s="31">
        <f t="shared" si="121"/>
        <v>0</v>
      </c>
      <c r="BJ558" s="33">
        <f t="shared" si="122"/>
        <v>0</v>
      </c>
      <c r="BK558" s="30"/>
      <c r="BL558" s="30"/>
      <c r="BM558" s="30"/>
      <c r="BN558" s="30"/>
      <c r="BO558" s="33">
        <f t="shared" si="110"/>
        <v>0</v>
      </c>
      <c r="BP558" s="30">
        <v>15</v>
      </c>
      <c r="BQ558" s="30">
        <v>21</v>
      </c>
      <c r="BR558" s="30"/>
      <c r="BS558" s="30"/>
      <c r="BT558" s="34">
        <f t="shared" si="124"/>
        <v>126.1</v>
      </c>
      <c r="BU558" s="34"/>
      <c r="BV558" s="34"/>
      <c r="BW558" s="34"/>
      <c r="BX558" s="34"/>
      <c r="BY558" s="30"/>
      <c r="BZ558" s="31">
        <f t="shared" si="123"/>
        <v>1891.5</v>
      </c>
      <c r="CA558" s="31">
        <f t="shared" si="113"/>
        <v>2648.1</v>
      </c>
    </row>
    <row r="559" spans="1:79" ht="38.25" x14ac:dyDescent="0.25">
      <c r="A559" s="17"/>
      <c r="B559" s="2">
        <v>547</v>
      </c>
      <c r="C559" s="18">
        <v>302</v>
      </c>
      <c r="D559" s="18">
        <v>238</v>
      </c>
      <c r="E559" s="19">
        <v>0.91666666666666663</v>
      </c>
      <c r="F559" s="19">
        <v>0.94097222222222221</v>
      </c>
      <c r="G559" s="18" t="s">
        <v>175</v>
      </c>
      <c r="H559" s="18" t="s">
        <v>92</v>
      </c>
      <c r="I559" s="20">
        <v>22</v>
      </c>
      <c r="J559" s="21" t="s">
        <v>93</v>
      </c>
      <c r="K559" s="22">
        <v>12</v>
      </c>
      <c r="L559" s="23">
        <f t="shared" si="118"/>
        <v>264</v>
      </c>
      <c r="M559" s="24" t="s">
        <v>176</v>
      </c>
      <c r="N559" s="25" t="s">
        <v>177</v>
      </c>
      <c r="O559" s="25">
        <v>24</v>
      </c>
      <c r="P559" s="25" t="s">
        <v>178</v>
      </c>
      <c r="Q559" s="25">
        <v>23</v>
      </c>
      <c r="R559" s="25"/>
      <c r="S559" s="25"/>
      <c r="T559" s="26">
        <v>1</v>
      </c>
      <c r="U559" s="26" t="s">
        <v>179</v>
      </c>
      <c r="V559" s="26">
        <v>3690</v>
      </c>
      <c r="W559" s="26" t="s">
        <v>180</v>
      </c>
      <c r="X559" s="27">
        <v>44562</v>
      </c>
      <c r="Y559" s="27">
        <v>44815</v>
      </c>
      <c r="Z559" s="27">
        <v>45101</v>
      </c>
      <c r="AA559" s="27">
        <v>45169</v>
      </c>
      <c r="AB559" s="26" t="s">
        <v>101</v>
      </c>
      <c r="AC559" s="26"/>
      <c r="AD559" s="28"/>
      <c r="AE559" s="28" t="s">
        <v>90</v>
      </c>
      <c r="AF559" s="28" t="s">
        <v>90</v>
      </c>
      <c r="AG559" s="28"/>
      <c r="AH559" s="28"/>
      <c r="AI559" s="28"/>
      <c r="AJ559" s="28"/>
      <c r="AK559" s="28"/>
      <c r="AL559" s="28"/>
      <c r="AM559" s="28" t="s">
        <v>90</v>
      </c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9">
        <v>126.1</v>
      </c>
      <c r="AY559" s="30"/>
      <c r="AZ559" s="30"/>
      <c r="BA559" s="29"/>
      <c r="BB559" s="29"/>
      <c r="BC559" s="30"/>
      <c r="BD559" s="31">
        <f t="shared" si="119"/>
        <v>1513.1999999999998</v>
      </c>
      <c r="BE559" s="31"/>
      <c r="BF559" s="30"/>
      <c r="BG559" s="36">
        <v>1</v>
      </c>
      <c r="BH559" s="31">
        <f t="shared" si="120"/>
        <v>0</v>
      </c>
      <c r="BI559" s="31">
        <f t="shared" si="121"/>
        <v>0</v>
      </c>
      <c r="BJ559" s="33">
        <f t="shared" si="122"/>
        <v>0</v>
      </c>
      <c r="BK559" s="30"/>
      <c r="BL559" s="30"/>
      <c r="BM559" s="30"/>
      <c r="BN559" s="30"/>
      <c r="BO559" s="33">
        <f t="shared" si="110"/>
        <v>0</v>
      </c>
      <c r="BP559" s="30">
        <v>2</v>
      </c>
      <c r="BQ559" s="30">
        <v>0</v>
      </c>
      <c r="BR559" s="30"/>
      <c r="BS559" s="30"/>
      <c r="BT559" s="34">
        <f t="shared" si="124"/>
        <v>126.1</v>
      </c>
      <c r="BU559" s="34"/>
      <c r="BV559" s="34"/>
      <c r="BW559" s="34"/>
      <c r="BX559" s="34"/>
      <c r="BY559" s="30"/>
      <c r="BZ559" s="31">
        <f t="shared" si="123"/>
        <v>252.2</v>
      </c>
      <c r="CA559" s="31">
        <f t="shared" si="113"/>
        <v>0</v>
      </c>
    </row>
    <row r="560" spans="1:79" ht="51" x14ac:dyDescent="0.25">
      <c r="A560" s="17"/>
      <c r="B560" s="2">
        <v>548</v>
      </c>
      <c r="C560" s="18">
        <v>302</v>
      </c>
      <c r="D560" s="18">
        <v>238</v>
      </c>
      <c r="E560" s="19">
        <v>0.91666666666666663</v>
      </c>
      <c r="F560" s="19">
        <v>0.94097222222222221</v>
      </c>
      <c r="G560" s="18" t="s">
        <v>175</v>
      </c>
      <c r="H560" s="18" t="s">
        <v>885</v>
      </c>
      <c r="I560" s="20">
        <v>22</v>
      </c>
      <c r="J560" s="21" t="s">
        <v>93</v>
      </c>
      <c r="K560" s="22">
        <v>38</v>
      </c>
      <c r="L560" s="23">
        <f t="shared" si="118"/>
        <v>836</v>
      </c>
      <c r="M560" s="24" t="s">
        <v>176</v>
      </c>
      <c r="N560" s="25" t="s">
        <v>178</v>
      </c>
      <c r="O560" s="25">
        <v>23</v>
      </c>
      <c r="P560" s="25" t="s">
        <v>356</v>
      </c>
      <c r="Q560" s="25">
        <v>20</v>
      </c>
      <c r="R560" s="25"/>
      <c r="S560" s="25"/>
      <c r="T560" s="26">
        <v>1</v>
      </c>
      <c r="U560" s="26" t="s">
        <v>179</v>
      </c>
      <c r="V560" s="26">
        <v>3690</v>
      </c>
      <c r="W560" s="26" t="s">
        <v>180</v>
      </c>
      <c r="X560" s="27">
        <v>44816</v>
      </c>
      <c r="Y560" s="27">
        <v>45100</v>
      </c>
      <c r="Z560" s="27"/>
      <c r="AA560" s="27"/>
      <c r="AB560" s="26" t="s">
        <v>771</v>
      </c>
      <c r="AC560" s="26"/>
      <c r="AD560" s="28" t="s">
        <v>90</v>
      </c>
      <c r="AE560" s="28"/>
      <c r="AF560" s="28" t="s">
        <v>90</v>
      </c>
      <c r="AG560" s="28"/>
      <c r="AH560" s="28"/>
      <c r="AI560" s="28"/>
      <c r="AJ560" s="28"/>
      <c r="AK560" s="28"/>
      <c r="AL560" s="28"/>
      <c r="AM560" s="28" t="s">
        <v>90</v>
      </c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9">
        <v>126.1</v>
      </c>
      <c r="AY560" s="30"/>
      <c r="AZ560" s="30"/>
      <c r="BA560" s="29"/>
      <c r="BB560" s="29"/>
      <c r="BC560" s="30"/>
      <c r="BD560" s="31">
        <f t="shared" si="119"/>
        <v>4791.8</v>
      </c>
      <c r="BE560" s="31"/>
      <c r="BF560" s="30"/>
      <c r="BG560" s="36">
        <v>1</v>
      </c>
      <c r="BH560" s="31">
        <f t="shared" si="120"/>
        <v>0</v>
      </c>
      <c r="BI560" s="31">
        <f t="shared" si="121"/>
        <v>0</v>
      </c>
      <c r="BJ560" s="33">
        <f t="shared" si="122"/>
        <v>0</v>
      </c>
      <c r="BK560" s="30"/>
      <c r="BL560" s="30"/>
      <c r="BM560" s="30"/>
      <c r="BN560" s="30"/>
      <c r="BO560" s="33">
        <f t="shared" si="110"/>
        <v>0</v>
      </c>
      <c r="BP560" s="30">
        <v>2</v>
      </c>
      <c r="BQ560" s="30">
        <v>5</v>
      </c>
      <c r="BR560" s="30"/>
      <c r="BS560" s="30"/>
      <c r="BT560" s="34">
        <f t="shared" si="124"/>
        <v>126.1</v>
      </c>
      <c r="BU560" s="34"/>
      <c r="BV560" s="34"/>
      <c r="BW560" s="34"/>
      <c r="BX560" s="34"/>
      <c r="BY560" s="30"/>
      <c r="BZ560" s="31">
        <f t="shared" si="123"/>
        <v>252.2</v>
      </c>
      <c r="CA560" s="31">
        <f t="shared" si="113"/>
        <v>630.5</v>
      </c>
    </row>
    <row r="561" spans="1:79" ht="67.5" x14ac:dyDescent="0.25">
      <c r="A561" s="17" t="s">
        <v>206</v>
      </c>
      <c r="B561" s="2">
        <v>549</v>
      </c>
      <c r="C561" s="18">
        <v>303</v>
      </c>
      <c r="D561" s="18">
        <v>545</v>
      </c>
      <c r="E561" s="19">
        <v>0.27083333333333331</v>
      </c>
      <c r="F561" s="59">
        <v>0.2951388888888889</v>
      </c>
      <c r="G561" s="58" t="s">
        <v>1171</v>
      </c>
      <c r="H561" s="18" t="s">
        <v>306</v>
      </c>
      <c r="I561" s="57">
        <v>28</v>
      </c>
      <c r="J561" s="21">
        <v>14</v>
      </c>
      <c r="K561" s="22">
        <v>208</v>
      </c>
      <c r="L561" s="23">
        <f t="shared" si="118"/>
        <v>5824</v>
      </c>
      <c r="M561" s="24" t="s">
        <v>1172</v>
      </c>
      <c r="N561" s="25" t="s">
        <v>1173</v>
      </c>
      <c r="O561" s="25">
        <v>15</v>
      </c>
      <c r="P561" s="25" t="s">
        <v>1174</v>
      </c>
      <c r="Q561" s="25">
        <v>9</v>
      </c>
      <c r="R561" s="25" t="s">
        <v>1175</v>
      </c>
      <c r="S561" s="35">
        <v>9</v>
      </c>
      <c r="T561" s="26">
        <v>3895</v>
      </c>
      <c r="U561" s="26" t="s">
        <v>1176</v>
      </c>
      <c r="V561" s="26" t="s">
        <v>1177</v>
      </c>
      <c r="W561" s="26" t="s">
        <v>1178</v>
      </c>
      <c r="X561" s="66">
        <v>44816</v>
      </c>
      <c r="Y561" s="66">
        <v>45086</v>
      </c>
      <c r="Z561" s="66"/>
      <c r="AA561" s="66"/>
      <c r="AB561" s="26" t="s">
        <v>309</v>
      </c>
      <c r="AC561" s="26"/>
      <c r="AD561" s="28"/>
      <c r="AE561" s="28"/>
      <c r="AF561" s="28"/>
      <c r="AG561" s="28" t="s">
        <v>90</v>
      </c>
      <c r="AH561" s="28" t="s">
        <v>90</v>
      </c>
      <c r="AI561" s="28" t="s">
        <v>90</v>
      </c>
      <c r="AJ561" s="28" t="s">
        <v>90</v>
      </c>
      <c r="AK561" s="28" t="s">
        <v>90</v>
      </c>
      <c r="AL561" s="28" t="s">
        <v>90</v>
      </c>
      <c r="AM561" s="28" t="s">
        <v>90</v>
      </c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31">
        <f>77.7+22.5</f>
        <v>100.2</v>
      </c>
      <c r="AY561" s="30"/>
      <c r="AZ561" s="30"/>
      <c r="BA561" s="29"/>
      <c r="BB561" s="29"/>
      <c r="BC561" s="30"/>
      <c r="BD561" s="31">
        <f t="shared" si="119"/>
        <v>20841.600000000002</v>
      </c>
      <c r="BE561" s="31"/>
      <c r="BF561" s="30"/>
      <c r="BG561" s="36">
        <v>1</v>
      </c>
      <c r="BH561" s="31">
        <f t="shared" si="120"/>
        <v>0</v>
      </c>
      <c r="BI561" s="31">
        <f t="shared" si="121"/>
        <v>0</v>
      </c>
      <c r="BJ561" s="33">
        <f t="shared" si="122"/>
        <v>0</v>
      </c>
      <c r="BK561" s="30"/>
      <c r="BL561" s="30"/>
      <c r="BM561" s="30"/>
      <c r="BN561" s="31">
        <f t="shared" ref="BN561:BN566" si="125">IF((AX561+AY561+AZ561)&lt;20,(20-(AX561+AY561+AZ561)),0)</f>
        <v>0</v>
      </c>
      <c r="BO561" s="33">
        <f t="shared" si="110"/>
        <v>0</v>
      </c>
      <c r="BP561" s="30">
        <v>17</v>
      </c>
      <c r="BQ561" s="30">
        <v>25</v>
      </c>
      <c r="BR561" s="30"/>
      <c r="BS561" s="30"/>
      <c r="BT561" s="34">
        <f t="shared" si="124"/>
        <v>100.2</v>
      </c>
      <c r="BU561" s="34"/>
      <c r="BV561" s="34"/>
      <c r="BW561" s="34"/>
      <c r="BX561" s="34"/>
      <c r="BY561" s="30"/>
      <c r="BZ561" s="31">
        <f t="shared" si="123"/>
        <v>1703.4</v>
      </c>
      <c r="CA561" s="31">
        <f t="shared" si="113"/>
        <v>2505</v>
      </c>
    </row>
    <row r="562" spans="1:79" ht="67.5" x14ac:dyDescent="0.25">
      <c r="A562" s="17"/>
      <c r="B562" s="2">
        <v>550</v>
      </c>
      <c r="C562" s="18">
        <v>303</v>
      </c>
      <c r="D562" s="18">
        <v>545</v>
      </c>
      <c r="E562" s="19">
        <v>0.27083333333333331</v>
      </c>
      <c r="F562" s="19">
        <v>0.2951388888888889</v>
      </c>
      <c r="G562" s="18" t="s">
        <v>1179</v>
      </c>
      <c r="H562" s="18" t="s">
        <v>1180</v>
      </c>
      <c r="I562" s="20">
        <v>28</v>
      </c>
      <c r="J562" s="21" t="s">
        <v>1181</v>
      </c>
      <c r="K562" s="22">
        <v>55</v>
      </c>
      <c r="L562" s="23">
        <f t="shared" si="118"/>
        <v>1540</v>
      </c>
      <c r="M562" s="24" t="s">
        <v>1172</v>
      </c>
      <c r="N562" s="25" t="s">
        <v>1173</v>
      </c>
      <c r="O562" s="25">
        <v>15</v>
      </c>
      <c r="P562" s="25" t="s">
        <v>1174</v>
      </c>
      <c r="Q562" s="25">
        <v>9</v>
      </c>
      <c r="R562" s="25" t="s">
        <v>1175</v>
      </c>
      <c r="S562" s="35">
        <v>9</v>
      </c>
      <c r="T562" s="26">
        <v>3895</v>
      </c>
      <c r="U562" s="26" t="s">
        <v>1176</v>
      </c>
      <c r="V562" s="26" t="s">
        <v>655</v>
      </c>
      <c r="W562" s="26" t="s">
        <v>656</v>
      </c>
      <c r="X562" s="27">
        <v>44562</v>
      </c>
      <c r="Y562" s="27">
        <v>44815</v>
      </c>
      <c r="Z562" s="27">
        <v>45101</v>
      </c>
      <c r="AA562" s="27">
        <v>45169</v>
      </c>
      <c r="AB562" s="62" t="s">
        <v>353</v>
      </c>
      <c r="AC562" s="62"/>
      <c r="AD562" s="28"/>
      <c r="AE562" s="28" t="s">
        <v>90</v>
      </c>
      <c r="AF562" s="28" t="s">
        <v>90</v>
      </c>
      <c r="AG562" s="28"/>
      <c r="AH562" s="28" t="s">
        <v>90</v>
      </c>
      <c r="AI562" s="28" t="s">
        <v>90</v>
      </c>
      <c r="AJ562" s="28" t="s">
        <v>90</v>
      </c>
      <c r="AK562" s="28" t="s">
        <v>90</v>
      </c>
      <c r="AL562" s="28" t="s">
        <v>90</v>
      </c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9">
        <v>84</v>
      </c>
      <c r="AY562" s="30"/>
      <c r="AZ562" s="30"/>
      <c r="BA562" s="29"/>
      <c r="BB562" s="29"/>
      <c r="BC562" s="30"/>
      <c r="BD562" s="31">
        <f t="shared" si="119"/>
        <v>4620</v>
      </c>
      <c r="BE562" s="31"/>
      <c r="BF562" s="30"/>
      <c r="BG562" s="36">
        <v>1</v>
      </c>
      <c r="BH562" s="31">
        <f t="shared" si="120"/>
        <v>0</v>
      </c>
      <c r="BI562" s="31">
        <f t="shared" si="121"/>
        <v>0</v>
      </c>
      <c r="BJ562" s="33">
        <f t="shared" si="122"/>
        <v>0</v>
      </c>
      <c r="BK562" s="30"/>
      <c r="BL562" s="30"/>
      <c r="BM562" s="30"/>
      <c r="BN562" s="31">
        <f t="shared" si="125"/>
        <v>0</v>
      </c>
      <c r="BO562" s="33">
        <f t="shared" si="110"/>
        <v>0</v>
      </c>
      <c r="BP562" s="30">
        <v>7</v>
      </c>
      <c r="BQ562" s="30">
        <v>0</v>
      </c>
      <c r="BR562" s="30"/>
      <c r="BS562" s="30"/>
      <c r="BT562" s="34">
        <f t="shared" si="124"/>
        <v>84</v>
      </c>
      <c r="BU562" s="34"/>
      <c r="BV562" s="34"/>
      <c r="BW562" s="34"/>
      <c r="BX562" s="34"/>
      <c r="BY562" s="30"/>
      <c r="BZ562" s="31">
        <f t="shared" si="123"/>
        <v>588</v>
      </c>
      <c r="CA562" s="31">
        <f t="shared" si="113"/>
        <v>0</v>
      </c>
    </row>
    <row r="563" spans="1:79" ht="76.5" x14ac:dyDescent="0.25">
      <c r="A563" s="17"/>
      <c r="B563" s="2">
        <v>551</v>
      </c>
      <c r="C563" s="18">
        <v>303</v>
      </c>
      <c r="D563" s="18">
        <v>501</v>
      </c>
      <c r="E563" s="19">
        <v>0.28055555555555556</v>
      </c>
      <c r="F563" s="19">
        <v>0.32013888888888892</v>
      </c>
      <c r="G563" s="18" t="s">
        <v>1182</v>
      </c>
      <c r="H563" s="58" t="s">
        <v>1183</v>
      </c>
      <c r="I563" s="20">
        <v>28</v>
      </c>
      <c r="J563" s="21" t="s">
        <v>274</v>
      </c>
      <c r="K563" s="68">
        <v>87</v>
      </c>
      <c r="L563" s="23">
        <f t="shared" si="118"/>
        <v>2436</v>
      </c>
      <c r="M563" s="24" t="s">
        <v>1184</v>
      </c>
      <c r="N563" s="25" t="s">
        <v>1185</v>
      </c>
      <c r="O563" s="25">
        <v>58</v>
      </c>
      <c r="P563" s="25" t="s">
        <v>1186</v>
      </c>
      <c r="Q563" s="25">
        <v>55</v>
      </c>
      <c r="R563" s="17" t="s">
        <v>1187</v>
      </c>
      <c r="S563" s="35">
        <v>55</v>
      </c>
      <c r="T563" s="26">
        <v>3820</v>
      </c>
      <c r="U563" s="26" t="s">
        <v>1188</v>
      </c>
      <c r="V563" s="26">
        <v>1</v>
      </c>
      <c r="W563" s="26" t="s">
        <v>300</v>
      </c>
      <c r="X563" s="66">
        <v>44816</v>
      </c>
      <c r="Y563" s="66">
        <v>45086</v>
      </c>
      <c r="Z563" s="66"/>
      <c r="AA563" s="66"/>
      <c r="AB563" s="26" t="s">
        <v>1189</v>
      </c>
      <c r="AC563" s="78" t="s">
        <v>628</v>
      </c>
      <c r="AD563" s="28"/>
      <c r="AE563" s="28"/>
      <c r="AF563" s="28"/>
      <c r="AG563" s="28" t="s">
        <v>90</v>
      </c>
      <c r="AH563" s="28" t="s">
        <v>90</v>
      </c>
      <c r="AI563" s="28" t="s">
        <v>90</v>
      </c>
      <c r="AJ563" s="28" t="s">
        <v>90</v>
      </c>
      <c r="AK563" s="28" t="s">
        <v>90</v>
      </c>
      <c r="AL563" s="28" t="s">
        <v>90</v>
      </c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9">
        <v>215.22</v>
      </c>
      <c r="AY563" s="30"/>
      <c r="AZ563" s="30"/>
      <c r="BA563" s="29"/>
      <c r="BB563" s="29"/>
      <c r="BC563" s="30"/>
      <c r="BD563" s="31">
        <f t="shared" si="119"/>
        <v>18724.14</v>
      </c>
      <c r="BE563" s="31"/>
      <c r="BF563" s="30"/>
      <c r="BG563" s="32">
        <v>2</v>
      </c>
      <c r="BH563" s="31">
        <f t="shared" si="120"/>
        <v>0</v>
      </c>
      <c r="BI563" s="31">
        <f t="shared" si="121"/>
        <v>0</v>
      </c>
      <c r="BJ563" s="33">
        <f t="shared" si="122"/>
        <v>0</v>
      </c>
      <c r="BK563" s="30"/>
      <c r="BL563" s="30"/>
      <c r="BM563" s="30"/>
      <c r="BN563" s="31">
        <f t="shared" si="125"/>
        <v>0</v>
      </c>
      <c r="BO563" s="33">
        <f t="shared" si="110"/>
        <v>0</v>
      </c>
      <c r="BP563" s="30">
        <v>0</v>
      </c>
      <c r="BQ563" s="30">
        <v>20</v>
      </c>
      <c r="BR563" s="30"/>
      <c r="BS563" s="30"/>
      <c r="BT563" s="34">
        <f t="shared" si="124"/>
        <v>215.22</v>
      </c>
      <c r="BU563" s="34"/>
      <c r="BV563" s="34"/>
      <c r="BW563" s="34"/>
      <c r="BX563" s="34"/>
      <c r="BY563" s="30"/>
      <c r="BZ563" s="31">
        <f t="shared" si="123"/>
        <v>0</v>
      </c>
      <c r="CA563" s="31">
        <f t="shared" si="113"/>
        <v>4304.3999999999996</v>
      </c>
    </row>
    <row r="564" spans="1:79" ht="76.5" x14ac:dyDescent="0.25">
      <c r="A564" s="17"/>
      <c r="B564" s="71" t="s">
        <v>1190</v>
      </c>
      <c r="C564" s="18">
        <v>303</v>
      </c>
      <c r="D564" s="18">
        <v>501</v>
      </c>
      <c r="E564" s="19">
        <v>0.28055555555555556</v>
      </c>
      <c r="F564" s="19">
        <v>0.32013888888888892</v>
      </c>
      <c r="G564" s="18" t="s">
        <v>1182</v>
      </c>
      <c r="H564" s="58" t="s">
        <v>1183</v>
      </c>
      <c r="I564" s="20">
        <v>28</v>
      </c>
      <c r="J564" s="21" t="s">
        <v>274</v>
      </c>
      <c r="K564" s="68">
        <v>87</v>
      </c>
      <c r="L564" s="23">
        <f t="shared" si="118"/>
        <v>2436</v>
      </c>
      <c r="M564" s="24" t="s">
        <v>1191</v>
      </c>
      <c r="N564" s="25" t="s">
        <v>1192</v>
      </c>
      <c r="O564" s="25">
        <v>57</v>
      </c>
      <c r="P564" s="25" t="s">
        <v>1193</v>
      </c>
      <c r="Q564" s="45">
        <v>58</v>
      </c>
      <c r="R564" s="25"/>
      <c r="S564" s="25"/>
      <c r="T564" s="26">
        <v>3820</v>
      </c>
      <c r="U564" s="26" t="s">
        <v>1188</v>
      </c>
      <c r="V564" s="26">
        <v>1</v>
      </c>
      <c r="W564" s="26" t="s">
        <v>300</v>
      </c>
      <c r="X564" s="66">
        <v>44816</v>
      </c>
      <c r="Y564" s="66">
        <v>45086</v>
      </c>
      <c r="Z564" s="66"/>
      <c r="AA564" s="66"/>
      <c r="AB564" s="26" t="s">
        <v>1194</v>
      </c>
      <c r="AC564" s="78" t="s">
        <v>628</v>
      </c>
      <c r="AD564" s="28"/>
      <c r="AE564" s="28"/>
      <c r="AF564" s="28"/>
      <c r="AG564" s="28" t="s">
        <v>90</v>
      </c>
      <c r="AH564" s="28" t="s">
        <v>90</v>
      </c>
      <c r="AI564" s="28" t="s">
        <v>90</v>
      </c>
      <c r="AJ564" s="28" t="s">
        <v>90</v>
      </c>
      <c r="AK564" s="28" t="s">
        <v>90</v>
      </c>
      <c r="AL564" s="28" t="s">
        <v>90</v>
      </c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9">
        <v>215.22</v>
      </c>
      <c r="AY564" s="30"/>
      <c r="AZ564" s="30"/>
      <c r="BA564" s="29"/>
      <c r="BB564" s="29"/>
      <c r="BC564" s="30"/>
      <c r="BD564" s="31">
        <f t="shared" si="119"/>
        <v>18724.14</v>
      </c>
      <c r="BE564" s="31"/>
      <c r="BF564" s="30"/>
      <c r="BG564" s="32">
        <v>2</v>
      </c>
      <c r="BH564" s="31">
        <f t="shared" si="120"/>
        <v>0</v>
      </c>
      <c r="BI564" s="31">
        <f t="shared" si="121"/>
        <v>0</v>
      </c>
      <c r="BJ564" s="33">
        <f t="shared" si="122"/>
        <v>0</v>
      </c>
      <c r="BK564" s="30"/>
      <c r="BL564" s="30"/>
      <c r="BM564" s="30"/>
      <c r="BN564" s="31">
        <f t="shared" si="125"/>
        <v>0</v>
      </c>
      <c r="BO564" s="33">
        <f t="shared" si="110"/>
        <v>0</v>
      </c>
      <c r="BP564" s="30">
        <v>15</v>
      </c>
      <c r="BQ564" s="30">
        <v>0</v>
      </c>
      <c r="BR564" s="30"/>
      <c r="BS564" s="30"/>
      <c r="BT564" s="34">
        <f t="shared" si="124"/>
        <v>215.22</v>
      </c>
      <c r="BU564" s="34"/>
      <c r="BV564" s="34"/>
      <c r="BW564" s="34"/>
      <c r="BX564" s="34"/>
      <c r="BY564" s="30"/>
      <c r="BZ564" s="31">
        <f t="shared" si="123"/>
        <v>3228.3</v>
      </c>
      <c r="CA564" s="31">
        <f t="shared" si="113"/>
        <v>0</v>
      </c>
    </row>
    <row r="565" spans="1:79" ht="51" x14ac:dyDescent="0.25">
      <c r="A565" s="90" t="s">
        <v>1195</v>
      </c>
      <c r="B565" s="2">
        <v>552</v>
      </c>
      <c r="C565" s="80">
        <v>303</v>
      </c>
      <c r="D565" s="80">
        <v>545</v>
      </c>
      <c r="E565" s="91">
        <v>0.28680555555555554</v>
      </c>
      <c r="F565" s="91">
        <v>0.2951388888888889</v>
      </c>
      <c r="G565" s="80" t="s">
        <v>1196</v>
      </c>
      <c r="H565" s="80" t="s">
        <v>306</v>
      </c>
      <c r="I565" s="92">
        <v>9</v>
      </c>
      <c r="J565" s="93">
        <v>14</v>
      </c>
      <c r="K565" s="94"/>
      <c r="L565" s="95">
        <f t="shared" si="118"/>
        <v>0</v>
      </c>
      <c r="M565" s="123" t="s">
        <v>1095</v>
      </c>
      <c r="N565" s="97"/>
      <c r="O565" s="97"/>
      <c r="P565" s="97"/>
      <c r="Q565" s="97"/>
      <c r="R565" s="97"/>
      <c r="S565" s="97"/>
      <c r="T565" s="98"/>
      <c r="U565" s="98"/>
      <c r="V565" s="98"/>
      <c r="W565" s="98"/>
      <c r="X565" s="99"/>
      <c r="Y565" s="99"/>
      <c r="Z565" s="99"/>
      <c r="AA565" s="99"/>
      <c r="AB565" s="99"/>
      <c r="AC565" s="99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  <c r="AP565" s="98"/>
      <c r="AQ565" s="98"/>
      <c r="AR565" s="98"/>
      <c r="AS565" s="98"/>
      <c r="AT565" s="98"/>
      <c r="AU565" s="98"/>
      <c r="AV565" s="98"/>
      <c r="AW565" s="98"/>
      <c r="AX565" s="99"/>
      <c r="AY565" s="99"/>
      <c r="AZ565" s="99"/>
      <c r="BA565" s="99"/>
      <c r="BB565" s="99"/>
      <c r="BC565" s="99"/>
      <c r="BD565" s="99"/>
      <c r="BE565" s="99"/>
      <c r="BF565" s="99"/>
      <c r="BG565" s="99"/>
      <c r="BH565" s="99"/>
      <c r="BI565" s="99"/>
      <c r="BJ565" s="99"/>
      <c r="BK565" s="99"/>
      <c r="BL565" s="99"/>
      <c r="BM565" s="99"/>
      <c r="BN565" s="99"/>
      <c r="BO565" s="100"/>
      <c r="BP565" s="101"/>
      <c r="BQ565" s="101"/>
      <c r="BR565" s="101"/>
      <c r="BS565" s="101"/>
      <c r="BT565" s="102"/>
      <c r="BU565" s="102"/>
      <c r="BV565" s="102"/>
      <c r="BW565" s="102"/>
      <c r="BX565" s="102"/>
      <c r="BY565" s="101"/>
      <c r="BZ565" s="103"/>
      <c r="CA565" s="31">
        <f t="shared" si="113"/>
        <v>0</v>
      </c>
    </row>
    <row r="566" spans="1:79" ht="51" x14ac:dyDescent="0.25">
      <c r="A566" s="17"/>
      <c r="B566" s="2">
        <v>553</v>
      </c>
      <c r="C566" s="18">
        <v>303</v>
      </c>
      <c r="D566" s="18">
        <v>427</v>
      </c>
      <c r="E566" s="19">
        <v>0.28819444444444448</v>
      </c>
      <c r="F566" s="59">
        <v>0.30277777777777776</v>
      </c>
      <c r="G566" s="18" t="s">
        <v>1197</v>
      </c>
      <c r="H566" s="18" t="s">
        <v>306</v>
      </c>
      <c r="I566" s="20">
        <v>10.5</v>
      </c>
      <c r="J566" s="21" t="s">
        <v>541</v>
      </c>
      <c r="K566" s="22">
        <v>208</v>
      </c>
      <c r="L566" s="23">
        <f t="shared" si="118"/>
        <v>2184</v>
      </c>
      <c r="M566" s="24" t="s">
        <v>794</v>
      </c>
      <c r="N566" s="25" t="s">
        <v>1198</v>
      </c>
      <c r="O566" s="25">
        <v>23</v>
      </c>
      <c r="P566" s="25" t="s">
        <v>1199</v>
      </c>
      <c r="Q566" s="25">
        <v>23</v>
      </c>
      <c r="R566" s="25" t="s">
        <v>1200</v>
      </c>
      <c r="S566" s="35">
        <v>23</v>
      </c>
      <c r="T566" s="26">
        <v>3790</v>
      </c>
      <c r="U566" s="26" t="s">
        <v>1201</v>
      </c>
      <c r="V566" s="26" t="s">
        <v>1202</v>
      </c>
      <c r="W566" s="26" t="s">
        <v>1203</v>
      </c>
      <c r="X566" s="66">
        <v>44816</v>
      </c>
      <c r="Y566" s="66">
        <v>45086</v>
      </c>
      <c r="Z566" s="66"/>
      <c r="AA566" s="66"/>
      <c r="AB566" s="26" t="s">
        <v>309</v>
      </c>
      <c r="AC566" s="26"/>
      <c r="AD566" s="28"/>
      <c r="AE566" s="28"/>
      <c r="AF566" s="28"/>
      <c r="AG566" s="28" t="s">
        <v>90</v>
      </c>
      <c r="AH566" s="28" t="s">
        <v>90</v>
      </c>
      <c r="AI566" s="28" t="s">
        <v>90</v>
      </c>
      <c r="AJ566" s="28" t="s">
        <v>90</v>
      </c>
      <c r="AK566" s="28" t="s">
        <v>90</v>
      </c>
      <c r="AL566" s="28" t="s">
        <v>90</v>
      </c>
      <c r="AM566" s="28" t="s">
        <v>90</v>
      </c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9">
        <v>66.73</v>
      </c>
      <c r="AY566" s="30"/>
      <c r="AZ566" s="30"/>
      <c r="BA566" s="29"/>
      <c r="BB566" s="29"/>
      <c r="BC566" s="30"/>
      <c r="BD566" s="31">
        <f t="shared" ref="BD566:BD627" si="126">AX566*K566</f>
        <v>13879.84</v>
      </c>
      <c r="BE566" s="31"/>
      <c r="BF566" s="30"/>
      <c r="BG566" s="36">
        <v>1</v>
      </c>
      <c r="BH566" s="31">
        <f>IF(AND((AX566/I566)&lt;2,BG566=1),(I566*2)-AX566,0)</f>
        <v>0</v>
      </c>
      <c r="BI566" s="31">
        <f>IF(AND((AX566/I566)&lt;3,BG566=2),(I566*3)-AX566,0)</f>
        <v>0</v>
      </c>
      <c r="BJ566" s="33">
        <f>(BH566+BI566)*K566</f>
        <v>0</v>
      </c>
      <c r="BK566" s="30"/>
      <c r="BL566" s="30"/>
      <c r="BM566" s="30"/>
      <c r="BN566" s="31">
        <f t="shared" si="125"/>
        <v>0</v>
      </c>
      <c r="BO566" s="33">
        <f t="shared" ref="BO566:BO629" si="127">BN566*K566</f>
        <v>0</v>
      </c>
      <c r="BP566" s="30">
        <v>17</v>
      </c>
      <c r="BQ566" s="30">
        <v>25</v>
      </c>
      <c r="BR566" s="30"/>
      <c r="BS566" s="30"/>
      <c r="BT566" s="34">
        <f t="shared" ref="BT566:BT629" si="128">SUM(AX566:AZ566)+SUM(BH566:BI566)+SUM(BK566:BL566)+BN566</f>
        <v>66.73</v>
      </c>
      <c r="BU566" s="34"/>
      <c r="BV566" s="34"/>
      <c r="BW566" s="34"/>
      <c r="BX566" s="34"/>
      <c r="BY566" s="30"/>
      <c r="BZ566" s="31">
        <f t="shared" ref="BZ566:BZ629" si="129">(BT566*BP566)+(BV566*BX566)</f>
        <v>1134.4100000000001</v>
      </c>
      <c r="CA566" s="31">
        <f t="shared" si="113"/>
        <v>1668.25</v>
      </c>
    </row>
    <row r="567" spans="1:79" ht="63.75" x14ac:dyDescent="0.25">
      <c r="A567" s="17"/>
      <c r="B567" s="2">
        <v>554</v>
      </c>
      <c r="C567" s="18">
        <v>303</v>
      </c>
      <c r="D567" s="18">
        <v>501</v>
      </c>
      <c r="E567" s="19">
        <v>0.29166666666666669</v>
      </c>
      <c r="F567" s="19">
        <v>0.32013888888888892</v>
      </c>
      <c r="G567" s="18" t="s">
        <v>1204</v>
      </c>
      <c r="H567" s="18" t="s">
        <v>273</v>
      </c>
      <c r="I567" s="20">
        <v>19</v>
      </c>
      <c r="J567" s="21" t="s">
        <v>274</v>
      </c>
      <c r="K567" s="22">
        <v>174</v>
      </c>
      <c r="L567" s="23">
        <f t="shared" si="118"/>
        <v>3306</v>
      </c>
      <c r="M567" s="24" t="s">
        <v>794</v>
      </c>
      <c r="N567" s="25" t="s">
        <v>1205</v>
      </c>
      <c r="O567" s="25">
        <v>57</v>
      </c>
      <c r="P567" s="25" t="s">
        <v>1206</v>
      </c>
      <c r="Q567" s="25">
        <v>56</v>
      </c>
      <c r="R567" s="25" t="s">
        <v>1207</v>
      </c>
      <c r="S567" s="35" t="s">
        <v>1208</v>
      </c>
      <c r="T567" s="26">
        <v>3770</v>
      </c>
      <c r="U567" s="26" t="s">
        <v>1209</v>
      </c>
      <c r="V567" s="26">
        <v>1</v>
      </c>
      <c r="W567" s="26" t="s">
        <v>300</v>
      </c>
      <c r="X567" s="66">
        <v>44816</v>
      </c>
      <c r="Y567" s="66">
        <v>45086</v>
      </c>
      <c r="Z567" s="66"/>
      <c r="AA567" s="66"/>
      <c r="AB567" s="26" t="s">
        <v>282</v>
      </c>
      <c r="AC567" s="26"/>
      <c r="AD567" s="28"/>
      <c r="AE567" s="28"/>
      <c r="AF567" s="28"/>
      <c r="AG567" s="28" t="s">
        <v>90</v>
      </c>
      <c r="AH567" s="28" t="s">
        <v>90</v>
      </c>
      <c r="AI567" s="28" t="s">
        <v>90</v>
      </c>
      <c r="AJ567" s="28" t="s">
        <v>90</v>
      </c>
      <c r="AK567" s="28" t="s">
        <v>90</v>
      </c>
      <c r="AL567" s="28" t="s">
        <v>90</v>
      </c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9">
        <v>224.74</v>
      </c>
      <c r="AY567" s="30"/>
      <c r="AZ567" s="30"/>
      <c r="BA567" s="29"/>
      <c r="BB567" s="29"/>
      <c r="BC567" s="30"/>
      <c r="BD567" s="31">
        <f t="shared" si="126"/>
        <v>39104.76</v>
      </c>
      <c r="BE567" s="31"/>
      <c r="BF567" s="30"/>
      <c r="BG567" s="32">
        <v>2</v>
      </c>
      <c r="BH567" s="31">
        <f>IF(AND((AX567/I567)&lt;2,BG567=1),(I567*2)-AX567,0)</f>
        <v>0</v>
      </c>
      <c r="BI567" s="31">
        <f>IF(AND((AX567/I567)&lt;3,BG567=2),(I567*3)-AX567,0)</f>
        <v>0</v>
      </c>
      <c r="BJ567" s="33">
        <f>(BH567+BI567)*K567</f>
        <v>0</v>
      </c>
      <c r="BK567" s="30"/>
      <c r="BL567" s="30"/>
      <c r="BM567" s="30"/>
      <c r="BN567" s="30"/>
      <c r="BO567" s="33">
        <f t="shared" si="127"/>
        <v>0</v>
      </c>
      <c r="BP567" s="30">
        <v>15</v>
      </c>
      <c r="BQ567" s="30">
        <v>20</v>
      </c>
      <c r="BR567" s="30"/>
      <c r="BS567" s="30"/>
      <c r="BT567" s="34">
        <f t="shared" si="128"/>
        <v>224.74</v>
      </c>
      <c r="BU567" s="34"/>
      <c r="BV567" s="34"/>
      <c r="BW567" s="34"/>
      <c r="BX567" s="34"/>
      <c r="BY567" s="30"/>
      <c r="BZ567" s="31">
        <f t="shared" si="129"/>
        <v>3371.1000000000004</v>
      </c>
      <c r="CA567" s="31">
        <f t="shared" si="113"/>
        <v>4494.8</v>
      </c>
    </row>
    <row r="568" spans="1:79" ht="63.75" x14ac:dyDescent="0.25">
      <c r="A568" s="17"/>
      <c r="B568" s="2">
        <v>555</v>
      </c>
      <c r="C568" s="18">
        <v>303</v>
      </c>
      <c r="D568" s="18">
        <v>253</v>
      </c>
      <c r="E568" s="19">
        <v>0.31041666666666667</v>
      </c>
      <c r="F568" s="19">
        <v>0.31388888888888888</v>
      </c>
      <c r="G568" s="18" t="s">
        <v>1210</v>
      </c>
      <c r="H568" s="18" t="s">
        <v>273</v>
      </c>
      <c r="I568" s="20">
        <v>3</v>
      </c>
      <c r="J568" s="21" t="s">
        <v>541</v>
      </c>
      <c r="K568" s="22">
        <v>174</v>
      </c>
      <c r="L568" s="23">
        <f t="shared" si="118"/>
        <v>522</v>
      </c>
      <c r="M568" s="24" t="s">
        <v>794</v>
      </c>
      <c r="N568" s="25" t="s">
        <v>1198</v>
      </c>
      <c r="O568" s="25">
        <v>23</v>
      </c>
      <c r="P568" s="25" t="s">
        <v>1199</v>
      </c>
      <c r="Q568" s="25">
        <v>23</v>
      </c>
      <c r="R568" s="25" t="s">
        <v>1200</v>
      </c>
      <c r="S568" s="35">
        <v>23</v>
      </c>
      <c r="T568" s="26">
        <v>3760</v>
      </c>
      <c r="U568" s="26" t="s">
        <v>1211</v>
      </c>
      <c r="V568" s="26">
        <v>3740</v>
      </c>
      <c r="W568" s="26" t="s">
        <v>1212</v>
      </c>
      <c r="X568" s="66">
        <v>44816</v>
      </c>
      <c r="Y568" s="66">
        <v>45086</v>
      </c>
      <c r="Z568" s="66"/>
      <c r="AA568" s="66"/>
      <c r="AB568" s="26" t="s">
        <v>282</v>
      </c>
      <c r="AC568" s="26"/>
      <c r="AD568" s="28"/>
      <c r="AE568" s="28"/>
      <c r="AF568" s="28"/>
      <c r="AG568" s="28" t="s">
        <v>90</v>
      </c>
      <c r="AH568" s="28" t="s">
        <v>90</v>
      </c>
      <c r="AI568" s="28" t="s">
        <v>90</v>
      </c>
      <c r="AJ568" s="28" t="s">
        <v>90</v>
      </c>
      <c r="AK568" s="28" t="s">
        <v>90</v>
      </c>
      <c r="AL568" s="28" t="s">
        <v>90</v>
      </c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9">
        <v>10</v>
      </c>
      <c r="AY568" s="30"/>
      <c r="AZ568" s="30"/>
      <c r="BA568" s="29"/>
      <c r="BB568" s="29"/>
      <c r="BC568" s="30"/>
      <c r="BD568" s="31">
        <f t="shared" si="126"/>
        <v>1740</v>
      </c>
      <c r="BE568" s="31"/>
      <c r="BF568" s="30"/>
      <c r="BG568" s="36">
        <v>1</v>
      </c>
      <c r="BH568" s="31">
        <f>IF(AND((AX568/I568)&lt;2,BG568=1),(I568*2)-AX568,0)</f>
        <v>0</v>
      </c>
      <c r="BI568" s="31">
        <f>IF(AND((AX568/I568)&lt;3,BG568=2),(I568*3)-AX568,0)</f>
        <v>0</v>
      </c>
      <c r="BJ568" s="33">
        <f>(BH568+BI568)*K568</f>
        <v>0</v>
      </c>
      <c r="BK568" s="30"/>
      <c r="BL568" s="30"/>
      <c r="BM568" s="30"/>
      <c r="BN568" s="30"/>
      <c r="BO568" s="33">
        <f t="shared" si="127"/>
        <v>0</v>
      </c>
      <c r="BP568" s="30">
        <v>15</v>
      </c>
      <c r="BQ568" s="30">
        <v>20</v>
      </c>
      <c r="BR568" s="30"/>
      <c r="BS568" s="30"/>
      <c r="BT568" s="34">
        <f t="shared" si="128"/>
        <v>10</v>
      </c>
      <c r="BU568" s="34"/>
      <c r="BV568" s="34"/>
      <c r="BW568" s="34"/>
      <c r="BX568" s="34"/>
      <c r="BY568" s="30"/>
      <c r="BZ568" s="31">
        <f t="shared" si="129"/>
        <v>150</v>
      </c>
      <c r="CA568" s="31">
        <f t="shared" si="113"/>
        <v>200</v>
      </c>
    </row>
    <row r="569" spans="1:79" ht="63.75" x14ac:dyDescent="0.25">
      <c r="A569" s="17"/>
      <c r="B569" s="2">
        <v>556</v>
      </c>
      <c r="C569" s="18">
        <v>303</v>
      </c>
      <c r="D569" s="18">
        <v>253</v>
      </c>
      <c r="E569" s="59">
        <v>0.31597222222222221</v>
      </c>
      <c r="F569" s="19">
        <v>0.31944444444444448</v>
      </c>
      <c r="G569" s="18" t="s">
        <v>1213</v>
      </c>
      <c r="H569" s="18" t="s">
        <v>273</v>
      </c>
      <c r="I569" s="20">
        <v>3</v>
      </c>
      <c r="J569" s="21" t="s">
        <v>541</v>
      </c>
      <c r="K569" s="22">
        <v>174</v>
      </c>
      <c r="L569" s="23">
        <f t="shared" si="118"/>
        <v>522</v>
      </c>
      <c r="M569" s="24" t="s">
        <v>794</v>
      </c>
      <c r="N569" s="25" t="s">
        <v>1198</v>
      </c>
      <c r="O569" s="25">
        <v>23</v>
      </c>
      <c r="P569" s="25" t="s">
        <v>1199</v>
      </c>
      <c r="Q569" s="25">
        <v>23</v>
      </c>
      <c r="R569" s="25" t="s">
        <v>1200</v>
      </c>
      <c r="S569" s="35">
        <v>23</v>
      </c>
      <c r="T569" s="26">
        <v>3750</v>
      </c>
      <c r="U569" s="26" t="s">
        <v>1214</v>
      </c>
      <c r="V569" s="26">
        <v>3740</v>
      </c>
      <c r="W569" s="26" t="s">
        <v>1212</v>
      </c>
      <c r="X569" s="66">
        <v>44816</v>
      </c>
      <c r="Y569" s="66">
        <v>45086</v>
      </c>
      <c r="Z569" s="66"/>
      <c r="AA569" s="66"/>
      <c r="AB569" s="26" t="s">
        <v>282</v>
      </c>
      <c r="AC569" s="26"/>
      <c r="AD569" s="28"/>
      <c r="AE569" s="28"/>
      <c r="AF569" s="28"/>
      <c r="AG569" s="28" t="s">
        <v>90</v>
      </c>
      <c r="AH569" s="28" t="s">
        <v>90</v>
      </c>
      <c r="AI569" s="28" t="s">
        <v>90</v>
      </c>
      <c r="AJ569" s="28" t="s">
        <v>90</v>
      </c>
      <c r="AK569" s="28" t="s">
        <v>90</v>
      </c>
      <c r="AL569" s="28" t="s">
        <v>90</v>
      </c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53">
        <v>23.73</v>
      </c>
      <c r="AY569" s="30"/>
      <c r="AZ569" s="30"/>
      <c r="BA569" s="29"/>
      <c r="BB569" s="29"/>
      <c r="BC569" s="30"/>
      <c r="BD569" s="31">
        <f t="shared" si="126"/>
        <v>4129.0200000000004</v>
      </c>
      <c r="BE569" s="31"/>
      <c r="BF569" s="30"/>
      <c r="BG569" s="36">
        <v>1</v>
      </c>
      <c r="BH569" s="53"/>
      <c r="BI569" s="53"/>
      <c r="BJ569" s="54"/>
      <c r="BK569" s="30"/>
      <c r="BL569" s="30"/>
      <c r="BM569" s="30"/>
      <c r="BN569" s="30"/>
      <c r="BO569" s="33">
        <f t="shared" si="127"/>
        <v>0</v>
      </c>
      <c r="BP569" s="30">
        <v>15</v>
      </c>
      <c r="BQ569" s="30">
        <v>20</v>
      </c>
      <c r="BR569" s="30"/>
      <c r="BS569" s="30"/>
      <c r="BT569" s="34">
        <f t="shared" si="128"/>
        <v>23.73</v>
      </c>
      <c r="BU569" s="34"/>
      <c r="BV569" s="34"/>
      <c r="BW569" s="34"/>
      <c r="BX569" s="34"/>
      <c r="BY569" s="30"/>
      <c r="BZ569" s="31">
        <f t="shared" si="129"/>
        <v>355.95</v>
      </c>
      <c r="CA569" s="31">
        <f t="shared" si="113"/>
        <v>474.6</v>
      </c>
    </row>
    <row r="570" spans="1:79" ht="51" x14ac:dyDescent="0.25">
      <c r="A570" s="17"/>
      <c r="B570" s="2">
        <v>557</v>
      </c>
      <c r="C570" s="58">
        <v>330</v>
      </c>
      <c r="D570" s="18">
        <v>437</v>
      </c>
      <c r="E570" s="19">
        <v>0.32291666666666669</v>
      </c>
      <c r="F570" s="59">
        <v>0.34097222222222223</v>
      </c>
      <c r="G570" s="18" t="s">
        <v>1215</v>
      </c>
      <c r="H570" s="18" t="s">
        <v>273</v>
      </c>
      <c r="I570" s="20">
        <v>11</v>
      </c>
      <c r="J570" s="21" t="s">
        <v>541</v>
      </c>
      <c r="K570" s="22">
        <v>174</v>
      </c>
      <c r="L570" s="23">
        <f t="shared" si="118"/>
        <v>1914</v>
      </c>
      <c r="M570" s="24" t="s">
        <v>794</v>
      </c>
      <c r="N570" s="25" t="s">
        <v>1198</v>
      </c>
      <c r="O570" s="25">
        <v>23</v>
      </c>
      <c r="P570" s="25" t="s">
        <v>1199</v>
      </c>
      <c r="Q570" s="25">
        <v>23</v>
      </c>
      <c r="R570" s="25" t="s">
        <v>1200</v>
      </c>
      <c r="S570" s="35">
        <v>23</v>
      </c>
      <c r="T570" s="26">
        <v>3740</v>
      </c>
      <c r="U570" s="26" t="s">
        <v>1212</v>
      </c>
      <c r="V570" s="26" t="s">
        <v>1216</v>
      </c>
      <c r="W570" s="26" t="s">
        <v>1217</v>
      </c>
      <c r="X570" s="66">
        <v>44816</v>
      </c>
      <c r="Y570" s="66">
        <v>45086</v>
      </c>
      <c r="Z570" s="66"/>
      <c r="AA570" s="66"/>
      <c r="AB570" s="26" t="s">
        <v>282</v>
      </c>
      <c r="AC570" s="26"/>
      <c r="AD570" s="28"/>
      <c r="AE570" s="28"/>
      <c r="AF570" s="28"/>
      <c r="AG570" s="28" t="s">
        <v>90</v>
      </c>
      <c r="AH570" s="28" t="s">
        <v>90</v>
      </c>
      <c r="AI570" s="28" t="s">
        <v>90</v>
      </c>
      <c r="AJ570" s="28" t="s">
        <v>90</v>
      </c>
      <c r="AK570" s="28" t="s">
        <v>90</v>
      </c>
      <c r="AL570" s="28" t="s">
        <v>90</v>
      </c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53">
        <v>19.8</v>
      </c>
      <c r="AY570" s="30"/>
      <c r="AZ570" s="30"/>
      <c r="BA570" s="29"/>
      <c r="BB570" s="29"/>
      <c r="BC570" s="30"/>
      <c r="BD570" s="31">
        <f t="shared" si="126"/>
        <v>3445.2000000000003</v>
      </c>
      <c r="BE570" s="31"/>
      <c r="BF570" s="30"/>
      <c r="BG570" s="36">
        <v>1</v>
      </c>
      <c r="BH570" s="53"/>
      <c r="BI570" s="53"/>
      <c r="BJ570" s="53"/>
      <c r="BK570" s="30"/>
      <c r="BL570" s="30"/>
      <c r="BM570" s="30"/>
      <c r="BN570" s="30"/>
      <c r="BO570" s="33">
        <f t="shared" si="127"/>
        <v>0</v>
      </c>
      <c r="BP570" s="30">
        <v>15</v>
      </c>
      <c r="BQ570" s="30">
        <v>20</v>
      </c>
      <c r="BR570" s="30"/>
      <c r="BS570" s="30"/>
      <c r="BT570" s="34">
        <f t="shared" si="128"/>
        <v>19.8</v>
      </c>
      <c r="BU570" s="34"/>
      <c r="BV570" s="34"/>
      <c r="BW570" s="34"/>
      <c r="BX570" s="34"/>
      <c r="BY570" s="30"/>
      <c r="BZ570" s="31">
        <f t="shared" si="129"/>
        <v>297</v>
      </c>
      <c r="CA570" s="31">
        <f t="shared" si="113"/>
        <v>396</v>
      </c>
    </row>
    <row r="571" spans="1:79" ht="67.5" x14ac:dyDescent="0.25">
      <c r="A571" s="17"/>
      <c r="B571" s="2">
        <v>558</v>
      </c>
      <c r="C571" s="18">
        <v>303</v>
      </c>
      <c r="D571" s="18">
        <v>550</v>
      </c>
      <c r="E571" s="19">
        <v>0.3263888888888889</v>
      </c>
      <c r="F571" s="19">
        <v>0.34236111111111112</v>
      </c>
      <c r="G571" s="18" t="s">
        <v>1218</v>
      </c>
      <c r="H571" s="18" t="s">
        <v>1180</v>
      </c>
      <c r="I571" s="20">
        <v>19</v>
      </c>
      <c r="J571" s="21" t="s">
        <v>1181</v>
      </c>
      <c r="K571" s="22">
        <v>55</v>
      </c>
      <c r="L571" s="23">
        <f t="shared" si="118"/>
        <v>1045</v>
      </c>
      <c r="M571" s="24" t="s">
        <v>1172</v>
      </c>
      <c r="N571" s="25" t="s">
        <v>1173</v>
      </c>
      <c r="O571" s="25">
        <v>15</v>
      </c>
      <c r="P571" s="25" t="s">
        <v>1174</v>
      </c>
      <c r="Q571" s="25">
        <v>9</v>
      </c>
      <c r="R571" s="25" t="s">
        <v>1175</v>
      </c>
      <c r="S571" s="35">
        <v>9</v>
      </c>
      <c r="T571" s="26" t="s">
        <v>1219</v>
      </c>
      <c r="U571" s="26" t="s">
        <v>1220</v>
      </c>
      <c r="V571" s="26">
        <v>3895</v>
      </c>
      <c r="W571" s="26" t="s">
        <v>1176</v>
      </c>
      <c r="X571" s="27">
        <v>44562</v>
      </c>
      <c r="Y571" s="27">
        <v>44815</v>
      </c>
      <c r="Z571" s="27">
        <v>45101</v>
      </c>
      <c r="AA571" s="27">
        <v>45169</v>
      </c>
      <c r="AB571" s="62" t="s">
        <v>353</v>
      </c>
      <c r="AC571" s="62"/>
      <c r="AD571" s="28"/>
      <c r="AE571" s="28" t="s">
        <v>90</v>
      </c>
      <c r="AF571" s="28" t="s">
        <v>90</v>
      </c>
      <c r="AG571" s="28"/>
      <c r="AH571" s="28" t="s">
        <v>90</v>
      </c>
      <c r="AI571" s="28" t="s">
        <v>90</v>
      </c>
      <c r="AJ571" s="28" t="s">
        <v>90</v>
      </c>
      <c r="AK571" s="28" t="s">
        <v>90</v>
      </c>
      <c r="AL571" s="28" t="s">
        <v>90</v>
      </c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9">
        <v>57</v>
      </c>
      <c r="AY571" s="30"/>
      <c r="AZ571" s="30"/>
      <c r="BA571" s="29"/>
      <c r="BB571" s="29"/>
      <c r="BC571" s="30"/>
      <c r="BD571" s="31">
        <f t="shared" si="126"/>
        <v>3135</v>
      </c>
      <c r="BE571" s="31"/>
      <c r="BF571" s="30"/>
      <c r="BG571" s="36">
        <v>1</v>
      </c>
      <c r="BH571" s="31">
        <f t="shared" ref="BH571:BH577" si="130">IF(AND((AX571/I571)&lt;2,BG571=1),(I571*2)-AX571,0)</f>
        <v>0</v>
      </c>
      <c r="BI571" s="31">
        <f t="shared" ref="BI571:BI577" si="131">IF(AND((AX571/I571)&lt;3,BG571=2),(I571*3)-AX571,0)</f>
        <v>0</v>
      </c>
      <c r="BJ571" s="33">
        <f t="shared" ref="BJ571:BJ577" si="132">(BH571+BI571)*K571</f>
        <v>0</v>
      </c>
      <c r="BK571" s="30"/>
      <c r="BL571" s="30"/>
      <c r="BM571" s="30"/>
      <c r="BN571" s="30"/>
      <c r="BO571" s="33">
        <f t="shared" si="127"/>
        <v>0</v>
      </c>
      <c r="BP571" s="30">
        <v>7</v>
      </c>
      <c r="BQ571" s="30">
        <v>0</v>
      </c>
      <c r="BR571" s="30"/>
      <c r="BS571" s="30"/>
      <c r="BT571" s="34">
        <f t="shared" si="128"/>
        <v>57</v>
      </c>
      <c r="BU571" s="34"/>
      <c r="BV571" s="34"/>
      <c r="BW571" s="34"/>
      <c r="BX571" s="34"/>
      <c r="BY571" s="30"/>
      <c r="BZ571" s="31">
        <f t="shared" si="129"/>
        <v>399</v>
      </c>
      <c r="CA571" s="31">
        <f t="shared" si="113"/>
        <v>0</v>
      </c>
    </row>
    <row r="572" spans="1:79" ht="38.25" x14ac:dyDescent="0.25">
      <c r="A572" s="17"/>
      <c r="B572" s="2">
        <v>559</v>
      </c>
      <c r="C572" s="18">
        <v>303</v>
      </c>
      <c r="D572" s="18">
        <v>473</v>
      </c>
      <c r="E572" s="19">
        <v>0.33194444444444443</v>
      </c>
      <c r="F572" s="19">
        <v>0.3666666666666667</v>
      </c>
      <c r="G572" s="18" t="s">
        <v>1221</v>
      </c>
      <c r="H572" s="18" t="s">
        <v>352</v>
      </c>
      <c r="I572" s="20">
        <v>21.5</v>
      </c>
      <c r="J572" s="40">
        <v>50</v>
      </c>
      <c r="K572" s="22">
        <v>55</v>
      </c>
      <c r="L572" s="23">
        <f t="shared" si="118"/>
        <v>1182.5</v>
      </c>
      <c r="M572" s="24" t="s">
        <v>1222</v>
      </c>
      <c r="N572" s="25" t="s">
        <v>1185</v>
      </c>
      <c r="O572" s="25">
        <v>58</v>
      </c>
      <c r="P572" s="25" t="s">
        <v>1186</v>
      </c>
      <c r="Q572" s="25">
        <v>55</v>
      </c>
      <c r="R572" s="17" t="s">
        <v>1187</v>
      </c>
      <c r="S572" s="35">
        <v>55</v>
      </c>
      <c r="T572" s="26">
        <v>3870</v>
      </c>
      <c r="U572" s="26" t="s">
        <v>1223</v>
      </c>
      <c r="V572" s="26">
        <v>3740</v>
      </c>
      <c r="W572" s="26" t="s">
        <v>1212</v>
      </c>
      <c r="X572" s="27">
        <v>44562</v>
      </c>
      <c r="Y572" s="27">
        <v>44815</v>
      </c>
      <c r="Z572" s="27">
        <v>45101</v>
      </c>
      <c r="AA572" s="27">
        <v>45169</v>
      </c>
      <c r="AB572" s="26" t="s">
        <v>353</v>
      </c>
      <c r="AC572" s="26"/>
      <c r="AD572" s="28"/>
      <c r="AE572" s="28" t="s">
        <v>90</v>
      </c>
      <c r="AF572" s="28" t="s">
        <v>90</v>
      </c>
      <c r="AG572" s="28"/>
      <c r="AH572" s="28" t="s">
        <v>90</v>
      </c>
      <c r="AI572" s="28" t="s">
        <v>90</v>
      </c>
      <c r="AJ572" s="28" t="s">
        <v>90</v>
      </c>
      <c r="AK572" s="28" t="s">
        <v>90</v>
      </c>
      <c r="AL572" s="28" t="s">
        <v>90</v>
      </c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9">
        <v>104.24</v>
      </c>
      <c r="AY572" s="30"/>
      <c r="AZ572" s="30"/>
      <c r="BA572" s="29"/>
      <c r="BB572" s="29"/>
      <c r="BC572" s="30"/>
      <c r="BD572" s="31">
        <f t="shared" si="126"/>
        <v>5733.2</v>
      </c>
      <c r="BE572" s="31"/>
      <c r="BF572" s="30"/>
      <c r="BG572" s="32">
        <v>2</v>
      </c>
      <c r="BH572" s="31">
        <f t="shared" si="130"/>
        <v>0</v>
      </c>
      <c r="BI572" s="31">
        <f t="shared" si="131"/>
        <v>0</v>
      </c>
      <c r="BJ572" s="33">
        <f t="shared" si="132"/>
        <v>0</v>
      </c>
      <c r="BK572" s="30"/>
      <c r="BL572" s="30"/>
      <c r="BM572" s="30"/>
      <c r="BN572" s="30"/>
      <c r="BO572" s="33">
        <f t="shared" si="127"/>
        <v>0</v>
      </c>
      <c r="BP572" s="30">
        <v>7</v>
      </c>
      <c r="BQ572" s="30">
        <v>0</v>
      </c>
      <c r="BR572" s="30"/>
      <c r="BS572" s="30"/>
      <c r="BT572" s="34">
        <f t="shared" si="128"/>
        <v>104.24</v>
      </c>
      <c r="BU572" s="34"/>
      <c r="BV572" s="34"/>
      <c r="BW572" s="34"/>
      <c r="BX572" s="34"/>
      <c r="BY572" s="30"/>
      <c r="BZ572" s="31">
        <f t="shared" si="129"/>
        <v>729.68</v>
      </c>
      <c r="CA572" s="31">
        <f t="shared" si="113"/>
        <v>0</v>
      </c>
    </row>
    <row r="573" spans="1:79" ht="67.5" x14ac:dyDescent="0.25">
      <c r="A573" s="17"/>
      <c r="B573" s="2">
        <v>560</v>
      </c>
      <c r="C573" s="18">
        <v>303</v>
      </c>
      <c r="D573" s="18">
        <v>549</v>
      </c>
      <c r="E573" s="19">
        <v>0.34375</v>
      </c>
      <c r="F573" s="59">
        <v>0.35972222222222222</v>
      </c>
      <c r="G573" s="18" t="s">
        <v>1224</v>
      </c>
      <c r="H573" s="18" t="s">
        <v>1225</v>
      </c>
      <c r="I573" s="20">
        <v>19</v>
      </c>
      <c r="J573" s="21">
        <v>14</v>
      </c>
      <c r="K573" s="22">
        <v>39</v>
      </c>
      <c r="L573" s="23">
        <f t="shared" si="118"/>
        <v>741</v>
      </c>
      <c r="M573" s="24" t="s">
        <v>1172</v>
      </c>
      <c r="N573" s="25" t="s">
        <v>1173</v>
      </c>
      <c r="O573" s="25">
        <v>15</v>
      </c>
      <c r="P573" s="25" t="s">
        <v>1174</v>
      </c>
      <c r="Q573" s="25">
        <v>9</v>
      </c>
      <c r="R573" s="25" t="s">
        <v>1175</v>
      </c>
      <c r="S573" s="35">
        <v>9</v>
      </c>
      <c r="T573" s="26">
        <v>3895</v>
      </c>
      <c r="U573" s="26" t="s">
        <v>1176</v>
      </c>
      <c r="V573" s="26" t="s">
        <v>1177</v>
      </c>
      <c r="W573" s="26" t="s">
        <v>1178</v>
      </c>
      <c r="X573" s="27">
        <v>44816</v>
      </c>
      <c r="Y573" s="27">
        <v>45100</v>
      </c>
      <c r="Z573" s="27"/>
      <c r="AA573" s="27"/>
      <c r="AB573" s="62" t="s">
        <v>1226</v>
      </c>
      <c r="AC573" s="62"/>
      <c r="AD573" s="28" t="s">
        <v>90</v>
      </c>
      <c r="AE573" s="28"/>
      <c r="AF573" s="28" t="s">
        <v>90</v>
      </c>
      <c r="AG573" s="28"/>
      <c r="AH573" s="28"/>
      <c r="AI573" s="28"/>
      <c r="AJ573" s="28"/>
      <c r="AK573" s="28" t="s">
        <v>90</v>
      </c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9">
        <v>57</v>
      </c>
      <c r="AY573" s="30"/>
      <c r="AZ573" s="30"/>
      <c r="BA573" s="29"/>
      <c r="BB573" s="29"/>
      <c r="BC573" s="30"/>
      <c r="BD573" s="31">
        <f t="shared" si="126"/>
        <v>2223</v>
      </c>
      <c r="BE573" s="31"/>
      <c r="BF573" s="30"/>
      <c r="BG573" s="36">
        <v>1</v>
      </c>
      <c r="BH573" s="31">
        <f t="shared" si="130"/>
        <v>0</v>
      </c>
      <c r="BI573" s="31">
        <f t="shared" si="131"/>
        <v>0</v>
      </c>
      <c r="BJ573" s="33">
        <f t="shared" si="132"/>
        <v>0</v>
      </c>
      <c r="BK573" s="30"/>
      <c r="BL573" s="30"/>
      <c r="BM573" s="30"/>
      <c r="BN573" s="30"/>
      <c r="BO573" s="33">
        <f t="shared" si="127"/>
        <v>0</v>
      </c>
      <c r="BP573" s="30">
        <v>3</v>
      </c>
      <c r="BQ573" s="30">
        <v>4</v>
      </c>
      <c r="BR573" s="30"/>
      <c r="BS573" s="30"/>
      <c r="BT573" s="34">
        <f t="shared" si="128"/>
        <v>57</v>
      </c>
      <c r="BU573" s="34"/>
      <c r="BV573" s="34"/>
      <c r="BW573" s="34"/>
      <c r="BX573" s="34"/>
      <c r="BY573" s="30"/>
      <c r="BZ573" s="31">
        <f t="shared" si="129"/>
        <v>171</v>
      </c>
      <c r="CA573" s="31">
        <f t="shared" si="113"/>
        <v>228</v>
      </c>
    </row>
    <row r="574" spans="1:79" ht="63.75" x14ac:dyDescent="0.25">
      <c r="A574" s="17"/>
      <c r="B574" s="2">
        <v>561</v>
      </c>
      <c r="C574" s="18">
        <v>303</v>
      </c>
      <c r="D574" s="18">
        <v>703</v>
      </c>
      <c r="E574" s="19">
        <v>0.35069444444444442</v>
      </c>
      <c r="F574" s="19">
        <v>0.3888888888888889</v>
      </c>
      <c r="G574" s="18" t="s">
        <v>1227</v>
      </c>
      <c r="H574" s="18" t="s">
        <v>290</v>
      </c>
      <c r="I574" s="20">
        <v>23</v>
      </c>
      <c r="J574" s="21" t="s">
        <v>104</v>
      </c>
      <c r="K574" s="22">
        <v>13</v>
      </c>
      <c r="L574" s="23">
        <f t="shared" si="118"/>
        <v>299</v>
      </c>
      <c r="M574" s="24" t="s">
        <v>794</v>
      </c>
      <c r="N574" s="25" t="s">
        <v>832</v>
      </c>
      <c r="O574" s="25">
        <v>31</v>
      </c>
      <c r="P574" s="25" t="s">
        <v>833</v>
      </c>
      <c r="Q574" s="25">
        <v>57</v>
      </c>
      <c r="R574" s="25" t="s">
        <v>795</v>
      </c>
      <c r="S574" s="35">
        <v>42</v>
      </c>
      <c r="T574" s="26">
        <v>3790</v>
      </c>
      <c r="U574" s="26" t="s">
        <v>1201</v>
      </c>
      <c r="V574" s="26">
        <v>1</v>
      </c>
      <c r="W574" s="26" t="s">
        <v>300</v>
      </c>
      <c r="X574" s="27">
        <v>44562</v>
      </c>
      <c r="Y574" s="27">
        <v>44815</v>
      </c>
      <c r="Z574" s="27">
        <v>45101</v>
      </c>
      <c r="AA574" s="27">
        <v>45169</v>
      </c>
      <c r="AB574" s="62" t="s">
        <v>291</v>
      </c>
      <c r="AC574" s="62"/>
      <c r="AD574" s="28"/>
      <c r="AE574" s="28" t="s">
        <v>90</v>
      </c>
      <c r="AF574" s="28"/>
      <c r="AG574" s="28"/>
      <c r="AH574" s="28"/>
      <c r="AI574" s="28"/>
      <c r="AJ574" s="28"/>
      <c r="AK574" s="28"/>
      <c r="AL574" s="28"/>
      <c r="AM574" s="28"/>
      <c r="AN574" s="28" t="s">
        <v>90</v>
      </c>
      <c r="AO574" s="28"/>
      <c r="AP574" s="28"/>
      <c r="AQ574" s="28"/>
      <c r="AR574" s="28"/>
      <c r="AS574" s="28"/>
      <c r="AT574" s="28"/>
      <c r="AU574" s="28"/>
      <c r="AV574" s="28"/>
      <c r="AW574" s="28"/>
      <c r="AX574" s="29">
        <v>69</v>
      </c>
      <c r="AY574" s="30"/>
      <c r="AZ574" s="30"/>
      <c r="BA574" s="29"/>
      <c r="BB574" s="29"/>
      <c r="BC574" s="30"/>
      <c r="BD574" s="31">
        <f t="shared" si="126"/>
        <v>897</v>
      </c>
      <c r="BE574" s="31"/>
      <c r="BF574" s="30"/>
      <c r="BG574" s="36">
        <v>1</v>
      </c>
      <c r="BH574" s="31">
        <f t="shared" si="130"/>
        <v>0</v>
      </c>
      <c r="BI574" s="31">
        <f t="shared" si="131"/>
        <v>0</v>
      </c>
      <c r="BJ574" s="33">
        <f t="shared" si="132"/>
        <v>0</v>
      </c>
      <c r="BK574" s="30"/>
      <c r="BL574" s="30"/>
      <c r="BM574" s="30"/>
      <c r="BN574" s="30"/>
      <c r="BO574" s="33">
        <f t="shared" si="127"/>
        <v>0</v>
      </c>
      <c r="BP574" s="30">
        <v>2</v>
      </c>
      <c r="BQ574" s="30">
        <v>0</v>
      </c>
      <c r="BR574" s="30"/>
      <c r="BS574" s="30"/>
      <c r="BT574" s="34">
        <f t="shared" si="128"/>
        <v>69</v>
      </c>
      <c r="BU574" s="34"/>
      <c r="BV574" s="34"/>
      <c r="BW574" s="34"/>
      <c r="BX574" s="34"/>
      <c r="BY574" s="30"/>
      <c r="BZ574" s="31">
        <f t="shared" si="129"/>
        <v>138</v>
      </c>
      <c r="CA574" s="31">
        <f t="shared" si="113"/>
        <v>0</v>
      </c>
    </row>
    <row r="575" spans="1:79" ht="63.75" x14ac:dyDescent="0.25">
      <c r="A575" s="17"/>
      <c r="B575" s="2">
        <v>562</v>
      </c>
      <c r="C575" s="18">
        <v>303</v>
      </c>
      <c r="D575" s="18">
        <v>703</v>
      </c>
      <c r="E575" s="19">
        <v>0.35069444444444442</v>
      </c>
      <c r="F575" s="19">
        <v>0.3888888888888889</v>
      </c>
      <c r="G575" s="18" t="s">
        <v>1227</v>
      </c>
      <c r="H575" s="18" t="s">
        <v>441</v>
      </c>
      <c r="I575" s="20">
        <v>23</v>
      </c>
      <c r="J575" s="21" t="s">
        <v>104</v>
      </c>
      <c r="K575" s="22">
        <v>47</v>
      </c>
      <c r="L575" s="23">
        <f t="shared" si="118"/>
        <v>1081</v>
      </c>
      <c r="M575" s="24" t="s">
        <v>794</v>
      </c>
      <c r="N575" s="25" t="s">
        <v>832</v>
      </c>
      <c r="O575" s="25">
        <v>31</v>
      </c>
      <c r="P575" s="25" t="s">
        <v>833</v>
      </c>
      <c r="Q575" s="25">
        <v>57</v>
      </c>
      <c r="R575" s="25" t="s">
        <v>795</v>
      </c>
      <c r="S575" s="35">
        <v>42</v>
      </c>
      <c r="T575" s="26">
        <v>3790</v>
      </c>
      <c r="U575" s="26" t="s">
        <v>1201</v>
      </c>
      <c r="V575" s="26">
        <v>1</v>
      </c>
      <c r="W575" s="26" t="s">
        <v>300</v>
      </c>
      <c r="X575" s="27">
        <v>44816</v>
      </c>
      <c r="Y575" s="27">
        <v>45100</v>
      </c>
      <c r="Z575" s="27"/>
      <c r="AA575" s="27"/>
      <c r="AB575" s="62" t="s">
        <v>289</v>
      </c>
      <c r="AC575" s="62"/>
      <c r="AD575" s="28" t="s">
        <v>90</v>
      </c>
      <c r="AE575" s="28"/>
      <c r="AF575" s="28"/>
      <c r="AG575" s="28"/>
      <c r="AH575" s="28"/>
      <c r="AI575" s="28"/>
      <c r="AJ575" s="28"/>
      <c r="AK575" s="28"/>
      <c r="AL575" s="28"/>
      <c r="AM575" s="28"/>
      <c r="AN575" s="28" t="s">
        <v>90</v>
      </c>
      <c r="AO575" s="28"/>
      <c r="AP575" s="28"/>
      <c r="AQ575" s="28"/>
      <c r="AR575" s="28"/>
      <c r="AS575" s="28"/>
      <c r="AT575" s="28"/>
      <c r="AU575" s="28"/>
      <c r="AV575" s="28"/>
      <c r="AW575" s="28"/>
      <c r="AX575" s="29">
        <v>69</v>
      </c>
      <c r="AY575" s="30"/>
      <c r="AZ575" s="30"/>
      <c r="BA575" s="29"/>
      <c r="BB575" s="29"/>
      <c r="BC575" s="30"/>
      <c r="BD575" s="31">
        <f t="shared" si="126"/>
        <v>3243</v>
      </c>
      <c r="BE575" s="31"/>
      <c r="BF575" s="30"/>
      <c r="BG575" s="36">
        <v>1</v>
      </c>
      <c r="BH575" s="31">
        <f t="shared" si="130"/>
        <v>0</v>
      </c>
      <c r="BI575" s="31">
        <f t="shared" si="131"/>
        <v>0</v>
      </c>
      <c r="BJ575" s="33">
        <f t="shared" si="132"/>
        <v>0</v>
      </c>
      <c r="BK575" s="30"/>
      <c r="BL575" s="30"/>
      <c r="BM575" s="30"/>
      <c r="BN575" s="30"/>
      <c r="BO575" s="33">
        <f t="shared" si="127"/>
        <v>0</v>
      </c>
      <c r="BP575" s="30">
        <v>2</v>
      </c>
      <c r="BQ575" s="30">
        <v>5</v>
      </c>
      <c r="BR575" s="30"/>
      <c r="BS575" s="30"/>
      <c r="BT575" s="34">
        <f t="shared" si="128"/>
        <v>69</v>
      </c>
      <c r="BU575" s="34"/>
      <c r="BV575" s="34"/>
      <c r="BW575" s="34"/>
      <c r="BX575" s="34"/>
      <c r="BY575" s="30"/>
      <c r="BZ575" s="31">
        <f t="shared" si="129"/>
        <v>138</v>
      </c>
      <c r="CA575" s="31">
        <f t="shared" si="113"/>
        <v>345</v>
      </c>
    </row>
    <row r="576" spans="1:79" ht="76.5" x14ac:dyDescent="0.25">
      <c r="A576" s="17"/>
      <c r="B576" s="2">
        <v>563</v>
      </c>
      <c r="C576" s="18">
        <v>303</v>
      </c>
      <c r="D576" s="18">
        <v>541</v>
      </c>
      <c r="E576" s="19">
        <v>0.3576388888888889</v>
      </c>
      <c r="F576" s="19">
        <v>0.38541666666666669</v>
      </c>
      <c r="G576" s="18" t="s">
        <v>1228</v>
      </c>
      <c r="H576" s="18" t="s">
        <v>359</v>
      </c>
      <c r="I576" s="20">
        <v>20</v>
      </c>
      <c r="J576" s="21" t="s">
        <v>541</v>
      </c>
      <c r="K576" s="22">
        <v>29</v>
      </c>
      <c r="L576" s="23">
        <f t="shared" si="118"/>
        <v>580</v>
      </c>
      <c r="M576" s="24" t="s">
        <v>794</v>
      </c>
      <c r="N576" s="25" t="s">
        <v>1229</v>
      </c>
      <c r="O576" s="25">
        <v>21</v>
      </c>
      <c r="P576" s="25" t="s">
        <v>1198</v>
      </c>
      <c r="Q576" s="25">
        <v>23</v>
      </c>
      <c r="R576" s="25" t="s">
        <v>1200</v>
      </c>
      <c r="S576" s="35">
        <v>23</v>
      </c>
      <c r="T576" s="26">
        <v>3790</v>
      </c>
      <c r="U576" s="26" t="s">
        <v>1201</v>
      </c>
      <c r="V576" s="26" t="s">
        <v>655</v>
      </c>
      <c r="W576" s="26" t="s">
        <v>656</v>
      </c>
      <c r="X576" s="27">
        <v>44816</v>
      </c>
      <c r="Y576" s="27">
        <v>45100</v>
      </c>
      <c r="Z576" s="27"/>
      <c r="AA576" s="27"/>
      <c r="AB576" s="26" t="s">
        <v>360</v>
      </c>
      <c r="AC576" s="26"/>
      <c r="AD576" s="28" t="s">
        <v>90</v>
      </c>
      <c r="AE576" s="28"/>
      <c r="AF576" s="28" t="s">
        <v>90</v>
      </c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 t="s">
        <v>90</v>
      </c>
      <c r="AS576" s="28" t="s">
        <v>90</v>
      </c>
      <c r="AT576" s="28" t="s">
        <v>90</v>
      </c>
      <c r="AU576" s="28" t="s">
        <v>90</v>
      </c>
      <c r="AV576" s="28" t="s">
        <v>90</v>
      </c>
      <c r="AW576" s="28" t="s">
        <v>90</v>
      </c>
      <c r="AX576" s="29">
        <v>77.63</v>
      </c>
      <c r="AY576" s="30"/>
      <c r="AZ576" s="30"/>
      <c r="BA576" s="29"/>
      <c r="BB576" s="29"/>
      <c r="BC576" s="30"/>
      <c r="BD576" s="31">
        <f t="shared" si="126"/>
        <v>2251.27</v>
      </c>
      <c r="BE576" s="31"/>
      <c r="BF576" s="30"/>
      <c r="BG576" s="36">
        <v>1</v>
      </c>
      <c r="BH576" s="31">
        <f t="shared" si="130"/>
        <v>0</v>
      </c>
      <c r="BI576" s="31">
        <f t="shared" si="131"/>
        <v>0</v>
      </c>
      <c r="BJ576" s="33">
        <f t="shared" si="132"/>
        <v>0</v>
      </c>
      <c r="BK576" s="30"/>
      <c r="BL576" s="30"/>
      <c r="BM576" s="30"/>
      <c r="BN576" s="30"/>
      <c r="BO576" s="33">
        <f t="shared" si="127"/>
        <v>0</v>
      </c>
      <c r="BP576" s="30">
        <v>0</v>
      </c>
      <c r="BQ576" s="30">
        <v>1</v>
      </c>
      <c r="BR576" s="30"/>
      <c r="BS576" s="30"/>
      <c r="BT576" s="34">
        <f t="shared" si="128"/>
        <v>77.63</v>
      </c>
      <c r="BU576" s="34"/>
      <c r="BV576" s="34"/>
      <c r="BW576" s="34"/>
      <c r="BX576" s="34"/>
      <c r="BY576" s="30"/>
      <c r="BZ576" s="31">
        <f t="shared" si="129"/>
        <v>0</v>
      </c>
      <c r="CA576" s="31">
        <f t="shared" si="113"/>
        <v>77.63</v>
      </c>
    </row>
    <row r="577" spans="1:79" ht="67.5" x14ac:dyDescent="0.25">
      <c r="A577" s="17"/>
      <c r="B577" s="2">
        <v>564</v>
      </c>
      <c r="C577" s="18">
        <v>303</v>
      </c>
      <c r="D577" s="18">
        <v>551</v>
      </c>
      <c r="E577" s="19">
        <v>0.36458333333333331</v>
      </c>
      <c r="F577" s="19">
        <v>0.38263888888888892</v>
      </c>
      <c r="G577" s="18" t="s">
        <v>1230</v>
      </c>
      <c r="H577" s="18" t="s">
        <v>327</v>
      </c>
      <c r="I577" s="20">
        <v>19</v>
      </c>
      <c r="J577" s="21" t="s">
        <v>516</v>
      </c>
      <c r="K577" s="22">
        <v>67</v>
      </c>
      <c r="L577" s="23">
        <f t="shared" si="118"/>
        <v>1273</v>
      </c>
      <c r="M577" s="24" t="s">
        <v>1172</v>
      </c>
      <c r="N577" s="25" t="s">
        <v>1173</v>
      </c>
      <c r="O577" s="25">
        <v>15</v>
      </c>
      <c r="P577" s="25" t="s">
        <v>1174</v>
      </c>
      <c r="Q577" s="25">
        <v>9</v>
      </c>
      <c r="R577" s="25" t="s">
        <v>1175</v>
      </c>
      <c r="S577" s="35">
        <v>9</v>
      </c>
      <c r="T577" s="26">
        <v>3895</v>
      </c>
      <c r="U577" s="26" t="s">
        <v>1176</v>
      </c>
      <c r="V577" s="26" t="s">
        <v>1219</v>
      </c>
      <c r="W577" s="26" t="s">
        <v>1220</v>
      </c>
      <c r="X577" s="27">
        <v>44562</v>
      </c>
      <c r="Y577" s="27">
        <v>44815</v>
      </c>
      <c r="Z577" s="27">
        <v>45101</v>
      </c>
      <c r="AA577" s="27">
        <v>45169</v>
      </c>
      <c r="AB577" s="28" t="s">
        <v>89</v>
      </c>
      <c r="AC577" s="28"/>
      <c r="AD577" s="28"/>
      <c r="AE577" s="28" t="s">
        <v>90</v>
      </c>
      <c r="AF577" s="28" t="s">
        <v>90</v>
      </c>
      <c r="AG577" s="28"/>
      <c r="AH577" s="28" t="s">
        <v>90</v>
      </c>
      <c r="AI577" s="28" t="s">
        <v>90</v>
      </c>
      <c r="AJ577" s="28" t="s">
        <v>90</v>
      </c>
      <c r="AK577" s="28" t="s">
        <v>90</v>
      </c>
      <c r="AL577" s="28" t="s">
        <v>90</v>
      </c>
      <c r="AM577" s="28" t="s">
        <v>90</v>
      </c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9">
        <v>57</v>
      </c>
      <c r="AY577" s="30"/>
      <c r="AZ577" s="30"/>
      <c r="BA577" s="29"/>
      <c r="BB577" s="29"/>
      <c r="BC577" s="30"/>
      <c r="BD577" s="31">
        <f t="shared" si="126"/>
        <v>3819</v>
      </c>
      <c r="BE577" s="31"/>
      <c r="BF577" s="30"/>
      <c r="BG577" s="36">
        <v>1</v>
      </c>
      <c r="BH577" s="31">
        <f t="shared" si="130"/>
        <v>0</v>
      </c>
      <c r="BI577" s="31">
        <f t="shared" si="131"/>
        <v>0</v>
      </c>
      <c r="BJ577" s="33">
        <f t="shared" si="132"/>
        <v>0</v>
      </c>
      <c r="BK577" s="30"/>
      <c r="BL577" s="30"/>
      <c r="BM577" s="30"/>
      <c r="BN577" s="30"/>
      <c r="BO577" s="33">
        <f t="shared" si="127"/>
        <v>0</v>
      </c>
      <c r="BP577" s="30">
        <v>9</v>
      </c>
      <c r="BQ577" s="30">
        <v>0</v>
      </c>
      <c r="BR577" s="30"/>
      <c r="BS577" s="30"/>
      <c r="BT577" s="34">
        <f t="shared" si="128"/>
        <v>57</v>
      </c>
      <c r="BU577" s="34"/>
      <c r="BV577" s="34"/>
      <c r="BW577" s="34"/>
      <c r="BX577" s="34"/>
      <c r="BY577" s="30"/>
      <c r="BZ577" s="31">
        <f t="shared" si="129"/>
        <v>513</v>
      </c>
      <c r="CA577" s="31">
        <f t="shared" si="113"/>
        <v>0</v>
      </c>
    </row>
    <row r="578" spans="1:79" ht="34.5" x14ac:dyDescent="0.25">
      <c r="A578" s="17"/>
      <c r="B578" s="2">
        <v>565</v>
      </c>
      <c r="C578" s="48">
        <v>303</v>
      </c>
      <c r="D578" s="48">
        <v>530</v>
      </c>
      <c r="E578" s="49">
        <v>0.37152777777777773</v>
      </c>
      <c r="F578" s="49">
        <v>0.42569444444444443</v>
      </c>
      <c r="G578" s="51" t="s">
        <v>1231</v>
      </c>
      <c r="H578" s="18" t="s">
        <v>290</v>
      </c>
      <c r="I578" s="48">
        <v>39</v>
      </c>
      <c r="J578" s="52">
        <v>30</v>
      </c>
      <c r="K578" s="22">
        <v>13</v>
      </c>
      <c r="L578" s="23">
        <f t="shared" si="118"/>
        <v>507</v>
      </c>
      <c r="M578" s="24" t="s">
        <v>1222</v>
      </c>
      <c r="N578" s="25" t="s">
        <v>1232</v>
      </c>
      <c r="O578" s="25">
        <v>33</v>
      </c>
      <c r="P578" s="25" t="s">
        <v>1186</v>
      </c>
      <c r="Q578" s="25">
        <v>55</v>
      </c>
      <c r="R578" s="17" t="s">
        <v>1187</v>
      </c>
      <c r="S578" s="35">
        <v>55</v>
      </c>
      <c r="T578" s="26">
        <v>1</v>
      </c>
      <c r="U578" s="26" t="s">
        <v>1233</v>
      </c>
      <c r="V578" s="26">
        <v>3870</v>
      </c>
      <c r="W578" s="26" t="s">
        <v>1234</v>
      </c>
      <c r="X578" s="27">
        <v>44562</v>
      </c>
      <c r="Y578" s="27">
        <v>44815</v>
      </c>
      <c r="Z578" s="27">
        <v>45101</v>
      </c>
      <c r="AA578" s="27">
        <v>45169</v>
      </c>
      <c r="AB578" s="62" t="s">
        <v>291</v>
      </c>
      <c r="AC578" s="62"/>
      <c r="AD578" s="28"/>
      <c r="AE578" s="28" t="s">
        <v>90</v>
      </c>
      <c r="AF578" s="28"/>
      <c r="AG578" s="28"/>
      <c r="AH578" s="28"/>
      <c r="AI578" s="28"/>
      <c r="AJ578" s="28"/>
      <c r="AK578" s="28"/>
      <c r="AL578" s="28"/>
      <c r="AM578" s="28"/>
      <c r="AN578" s="28" t="s">
        <v>90</v>
      </c>
      <c r="AO578" s="28"/>
      <c r="AP578" s="28"/>
      <c r="AQ578" s="28"/>
      <c r="AR578" s="28"/>
      <c r="AS578" s="28"/>
      <c r="AT578" s="28"/>
      <c r="AU578" s="28"/>
      <c r="AV578" s="28"/>
      <c r="AW578" s="28"/>
      <c r="AX578" s="30"/>
      <c r="AY578" s="30"/>
      <c r="AZ578" s="30"/>
      <c r="BA578" s="55" t="s">
        <v>1222</v>
      </c>
      <c r="BB578" s="55"/>
      <c r="BC578" s="30"/>
      <c r="BD578" s="31">
        <f t="shared" si="126"/>
        <v>0</v>
      </c>
      <c r="BE578" s="30"/>
      <c r="BF578" s="30"/>
      <c r="BG578" s="36">
        <v>1</v>
      </c>
      <c r="BH578" s="30"/>
      <c r="BI578" s="31"/>
      <c r="BJ578" s="30"/>
      <c r="BK578" s="30"/>
      <c r="BL578" s="30"/>
      <c r="BM578" s="30"/>
      <c r="BN578" s="30"/>
      <c r="BO578" s="33">
        <f t="shared" si="127"/>
        <v>0</v>
      </c>
      <c r="BP578" s="30">
        <v>2</v>
      </c>
      <c r="BQ578" s="30">
        <v>0</v>
      </c>
      <c r="BR578" s="30"/>
      <c r="BS578" s="30"/>
      <c r="BT578" s="34">
        <f t="shared" si="128"/>
        <v>0</v>
      </c>
      <c r="BU578" s="34" t="s">
        <v>291</v>
      </c>
      <c r="BV578" s="30">
        <v>2</v>
      </c>
      <c r="BW578" s="30">
        <v>0</v>
      </c>
      <c r="BX578" s="34">
        <v>350</v>
      </c>
      <c r="BY578" s="30"/>
      <c r="BZ578" s="31">
        <f t="shared" si="129"/>
        <v>700</v>
      </c>
      <c r="CA578" s="31">
        <f t="shared" si="113"/>
        <v>0</v>
      </c>
    </row>
    <row r="579" spans="1:79" ht="67.5" x14ac:dyDescent="0.25">
      <c r="A579" s="17"/>
      <c r="B579" s="2">
        <v>566</v>
      </c>
      <c r="C579" s="18">
        <v>303</v>
      </c>
      <c r="D579" s="18">
        <v>552</v>
      </c>
      <c r="E579" s="19">
        <v>0.39930555555555558</v>
      </c>
      <c r="F579" s="19">
        <v>0.41736111111111113</v>
      </c>
      <c r="G579" s="18" t="s">
        <v>1218</v>
      </c>
      <c r="H579" s="18" t="s">
        <v>327</v>
      </c>
      <c r="I579" s="20">
        <v>19</v>
      </c>
      <c r="J579" s="21" t="s">
        <v>516</v>
      </c>
      <c r="K579" s="22">
        <v>67</v>
      </c>
      <c r="L579" s="23">
        <f t="shared" si="118"/>
        <v>1273</v>
      </c>
      <c r="M579" s="24" t="s">
        <v>1172</v>
      </c>
      <c r="N579" s="25" t="s">
        <v>1173</v>
      </c>
      <c r="O579" s="25">
        <v>15</v>
      </c>
      <c r="P579" s="25" t="s">
        <v>1174</v>
      </c>
      <c r="Q579" s="25">
        <v>9</v>
      </c>
      <c r="R579" s="25" t="s">
        <v>1175</v>
      </c>
      <c r="S579" s="35">
        <v>9</v>
      </c>
      <c r="T579" s="26" t="s">
        <v>1219</v>
      </c>
      <c r="U579" s="26" t="s">
        <v>1220</v>
      </c>
      <c r="V579" s="26">
        <v>3895</v>
      </c>
      <c r="W579" s="26" t="s">
        <v>1176</v>
      </c>
      <c r="X579" s="27">
        <v>44562</v>
      </c>
      <c r="Y579" s="27">
        <v>44815</v>
      </c>
      <c r="Z579" s="27">
        <v>45101</v>
      </c>
      <c r="AA579" s="27">
        <v>45169</v>
      </c>
      <c r="AB579" s="28" t="s">
        <v>89</v>
      </c>
      <c r="AC579" s="28"/>
      <c r="AD579" s="28"/>
      <c r="AE579" s="28" t="s">
        <v>90</v>
      </c>
      <c r="AF579" s="28" t="s">
        <v>90</v>
      </c>
      <c r="AG579" s="28"/>
      <c r="AH579" s="28" t="s">
        <v>90</v>
      </c>
      <c r="AI579" s="28" t="s">
        <v>90</v>
      </c>
      <c r="AJ579" s="28" t="s">
        <v>90</v>
      </c>
      <c r="AK579" s="28" t="s">
        <v>90</v>
      </c>
      <c r="AL579" s="28" t="s">
        <v>90</v>
      </c>
      <c r="AM579" s="28" t="s">
        <v>90</v>
      </c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9">
        <v>57</v>
      </c>
      <c r="AY579" s="30"/>
      <c r="AZ579" s="30"/>
      <c r="BA579" s="29"/>
      <c r="BB579" s="29"/>
      <c r="BC579" s="30"/>
      <c r="BD579" s="31">
        <f t="shared" si="126"/>
        <v>3819</v>
      </c>
      <c r="BE579" s="31"/>
      <c r="BF579" s="30"/>
      <c r="BG579" s="36">
        <v>1</v>
      </c>
      <c r="BH579" s="31">
        <f t="shared" ref="BH579:BH593" si="133">IF(AND((AX579/I579)&lt;2,BG579=1),(I579*2)-AX579,0)</f>
        <v>0</v>
      </c>
      <c r="BI579" s="31">
        <f t="shared" ref="BI579:BI593" si="134">IF(AND((AX579/I579)&lt;3,BG579=2),(I579*3)-AX579,0)</f>
        <v>0</v>
      </c>
      <c r="BJ579" s="33">
        <f t="shared" ref="BJ579:BJ593" si="135">(BH579+BI579)*K579</f>
        <v>0</v>
      </c>
      <c r="BK579" s="30"/>
      <c r="BL579" s="30"/>
      <c r="BM579" s="30"/>
      <c r="BN579" s="30"/>
      <c r="BO579" s="33">
        <f t="shared" si="127"/>
        <v>0</v>
      </c>
      <c r="BP579" s="30">
        <v>9</v>
      </c>
      <c r="BQ579" s="30">
        <v>0</v>
      </c>
      <c r="BR579" s="30"/>
      <c r="BS579" s="30"/>
      <c r="BT579" s="34">
        <f t="shared" si="128"/>
        <v>57</v>
      </c>
      <c r="BU579" s="34"/>
      <c r="BV579" s="34"/>
      <c r="BW579" s="34"/>
      <c r="BX579" s="34"/>
      <c r="BY579" s="30"/>
      <c r="BZ579" s="31">
        <f t="shared" si="129"/>
        <v>513</v>
      </c>
      <c r="CA579" s="31">
        <f t="shared" ref="CA579:CA642" si="136">(BT579*BQ579)+(BW579*BX579)</f>
        <v>0</v>
      </c>
    </row>
    <row r="580" spans="1:79" ht="38.25" x14ac:dyDescent="0.25">
      <c r="A580" s="17"/>
      <c r="B580" s="2">
        <v>567</v>
      </c>
      <c r="C580" s="18">
        <v>303</v>
      </c>
      <c r="D580" s="18">
        <v>474</v>
      </c>
      <c r="E580" s="19">
        <v>0.47013888888888888</v>
      </c>
      <c r="F580" s="19">
        <v>0.49722222222222223</v>
      </c>
      <c r="G580" s="18" t="s">
        <v>1235</v>
      </c>
      <c r="H580" s="18" t="s">
        <v>352</v>
      </c>
      <c r="I580" s="20">
        <v>16</v>
      </c>
      <c r="J580" s="40">
        <v>50</v>
      </c>
      <c r="K580" s="22">
        <v>55</v>
      </c>
      <c r="L580" s="23">
        <f t="shared" si="118"/>
        <v>880</v>
      </c>
      <c r="M580" s="24" t="s">
        <v>1222</v>
      </c>
      <c r="N580" s="25" t="s">
        <v>1185</v>
      </c>
      <c r="O580" s="25">
        <v>58</v>
      </c>
      <c r="P580" s="25" t="s">
        <v>1186</v>
      </c>
      <c r="Q580" s="25">
        <v>55</v>
      </c>
      <c r="R580" s="17" t="s">
        <v>1187</v>
      </c>
      <c r="S580" s="35">
        <v>55</v>
      </c>
      <c r="T580" s="26">
        <v>3770</v>
      </c>
      <c r="U580" s="26" t="s">
        <v>1209</v>
      </c>
      <c r="V580" s="26">
        <v>3870</v>
      </c>
      <c r="W580" s="26" t="s">
        <v>1223</v>
      </c>
      <c r="X580" s="27">
        <v>44562</v>
      </c>
      <c r="Y580" s="27">
        <v>44815</v>
      </c>
      <c r="Z580" s="27">
        <v>45101</v>
      </c>
      <c r="AA580" s="27">
        <v>45169</v>
      </c>
      <c r="AB580" s="26" t="s">
        <v>353</v>
      </c>
      <c r="AC580" s="26"/>
      <c r="AD580" s="28"/>
      <c r="AE580" s="28" t="s">
        <v>90</v>
      </c>
      <c r="AF580" s="28" t="s">
        <v>90</v>
      </c>
      <c r="AG580" s="28"/>
      <c r="AH580" s="28" t="s">
        <v>90</v>
      </c>
      <c r="AI580" s="28" t="s">
        <v>90</v>
      </c>
      <c r="AJ580" s="28" t="s">
        <v>90</v>
      </c>
      <c r="AK580" s="28" t="s">
        <v>90</v>
      </c>
      <c r="AL580" s="28" t="s">
        <v>90</v>
      </c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9">
        <v>77.58</v>
      </c>
      <c r="AY580" s="30"/>
      <c r="AZ580" s="30"/>
      <c r="BA580" s="29"/>
      <c r="BB580" s="29"/>
      <c r="BC580" s="30"/>
      <c r="BD580" s="31">
        <f t="shared" si="126"/>
        <v>4266.8999999999996</v>
      </c>
      <c r="BE580" s="31"/>
      <c r="BF580" s="30"/>
      <c r="BG580" s="32">
        <v>2</v>
      </c>
      <c r="BH580" s="31">
        <f t="shared" si="133"/>
        <v>0</v>
      </c>
      <c r="BI580" s="31">
        <f t="shared" si="134"/>
        <v>0</v>
      </c>
      <c r="BJ580" s="33">
        <f t="shared" si="135"/>
        <v>0</v>
      </c>
      <c r="BK580" s="30"/>
      <c r="BL580" s="30"/>
      <c r="BM580" s="30"/>
      <c r="BN580" s="30"/>
      <c r="BO580" s="33">
        <f t="shared" si="127"/>
        <v>0</v>
      </c>
      <c r="BP580" s="30">
        <v>7</v>
      </c>
      <c r="BQ580" s="30">
        <v>0</v>
      </c>
      <c r="BR580" s="30"/>
      <c r="BS580" s="30"/>
      <c r="BT580" s="34">
        <f t="shared" si="128"/>
        <v>77.58</v>
      </c>
      <c r="BU580" s="34"/>
      <c r="BV580" s="34"/>
      <c r="BW580" s="34"/>
      <c r="BX580" s="34"/>
      <c r="BY580" s="30"/>
      <c r="BZ580" s="31">
        <f t="shared" si="129"/>
        <v>543.05999999999995</v>
      </c>
      <c r="CA580" s="31">
        <f t="shared" si="136"/>
        <v>0</v>
      </c>
    </row>
    <row r="581" spans="1:79" ht="51" x14ac:dyDescent="0.25">
      <c r="A581" s="17"/>
      <c r="B581" s="2">
        <v>568</v>
      </c>
      <c r="C581" s="18">
        <v>303</v>
      </c>
      <c r="D581" s="18">
        <v>246</v>
      </c>
      <c r="E581" s="19">
        <v>0.52083333333333337</v>
      </c>
      <c r="F581" s="19">
        <v>0.55555555555555558</v>
      </c>
      <c r="G581" s="18" t="s">
        <v>1236</v>
      </c>
      <c r="H581" s="18" t="s">
        <v>441</v>
      </c>
      <c r="I581" s="20">
        <v>23</v>
      </c>
      <c r="J581" s="21" t="s">
        <v>104</v>
      </c>
      <c r="K581" s="22">
        <v>47</v>
      </c>
      <c r="L581" s="23">
        <f t="shared" si="118"/>
        <v>1081</v>
      </c>
      <c r="M581" s="24" t="s">
        <v>794</v>
      </c>
      <c r="N581" s="25" t="s">
        <v>832</v>
      </c>
      <c r="O581" s="25">
        <v>31</v>
      </c>
      <c r="P581" s="25" t="s">
        <v>833</v>
      </c>
      <c r="Q581" s="25">
        <v>57</v>
      </c>
      <c r="R581" s="25" t="s">
        <v>795</v>
      </c>
      <c r="S581" s="35">
        <v>42</v>
      </c>
      <c r="T581" s="26">
        <v>1</v>
      </c>
      <c r="U581" s="26" t="s">
        <v>179</v>
      </c>
      <c r="V581" s="26">
        <v>3790</v>
      </c>
      <c r="W581" s="26" t="s">
        <v>1201</v>
      </c>
      <c r="X581" s="27">
        <v>44816</v>
      </c>
      <c r="Y581" s="27">
        <v>45100</v>
      </c>
      <c r="Z581" s="27"/>
      <c r="AA581" s="27"/>
      <c r="AB581" s="62" t="s">
        <v>289</v>
      </c>
      <c r="AC581" s="62"/>
      <c r="AD581" s="28" t="s">
        <v>90</v>
      </c>
      <c r="AE581" s="28"/>
      <c r="AF581" s="28"/>
      <c r="AG581" s="28"/>
      <c r="AH581" s="28"/>
      <c r="AI581" s="28"/>
      <c r="AJ581" s="28"/>
      <c r="AK581" s="28"/>
      <c r="AL581" s="28"/>
      <c r="AM581" s="28"/>
      <c r="AN581" s="28" t="s">
        <v>90</v>
      </c>
      <c r="AO581" s="28"/>
      <c r="AP581" s="28"/>
      <c r="AQ581" s="28"/>
      <c r="AR581" s="28"/>
      <c r="AS581" s="28"/>
      <c r="AT581" s="28"/>
      <c r="AU581" s="28"/>
      <c r="AV581" s="28"/>
      <c r="AW581" s="28"/>
      <c r="AX581" s="29">
        <v>69</v>
      </c>
      <c r="AY581" s="30"/>
      <c r="AZ581" s="30"/>
      <c r="BA581" s="29"/>
      <c r="BB581" s="29"/>
      <c r="BC581" s="30"/>
      <c r="BD581" s="31">
        <f t="shared" si="126"/>
        <v>3243</v>
      </c>
      <c r="BE581" s="31"/>
      <c r="BF581" s="30"/>
      <c r="BG581" s="36">
        <v>1</v>
      </c>
      <c r="BH581" s="31">
        <f t="shared" si="133"/>
        <v>0</v>
      </c>
      <c r="BI581" s="31">
        <f t="shared" si="134"/>
        <v>0</v>
      </c>
      <c r="BJ581" s="33">
        <f t="shared" si="135"/>
        <v>0</v>
      </c>
      <c r="BK581" s="30"/>
      <c r="BL581" s="30"/>
      <c r="BM581" s="30"/>
      <c r="BN581" s="30"/>
      <c r="BO581" s="33">
        <f t="shared" si="127"/>
        <v>0</v>
      </c>
      <c r="BP581" s="30">
        <v>2</v>
      </c>
      <c r="BQ581" s="30">
        <v>5</v>
      </c>
      <c r="BR581" s="30"/>
      <c r="BS581" s="30"/>
      <c r="BT581" s="34">
        <f t="shared" si="128"/>
        <v>69</v>
      </c>
      <c r="BU581" s="34"/>
      <c r="BV581" s="34"/>
      <c r="BW581" s="34"/>
      <c r="BX581" s="34"/>
      <c r="BY581" s="30"/>
      <c r="BZ581" s="31">
        <f t="shared" si="129"/>
        <v>138</v>
      </c>
      <c r="CA581" s="31">
        <f t="shared" si="136"/>
        <v>345</v>
      </c>
    </row>
    <row r="582" spans="1:79" ht="76.5" x14ac:dyDescent="0.25">
      <c r="A582" s="17"/>
      <c r="B582" s="2">
        <v>569</v>
      </c>
      <c r="C582" s="18">
        <v>303</v>
      </c>
      <c r="D582" s="18">
        <v>248</v>
      </c>
      <c r="E582" s="19">
        <v>0.52083333333333337</v>
      </c>
      <c r="F582" s="19">
        <v>0.56736111111111109</v>
      </c>
      <c r="G582" s="18" t="s">
        <v>1237</v>
      </c>
      <c r="H582" s="18" t="s">
        <v>290</v>
      </c>
      <c r="I582" s="20">
        <v>32.5</v>
      </c>
      <c r="J582" s="21" t="s">
        <v>104</v>
      </c>
      <c r="K582" s="22">
        <v>13</v>
      </c>
      <c r="L582" s="23">
        <f t="shared" si="118"/>
        <v>422.5</v>
      </c>
      <c r="M582" s="24" t="s">
        <v>794</v>
      </c>
      <c r="N582" s="25" t="s">
        <v>832</v>
      </c>
      <c r="O582" s="25">
        <v>31</v>
      </c>
      <c r="P582" s="25" t="s">
        <v>833</v>
      </c>
      <c r="Q582" s="25">
        <v>57</v>
      </c>
      <c r="R582" s="17"/>
      <c r="S582" s="25"/>
      <c r="T582" s="26">
        <v>1</v>
      </c>
      <c r="U582" s="26" t="s">
        <v>179</v>
      </c>
      <c r="V582" s="26">
        <v>3820</v>
      </c>
      <c r="W582" s="26" t="s">
        <v>1188</v>
      </c>
      <c r="X582" s="27">
        <v>44562</v>
      </c>
      <c r="Y582" s="27">
        <v>44815</v>
      </c>
      <c r="Z582" s="27">
        <v>45101</v>
      </c>
      <c r="AA582" s="27">
        <v>45169</v>
      </c>
      <c r="AB582" s="62" t="s">
        <v>291</v>
      </c>
      <c r="AC582" s="62"/>
      <c r="AD582" s="28"/>
      <c r="AE582" s="28" t="s">
        <v>90</v>
      </c>
      <c r="AF582" s="28"/>
      <c r="AG582" s="28"/>
      <c r="AH582" s="28"/>
      <c r="AI582" s="28"/>
      <c r="AJ582" s="28"/>
      <c r="AK582" s="28"/>
      <c r="AL582" s="28"/>
      <c r="AM582" s="28"/>
      <c r="AN582" s="28" t="s">
        <v>90</v>
      </c>
      <c r="AO582" s="28"/>
      <c r="AP582" s="28"/>
      <c r="AQ582" s="28"/>
      <c r="AR582" s="28"/>
      <c r="AS582" s="28"/>
      <c r="AT582" s="28"/>
      <c r="AU582" s="28"/>
      <c r="AV582" s="28"/>
      <c r="AW582" s="28"/>
      <c r="AX582" s="29">
        <v>97.5</v>
      </c>
      <c r="AY582" s="30"/>
      <c r="AZ582" s="30"/>
      <c r="BA582" s="29"/>
      <c r="BB582" s="29"/>
      <c r="BC582" s="30"/>
      <c r="BD582" s="31">
        <f t="shared" si="126"/>
        <v>1267.5</v>
      </c>
      <c r="BE582" s="31"/>
      <c r="BF582" s="30"/>
      <c r="BG582" s="36">
        <v>1</v>
      </c>
      <c r="BH582" s="31">
        <f t="shared" si="133"/>
        <v>0</v>
      </c>
      <c r="BI582" s="31">
        <f t="shared" si="134"/>
        <v>0</v>
      </c>
      <c r="BJ582" s="33">
        <f t="shared" si="135"/>
        <v>0</v>
      </c>
      <c r="BK582" s="30"/>
      <c r="BL582" s="30"/>
      <c r="BM582" s="30"/>
      <c r="BN582" s="30"/>
      <c r="BO582" s="33">
        <f t="shared" si="127"/>
        <v>0</v>
      </c>
      <c r="BP582" s="30">
        <v>2</v>
      </c>
      <c r="BQ582" s="30">
        <v>0</v>
      </c>
      <c r="BR582" s="30"/>
      <c r="BS582" s="30"/>
      <c r="BT582" s="34">
        <f t="shared" si="128"/>
        <v>97.5</v>
      </c>
      <c r="BU582" s="34"/>
      <c r="BV582" s="34"/>
      <c r="BW582" s="34"/>
      <c r="BX582" s="34"/>
      <c r="BY582" s="30"/>
      <c r="BZ582" s="31">
        <f t="shared" si="129"/>
        <v>195</v>
      </c>
      <c r="CA582" s="31">
        <f t="shared" si="136"/>
        <v>0</v>
      </c>
    </row>
    <row r="583" spans="1:79" ht="51" x14ac:dyDescent="0.25">
      <c r="A583" s="17"/>
      <c r="B583" s="2">
        <v>570</v>
      </c>
      <c r="C583" s="18">
        <v>303</v>
      </c>
      <c r="D583" s="18">
        <v>296</v>
      </c>
      <c r="E583" s="19">
        <v>0.52916666666666667</v>
      </c>
      <c r="F583" s="19">
        <v>0.54652777777777783</v>
      </c>
      <c r="G583" s="18" t="s">
        <v>1238</v>
      </c>
      <c r="H583" s="18" t="s">
        <v>383</v>
      </c>
      <c r="I583" s="20">
        <v>14.5</v>
      </c>
      <c r="J583" s="21" t="s">
        <v>541</v>
      </c>
      <c r="K583" s="22">
        <v>34</v>
      </c>
      <c r="L583" s="23">
        <f t="shared" si="118"/>
        <v>493</v>
      </c>
      <c r="M583" s="24" t="s">
        <v>794</v>
      </c>
      <c r="N583" s="25" t="s">
        <v>1198</v>
      </c>
      <c r="O583" s="25">
        <v>23</v>
      </c>
      <c r="P583" s="25" t="s">
        <v>1199</v>
      </c>
      <c r="Q583" s="25">
        <v>23</v>
      </c>
      <c r="R583" s="25" t="s">
        <v>1200</v>
      </c>
      <c r="S583" s="35">
        <v>23</v>
      </c>
      <c r="T583" s="26" t="s">
        <v>655</v>
      </c>
      <c r="U583" s="26" t="s">
        <v>656</v>
      </c>
      <c r="V583" s="26">
        <v>3740</v>
      </c>
      <c r="W583" s="26" t="s">
        <v>1212</v>
      </c>
      <c r="X583" s="66">
        <v>44816</v>
      </c>
      <c r="Y583" s="66">
        <v>45086</v>
      </c>
      <c r="Z583" s="66"/>
      <c r="AA583" s="66"/>
      <c r="AB583" s="28" t="s">
        <v>382</v>
      </c>
      <c r="AC583" s="28"/>
      <c r="AD583" s="28"/>
      <c r="AE583" s="28"/>
      <c r="AF583" s="28"/>
      <c r="AG583" s="28" t="s">
        <v>90</v>
      </c>
      <c r="AH583" s="28"/>
      <c r="AI583" s="28"/>
      <c r="AJ583" s="28"/>
      <c r="AK583" s="28"/>
      <c r="AL583" s="28"/>
      <c r="AM583" s="28" t="s">
        <v>90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9">
        <v>73.930000000000007</v>
      </c>
      <c r="AY583" s="30"/>
      <c r="AZ583" s="30"/>
      <c r="BA583" s="29"/>
      <c r="BB583" s="29"/>
      <c r="BC583" s="30"/>
      <c r="BD583" s="31">
        <f t="shared" si="126"/>
        <v>2513.6200000000003</v>
      </c>
      <c r="BE583" s="31"/>
      <c r="BF583" s="30"/>
      <c r="BG583" s="36">
        <v>1</v>
      </c>
      <c r="BH583" s="31">
        <f t="shared" si="133"/>
        <v>0</v>
      </c>
      <c r="BI583" s="31">
        <f t="shared" si="134"/>
        <v>0</v>
      </c>
      <c r="BJ583" s="33">
        <f t="shared" si="135"/>
        <v>0</v>
      </c>
      <c r="BK583" s="30"/>
      <c r="BL583" s="30"/>
      <c r="BM583" s="30"/>
      <c r="BN583" s="30"/>
      <c r="BO583" s="33">
        <f t="shared" si="127"/>
        <v>0</v>
      </c>
      <c r="BP583" s="30">
        <v>2</v>
      </c>
      <c r="BQ583" s="30">
        <v>5</v>
      </c>
      <c r="BR583" s="30"/>
      <c r="BS583" s="30"/>
      <c r="BT583" s="34">
        <f t="shared" si="128"/>
        <v>73.930000000000007</v>
      </c>
      <c r="BU583" s="34"/>
      <c r="BV583" s="34"/>
      <c r="BW583" s="34"/>
      <c r="BX583" s="34"/>
      <c r="BY583" s="30"/>
      <c r="BZ583" s="31">
        <f t="shared" si="129"/>
        <v>147.86000000000001</v>
      </c>
      <c r="CA583" s="31">
        <f t="shared" si="136"/>
        <v>369.65000000000003</v>
      </c>
    </row>
    <row r="584" spans="1:79" ht="56.25" x14ac:dyDescent="0.25">
      <c r="A584" s="17"/>
      <c r="B584" s="2">
        <v>571</v>
      </c>
      <c r="C584" s="18">
        <v>303</v>
      </c>
      <c r="D584" s="18">
        <v>550</v>
      </c>
      <c r="E584" s="19">
        <v>0.53611111111111109</v>
      </c>
      <c r="F584" s="19">
        <v>0.55347222222222225</v>
      </c>
      <c r="G584" s="18" t="s">
        <v>1218</v>
      </c>
      <c r="H584" s="18" t="s">
        <v>1225</v>
      </c>
      <c r="I584" s="20">
        <v>19</v>
      </c>
      <c r="J584" s="21">
        <v>14</v>
      </c>
      <c r="K584" s="22">
        <v>39</v>
      </c>
      <c r="L584" s="23">
        <f t="shared" si="118"/>
        <v>741</v>
      </c>
      <c r="M584" s="24" t="s">
        <v>1239</v>
      </c>
      <c r="N584" s="25" t="s">
        <v>1240</v>
      </c>
      <c r="O584" s="25">
        <v>9</v>
      </c>
      <c r="P584" s="25" t="s">
        <v>1241</v>
      </c>
      <c r="Q584" s="25">
        <v>9</v>
      </c>
      <c r="R584" s="17"/>
      <c r="S584" s="25"/>
      <c r="T584" s="26" t="s">
        <v>1219</v>
      </c>
      <c r="U584" s="26" t="s">
        <v>1220</v>
      </c>
      <c r="V584" s="26">
        <v>3895</v>
      </c>
      <c r="W584" s="26" t="s">
        <v>1176</v>
      </c>
      <c r="X584" s="27">
        <v>44816</v>
      </c>
      <c r="Y584" s="27">
        <v>45100</v>
      </c>
      <c r="Z584" s="27"/>
      <c r="AA584" s="27"/>
      <c r="AB584" s="62" t="s">
        <v>1226</v>
      </c>
      <c r="AC584" s="62"/>
      <c r="AD584" s="28" t="s">
        <v>90</v>
      </c>
      <c r="AE584" s="28"/>
      <c r="AF584" s="28" t="s">
        <v>90</v>
      </c>
      <c r="AG584" s="28"/>
      <c r="AH584" s="28"/>
      <c r="AI584" s="28"/>
      <c r="AJ584" s="28"/>
      <c r="AK584" s="28" t="s">
        <v>90</v>
      </c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9">
        <v>57</v>
      </c>
      <c r="AY584" s="30"/>
      <c r="AZ584" s="30"/>
      <c r="BA584" s="29"/>
      <c r="BB584" s="29"/>
      <c r="BC584" s="30"/>
      <c r="BD584" s="31">
        <f t="shared" si="126"/>
        <v>2223</v>
      </c>
      <c r="BE584" s="31"/>
      <c r="BF584" s="30"/>
      <c r="BG584" s="36">
        <v>1</v>
      </c>
      <c r="BH584" s="31">
        <f t="shared" si="133"/>
        <v>0</v>
      </c>
      <c r="BI584" s="31">
        <f t="shared" si="134"/>
        <v>0</v>
      </c>
      <c r="BJ584" s="33">
        <f t="shared" si="135"/>
        <v>0</v>
      </c>
      <c r="BK584" s="30"/>
      <c r="BL584" s="30"/>
      <c r="BM584" s="30"/>
      <c r="BN584" s="30"/>
      <c r="BO584" s="33">
        <f t="shared" si="127"/>
        <v>0</v>
      </c>
      <c r="BP584" s="30">
        <v>3</v>
      </c>
      <c r="BQ584" s="30">
        <v>4</v>
      </c>
      <c r="BR584" s="30"/>
      <c r="BS584" s="30"/>
      <c r="BT584" s="34">
        <f t="shared" si="128"/>
        <v>57</v>
      </c>
      <c r="BU584" s="34"/>
      <c r="BV584" s="34"/>
      <c r="BW584" s="34"/>
      <c r="BX584" s="34"/>
      <c r="BY584" s="30"/>
      <c r="BZ584" s="31">
        <f t="shared" si="129"/>
        <v>171</v>
      </c>
      <c r="CA584" s="31">
        <f t="shared" si="136"/>
        <v>228</v>
      </c>
    </row>
    <row r="585" spans="1:79" ht="51" x14ac:dyDescent="0.25">
      <c r="A585" s="17"/>
      <c r="B585" s="2">
        <v>572</v>
      </c>
      <c r="C585" s="58">
        <v>329</v>
      </c>
      <c r="D585" s="18">
        <v>296</v>
      </c>
      <c r="E585" s="59">
        <v>0.55763888888888891</v>
      </c>
      <c r="F585" s="59">
        <v>0.57500000000000007</v>
      </c>
      <c r="G585" s="18" t="s">
        <v>1238</v>
      </c>
      <c r="H585" s="18" t="s">
        <v>1092</v>
      </c>
      <c r="I585" s="20">
        <v>14.5</v>
      </c>
      <c r="J585" s="21" t="s">
        <v>541</v>
      </c>
      <c r="K585" s="22">
        <v>103</v>
      </c>
      <c r="L585" s="23">
        <f t="shared" si="118"/>
        <v>1493.5</v>
      </c>
      <c r="M585" s="24" t="s">
        <v>794</v>
      </c>
      <c r="N585" s="25" t="s">
        <v>1198</v>
      </c>
      <c r="O585" s="25">
        <v>23</v>
      </c>
      <c r="P585" s="25" t="s">
        <v>1199</v>
      </c>
      <c r="Q585" s="25">
        <v>23</v>
      </c>
      <c r="R585" s="25" t="s">
        <v>1200</v>
      </c>
      <c r="S585" s="35">
        <v>23</v>
      </c>
      <c r="T585" s="26" t="s">
        <v>655</v>
      </c>
      <c r="U585" s="26" t="s">
        <v>656</v>
      </c>
      <c r="V585" s="26">
        <v>3740</v>
      </c>
      <c r="W585" s="26" t="s">
        <v>1212</v>
      </c>
      <c r="X585" s="66">
        <v>44816</v>
      </c>
      <c r="Y585" s="66">
        <v>45086</v>
      </c>
      <c r="Z585" s="66"/>
      <c r="AA585" s="66"/>
      <c r="AB585" s="62" t="s">
        <v>1093</v>
      </c>
      <c r="AC585" s="62"/>
      <c r="AD585" s="28"/>
      <c r="AE585" s="28"/>
      <c r="AF585" s="28"/>
      <c r="AG585" s="28" t="s">
        <v>90</v>
      </c>
      <c r="AH585" s="28" t="s">
        <v>90</v>
      </c>
      <c r="AI585" s="28" t="s">
        <v>90</v>
      </c>
      <c r="AJ585" s="28" t="s">
        <v>90</v>
      </c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9">
        <v>73.930000000000007</v>
      </c>
      <c r="AY585" s="30"/>
      <c r="AZ585" s="30"/>
      <c r="BA585" s="29"/>
      <c r="BB585" s="29"/>
      <c r="BC585" s="30"/>
      <c r="BD585" s="31">
        <f t="shared" si="126"/>
        <v>7614.7900000000009</v>
      </c>
      <c r="BE585" s="31"/>
      <c r="BF585" s="30"/>
      <c r="BG585" s="36">
        <v>1</v>
      </c>
      <c r="BH585" s="31">
        <f t="shared" si="133"/>
        <v>0</v>
      </c>
      <c r="BI585" s="31">
        <f t="shared" si="134"/>
        <v>0</v>
      </c>
      <c r="BJ585" s="33">
        <f t="shared" si="135"/>
        <v>0</v>
      </c>
      <c r="BK585" s="30"/>
      <c r="BL585" s="30"/>
      <c r="BM585" s="30"/>
      <c r="BN585" s="30"/>
      <c r="BO585" s="33">
        <f t="shared" si="127"/>
        <v>0</v>
      </c>
      <c r="BP585" s="30">
        <v>9</v>
      </c>
      <c r="BQ585" s="30">
        <v>12</v>
      </c>
      <c r="BR585" s="30"/>
      <c r="BS585" s="30"/>
      <c r="BT585" s="34">
        <f t="shared" si="128"/>
        <v>73.930000000000007</v>
      </c>
      <c r="BU585" s="34"/>
      <c r="BV585" s="34"/>
      <c r="BW585" s="34"/>
      <c r="BX585" s="34"/>
      <c r="BY585" s="30"/>
      <c r="BZ585" s="31">
        <f t="shared" si="129"/>
        <v>665.37000000000012</v>
      </c>
      <c r="CA585" s="31">
        <f t="shared" si="136"/>
        <v>887.16000000000008</v>
      </c>
    </row>
    <row r="586" spans="1:79" ht="38.25" x14ac:dyDescent="0.25">
      <c r="A586" s="17"/>
      <c r="B586" s="2">
        <v>573</v>
      </c>
      <c r="C586" s="58">
        <v>330</v>
      </c>
      <c r="D586" s="58">
        <v>296</v>
      </c>
      <c r="E586" s="59">
        <v>0.55763888888888891</v>
      </c>
      <c r="F586" s="59">
        <v>0.60347222222222219</v>
      </c>
      <c r="G586" s="18" t="s">
        <v>1242</v>
      </c>
      <c r="H586" s="18" t="s">
        <v>1081</v>
      </c>
      <c r="I586" s="20">
        <v>30</v>
      </c>
      <c r="J586" s="21" t="s">
        <v>541</v>
      </c>
      <c r="K586" s="22">
        <v>70</v>
      </c>
      <c r="L586" s="23">
        <f t="shared" si="118"/>
        <v>2100</v>
      </c>
      <c r="M586" s="24" t="s">
        <v>794</v>
      </c>
      <c r="N586" s="25" t="s">
        <v>1198</v>
      </c>
      <c r="O586" s="25">
        <v>23</v>
      </c>
      <c r="P586" s="25" t="s">
        <v>1199</v>
      </c>
      <c r="Q586" s="25">
        <v>23</v>
      </c>
      <c r="R586" s="25" t="s">
        <v>1200</v>
      </c>
      <c r="S586" s="35">
        <v>23</v>
      </c>
      <c r="T586" s="26" t="s">
        <v>655</v>
      </c>
      <c r="U586" s="26" t="s">
        <v>656</v>
      </c>
      <c r="V586" s="26">
        <v>3790</v>
      </c>
      <c r="W586" s="26" t="s">
        <v>1201</v>
      </c>
      <c r="X586" s="66">
        <v>44816</v>
      </c>
      <c r="Y586" s="66">
        <v>45086</v>
      </c>
      <c r="Z586" s="66"/>
      <c r="AA586" s="66"/>
      <c r="AB586" s="62" t="s">
        <v>1082</v>
      </c>
      <c r="AC586" s="62"/>
      <c r="AD586" s="28"/>
      <c r="AE586" s="28"/>
      <c r="AF586" s="28"/>
      <c r="AG586" s="28" t="s">
        <v>90</v>
      </c>
      <c r="AH586" s="28"/>
      <c r="AI586" s="28"/>
      <c r="AJ586" s="28"/>
      <c r="AK586" s="28" t="s">
        <v>90</v>
      </c>
      <c r="AL586" s="28" t="s">
        <v>90</v>
      </c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9">
        <f>((101.83*34)+(139.49*36))/70</f>
        <v>121.19800000000001</v>
      </c>
      <c r="AY586" s="30"/>
      <c r="AZ586" s="30"/>
      <c r="BA586" s="29"/>
      <c r="BB586" s="29"/>
      <c r="BC586" s="30"/>
      <c r="BD586" s="31">
        <f t="shared" si="126"/>
        <v>8483.86</v>
      </c>
      <c r="BE586" s="31"/>
      <c r="BF586" s="30"/>
      <c r="BG586" s="36">
        <v>1</v>
      </c>
      <c r="BH586" s="31">
        <f t="shared" si="133"/>
        <v>0</v>
      </c>
      <c r="BI586" s="31">
        <f t="shared" si="134"/>
        <v>0</v>
      </c>
      <c r="BJ586" s="33">
        <f t="shared" si="135"/>
        <v>0</v>
      </c>
      <c r="BK586" s="30"/>
      <c r="BL586" s="30"/>
      <c r="BM586" s="30"/>
      <c r="BN586" s="30"/>
      <c r="BO586" s="33">
        <f t="shared" si="127"/>
        <v>0</v>
      </c>
      <c r="BP586" s="30">
        <v>6</v>
      </c>
      <c r="BQ586" s="30">
        <v>8</v>
      </c>
      <c r="BR586" s="30"/>
      <c r="BS586" s="30"/>
      <c r="BT586" s="34">
        <f t="shared" si="128"/>
        <v>121.19800000000001</v>
      </c>
      <c r="BU586" s="34"/>
      <c r="BV586" s="34"/>
      <c r="BW586" s="34"/>
      <c r="BX586" s="34"/>
      <c r="BY586" s="30"/>
      <c r="BZ586" s="31">
        <f t="shared" si="129"/>
        <v>727.1880000000001</v>
      </c>
      <c r="CA586" s="31">
        <f t="shared" si="136"/>
        <v>969.58400000000006</v>
      </c>
    </row>
    <row r="587" spans="1:79" ht="63.75" x14ac:dyDescent="0.25">
      <c r="A587" s="17"/>
      <c r="B587" s="2">
        <v>574</v>
      </c>
      <c r="C587" s="18">
        <v>303</v>
      </c>
      <c r="D587" s="18">
        <v>705</v>
      </c>
      <c r="E587" s="19">
        <v>0.5625</v>
      </c>
      <c r="F587" s="19">
        <v>0.60069444444444442</v>
      </c>
      <c r="G587" s="18" t="s">
        <v>1227</v>
      </c>
      <c r="H587" s="18" t="s">
        <v>441</v>
      </c>
      <c r="I587" s="20">
        <v>23</v>
      </c>
      <c r="J587" s="21" t="s">
        <v>104</v>
      </c>
      <c r="K587" s="22">
        <v>47</v>
      </c>
      <c r="L587" s="23">
        <f t="shared" si="118"/>
        <v>1081</v>
      </c>
      <c r="M587" s="24" t="s">
        <v>794</v>
      </c>
      <c r="N587" s="25" t="s">
        <v>832</v>
      </c>
      <c r="O587" s="25">
        <v>31</v>
      </c>
      <c r="P587" s="25" t="s">
        <v>833</v>
      </c>
      <c r="Q587" s="25">
        <v>57</v>
      </c>
      <c r="R587" s="25" t="s">
        <v>795</v>
      </c>
      <c r="S587" s="35">
        <v>42</v>
      </c>
      <c r="T587" s="26">
        <v>3790</v>
      </c>
      <c r="U587" s="26" t="s">
        <v>1201</v>
      </c>
      <c r="V587" s="26">
        <v>1</v>
      </c>
      <c r="W587" s="26" t="s">
        <v>300</v>
      </c>
      <c r="X587" s="27">
        <v>44816</v>
      </c>
      <c r="Y587" s="27">
        <v>45100</v>
      </c>
      <c r="Z587" s="27"/>
      <c r="AA587" s="27"/>
      <c r="AB587" s="62" t="s">
        <v>289</v>
      </c>
      <c r="AC587" s="62"/>
      <c r="AD587" s="28" t="s">
        <v>90</v>
      </c>
      <c r="AE587" s="28"/>
      <c r="AF587" s="28"/>
      <c r="AG587" s="28"/>
      <c r="AH587" s="28"/>
      <c r="AI587" s="28"/>
      <c r="AJ587" s="28"/>
      <c r="AK587" s="28"/>
      <c r="AL587" s="28"/>
      <c r="AM587" s="28"/>
      <c r="AN587" s="28" t="s">
        <v>90</v>
      </c>
      <c r="AO587" s="28"/>
      <c r="AP587" s="28"/>
      <c r="AQ587" s="28"/>
      <c r="AR587" s="28"/>
      <c r="AS587" s="28"/>
      <c r="AT587" s="28"/>
      <c r="AU587" s="28"/>
      <c r="AV587" s="28"/>
      <c r="AW587" s="28"/>
      <c r="AX587" s="29">
        <v>69</v>
      </c>
      <c r="AY587" s="30"/>
      <c r="AZ587" s="30"/>
      <c r="BA587" s="29"/>
      <c r="BB587" s="29"/>
      <c r="BC587" s="30"/>
      <c r="BD587" s="31">
        <f t="shared" si="126"/>
        <v>3243</v>
      </c>
      <c r="BE587" s="31"/>
      <c r="BF587" s="30"/>
      <c r="BG587" s="36">
        <v>1</v>
      </c>
      <c r="BH587" s="31">
        <f t="shared" si="133"/>
        <v>0</v>
      </c>
      <c r="BI587" s="31">
        <f t="shared" si="134"/>
        <v>0</v>
      </c>
      <c r="BJ587" s="33">
        <f t="shared" si="135"/>
        <v>0</v>
      </c>
      <c r="BK587" s="30"/>
      <c r="BL587" s="30"/>
      <c r="BM587" s="30"/>
      <c r="BN587" s="30"/>
      <c r="BO587" s="33">
        <f t="shared" si="127"/>
        <v>0</v>
      </c>
      <c r="BP587" s="30">
        <v>2</v>
      </c>
      <c r="BQ587" s="30">
        <v>5</v>
      </c>
      <c r="BR587" s="30"/>
      <c r="BS587" s="30"/>
      <c r="BT587" s="34">
        <f t="shared" si="128"/>
        <v>69</v>
      </c>
      <c r="BU587" s="34"/>
      <c r="BV587" s="34"/>
      <c r="BW587" s="34"/>
      <c r="BX587" s="34"/>
      <c r="BY587" s="30"/>
      <c r="BZ587" s="31">
        <f t="shared" si="129"/>
        <v>138</v>
      </c>
      <c r="CA587" s="31">
        <f t="shared" si="136"/>
        <v>345</v>
      </c>
    </row>
    <row r="588" spans="1:79" ht="67.5" x14ac:dyDescent="0.25">
      <c r="A588" s="17"/>
      <c r="B588" s="2">
        <v>575</v>
      </c>
      <c r="C588" s="18">
        <v>303</v>
      </c>
      <c r="D588" s="18">
        <v>544</v>
      </c>
      <c r="E588" s="19">
        <v>0.57430555555555551</v>
      </c>
      <c r="F588" s="19">
        <v>0.60138888888888886</v>
      </c>
      <c r="G588" s="18" t="s">
        <v>1243</v>
      </c>
      <c r="H588" s="18" t="s">
        <v>306</v>
      </c>
      <c r="I588" s="20">
        <v>28</v>
      </c>
      <c r="J588" s="21">
        <v>14</v>
      </c>
      <c r="K588" s="22">
        <v>208</v>
      </c>
      <c r="L588" s="23">
        <f t="shared" si="118"/>
        <v>5824</v>
      </c>
      <c r="M588" s="24" t="s">
        <v>1172</v>
      </c>
      <c r="N588" s="25" t="s">
        <v>1173</v>
      </c>
      <c r="O588" s="25">
        <v>15</v>
      </c>
      <c r="P588" s="25" t="s">
        <v>1174</v>
      </c>
      <c r="Q588" s="25">
        <v>9</v>
      </c>
      <c r="R588" s="25" t="s">
        <v>1175</v>
      </c>
      <c r="S588" s="35">
        <v>9</v>
      </c>
      <c r="T588" s="26" t="s">
        <v>655</v>
      </c>
      <c r="U588" s="26" t="s">
        <v>656</v>
      </c>
      <c r="V588" s="26">
        <v>3895</v>
      </c>
      <c r="W588" s="26" t="s">
        <v>1176</v>
      </c>
      <c r="X588" s="66">
        <v>44816</v>
      </c>
      <c r="Y588" s="66">
        <v>45086</v>
      </c>
      <c r="Z588" s="66"/>
      <c r="AA588" s="66"/>
      <c r="AB588" s="26" t="s">
        <v>309</v>
      </c>
      <c r="AC588" s="26"/>
      <c r="AD588" s="28"/>
      <c r="AE588" s="28"/>
      <c r="AF588" s="28"/>
      <c r="AG588" s="28" t="s">
        <v>90</v>
      </c>
      <c r="AH588" s="28" t="s">
        <v>90</v>
      </c>
      <c r="AI588" s="28" t="s">
        <v>90</v>
      </c>
      <c r="AJ588" s="28" t="s">
        <v>90</v>
      </c>
      <c r="AK588" s="28" t="s">
        <v>90</v>
      </c>
      <c r="AL588" s="28" t="s">
        <v>90</v>
      </c>
      <c r="AM588" s="28" t="s">
        <v>90</v>
      </c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9">
        <v>93.9</v>
      </c>
      <c r="AY588" s="30"/>
      <c r="AZ588" s="30"/>
      <c r="BA588" s="29"/>
      <c r="BB588" s="29"/>
      <c r="BC588" s="30"/>
      <c r="BD588" s="31">
        <f t="shared" si="126"/>
        <v>19531.2</v>
      </c>
      <c r="BE588" s="31"/>
      <c r="BF588" s="30"/>
      <c r="BG588" s="36">
        <v>1</v>
      </c>
      <c r="BH588" s="31">
        <f t="shared" si="133"/>
        <v>0</v>
      </c>
      <c r="BI588" s="31">
        <f t="shared" si="134"/>
        <v>0</v>
      </c>
      <c r="BJ588" s="33">
        <f t="shared" si="135"/>
        <v>0</v>
      </c>
      <c r="BK588" s="30"/>
      <c r="BL588" s="30"/>
      <c r="BM588" s="30"/>
      <c r="BN588" s="30"/>
      <c r="BO588" s="33">
        <f t="shared" si="127"/>
        <v>0</v>
      </c>
      <c r="BP588" s="30">
        <v>17</v>
      </c>
      <c r="BQ588" s="30">
        <v>25</v>
      </c>
      <c r="BR588" s="30"/>
      <c r="BS588" s="30"/>
      <c r="BT588" s="34">
        <f t="shared" si="128"/>
        <v>93.9</v>
      </c>
      <c r="BU588" s="34"/>
      <c r="BV588" s="34"/>
      <c r="BW588" s="34"/>
      <c r="BX588" s="34"/>
      <c r="BY588" s="30"/>
      <c r="BZ588" s="31">
        <f t="shared" si="129"/>
        <v>1596.3000000000002</v>
      </c>
      <c r="CA588" s="31">
        <f t="shared" si="136"/>
        <v>2347.5</v>
      </c>
    </row>
    <row r="589" spans="1:79" ht="56.25" x14ac:dyDescent="0.25">
      <c r="A589" s="17"/>
      <c r="B589" s="2">
        <v>576</v>
      </c>
      <c r="C589" s="18">
        <v>303</v>
      </c>
      <c r="D589" s="18">
        <v>551</v>
      </c>
      <c r="E589" s="19">
        <v>0.59375</v>
      </c>
      <c r="F589" s="59">
        <v>0.60972222222222217</v>
      </c>
      <c r="G589" s="18" t="s">
        <v>1224</v>
      </c>
      <c r="H589" s="18" t="s">
        <v>1225</v>
      </c>
      <c r="I589" s="20">
        <v>19</v>
      </c>
      <c r="J589" s="21">
        <v>14</v>
      </c>
      <c r="K589" s="22">
        <v>39</v>
      </c>
      <c r="L589" s="23">
        <f t="shared" si="118"/>
        <v>741</v>
      </c>
      <c r="M589" s="24" t="s">
        <v>1239</v>
      </c>
      <c r="N589" s="25" t="s">
        <v>1240</v>
      </c>
      <c r="O589" s="25">
        <v>9</v>
      </c>
      <c r="P589" s="25" t="s">
        <v>1241</v>
      </c>
      <c r="Q589" s="25">
        <v>9</v>
      </c>
      <c r="R589" s="17"/>
      <c r="S589" s="25"/>
      <c r="T589" s="26">
        <v>3895</v>
      </c>
      <c r="U589" s="26" t="s">
        <v>1176</v>
      </c>
      <c r="V589" s="26" t="s">
        <v>1177</v>
      </c>
      <c r="W589" s="26" t="s">
        <v>1178</v>
      </c>
      <c r="X589" s="27">
        <v>44816</v>
      </c>
      <c r="Y589" s="27">
        <v>45100</v>
      </c>
      <c r="Z589" s="27"/>
      <c r="AA589" s="27"/>
      <c r="AB589" s="62" t="s">
        <v>1226</v>
      </c>
      <c r="AC589" s="62"/>
      <c r="AD589" s="28" t="s">
        <v>90</v>
      </c>
      <c r="AE589" s="28"/>
      <c r="AF589" s="28" t="s">
        <v>90</v>
      </c>
      <c r="AG589" s="28"/>
      <c r="AH589" s="28"/>
      <c r="AI589" s="28"/>
      <c r="AJ589" s="28"/>
      <c r="AK589" s="28" t="s">
        <v>90</v>
      </c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9">
        <v>57</v>
      </c>
      <c r="AY589" s="30"/>
      <c r="AZ589" s="30"/>
      <c r="BA589" s="29"/>
      <c r="BB589" s="29"/>
      <c r="BC589" s="30"/>
      <c r="BD589" s="31">
        <f t="shared" si="126"/>
        <v>2223</v>
      </c>
      <c r="BE589" s="31"/>
      <c r="BF589" s="30"/>
      <c r="BG589" s="36">
        <v>1</v>
      </c>
      <c r="BH589" s="31">
        <f t="shared" si="133"/>
        <v>0</v>
      </c>
      <c r="BI589" s="31">
        <f t="shared" si="134"/>
        <v>0</v>
      </c>
      <c r="BJ589" s="33">
        <f t="shared" si="135"/>
        <v>0</v>
      </c>
      <c r="BK589" s="30"/>
      <c r="BL589" s="30"/>
      <c r="BM589" s="30"/>
      <c r="BN589" s="30"/>
      <c r="BO589" s="33">
        <f t="shared" si="127"/>
        <v>0</v>
      </c>
      <c r="BP589" s="30">
        <v>3</v>
      </c>
      <c r="BQ589" s="30">
        <v>4</v>
      </c>
      <c r="BR589" s="30"/>
      <c r="BS589" s="30"/>
      <c r="BT589" s="34">
        <f t="shared" si="128"/>
        <v>57</v>
      </c>
      <c r="BU589" s="34"/>
      <c r="BV589" s="34"/>
      <c r="BW589" s="34"/>
      <c r="BX589" s="34"/>
      <c r="BY589" s="30"/>
      <c r="BZ589" s="31">
        <f t="shared" si="129"/>
        <v>171</v>
      </c>
      <c r="CA589" s="31">
        <f t="shared" si="136"/>
        <v>228</v>
      </c>
    </row>
    <row r="590" spans="1:79" ht="76.5" x14ac:dyDescent="0.25">
      <c r="A590" s="17"/>
      <c r="B590" s="2">
        <v>577</v>
      </c>
      <c r="C590" s="18">
        <v>303</v>
      </c>
      <c r="D590" s="18">
        <v>705</v>
      </c>
      <c r="E590" s="19">
        <v>0.60069444444444442</v>
      </c>
      <c r="F590" s="19">
        <v>0.65277777777777779</v>
      </c>
      <c r="G590" s="18" t="s">
        <v>1244</v>
      </c>
      <c r="H590" s="18" t="s">
        <v>290</v>
      </c>
      <c r="I590" s="20">
        <v>32.5</v>
      </c>
      <c r="J590" s="21" t="s">
        <v>104</v>
      </c>
      <c r="K590" s="22">
        <v>13</v>
      </c>
      <c r="L590" s="23">
        <f t="shared" si="118"/>
        <v>422.5</v>
      </c>
      <c r="M590" s="24" t="s">
        <v>794</v>
      </c>
      <c r="N590" s="25" t="s">
        <v>832</v>
      </c>
      <c r="O590" s="25">
        <v>31</v>
      </c>
      <c r="P590" s="25" t="s">
        <v>833</v>
      </c>
      <c r="Q590" s="25">
        <v>57</v>
      </c>
      <c r="R590" s="17"/>
      <c r="S590" s="25"/>
      <c r="T590" s="26">
        <v>3820</v>
      </c>
      <c r="U590" s="26" t="s">
        <v>1188</v>
      </c>
      <c r="V590" s="26">
        <v>1</v>
      </c>
      <c r="W590" s="26" t="s">
        <v>300</v>
      </c>
      <c r="X590" s="27">
        <v>44562</v>
      </c>
      <c r="Y590" s="27">
        <v>44815</v>
      </c>
      <c r="Z590" s="27">
        <v>45101</v>
      </c>
      <c r="AA590" s="27">
        <v>45169</v>
      </c>
      <c r="AB590" s="62" t="s">
        <v>291</v>
      </c>
      <c r="AC590" s="62"/>
      <c r="AD590" s="28"/>
      <c r="AE590" s="28" t="s">
        <v>90</v>
      </c>
      <c r="AF590" s="28"/>
      <c r="AG590" s="28"/>
      <c r="AH590" s="28"/>
      <c r="AI590" s="28"/>
      <c r="AJ590" s="28"/>
      <c r="AK590" s="28"/>
      <c r="AL590" s="28"/>
      <c r="AM590" s="28"/>
      <c r="AN590" s="28" t="s">
        <v>90</v>
      </c>
      <c r="AO590" s="28"/>
      <c r="AP590" s="28"/>
      <c r="AQ590" s="28"/>
      <c r="AR590" s="28"/>
      <c r="AS590" s="28"/>
      <c r="AT590" s="28"/>
      <c r="AU590" s="28"/>
      <c r="AV590" s="28"/>
      <c r="AW590" s="28"/>
      <c r="AX590" s="29">
        <v>97.5</v>
      </c>
      <c r="AY590" s="30"/>
      <c r="AZ590" s="30"/>
      <c r="BA590" s="29"/>
      <c r="BB590" s="29"/>
      <c r="BC590" s="30"/>
      <c r="BD590" s="31">
        <f t="shared" si="126"/>
        <v>1267.5</v>
      </c>
      <c r="BE590" s="31"/>
      <c r="BF590" s="30"/>
      <c r="BG590" s="36">
        <v>1</v>
      </c>
      <c r="BH590" s="31">
        <f t="shared" si="133"/>
        <v>0</v>
      </c>
      <c r="BI590" s="31">
        <f t="shared" si="134"/>
        <v>0</v>
      </c>
      <c r="BJ590" s="33">
        <f t="shared" si="135"/>
        <v>0</v>
      </c>
      <c r="BK590" s="30"/>
      <c r="BL590" s="30"/>
      <c r="BM590" s="30"/>
      <c r="BN590" s="30"/>
      <c r="BO590" s="33">
        <f t="shared" si="127"/>
        <v>0</v>
      </c>
      <c r="BP590" s="30">
        <v>2</v>
      </c>
      <c r="BQ590" s="30">
        <v>0</v>
      </c>
      <c r="BR590" s="30"/>
      <c r="BS590" s="30"/>
      <c r="BT590" s="34">
        <f t="shared" si="128"/>
        <v>97.5</v>
      </c>
      <c r="BU590" s="34"/>
      <c r="BV590" s="34"/>
      <c r="BW590" s="34"/>
      <c r="BX590" s="34"/>
      <c r="BY590" s="30"/>
      <c r="BZ590" s="31">
        <f t="shared" si="129"/>
        <v>195</v>
      </c>
      <c r="CA590" s="31">
        <f t="shared" si="136"/>
        <v>0</v>
      </c>
    </row>
    <row r="591" spans="1:79" ht="56.25" x14ac:dyDescent="0.25">
      <c r="A591" s="17"/>
      <c r="B591" s="2">
        <v>578</v>
      </c>
      <c r="C591" s="18">
        <v>303</v>
      </c>
      <c r="D591" s="18">
        <v>531</v>
      </c>
      <c r="E591" s="19">
        <v>0.61805555555555558</v>
      </c>
      <c r="F591" s="59">
        <v>0.65277777777777779</v>
      </c>
      <c r="G591" s="18" t="s">
        <v>1245</v>
      </c>
      <c r="H591" s="18" t="s">
        <v>422</v>
      </c>
      <c r="I591" s="20">
        <v>26</v>
      </c>
      <c r="J591" s="21" t="s">
        <v>541</v>
      </c>
      <c r="K591" s="22">
        <v>240</v>
      </c>
      <c r="L591" s="23">
        <f t="shared" si="118"/>
        <v>6240</v>
      </c>
      <c r="M591" s="24" t="s">
        <v>794</v>
      </c>
      <c r="N591" s="25" t="s">
        <v>1198</v>
      </c>
      <c r="O591" s="25">
        <v>23</v>
      </c>
      <c r="P591" s="25" t="s">
        <v>1246</v>
      </c>
      <c r="Q591" s="25">
        <v>56</v>
      </c>
      <c r="R591" s="25" t="s">
        <v>833</v>
      </c>
      <c r="S591" s="35">
        <v>57</v>
      </c>
      <c r="T591" s="26">
        <v>3790</v>
      </c>
      <c r="U591" s="26" t="s">
        <v>1201</v>
      </c>
      <c r="V591" s="26">
        <v>1</v>
      </c>
      <c r="W591" s="26" t="s">
        <v>300</v>
      </c>
      <c r="X591" s="27">
        <v>44816</v>
      </c>
      <c r="Y591" s="27">
        <v>45100</v>
      </c>
      <c r="Z591" s="27"/>
      <c r="AA591" s="27"/>
      <c r="AB591" s="26" t="s">
        <v>423</v>
      </c>
      <c r="AC591" s="26"/>
      <c r="AD591" s="28" t="s">
        <v>90</v>
      </c>
      <c r="AE591" s="28"/>
      <c r="AF591" s="28" t="s">
        <v>90</v>
      </c>
      <c r="AG591" s="28"/>
      <c r="AH591" s="28" t="s">
        <v>90</v>
      </c>
      <c r="AI591" s="28" t="s">
        <v>90</v>
      </c>
      <c r="AJ591" s="28" t="s">
        <v>90</v>
      </c>
      <c r="AK591" s="28" t="s">
        <v>90</v>
      </c>
      <c r="AL591" s="28" t="s">
        <v>90</v>
      </c>
      <c r="AM591" s="28" t="s">
        <v>90</v>
      </c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31">
        <f>((101.92*202)+(52*38))/K591</f>
        <v>94.016000000000005</v>
      </c>
      <c r="AY591" s="30"/>
      <c r="AZ591" s="30"/>
      <c r="BA591" s="29"/>
      <c r="BB591" s="29"/>
      <c r="BC591" s="30"/>
      <c r="BD591" s="31">
        <f t="shared" si="126"/>
        <v>22563.84</v>
      </c>
      <c r="BE591" s="31"/>
      <c r="BF591" s="30"/>
      <c r="BG591" s="36">
        <v>1</v>
      </c>
      <c r="BH591" s="31">
        <f t="shared" si="133"/>
        <v>0</v>
      </c>
      <c r="BI591" s="31">
        <f t="shared" si="134"/>
        <v>0</v>
      </c>
      <c r="BJ591" s="33">
        <f t="shared" si="135"/>
        <v>0</v>
      </c>
      <c r="BK591" s="30"/>
      <c r="BL591" s="30"/>
      <c r="BM591" s="30"/>
      <c r="BN591" s="30"/>
      <c r="BO591" s="33">
        <f t="shared" si="127"/>
        <v>0</v>
      </c>
      <c r="BP591" s="30">
        <v>17</v>
      </c>
      <c r="BQ591" s="30">
        <v>26</v>
      </c>
      <c r="BR591" s="30"/>
      <c r="BS591" s="30"/>
      <c r="BT591" s="34">
        <f t="shared" si="128"/>
        <v>94.016000000000005</v>
      </c>
      <c r="BU591" s="34"/>
      <c r="BV591" s="34"/>
      <c r="BW591" s="34"/>
      <c r="BX591" s="34"/>
      <c r="BY591" s="30"/>
      <c r="BZ591" s="31">
        <f t="shared" si="129"/>
        <v>1598.2720000000002</v>
      </c>
      <c r="CA591" s="31">
        <f t="shared" si="136"/>
        <v>2444.4160000000002</v>
      </c>
    </row>
    <row r="592" spans="1:79" ht="51" x14ac:dyDescent="0.25">
      <c r="A592" s="17"/>
      <c r="B592" s="2">
        <v>579</v>
      </c>
      <c r="C592" s="18">
        <v>303</v>
      </c>
      <c r="D592" s="18">
        <v>250</v>
      </c>
      <c r="E592" s="19">
        <v>0.69444444444444453</v>
      </c>
      <c r="F592" s="59">
        <v>0.72569444444444453</v>
      </c>
      <c r="G592" s="18" t="s">
        <v>1247</v>
      </c>
      <c r="H592" s="18" t="s">
        <v>273</v>
      </c>
      <c r="I592" s="20">
        <v>21</v>
      </c>
      <c r="J592" s="21" t="s">
        <v>81</v>
      </c>
      <c r="K592" s="22">
        <v>174</v>
      </c>
      <c r="L592" s="23">
        <f t="shared" si="118"/>
        <v>3654</v>
      </c>
      <c r="M592" s="24" t="s">
        <v>794</v>
      </c>
      <c r="N592" s="25" t="s">
        <v>1205</v>
      </c>
      <c r="O592" s="25">
        <v>57</v>
      </c>
      <c r="P592" s="25" t="s">
        <v>1206</v>
      </c>
      <c r="Q592" s="25">
        <v>56</v>
      </c>
      <c r="R592" s="25" t="s">
        <v>1248</v>
      </c>
      <c r="S592" s="35">
        <v>62</v>
      </c>
      <c r="T592" s="26">
        <v>1</v>
      </c>
      <c r="U592" s="26" t="s">
        <v>179</v>
      </c>
      <c r="V592" s="26">
        <v>3790</v>
      </c>
      <c r="W592" s="26" t="s">
        <v>1201</v>
      </c>
      <c r="X592" s="66">
        <v>44816</v>
      </c>
      <c r="Y592" s="66">
        <v>45086</v>
      </c>
      <c r="Z592" s="66"/>
      <c r="AA592" s="66"/>
      <c r="AB592" s="26" t="s">
        <v>282</v>
      </c>
      <c r="AC592" s="26"/>
      <c r="AD592" s="28"/>
      <c r="AE592" s="28"/>
      <c r="AF592" s="28"/>
      <c r="AG592" s="28" t="s">
        <v>90</v>
      </c>
      <c r="AH592" s="28" t="s">
        <v>90</v>
      </c>
      <c r="AI592" s="28" t="s">
        <v>90</v>
      </c>
      <c r="AJ592" s="28" t="s">
        <v>90</v>
      </c>
      <c r="AK592" s="28" t="s">
        <v>90</v>
      </c>
      <c r="AL592" s="28" t="s">
        <v>90</v>
      </c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31">
        <f>100+12</f>
        <v>112</v>
      </c>
      <c r="AY592" s="30"/>
      <c r="AZ592" s="30"/>
      <c r="BA592" s="29"/>
      <c r="BB592" s="29"/>
      <c r="BC592" s="30"/>
      <c r="BD592" s="31">
        <f t="shared" si="126"/>
        <v>19488</v>
      </c>
      <c r="BE592" s="31"/>
      <c r="BF592" s="30"/>
      <c r="BG592" s="32">
        <v>2</v>
      </c>
      <c r="BH592" s="31">
        <f t="shared" si="133"/>
        <v>0</v>
      </c>
      <c r="BI592" s="31">
        <f t="shared" si="134"/>
        <v>0</v>
      </c>
      <c r="BJ592" s="33">
        <f t="shared" si="135"/>
        <v>0</v>
      </c>
      <c r="BK592" s="30"/>
      <c r="BL592" s="30"/>
      <c r="BM592" s="30"/>
      <c r="BN592" s="30"/>
      <c r="BO592" s="33">
        <f t="shared" si="127"/>
        <v>0</v>
      </c>
      <c r="BP592" s="30">
        <v>15</v>
      </c>
      <c r="BQ592" s="30">
        <v>20</v>
      </c>
      <c r="BR592" s="30"/>
      <c r="BS592" s="30"/>
      <c r="BT592" s="34">
        <f t="shared" si="128"/>
        <v>112</v>
      </c>
      <c r="BU592" s="34"/>
      <c r="BV592" s="34"/>
      <c r="BW592" s="34"/>
      <c r="BX592" s="34"/>
      <c r="BY592" s="30"/>
      <c r="BZ592" s="31">
        <f t="shared" si="129"/>
        <v>1680</v>
      </c>
      <c r="CA592" s="31">
        <f t="shared" si="136"/>
        <v>2240</v>
      </c>
    </row>
    <row r="593" spans="1:79" ht="51" x14ac:dyDescent="0.25">
      <c r="A593" s="17"/>
      <c r="B593" s="2">
        <v>580</v>
      </c>
      <c r="C593" s="18">
        <v>303</v>
      </c>
      <c r="D593" s="18">
        <v>543</v>
      </c>
      <c r="E593" s="19">
        <v>0.69791666666666663</v>
      </c>
      <c r="F593" s="19">
        <v>0.70972222222222225</v>
      </c>
      <c r="G593" s="18" t="s">
        <v>1249</v>
      </c>
      <c r="H593" s="18" t="s">
        <v>273</v>
      </c>
      <c r="I593" s="20">
        <v>12</v>
      </c>
      <c r="J593" s="21" t="s">
        <v>541</v>
      </c>
      <c r="K593" s="22">
        <v>174</v>
      </c>
      <c r="L593" s="23">
        <f t="shared" si="118"/>
        <v>2088</v>
      </c>
      <c r="M593" s="24" t="s">
        <v>794</v>
      </c>
      <c r="N593" s="25" t="s">
        <v>1200</v>
      </c>
      <c r="O593" s="25">
        <v>23</v>
      </c>
      <c r="P593" s="25" t="s">
        <v>1199</v>
      </c>
      <c r="Q593" s="25">
        <v>23</v>
      </c>
      <c r="R593" s="25" t="s">
        <v>1198</v>
      </c>
      <c r="S593" s="35">
        <v>23</v>
      </c>
      <c r="T593" s="26" t="s">
        <v>1250</v>
      </c>
      <c r="U593" s="26" t="s">
        <v>1251</v>
      </c>
      <c r="V593" s="26">
        <v>3740</v>
      </c>
      <c r="W593" s="26" t="s">
        <v>1212</v>
      </c>
      <c r="X593" s="66">
        <v>44816</v>
      </c>
      <c r="Y593" s="66">
        <v>45086</v>
      </c>
      <c r="Z593" s="66"/>
      <c r="AA593" s="66"/>
      <c r="AB593" s="26" t="s">
        <v>282</v>
      </c>
      <c r="AC593" s="26"/>
      <c r="AD593" s="28"/>
      <c r="AE593" s="28"/>
      <c r="AF593" s="28"/>
      <c r="AG593" s="28" t="s">
        <v>90</v>
      </c>
      <c r="AH593" s="28" t="s">
        <v>90</v>
      </c>
      <c r="AI593" s="28" t="s">
        <v>90</v>
      </c>
      <c r="AJ593" s="28" t="s">
        <v>90</v>
      </c>
      <c r="AK593" s="28" t="s">
        <v>90</v>
      </c>
      <c r="AL593" s="28" t="s">
        <v>90</v>
      </c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31">
        <f>((72.76*138)+(24*36))/K593</f>
        <v>62.671724137931044</v>
      </c>
      <c r="AY593" s="30"/>
      <c r="AZ593" s="30"/>
      <c r="BA593" s="29"/>
      <c r="BB593" s="29"/>
      <c r="BC593" s="30"/>
      <c r="BD593" s="31">
        <f t="shared" si="126"/>
        <v>10904.880000000001</v>
      </c>
      <c r="BE593" s="31"/>
      <c r="BF593" s="30"/>
      <c r="BG593" s="36">
        <v>1</v>
      </c>
      <c r="BH593" s="31">
        <f t="shared" si="133"/>
        <v>0</v>
      </c>
      <c r="BI593" s="31">
        <f t="shared" si="134"/>
        <v>0</v>
      </c>
      <c r="BJ593" s="33">
        <f t="shared" si="135"/>
        <v>0</v>
      </c>
      <c r="BK593" s="30"/>
      <c r="BL593" s="30"/>
      <c r="BM593" s="30"/>
      <c r="BN593" s="30"/>
      <c r="BO593" s="33">
        <f t="shared" si="127"/>
        <v>0</v>
      </c>
      <c r="BP593" s="30">
        <v>15</v>
      </c>
      <c r="BQ593" s="30">
        <v>20</v>
      </c>
      <c r="BR593" s="30"/>
      <c r="BS593" s="30"/>
      <c r="BT593" s="34">
        <f t="shared" si="128"/>
        <v>62.671724137931044</v>
      </c>
      <c r="BU593" s="34"/>
      <c r="BV593" s="34"/>
      <c r="BW593" s="34"/>
      <c r="BX593" s="34"/>
      <c r="BY593" s="30"/>
      <c r="BZ593" s="31">
        <f t="shared" si="129"/>
        <v>940.07586206896565</v>
      </c>
      <c r="CA593" s="31">
        <f t="shared" si="136"/>
        <v>1253.4344827586208</v>
      </c>
    </row>
    <row r="594" spans="1:79" ht="34.5" x14ac:dyDescent="0.25">
      <c r="A594" s="17"/>
      <c r="B594" s="2">
        <v>581</v>
      </c>
      <c r="C594" s="48">
        <v>303</v>
      </c>
      <c r="D594" s="48">
        <v>537</v>
      </c>
      <c r="E594" s="49">
        <v>0.71527777777777779</v>
      </c>
      <c r="F594" s="49">
        <v>0.7680555555555556</v>
      </c>
      <c r="G594" s="51" t="s">
        <v>1252</v>
      </c>
      <c r="H594" s="18" t="s">
        <v>290</v>
      </c>
      <c r="I594" s="48">
        <v>39</v>
      </c>
      <c r="J594" s="52">
        <v>30</v>
      </c>
      <c r="K594" s="22">
        <v>13</v>
      </c>
      <c r="L594" s="23">
        <f t="shared" si="118"/>
        <v>507</v>
      </c>
      <c r="M594" s="24" t="s">
        <v>1222</v>
      </c>
      <c r="N594" s="25" t="s">
        <v>1232</v>
      </c>
      <c r="O594" s="25">
        <v>33</v>
      </c>
      <c r="P594" s="25" t="s">
        <v>1186</v>
      </c>
      <c r="Q594" s="25">
        <v>55</v>
      </c>
      <c r="R594" s="17" t="s">
        <v>1187</v>
      </c>
      <c r="S594" s="35">
        <v>55</v>
      </c>
      <c r="T594" s="26">
        <v>3870</v>
      </c>
      <c r="U594" s="26" t="s">
        <v>1234</v>
      </c>
      <c r="V594" s="26">
        <v>1</v>
      </c>
      <c r="W594" s="26" t="s">
        <v>1233</v>
      </c>
      <c r="X594" s="27">
        <v>44562</v>
      </c>
      <c r="Y594" s="27">
        <v>44815</v>
      </c>
      <c r="Z594" s="27">
        <v>45101</v>
      </c>
      <c r="AA594" s="27">
        <v>45169</v>
      </c>
      <c r="AB594" s="62" t="s">
        <v>291</v>
      </c>
      <c r="AC594" s="62"/>
      <c r="AD594" s="28"/>
      <c r="AE594" s="28" t="s">
        <v>90</v>
      </c>
      <c r="AF594" s="28"/>
      <c r="AG594" s="28"/>
      <c r="AH594" s="28"/>
      <c r="AI594" s="28"/>
      <c r="AJ594" s="28"/>
      <c r="AK594" s="28"/>
      <c r="AL594" s="28"/>
      <c r="AM594" s="28"/>
      <c r="AN594" s="28" t="s">
        <v>90</v>
      </c>
      <c r="AO594" s="28"/>
      <c r="AP594" s="28"/>
      <c r="AQ594" s="28"/>
      <c r="AR594" s="28"/>
      <c r="AS594" s="28"/>
      <c r="AT594" s="28"/>
      <c r="AU594" s="28"/>
      <c r="AV594" s="28"/>
      <c r="AW594" s="28"/>
      <c r="AX594" s="30"/>
      <c r="AY594" s="30"/>
      <c r="AZ594" s="30"/>
      <c r="BA594" s="55" t="s">
        <v>1222</v>
      </c>
      <c r="BB594" s="55"/>
      <c r="BC594" s="30"/>
      <c r="BD594" s="31">
        <f t="shared" si="126"/>
        <v>0</v>
      </c>
      <c r="BE594" s="30"/>
      <c r="BF594" s="30"/>
      <c r="BG594" s="36">
        <v>1</v>
      </c>
      <c r="BH594" s="30"/>
      <c r="BI594" s="31"/>
      <c r="BJ594" s="30"/>
      <c r="BK594" s="30"/>
      <c r="BL594" s="30"/>
      <c r="BM594" s="30"/>
      <c r="BN594" s="30"/>
      <c r="BO594" s="33">
        <f t="shared" si="127"/>
        <v>0</v>
      </c>
      <c r="BP594" s="30">
        <v>2</v>
      </c>
      <c r="BQ594" s="30">
        <v>0</v>
      </c>
      <c r="BR594" s="30"/>
      <c r="BS594" s="30"/>
      <c r="BT594" s="34">
        <f t="shared" si="128"/>
        <v>0</v>
      </c>
      <c r="BU594" s="34"/>
      <c r="BV594" s="34"/>
      <c r="BW594" s="34"/>
      <c r="BX594" s="34"/>
      <c r="BY594" s="30"/>
      <c r="BZ594" s="31">
        <f t="shared" si="129"/>
        <v>0</v>
      </c>
      <c r="CA594" s="31">
        <f t="shared" si="136"/>
        <v>0</v>
      </c>
    </row>
    <row r="595" spans="1:79" ht="38.25" x14ac:dyDescent="0.25">
      <c r="A595" s="17"/>
      <c r="B595" s="2">
        <v>582</v>
      </c>
      <c r="C595" s="18">
        <v>303</v>
      </c>
      <c r="D595" s="18">
        <v>553</v>
      </c>
      <c r="E595" s="19">
        <v>0.71875</v>
      </c>
      <c r="F595" s="19">
        <v>0.7368055555555556</v>
      </c>
      <c r="G595" s="18" t="s">
        <v>1230</v>
      </c>
      <c r="H595" s="18" t="s">
        <v>327</v>
      </c>
      <c r="I595" s="20">
        <v>19</v>
      </c>
      <c r="J595" s="21" t="s">
        <v>516</v>
      </c>
      <c r="K595" s="22">
        <v>67</v>
      </c>
      <c r="L595" s="23">
        <f t="shared" si="118"/>
        <v>1273</v>
      </c>
      <c r="M595" s="24" t="s">
        <v>1222</v>
      </c>
      <c r="N595" s="25" t="s">
        <v>1253</v>
      </c>
      <c r="O595" s="25">
        <v>9</v>
      </c>
      <c r="P595" s="25" t="s">
        <v>1254</v>
      </c>
      <c r="Q595" s="25">
        <v>9</v>
      </c>
      <c r="R595" s="25"/>
      <c r="S595" s="25"/>
      <c r="T595" s="26">
        <v>3895</v>
      </c>
      <c r="U595" s="26" t="s">
        <v>1176</v>
      </c>
      <c r="V595" s="26" t="s">
        <v>1219</v>
      </c>
      <c r="W595" s="26" t="s">
        <v>1220</v>
      </c>
      <c r="X595" s="27">
        <v>44562</v>
      </c>
      <c r="Y595" s="27">
        <v>44815</v>
      </c>
      <c r="Z595" s="27">
        <v>45101</v>
      </c>
      <c r="AA595" s="27">
        <v>45169</v>
      </c>
      <c r="AB595" s="28" t="s">
        <v>89</v>
      </c>
      <c r="AC595" s="28"/>
      <c r="AD595" s="28"/>
      <c r="AE595" s="28" t="s">
        <v>90</v>
      </c>
      <c r="AF595" s="28" t="s">
        <v>90</v>
      </c>
      <c r="AG595" s="28"/>
      <c r="AH595" s="28" t="s">
        <v>90</v>
      </c>
      <c r="AI595" s="28" t="s">
        <v>90</v>
      </c>
      <c r="AJ595" s="28" t="s">
        <v>90</v>
      </c>
      <c r="AK595" s="28" t="s">
        <v>90</v>
      </c>
      <c r="AL595" s="28" t="s">
        <v>90</v>
      </c>
      <c r="AM595" s="28" t="s">
        <v>90</v>
      </c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9">
        <v>57</v>
      </c>
      <c r="AY595" s="30"/>
      <c r="AZ595" s="30"/>
      <c r="BA595" s="29"/>
      <c r="BB595" s="29"/>
      <c r="BC595" s="30"/>
      <c r="BD595" s="31">
        <f t="shared" si="126"/>
        <v>3819</v>
      </c>
      <c r="BE595" s="31"/>
      <c r="BF595" s="30"/>
      <c r="BG595" s="36">
        <v>1</v>
      </c>
      <c r="BH595" s="31">
        <f>IF(AND((AX595/I595)&lt;2,BG595=1),(I595*2)-AX595,0)</f>
        <v>0</v>
      </c>
      <c r="BI595" s="31">
        <f>IF(AND((AX595/I595)&lt;3,BG595=2),(I595*3)-AX595,0)</f>
        <v>0</v>
      </c>
      <c r="BJ595" s="33">
        <f>(BH595+BI595)*K595</f>
        <v>0</v>
      </c>
      <c r="BK595" s="30"/>
      <c r="BL595" s="30"/>
      <c r="BM595" s="30"/>
      <c r="BN595" s="30"/>
      <c r="BO595" s="33">
        <f t="shared" si="127"/>
        <v>0</v>
      </c>
      <c r="BP595" s="30">
        <v>9</v>
      </c>
      <c r="BQ595" s="30">
        <v>0</v>
      </c>
      <c r="BR595" s="30"/>
      <c r="BS595" s="30"/>
      <c r="BT595" s="34">
        <f t="shared" si="128"/>
        <v>57</v>
      </c>
      <c r="BU595" s="34"/>
      <c r="BV595" s="34"/>
      <c r="BW595" s="34"/>
      <c r="BX595" s="34"/>
      <c r="BY595" s="30"/>
      <c r="BZ595" s="31">
        <f t="shared" si="129"/>
        <v>513</v>
      </c>
      <c r="CA595" s="31">
        <f t="shared" si="136"/>
        <v>0</v>
      </c>
    </row>
    <row r="596" spans="1:79" ht="51" x14ac:dyDescent="0.25">
      <c r="A596" s="17"/>
      <c r="B596" s="2">
        <v>583</v>
      </c>
      <c r="C596" s="18">
        <v>303</v>
      </c>
      <c r="D596" s="18">
        <v>252</v>
      </c>
      <c r="E596" s="19">
        <v>0.72916666666666663</v>
      </c>
      <c r="F596" s="19">
        <v>0.76388888888888884</v>
      </c>
      <c r="G596" s="18" t="s">
        <v>1236</v>
      </c>
      <c r="H596" s="18" t="s">
        <v>441</v>
      </c>
      <c r="I596" s="20">
        <v>23</v>
      </c>
      <c r="J596" s="21" t="s">
        <v>104</v>
      </c>
      <c r="K596" s="22">
        <v>47</v>
      </c>
      <c r="L596" s="23">
        <f t="shared" si="118"/>
        <v>1081</v>
      </c>
      <c r="M596" s="24" t="s">
        <v>794</v>
      </c>
      <c r="N596" s="25" t="s">
        <v>832</v>
      </c>
      <c r="O596" s="25">
        <v>31</v>
      </c>
      <c r="P596" s="25" t="s">
        <v>833</v>
      </c>
      <c r="Q596" s="25">
        <v>57</v>
      </c>
      <c r="R596" s="17"/>
      <c r="S596" s="25"/>
      <c r="T596" s="26">
        <v>1</v>
      </c>
      <c r="U596" s="26" t="s">
        <v>179</v>
      </c>
      <c r="V596" s="26">
        <v>3790</v>
      </c>
      <c r="W596" s="26" t="s">
        <v>1201</v>
      </c>
      <c r="X596" s="27">
        <v>44816</v>
      </c>
      <c r="Y596" s="27">
        <v>45100</v>
      </c>
      <c r="Z596" s="27"/>
      <c r="AA596" s="27"/>
      <c r="AB596" s="62" t="s">
        <v>289</v>
      </c>
      <c r="AC596" s="62"/>
      <c r="AD596" s="28" t="s">
        <v>90</v>
      </c>
      <c r="AE596" s="28"/>
      <c r="AF596" s="28"/>
      <c r="AG596" s="28"/>
      <c r="AH596" s="28"/>
      <c r="AI596" s="28"/>
      <c r="AJ596" s="28"/>
      <c r="AK596" s="28"/>
      <c r="AL596" s="28"/>
      <c r="AM596" s="28"/>
      <c r="AN596" s="28" t="s">
        <v>90</v>
      </c>
      <c r="AO596" s="28"/>
      <c r="AP596" s="28"/>
      <c r="AQ596" s="28"/>
      <c r="AR596" s="28"/>
      <c r="AS596" s="28"/>
      <c r="AT596" s="28"/>
      <c r="AU596" s="28"/>
      <c r="AV596" s="28"/>
      <c r="AW596" s="28"/>
      <c r="AX596" s="29">
        <v>69</v>
      </c>
      <c r="AY596" s="30"/>
      <c r="AZ596" s="30"/>
      <c r="BA596" s="29"/>
      <c r="BB596" s="29"/>
      <c r="BC596" s="30"/>
      <c r="BD596" s="31">
        <f t="shared" si="126"/>
        <v>3243</v>
      </c>
      <c r="BE596" s="31"/>
      <c r="BF596" s="30"/>
      <c r="BG596" s="36">
        <v>1</v>
      </c>
      <c r="BH596" s="31">
        <f>IF(AND((AX596/I596)&lt;2,BG596=1),(I596*2)-AX596,0)</f>
        <v>0</v>
      </c>
      <c r="BI596" s="31">
        <f>IF(AND((AX596/I596)&lt;3,BG596=2),(I596*3)-AX596,0)</f>
        <v>0</v>
      </c>
      <c r="BJ596" s="33">
        <f>(BH596+BI596)*K596</f>
        <v>0</v>
      </c>
      <c r="BK596" s="30"/>
      <c r="BL596" s="30"/>
      <c r="BM596" s="30"/>
      <c r="BN596" s="30"/>
      <c r="BO596" s="33">
        <f t="shared" si="127"/>
        <v>0</v>
      </c>
      <c r="BP596" s="30">
        <v>2</v>
      </c>
      <c r="BQ596" s="30">
        <v>5</v>
      </c>
      <c r="BR596" s="30"/>
      <c r="BS596" s="30"/>
      <c r="BT596" s="34">
        <f t="shared" si="128"/>
        <v>69</v>
      </c>
      <c r="BU596" s="34"/>
      <c r="BV596" s="34"/>
      <c r="BW596" s="34"/>
      <c r="BX596" s="34"/>
      <c r="BY596" s="30"/>
      <c r="BZ596" s="31">
        <f t="shared" si="129"/>
        <v>138</v>
      </c>
      <c r="CA596" s="31">
        <f t="shared" si="136"/>
        <v>345</v>
      </c>
    </row>
    <row r="597" spans="1:79" ht="67.5" x14ac:dyDescent="0.25">
      <c r="A597" s="17"/>
      <c r="B597" s="2">
        <v>584</v>
      </c>
      <c r="C597" s="18">
        <v>303</v>
      </c>
      <c r="D597" s="18">
        <v>546</v>
      </c>
      <c r="E597" s="19">
        <v>0.74444444444444446</v>
      </c>
      <c r="F597" s="19">
        <v>0.76180555555555562</v>
      </c>
      <c r="G597" s="18" t="s">
        <v>1255</v>
      </c>
      <c r="H597" s="18" t="s">
        <v>273</v>
      </c>
      <c r="I597" s="20">
        <v>19</v>
      </c>
      <c r="J597" s="21">
        <v>14</v>
      </c>
      <c r="K597" s="22">
        <v>174</v>
      </c>
      <c r="L597" s="23">
        <f t="shared" ref="L597:L660" si="137">+K597*I597</f>
        <v>3306</v>
      </c>
      <c r="M597" s="24" t="s">
        <v>1172</v>
      </c>
      <c r="N597" s="25" t="s">
        <v>1173</v>
      </c>
      <c r="O597" s="25">
        <v>15</v>
      </c>
      <c r="P597" s="25" t="s">
        <v>1174</v>
      </c>
      <c r="Q597" s="25">
        <v>9</v>
      </c>
      <c r="R597" s="25" t="s">
        <v>1175</v>
      </c>
      <c r="S597" s="35">
        <v>9</v>
      </c>
      <c r="T597" s="26" t="s">
        <v>1219</v>
      </c>
      <c r="U597" s="26" t="s">
        <v>1220</v>
      </c>
      <c r="V597" s="26">
        <v>3895</v>
      </c>
      <c r="W597" s="26" t="s">
        <v>1176</v>
      </c>
      <c r="X597" s="66">
        <v>44816</v>
      </c>
      <c r="Y597" s="66">
        <v>45086</v>
      </c>
      <c r="Z597" s="66"/>
      <c r="AA597" s="66"/>
      <c r="AB597" s="26" t="s">
        <v>282</v>
      </c>
      <c r="AC597" s="26"/>
      <c r="AD597" s="28"/>
      <c r="AE597" s="28"/>
      <c r="AF597" s="28"/>
      <c r="AG597" s="28" t="s">
        <v>90</v>
      </c>
      <c r="AH597" s="28" t="s">
        <v>90</v>
      </c>
      <c r="AI597" s="28" t="s">
        <v>90</v>
      </c>
      <c r="AJ597" s="28" t="s">
        <v>90</v>
      </c>
      <c r="AK597" s="28" t="s">
        <v>90</v>
      </c>
      <c r="AL597" s="28" t="s">
        <v>90</v>
      </c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9">
        <v>57</v>
      </c>
      <c r="AY597" s="30"/>
      <c r="AZ597" s="30"/>
      <c r="BA597" s="29"/>
      <c r="BB597" s="29"/>
      <c r="BC597" s="30"/>
      <c r="BD597" s="31">
        <f t="shared" si="126"/>
        <v>9918</v>
      </c>
      <c r="BE597" s="31"/>
      <c r="BF597" s="30"/>
      <c r="BG597" s="36">
        <v>1</v>
      </c>
      <c r="BH597" s="31">
        <f>IF(AND((AX597/I597)&lt;2,BG597=1),(I597*2)-AX597,0)</f>
        <v>0</v>
      </c>
      <c r="BI597" s="31">
        <f>IF(AND((AX597/I597)&lt;3,BG597=2),(I597*3)-AX597,0)</f>
        <v>0</v>
      </c>
      <c r="BJ597" s="33">
        <f>(BH597+BI597)*K597</f>
        <v>0</v>
      </c>
      <c r="BK597" s="30"/>
      <c r="BL597" s="30"/>
      <c r="BM597" s="30"/>
      <c r="BN597" s="30"/>
      <c r="BO597" s="33">
        <f t="shared" si="127"/>
        <v>0</v>
      </c>
      <c r="BP597" s="30">
        <v>15</v>
      </c>
      <c r="BQ597" s="30">
        <v>20</v>
      </c>
      <c r="BR597" s="30"/>
      <c r="BS597" s="30"/>
      <c r="BT597" s="34">
        <f t="shared" si="128"/>
        <v>57</v>
      </c>
      <c r="BU597" s="34"/>
      <c r="BV597" s="34"/>
      <c r="BW597" s="34"/>
      <c r="BX597" s="34"/>
      <c r="BY597" s="30"/>
      <c r="BZ597" s="31">
        <f t="shared" si="129"/>
        <v>855</v>
      </c>
      <c r="CA597" s="31">
        <f t="shared" si="136"/>
        <v>1140</v>
      </c>
    </row>
    <row r="598" spans="1:79" ht="38.25" x14ac:dyDescent="0.25">
      <c r="A598" s="17"/>
      <c r="B598" s="2">
        <v>585</v>
      </c>
      <c r="C598" s="18">
        <v>303</v>
      </c>
      <c r="D598" s="18">
        <v>554</v>
      </c>
      <c r="E598" s="19">
        <v>0.74444444444444446</v>
      </c>
      <c r="F598" s="19">
        <v>0.76250000000000007</v>
      </c>
      <c r="G598" s="18" t="s">
        <v>1218</v>
      </c>
      <c r="H598" s="18" t="s">
        <v>327</v>
      </c>
      <c r="I598" s="20">
        <v>19</v>
      </c>
      <c r="J598" s="21" t="s">
        <v>516</v>
      </c>
      <c r="K598" s="22">
        <v>67</v>
      </c>
      <c r="L598" s="23">
        <f t="shared" si="137"/>
        <v>1273</v>
      </c>
      <c r="M598" s="24" t="s">
        <v>1222</v>
      </c>
      <c r="N598" s="25" t="s">
        <v>1253</v>
      </c>
      <c r="O598" s="25">
        <v>9</v>
      </c>
      <c r="P598" s="25" t="s">
        <v>1254</v>
      </c>
      <c r="Q598" s="25">
        <v>9</v>
      </c>
      <c r="R598" s="25"/>
      <c r="S598" s="25"/>
      <c r="T598" s="26" t="s">
        <v>1219</v>
      </c>
      <c r="U598" s="26" t="s">
        <v>1220</v>
      </c>
      <c r="V598" s="26">
        <v>3895</v>
      </c>
      <c r="W598" s="26" t="s">
        <v>1176</v>
      </c>
      <c r="X598" s="27">
        <v>44562</v>
      </c>
      <c r="Y598" s="27">
        <v>44815</v>
      </c>
      <c r="Z598" s="27">
        <v>45101</v>
      </c>
      <c r="AA598" s="27">
        <v>45169</v>
      </c>
      <c r="AB598" s="28" t="s">
        <v>89</v>
      </c>
      <c r="AC598" s="28"/>
      <c r="AD598" s="28"/>
      <c r="AE598" s="28" t="s">
        <v>90</v>
      </c>
      <c r="AF598" s="28" t="s">
        <v>90</v>
      </c>
      <c r="AG598" s="28"/>
      <c r="AH598" s="28" t="s">
        <v>90</v>
      </c>
      <c r="AI598" s="28" t="s">
        <v>90</v>
      </c>
      <c r="AJ598" s="28" t="s">
        <v>90</v>
      </c>
      <c r="AK598" s="28" t="s">
        <v>90</v>
      </c>
      <c r="AL598" s="28" t="s">
        <v>90</v>
      </c>
      <c r="AM598" s="28" t="s">
        <v>90</v>
      </c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9">
        <v>57</v>
      </c>
      <c r="AY598" s="30"/>
      <c r="AZ598" s="30"/>
      <c r="BA598" s="29"/>
      <c r="BB598" s="29"/>
      <c r="BC598" s="30"/>
      <c r="BD598" s="31">
        <f t="shared" si="126"/>
        <v>3819</v>
      </c>
      <c r="BE598" s="31"/>
      <c r="BF598" s="30"/>
      <c r="BG598" s="36">
        <v>1</v>
      </c>
      <c r="BH598" s="31">
        <f>IF(AND((AX598/I598)&lt;2,BG598=1),(I598*2)-AX598,0)</f>
        <v>0</v>
      </c>
      <c r="BI598" s="31">
        <f>IF(AND((AX598/I598)&lt;3,BG598=2),(I598*3)-AX598,0)</f>
        <v>0</v>
      </c>
      <c r="BJ598" s="33">
        <f>(BH598+BI598)*K598</f>
        <v>0</v>
      </c>
      <c r="BK598" s="30"/>
      <c r="BL598" s="30"/>
      <c r="BM598" s="30"/>
      <c r="BN598" s="30"/>
      <c r="BO598" s="33">
        <f t="shared" si="127"/>
        <v>0</v>
      </c>
      <c r="BP598" s="30">
        <v>9</v>
      </c>
      <c r="BQ598" s="30">
        <v>0</v>
      </c>
      <c r="BR598" s="30"/>
      <c r="BS598" s="30"/>
      <c r="BT598" s="34">
        <f t="shared" si="128"/>
        <v>57</v>
      </c>
      <c r="BU598" s="34"/>
      <c r="BV598" s="34"/>
      <c r="BW598" s="34"/>
      <c r="BX598" s="34"/>
      <c r="BY598" s="30"/>
      <c r="BZ598" s="31">
        <f t="shared" si="129"/>
        <v>513</v>
      </c>
      <c r="CA598" s="31">
        <f t="shared" si="136"/>
        <v>0</v>
      </c>
    </row>
    <row r="599" spans="1:79" ht="78.75" x14ac:dyDescent="0.25">
      <c r="A599" s="17"/>
      <c r="B599" s="2">
        <v>586</v>
      </c>
      <c r="C599" s="48">
        <v>303</v>
      </c>
      <c r="D599" s="48">
        <v>256</v>
      </c>
      <c r="E599" s="49">
        <v>0.80208333333333337</v>
      </c>
      <c r="F599" s="49">
        <v>0.83680555555555547</v>
      </c>
      <c r="G599" s="51" t="s">
        <v>1256</v>
      </c>
      <c r="H599" s="18" t="s">
        <v>349</v>
      </c>
      <c r="I599" s="48">
        <v>23</v>
      </c>
      <c r="J599" s="52">
        <v>30</v>
      </c>
      <c r="K599" s="22">
        <v>202</v>
      </c>
      <c r="L599" s="23">
        <f t="shared" si="137"/>
        <v>4646</v>
      </c>
      <c r="M599" s="24" t="s">
        <v>1257</v>
      </c>
      <c r="N599" s="25" t="s">
        <v>1258</v>
      </c>
      <c r="O599" s="25">
        <v>57</v>
      </c>
      <c r="P599" s="25" t="s">
        <v>1259</v>
      </c>
      <c r="Q599" s="25">
        <v>58</v>
      </c>
      <c r="R599" s="25" t="s">
        <v>1260</v>
      </c>
      <c r="S599" s="35">
        <v>33</v>
      </c>
      <c r="T599" s="26">
        <v>1</v>
      </c>
      <c r="U599" s="26" t="s">
        <v>179</v>
      </c>
      <c r="V599" s="26">
        <v>3790</v>
      </c>
      <c r="W599" s="26" t="s">
        <v>1201</v>
      </c>
      <c r="X599" s="27">
        <v>44816</v>
      </c>
      <c r="Y599" s="27">
        <v>45100</v>
      </c>
      <c r="Z599" s="27"/>
      <c r="AA599" s="27"/>
      <c r="AB599" s="26" t="s">
        <v>351</v>
      </c>
      <c r="AC599" s="26"/>
      <c r="AD599" s="28" t="s">
        <v>90</v>
      </c>
      <c r="AE599" s="28"/>
      <c r="AF599" s="28" t="s">
        <v>90</v>
      </c>
      <c r="AG599" s="28"/>
      <c r="AH599" s="28" t="s">
        <v>90</v>
      </c>
      <c r="AI599" s="28" t="s">
        <v>90</v>
      </c>
      <c r="AJ599" s="28" t="s">
        <v>90</v>
      </c>
      <c r="AK599" s="28" t="s">
        <v>90</v>
      </c>
      <c r="AL599" s="28" t="s">
        <v>90</v>
      </c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31"/>
      <c r="AY599" s="31">
        <f>3.2*23</f>
        <v>73.600000000000009</v>
      </c>
      <c r="AZ599" s="30"/>
      <c r="BA599" s="30"/>
      <c r="BB599" s="30"/>
      <c r="BC599" s="30"/>
      <c r="BD599" s="31">
        <f t="shared" si="126"/>
        <v>0</v>
      </c>
      <c r="BE599" s="31">
        <f>AY599*K599</f>
        <v>14867.200000000003</v>
      </c>
      <c r="BF599" s="30"/>
      <c r="BG599" s="36">
        <v>1</v>
      </c>
      <c r="BH599" s="30"/>
      <c r="BI599" s="31"/>
      <c r="BJ599" s="30"/>
      <c r="BK599" s="31">
        <f>IF(AND((AY599/I599)&lt;2,BG599=1),(I599*2)-AY599,0)</f>
        <v>0</v>
      </c>
      <c r="BL599" s="31">
        <f>IF(AND((AY599/I599)&lt;3,BG599=2),(I599*3)-AY599,0)</f>
        <v>0</v>
      </c>
      <c r="BM599" s="33">
        <f>(BK599+BL599)*K599</f>
        <v>0</v>
      </c>
      <c r="BN599" s="30"/>
      <c r="BO599" s="33">
        <f t="shared" si="127"/>
        <v>0</v>
      </c>
      <c r="BP599" s="30">
        <v>15</v>
      </c>
      <c r="BQ599" s="30">
        <v>21</v>
      </c>
      <c r="BR599" s="30"/>
      <c r="BS599" s="30"/>
      <c r="BT599" s="34">
        <f t="shared" si="128"/>
        <v>73.600000000000009</v>
      </c>
      <c r="BU599" s="34"/>
      <c r="BV599" s="34"/>
      <c r="BW599" s="34"/>
      <c r="BX599" s="34"/>
      <c r="BY599" s="30"/>
      <c r="BZ599" s="31">
        <f t="shared" si="129"/>
        <v>1104.0000000000002</v>
      </c>
      <c r="CA599" s="31">
        <f t="shared" si="136"/>
        <v>1545.6000000000001</v>
      </c>
    </row>
    <row r="600" spans="1:79" ht="51" x14ac:dyDescent="0.25">
      <c r="A600" s="17"/>
      <c r="B600" s="2">
        <v>587</v>
      </c>
      <c r="C600" s="18">
        <v>305</v>
      </c>
      <c r="D600" s="18">
        <v>306</v>
      </c>
      <c r="E600" s="86">
        <v>0.26041666666666669</v>
      </c>
      <c r="F600" s="86">
        <v>0.26805555555555555</v>
      </c>
      <c r="G600" s="113" t="s">
        <v>1261</v>
      </c>
      <c r="H600" s="18" t="s">
        <v>306</v>
      </c>
      <c r="I600" s="20">
        <v>9</v>
      </c>
      <c r="J600" s="21" t="s">
        <v>1262</v>
      </c>
      <c r="K600" s="22">
        <v>208</v>
      </c>
      <c r="L600" s="23">
        <f t="shared" si="137"/>
        <v>1872</v>
      </c>
      <c r="M600" s="24" t="s">
        <v>1263</v>
      </c>
      <c r="N600" s="25" t="s">
        <v>1264</v>
      </c>
      <c r="O600" s="25">
        <v>7</v>
      </c>
      <c r="P600" s="25" t="s">
        <v>1265</v>
      </c>
      <c r="Q600" s="25">
        <v>5</v>
      </c>
      <c r="R600" s="25"/>
      <c r="S600" s="25"/>
      <c r="T600" s="26">
        <v>3409</v>
      </c>
      <c r="U600" s="26" t="s">
        <v>1266</v>
      </c>
      <c r="V600" s="26">
        <v>3407</v>
      </c>
      <c r="W600" s="26" t="s">
        <v>1267</v>
      </c>
      <c r="X600" s="66">
        <v>44816</v>
      </c>
      <c r="Y600" s="66">
        <v>45086</v>
      </c>
      <c r="Z600" s="66"/>
      <c r="AA600" s="66"/>
      <c r="AB600" s="26" t="s">
        <v>309</v>
      </c>
      <c r="AC600" s="26"/>
      <c r="AD600" s="28"/>
      <c r="AE600" s="28"/>
      <c r="AF600" s="28"/>
      <c r="AG600" s="28" t="s">
        <v>90</v>
      </c>
      <c r="AH600" s="28" t="s">
        <v>90</v>
      </c>
      <c r="AI600" s="28" t="s">
        <v>90</v>
      </c>
      <c r="AJ600" s="28" t="s">
        <v>90</v>
      </c>
      <c r="AK600" s="28" t="s">
        <v>90</v>
      </c>
      <c r="AL600" s="28" t="s">
        <v>90</v>
      </c>
      <c r="AM600" s="28" t="s">
        <v>90</v>
      </c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9">
        <v>26.33</v>
      </c>
      <c r="AY600" s="30"/>
      <c r="AZ600" s="30"/>
      <c r="BA600" s="29"/>
      <c r="BB600" s="29"/>
      <c r="BC600" s="30"/>
      <c r="BD600" s="31">
        <f t="shared" si="126"/>
        <v>5476.6399999999994</v>
      </c>
      <c r="BE600" s="31"/>
      <c r="BF600" s="30"/>
      <c r="BG600" s="36">
        <v>1</v>
      </c>
      <c r="BH600" s="31">
        <f>IF(AND((AX600/I600)&lt;2,BG600=1),(I600*2)-AX600,0)</f>
        <v>0</v>
      </c>
      <c r="BI600" s="31">
        <f>IF(AND((AX600/I600)&lt;3,BG600=2),(I600*3)-AX600,0)</f>
        <v>0</v>
      </c>
      <c r="BJ600" s="33">
        <f>(BH600+BI600)*K600</f>
        <v>0</v>
      </c>
      <c r="BK600" s="30"/>
      <c r="BL600" s="30"/>
      <c r="BM600" s="30"/>
      <c r="BN600" s="31">
        <f>IF((AX600+AY600+AZ600)&lt;20,(20-(AX600+AY600+AZ600)),0)</f>
        <v>0</v>
      </c>
      <c r="BO600" s="33">
        <f t="shared" si="127"/>
        <v>0</v>
      </c>
      <c r="BP600" s="30">
        <v>17</v>
      </c>
      <c r="BQ600" s="30">
        <v>25</v>
      </c>
      <c r="BR600" s="30"/>
      <c r="BS600" s="30"/>
      <c r="BT600" s="34">
        <f t="shared" si="128"/>
        <v>26.33</v>
      </c>
      <c r="BU600" s="34"/>
      <c r="BV600" s="34"/>
      <c r="BW600" s="34"/>
      <c r="BX600" s="34"/>
      <c r="BY600" s="30"/>
      <c r="BZ600" s="31">
        <f t="shared" si="129"/>
        <v>447.60999999999996</v>
      </c>
      <c r="CA600" s="31">
        <f t="shared" si="136"/>
        <v>658.25</v>
      </c>
    </row>
    <row r="601" spans="1:79" ht="78.75" x14ac:dyDescent="0.25">
      <c r="A601" s="17"/>
      <c r="B601" s="2">
        <v>588</v>
      </c>
      <c r="C601" s="18">
        <v>305</v>
      </c>
      <c r="D601" s="18">
        <v>508</v>
      </c>
      <c r="E601" s="19">
        <v>0.57986111111111105</v>
      </c>
      <c r="F601" s="19">
        <v>0.59513888888888888</v>
      </c>
      <c r="G601" s="18" t="s">
        <v>1268</v>
      </c>
      <c r="H601" s="18" t="s">
        <v>383</v>
      </c>
      <c r="I601" s="20">
        <v>11</v>
      </c>
      <c r="J601" s="21" t="s">
        <v>93</v>
      </c>
      <c r="K601" s="22">
        <v>34</v>
      </c>
      <c r="L601" s="23">
        <f t="shared" si="137"/>
        <v>374</v>
      </c>
      <c r="M601" s="24" t="s">
        <v>1269</v>
      </c>
      <c r="N601" s="25" t="s">
        <v>1270</v>
      </c>
      <c r="O601" s="25">
        <v>21</v>
      </c>
      <c r="P601" s="25" t="s">
        <v>1271</v>
      </c>
      <c r="Q601" s="25">
        <v>29</v>
      </c>
      <c r="R601" s="25"/>
      <c r="S601" s="25"/>
      <c r="T601" s="26" t="s">
        <v>1272</v>
      </c>
      <c r="U601" s="26" t="s">
        <v>1273</v>
      </c>
      <c r="V601" s="26">
        <v>3407</v>
      </c>
      <c r="W601" s="26" t="s">
        <v>1267</v>
      </c>
      <c r="X601" s="66">
        <v>44816</v>
      </c>
      <c r="Y601" s="66">
        <v>45086</v>
      </c>
      <c r="Z601" s="66"/>
      <c r="AA601" s="66"/>
      <c r="AB601" s="28" t="s">
        <v>382</v>
      </c>
      <c r="AC601" s="28"/>
      <c r="AD601" s="28"/>
      <c r="AE601" s="28"/>
      <c r="AF601" s="28"/>
      <c r="AG601" s="28" t="s">
        <v>90</v>
      </c>
      <c r="AH601" s="28"/>
      <c r="AI601" s="28"/>
      <c r="AJ601" s="28"/>
      <c r="AK601" s="28"/>
      <c r="AL601" s="28"/>
      <c r="AM601" s="28" t="s">
        <v>90</v>
      </c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53">
        <v>34.58</v>
      </c>
      <c r="AY601" s="30"/>
      <c r="AZ601" s="30"/>
      <c r="BA601" s="29"/>
      <c r="BB601" s="29"/>
      <c r="BC601" s="30"/>
      <c r="BD601" s="31">
        <f t="shared" si="126"/>
        <v>1175.72</v>
      </c>
      <c r="BE601" s="31"/>
      <c r="BF601" s="30"/>
      <c r="BG601" s="36">
        <v>1</v>
      </c>
      <c r="BH601" s="53"/>
      <c r="BI601" s="53"/>
      <c r="BJ601" s="54"/>
      <c r="BK601" s="30"/>
      <c r="BL601" s="30"/>
      <c r="BM601" s="30"/>
      <c r="BN601" s="30"/>
      <c r="BO601" s="33">
        <f t="shared" si="127"/>
        <v>0</v>
      </c>
      <c r="BP601" s="30">
        <v>2</v>
      </c>
      <c r="BQ601" s="30">
        <v>5</v>
      </c>
      <c r="BR601" s="30"/>
      <c r="BS601" s="30"/>
      <c r="BT601" s="34">
        <f t="shared" si="128"/>
        <v>34.58</v>
      </c>
      <c r="BU601" s="34"/>
      <c r="BV601" s="34"/>
      <c r="BW601" s="34"/>
      <c r="BX601" s="34"/>
      <c r="BY601" s="30"/>
      <c r="BZ601" s="31">
        <f t="shared" si="129"/>
        <v>69.16</v>
      </c>
      <c r="CA601" s="31">
        <f t="shared" si="136"/>
        <v>172.89999999999998</v>
      </c>
    </row>
    <row r="602" spans="1:79" ht="78.75" x14ac:dyDescent="0.25">
      <c r="A602" s="17"/>
      <c r="B602" s="2">
        <v>589</v>
      </c>
      <c r="C602" s="18">
        <v>305</v>
      </c>
      <c r="D602" s="18">
        <v>510</v>
      </c>
      <c r="E602" s="19">
        <v>0.58680555555555558</v>
      </c>
      <c r="F602" s="59">
        <v>0.59097222222222223</v>
      </c>
      <c r="G602" s="18" t="s">
        <v>1274</v>
      </c>
      <c r="H602" s="18" t="s">
        <v>273</v>
      </c>
      <c r="I602" s="20">
        <v>2.5</v>
      </c>
      <c r="J602" s="21" t="s">
        <v>93</v>
      </c>
      <c r="K602" s="22">
        <v>174</v>
      </c>
      <c r="L602" s="23">
        <f t="shared" si="137"/>
        <v>435</v>
      </c>
      <c r="M602" s="24" t="s">
        <v>1269</v>
      </c>
      <c r="N602" s="25" t="s">
        <v>1270</v>
      </c>
      <c r="O602" s="25">
        <v>21</v>
      </c>
      <c r="P602" s="25" t="s">
        <v>1271</v>
      </c>
      <c r="Q602" s="25">
        <v>29</v>
      </c>
      <c r="R602" s="25"/>
      <c r="S602" s="25"/>
      <c r="T602" s="26">
        <v>3542</v>
      </c>
      <c r="U602" s="26" t="s">
        <v>1275</v>
      </c>
      <c r="V602" s="26">
        <v>3310</v>
      </c>
      <c r="W602" s="26" t="s">
        <v>1276</v>
      </c>
      <c r="X602" s="66">
        <v>44816</v>
      </c>
      <c r="Y602" s="66">
        <v>45086</v>
      </c>
      <c r="Z602" s="66"/>
      <c r="AA602" s="66"/>
      <c r="AB602" s="26" t="s">
        <v>282</v>
      </c>
      <c r="AC602" s="26"/>
      <c r="AD602" s="28"/>
      <c r="AE602" s="28"/>
      <c r="AF602" s="28"/>
      <c r="AG602" s="28" t="s">
        <v>90</v>
      </c>
      <c r="AH602" s="28" t="s">
        <v>90</v>
      </c>
      <c r="AI602" s="28" t="s">
        <v>90</v>
      </c>
      <c r="AJ602" s="28" t="s">
        <v>90</v>
      </c>
      <c r="AK602" s="28" t="s">
        <v>90</v>
      </c>
      <c r="AL602" s="28" t="s">
        <v>90</v>
      </c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53">
        <v>4.5</v>
      </c>
      <c r="AY602" s="30"/>
      <c r="AZ602" s="30"/>
      <c r="BA602" s="29"/>
      <c r="BB602" s="29"/>
      <c r="BC602" s="30"/>
      <c r="BD602" s="31">
        <f t="shared" si="126"/>
        <v>783</v>
      </c>
      <c r="BE602" s="31"/>
      <c r="BF602" s="30"/>
      <c r="BG602" s="36">
        <v>1</v>
      </c>
      <c r="BH602" s="53"/>
      <c r="BI602" s="53"/>
      <c r="BJ602" s="53"/>
      <c r="BK602" s="30"/>
      <c r="BL602" s="30"/>
      <c r="BM602" s="30"/>
      <c r="BN602" s="30"/>
      <c r="BO602" s="33">
        <f t="shared" si="127"/>
        <v>0</v>
      </c>
      <c r="BP602" s="30">
        <v>15</v>
      </c>
      <c r="BQ602" s="30">
        <v>20</v>
      </c>
      <c r="BR602" s="30"/>
      <c r="BS602" s="30"/>
      <c r="BT602" s="34">
        <f t="shared" si="128"/>
        <v>4.5</v>
      </c>
      <c r="BU602" s="34"/>
      <c r="BV602" s="34"/>
      <c r="BW602" s="34"/>
      <c r="BX602" s="34"/>
      <c r="BY602" s="30"/>
      <c r="BZ602" s="31">
        <f t="shared" si="129"/>
        <v>67.5</v>
      </c>
      <c r="CA602" s="31">
        <f t="shared" si="136"/>
        <v>90</v>
      </c>
    </row>
    <row r="603" spans="1:79" ht="78.75" x14ac:dyDescent="0.25">
      <c r="A603" s="17"/>
      <c r="B603" s="2">
        <v>590</v>
      </c>
      <c r="C603" s="18">
        <v>305</v>
      </c>
      <c r="D603" s="18">
        <v>508</v>
      </c>
      <c r="E603" s="19">
        <v>0.59583333333333333</v>
      </c>
      <c r="F603" s="19">
        <v>0.61111111111111105</v>
      </c>
      <c r="G603" s="18" t="s">
        <v>1268</v>
      </c>
      <c r="H603" s="18" t="s">
        <v>273</v>
      </c>
      <c r="I603" s="20">
        <v>11</v>
      </c>
      <c r="J603" s="21" t="s">
        <v>93</v>
      </c>
      <c r="K603" s="22">
        <v>174</v>
      </c>
      <c r="L603" s="23">
        <f t="shared" si="137"/>
        <v>1914</v>
      </c>
      <c r="M603" s="24" t="s">
        <v>1269</v>
      </c>
      <c r="N603" s="25" t="s">
        <v>1270</v>
      </c>
      <c r="O603" s="25">
        <v>21</v>
      </c>
      <c r="P603" s="25" t="s">
        <v>1271</v>
      </c>
      <c r="Q603" s="25">
        <v>29</v>
      </c>
      <c r="R603" s="25"/>
      <c r="S603" s="25"/>
      <c r="T603" s="26" t="s">
        <v>1272</v>
      </c>
      <c r="U603" s="26" t="s">
        <v>1273</v>
      </c>
      <c r="V603" s="26">
        <v>3407</v>
      </c>
      <c r="W603" s="26" t="s">
        <v>1267</v>
      </c>
      <c r="X603" s="66">
        <v>44816</v>
      </c>
      <c r="Y603" s="66">
        <v>45086</v>
      </c>
      <c r="Z603" s="66"/>
      <c r="AA603" s="66"/>
      <c r="AB603" s="26" t="s">
        <v>282</v>
      </c>
      <c r="AC603" s="26"/>
      <c r="AD603" s="28"/>
      <c r="AE603" s="28"/>
      <c r="AF603" s="28"/>
      <c r="AG603" s="28" t="s">
        <v>90</v>
      </c>
      <c r="AH603" s="28" t="s">
        <v>90</v>
      </c>
      <c r="AI603" s="28" t="s">
        <v>90</v>
      </c>
      <c r="AJ603" s="28" t="s">
        <v>90</v>
      </c>
      <c r="AK603" s="28" t="s">
        <v>90</v>
      </c>
      <c r="AL603" s="28" t="s">
        <v>90</v>
      </c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9">
        <v>34.58</v>
      </c>
      <c r="AY603" s="30"/>
      <c r="AZ603" s="30"/>
      <c r="BA603" s="29"/>
      <c r="BB603" s="29"/>
      <c r="BC603" s="30"/>
      <c r="BD603" s="31">
        <f t="shared" si="126"/>
        <v>6016.92</v>
      </c>
      <c r="BE603" s="31"/>
      <c r="BF603" s="30"/>
      <c r="BG603" s="36">
        <v>1</v>
      </c>
      <c r="BH603" s="31">
        <f t="shared" ref="BH603:BH627" si="138">IF(AND((AX603/I603)&lt;2,BG603=1),(I603*2)-AX603,0)</f>
        <v>0</v>
      </c>
      <c r="BI603" s="31">
        <f t="shared" ref="BI603:BI627" si="139">IF(AND((AX603/I603)&lt;3,BG603=2),(I603*3)-AX603,0)</f>
        <v>0</v>
      </c>
      <c r="BJ603" s="33">
        <f t="shared" ref="BJ603:BJ627" si="140">(BH603+BI603)*K603</f>
        <v>0</v>
      </c>
      <c r="BK603" s="30"/>
      <c r="BL603" s="30"/>
      <c r="BM603" s="30"/>
      <c r="BN603" s="30"/>
      <c r="BO603" s="33">
        <f t="shared" si="127"/>
        <v>0</v>
      </c>
      <c r="BP603" s="30">
        <v>15</v>
      </c>
      <c r="BQ603" s="30">
        <v>20</v>
      </c>
      <c r="BR603" s="30"/>
      <c r="BS603" s="30"/>
      <c r="BT603" s="34">
        <f t="shared" si="128"/>
        <v>34.58</v>
      </c>
      <c r="BU603" s="34"/>
      <c r="BV603" s="34"/>
      <c r="BW603" s="34"/>
      <c r="BX603" s="34"/>
      <c r="BY603" s="30"/>
      <c r="BZ603" s="31">
        <f t="shared" si="129"/>
        <v>518.69999999999993</v>
      </c>
      <c r="CA603" s="31">
        <f t="shared" si="136"/>
        <v>691.59999999999991</v>
      </c>
    </row>
    <row r="604" spans="1:79" ht="63.75" x14ac:dyDescent="0.25">
      <c r="A604" s="17"/>
      <c r="B604" s="2">
        <v>591</v>
      </c>
      <c r="C604" s="18">
        <v>306</v>
      </c>
      <c r="D604" s="18">
        <v>467</v>
      </c>
      <c r="E604" s="19">
        <v>0.28819444444444448</v>
      </c>
      <c r="F604" s="59">
        <v>0.2986111111111111</v>
      </c>
      <c r="G604" s="18" t="s">
        <v>1277</v>
      </c>
      <c r="H604" s="18" t="s">
        <v>306</v>
      </c>
      <c r="I604" s="20">
        <v>5</v>
      </c>
      <c r="J604" s="21" t="s">
        <v>93</v>
      </c>
      <c r="K604" s="22">
        <v>208</v>
      </c>
      <c r="L604" s="23">
        <f t="shared" si="137"/>
        <v>1040</v>
      </c>
      <c r="M604" s="24" t="s">
        <v>1278</v>
      </c>
      <c r="N604" s="17" t="s">
        <v>1279</v>
      </c>
      <c r="O604" s="17">
        <v>23</v>
      </c>
      <c r="P604" s="25" t="s">
        <v>1280</v>
      </c>
      <c r="Q604" s="25">
        <v>33</v>
      </c>
      <c r="R604" s="17"/>
      <c r="S604" s="17"/>
      <c r="T604" s="26">
        <v>3051</v>
      </c>
      <c r="U604" s="26" t="s">
        <v>1281</v>
      </c>
      <c r="V604" s="26">
        <v>3042</v>
      </c>
      <c r="W604" s="26" t="s">
        <v>1282</v>
      </c>
      <c r="X604" s="66">
        <v>44816</v>
      </c>
      <c r="Y604" s="66">
        <v>45086</v>
      </c>
      <c r="Z604" s="66"/>
      <c r="AA604" s="66"/>
      <c r="AB604" s="26" t="s">
        <v>309</v>
      </c>
      <c r="AC604" s="26"/>
      <c r="AD604" s="28"/>
      <c r="AE604" s="28"/>
      <c r="AF604" s="28"/>
      <c r="AG604" s="28" t="s">
        <v>90</v>
      </c>
      <c r="AH604" s="28" t="s">
        <v>90</v>
      </c>
      <c r="AI604" s="28" t="s">
        <v>90</v>
      </c>
      <c r="AJ604" s="28" t="s">
        <v>90</v>
      </c>
      <c r="AK604" s="28" t="s">
        <v>90</v>
      </c>
      <c r="AL604" s="28" t="s">
        <v>90</v>
      </c>
      <c r="AM604" s="28" t="s">
        <v>90</v>
      </c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9">
        <v>75.430000000000007</v>
      </c>
      <c r="AY604" s="30"/>
      <c r="AZ604" s="30"/>
      <c r="BA604" s="29"/>
      <c r="BB604" s="29"/>
      <c r="BC604" s="30"/>
      <c r="BD604" s="31">
        <f t="shared" si="126"/>
        <v>15689.440000000002</v>
      </c>
      <c r="BE604" s="31"/>
      <c r="BF604" s="30"/>
      <c r="BG604" s="36">
        <v>1</v>
      </c>
      <c r="BH604" s="31">
        <f t="shared" si="138"/>
        <v>0</v>
      </c>
      <c r="BI604" s="31">
        <f t="shared" si="139"/>
        <v>0</v>
      </c>
      <c r="BJ604" s="33">
        <f t="shared" si="140"/>
        <v>0</v>
      </c>
      <c r="BK604" s="30"/>
      <c r="BL604" s="30"/>
      <c r="BM604" s="30"/>
      <c r="BN604" s="31">
        <f>IF((AX604+AY604+AZ604)&lt;20,(20-(AX604+AY604+AZ604)),0)</f>
        <v>0</v>
      </c>
      <c r="BO604" s="33">
        <f t="shared" si="127"/>
        <v>0</v>
      </c>
      <c r="BP604" s="30">
        <v>17</v>
      </c>
      <c r="BQ604" s="30">
        <v>25</v>
      </c>
      <c r="BR604" s="30"/>
      <c r="BS604" s="30"/>
      <c r="BT604" s="34">
        <f t="shared" si="128"/>
        <v>75.430000000000007</v>
      </c>
      <c r="BU604" s="34"/>
      <c r="BV604" s="34"/>
      <c r="BW604" s="34"/>
      <c r="BX604" s="34"/>
      <c r="BY604" s="30"/>
      <c r="BZ604" s="31">
        <f t="shared" si="129"/>
        <v>1282.3100000000002</v>
      </c>
      <c r="CA604" s="31">
        <f t="shared" si="136"/>
        <v>1885.7500000000002</v>
      </c>
    </row>
    <row r="605" spans="1:79" ht="63.75" x14ac:dyDescent="0.25">
      <c r="A605" s="17"/>
      <c r="B605" s="2">
        <v>592</v>
      </c>
      <c r="C605" s="18">
        <v>306</v>
      </c>
      <c r="D605" s="18">
        <v>51</v>
      </c>
      <c r="E605" s="59">
        <v>0.29305555555555557</v>
      </c>
      <c r="F605" s="59">
        <v>0.31875000000000003</v>
      </c>
      <c r="G605" s="18" t="s">
        <v>1283</v>
      </c>
      <c r="H605" s="18" t="s">
        <v>273</v>
      </c>
      <c r="I605" s="20">
        <v>24</v>
      </c>
      <c r="J605" s="21" t="s">
        <v>81</v>
      </c>
      <c r="K605" s="22">
        <v>174</v>
      </c>
      <c r="L605" s="23">
        <f t="shared" si="137"/>
        <v>4176</v>
      </c>
      <c r="M605" s="24" t="s">
        <v>1284</v>
      </c>
      <c r="N605" s="25" t="s">
        <v>1285</v>
      </c>
      <c r="O605" s="25">
        <v>55</v>
      </c>
      <c r="P605" s="25" t="s">
        <v>1286</v>
      </c>
      <c r="Q605" s="25">
        <v>55</v>
      </c>
      <c r="R605" s="17"/>
      <c r="S605" s="25"/>
      <c r="T605" s="26" t="s">
        <v>1287</v>
      </c>
      <c r="U605" s="26" t="s">
        <v>1288</v>
      </c>
      <c r="V605" s="26" t="s">
        <v>1143</v>
      </c>
      <c r="W605" s="26" t="s">
        <v>1141</v>
      </c>
      <c r="X605" s="66">
        <v>44816</v>
      </c>
      <c r="Y605" s="66">
        <v>45086</v>
      </c>
      <c r="Z605" s="66"/>
      <c r="AA605" s="66"/>
      <c r="AB605" s="26" t="s">
        <v>282</v>
      </c>
      <c r="AC605" s="26"/>
      <c r="AD605" s="28"/>
      <c r="AE605" s="28"/>
      <c r="AF605" s="28"/>
      <c r="AG605" s="28" t="s">
        <v>90</v>
      </c>
      <c r="AH605" s="28" t="s">
        <v>90</v>
      </c>
      <c r="AI605" s="28" t="s">
        <v>90</v>
      </c>
      <c r="AJ605" s="28" t="s">
        <v>90</v>
      </c>
      <c r="AK605" s="28" t="s">
        <v>90</v>
      </c>
      <c r="AL605" s="28" t="s">
        <v>90</v>
      </c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9">
        <v>220</v>
      </c>
      <c r="AY605" s="30"/>
      <c r="AZ605" s="30"/>
      <c r="BA605" s="29"/>
      <c r="BB605" s="29"/>
      <c r="BC605" s="30"/>
      <c r="BD605" s="31">
        <f t="shared" si="126"/>
        <v>38280</v>
      </c>
      <c r="BE605" s="31"/>
      <c r="BF605" s="30"/>
      <c r="BG605" s="32">
        <v>2</v>
      </c>
      <c r="BH605" s="31">
        <f t="shared" si="138"/>
        <v>0</v>
      </c>
      <c r="BI605" s="31">
        <f t="shared" si="139"/>
        <v>0</v>
      </c>
      <c r="BJ605" s="33">
        <f t="shared" si="140"/>
        <v>0</v>
      </c>
      <c r="BK605" s="30"/>
      <c r="BL605" s="30"/>
      <c r="BM605" s="30"/>
      <c r="BN605" s="30"/>
      <c r="BO605" s="33">
        <f t="shared" si="127"/>
        <v>0</v>
      </c>
      <c r="BP605" s="30">
        <v>15</v>
      </c>
      <c r="BQ605" s="30">
        <v>20</v>
      </c>
      <c r="BR605" s="30"/>
      <c r="BS605" s="30"/>
      <c r="BT605" s="34">
        <f t="shared" si="128"/>
        <v>220</v>
      </c>
      <c r="BU605" s="34"/>
      <c r="BV605" s="34"/>
      <c r="BW605" s="34"/>
      <c r="BX605" s="34"/>
      <c r="BY605" s="30"/>
      <c r="BZ605" s="31">
        <f t="shared" si="129"/>
        <v>3300</v>
      </c>
      <c r="CA605" s="31">
        <f t="shared" si="136"/>
        <v>4400</v>
      </c>
    </row>
    <row r="606" spans="1:79" ht="76.5" x14ac:dyDescent="0.25">
      <c r="A606" s="17"/>
      <c r="B606" s="2">
        <v>593</v>
      </c>
      <c r="C606" s="18">
        <v>306</v>
      </c>
      <c r="D606" s="18">
        <v>469</v>
      </c>
      <c r="E606" s="19">
        <v>0.31944444444444448</v>
      </c>
      <c r="F606" s="59">
        <v>0.34583333333333338</v>
      </c>
      <c r="G606" s="18" t="s">
        <v>1289</v>
      </c>
      <c r="H606" s="18" t="s">
        <v>1290</v>
      </c>
      <c r="I606" s="20">
        <v>10</v>
      </c>
      <c r="J606" s="21" t="s">
        <v>93</v>
      </c>
      <c r="K606" s="22">
        <v>11</v>
      </c>
      <c r="L606" s="23">
        <f t="shared" si="137"/>
        <v>110</v>
      </c>
      <c r="M606" s="24" t="s">
        <v>1278</v>
      </c>
      <c r="N606" s="17" t="s">
        <v>1279</v>
      </c>
      <c r="O606" s="17">
        <v>23</v>
      </c>
      <c r="P606" s="25" t="s">
        <v>1291</v>
      </c>
      <c r="Q606" s="25">
        <v>20</v>
      </c>
      <c r="R606" s="25" t="s">
        <v>1280</v>
      </c>
      <c r="S606" s="35">
        <v>33</v>
      </c>
      <c r="T606" s="26">
        <v>3051</v>
      </c>
      <c r="U606" s="26" t="s">
        <v>1281</v>
      </c>
      <c r="V606" s="26" t="s">
        <v>1292</v>
      </c>
      <c r="W606" s="26" t="s">
        <v>1293</v>
      </c>
      <c r="X606" s="27">
        <v>44562</v>
      </c>
      <c r="Y606" s="27">
        <v>44815</v>
      </c>
      <c r="Z606" s="27">
        <v>45101</v>
      </c>
      <c r="AA606" s="27">
        <v>45169</v>
      </c>
      <c r="AB606" s="26" t="s">
        <v>1294</v>
      </c>
      <c r="AC606" s="26"/>
      <c r="AD606" s="28"/>
      <c r="AE606" s="28" t="s">
        <v>90</v>
      </c>
      <c r="AF606" s="28" t="s">
        <v>90</v>
      </c>
      <c r="AG606" s="28"/>
      <c r="AH606" s="28"/>
      <c r="AI606" s="28" t="s">
        <v>90</v>
      </c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9">
        <v>70.510000000000005</v>
      </c>
      <c r="AY606" s="30"/>
      <c r="AZ606" s="30"/>
      <c r="BA606" s="29"/>
      <c r="BB606" s="29"/>
      <c r="BC606" s="30"/>
      <c r="BD606" s="31">
        <f t="shared" si="126"/>
        <v>775.61</v>
      </c>
      <c r="BE606" s="31"/>
      <c r="BF606" s="30"/>
      <c r="BG606" s="36">
        <v>1</v>
      </c>
      <c r="BH606" s="31">
        <f t="shared" si="138"/>
        <v>0</v>
      </c>
      <c r="BI606" s="31">
        <f t="shared" si="139"/>
        <v>0</v>
      </c>
      <c r="BJ606" s="33">
        <f t="shared" si="140"/>
        <v>0</v>
      </c>
      <c r="BK606" s="30"/>
      <c r="BL606" s="30"/>
      <c r="BM606" s="30"/>
      <c r="BN606" s="30"/>
      <c r="BO606" s="33">
        <f t="shared" si="127"/>
        <v>0</v>
      </c>
      <c r="BP606" s="30">
        <v>1</v>
      </c>
      <c r="BQ606" s="30">
        <v>0</v>
      </c>
      <c r="BR606" s="30"/>
      <c r="BS606" s="30"/>
      <c r="BT606" s="34">
        <f t="shared" si="128"/>
        <v>70.510000000000005</v>
      </c>
      <c r="BU606" s="34"/>
      <c r="BV606" s="34"/>
      <c r="BW606" s="34"/>
      <c r="BX606" s="34"/>
      <c r="BY606" s="30"/>
      <c r="BZ606" s="31">
        <f t="shared" si="129"/>
        <v>70.510000000000005</v>
      </c>
      <c r="CA606" s="31">
        <f t="shared" si="136"/>
        <v>0</v>
      </c>
    </row>
    <row r="607" spans="1:79" ht="76.5" x14ac:dyDescent="0.25">
      <c r="A607" s="17"/>
      <c r="B607" s="2">
        <v>594</v>
      </c>
      <c r="C607" s="18">
        <v>306</v>
      </c>
      <c r="D607" s="18">
        <v>469</v>
      </c>
      <c r="E607" s="19">
        <v>0.3263888888888889</v>
      </c>
      <c r="F607" s="59">
        <v>0.3527777777777778</v>
      </c>
      <c r="G607" s="18" t="s">
        <v>1289</v>
      </c>
      <c r="H607" s="18" t="s">
        <v>1295</v>
      </c>
      <c r="I607" s="20">
        <f>10+2</f>
        <v>12</v>
      </c>
      <c r="J607" s="21" t="s">
        <v>93</v>
      </c>
      <c r="K607" s="22">
        <v>41</v>
      </c>
      <c r="L607" s="23">
        <f t="shared" si="137"/>
        <v>492</v>
      </c>
      <c r="M607" s="24" t="s">
        <v>1278</v>
      </c>
      <c r="N607" s="17" t="s">
        <v>1279</v>
      </c>
      <c r="O607" s="17">
        <v>23</v>
      </c>
      <c r="P607" s="25" t="s">
        <v>1291</v>
      </c>
      <c r="Q607" s="25">
        <v>20</v>
      </c>
      <c r="R607" s="25" t="s">
        <v>1280</v>
      </c>
      <c r="S607" s="35">
        <v>33</v>
      </c>
      <c r="T607" s="26">
        <v>3051</v>
      </c>
      <c r="U607" s="26" t="s">
        <v>1281</v>
      </c>
      <c r="V607" s="26" t="s">
        <v>1292</v>
      </c>
      <c r="W607" s="26" t="s">
        <v>1293</v>
      </c>
      <c r="X607" s="27">
        <v>44816</v>
      </c>
      <c r="Y607" s="27">
        <v>45100</v>
      </c>
      <c r="Z607" s="27"/>
      <c r="AA607" s="27"/>
      <c r="AB607" s="26" t="s">
        <v>1296</v>
      </c>
      <c r="AC607" s="26"/>
      <c r="AD607" s="28" t="s">
        <v>90</v>
      </c>
      <c r="AE607" s="28"/>
      <c r="AF607" s="28" t="s">
        <v>90</v>
      </c>
      <c r="AG607" s="28"/>
      <c r="AH607" s="28"/>
      <c r="AI607" s="28" t="s">
        <v>90</v>
      </c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9">
        <v>74.11</v>
      </c>
      <c r="AY607" s="30"/>
      <c r="AZ607" s="30"/>
      <c r="BA607" s="29"/>
      <c r="BB607" s="29"/>
      <c r="BC607" s="30"/>
      <c r="BD607" s="31">
        <f t="shared" si="126"/>
        <v>3038.5099999999998</v>
      </c>
      <c r="BE607" s="31"/>
      <c r="BF607" s="30"/>
      <c r="BG607" s="36">
        <v>1</v>
      </c>
      <c r="BH607" s="31">
        <f t="shared" si="138"/>
        <v>0</v>
      </c>
      <c r="BI607" s="31">
        <f t="shared" si="139"/>
        <v>0</v>
      </c>
      <c r="BJ607" s="33">
        <f t="shared" si="140"/>
        <v>0</v>
      </c>
      <c r="BK607" s="30"/>
      <c r="BL607" s="30"/>
      <c r="BM607" s="30"/>
      <c r="BN607" s="30"/>
      <c r="BO607" s="33">
        <f t="shared" si="127"/>
        <v>0</v>
      </c>
      <c r="BP607" s="30">
        <v>3</v>
      </c>
      <c r="BQ607" s="30">
        <v>4</v>
      </c>
      <c r="BR607" s="30"/>
      <c r="BS607" s="30"/>
      <c r="BT607" s="34">
        <f t="shared" si="128"/>
        <v>74.11</v>
      </c>
      <c r="BU607" s="34"/>
      <c r="BV607" s="34"/>
      <c r="BW607" s="34"/>
      <c r="BX607" s="34"/>
      <c r="BY607" s="30"/>
      <c r="BZ607" s="31">
        <f t="shared" si="129"/>
        <v>222.32999999999998</v>
      </c>
      <c r="CA607" s="31">
        <f t="shared" si="136"/>
        <v>296.44</v>
      </c>
    </row>
    <row r="608" spans="1:79" ht="56.25" x14ac:dyDescent="0.25">
      <c r="A608" s="17"/>
      <c r="B608" s="2">
        <v>595</v>
      </c>
      <c r="C608" s="18">
        <v>306</v>
      </c>
      <c r="D608" s="18">
        <v>36</v>
      </c>
      <c r="E608" s="19">
        <v>0.33333333333333331</v>
      </c>
      <c r="F608" s="19">
        <v>0.36736111111111108</v>
      </c>
      <c r="G608" s="18" t="s">
        <v>1297</v>
      </c>
      <c r="H608" s="18" t="s">
        <v>273</v>
      </c>
      <c r="I608" s="20">
        <v>24</v>
      </c>
      <c r="J608" s="21" t="s">
        <v>81</v>
      </c>
      <c r="K608" s="22">
        <v>174</v>
      </c>
      <c r="L608" s="23">
        <f t="shared" si="137"/>
        <v>4176</v>
      </c>
      <c r="M608" s="24" t="s">
        <v>1191</v>
      </c>
      <c r="N608" s="25" t="s">
        <v>1298</v>
      </c>
      <c r="O608" s="25">
        <v>37</v>
      </c>
      <c r="P608" s="25" t="s">
        <v>1193</v>
      </c>
      <c r="Q608" s="45">
        <v>58</v>
      </c>
      <c r="R608" s="25" t="s">
        <v>1192</v>
      </c>
      <c r="S608" s="75">
        <v>57</v>
      </c>
      <c r="T608" s="26" t="s">
        <v>1140</v>
      </c>
      <c r="U608" s="26" t="s">
        <v>1141</v>
      </c>
      <c r="V608" s="26" t="s">
        <v>1292</v>
      </c>
      <c r="W608" s="26" t="s">
        <v>1293</v>
      </c>
      <c r="X608" s="66">
        <v>44816</v>
      </c>
      <c r="Y608" s="66">
        <v>45086</v>
      </c>
      <c r="Z608" s="66"/>
      <c r="AA608" s="66"/>
      <c r="AB608" s="26" t="s">
        <v>282</v>
      </c>
      <c r="AC608" s="26"/>
      <c r="AD608" s="28"/>
      <c r="AE608" s="28"/>
      <c r="AF608" s="28"/>
      <c r="AG608" s="28" t="s">
        <v>90</v>
      </c>
      <c r="AH608" s="28" t="s">
        <v>90</v>
      </c>
      <c r="AI608" s="28" t="s">
        <v>90</v>
      </c>
      <c r="AJ608" s="28" t="s">
        <v>90</v>
      </c>
      <c r="AK608" s="28" t="s">
        <v>90</v>
      </c>
      <c r="AL608" s="28" t="s">
        <v>90</v>
      </c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9">
        <v>150</v>
      </c>
      <c r="AY608" s="30"/>
      <c r="AZ608" s="30"/>
      <c r="BA608" s="29"/>
      <c r="BB608" s="29"/>
      <c r="BC608" s="30">
        <v>55</v>
      </c>
      <c r="BD608" s="31">
        <f t="shared" si="126"/>
        <v>26100</v>
      </c>
      <c r="BE608" s="31"/>
      <c r="BF608" s="30"/>
      <c r="BG608" s="32">
        <v>2</v>
      </c>
      <c r="BH608" s="31">
        <f t="shared" si="138"/>
        <v>0</v>
      </c>
      <c r="BI608" s="31">
        <f t="shared" si="139"/>
        <v>0</v>
      </c>
      <c r="BJ608" s="33">
        <f t="shared" si="140"/>
        <v>0</v>
      </c>
      <c r="BK608" s="30"/>
      <c r="BL608" s="30"/>
      <c r="BM608" s="30"/>
      <c r="BN608" s="30"/>
      <c r="BO608" s="33">
        <f t="shared" si="127"/>
        <v>0</v>
      </c>
      <c r="BP608" s="30">
        <v>15</v>
      </c>
      <c r="BQ608" s="30">
        <v>20</v>
      </c>
      <c r="BR608" s="30"/>
      <c r="BS608" s="30"/>
      <c r="BT608" s="34">
        <f t="shared" si="128"/>
        <v>150</v>
      </c>
      <c r="BU608" s="82" t="s">
        <v>282</v>
      </c>
      <c r="BV608" s="82" t="s">
        <v>463</v>
      </c>
      <c r="BW608" s="82" t="s">
        <v>122</v>
      </c>
      <c r="BX608" s="34">
        <v>70</v>
      </c>
      <c r="BY608" s="30"/>
      <c r="BZ608" s="31">
        <f t="shared" si="129"/>
        <v>3300</v>
      </c>
      <c r="CA608" s="31">
        <f t="shared" si="136"/>
        <v>4400</v>
      </c>
    </row>
    <row r="609" spans="1:79" ht="63.75" x14ac:dyDescent="0.25">
      <c r="A609" s="17"/>
      <c r="B609" s="2">
        <v>596</v>
      </c>
      <c r="C609" s="18">
        <v>306</v>
      </c>
      <c r="D609" s="18">
        <v>471</v>
      </c>
      <c r="E609" s="19">
        <v>0.4548611111111111</v>
      </c>
      <c r="F609" s="59">
        <v>0.47986111111111113</v>
      </c>
      <c r="G609" s="51" t="s">
        <v>1299</v>
      </c>
      <c r="H609" s="18" t="s">
        <v>1300</v>
      </c>
      <c r="I609" s="20">
        <f>16+2</f>
        <v>18</v>
      </c>
      <c r="J609" s="21" t="s">
        <v>93</v>
      </c>
      <c r="K609" s="22">
        <f>41+11</f>
        <v>52</v>
      </c>
      <c r="L609" s="23">
        <f t="shared" si="137"/>
        <v>936</v>
      </c>
      <c r="M609" s="24" t="s">
        <v>1278</v>
      </c>
      <c r="N609" s="17" t="s">
        <v>1279</v>
      </c>
      <c r="O609" s="17">
        <v>23</v>
      </c>
      <c r="P609" s="25" t="s">
        <v>1291</v>
      </c>
      <c r="Q609" s="25">
        <v>20</v>
      </c>
      <c r="R609" s="25" t="s">
        <v>1280</v>
      </c>
      <c r="S609" s="35">
        <v>33</v>
      </c>
      <c r="T609" s="26" t="s">
        <v>1292</v>
      </c>
      <c r="U609" s="26" t="s">
        <v>1293</v>
      </c>
      <c r="V609" s="26">
        <v>3051</v>
      </c>
      <c r="W609" s="26" t="s">
        <v>1281</v>
      </c>
      <c r="X609" s="66">
        <v>44805</v>
      </c>
      <c r="Y609" s="66">
        <v>45169</v>
      </c>
      <c r="Z609" s="66"/>
      <c r="AA609" s="66"/>
      <c r="AB609" s="26" t="s">
        <v>1301</v>
      </c>
      <c r="AC609" s="26"/>
      <c r="AD609" s="28" t="s">
        <v>90</v>
      </c>
      <c r="AE609" s="28" t="s">
        <v>90</v>
      </c>
      <c r="AF609" s="28" t="s">
        <v>90</v>
      </c>
      <c r="AG609" s="28"/>
      <c r="AH609" s="28"/>
      <c r="AI609" s="28" t="s">
        <v>90</v>
      </c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9">
        <v>74.11</v>
      </c>
      <c r="AY609" s="30"/>
      <c r="AZ609" s="30"/>
      <c r="BA609" s="29"/>
      <c r="BB609" s="29"/>
      <c r="BC609" s="30"/>
      <c r="BD609" s="31">
        <f t="shared" si="126"/>
        <v>3853.72</v>
      </c>
      <c r="BE609" s="31"/>
      <c r="BF609" s="30"/>
      <c r="BG609" s="36">
        <v>1</v>
      </c>
      <c r="BH609" s="31">
        <f t="shared" si="138"/>
        <v>0</v>
      </c>
      <c r="BI609" s="31">
        <f t="shared" si="139"/>
        <v>0</v>
      </c>
      <c r="BJ609" s="33">
        <f t="shared" si="140"/>
        <v>0</v>
      </c>
      <c r="BK609" s="30"/>
      <c r="BL609" s="30"/>
      <c r="BM609" s="30"/>
      <c r="BN609" s="30"/>
      <c r="BO609" s="33">
        <f t="shared" si="127"/>
        <v>0</v>
      </c>
      <c r="BP609" s="30">
        <v>4</v>
      </c>
      <c r="BQ609" s="30">
        <v>4</v>
      </c>
      <c r="BR609" s="30"/>
      <c r="BS609" s="30"/>
      <c r="BT609" s="34">
        <f t="shared" si="128"/>
        <v>74.11</v>
      </c>
      <c r="BU609" s="34"/>
      <c r="BV609" s="34"/>
      <c r="BW609" s="34"/>
      <c r="BX609" s="34"/>
      <c r="BY609" s="30"/>
      <c r="BZ609" s="31">
        <f t="shared" si="129"/>
        <v>296.44</v>
      </c>
      <c r="CA609" s="31">
        <f t="shared" si="136"/>
        <v>296.44</v>
      </c>
    </row>
    <row r="610" spans="1:79" ht="38.25" x14ac:dyDescent="0.25">
      <c r="A610" s="17"/>
      <c r="B610" s="2">
        <v>597</v>
      </c>
      <c r="C610" s="18">
        <v>306</v>
      </c>
      <c r="D610" s="18">
        <v>57</v>
      </c>
      <c r="E610" s="19">
        <v>0.50347222222222221</v>
      </c>
      <c r="F610" s="19">
        <v>0.53749999999999998</v>
      </c>
      <c r="G610" s="18" t="s">
        <v>1302</v>
      </c>
      <c r="H610" s="18" t="s">
        <v>352</v>
      </c>
      <c r="I610" s="20">
        <v>24</v>
      </c>
      <c r="J610" s="21" t="s">
        <v>93</v>
      </c>
      <c r="K610" s="22">
        <v>55</v>
      </c>
      <c r="L610" s="23">
        <f t="shared" si="137"/>
        <v>1320</v>
      </c>
      <c r="M610" s="24" t="s">
        <v>176</v>
      </c>
      <c r="N610" s="25" t="s">
        <v>356</v>
      </c>
      <c r="O610" s="25">
        <v>20</v>
      </c>
      <c r="P610" s="25" t="s">
        <v>177</v>
      </c>
      <c r="Q610" s="25">
        <v>24</v>
      </c>
      <c r="R610" s="25" t="s">
        <v>178</v>
      </c>
      <c r="S610" s="35">
        <v>23</v>
      </c>
      <c r="T610" s="26" t="s">
        <v>1287</v>
      </c>
      <c r="U610" s="26" t="s">
        <v>1288</v>
      </c>
      <c r="V610" s="26" t="s">
        <v>1143</v>
      </c>
      <c r="W610" s="26" t="s">
        <v>1141</v>
      </c>
      <c r="X610" s="27">
        <v>44562</v>
      </c>
      <c r="Y610" s="27">
        <v>44815</v>
      </c>
      <c r="Z610" s="27">
        <v>45101</v>
      </c>
      <c r="AA610" s="27">
        <v>45169</v>
      </c>
      <c r="AB610" s="26" t="s">
        <v>353</v>
      </c>
      <c r="AC610" s="26"/>
      <c r="AD610" s="28"/>
      <c r="AE610" s="28" t="s">
        <v>90</v>
      </c>
      <c r="AF610" s="28" t="s">
        <v>90</v>
      </c>
      <c r="AG610" s="28"/>
      <c r="AH610" s="28" t="s">
        <v>90</v>
      </c>
      <c r="AI610" s="28" t="s">
        <v>90</v>
      </c>
      <c r="AJ610" s="28" t="s">
        <v>90</v>
      </c>
      <c r="AK610" s="28" t="s">
        <v>90</v>
      </c>
      <c r="AL610" s="28" t="s">
        <v>90</v>
      </c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9">
        <v>72</v>
      </c>
      <c r="AY610" s="30"/>
      <c r="AZ610" s="30"/>
      <c r="BA610" s="29"/>
      <c r="BB610" s="29"/>
      <c r="BC610" s="30"/>
      <c r="BD610" s="31">
        <f t="shared" si="126"/>
        <v>3960</v>
      </c>
      <c r="BE610" s="31"/>
      <c r="BF610" s="30"/>
      <c r="BG610" s="36">
        <v>1</v>
      </c>
      <c r="BH610" s="31">
        <f t="shared" si="138"/>
        <v>0</v>
      </c>
      <c r="BI610" s="31">
        <f t="shared" si="139"/>
        <v>0</v>
      </c>
      <c r="BJ610" s="33">
        <f t="shared" si="140"/>
        <v>0</v>
      </c>
      <c r="BK610" s="30"/>
      <c r="BL610" s="30"/>
      <c r="BM610" s="30"/>
      <c r="BN610" s="30"/>
      <c r="BO610" s="33">
        <f t="shared" si="127"/>
        <v>0</v>
      </c>
      <c r="BP610" s="30">
        <v>7</v>
      </c>
      <c r="BQ610" s="30">
        <v>0</v>
      </c>
      <c r="BR610" s="30"/>
      <c r="BS610" s="30"/>
      <c r="BT610" s="34">
        <f t="shared" si="128"/>
        <v>72</v>
      </c>
      <c r="BU610" s="34"/>
      <c r="BV610" s="34"/>
      <c r="BW610" s="34"/>
      <c r="BX610" s="34"/>
      <c r="BY610" s="30"/>
      <c r="BZ610" s="31">
        <f t="shared" si="129"/>
        <v>504</v>
      </c>
      <c r="CA610" s="31">
        <f t="shared" si="136"/>
        <v>0</v>
      </c>
    </row>
    <row r="611" spans="1:79" ht="76.5" x14ac:dyDescent="0.25">
      <c r="A611" s="17"/>
      <c r="B611" s="2">
        <v>598</v>
      </c>
      <c r="C611" s="18">
        <v>306</v>
      </c>
      <c r="D611" s="18">
        <v>509</v>
      </c>
      <c r="E611" s="19">
        <v>0.53472222222222221</v>
      </c>
      <c r="F611" s="19">
        <v>0.61249999999999993</v>
      </c>
      <c r="G611" s="18" t="s">
        <v>1303</v>
      </c>
      <c r="H611" s="18" t="s">
        <v>879</v>
      </c>
      <c r="I611" s="20">
        <v>52</v>
      </c>
      <c r="J611" s="21" t="s">
        <v>104</v>
      </c>
      <c r="K611" s="22">
        <v>47</v>
      </c>
      <c r="L611" s="23">
        <f t="shared" si="137"/>
        <v>2444</v>
      </c>
      <c r="M611" s="24" t="s">
        <v>1222</v>
      </c>
      <c r="N611" s="25" t="s">
        <v>1232</v>
      </c>
      <c r="O611" s="25">
        <v>33</v>
      </c>
      <c r="P611" s="25" t="s">
        <v>1186</v>
      </c>
      <c r="Q611" s="25">
        <v>55</v>
      </c>
      <c r="R611" s="17" t="s">
        <v>1187</v>
      </c>
      <c r="S611" s="35">
        <v>55</v>
      </c>
      <c r="T611" s="26">
        <v>3895</v>
      </c>
      <c r="U611" s="26" t="s">
        <v>1176</v>
      </c>
      <c r="V611" s="26" t="s">
        <v>1143</v>
      </c>
      <c r="W611" s="26" t="s">
        <v>1141</v>
      </c>
      <c r="X611" s="27">
        <v>44816</v>
      </c>
      <c r="Y611" s="27">
        <v>45100</v>
      </c>
      <c r="Z611" s="27"/>
      <c r="AA611" s="27"/>
      <c r="AB611" s="62" t="s">
        <v>289</v>
      </c>
      <c r="AC611" s="62"/>
      <c r="AD611" s="28" t="s">
        <v>90</v>
      </c>
      <c r="AE611" s="28"/>
      <c r="AF611" s="28"/>
      <c r="AG611" s="28"/>
      <c r="AH611" s="28"/>
      <c r="AI611" s="28"/>
      <c r="AJ611" s="28"/>
      <c r="AK611" s="28"/>
      <c r="AL611" s="28"/>
      <c r="AM611" s="28"/>
      <c r="AN611" s="28" t="s">
        <v>90</v>
      </c>
      <c r="AO611" s="28"/>
      <c r="AP611" s="28"/>
      <c r="AQ611" s="28"/>
      <c r="AR611" s="28"/>
      <c r="AS611" s="28"/>
      <c r="AT611" s="28"/>
      <c r="AU611" s="28"/>
      <c r="AV611" s="28"/>
      <c r="AW611" s="28"/>
      <c r="AX611" s="29">
        <v>156</v>
      </c>
      <c r="AY611" s="30"/>
      <c r="AZ611" s="30"/>
      <c r="BA611" s="29"/>
      <c r="BB611" s="29"/>
      <c r="BC611" s="30"/>
      <c r="BD611" s="31">
        <f t="shared" si="126"/>
        <v>7332</v>
      </c>
      <c r="BE611" s="31"/>
      <c r="BF611" s="30"/>
      <c r="BG611" s="36">
        <v>1</v>
      </c>
      <c r="BH611" s="31">
        <f t="shared" si="138"/>
        <v>0</v>
      </c>
      <c r="BI611" s="31">
        <f t="shared" si="139"/>
        <v>0</v>
      </c>
      <c r="BJ611" s="33">
        <f t="shared" si="140"/>
        <v>0</v>
      </c>
      <c r="BK611" s="30"/>
      <c r="BL611" s="30"/>
      <c r="BM611" s="30"/>
      <c r="BN611" s="30"/>
      <c r="BO611" s="33">
        <f t="shared" si="127"/>
        <v>0</v>
      </c>
      <c r="BP611" s="30">
        <v>2</v>
      </c>
      <c r="BQ611" s="30">
        <v>5</v>
      </c>
      <c r="BR611" s="30"/>
      <c r="BS611" s="30"/>
      <c r="BT611" s="34">
        <f t="shared" si="128"/>
        <v>156</v>
      </c>
      <c r="BU611" s="34"/>
      <c r="BV611" s="34"/>
      <c r="BW611" s="34"/>
      <c r="BX611" s="34"/>
      <c r="BY611" s="30"/>
      <c r="BZ611" s="31">
        <f t="shared" si="129"/>
        <v>312</v>
      </c>
      <c r="CA611" s="31">
        <f t="shared" si="136"/>
        <v>780</v>
      </c>
    </row>
    <row r="612" spans="1:79" ht="63.75" x14ac:dyDescent="0.25">
      <c r="A612" s="17"/>
      <c r="B612" s="2">
        <v>599</v>
      </c>
      <c r="C612" s="18">
        <v>306</v>
      </c>
      <c r="D612" s="18">
        <v>470</v>
      </c>
      <c r="E612" s="19">
        <v>0.54513888888888895</v>
      </c>
      <c r="F612" s="19">
        <v>0.55555555555555558</v>
      </c>
      <c r="G612" s="51" t="s">
        <v>1304</v>
      </c>
      <c r="H612" s="18" t="s">
        <v>1300</v>
      </c>
      <c r="I612" s="20">
        <v>5</v>
      </c>
      <c r="J612" s="21" t="s">
        <v>93</v>
      </c>
      <c r="K612" s="22">
        <f>41+11</f>
        <v>52</v>
      </c>
      <c r="L612" s="23">
        <f t="shared" si="137"/>
        <v>260</v>
      </c>
      <c r="M612" s="24" t="s">
        <v>1278</v>
      </c>
      <c r="N612" s="17" t="s">
        <v>1279</v>
      </c>
      <c r="O612" s="17">
        <v>23</v>
      </c>
      <c r="P612" s="25" t="s">
        <v>1291</v>
      </c>
      <c r="Q612" s="25">
        <v>20</v>
      </c>
      <c r="R612" s="25" t="s">
        <v>1280</v>
      </c>
      <c r="S612" s="35">
        <v>33</v>
      </c>
      <c r="T612" s="26">
        <v>3042</v>
      </c>
      <c r="U612" s="26" t="s">
        <v>1282</v>
      </c>
      <c r="V612" s="26">
        <v>3051</v>
      </c>
      <c r="W612" s="26" t="s">
        <v>1281</v>
      </c>
      <c r="X612" s="66">
        <v>44805</v>
      </c>
      <c r="Y612" s="66">
        <v>45169</v>
      </c>
      <c r="Z612" s="66"/>
      <c r="AA612" s="66"/>
      <c r="AB612" s="26" t="s">
        <v>1301</v>
      </c>
      <c r="AC612" s="26"/>
      <c r="AD612" s="28" t="s">
        <v>90</v>
      </c>
      <c r="AE612" s="28" t="s">
        <v>90</v>
      </c>
      <c r="AF612" s="28" t="s">
        <v>90</v>
      </c>
      <c r="AG612" s="28"/>
      <c r="AH612" s="28"/>
      <c r="AI612" s="28" t="s">
        <v>90</v>
      </c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9">
        <v>70.510000000000005</v>
      </c>
      <c r="AY612" s="30"/>
      <c r="AZ612" s="30"/>
      <c r="BA612" s="29"/>
      <c r="BB612" s="29"/>
      <c r="BC612" s="30"/>
      <c r="BD612" s="31">
        <f t="shared" si="126"/>
        <v>3666.5200000000004</v>
      </c>
      <c r="BE612" s="31"/>
      <c r="BF612" s="30"/>
      <c r="BG612" s="36">
        <v>1</v>
      </c>
      <c r="BH612" s="31">
        <f t="shared" si="138"/>
        <v>0</v>
      </c>
      <c r="BI612" s="31">
        <f t="shared" si="139"/>
        <v>0</v>
      </c>
      <c r="BJ612" s="33">
        <f t="shared" si="140"/>
        <v>0</v>
      </c>
      <c r="BK612" s="30"/>
      <c r="BL612" s="30"/>
      <c r="BM612" s="30"/>
      <c r="BN612" s="30"/>
      <c r="BO612" s="33">
        <f t="shared" si="127"/>
        <v>0</v>
      </c>
      <c r="BP612" s="30">
        <v>4</v>
      </c>
      <c r="BQ612" s="30">
        <v>4</v>
      </c>
      <c r="BR612" s="30"/>
      <c r="BS612" s="30"/>
      <c r="BT612" s="34">
        <f t="shared" si="128"/>
        <v>70.510000000000005</v>
      </c>
      <c r="BU612" s="34"/>
      <c r="BV612" s="34"/>
      <c r="BW612" s="34"/>
      <c r="BX612" s="34"/>
      <c r="BY612" s="30"/>
      <c r="BZ612" s="31">
        <f t="shared" si="129"/>
        <v>282.04000000000002</v>
      </c>
      <c r="CA612" s="31">
        <f t="shared" si="136"/>
        <v>282.04000000000002</v>
      </c>
    </row>
    <row r="613" spans="1:79" ht="63.75" x14ac:dyDescent="0.25">
      <c r="A613" s="17"/>
      <c r="B613" s="2">
        <v>600</v>
      </c>
      <c r="C613" s="18">
        <v>306</v>
      </c>
      <c r="D613" s="18">
        <v>468</v>
      </c>
      <c r="E613" s="19">
        <v>0.58611111111111114</v>
      </c>
      <c r="F613" s="19">
        <v>0.59652777777777777</v>
      </c>
      <c r="G613" s="18" t="s">
        <v>1305</v>
      </c>
      <c r="H613" s="18" t="s">
        <v>306</v>
      </c>
      <c r="I613" s="20">
        <v>5</v>
      </c>
      <c r="J613" s="21" t="s">
        <v>93</v>
      </c>
      <c r="K613" s="22">
        <v>208</v>
      </c>
      <c r="L613" s="23">
        <f t="shared" si="137"/>
        <v>1040</v>
      </c>
      <c r="M613" s="24" t="s">
        <v>1278</v>
      </c>
      <c r="N613" s="17" t="s">
        <v>1279</v>
      </c>
      <c r="O613" s="17">
        <v>23</v>
      </c>
      <c r="P613" s="25" t="s">
        <v>1280</v>
      </c>
      <c r="Q613" s="25">
        <v>33</v>
      </c>
      <c r="R613" s="17"/>
      <c r="S613" s="17"/>
      <c r="T613" s="26">
        <v>3042</v>
      </c>
      <c r="U613" s="26" t="s">
        <v>1282</v>
      </c>
      <c r="V613" s="26">
        <v>3051</v>
      </c>
      <c r="W613" s="26" t="s">
        <v>1281</v>
      </c>
      <c r="X613" s="66">
        <v>44816</v>
      </c>
      <c r="Y613" s="66">
        <v>45086</v>
      </c>
      <c r="Z613" s="66"/>
      <c r="AA613" s="66"/>
      <c r="AB613" s="26" t="s">
        <v>309</v>
      </c>
      <c r="AC613" s="26"/>
      <c r="AD613" s="28"/>
      <c r="AE613" s="28"/>
      <c r="AF613" s="28"/>
      <c r="AG613" s="28" t="s">
        <v>90</v>
      </c>
      <c r="AH613" s="28" t="s">
        <v>90</v>
      </c>
      <c r="AI613" s="28" t="s">
        <v>90</v>
      </c>
      <c r="AJ613" s="28" t="s">
        <v>90</v>
      </c>
      <c r="AK613" s="28" t="s">
        <v>90</v>
      </c>
      <c r="AL613" s="28" t="s">
        <v>90</v>
      </c>
      <c r="AM613" s="28" t="s">
        <v>90</v>
      </c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9">
        <v>75.430000000000007</v>
      </c>
      <c r="AY613" s="30"/>
      <c r="AZ613" s="30"/>
      <c r="BA613" s="29"/>
      <c r="BB613" s="29"/>
      <c r="BC613" s="30"/>
      <c r="BD613" s="31">
        <f t="shared" si="126"/>
        <v>15689.440000000002</v>
      </c>
      <c r="BE613" s="31"/>
      <c r="BF613" s="30"/>
      <c r="BG613" s="36">
        <v>1</v>
      </c>
      <c r="BH613" s="31">
        <f t="shared" si="138"/>
        <v>0</v>
      </c>
      <c r="BI613" s="31">
        <f t="shared" si="139"/>
        <v>0</v>
      </c>
      <c r="BJ613" s="33">
        <f t="shared" si="140"/>
        <v>0</v>
      </c>
      <c r="BK613" s="30"/>
      <c r="BL613" s="30"/>
      <c r="BM613" s="30"/>
      <c r="BN613" s="30"/>
      <c r="BO613" s="33">
        <f t="shared" si="127"/>
        <v>0</v>
      </c>
      <c r="BP613" s="30">
        <v>17</v>
      </c>
      <c r="BQ613" s="30">
        <v>25</v>
      </c>
      <c r="BR613" s="30"/>
      <c r="BS613" s="30"/>
      <c r="BT613" s="34">
        <f t="shared" si="128"/>
        <v>75.430000000000007</v>
      </c>
      <c r="BU613" s="34"/>
      <c r="BV613" s="34"/>
      <c r="BW613" s="34"/>
      <c r="BX613" s="34"/>
      <c r="BY613" s="30"/>
      <c r="BZ613" s="31">
        <f t="shared" si="129"/>
        <v>1282.3100000000002</v>
      </c>
      <c r="CA613" s="31">
        <f t="shared" si="136"/>
        <v>1885.7500000000002</v>
      </c>
    </row>
    <row r="614" spans="1:79" ht="76.5" x14ac:dyDescent="0.25">
      <c r="A614" s="17"/>
      <c r="B614" s="2">
        <v>601</v>
      </c>
      <c r="C614" s="18">
        <v>306</v>
      </c>
      <c r="D614" s="18">
        <v>509</v>
      </c>
      <c r="E614" s="19">
        <v>0.59722222222222221</v>
      </c>
      <c r="F614" s="19">
        <v>0.67499999999999993</v>
      </c>
      <c r="G614" s="18" t="s">
        <v>1303</v>
      </c>
      <c r="H614" s="18" t="s">
        <v>290</v>
      </c>
      <c r="I614" s="20">
        <v>52</v>
      </c>
      <c r="J614" s="21" t="s">
        <v>104</v>
      </c>
      <c r="K614" s="22">
        <v>13</v>
      </c>
      <c r="L614" s="23">
        <f t="shared" si="137"/>
        <v>676</v>
      </c>
      <c r="M614" s="83" t="s">
        <v>1222</v>
      </c>
      <c r="N614" s="25" t="s">
        <v>1232</v>
      </c>
      <c r="O614" s="25">
        <v>33</v>
      </c>
      <c r="P614" s="25" t="s">
        <v>1186</v>
      </c>
      <c r="Q614" s="25">
        <v>55</v>
      </c>
      <c r="R614" s="17" t="s">
        <v>1187</v>
      </c>
      <c r="S614" s="35">
        <v>55</v>
      </c>
      <c r="T614" s="26">
        <v>3895</v>
      </c>
      <c r="U614" s="26" t="s">
        <v>1176</v>
      </c>
      <c r="V614" s="26" t="s">
        <v>1143</v>
      </c>
      <c r="W614" s="26" t="s">
        <v>1141</v>
      </c>
      <c r="X614" s="27">
        <v>44562</v>
      </c>
      <c r="Y614" s="27">
        <v>44815</v>
      </c>
      <c r="Z614" s="27">
        <v>45101</v>
      </c>
      <c r="AA614" s="27">
        <v>45169</v>
      </c>
      <c r="AB614" s="62" t="s">
        <v>291</v>
      </c>
      <c r="AC614" s="62"/>
      <c r="AD614" s="28"/>
      <c r="AE614" s="28" t="s">
        <v>90</v>
      </c>
      <c r="AF614" s="28"/>
      <c r="AG614" s="28"/>
      <c r="AH614" s="28"/>
      <c r="AI614" s="28"/>
      <c r="AJ614" s="28"/>
      <c r="AK614" s="28"/>
      <c r="AL614" s="28"/>
      <c r="AM614" s="28"/>
      <c r="AN614" s="28" t="s">
        <v>90</v>
      </c>
      <c r="AO614" s="28"/>
      <c r="AP614" s="28"/>
      <c r="AQ614" s="28"/>
      <c r="AR614" s="28"/>
      <c r="AS614" s="28"/>
      <c r="AT614" s="28"/>
      <c r="AU614" s="28"/>
      <c r="AV614" s="28"/>
      <c r="AW614" s="28"/>
      <c r="AX614" s="29">
        <v>156</v>
      </c>
      <c r="AY614" s="30"/>
      <c r="AZ614" s="30"/>
      <c r="BA614" s="29"/>
      <c r="BB614" s="29"/>
      <c r="BC614" s="30"/>
      <c r="BD614" s="31">
        <f t="shared" si="126"/>
        <v>2028</v>
      </c>
      <c r="BE614" s="31"/>
      <c r="BF614" s="30"/>
      <c r="BG614" s="36">
        <v>1</v>
      </c>
      <c r="BH614" s="31">
        <f t="shared" si="138"/>
        <v>0</v>
      </c>
      <c r="BI614" s="31">
        <f t="shared" si="139"/>
        <v>0</v>
      </c>
      <c r="BJ614" s="33">
        <f t="shared" si="140"/>
        <v>0</v>
      </c>
      <c r="BK614" s="30"/>
      <c r="BL614" s="30"/>
      <c r="BM614" s="30"/>
      <c r="BN614" s="30"/>
      <c r="BO614" s="33">
        <f t="shared" si="127"/>
        <v>0</v>
      </c>
      <c r="BP614" s="30">
        <v>2</v>
      </c>
      <c r="BQ614" s="30">
        <v>0</v>
      </c>
      <c r="BR614" s="30"/>
      <c r="BS614" s="30"/>
      <c r="BT614" s="34">
        <f t="shared" si="128"/>
        <v>156</v>
      </c>
      <c r="BU614" s="34"/>
      <c r="BV614" s="34"/>
      <c r="BW614" s="34"/>
      <c r="BX614" s="34"/>
      <c r="BY614" s="30"/>
      <c r="BZ614" s="31">
        <f t="shared" si="129"/>
        <v>312</v>
      </c>
      <c r="CA614" s="31">
        <f t="shared" si="136"/>
        <v>0</v>
      </c>
    </row>
    <row r="615" spans="1:79" ht="89.25" x14ac:dyDescent="0.25">
      <c r="A615" s="17"/>
      <c r="B615" s="2">
        <v>602</v>
      </c>
      <c r="C615" s="18">
        <v>306</v>
      </c>
      <c r="D615" s="18">
        <v>514</v>
      </c>
      <c r="E615" s="19">
        <v>0.70138888888888884</v>
      </c>
      <c r="F615" s="19">
        <v>0.77847222222222223</v>
      </c>
      <c r="G615" s="51" t="s">
        <v>1306</v>
      </c>
      <c r="H615" s="18" t="s">
        <v>1307</v>
      </c>
      <c r="I615" s="20">
        <v>52</v>
      </c>
      <c r="J615" s="21" t="s">
        <v>104</v>
      </c>
      <c r="K615" s="22">
        <v>58</v>
      </c>
      <c r="L615" s="23">
        <f t="shared" si="137"/>
        <v>3016</v>
      </c>
      <c r="M615" s="24" t="s">
        <v>1222</v>
      </c>
      <c r="N615" s="25" t="s">
        <v>1232</v>
      </c>
      <c r="O615" s="25">
        <v>33</v>
      </c>
      <c r="P615" s="25" t="s">
        <v>1186</v>
      </c>
      <c r="Q615" s="25">
        <v>55</v>
      </c>
      <c r="R615" s="17" t="s">
        <v>1187</v>
      </c>
      <c r="S615" s="35">
        <v>55</v>
      </c>
      <c r="T615" s="26" t="s">
        <v>1140</v>
      </c>
      <c r="U615" s="26" t="s">
        <v>1141</v>
      </c>
      <c r="V615" s="26">
        <v>3895</v>
      </c>
      <c r="W615" s="26" t="s">
        <v>1176</v>
      </c>
      <c r="X615" s="66">
        <v>44805</v>
      </c>
      <c r="Y615" s="66">
        <v>45169</v>
      </c>
      <c r="Z615" s="66"/>
      <c r="AA615" s="66"/>
      <c r="AB615" s="28" t="s">
        <v>408</v>
      </c>
      <c r="AC615" s="28"/>
      <c r="AD615" s="28" t="s">
        <v>90</v>
      </c>
      <c r="AE615" s="28" t="s">
        <v>90</v>
      </c>
      <c r="AF615" s="28"/>
      <c r="AG615" s="28"/>
      <c r="AH615" s="28"/>
      <c r="AI615" s="28"/>
      <c r="AJ615" s="28"/>
      <c r="AK615" s="28"/>
      <c r="AL615" s="28"/>
      <c r="AM615" s="28"/>
      <c r="AN615" s="28" t="s">
        <v>90</v>
      </c>
      <c r="AO615" s="28"/>
      <c r="AP615" s="28"/>
      <c r="AQ615" s="28"/>
      <c r="AR615" s="28"/>
      <c r="AS615" s="28"/>
      <c r="AT615" s="28"/>
      <c r="AU615" s="28"/>
      <c r="AV615" s="28"/>
      <c r="AW615" s="28"/>
      <c r="AX615" s="29">
        <v>156</v>
      </c>
      <c r="AY615" s="30"/>
      <c r="AZ615" s="30"/>
      <c r="BA615" s="29"/>
      <c r="BB615" s="29"/>
      <c r="BC615" s="30"/>
      <c r="BD615" s="31">
        <f t="shared" si="126"/>
        <v>9048</v>
      </c>
      <c r="BE615" s="31"/>
      <c r="BF615" s="30"/>
      <c r="BG615" s="36">
        <v>1</v>
      </c>
      <c r="BH615" s="31">
        <f t="shared" si="138"/>
        <v>0</v>
      </c>
      <c r="BI615" s="31">
        <f t="shared" si="139"/>
        <v>0</v>
      </c>
      <c r="BJ615" s="33">
        <f t="shared" si="140"/>
        <v>0</v>
      </c>
      <c r="BK615" s="30"/>
      <c r="BL615" s="30"/>
      <c r="BM615" s="30"/>
      <c r="BN615" s="30"/>
      <c r="BO615" s="33">
        <f t="shared" si="127"/>
        <v>0</v>
      </c>
      <c r="BP615" s="30">
        <v>4</v>
      </c>
      <c r="BQ615" s="30">
        <v>5</v>
      </c>
      <c r="BR615" s="30"/>
      <c r="BS615" s="30"/>
      <c r="BT615" s="34">
        <f t="shared" si="128"/>
        <v>156</v>
      </c>
      <c r="BU615" s="34"/>
      <c r="BV615" s="34"/>
      <c r="BW615" s="34"/>
      <c r="BX615" s="34"/>
      <c r="BY615" s="30"/>
      <c r="BZ615" s="31">
        <f t="shared" si="129"/>
        <v>624</v>
      </c>
      <c r="CA615" s="31">
        <f t="shared" si="136"/>
        <v>780</v>
      </c>
    </row>
    <row r="616" spans="1:79" ht="51" x14ac:dyDescent="0.25">
      <c r="A616" s="17"/>
      <c r="B616" s="2">
        <v>603</v>
      </c>
      <c r="C616" s="18">
        <v>310</v>
      </c>
      <c r="D616" s="18">
        <v>93</v>
      </c>
      <c r="E616" s="19">
        <v>0.28819444444444448</v>
      </c>
      <c r="F616" s="19">
        <v>0.31527777777777777</v>
      </c>
      <c r="G616" s="18" t="s">
        <v>1308</v>
      </c>
      <c r="H616" s="18" t="s">
        <v>273</v>
      </c>
      <c r="I616" s="20">
        <v>18</v>
      </c>
      <c r="J616" s="21" t="s">
        <v>81</v>
      </c>
      <c r="K616" s="22">
        <v>174</v>
      </c>
      <c r="L616" s="23">
        <f t="shared" si="137"/>
        <v>3132</v>
      </c>
      <c r="M616" s="24" t="s">
        <v>176</v>
      </c>
      <c r="N616" s="25" t="s">
        <v>339</v>
      </c>
      <c r="O616" s="25">
        <v>36</v>
      </c>
      <c r="P616" s="25" t="s">
        <v>276</v>
      </c>
      <c r="Q616" s="17">
        <v>50</v>
      </c>
      <c r="R616" s="17"/>
      <c r="S616" s="25"/>
      <c r="T616" s="26">
        <v>3381</v>
      </c>
      <c r="U616" s="26" t="s">
        <v>1309</v>
      </c>
      <c r="V616" s="26" t="s">
        <v>1310</v>
      </c>
      <c r="W616" s="26" t="s">
        <v>1311</v>
      </c>
      <c r="X616" s="66">
        <v>44816</v>
      </c>
      <c r="Y616" s="66">
        <v>45086</v>
      </c>
      <c r="Z616" s="66"/>
      <c r="AA616" s="66"/>
      <c r="AB616" s="26" t="s">
        <v>282</v>
      </c>
      <c r="AC616" s="26"/>
      <c r="AD616" s="28"/>
      <c r="AE616" s="28"/>
      <c r="AF616" s="28"/>
      <c r="AG616" s="28" t="s">
        <v>90</v>
      </c>
      <c r="AH616" s="28" t="s">
        <v>90</v>
      </c>
      <c r="AI616" s="28" t="s">
        <v>90</v>
      </c>
      <c r="AJ616" s="28" t="s">
        <v>90</v>
      </c>
      <c r="AK616" s="28" t="s">
        <v>90</v>
      </c>
      <c r="AL616" s="28" t="s">
        <v>90</v>
      </c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9">
        <v>54</v>
      </c>
      <c r="AY616" s="30"/>
      <c r="AZ616" s="30"/>
      <c r="BA616" s="29"/>
      <c r="BB616" s="29"/>
      <c r="BC616" s="30"/>
      <c r="BD616" s="31">
        <f t="shared" si="126"/>
        <v>9396</v>
      </c>
      <c r="BE616" s="31"/>
      <c r="BF616" s="30"/>
      <c r="BG616" s="32">
        <v>2</v>
      </c>
      <c r="BH616" s="31">
        <f t="shared" si="138"/>
        <v>0</v>
      </c>
      <c r="BI616" s="31">
        <f t="shared" si="139"/>
        <v>0</v>
      </c>
      <c r="BJ616" s="33">
        <f t="shared" si="140"/>
        <v>0</v>
      </c>
      <c r="BK616" s="30"/>
      <c r="BL616" s="30"/>
      <c r="BM616" s="30"/>
      <c r="BN616" s="31">
        <f>IF((AX616+AY616+AZ616)&lt;20,(20-(AX616+AY616+AZ616)),0)</f>
        <v>0</v>
      </c>
      <c r="BO616" s="33">
        <f t="shared" si="127"/>
        <v>0</v>
      </c>
      <c r="BP616" s="30">
        <v>15</v>
      </c>
      <c r="BQ616" s="30">
        <v>20</v>
      </c>
      <c r="BR616" s="30"/>
      <c r="BS616" s="30"/>
      <c r="BT616" s="34">
        <f t="shared" si="128"/>
        <v>54</v>
      </c>
      <c r="BU616" s="34"/>
      <c r="BV616" s="34"/>
      <c r="BW616" s="34"/>
      <c r="BX616" s="34"/>
      <c r="BY616" s="30"/>
      <c r="BZ616" s="31">
        <f t="shared" si="129"/>
        <v>810</v>
      </c>
      <c r="CA616" s="31">
        <f t="shared" si="136"/>
        <v>1080</v>
      </c>
    </row>
    <row r="617" spans="1:79" ht="51.75" x14ac:dyDescent="0.25">
      <c r="A617" s="67" t="s">
        <v>322</v>
      </c>
      <c r="B617" s="2">
        <v>604</v>
      </c>
      <c r="C617" s="18">
        <v>310</v>
      </c>
      <c r="D617" s="18">
        <v>183</v>
      </c>
      <c r="E617" s="19">
        <v>0.3611111111111111</v>
      </c>
      <c r="F617" s="59">
        <v>0.39861111111111108</v>
      </c>
      <c r="G617" s="73" t="s">
        <v>1312</v>
      </c>
      <c r="H617" s="58" t="s">
        <v>1313</v>
      </c>
      <c r="I617" s="20">
        <v>30</v>
      </c>
      <c r="J617" s="21" t="s">
        <v>104</v>
      </c>
      <c r="K617" s="68">
        <v>202</v>
      </c>
      <c r="L617" s="23">
        <f t="shared" si="137"/>
        <v>6060</v>
      </c>
      <c r="M617" s="24" t="s">
        <v>176</v>
      </c>
      <c r="N617" s="25" t="s">
        <v>339</v>
      </c>
      <c r="O617" s="25">
        <v>36</v>
      </c>
      <c r="P617" s="25" t="s">
        <v>275</v>
      </c>
      <c r="Q617" s="25">
        <v>57</v>
      </c>
      <c r="R617" s="25" t="s">
        <v>276</v>
      </c>
      <c r="S617" s="17">
        <v>50</v>
      </c>
      <c r="T617" s="26">
        <v>3389</v>
      </c>
      <c r="U617" s="26" t="s">
        <v>1314</v>
      </c>
      <c r="V617" s="26">
        <v>3100</v>
      </c>
      <c r="W617" s="26" t="s">
        <v>410</v>
      </c>
      <c r="X617" s="27">
        <v>44816</v>
      </c>
      <c r="Y617" s="27">
        <v>45100</v>
      </c>
      <c r="Z617" s="27"/>
      <c r="AA617" s="27"/>
      <c r="AB617" s="28" t="s">
        <v>351</v>
      </c>
      <c r="AC617" s="28"/>
      <c r="AD617" s="28" t="s">
        <v>90</v>
      </c>
      <c r="AE617" s="28"/>
      <c r="AF617" s="28" t="s">
        <v>90</v>
      </c>
      <c r="AG617" s="28"/>
      <c r="AH617" s="28" t="s">
        <v>90</v>
      </c>
      <c r="AI617" s="28" t="s">
        <v>90</v>
      </c>
      <c r="AJ617" s="28" t="s">
        <v>90</v>
      </c>
      <c r="AK617" s="28" t="s">
        <v>90</v>
      </c>
      <c r="AL617" s="28" t="s">
        <v>90</v>
      </c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9">
        <v>90</v>
      </c>
      <c r="AY617" s="30"/>
      <c r="AZ617" s="30"/>
      <c r="BA617" s="29"/>
      <c r="BB617" s="29"/>
      <c r="BC617" s="30"/>
      <c r="BD617" s="31">
        <f t="shared" si="126"/>
        <v>18180</v>
      </c>
      <c r="BE617" s="31"/>
      <c r="BF617" s="30"/>
      <c r="BG617" s="36">
        <v>1</v>
      </c>
      <c r="BH617" s="31">
        <f t="shared" si="138"/>
        <v>0</v>
      </c>
      <c r="BI617" s="31">
        <f t="shared" si="139"/>
        <v>0</v>
      </c>
      <c r="BJ617" s="33">
        <f t="shared" si="140"/>
        <v>0</v>
      </c>
      <c r="BK617" s="30"/>
      <c r="BL617" s="30"/>
      <c r="BM617" s="30"/>
      <c r="BN617" s="30"/>
      <c r="BO617" s="33">
        <f t="shared" si="127"/>
        <v>0</v>
      </c>
      <c r="BP617" s="30">
        <v>15</v>
      </c>
      <c r="BQ617" s="30">
        <v>21</v>
      </c>
      <c r="BR617" s="30"/>
      <c r="BS617" s="30"/>
      <c r="BT617" s="34">
        <f t="shared" si="128"/>
        <v>90</v>
      </c>
      <c r="BU617" s="34"/>
      <c r="BV617" s="34"/>
      <c r="BW617" s="34"/>
      <c r="BX617" s="34"/>
      <c r="BY617" s="30"/>
      <c r="BZ617" s="31">
        <f t="shared" si="129"/>
        <v>1350</v>
      </c>
      <c r="CA617" s="31">
        <f t="shared" si="136"/>
        <v>1890</v>
      </c>
    </row>
    <row r="618" spans="1:79" ht="51" x14ac:dyDescent="0.25">
      <c r="A618" s="17"/>
      <c r="B618" s="2">
        <v>605</v>
      </c>
      <c r="C618" s="18">
        <v>311</v>
      </c>
      <c r="D618" s="18">
        <v>797</v>
      </c>
      <c r="E618" s="19">
        <v>0.72222222222222221</v>
      </c>
      <c r="F618" s="19">
        <v>0.73472222222222217</v>
      </c>
      <c r="G618" s="18" t="s">
        <v>1315</v>
      </c>
      <c r="H618" s="18" t="s">
        <v>273</v>
      </c>
      <c r="I618" s="20">
        <v>12</v>
      </c>
      <c r="J618" s="21" t="s">
        <v>571</v>
      </c>
      <c r="K618" s="22">
        <v>174</v>
      </c>
      <c r="L618" s="23">
        <f t="shared" si="137"/>
        <v>2088</v>
      </c>
      <c r="M618" s="24" t="s">
        <v>176</v>
      </c>
      <c r="N618" s="25" t="s">
        <v>1316</v>
      </c>
      <c r="O618" s="25">
        <v>16</v>
      </c>
      <c r="P618" s="25" t="s">
        <v>178</v>
      </c>
      <c r="Q618" s="25">
        <v>23</v>
      </c>
      <c r="R618" s="25" t="s">
        <v>276</v>
      </c>
      <c r="S618" s="17">
        <v>50</v>
      </c>
      <c r="T618" s="26">
        <v>3640</v>
      </c>
      <c r="U618" s="26" t="s">
        <v>1163</v>
      </c>
      <c r="V618" s="26">
        <v>3103</v>
      </c>
      <c r="W618" s="26" t="s">
        <v>1317</v>
      </c>
      <c r="X618" s="66">
        <v>44816</v>
      </c>
      <c r="Y618" s="66">
        <v>45086</v>
      </c>
      <c r="Z618" s="66"/>
      <c r="AA618" s="66"/>
      <c r="AB618" s="26" t="s">
        <v>282</v>
      </c>
      <c r="AC618" s="26"/>
      <c r="AD618" s="28"/>
      <c r="AE618" s="28"/>
      <c r="AF618" s="28"/>
      <c r="AG618" s="28" t="s">
        <v>90</v>
      </c>
      <c r="AH618" s="28" t="s">
        <v>90</v>
      </c>
      <c r="AI618" s="28" t="s">
        <v>90</v>
      </c>
      <c r="AJ618" s="28" t="s">
        <v>90</v>
      </c>
      <c r="AK618" s="28" t="s">
        <v>90</v>
      </c>
      <c r="AL618" s="28" t="s">
        <v>90</v>
      </c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9">
        <v>30</v>
      </c>
      <c r="AY618" s="30"/>
      <c r="AZ618" s="30"/>
      <c r="BA618" s="29"/>
      <c r="BB618" s="29"/>
      <c r="BC618" s="30"/>
      <c r="BD618" s="31">
        <f t="shared" si="126"/>
        <v>5220</v>
      </c>
      <c r="BE618" s="31"/>
      <c r="BF618" s="30"/>
      <c r="BG618" s="36">
        <v>1</v>
      </c>
      <c r="BH618" s="31">
        <f t="shared" si="138"/>
        <v>0</v>
      </c>
      <c r="BI618" s="31">
        <f t="shared" si="139"/>
        <v>0</v>
      </c>
      <c r="BJ618" s="33">
        <f t="shared" si="140"/>
        <v>0</v>
      </c>
      <c r="BK618" s="30"/>
      <c r="BL618" s="30"/>
      <c r="BM618" s="30"/>
      <c r="BN618" s="30"/>
      <c r="BO618" s="33">
        <f t="shared" si="127"/>
        <v>0</v>
      </c>
      <c r="BP618" s="30">
        <v>15</v>
      </c>
      <c r="BQ618" s="30">
        <v>20</v>
      </c>
      <c r="BR618" s="30"/>
      <c r="BS618" s="30"/>
      <c r="BT618" s="34">
        <f t="shared" si="128"/>
        <v>30</v>
      </c>
      <c r="BU618" s="34"/>
      <c r="BV618" s="34"/>
      <c r="BW618" s="34"/>
      <c r="BX618" s="34"/>
      <c r="BY618" s="30"/>
      <c r="BZ618" s="31">
        <f t="shared" si="129"/>
        <v>450</v>
      </c>
      <c r="CA618" s="31">
        <f t="shared" si="136"/>
        <v>600</v>
      </c>
    </row>
    <row r="619" spans="1:79" ht="51" x14ac:dyDescent="0.25">
      <c r="A619" s="17"/>
      <c r="B619" s="2">
        <v>606</v>
      </c>
      <c r="C619" s="18">
        <v>312</v>
      </c>
      <c r="D619" s="18">
        <v>365</v>
      </c>
      <c r="E619" s="19">
        <v>0.2638888888888889</v>
      </c>
      <c r="F619" s="19">
        <v>0.28263888888888888</v>
      </c>
      <c r="G619" s="18" t="s">
        <v>1318</v>
      </c>
      <c r="H619" s="18" t="s">
        <v>306</v>
      </c>
      <c r="I619" s="20">
        <v>15.5</v>
      </c>
      <c r="J619" s="21" t="s">
        <v>1319</v>
      </c>
      <c r="K619" s="22">
        <v>208</v>
      </c>
      <c r="L619" s="23">
        <f t="shared" si="137"/>
        <v>3224</v>
      </c>
      <c r="M619" s="24" t="s">
        <v>478</v>
      </c>
      <c r="N619" s="25" t="s">
        <v>479</v>
      </c>
      <c r="O619" s="25">
        <v>17</v>
      </c>
      <c r="P619" s="17"/>
      <c r="Q619" s="17"/>
      <c r="R619" s="25"/>
      <c r="S619" s="25"/>
      <c r="T619" s="26">
        <v>3169</v>
      </c>
      <c r="U619" s="26" t="s">
        <v>407</v>
      </c>
      <c r="V619" s="26">
        <v>3164</v>
      </c>
      <c r="W619" s="26" t="s">
        <v>1320</v>
      </c>
      <c r="X619" s="66">
        <v>44816</v>
      </c>
      <c r="Y619" s="66">
        <v>45086</v>
      </c>
      <c r="Z619" s="66"/>
      <c r="AA619" s="66"/>
      <c r="AB619" s="26" t="s">
        <v>309</v>
      </c>
      <c r="AC619" s="26"/>
      <c r="AD619" s="28"/>
      <c r="AE619" s="28"/>
      <c r="AF619" s="28"/>
      <c r="AG619" s="28" t="s">
        <v>90</v>
      </c>
      <c r="AH619" s="28" t="s">
        <v>90</v>
      </c>
      <c r="AI619" s="28" t="s">
        <v>90</v>
      </c>
      <c r="AJ619" s="28" t="s">
        <v>90</v>
      </c>
      <c r="AK619" s="28" t="s">
        <v>90</v>
      </c>
      <c r="AL619" s="28" t="s">
        <v>90</v>
      </c>
      <c r="AM619" s="28" t="s">
        <v>90</v>
      </c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9">
        <v>56.61</v>
      </c>
      <c r="AY619" s="30"/>
      <c r="AZ619" s="30"/>
      <c r="BA619" s="29"/>
      <c r="BB619" s="29"/>
      <c r="BC619" s="30"/>
      <c r="BD619" s="31">
        <f t="shared" si="126"/>
        <v>11774.88</v>
      </c>
      <c r="BE619" s="31"/>
      <c r="BF619" s="30"/>
      <c r="BG619" s="36">
        <v>1</v>
      </c>
      <c r="BH619" s="31">
        <f t="shared" si="138"/>
        <v>0</v>
      </c>
      <c r="BI619" s="31">
        <f t="shared" si="139"/>
        <v>0</v>
      </c>
      <c r="BJ619" s="33">
        <f t="shared" si="140"/>
        <v>0</v>
      </c>
      <c r="BK619" s="30"/>
      <c r="BL619" s="30"/>
      <c r="BM619" s="30"/>
      <c r="BN619" s="31">
        <f>IF((AX619+AY619+AZ619)&lt;20,(20-(AX619+AY619+AZ619)),0)</f>
        <v>0</v>
      </c>
      <c r="BO619" s="33">
        <f t="shared" si="127"/>
        <v>0</v>
      </c>
      <c r="BP619" s="30">
        <v>17</v>
      </c>
      <c r="BQ619" s="30">
        <v>25</v>
      </c>
      <c r="BR619" s="30"/>
      <c r="BS619" s="30"/>
      <c r="BT619" s="34">
        <f t="shared" si="128"/>
        <v>56.61</v>
      </c>
      <c r="BU619" s="34"/>
      <c r="BV619" s="34"/>
      <c r="BW619" s="34"/>
      <c r="BX619" s="34"/>
      <c r="BY619" s="30"/>
      <c r="BZ619" s="31">
        <f t="shared" si="129"/>
        <v>962.37</v>
      </c>
      <c r="CA619" s="31">
        <f t="shared" si="136"/>
        <v>1415.25</v>
      </c>
    </row>
    <row r="620" spans="1:79" ht="51" x14ac:dyDescent="0.25">
      <c r="A620" s="17"/>
      <c r="B620" s="2">
        <v>607</v>
      </c>
      <c r="C620" s="18">
        <v>312</v>
      </c>
      <c r="D620" s="18">
        <v>601</v>
      </c>
      <c r="E620" s="19">
        <v>0.3611111111111111</v>
      </c>
      <c r="F620" s="19">
        <v>0.36805555555555558</v>
      </c>
      <c r="G620" s="51" t="s">
        <v>1321</v>
      </c>
      <c r="H620" s="18" t="s">
        <v>1322</v>
      </c>
      <c r="I620" s="20">
        <v>6</v>
      </c>
      <c r="J620" s="21" t="s">
        <v>93</v>
      </c>
      <c r="K620" s="22">
        <f t="shared" ref="K620:K627" si="141">38+39+10+11</f>
        <v>98</v>
      </c>
      <c r="L620" s="23">
        <f t="shared" si="137"/>
        <v>588</v>
      </c>
      <c r="M620" s="24" t="s">
        <v>478</v>
      </c>
      <c r="N620" s="25" t="s">
        <v>479</v>
      </c>
      <c r="O620" s="25">
        <v>17</v>
      </c>
      <c r="P620" s="17"/>
      <c r="Q620" s="17"/>
      <c r="R620" s="25"/>
      <c r="S620" s="25"/>
      <c r="T620" s="26">
        <v>3164</v>
      </c>
      <c r="U620" s="26" t="s">
        <v>1320</v>
      </c>
      <c r="V620" s="26">
        <v>3159</v>
      </c>
      <c r="W620" s="26" t="s">
        <v>1323</v>
      </c>
      <c r="X620" s="66">
        <v>44805</v>
      </c>
      <c r="Y620" s="66">
        <v>45169</v>
      </c>
      <c r="Z620" s="66"/>
      <c r="AA620" s="66"/>
      <c r="AB620" s="62" t="s">
        <v>1324</v>
      </c>
      <c r="AC620" s="62"/>
      <c r="AD620" s="28" t="s">
        <v>90</v>
      </c>
      <c r="AE620" s="28" t="s">
        <v>90</v>
      </c>
      <c r="AF620" s="28" t="s">
        <v>90</v>
      </c>
      <c r="AG620" s="28"/>
      <c r="AH620" s="28" t="s">
        <v>90</v>
      </c>
      <c r="AI620" s="28"/>
      <c r="AJ620" s="28"/>
      <c r="AK620" s="28" t="s">
        <v>90</v>
      </c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9">
        <v>13.04</v>
      </c>
      <c r="AY620" s="30"/>
      <c r="AZ620" s="30"/>
      <c r="BA620" s="29"/>
      <c r="BB620" s="29"/>
      <c r="BC620" s="30"/>
      <c r="BD620" s="31">
        <f t="shared" si="126"/>
        <v>1277.9199999999998</v>
      </c>
      <c r="BE620" s="31"/>
      <c r="BF620" s="30"/>
      <c r="BG620" s="36">
        <v>1</v>
      </c>
      <c r="BH620" s="31">
        <f t="shared" si="138"/>
        <v>0</v>
      </c>
      <c r="BI620" s="31">
        <f t="shared" si="139"/>
        <v>0</v>
      </c>
      <c r="BJ620" s="33">
        <f t="shared" si="140"/>
        <v>0</v>
      </c>
      <c r="BK620" s="30"/>
      <c r="BL620" s="30"/>
      <c r="BM620" s="30"/>
      <c r="BN620" s="30"/>
      <c r="BO620" s="33">
        <f t="shared" si="127"/>
        <v>0</v>
      </c>
      <c r="BP620" s="30">
        <v>9</v>
      </c>
      <c r="BQ620" s="30">
        <v>9</v>
      </c>
      <c r="BR620" s="30"/>
      <c r="BS620" s="30"/>
      <c r="BT620" s="34">
        <f t="shared" si="128"/>
        <v>13.04</v>
      </c>
      <c r="BU620" s="34"/>
      <c r="BV620" s="34"/>
      <c r="BW620" s="34"/>
      <c r="BX620" s="34"/>
      <c r="BY620" s="30"/>
      <c r="BZ620" s="31">
        <f t="shared" si="129"/>
        <v>117.35999999999999</v>
      </c>
      <c r="CA620" s="31">
        <f t="shared" si="136"/>
        <v>117.35999999999999</v>
      </c>
    </row>
    <row r="621" spans="1:79" ht="51" x14ac:dyDescent="0.25">
      <c r="A621" s="17"/>
      <c r="B621" s="2">
        <v>608</v>
      </c>
      <c r="C621" s="18">
        <v>312</v>
      </c>
      <c r="D621" s="18">
        <v>600</v>
      </c>
      <c r="E621" s="19">
        <v>0.36805555555555558</v>
      </c>
      <c r="F621" s="19">
        <v>0.375</v>
      </c>
      <c r="G621" s="51" t="s">
        <v>1325</v>
      </c>
      <c r="H621" s="18" t="s">
        <v>1322</v>
      </c>
      <c r="I621" s="20">
        <v>6.5</v>
      </c>
      <c r="J621" s="21" t="s">
        <v>93</v>
      </c>
      <c r="K621" s="22">
        <f t="shared" si="141"/>
        <v>98</v>
      </c>
      <c r="L621" s="23">
        <f t="shared" si="137"/>
        <v>637</v>
      </c>
      <c r="M621" s="24" t="s">
        <v>478</v>
      </c>
      <c r="N621" s="25" t="s">
        <v>479</v>
      </c>
      <c r="O621" s="25">
        <v>17</v>
      </c>
      <c r="P621" s="17"/>
      <c r="Q621" s="17"/>
      <c r="R621" s="25"/>
      <c r="S621" s="25"/>
      <c r="T621" s="26">
        <v>3159</v>
      </c>
      <c r="U621" s="26" t="s">
        <v>1323</v>
      </c>
      <c r="V621" s="26">
        <v>3164</v>
      </c>
      <c r="W621" s="26" t="s">
        <v>1320</v>
      </c>
      <c r="X621" s="66">
        <v>44805</v>
      </c>
      <c r="Y621" s="66">
        <v>45169</v>
      </c>
      <c r="Z621" s="66"/>
      <c r="AA621" s="66"/>
      <c r="AB621" s="62" t="s">
        <v>1324</v>
      </c>
      <c r="AC621" s="62"/>
      <c r="AD621" s="28" t="s">
        <v>90</v>
      </c>
      <c r="AE621" s="28" t="s">
        <v>90</v>
      </c>
      <c r="AF621" s="28" t="s">
        <v>90</v>
      </c>
      <c r="AG621" s="28"/>
      <c r="AH621" s="28" t="s">
        <v>90</v>
      </c>
      <c r="AI621" s="28"/>
      <c r="AJ621" s="28"/>
      <c r="AK621" s="28" t="s">
        <v>90</v>
      </c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9">
        <v>14.12</v>
      </c>
      <c r="AY621" s="30"/>
      <c r="AZ621" s="30"/>
      <c r="BA621" s="29"/>
      <c r="BB621" s="29"/>
      <c r="BC621" s="30"/>
      <c r="BD621" s="31">
        <f t="shared" si="126"/>
        <v>1383.76</v>
      </c>
      <c r="BE621" s="31"/>
      <c r="BF621" s="30"/>
      <c r="BG621" s="36">
        <v>1</v>
      </c>
      <c r="BH621" s="31">
        <f t="shared" si="138"/>
        <v>0</v>
      </c>
      <c r="BI621" s="31">
        <f t="shared" si="139"/>
        <v>0</v>
      </c>
      <c r="BJ621" s="33">
        <f t="shared" si="140"/>
        <v>0</v>
      </c>
      <c r="BK621" s="30"/>
      <c r="BL621" s="30"/>
      <c r="BM621" s="30"/>
      <c r="BN621" s="30"/>
      <c r="BO621" s="33">
        <f t="shared" si="127"/>
        <v>0</v>
      </c>
      <c r="BP621" s="30">
        <v>9</v>
      </c>
      <c r="BQ621" s="30">
        <v>9</v>
      </c>
      <c r="BR621" s="30"/>
      <c r="BS621" s="30"/>
      <c r="BT621" s="34">
        <f t="shared" si="128"/>
        <v>14.12</v>
      </c>
      <c r="BU621" s="34"/>
      <c r="BV621" s="34"/>
      <c r="BW621" s="34"/>
      <c r="BX621" s="34"/>
      <c r="BY621" s="30"/>
      <c r="BZ621" s="31">
        <f t="shared" si="129"/>
        <v>127.08</v>
      </c>
      <c r="CA621" s="31">
        <f t="shared" si="136"/>
        <v>127.08</v>
      </c>
    </row>
    <row r="622" spans="1:79" ht="89.25" x14ac:dyDescent="0.25">
      <c r="A622" s="17"/>
      <c r="B622" s="2">
        <v>609</v>
      </c>
      <c r="C622" s="18">
        <v>312</v>
      </c>
      <c r="D622" s="18">
        <v>604</v>
      </c>
      <c r="E622" s="19">
        <v>0.38194444444444442</v>
      </c>
      <c r="F622" s="19">
        <v>0.39861111111111108</v>
      </c>
      <c r="G622" s="51" t="s">
        <v>1326</v>
      </c>
      <c r="H622" s="18" t="s">
        <v>1322</v>
      </c>
      <c r="I622" s="20">
        <v>14</v>
      </c>
      <c r="J622" s="21" t="s">
        <v>93</v>
      </c>
      <c r="K622" s="22">
        <f t="shared" si="141"/>
        <v>98</v>
      </c>
      <c r="L622" s="23">
        <f t="shared" si="137"/>
        <v>1372</v>
      </c>
      <c r="M622" s="24" t="s">
        <v>478</v>
      </c>
      <c r="N622" s="25" t="s">
        <v>479</v>
      </c>
      <c r="O622" s="25">
        <v>17</v>
      </c>
      <c r="P622" s="17"/>
      <c r="Q622" s="17"/>
      <c r="R622" s="25"/>
      <c r="S622" s="25"/>
      <c r="T622" s="26">
        <v>3164</v>
      </c>
      <c r="U622" s="26" t="s">
        <v>1320</v>
      </c>
      <c r="V622" s="26">
        <v>3166</v>
      </c>
      <c r="W622" s="26" t="s">
        <v>1327</v>
      </c>
      <c r="X622" s="66">
        <v>44805</v>
      </c>
      <c r="Y622" s="66">
        <v>45169</v>
      </c>
      <c r="Z622" s="66"/>
      <c r="AA622" s="66"/>
      <c r="AB622" s="62" t="s">
        <v>1324</v>
      </c>
      <c r="AC622" s="62"/>
      <c r="AD622" s="28" t="s">
        <v>90</v>
      </c>
      <c r="AE622" s="28" t="s">
        <v>90</v>
      </c>
      <c r="AF622" s="28" t="s">
        <v>90</v>
      </c>
      <c r="AG622" s="28"/>
      <c r="AH622" s="28" t="s">
        <v>90</v>
      </c>
      <c r="AI622" s="28"/>
      <c r="AJ622" s="28"/>
      <c r="AK622" s="28" t="s">
        <v>90</v>
      </c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9">
        <v>30.42</v>
      </c>
      <c r="AY622" s="30"/>
      <c r="AZ622" s="30"/>
      <c r="BA622" s="29"/>
      <c r="BB622" s="29"/>
      <c r="BC622" s="30"/>
      <c r="BD622" s="31">
        <f t="shared" si="126"/>
        <v>2981.1600000000003</v>
      </c>
      <c r="BE622" s="31"/>
      <c r="BF622" s="30"/>
      <c r="BG622" s="36">
        <v>1</v>
      </c>
      <c r="BH622" s="31">
        <f t="shared" si="138"/>
        <v>0</v>
      </c>
      <c r="BI622" s="31">
        <f t="shared" si="139"/>
        <v>0</v>
      </c>
      <c r="BJ622" s="33">
        <f t="shared" si="140"/>
        <v>0</v>
      </c>
      <c r="BK622" s="30"/>
      <c r="BL622" s="30"/>
      <c r="BM622" s="30"/>
      <c r="BN622" s="30"/>
      <c r="BO622" s="33">
        <f t="shared" si="127"/>
        <v>0</v>
      </c>
      <c r="BP622" s="30">
        <v>9</v>
      </c>
      <c r="BQ622" s="30">
        <v>9</v>
      </c>
      <c r="BR622" s="30"/>
      <c r="BS622" s="30"/>
      <c r="BT622" s="34">
        <f t="shared" si="128"/>
        <v>30.42</v>
      </c>
      <c r="BU622" s="34"/>
      <c r="BV622" s="34"/>
      <c r="BW622" s="34"/>
      <c r="BX622" s="34"/>
      <c r="BY622" s="30"/>
      <c r="BZ622" s="31">
        <f t="shared" si="129"/>
        <v>273.78000000000003</v>
      </c>
      <c r="CA622" s="31">
        <f t="shared" si="136"/>
        <v>273.78000000000003</v>
      </c>
    </row>
    <row r="623" spans="1:79" ht="63.75" x14ac:dyDescent="0.25">
      <c r="A623" s="17"/>
      <c r="B623" s="2">
        <v>610</v>
      </c>
      <c r="C623" s="18">
        <v>312</v>
      </c>
      <c r="D623" s="18">
        <v>605</v>
      </c>
      <c r="E623" s="19">
        <v>0.39861111111111108</v>
      </c>
      <c r="F623" s="19">
        <v>0.41319444444444442</v>
      </c>
      <c r="G623" s="51" t="s">
        <v>1328</v>
      </c>
      <c r="H623" s="18" t="s">
        <v>1322</v>
      </c>
      <c r="I623" s="20">
        <v>12.5</v>
      </c>
      <c r="J623" s="21" t="s">
        <v>93</v>
      </c>
      <c r="K623" s="22">
        <f t="shared" si="141"/>
        <v>98</v>
      </c>
      <c r="L623" s="23">
        <f t="shared" si="137"/>
        <v>1225</v>
      </c>
      <c r="M623" s="24" t="s">
        <v>478</v>
      </c>
      <c r="N623" s="25" t="s">
        <v>479</v>
      </c>
      <c r="O623" s="25">
        <v>17</v>
      </c>
      <c r="P623" s="17"/>
      <c r="Q623" s="17"/>
      <c r="R623" s="25"/>
      <c r="S623" s="25"/>
      <c r="T623" s="26">
        <v>3166</v>
      </c>
      <c r="U623" s="26" t="s">
        <v>1327</v>
      </c>
      <c r="V623" s="26">
        <v>3164</v>
      </c>
      <c r="W623" s="26" t="s">
        <v>1320</v>
      </c>
      <c r="X623" s="66">
        <v>44805</v>
      </c>
      <c r="Y623" s="66">
        <v>45169</v>
      </c>
      <c r="Z623" s="66"/>
      <c r="AA623" s="66"/>
      <c r="AB623" s="62" t="s">
        <v>1324</v>
      </c>
      <c r="AC623" s="62"/>
      <c r="AD623" s="28" t="s">
        <v>90</v>
      </c>
      <c r="AE623" s="28" t="s">
        <v>90</v>
      </c>
      <c r="AF623" s="28" t="s">
        <v>90</v>
      </c>
      <c r="AG623" s="28"/>
      <c r="AH623" s="28" t="s">
        <v>90</v>
      </c>
      <c r="AI623" s="28"/>
      <c r="AJ623" s="28"/>
      <c r="AK623" s="28" t="s">
        <v>90</v>
      </c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9">
        <v>27.16</v>
      </c>
      <c r="AY623" s="30"/>
      <c r="AZ623" s="30"/>
      <c r="BA623" s="29"/>
      <c r="BB623" s="29"/>
      <c r="BC623" s="30"/>
      <c r="BD623" s="31">
        <f t="shared" si="126"/>
        <v>2661.68</v>
      </c>
      <c r="BE623" s="31"/>
      <c r="BF623" s="30"/>
      <c r="BG623" s="36">
        <v>1</v>
      </c>
      <c r="BH623" s="31">
        <f t="shared" si="138"/>
        <v>0</v>
      </c>
      <c r="BI623" s="31">
        <f t="shared" si="139"/>
        <v>0</v>
      </c>
      <c r="BJ623" s="33">
        <f t="shared" si="140"/>
        <v>0</v>
      </c>
      <c r="BK623" s="30"/>
      <c r="BL623" s="30"/>
      <c r="BM623" s="30"/>
      <c r="BN623" s="30"/>
      <c r="BO623" s="33">
        <f t="shared" si="127"/>
        <v>0</v>
      </c>
      <c r="BP623" s="30">
        <v>9</v>
      </c>
      <c r="BQ623" s="30">
        <v>9</v>
      </c>
      <c r="BR623" s="30"/>
      <c r="BS623" s="30"/>
      <c r="BT623" s="34">
        <f t="shared" si="128"/>
        <v>27.16</v>
      </c>
      <c r="BU623" s="34"/>
      <c r="BV623" s="34"/>
      <c r="BW623" s="34"/>
      <c r="BX623" s="34"/>
      <c r="BY623" s="30"/>
      <c r="BZ623" s="31">
        <f t="shared" si="129"/>
        <v>244.44</v>
      </c>
      <c r="CA623" s="31">
        <f t="shared" si="136"/>
        <v>244.44</v>
      </c>
    </row>
    <row r="624" spans="1:79" ht="63.75" x14ac:dyDescent="0.25">
      <c r="A624" s="17"/>
      <c r="B624" s="2">
        <v>611</v>
      </c>
      <c r="C624" s="18">
        <v>312</v>
      </c>
      <c r="D624" s="58">
        <v>603</v>
      </c>
      <c r="E624" s="19">
        <v>0.4375</v>
      </c>
      <c r="F624" s="19">
        <v>0.45555555555555555</v>
      </c>
      <c r="G624" s="51" t="s">
        <v>1329</v>
      </c>
      <c r="H624" s="18" t="s">
        <v>1322</v>
      </c>
      <c r="I624" s="20">
        <v>12</v>
      </c>
      <c r="J624" s="21" t="s">
        <v>93</v>
      </c>
      <c r="K624" s="22">
        <f t="shared" si="141"/>
        <v>98</v>
      </c>
      <c r="L624" s="23">
        <f t="shared" si="137"/>
        <v>1176</v>
      </c>
      <c r="M624" s="24" t="s">
        <v>478</v>
      </c>
      <c r="N624" s="25" t="s">
        <v>479</v>
      </c>
      <c r="O624" s="25">
        <v>17</v>
      </c>
      <c r="P624" s="17"/>
      <c r="Q624" s="17"/>
      <c r="R624" s="25"/>
      <c r="S624" s="25"/>
      <c r="T624" s="26">
        <v>3164</v>
      </c>
      <c r="U624" s="26" t="s">
        <v>1320</v>
      </c>
      <c r="V624" s="26" t="s">
        <v>1330</v>
      </c>
      <c r="W624" s="26" t="s">
        <v>1331</v>
      </c>
      <c r="X624" s="66">
        <v>44805</v>
      </c>
      <c r="Y624" s="66">
        <v>45169</v>
      </c>
      <c r="Z624" s="66"/>
      <c r="AA624" s="66"/>
      <c r="AB624" s="62" t="s">
        <v>1324</v>
      </c>
      <c r="AC624" s="62"/>
      <c r="AD624" s="28" t="s">
        <v>90</v>
      </c>
      <c r="AE624" s="28" t="s">
        <v>90</v>
      </c>
      <c r="AF624" s="28" t="s">
        <v>90</v>
      </c>
      <c r="AG624" s="28"/>
      <c r="AH624" s="28" t="s">
        <v>90</v>
      </c>
      <c r="AI624" s="28"/>
      <c r="AJ624" s="28"/>
      <c r="AK624" s="28" t="s">
        <v>90</v>
      </c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9">
        <v>26.07</v>
      </c>
      <c r="AY624" s="30"/>
      <c r="AZ624" s="30"/>
      <c r="BA624" s="29"/>
      <c r="BB624" s="29"/>
      <c r="BC624" s="30"/>
      <c r="BD624" s="31">
        <f t="shared" si="126"/>
        <v>2554.86</v>
      </c>
      <c r="BE624" s="31"/>
      <c r="BF624" s="30"/>
      <c r="BG624" s="36">
        <v>1</v>
      </c>
      <c r="BH624" s="31">
        <f t="shared" si="138"/>
        <v>0</v>
      </c>
      <c r="BI624" s="31">
        <f t="shared" si="139"/>
        <v>0</v>
      </c>
      <c r="BJ624" s="33">
        <f t="shared" si="140"/>
        <v>0</v>
      </c>
      <c r="BK624" s="30"/>
      <c r="BL624" s="30"/>
      <c r="BM624" s="30"/>
      <c r="BN624" s="30"/>
      <c r="BO624" s="33">
        <f t="shared" si="127"/>
        <v>0</v>
      </c>
      <c r="BP624" s="30">
        <v>9</v>
      </c>
      <c r="BQ624" s="30">
        <v>9</v>
      </c>
      <c r="BR624" s="30"/>
      <c r="BS624" s="30"/>
      <c r="BT624" s="34">
        <f t="shared" si="128"/>
        <v>26.07</v>
      </c>
      <c r="BU624" s="34"/>
      <c r="BV624" s="34"/>
      <c r="BW624" s="34"/>
      <c r="BX624" s="34"/>
      <c r="BY624" s="30"/>
      <c r="BZ624" s="31">
        <f t="shared" si="129"/>
        <v>234.63</v>
      </c>
      <c r="CA624" s="31">
        <f t="shared" si="136"/>
        <v>234.63</v>
      </c>
    </row>
    <row r="625" spans="1:79" ht="76.5" x14ac:dyDescent="0.25">
      <c r="A625" s="17"/>
      <c r="B625" s="2">
        <v>612</v>
      </c>
      <c r="C625" s="18">
        <v>312</v>
      </c>
      <c r="D625" s="18">
        <v>602</v>
      </c>
      <c r="E625" s="59">
        <v>0.45208333333333334</v>
      </c>
      <c r="F625" s="59">
        <v>0.47013888888888888</v>
      </c>
      <c r="G625" s="51" t="s">
        <v>1332</v>
      </c>
      <c r="H625" s="18" t="s">
        <v>1322</v>
      </c>
      <c r="I625" s="20">
        <v>12</v>
      </c>
      <c r="J625" s="21" t="s">
        <v>93</v>
      </c>
      <c r="K625" s="22">
        <f t="shared" si="141"/>
        <v>98</v>
      </c>
      <c r="L625" s="23">
        <f t="shared" si="137"/>
        <v>1176</v>
      </c>
      <c r="M625" s="24" t="s">
        <v>478</v>
      </c>
      <c r="N625" s="25" t="s">
        <v>479</v>
      </c>
      <c r="O625" s="25">
        <v>17</v>
      </c>
      <c r="P625" s="17"/>
      <c r="Q625" s="17"/>
      <c r="R625" s="25"/>
      <c r="S625" s="25"/>
      <c r="T625" s="26" t="s">
        <v>1330</v>
      </c>
      <c r="U625" s="26" t="s">
        <v>1333</v>
      </c>
      <c r="V625" s="26">
        <v>3164</v>
      </c>
      <c r="W625" s="26" t="s">
        <v>1320</v>
      </c>
      <c r="X625" s="66">
        <v>44805</v>
      </c>
      <c r="Y625" s="66">
        <v>45169</v>
      </c>
      <c r="Z625" s="66"/>
      <c r="AA625" s="66"/>
      <c r="AB625" s="62" t="s">
        <v>1324</v>
      </c>
      <c r="AC625" s="62"/>
      <c r="AD625" s="28" t="s">
        <v>90</v>
      </c>
      <c r="AE625" s="28" t="s">
        <v>90</v>
      </c>
      <c r="AF625" s="28" t="s">
        <v>90</v>
      </c>
      <c r="AG625" s="28"/>
      <c r="AH625" s="28" t="s">
        <v>90</v>
      </c>
      <c r="AI625" s="28"/>
      <c r="AJ625" s="28"/>
      <c r="AK625" s="28" t="s">
        <v>90</v>
      </c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9">
        <f>26.07+12</f>
        <v>38.07</v>
      </c>
      <c r="AY625" s="30"/>
      <c r="AZ625" s="30"/>
      <c r="BA625" s="29"/>
      <c r="BB625" s="29"/>
      <c r="BC625" s="30"/>
      <c r="BD625" s="31">
        <f t="shared" si="126"/>
        <v>3730.86</v>
      </c>
      <c r="BE625" s="31"/>
      <c r="BF625" s="30"/>
      <c r="BG625" s="36">
        <v>1</v>
      </c>
      <c r="BH625" s="31">
        <f t="shared" si="138"/>
        <v>0</v>
      </c>
      <c r="BI625" s="31">
        <f t="shared" si="139"/>
        <v>0</v>
      </c>
      <c r="BJ625" s="33">
        <f t="shared" si="140"/>
        <v>0</v>
      </c>
      <c r="BK625" s="30"/>
      <c r="BL625" s="30"/>
      <c r="BM625" s="30"/>
      <c r="BN625" s="30"/>
      <c r="BO625" s="33">
        <f t="shared" si="127"/>
        <v>0</v>
      </c>
      <c r="BP625" s="30">
        <v>9</v>
      </c>
      <c r="BQ625" s="30">
        <v>9</v>
      </c>
      <c r="BR625" s="30"/>
      <c r="BS625" s="30"/>
      <c r="BT625" s="34">
        <f t="shared" si="128"/>
        <v>38.07</v>
      </c>
      <c r="BU625" s="34"/>
      <c r="BV625" s="34"/>
      <c r="BW625" s="34"/>
      <c r="BX625" s="34"/>
      <c r="BY625" s="30"/>
      <c r="BZ625" s="31">
        <f t="shared" si="129"/>
        <v>342.63</v>
      </c>
      <c r="CA625" s="31">
        <f t="shared" si="136"/>
        <v>342.63</v>
      </c>
    </row>
    <row r="626" spans="1:79" ht="51" x14ac:dyDescent="0.25">
      <c r="A626" s="17"/>
      <c r="B626" s="2">
        <v>613</v>
      </c>
      <c r="C626" s="18">
        <v>312</v>
      </c>
      <c r="D626" s="58">
        <v>606</v>
      </c>
      <c r="E626" s="19">
        <v>0.47916666666666669</v>
      </c>
      <c r="F626" s="19">
        <v>0.5</v>
      </c>
      <c r="G626" s="51" t="s">
        <v>1334</v>
      </c>
      <c r="H626" s="18" t="s">
        <v>1322</v>
      </c>
      <c r="I626" s="20">
        <v>17.5</v>
      </c>
      <c r="J626" s="21" t="s">
        <v>93</v>
      </c>
      <c r="K626" s="22">
        <f t="shared" si="141"/>
        <v>98</v>
      </c>
      <c r="L626" s="23">
        <f t="shared" si="137"/>
        <v>1715</v>
      </c>
      <c r="M626" s="24" t="s">
        <v>478</v>
      </c>
      <c r="N626" s="25" t="s">
        <v>479</v>
      </c>
      <c r="O626" s="25">
        <v>17</v>
      </c>
      <c r="P626" s="17"/>
      <c r="Q626" s="17"/>
      <c r="R626" s="25"/>
      <c r="S626" s="25"/>
      <c r="T626" s="26">
        <v>3164</v>
      </c>
      <c r="U626" s="26" t="s">
        <v>1320</v>
      </c>
      <c r="V626" s="26">
        <v>3169</v>
      </c>
      <c r="W626" s="26" t="s">
        <v>407</v>
      </c>
      <c r="X626" s="66">
        <v>44805</v>
      </c>
      <c r="Y626" s="66">
        <v>45169</v>
      </c>
      <c r="Z626" s="66"/>
      <c r="AA626" s="66"/>
      <c r="AB626" s="62" t="s">
        <v>1324</v>
      </c>
      <c r="AC626" s="62"/>
      <c r="AD626" s="28" t="s">
        <v>90</v>
      </c>
      <c r="AE626" s="28" t="s">
        <v>90</v>
      </c>
      <c r="AF626" s="28" t="s">
        <v>90</v>
      </c>
      <c r="AG626" s="28"/>
      <c r="AH626" s="28" t="s">
        <v>90</v>
      </c>
      <c r="AI626" s="28"/>
      <c r="AJ626" s="28"/>
      <c r="AK626" s="28" t="s">
        <v>90</v>
      </c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9">
        <v>38.020000000000003</v>
      </c>
      <c r="AY626" s="30"/>
      <c r="AZ626" s="30"/>
      <c r="BA626" s="29"/>
      <c r="BB626" s="29"/>
      <c r="BC626" s="30"/>
      <c r="BD626" s="31">
        <f t="shared" si="126"/>
        <v>3725.9600000000005</v>
      </c>
      <c r="BE626" s="31"/>
      <c r="BF626" s="30"/>
      <c r="BG626" s="36">
        <v>1</v>
      </c>
      <c r="BH626" s="31">
        <f t="shared" si="138"/>
        <v>0</v>
      </c>
      <c r="BI626" s="31">
        <f t="shared" si="139"/>
        <v>0</v>
      </c>
      <c r="BJ626" s="33">
        <f t="shared" si="140"/>
        <v>0</v>
      </c>
      <c r="BK626" s="30"/>
      <c r="BL626" s="30"/>
      <c r="BM626" s="30"/>
      <c r="BN626" s="30"/>
      <c r="BO626" s="33">
        <f t="shared" si="127"/>
        <v>0</v>
      </c>
      <c r="BP626" s="30">
        <v>9</v>
      </c>
      <c r="BQ626" s="30">
        <v>9</v>
      </c>
      <c r="BR626" s="30"/>
      <c r="BS626" s="30"/>
      <c r="BT626" s="34">
        <f t="shared" si="128"/>
        <v>38.020000000000003</v>
      </c>
      <c r="BU626" s="34"/>
      <c r="BV626" s="34"/>
      <c r="BW626" s="34"/>
      <c r="BX626" s="34"/>
      <c r="BY626" s="30"/>
      <c r="BZ626" s="31">
        <f t="shared" si="129"/>
        <v>342.18</v>
      </c>
      <c r="CA626" s="31">
        <f t="shared" si="136"/>
        <v>342.18</v>
      </c>
    </row>
    <row r="627" spans="1:79" ht="76.5" x14ac:dyDescent="0.25">
      <c r="A627" s="17"/>
      <c r="B627" s="2">
        <v>614</v>
      </c>
      <c r="C627" s="18">
        <v>312</v>
      </c>
      <c r="D627" s="18">
        <v>607</v>
      </c>
      <c r="E627" s="19">
        <v>0.5</v>
      </c>
      <c r="F627" s="19">
        <v>0.50972222222222219</v>
      </c>
      <c r="G627" s="51" t="s">
        <v>1335</v>
      </c>
      <c r="H627" s="18" t="s">
        <v>1322</v>
      </c>
      <c r="I627" s="20">
        <v>14</v>
      </c>
      <c r="J627" s="21" t="s">
        <v>93</v>
      </c>
      <c r="K627" s="22">
        <f t="shared" si="141"/>
        <v>98</v>
      </c>
      <c r="L627" s="23">
        <f t="shared" si="137"/>
        <v>1372</v>
      </c>
      <c r="M627" s="24" t="s">
        <v>478</v>
      </c>
      <c r="N627" s="25" t="s">
        <v>479</v>
      </c>
      <c r="O627" s="25">
        <v>17</v>
      </c>
      <c r="P627" s="17"/>
      <c r="Q627" s="17"/>
      <c r="R627" s="25"/>
      <c r="S627" s="25"/>
      <c r="T627" s="26">
        <v>3169</v>
      </c>
      <c r="U627" s="26" t="s">
        <v>407</v>
      </c>
      <c r="V627" s="26">
        <v>3164</v>
      </c>
      <c r="W627" s="26" t="s">
        <v>1320</v>
      </c>
      <c r="X627" s="66">
        <v>44805</v>
      </c>
      <c r="Y627" s="66">
        <v>45169</v>
      </c>
      <c r="Z627" s="66"/>
      <c r="AA627" s="66"/>
      <c r="AB627" s="62" t="s">
        <v>1324</v>
      </c>
      <c r="AC627" s="62"/>
      <c r="AD627" s="28" t="s">
        <v>90</v>
      </c>
      <c r="AE627" s="28" t="s">
        <v>90</v>
      </c>
      <c r="AF627" s="28" t="s">
        <v>90</v>
      </c>
      <c r="AG627" s="28"/>
      <c r="AH627" s="28" t="s">
        <v>90</v>
      </c>
      <c r="AI627" s="28"/>
      <c r="AJ627" s="28"/>
      <c r="AK627" s="28" t="s">
        <v>90</v>
      </c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9">
        <v>30.42</v>
      </c>
      <c r="AY627" s="30"/>
      <c r="AZ627" s="30"/>
      <c r="BA627" s="29"/>
      <c r="BB627" s="29"/>
      <c r="BC627" s="30"/>
      <c r="BD627" s="31">
        <f t="shared" si="126"/>
        <v>2981.1600000000003</v>
      </c>
      <c r="BE627" s="31"/>
      <c r="BF627" s="30"/>
      <c r="BG627" s="36">
        <v>1</v>
      </c>
      <c r="BH627" s="31">
        <f t="shared" si="138"/>
        <v>0</v>
      </c>
      <c r="BI627" s="31">
        <f t="shared" si="139"/>
        <v>0</v>
      </c>
      <c r="BJ627" s="33">
        <f t="shared" si="140"/>
        <v>0</v>
      </c>
      <c r="BK627" s="30"/>
      <c r="BL627" s="30"/>
      <c r="BM627" s="30"/>
      <c r="BN627" s="30"/>
      <c r="BO627" s="33">
        <f t="shared" si="127"/>
        <v>0</v>
      </c>
      <c r="BP627" s="30">
        <v>9</v>
      </c>
      <c r="BQ627" s="30">
        <v>9</v>
      </c>
      <c r="BR627" s="30"/>
      <c r="BS627" s="30"/>
      <c r="BT627" s="34">
        <f t="shared" si="128"/>
        <v>30.42</v>
      </c>
      <c r="BU627" s="34"/>
      <c r="BV627" s="34"/>
      <c r="BW627" s="34"/>
      <c r="BX627" s="34"/>
      <c r="BY627" s="30"/>
      <c r="BZ627" s="31">
        <f t="shared" si="129"/>
        <v>273.78000000000003</v>
      </c>
      <c r="CA627" s="31">
        <f t="shared" si="136"/>
        <v>273.78000000000003</v>
      </c>
    </row>
    <row r="628" spans="1:79" ht="51" x14ac:dyDescent="0.25">
      <c r="A628" s="17" t="s">
        <v>147</v>
      </c>
      <c r="B628" s="2">
        <v>615</v>
      </c>
      <c r="C628" s="18">
        <v>312</v>
      </c>
      <c r="D628" s="18"/>
      <c r="E628" s="19">
        <v>0.67708333333333337</v>
      </c>
      <c r="F628" s="19">
        <v>0.70833333333333337</v>
      </c>
      <c r="G628" s="18" t="s">
        <v>1336</v>
      </c>
      <c r="H628" s="18" t="s">
        <v>273</v>
      </c>
      <c r="I628" s="20">
        <v>17.2</v>
      </c>
      <c r="J628" s="21" t="s">
        <v>93</v>
      </c>
      <c r="K628" s="22">
        <v>174</v>
      </c>
      <c r="L628" s="23">
        <f t="shared" si="137"/>
        <v>2992.7999999999997</v>
      </c>
      <c r="M628" s="24" t="s">
        <v>401</v>
      </c>
      <c r="N628" s="25" t="s">
        <v>402</v>
      </c>
      <c r="O628" s="25">
        <v>16</v>
      </c>
      <c r="P628" s="25" t="s">
        <v>403</v>
      </c>
      <c r="Q628" s="25">
        <v>21</v>
      </c>
      <c r="R628" s="25" t="s">
        <v>404</v>
      </c>
      <c r="S628" s="25">
        <v>15</v>
      </c>
      <c r="T628" s="26" t="s">
        <v>405</v>
      </c>
      <c r="U628" s="26" t="s">
        <v>406</v>
      </c>
      <c r="V628" s="26">
        <v>3253</v>
      </c>
      <c r="W628" s="26" t="s">
        <v>1337</v>
      </c>
      <c r="X628" s="66">
        <v>44816</v>
      </c>
      <c r="Y628" s="66">
        <v>45086</v>
      </c>
      <c r="Z628" s="66"/>
      <c r="AA628" s="66"/>
      <c r="AB628" s="26" t="s">
        <v>282</v>
      </c>
      <c r="AC628" s="26"/>
      <c r="AD628" s="28"/>
      <c r="AE628" s="28"/>
      <c r="AF628" s="28"/>
      <c r="AG628" s="28" t="s">
        <v>90</v>
      </c>
      <c r="AH628" s="28" t="s">
        <v>90</v>
      </c>
      <c r="AI628" s="28" t="s">
        <v>90</v>
      </c>
      <c r="AJ628" s="28" t="s">
        <v>90</v>
      </c>
      <c r="AK628" s="28" t="s">
        <v>90</v>
      </c>
      <c r="AL628" s="28" t="s">
        <v>90</v>
      </c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9"/>
      <c r="AY628" s="31"/>
      <c r="AZ628" s="31">
        <f>3*I628</f>
        <v>51.599999999999994</v>
      </c>
      <c r="BA628" s="29"/>
      <c r="BB628" s="29"/>
      <c r="BC628" s="30"/>
      <c r="BD628" s="30"/>
      <c r="BE628" s="30"/>
      <c r="BF628" s="31">
        <f>AZ628*K628</f>
        <v>8978.4</v>
      </c>
      <c r="BG628" s="36">
        <v>1</v>
      </c>
      <c r="BH628" s="36"/>
      <c r="BI628" s="47"/>
      <c r="BJ628" s="36"/>
      <c r="BK628" s="36"/>
      <c r="BL628" s="36"/>
      <c r="BM628" s="36"/>
      <c r="BN628" s="30"/>
      <c r="BO628" s="33">
        <f t="shared" si="127"/>
        <v>0</v>
      </c>
      <c r="BP628" s="30">
        <v>15</v>
      </c>
      <c r="BQ628" s="30">
        <v>20</v>
      </c>
      <c r="BR628" s="30"/>
      <c r="BS628" s="30"/>
      <c r="BT628" s="34">
        <f t="shared" si="128"/>
        <v>51.599999999999994</v>
      </c>
      <c r="BU628" s="34"/>
      <c r="BV628" s="34"/>
      <c r="BW628" s="34"/>
      <c r="BX628" s="34"/>
      <c r="BY628" s="30"/>
      <c r="BZ628" s="31">
        <f t="shared" si="129"/>
        <v>773.99999999999989</v>
      </c>
      <c r="CA628" s="31">
        <f t="shared" si="136"/>
        <v>1032</v>
      </c>
    </row>
    <row r="629" spans="1:79" ht="38.25" x14ac:dyDescent="0.25">
      <c r="A629" s="17"/>
      <c r="B629" s="2">
        <v>616</v>
      </c>
      <c r="C629" s="48">
        <v>312</v>
      </c>
      <c r="D629" s="48">
        <v>110</v>
      </c>
      <c r="E629" s="49">
        <v>0.7270833333333333</v>
      </c>
      <c r="F629" s="49">
        <v>0.78055555555555556</v>
      </c>
      <c r="G629" s="51" t="s">
        <v>1338</v>
      </c>
      <c r="H629" s="18" t="s">
        <v>268</v>
      </c>
      <c r="I629" s="48">
        <v>36</v>
      </c>
      <c r="J629" s="52">
        <v>19</v>
      </c>
      <c r="K629" s="22">
        <v>252</v>
      </c>
      <c r="L629" s="23">
        <f t="shared" si="137"/>
        <v>9072</v>
      </c>
      <c r="M629" s="24" t="s">
        <v>176</v>
      </c>
      <c r="N629" s="25" t="s">
        <v>178</v>
      </c>
      <c r="O629" s="25">
        <v>23</v>
      </c>
      <c r="P629" s="25" t="s">
        <v>356</v>
      </c>
      <c r="Q629" s="25">
        <v>20</v>
      </c>
      <c r="R629" s="17"/>
      <c r="S629" s="25"/>
      <c r="T629" s="26" t="s">
        <v>405</v>
      </c>
      <c r="U629" s="26" t="s">
        <v>406</v>
      </c>
      <c r="V629" s="26">
        <v>3166</v>
      </c>
      <c r="W629" s="26" t="s">
        <v>1327</v>
      </c>
      <c r="X629" s="66">
        <v>44805</v>
      </c>
      <c r="Y629" s="66">
        <v>45169</v>
      </c>
      <c r="Z629" s="66"/>
      <c r="AA629" s="66"/>
      <c r="AB629" s="26" t="s">
        <v>269</v>
      </c>
      <c r="AC629" s="26"/>
      <c r="AD629" s="28" t="s">
        <v>90</v>
      </c>
      <c r="AE629" s="28" t="s">
        <v>90</v>
      </c>
      <c r="AF629" s="28" t="s">
        <v>90</v>
      </c>
      <c r="AG629" s="28"/>
      <c r="AH629" s="28" t="s">
        <v>90</v>
      </c>
      <c r="AI629" s="28" t="s">
        <v>90</v>
      </c>
      <c r="AJ629" s="28" t="s">
        <v>90</v>
      </c>
      <c r="AK629" s="28" t="s">
        <v>90</v>
      </c>
      <c r="AL629" s="28" t="s">
        <v>90</v>
      </c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31"/>
      <c r="AY629" s="31">
        <f>1.9*36</f>
        <v>68.399999999999991</v>
      </c>
      <c r="AZ629" s="30"/>
      <c r="BA629" s="31"/>
      <c r="BB629" s="31"/>
      <c r="BC629" s="30"/>
      <c r="BD629" s="31">
        <f t="shared" ref="BD629:BD692" si="142">AX629*K629</f>
        <v>0</v>
      </c>
      <c r="BE629" s="31">
        <f>AY629*K629</f>
        <v>17236.8</v>
      </c>
      <c r="BF629" s="30"/>
      <c r="BG629" s="36">
        <v>1</v>
      </c>
      <c r="BH629" s="30"/>
      <c r="BI629" s="31"/>
      <c r="BJ629" s="30"/>
      <c r="BK629" s="31">
        <f>IF(AND((AY629/I629)&lt;2,BG629=1),(I629*2)-AY629,0)</f>
        <v>3.6000000000000085</v>
      </c>
      <c r="BL629" s="31">
        <f>IF(AND((AY629/I629)&lt;3,BG629=2),(I629*3)-AY629,0)</f>
        <v>0</v>
      </c>
      <c r="BM629" s="33">
        <f>(BK629+BL629)*K629</f>
        <v>907.20000000000209</v>
      </c>
      <c r="BN629" s="30"/>
      <c r="BO629" s="33">
        <f t="shared" si="127"/>
        <v>0</v>
      </c>
      <c r="BP629" s="30">
        <v>22</v>
      </c>
      <c r="BQ629" s="30">
        <v>21</v>
      </c>
      <c r="BR629" s="30"/>
      <c r="BS629" s="30"/>
      <c r="BT629" s="34">
        <f t="shared" si="128"/>
        <v>72</v>
      </c>
      <c r="BU629" s="34"/>
      <c r="BV629" s="34"/>
      <c r="BW629" s="34"/>
      <c r="BX629" s="34"/>
      <c r="BY629" s="30"/>
      <c r="BZ629" s="31">
        <f t="shared" si="129"/>
        <v>1584</v>
      </c>
      <c r="CA629" s="31">
        <f t="shared" si="136"/>
        <v>1512</v>
      </c>
    </row>
    <row r="630" spans="1:79" ht="51" x14ac:dyDescent="0.25">
      <c r="A630" s="17"/>
      <c r="B630" s="2">
        <v>617</v>
      </c>
      <c r="C630" s="48">
        <v>312</v>
      </c>
      <c r="D630" s="48">
        <v>128</v>
      </c>
      <c r="E630" s="49">
        <v>0.76388888888888884</v>
      </c>
      <c r="F630" s="49">
        <v>0.79513888888888884</v>
      </c>
      <c r="G630" s="51" t="s">
        <v>1339</v>
      </c>
      <c r="H630" s="18" t="s">
        <v>306</v>
      </c>
      <c r="I630" s="48">
        <v>17</v>
      </c>
      <c r="J630" s="52">
        <v>19</v>
      </c>
      <c r="K630" s="22">
        <v>208</v>
      </c>
      <c r="L630" s="23">
        <f t="shared" si="137"/>
        <v>3536</v>
      </c>
      <c r="M630" s="24" t="s">
        <v>176</v>
      </c>
      <c r="N630" s="25" t="s">
        <v>177</v>
      </c>
      <c r="O630" s="25">
        <v>24</v>
      </c>
      <c r="P630" s="25" t="s">
        <v>356</v>
      </c>
      <c r="Q630" s="25">
        <v>20</v>
      </c>
      <c r="R630" s="17"/>
      <c r="S630" s="25"/>
      <c r="T630" s="26" t="s">
        <v>405</v>
      </c>
      <c r="U630" s="26" t="s">
        <v>406</v>
      </c>
      <c r="V630" s="26">
        <v>3253</v>
      </c>
      <c r="W630" s="26" t="s">
        <v>1337</v>
      </c>
      <c r="X630" s="66">
        <v>44816</v>
      </c>
      <c r="Y630" s="66">
        <v>45086</v>
      </c>
      <c r="Z630" s="66"/>
      <c r="AA630" s="66"/>
      <c r="AB630" s="26" t="s">
        <v>309</v>
      </c>
      <c r="AC630" s="26"/>
      <c r="AD630" s="28"/>
      <c r="AE630" s="28"/>
      <c r="AF630" s="28"/>
      <c r="AG630" s="28" t="s">
        <v>90</v>
      </c>
      <c r="AH630" s="28" t="s">
        <v>90</v>
      </c>
      <c r="AI630" s="28" t="s">
        <v>90</v>
      </c>
      <c r="AJ630" s="28" t="s">
        <v>90</v>
      </c>
      <c r="AK630" s="28" t="s">
        <v>90</v>
      </c>
      <c r="AL630" s="28" t="s">
        <v>90</v>
      </c>
      <c r="AM630" s="28" t="s">
        <v>90</v>
      </c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31"/>
      <c r="AY630" s="31">
        <f>1.9*17</f>
        <v>32.299999999999997</v>
      </c>
      <c r="AZ630" s="30"/>
      <c r="BA630" s="31"/>
      <c r="BB630" s="31"/>
      <c r="BC630" s="30"/>
      <c r="BD630" s="31">
        <f t="shared" si="142"/>
        <v>0</v>
      </c>
      <c r="BE630" s="31">
        <f>AY630*K630</f>
        <v>6718.4</v>
      </c>
      <c r="BF630" s="30"/>
      <c r="BG630" s="36">
        <v>1</v>
      </c>
      <c r="BH630" s="30"/>
      <c r="BI630" s="31"/>
      <c r="BJ630" s="30"/>
      <c r="BK630" s="31">
        <f>IF(AND((AY630/I630)&lt;2,BG630=1),(I630*2)-AY630,0)</f>
        <v>1.7000000000000028</v>
      </c>
      <c r="BL630" s="31">
        <f>IF(AND((AY630/I630)&lt;3,BG630=2),(I630*3)-AY630,0)</f>
        <v>0</v>
      </c>
      <c r="BM630" s="33">
        <f>(BK630+BL630)*K630</f>
        <v>353.60000000000059</v>
      </c>
      <c r="BN630" s="30"/>
      <c r="BO630" s="33">
        <f t="shared" ref="BO630:BO693" si="143">BN630*K630</f>
        <v>0</v>
      </c>
      <c r="BP630" s="30">
        <v>17</v>
      </c>
      <c r="BQ630" s="30">
        <v>25</v>
      </c>
      <c r="BR630" s="30"/>
      <c r="BS630" s="30"/>
      <c r="BT630" s="34">
        <f t="shared" ref="BT630:BT693" si="144">SUM(AX630:AZ630)+SUM(BH630:BI630)+SUM(BK630:BL630)+BN630</f>
        <v>34</v>
      </c>
      <c r="BU630" s="34"/>
      <c r="BV630" s="34"/>
      <c r="BW630" s="34"/>
      <c r="BX630" s="34"/>
      <c r="BY630" s="30"/>
      <c r="BZ630" s="31">
        <f t="shared" ref="BZ630:BZ693" si="145">(BT630*BP630)+(BV630*BX630)</f>
        <v>578</v>
      </c>
      <c r="CA630" s="31">
        <f t="shared" si="136"/>
        <v>850</v>
      </c>
    </row>
    <row r="631" spans="1:79" ht="38.25" x14ac:dyDescent="0.25">
      <c r="A631" s="17"/>
      <c r="B631" s="2">
        <v>618</v>
      </c>
      <c r="C631" s="48">
        <v>312</v>
      </c>
      <c r="D631" s="48">
        <v>130</v>
      </c>
      <c r="E631" s="49">
        <v>0.8125</v>
      </c>
      <c r="F631" s="49">
        <v>0.84375</v>
      </c>
      <c r="G631" s="51" t="s">
        <v>1339</v>
      </c>
      <c r="H631" s="18" t="s">
        <v>268</v>
      </c>
      <c r="I631" s="48">
        <v>17</v>
      </c>
      <c r="J631" s="52">
        <v>19</v>
      </c>
      <c r="K631" s="22">
        <v>252</v>
      </c>
      <c r="L631" s="23">
        <f t="shared" si="137"/>
        <v>4284</v>
      </c>
      <c r="M631" s="24" t="s">
        <v>176</v>
      </c>
      <c r="N631" s="25" t="s">
        <v>178</v>
      </c>
      <c r="O631" s="25">
        <v>23</v>
      </c>
      <c r="P631" s="25" t="s">
        <v>356</v>
      </c>
      <c r="Q631" s="25">
        <v>20</v>
      </c>
      <c r="R631" s="25" t="s">
        <v>177</v>
      </c>
      <c r="S631" s="35">
        <v>24</v>
      </c>
      <c r="T631" s="26" t="s">
        <v>405</v>
      </c>
      <c r="U631" s="26" t="s">
        <v>406</v>
      </c>
      <c r="V631" s="26">
        <v>3253</v>
      </c>
      <c r="W631" s="26" t="s">
        <v>1337</v>
      </c>
      <c r="X631" s="66">
        <v>44805</v>
      </c>
      <c r="Y631" s="66">
        <v>45169</v>
      </c>
      <c r="Z631" s="66"/>
      <c r="AA631" s="66"/>
      <c r="AB631" s="26" t="s">
        <v>269</v>
      </c>
      <c r="AC631" s="26"/>
      <c r="AD631" s="28" t="s">
        <v>90</v>
      </c>
      <c r="AE631" s="28" t="s">
        <v>90</v>
      </c>
      <c r="AF631" s="28" t="s">
        <v>90</v>
      </c>
      <c r="AG631" s="28"/>
      <c r="AH631" s="28" t="s">
        <v>90</v>
      </c>
      <c r="AI631" s="28" t="s">
        <v>90</v>
      </c>
      <c r="AJ631" s="28" t="s">
        <v>90</v>
      </c>
      <c r="AK631" s="28" t="s">
        <v>90</v>
      </c>
      <c r="AL631" s="28" t="s">
        <v>90</v>
      </c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31"/>
      <c r="AY631" s="31">
        <f>1.9*17</f>
        <v>32.299999999999997</v>
      </c>
      <c r="AZ631" s="30"/>
      <c r="BA631" s="31"/>
      <c r="BB631" s="31"/>
      <c r="BC631" s="30"/>
      <c r="BD631" s="31">
        <f t="shared" si="142"/>
        <v>0</v>
      </c>
      <c r="BE631" s="31">
        <f>AY631*K631</f>
        <v>8139.5999999999995</v>
      </c>
      <c r="BF631" s="30"/>
      <c r="BG631" s="36">
        <v>1</v>
      </c>
      <c r="BH631" s="30"/>
      <c r="BI631" s="31"/>
      <c r="BJ631" s="30"/>
      <c r="BK631" s="31">
        <f>IF(AND((AY631/I631)&lt;2,BG631=1),(I631*2)-AY631,0)</f>
        <v>1.7000000000000028</v>
      </c>
      <c r="BL631" s="31">
        <f>IF(AND((AY631/I631)&lt;3,BG631=2),(I631*3)-AY631,0)</f>
        <v>0</v>
      </c>
      <c r="BM631" s="33">
        <f>(BK631+BL631)*K631</f>
        <v>428.40000000000072</v>
      </c>
      <c r="BN631" s="30"/>
      <c r="BO631" s="33">
        <f t="shared" si="143"/>
        <v>0</v>
      </c>
      <c r="BP631" s="30">
        <v>22</v>
      </c>
      <c r="BQ631" s="30">
        <v>21</v>
      </c>
      <c r="BR631" s="30"/>
      <c r="BS631" s="30"/>
      <c r="BT631" s="34">
        <f t="shared" si="144"/>
        <v>34</v>
      </c>
      <c r="BU631" s="34"/>
      <c r="BV631" s="34"/>
      <c r="BW631" s="34"/>
      <c r="BX631" s="34"/>
      <c r="BY631" s="30"/>
      <c r="BZ631" s="31">
        <f t="shared" si="145"/>
        <v>748</v>
      </c>
      <c r="CA631" s="31">
        <f t="shared" si="136"/>
        <v>714</v>
      </c>
    </row>
    <row r="632" spans="1:79" ht="76.5" x14ac:dyDescent="0.25">
      <c r="A632" s="17"/>
      <c r="B632" s="2">
        <v>619</v>
      </c>
      <c r="C632" s="18">
        <v>314</v>
      </c>
      <c r="D632" s="18">
        <v>115</v>
      </c>
      <c r="E632" s="19">
        <v>0.27083333333333331</v>
      </c>
      <c r="F632" s="19">
        <v>0.30902777777777779</v>
      </c>
      <c r="G632" s="18" t="s">
        <v>1340</v>
      </c>
      <c r="H632" s="18" t="s">
        <v>359</v>
      </c>
      <c r="I632" s="20">
        <v>27</v>
      </c>
      <c r="J632" s="21" t="s">
        <v>1319</v>
      </c>
      <c r="K632" s="22">
        <v>29</v>
      </c>
      <c r="L632" s="23">
        <f t="shared" si="137"/>
        <v>783</v>
      </c>
      <c r="M632" s="24" t="s">
        <v>478</v>
      </c>
      <c r="N632" s="25" t="s">
        <v>479</v>
      </c>
      <c r="O632" s="25">
        <v>17</v>
      </c>
      <c r="P632" s="17"/>
      <c r="Q632" s="17"/>
      <c r="R632" s="25"/>
      <c r="S632" s="25"/>
      <c r="T632" s="26">
        <v>3240</v>
      </c>
      <c r="U632" s="26" t="s">
        <v>1341</v>
      </c>
      <c r="V632" s="26" t="s">
        <v>1342</v>
      </c>
      <c r="W632" s="26" t="s">
        <v>1343</v>
      </c>
      <c r="X632" s="27">
        <v>44816</v>
      </c>
      <c r="Y632" s="27">
        <v>45100</v>
      </c>
      <c r="Z632" s="27"/>
      <c r="AA632" s="27"/>
      <c r="AB632" s="26" t="s">
        <v>360</v>
      </c>
      <c r="AC632" s="26"/>
      <c r="AD632" s="28" t="s">
        <v>90</v>
      </c>
      <c r="AE632" s="28"/>
      <c r="AF632" s="28" t="s">
        <v>90</v>
      </c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 t="s">
        <v>90</v>
      </c>
      <c r="AS632" s="28" t="s">
        <v>90</v>
      </c>
      <c r="AT632" s="28" t="s">
        <v>90</v>
      </c>
      <c r="AU632" s="28" t="s">
        <v>90</v>
      </c>
      <c r="AV632" s="28" t="s">
        <v>90</v>
      </c>
      <c r="AW632" s="28" t="s">
        <v>90</v>
      </c>
      <c r="AX632" s="29">
        <v>65.430000000000007</v>
      </c>
      <c r="AY632" s="30"/>
      <c r="AZ632" s="30"/>
      <c r="BA632" s="29"/>
      <c r="BB632" s="29"/>
      <c r="BC632" s="30"/>
      <c r="BD632" s="31">
        <f t="shared" si="142"/>
        <v>1897.4700000000003</v>
      </c>
      <c r="BE632" s="31"/>
      <c r="BF632" s="30"/>
      <c r="BG632" s="36">
        <v>1</v>
      </c>
      <c r="BH632" s="31">
        <f t="shared" ref="BH632:BH651" si="146">IF(AND((AX632/I632)&lt;2,BG632=1),(I632*2)-AX632,0)</f>
        <v>0</v>
      </c>
      <c r="BI632" s="31">
        <f t="shared" ref="BI632:BI651" si="147">IF(AND((AX632/I632)&lt;3,BG632=2),(I632*3)-AX632,0)</f>
        <v>0</v>
      </c>
      <c r="BJ632" s="33">
        <f t="shared" ref="BJ632:BJ651" si="148">(BH632+BI632)*K632</f>
        <v>0</v>
      </c>
      <c r="BK632" s="30"/>
      <c r="BL632" s="30"/>
      <c r="BM632" s="30"/>
      <c r="BN632" s="31">
        <f>IF((AX632+AY632+AZ632)&lt;20,(20-(AX632+AY632+AZ632)),0)</f>
        <v>0</v>
      </c>
      <c r="BO632" s="33">
        <f t="shared" si="143"/>
        <v>0</v>
      </c>
      <c r="BP632" s="30">
        <v>0</v>
      </c>
      <c r="BQ632" s="30">
        <v>1</v>
      </c>
      <c r="BR632" s="30"/>
      <c r="BS632" s="30"/>
      <c r="BT632" s="34">
        <f t="shared" si="144"/>
        <v>65.430000000000007</v>
      </c>
      <c r="BU632" s="34"/>
      <c r="BV632" s="34"/>
      <c r="BW632" s="34"/>
      <c r="BX632" s="34"/>
      <c r="BY632" s="30"/>
      <c r="BZ632" s="31">
        <f t="shared" si="145"/>
        <v>0</v>
      </c>
      <c r="CA632" s="31">
        <f t="shared" si="136"/>
        <v>65.430000000000007</v>
      </c>
    </row>
    <row r="633" spans="1:79" ht="76.5" x14ac:dyDescent="0.25">
      <c r="A633" s="17"/>
      <c r="B633" s="2">
        <v>620</v>
      </c>
      <c r="C633" s="18">
        <v>314</v>
      </c>
      <c r="D633" s="18">
        <v>114</v>
      </c>
      <c r="E633" s="19">
        <v>0.30902777777777779</v>
      </c>
      <c r="F633" s="19">
        <v>0.34027777777777773</v>
      </c>
      <c r="G633" s="18" t="s">
        <v>1344</v>
      </c>
      <c r="H633" s="18" t="s">
        <v>1345</v>
      </c>
      <c r="I633" s="20">
        <v>25</v>
      </c>
      <c r="J633" s="21" t="s">
        <v>1319</v>
      </c>
      <c r="K633" s="22">
        <v>26</v>
      </c>
      <c r="L633" s="23">
        <f t="shared" si="137"/>
        <v>650</v>
      </c>
      <c r="M633" s="24" t="s">
        <v>478</v>
      </c>
      <c r="N633" s="25" t="s">
        <v>479</v>
      </c>
      <c r="O633" s="25">
        <v>17</v>
      </c>
      <c r="P633" s="17"/>
      <c r="Q633" s="17"/>
      <c r="R633" s="25"/>
      <c r="S633" s="25"/>
      <c r="T633" s="26">
        <v>3100</v>
      </c>
      <c r="U633" s="26" t="s">
        <v>1346</v>
      </c>
      <c r="V633" s="26">
        <v>3164</v>
      </c>
      <c r="W633" s="26" t="s">
        <v>1320</v>
      </c>
      <c r="X633" s="27">
        <v>44816</v>
      </c>
      <c r="Y633" s="27">
        <v>45100</v>
      </c>
      <c r="Z633" s="27"/>
      <c r="AA633" s="27"/>
      <c r="AB633" s="26" t="s">
        <v>1021</v>
      </c>
      <c r="AC633" s="26"/>
      <c r="AD633" s="28" t="s">
        <v>90</v>
      </c>
      <c r="AE633" s="28"/>
      <c r="AF633" s="28" t="s">
        <v>90</v>
      </c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 t="s">
        <v>90</v>
      </c>
      <c r="AS633" s="28" t="s">
        <v>90</v>
      </c>
      <c r="AT633" s="28" t="s">
        <v>90</v>
      </c>
      <c r="AU633" s="28" t="s">
        <v>90</v>
      </c>
      <c r="AV633" s="28" t="s">
        <v>90</v>
      </c>
      <c r="AW633" s="28"/>
      <c r="AX633" s="29">
        <v>44.29</v>
      </c>
      <c r="AY633" s="30"/>
      <c r="AZ633" s="30"/>
      <c r="BA633" s="29"/>
      <c r="BB633" s="29"/>
      <c r="BC633" s="30"/>
      <c r="BD633" s="31">
        <f t="shared" si="142"/>
        <v>1151.54</v>
      </c>
      <c r="BE633" s="31"/>
      <c r="BF633" s="30"/>
      <c r="BG633" s="36">
        <v>1</v>
      </c>
      <c r="BH633" s="31">
        <f t="shared" si="146"/>
        <v>5.7100000000000009</v>
      </c>
      <c r="BI633" s="31">
        <f t="shared" si="147"/>
        <v>0</v>
      </c>
      <c r="BJ633" s="31">
        <f t="shared" si="148"/>
        <v>148.46000000000004</v>
      </c>
      <c r="BK633" s="30"/>
      <c r="BL633" s="30"/>
      <c r="BM633" s="30"/>
      <c r="BN633" s="30"/>
      <c r="BO633" s="33">
        <f t="shared" si="143"/>
        <v>0</v>
      </c>
      <c r="BP633" s="30">
        <v>0</v>
      </c>
      <c r="BQ633" s="30">
        <v>1</v>
      </c>
      <c r="BR633" s="30"/>
      <c r="BS633" s="30"/>
      <c r="BT633" s="34">
        <f t="shared" si="144"/>
        <v>50</v>
      </c>
      <c r="BU633" s="34"/>
      <c r="BV633" s="34"/>
      <c r="BW633" s="34"/>
      <c r="BX633" s="34"/>
      <c r="BY633" s="30"/>
      <c r="BZ633" s="31">
        <f t="shared" si="145"/>
        <v>0</v>
      </c>
      <c r="CA633" s="31">
        <f t="shared" si="136"/>
        <v>50</v>
      </c>
    </row>
    <row r="634" spans="1:79" ht="63.75" x14ac:dyDescent="0.25">
      <c r="A634" s="17"/>
      <c r="B634" s="2">
        <v>621</v>
      </c>
      <c r="C634" s="18">
        <v>314</v>
      </c>
      <c r="D634" s="18">
        <v>608</v>
      </c>
      <c r="E634" s="19">
        <v>0.3611111111111111</v>
      </c>
      <c r="F634" s="19">
        <v>0.37638888888888888</v>
      </c>
      <c r="G634" s="51" t="s">
        <v>1347</v>
      </c>
      <c r="H634" s="18" t="s">
        <v>1348</v>
      </c>
      <c r="I634" s="20">
        <v>12</v>
      </c>
      <c r="J634" s="21" t="s">
        <v>93</v>
      </c>
      <c r="K634" s="22">
        <v>156</v>
      </c>
      <c r="L634" s="23">
        <f t="shared" si="137"/>
        <v>1872</v>
      </c>
      <c r="M634" s="24" t="s">
        <v>478</v>
      </c>
      <c r="N634" s="25" t="s">
        <v>479</v>
      </c>
      <c r="O634" s="25">
        <v>17</v>
      </c>
      <c r="P634" s="17"/>
      <c r="Q634" s="17"/>
      <c r="R634" s="25"/>
      <c r="S634" s="25"/>
      <c r="T634" s="26">
        <v>3164</v>
      </c>
      <c r="U634" s="26" t="s">
        <v>1320</v>
      </c>
      <c r="V634" s="26">
        <v>3240</v>
      </c>
      <c r="W634" s="26" t="s">
        <v>1341</v>
      </c>
      <c r="X634" s="66">
        <v>44805</v>
      </c>
      <c r="Y634" s="66">
        <v>45169</v>
      </c>
      <c r="Z634" s="66"/>
      <c r="AA634" s="66"/>
      <c r="AB634" s="62" t="s">
        <v>1349</v>
      </c>
      <c r="AC634" s="62"/>
      <c r="AD634" s="28" t="s">
        <v>90</v>
      </c>
      <c r="AE634" s="28" t="s">
        <v>90</v>
      </c>
      <c r="AF634" s="28" t="s">
        <v>90</v>
      </c>
      <c r="AG634" s="28"/>
      <c r="AH634" s="28"/>
      <c r="AI634" s="28" t="s">
        <v>90</v>
      </c>
      <c r="AJ634" s="28" t="s">
        <v>90</v>
      </c>
      <c r="AK634" s="28"/>
      <c r="AL634" s="28" t="s">
        <v>90</v>
      </c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31">
        <f>((36*52)+(24*104))/K634</f>
        <v>28</v>
      </c>
      <c r="AY634" s="30"/>
      <c r="AZ634" s="30"/>
      <c r="BA634" s="29"/>
      <c r="BB634" s="29"/>
      <c r="BC634" s="30"/>
      <c r="BD634" s="31">
        <f t="shared" si="142"/>
        <v>4368</v>
      </c>
      <c r="BE634" s="31"/>
      <c r="BF634" s="30"/>
      <c r="BG634" s="36">
        <v>1</v>
      </c>
      <c r="BH634" s="31">
        <f t="shared" si="146"/>
        <v>0</v>
      </c>
      <c r="BI634" s="31">
        <f t="shared" si="147"/>
        <v>0</v>
      </c>
      <c r="BJ634" s="33">
        <f t="shared" si="148"/>
        <v>0</v>
      </c>
      <c r="BK634" s="30"/>
      <c r="BL634" s="30"/>
      <c r="BM634" s="30"/>
      <c r="BN634" s="30"/>
      <c r="BO634" s="33">
        <f t="shared" si="143"/>
        <v>0</v>
      </c>
      <c r="BP634" s="30">
        <v>13</v>
      </c>
      <c r="BQ634" s="30">
        <v>12</v>
      </c>
      <c r="BR634" s="30"/>
      <c r="BS634" s="30"/>
      <c r="BT634" s="34">
        <f t="shared" si="144"/>
        <v>28</v>
      </c>
      <c r="BU634" s="34"/>
      <c r="BV634" s="34"/>
      <c r="BW634" s="34"/>
      <c r="BX634" s="34"/>
      <c r="BY634" s="30"/>
      <c r="BZ634" s="31">
        <f t="shared" si="145"/>
        <v>364</v>
      </c>
      <c r="CA634" s="31">
        <f t="shared" si="136"/>
        <v>336</v>
      </c>
    </row>
    <row r="635" spans="1:79" ht="63.75" x14ac:dyDescent="0.25">
      <c r="A635" s="17"/>
      <c r="B635" s="2">
        <v>622</v>
      </c>
      <c r="C635" s="18">
        <v>314</v>
      </c>
      <c r="D635" s="18">
        <v>609</v>
      </c>
      <c r="E635" s="19">
        <v>0.37638888888888888</v>
      </c>
      <c r="F635" s="19">
        <v>0.39097222222222222</v>
      </c>
      <c r="G635" s="51" t="s">
        <v>1350</v>
      </c>
      <c r="H635" s="18" t="s">
        <v>1348</v>
      </c>
      <c r="I635" s="20">
        <v>12</v>
      </c>
      <c r="J635" s="21" t="s">
        <v>93</v>
      </c>
      <c r="K635" s="22">
        <v>156</v>
      </c>
      <c r="L635" s="23">
        <f t="shared" si="137"/>
        <v>1872</v>
      </c>
      <c r="M635" s="24" t="s">
        <v>478</v>
      </c>
      <c r="N635" s="25" t="s">
        <v>479</v>
      </c>
      <c r="O635" s="25">
        <v>17</v>
      </c>
      <c r="P635" s="17"/>
      <c r="Q635" s="17"/>
      <c r="R635" s="25"/>
      <c r="S635" s="25"/>
      <c r="T635" s="26">
        <v>3240</v>
      </c>
      <c r="U635" s="26" t="s">
        <v>1341</v>
      </c>
      <c r="V635" s="26">
        <v>3164</v>
      </c>
      <c r="W635" s="26" t="s">
        <v>1320</v>
      </c>
      <c r="X635" s="66">
        <v>44805</v>
      </c>
      <c r="Y635" s="66">
        <v>45169</v>
      </c>
      <c r="Z635" s="66"/>
      <c r="AA635" s="66"/>
      <c r="AB635" s="62" t="s">
        <v>1349</v>
      </c>
      <c r="AC635" s="62"/>
      <c r="AD635" s="28" t="s">
        <v>90</v>
      </c>
      <c r="AE635" s="28" t="s">
        <v>90</v>
      </c>
      <c r="AF635" s="28" t="s">
        <v>90</v>
      </c>
      <c r="AG635" s="28"/>
      <c r="AH635" s="28"/>
      <c r="AI635" s="28" t="s">
        <v>90</v>
      </c>
      <c r="AJ635" s="28" t="s">
        <v>90</v>
      </c>
      <c r="AK635" s="28"/>
      <c r="AL635" s="28" t="s">
        <v>90</v>
      </c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31">
        <f>((36*52)+(24*104))/K635</f>
        <v>28</v>
      </c>
      <c r="AY635" s="30"/>
      <c r="AZ635" s="30"/>
      <c r="BA635" s="29"/>
      <c r="BB635" s="29"/>
      <c r="BC635" s="30"/>
      <c r="BD635" s="31">
        <f t="shared" si="142"/>
        <v>4368</v>
      </c>
      <c r="BE635" s="31"/>
      <c r="BF635" s="30"/>
      <c r="BG635" s="36">
        <v>1</v>
      </c>
      <c r="BH635" s="31">
        <f t="shared" si="146"/>
        <v>0</v>
      </c>
      <c r="BI635" s="31">
        <f t="shared" si="147"/>
        <v>0</v>
      </c>
      <c r="BJ635" s="33">
        <f t="shared" si="148"/>
        <v>0</v>
      </c>
      <c r="BK635" s="30"/>
      <c r="BL635" s="30"/>
      <c r="BM635" s="30"/>
      <c r="BN635" s="30"/>
      <c r="BO635" s="33">
        <f t="shared" si="143"/>
        <v>0</v>
      </c>
      <c r="BP635" s="30">
        <v>13</v>
      </c>
      <c r="BQ635" s="30">
        <v>12</v>
      </c>
      <c r="BR635" s="30"/>
      <c r="BS635" s="30"/>
      <c r="BT635" s="34">
        <f t="shared" si="144"/>
        <v>28</v>
      </c>
      <c r="BU635" s="34"/>
      <c r="BV635" s="34"/>
      <c r="BW635" s="34"/>
      <c r="BX635" s="34"/>
      <c r="BY635" s="30"/>
      <c r="BZ635" s="31">
        <f t="shared" si="145"/>
        <v>364</v>
      </c>
      <c r="CA635" s="31">
        <f t="shared" si="136"/>
        <v>336</v>
      </c>
    </row>
    <row r="636" spans="1:79" ht="63.75" x14ac:dyDescent="0.25">
      <c r="A636" s="17"/>
      <c r="B636" s="2">
        <v>623</v>
      </c>
      <c r="C636" s="18">
        <v>314</v>
      </c>
      <c r="D636" s="18">
        <v>613</v>
      </c>
      <c r="E636" s="19">
        <v>0.3923611111111111</v>
      </c>
      <c r="F636" s="19">
        <v>0.40902777777777777</v>
      </c>
      <c r="G636" s="51" t="s">
        <v>1351</v>
      </c>
      <c r="H636" s="18" t="s">
        <v>1348</v>
      </c>
      <c r="I636" s="20">
        <v>15</v>
      </c>
      <c r="J636" s="21" t="s">
        <v>93</v>
      </c>
      <c r="K636" s="22">
        <v>156</v>
      </c>
      <c r="L636" s="23">
        <f t="shared" si="137"/>
        <v>2340</v>
      </c>
      <c r="M636" s="24" t="s">
        <v>478</v>
      </c>
      <c r="N636" s="25" t="s">
        <v>479</v>
      </c>
      <c r="O636" s="25">
        <v>17</v>
      </c>
      <c r="P636" s="17"/>
      <c r="Q636" s="17"/>
      <c r="R636" s="25"/>
      <c r="S636" s="25"/>
      <c r="T636" s="26">
        <v>3164</v>
      </c>
      <c r="U636" s="26" t="s">
        <v>1320</v>
      </c>
      <c r="V636" s="26">
        <v>3231</v>
      </c>
      <c r="W636" s="26" t="s">
        <v>1352</v>
      </c>
      <c r="X636" s="66">
        <v>44805</v>
      </c>
      <c r="Y636" s="66">
        <v>45169</v>
      </c>
      <c r="Z636" s="66"/>
      <c r="AA636" s="66"/>
      <c r="AB636" s="62" t="s">
        <v>1349</v>
      </c>
      <c r="AC636" s="62"/>
      <c r="AD636" s="28" t="s">
        <v>90</v>
      </c>
      <c r="AE636" s="28" t="s">
        <v>90</v>
      </c>
      <c r="AF636" s="28" t="s">
        <v>90</v>
      </c>
      <c r="AG636" s="28"/>
      <c r="AH636" s="28"/>
      <c r="AI636" s="28" t="s">
        <v>90</v>
      </c>
      <c r="AJ636" s="28" t="s">
        <v>90</v>
      </c>
      <c r="AK636" s="28"/>
      <c r="AL636" s="28" t="s">
        <v>90</v>
      </c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31">
        <f>((45*52)+(30*104))/K636</f>
        <v>35</v>
      </c>
      <c r="AY636" s="30"/>
      <c r="AZ636" s="30"/>
      <c r="BA636" s="29"/>
      <c r="BB636" s="29"/>
      <c r="BC636" s="30"/>
      <c r="BD636" s="31">
        <f t="shared" si="142"/>
        <v>5460</v>
      </c>
      <c r="BE636" s="31"/>
      <c r="BF636" s="30"/>
      <c r="BG636" s="36">
        <v>1</v>
      </c>
      <c r="BH636" s="31">
        <f t="shared" si="146"/>
        <v>0</v>
      </c>
      <c r="BI636" s="31">
        <f t="shared" si="147"/>
        <v>0</v>
      </c>
      <c r="BJ636" s="33">
        <f t="shared" si="148"/>
        <v>0</v>
      </c>
      <c r="BK636" s="30"/>
      <c r="BL636" s="30"/>
      <c r="BM636" s="30"/>
      <c r="BN636" s="30"/>
      <c r="BO636" s="33">
        <f t="shared" si="143"/>
        <v>0</v>
      </c>
      <c r="BP636" s="30">
        <v>13</v>
      </c>
      <c r="BQ636" s="30">
        <v>12</v>
      </c>
      <c r="BR636" s="30"/>
      <c r="BS636" s="30"/>
      <c r="BT636" s="34">
        <f t="shared" si="144"/>
        <v>35</v>
      </c>
      <c r="BU636" s="34"/>
      <c r="BV636" s="34"/>
      <c r="BW636" s="34"/>
      <c r="BX636" s="34"/>
      <c r="BY636" s="30"/>
      <c r="BZ636" s="31">
        <f t="shared" si="145"/>
        <v>455</v>
      </c>
      <c r="CA636" s="31">
        <f t="shared" si="136"/>
        <v>420</v>
      </c>
    </row>
    <row r="637" spans="1:79" ht="63.75" x14ac:dyDescent="0.25">
      <c r="A637" s="17"/>
      <c r="B637" s="2">
        <v>624</v>
      </c>
      <c r="C637" s="18">
        <v>314</v>
      </c>
      <c r="D637" s="18">
        <v>612</v>
      </c>
      <c r="E637" s="19">
        <v>0.40902777777777777</v>
      </c>
      <c r="F637" s="19">
        <v>0.42569444444444443</v>
      </c>
      <c r="G637" s="51" t="s">
        <v>1353</v>
      </c>
      <c r="H637" s="18" t="s">
        <v>1348</v>
      </c>
      <c r="I637" s="20">
        <v>15</v>
      </c>
      <c r="J637" s="21" t="s">
        <v>93</v>
      </c>
      <c r="K637" s="22">
        <v>156</v>
      </c>
      <c r="L637" s="23">
        <f t="shared" si="137"/>
        <v>2340</v>
      </c>
      <c r="M637" s="24" t="s">
        <v>478</v>
      </c>
      <c r="N637" s="25" t="s">
        <v>479</v>
      </c>
      <c r="O637" s="25">
        <v>17</v>
      </c>
      <c r="P637" s="17"/>
      <c r="Q637" s="17"/>
      <c r="R637" s="25"/>
      <c r="S637" s="25"/>
      <c r="T637" s="26">
        <v>3231</v>
      </c>
      <c r="U637" s="26" t="s">
        <v>1352</v>
      </c>
      <c r="V637" s="26">
        <v>3164</v>
      </c>
      <c r="W637" s="26" t="s">
        <v>1320</v>
      </c>
      <c r="X637" s="66">
        <v>44805</v>
      </c>
      <c r="Y637" s="66">
        <v>45169</v>
      </c>
      <c r="Z637" s="66"/>
      <c r="AA637" s="66"/>
      <c r="AB637" s="62" t="s">
        <v>1349</v>
      </c>
      <c r="AC637" s="62"/>
      <c r="AD637" s="28" t="s">
        <v>90</v>
      </c>
      <c r="AE637" s="28" t="s">
        <v>90</v>
      </c>
      <c r="AF637" s="28" t="s">
        <v>90</v>
      </c>
      <c r="AG637" s="28"/>
      <c r="AH637" s="28"/>
      <c r="AI637" s="28" t="s">
        <v>90</v>
      </c>
      <c r="AJ637" s="28" t="s">
        <v>90</v>
      </c>
      <c r="AK637" s="28"/>
      <c r="AL637" s="28" t="s">
        <v>90</v>
      </c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31">
        <f>((45*52)+(30*104))/K637</f>
        <v>35</v>
      </c>
      <c r="AY637" s="30"/>
      <c r="AZ637" s="30"/>
      <c r="BA637" s="29"/>
      <c r="BB637" s="29"/>
      <c r="BC637" s="30"/>
      <c r="BD637" s="31">
        <f t="shared" si="142"/>
        <v>5460</v>
      </c>
      <c r="BE637" s="31"/>
      <c r="BF637" s="30"/>
      <c r="BG637" s="36">
        <v>1</v>
      </c>
      <c r="BH637" s="31">
        <f t="shared" si="146"/>
        <v>0</v>
      </c>
      <c r="BI637" s="31">
        <f t="shared" si="147"/>
        <v>0</v>
      </c>
      <c r="BJ637" s="33">
        <f t="shared" si="148"/>
        <v>0</v>
      </c>
      <c r="BK637" s="30"/>
      <c r="BL637" s="30"/>
      <c r="BM637" s="30"/>
      <c r="BN637" s="30"/>
      <c r="BO637" s="33">
        <f t="shared" si="143"/>
        <v>0</v>
      </c>
      <c r="BP637" s="30">
        <v>13</v>
      </c>
      <c r="BQ637" s="30">
        <v>12</v>
      </c>
      <c r="BR637" s="30"/>
      <c r="BS637" s="30"/>
      <c r="BT637" s="34">
        <f t="shared" si="144"/>
        <v>35</v>
      </c>
      <c r="BU637" s="34"/>
      <c r="BV637" s="34"/>
      <c r="BW637" s="34"/>
      <c r="BX637" s="34"/>
      <c r="BY637" s="30"/>
      <c r="BZ637" s="31">
        <f t="shared" si="145"/>
        <v>455</v>
      </c>
      <c r="CA637" s="31">
        <f t="shared" si="136"/>
        <v>420</v>
      </c>
    </row>
    <row r="638" spans="1:79" ht="63.75" x14ac:dyDescent="0.25">
      <c r="A638" s="17"/>
      <c r="B638" s="2">
        <v>625</v>
      </c>
      <c r="C638" s="18">
        <v>314</v>
      </c>
      <c r="D638" s="18">
        <v>610</v>
      </c>
      <c r="E638" s="19">
        <v>0.4375</v>
      </c>
      <c r="F638" s="19">
        <v>0.45277777777777778</v>
      </c>
      <c r="G638" s="51" t="s">
        <v>1354</v>
      </c>
      <c r="H638" s="18" t="s">
        <v>1348</v>
      </c>
      <c r="I638" s="20">
        <v>12</v>
      </c>
      <c r="J638" s="21" t="s">
        <v>93</v>
      </c>
      <c r="K638" s="22">
        <v>156</v>
      </c>
      <c r="L638" s="23">
        <f t="shared" si="137"/>
        <v>1872</v>
      </c>
      <c r="M638" s="24" t="s">
        <v>478</v>
      </c>
      <c r="N638" s="25" t="s">
        <v>479</v>
      </c>
      <c r="O638" s="25">
        <v>17</v>
      </c>
      <c r="P638" s="17"/>
      <c r="Q638" s="17"/>
      <c r="R638" s="25"/>
      <c r="S638" s="25"/>
      <c r="T638" s="26">
        <v>3164</v>
      </c>
      <c r="U638" s="26" t="s">
        <v>1320</v>
      </c>
      <c r="V638" s="26">
        <v>3240</v>
      </c>
      <c r="W638" s="26" t="s">
        <v>1341</v>
      </c>
      <c r="X638" s="66">
        <v>44805</v>
      </c>
      <c r="Y638" s="66">
        <v>45169</v>
      </c>
      <c r="Z638" s="66"/>
      <c r="AA638" s="66"/>
      <c r="AB638" s="62" t="s">
        <v>1349</v>
      </c>
      <c r="AC638" s="62"/>
      <c r="AD638" s="28" t="s">
        <v>90</v>
      </c>
      <c r="AE638" s="28" t="s">
        <v>90</v>
      </c>
      <c r="AF638" s="28" t="s">
        <v>90</v>
      </c>
      <c r="AG638" s="28"/>
      <c r="AH638" s="28"/>
      <c r="AI638" s="28" t="s">
        <v>90</v>
      </c>
      <c r="AJ638" s="28" t="s">
        <v>90</v>
      </c>
      <c r="AK638" s="28"/>
      <c r="AL638" s="28" t="s">
        <v>90</v>
      </c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31">
        <f>((36*52)+(24*104))/K638</f>
        <v>28</v>
      </c>
      <c r="AY638" s="30"/>
      <c r="AZ638" s="30"/>
      <c r="BA638" s="29"/>
      <c r="BB638" s="29"/>
      <c r="BC638" s="30"/>
      <c r="BD638" s="31">
        <f t="shared" si="142"/>
        <v>4368</v>
      </c>
      <c r="BE638" s="31"/>
      <c r="BF638" s="30"/>
      <c r="BG638" s="36">
        <v>1</v>
      </c>
      <c r="BH638" s="31">
        <f t="shared" si="146"/>
        <v>0</v>
      </c>
      <c r="BI638" s="31">
        <f t="shared" si="147"/>
        <v>0</v>
      </c>
      <c r="BJ638" s="33">
        <f t="shared" si="148"/>
        <v>0</v>
      </c>
      <c r="BK638" s="30"/>
      <c r="BL638" s="30"/>
      <c r="BM638" s="30"/>
      <c r="BN638" s="30"/>
      <c r="BO638" s="33">
        <f t="shared" si="143"/>
        <v>0</v>
      </c>
      <c r="BP638" s="30">
        <v>13</v>
      </c>
      <c r="BQ638" s="30">
        <v>12</v>
      </c>
      <c r="BR638" s="30"/>
      <c r="BS638" s="30"/>
      <c r="BT638" s="34">
        <f t="shared" si="144"/>
        <v>28</v>
      </c>
      <c r="BU638" s="34"/>
      <c r="BV638" s="34"/>
      <c r="BW638" s="34"/>
      <c r="BX638" s="34"/>
      <c r="BY638" s="30"/>
      <c r="BZ638" s="31">
        <f t="shared" si="145"/>
        <v>364</v>
      </c>
      <c r="CA638" s="31">
        <f t="shared" si="136"/>
        <v>336</v>
      </c>
    </row>
    <row r="639" spans="1:79" ht="63.75" x14ac:dyDescent="0.25">
      <c r="A639" s="17"/>
      <c r="B639" s="2">
        <v>626</v>
      </c>
      <c r="C639" s="18">
        <v>314</v>
      </c>
      <c r="D639" s="18">
        <v>611</v>
      </c>
      <c r="E639" s="19">
        <v>0.45277777777777778</v>
      </c>
      <c r="F639" s="19">
        <v>0.46736111111111112</v>
      </c>
      <c r="G639" s="51" t="s">
        <v>1350</v>
      </c>
      <c r="H639" s="18" t="s">
        <v>1348</v>
      </c>
      <c r="I639" s="20">
        <v>12</v>
      </c>
      <c r="J639" s="21" t="s">
        <v>93</v>
      </c>
      <c r="K639" s="22">
        <v>156</v>
      </c>
      <c r="L639" s="23">
        <f t="shared" si="137"/>
        <v>1872</v>
      </c>
      <c r="M639" s="24" t="s">
        <v>478</v>
      </c>
      <c r="N639" s="25" t="s">
        <v>479</v>
      </c>
      <c r="O639" s="25">
        <v>17</v>
      </c>
      <c r="P639" s="17"/>
      <c r="Q639" s="17"/>
      <c r="R639" s="25"/>
      <c r="S639" s="25"/>
      <c r="T639" s="26">
        <v>3240</v>
      </c>
      <c r="U639" s="26" t="s">
        <v>1341</v>
      </c>
      <c r="V639" s="26">
        <v>3164</v>
      </c>
      <c r="W639" s="26" t="s">
        <v>1320</v>
      </c>
      <c r="X639" s="66">
        <v>44805</v>
      </c>
      <c r="Y639" s="66">
        <v>45169</v>
      </c>
      <c r="Z639" s="66"/>
      <c r="AA639" s="66"/>
      <c r="AB639" s="62" t="s">
        <v>1349</v>
      </c>
      <c r="AC639" s="62"/>
      <c r="AD639" s="28" t="s">
        <v>90</v>
      </c>
      <c r="AE639" s="28" t="s">
        <v>90</v>
      </c>
      <c r="AF639" s="28" t="s">
        <v>90</v>
      </c>
      <c r="AG639" s="28"/>
      <c r="AH639" s="28"/>
      <c r="AI639" s="28" t="s">
        <v>90</v>
      </c>
      <c r="AJ639" s="28" t="s">
        <v>90</v>
      </c>
      <c r="AK639" s="28"/>
      <c r="AL639" s="28" t="s">
        <v>90</v>
      </c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31">
        <f>((36*52)+(24*104))/K639</f>
        <v>28</v>
      </c>
      <c r="AY639" s="30"/>
      <c r="AZ639" s="30"/>
      <c r="BA639" s="29"/>
      <c r="BB639" s="29"/>
      <c r="BC639" s="30"/>
      <c r="BD639" s="31">
        <f t="shared" si="142"/>
        <v>4368</v>
      </c>
      <c r="BE639" s="31"/>
      <c r="BF639" s="30"/>
      <c r="BG639" s="36">
        <v>1</v>
      </c>
      <c r="BH639" s="31">
        <f t="shared" si="146"/>
        <v>0</v>
      </c>
      <c r="BI639" s="31">
        <f t="shared" si="147"/>
        <v>0</v>
      </c>
      <c r="BJ639" s="33">
        <f t="shared" si="148"/>
        <v>0</v>
      </c>
      <c r="BK639" s="30"/>
      <c r="BL639" s="30"/>
      <c r="BM639" s="30"/>
      <c r="BN639" s="30"/>
      <c r="BO639" s="33">
        <f t="shared" si="143"/>
        <v>0</v>
      </c>
      <c r="BP639" s="30">
        <v>13</v>
      </c>
      <c r="BQ639" s="30">
        <v>12</v>
      </c>
      <c r="BR639" s="30"/>
      <c r="BS639" s="30"/>
      <c r="BT639" s="34">
        <f t="shared" si="144"/>
        <v>28</v>
      </c>
      <c r="BU639" s="34"/>
      <c r="BV639" s="34"/>
      <c r="BW639" s="34"/>
      <c r="BX639" s="34"/>
      <c r="BY639" s="30"/>
      <c r="BZ639" s="31">
        <f t="shared" si="145"/>
        <v>364</v>
      </c>
      <c r="CA639" s="31">
        <f t="shared" si="136"/>
        <v>336</v>
      </c>
    </row>
    <row r="640" spans="1:79" ht="63.75" x14ac:dyDescent="0.25">
      <c r="A640" s="17"/>
      <c r="B640" s="2">
        <v>627</v>
      </c>
      <c r="C640" s="18">
        <v>314</v>
      </c>
      <c r="D640" s="18">
        <v>615</v>
      </c>
      <c r="E640" s="19">
        <v>0.47916666666666669</v>
      </c>
      <c r="F640" s="19">
        <v>0.49583333333333335</v>
      </c>
      <c r="G640" s="51" t="s">
        <v>1351</v>
      </c>
      <c r="H640" s="18" t="s">
        <v>1348</v>
      </c>
      <c r="I640" s="20">
        <v>15</v>
      </c>
      <c r="J640" s="21" t="s">
        <v>93</v>
      </c>
      <c r="K640" s="22">
        <v>156</v>
      </c>
      <c r="L640" s="23">
        <f t="shared" si="137"/>
        <v>2340</v>
      </c>
      <c r="M640" s="24" t="s">
        <v>478</v>
      </c>
      <c r="N640" s="25" t="s">
        <v>479</v>
      </c>
      <c r="O640" s="25">
        <v>17</v>
      </c>
      <c r="P640" s="17"/>
      <c r="Q640" s="17"/>
      <c r="R640" s="25"/>
      <c r="S640" s="25"/>
      <c r="T640" s="26">
        <v>3164</v>
      </c>
      <c r="U640" s="26" t="s">
        <v>1320</v>
      </c>
      <c r="V640" s="26">
        <v>3231</v>
      </c>
      <c r="W640" s="26" t="s">
        <v>1352</v>
      </c>
      <c r="X640" s="66">
        <v>44805</v>
      </c>
      <c r="Y640" s="66">
        <v>45169</v>
      </c>
      <c r="Z640" s="66"/>
      <c r="AA640" s="66"/>
      <c r="AB640" s="62" t="s">
        <v>1349</v>
      </c>
      <c r="AC640" s="62"/>
      <c r="AD640" s="28" t="s">
        <v>90</v>
      </c>
      <c r="AE640" s="28" t="s">
        <v>90</v>
      </c>
      <c r="AF640" s="28" t="s">
        <v>90</v>
      </c>
      <c r="AG640" s="28"/>
      <c r="AH640" s="28"/>
      <c r="AI640" s="28" t="s">
        <v>90</v>
      </c>
      <c r="AJ640" s="28" t="s">
        <v>90</v>
      </c>
      <c r="AK640" s="28"/>
      <c r="AL640" s="28" t="s">
        <v>90</v>
      </c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31">
        <f>((45*52)+(30*104))/K640</f>
        <v>35</v>
      </c>
      <c r="AY640" s="30"/>
      <c r="AZ640" s="30"/>
      <c r="BA640" s="29"/>
      <c r="BB640" s="29"/>
      <c r="BC640" s="30"/>
      <c r="BD640" s="31">
        <f t="shared" si="142"/>
        <v>5460</v>
      </c>
      <c r="BE640" s="31"/>
      <c r="BF640" s="30"/>
      <c r="BG640" s="36">
        <v>1</v>
      </c>
      <c r="BH640" s="31">
        <f t="shared" si="146"/>
        <v>0</v>
      </c>
      <c r="BI640" s="31">
        <f t="shared" si="147"/>
        <v>0</v>
      </c>
      <c r="BJ640" s="33">
        <f t="shared" si="148"/>
        <v>0</v>
      </c>
      <c r="BK640" s="30"/>
      <c r="BL640" s="30"/>
      <c r="BM640" s="30"/>
      <c r="BN640" s="30"/>
      <c r="BO640" s="33">
        <f t="shared" si="143"/>
        <v>0</v>
      </c>
      <c r="BP640" s="30">
        <v>13</v>
      </c>
      <c r="BQ640" s="30">
        <v>12</v>
      </c>
      <c r="BR640" s="30"/>
      <c r="BS640" s="30"/>
      <c r="BT640" s="34">
        <f t="shared" si="144"/>
        <v>35</v>
      </c>
      <c r="BU640" s="34"/>
      <c r="BV640" s="34"/>
      <c r="BW640" s="34"/>
      <c r="BX640" s="34"/>
      <c r="BY640" s="30"/>
      <c r="BZ640" s="31">
        <f t="shared" si="145"/>
        <v>455</v>
      </c>
      <c r="CA640" s="31">
        <f t="shared" si="136"/>
        <v>420</v>
      </c>
    </row>
    <row r="641" spans="1:79" ht="63.75" x14ac:dyDescent="0.25">
      <c r="A641" s="17"/>
      <c r="B641" s="2">
        <v>628</v>
      </c>
      <c r="C641" s="18">
        <v>314</v>
      </c>
      <c r="D641" s="18">
        <v>614</v>
      </c>
      <c r="E641" s="19">
        <v>0.49583333333333335</v>
      </c>
      <c r="F641" s="19">
        <v>0.51249999999999996</v>
      </c>
      <c r="G641" s="51" t="s">
        <v>1353</v>
      </c>
      <c r="H641" s="18" t="s">
        <v>1348</v>
      </c>
      <c r="I641" s="20">
        <v>15</v>
      </c>
      <c r="J641" s="21" t="s">
        <v>93</v>
      </c>
      <c r="K641" s="22">
        <v>156</v>
      </c>
      <c r="L641" s="23">
        <f t="shared" si="137"/>
        <v>2340</v>
      </c>
      <c r="M641" s="24" t="s">
        <v>478</v>
      </c>
      <c r="N641" s="25" t="s">
        <v>479</v>
      </c>
      <c r="O641" s="25">
        <v>17</v>
      </c>
      <c r="P641" s="17"/>
      <c r="Q641" s="17"/>
      <c r="R641" s="25"/>
      <c r="S641" s="25"/>
      <c r="T641" s="26">
        <v>3231</v>
      </c>
      <c r="U641" s="26" t="s">
        <v>1352</v>
      </c>
      <c r="V641" s="26">
        <v>3164</v>
      </c>
      <c r="W641" s="26" t="s">
        <v>1320</v>
      </c>
      <c r="X641" s="66">
        <v>44805</v>
      </c>
      <c r="Y641" s="66">
        <v>45169</v>
      </c>
      <c r="Z641" s="66"/>
      <c r="AA641" s="66"/>
      <c r="AB641" s="62" t="s">
        <v>1349</v>
      </c>
      <c r="AC641" s="62"/>
      <c r="AD641" s="28" t="s">
        <v>90</v>
      </c>
      <c r="AE641" s="28" t="s">
        <v>90</v>
      </c>
      <c r="AF641" s="28" t="s">
        <v>90</v>
      </c>
      <c r="AG641" s="28"/>
      <c r="AH641" s="28"/>
      <c r="AI641" s="28" t="s">
        <v>90</v>
      </c>
      <c r="AJ641" s="28" t="s">
        <v>90</v>
      </c>
      <c r="AK641" s="28"/>
      <c r="AL641" s="28" t="s">
        <v>90</v>
      </c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31">
        <f>((45*52)+(30*104))/K641</f>
        <v>35</v>
      </c>
      <c r="AY641" s="30"/>
      <c r="AZ641" s="30"/>
      <c r="BA641" s="29"/>
      <c r="BB641" s="29"/>
      <c r="BC641" s="30"/>
      <c r="BD641" s="31">
        <f t="shared" si="142"/>
        <v>5460</v>
      </c>
      <c r="BE641" s="31"/>
      <c r="BF641" s="30"/>
      <c r="BG641" s="36">
        <v>1</v>
      </c>
      <c r="BH641" s="31">
        <f t="shared" si="146"/>
        <v>0</v>
      </c>
      <c r="BI641" s="31">
        <f t="shared" si="147"/>
        <v>0</v>
      </c>
      <c r="BJ641" s="33">
        <f t="shared" si="148"/>
        <v>0</v>
      </c>
      <c r="BK641" s="30"/>
      <c r="BL641" s="30"/>
      <c r="BM641" s="30"/>
      <c r="BN641" s="30"/>
      <c r="BO641" s="33">
        <f t="shared" si="143"/>
        <v>0</v>
      </c>
      <c r="BP641" s="30">
        <v>13</v>
      </c>
      <c r="BQ641" s="30">
        <v>12</v>
      </c>
      <c r="BR641" s="30"/>
      <c r="BS641" s="30"/>
      <c r="BT641" s="34">
        <f t="shared" si="144"/>
        <v>35</v>
      </c>
      <c r="BU641" s="34"/>
      <c r="BV641" s="34"/>
      <c r="BW641" s="34"/>
      <c r="BX641" s="34"/>
      <c r="BY641" s="30"/>
      <c r="BZ641" s="31">
        <f t="shared" si="145"/>
        <v>455</v>
      </c>
      <c r="CA641" s="31">
        <f t="shared" si="136"/>
        <v>420</v>
      </c>
    </row>
    <row r="642" spans="1:79" ht="63.75" x14ac:dyDescent="0.25">
      <c r="A642" s="17"/>
      <c r="B642" s="2">
        <v>629</v>
      </c>
      <c r="C642" s="18">
        <v>315</v>
      </c>
      <c r="D642" s="18">
        <v>99</v>
      </c>
      <c r="E642" s="19">
        <v>0.27430555555555552</v>
      </c>
      <c r="F642" s="19">
        <v>0.30416666666666664</v>
      </c>
      <c r="G642" s="18" t="s">
        <v>1355</v>
      </c>
      <c r="H642" s="18" t="s">
        <v>290</v>
      </c>
      <c r="I642" s="20">
        <v>20</v>
      </c>
      <c r="J642" s="21" t="s">
        <v>93</v>
      </c>
      <c r="K642" s="22">
        <v>13</v>
      </c>
      <c r="L642" s="23">
        <f t="shared" si="137"/>
        <v>260</v>
      </c>
      <c r="M642" s="24" t="s">
        <v>1278</v>
      </c>
      <c r="N642" s="25" t="s">
        <v>1291</v>
      </c>
      <c r="O642" s="25">
        <v>20</v>
      </c>
      <c r="P642" s="17" t="s">
        <v>1279</v>
      </c>
      <c r="Q642" s="17">
        <v>23</v>
      </c>
      <c r="R642" s="25" t="s">
        <v>1280</v>
      </c>
      <c r="S642" s="35">
        <v>33</v>
      </c>
      <c r="T642" s="26" t="s">
        <v>1356</v>
      </c>
      <c r="U642" s="26" t="s">
        <v>1357</v>
      </c>
      <c r="V642" s="26" t="s">
        <v>1143</v>
      </c>
      <c r="W642" s="26" t="s">
        <v>1141</v>
      </c>
      <c r="X642" s="27">
        <v>44562</v>
      </c>
      <c r="Y642" s="27">
        <v>44815</v>
      </c>
      <c r="Z642" s="27">
        <v>45101</v>
      </c>
      <c r="AA642" s="27">
        <v>45169</v>
      </c>
      <c r="AB642" s="62" t="s">
        <v>291</v>
      </c>
      <c r="AC642" s="62"/>
      <c r="AD642" s="28"/>
      <c r="AE642" s="28" t="s">
        <v>90</v>
      </c>
      <c r="AF642" s="28"/>
      <c r="AG642" s="28"/>
      <c r="AH642" s="28"/>
      <c r="AI642" s="28"/>
      <c r="AJ642" s="28"/>
      <c r="AK642" s="28"/>
      <c r="AL642" s="28"/>
      <c r="AM642" s="28"/>
      <c r="AN642" s="28" t="s">
        <v>90</v>
      </c>
      <c r="AO642" s="28"/>
      <c r="AP642" s="28"/>
      <c r="AQ642" s="28"/>
      <c r="AR642" s="28"/>
      <c r="AS642" s="28"/>
      <c r="AT642" s="28"/>
      <c r="AU642" s="28"/>
      <c r="AV642" s="28"/>
      <c r="AW642" s="28"/>
      <c r="AX642" s="29">
        <v>63.39</v>
      </c>
      <c r="AY642" s="30"/>
      <c r="AZ642" s="30"/>
      <c r="BA642" s="29"/>
      <c r="BB642" s="29"/>
      <c r="BC642" s="30"/>
      <c r="BD642" s="31">
        <f t="shared" si="142"/>
        <v>824.07</v>
      </c>
      <c r="BE642" s="31"/>
      <c r="BF642" s="30"/>
      <c r="BG642" s="36">
        <v>1</v>
      </c>
      <c r="BH642" s="31">
        <f t="shared" si="146"/>
        <v>0</v>
      </c>
      <c r="BI642" s="31">
        <f t="shared" si="147"/>
        <v>0</v>
      </c>
      <c r="BJ642" s="33">
        <f t="shared" si="148"/>
        <v>0</v>
      </c>
      <c r="BK642" s="30"/>
      <c r="BL642" s="30"/>
      <c r="BM642" s="30"/>
      <c r="BN642" s="31">
        <f>IF((AX642+AY642+AZ642)&lt;20,(20-(AX642+AY642+AZ642)),0)</f>
        <v>0</v>
      </c>
      <c r="BO642" s="33">
        <f t="shared" si="143"/>
        <v>0</v>
      </c>
      <c r="BP642" s="30">
        <v>2</v>
      </c>
      <c r="BQ642" s="30">
        <v>0</v>
      </c>
      <c r="BR642" s="30"/>
      <c r="BS642" s="30"/>
      <c r="BT642" s="34">
        <f t="shared" si="144"/>
        <v>63.39</v>
      </c>
      <c r="BU642" s="34"/>
      <c r="BV642" s="34"/>
      <c r="BW642" s="34"/>
      <c r="BX642" s="34"/>
      <c r="BY642" s="30"/>
      <c r="BZ642" s="31">
        <f t="shared" si="145"/>
        <v>126.78</v>
      </c>
      <c r="CA642" s="31">
        <f t="shared" si="136"/>
        <v>0</v>
      </c>
    </row>
    <row r="643" spans="1:79" ht="127.5" x14ac:dyDescent="0.25">
      <c r="A643" s="17"/>
      <c r="B643" s="2">
        <v>630</v>
      </c>
      <c r="C643" s="18">
        <v>315</v>
      </c>
      <c r="D643" s="18">
        <v>333</v>
      </c>
      <c r="E643" s="59">
        <v>0.28680555555555554</v>
      </c>
      <c r="F643" s="59">
        <v>0.29375000000000001</v>
      </c>
      <c r="G643" s="18" t="s">
        <v>1358</v>
      </c>
      <c r="H643" s="18" t="s">
        <v>306</v>
      </c>
      <c r="I643" s="20">
        <v>13</v>
      </c>
      <c r="J643" s="21" t="s">
        <v>373</v>
      </c>
      <c r="K643" s="22">
        <v>208</v>
      </c>
      <c r="L643" s="23">
        <f t="shared" si="137"/>
        <v>2704</v>
      </c>
      <c r="M643" s="24" t="s">
        <v>1278</v>
      </c>
      <c r="N643" s="25" t="s">
        <v>1291</v>
      </c>
      <c r="O643" s="25">
        <v>20</v>
      </c>
      <c r="P643" s="25" t="s">
        <v>1359</v>
      </c>
      <c r="Q643" s="25">
        <v>31</v>
      </c>
      <c r="R643" s="25" t="s">
        <v>1139</v>
      </c>
      <c r="S643" s="35">
        <v>29</v>
      </c>
      <c r="T643" s="26">
        <v>3213</v>
      </c>
      <c r="U643" s="26" t="s">
        <v>1360</v>
      </c>
      <c r="V643" s="26">
        <v>3209</v>
      </c>
      <c r="W643" s="26" t="s">
        <v>1361</v>
      </c>
      <c r="X643" s="66">
        <v>44816</v>
      </c>
      <c r="Y643" s="66">
        <v>45086</v>
      </c>
      <c r="Z643" s="66"/>
      <c r="AA643" s="66"/>
      <c r="AB643" s="26" t="s">
        <v>309</v>
      </c>
      <c r="AC643" s="26"/>
      <c r="AD643" s="28"/>
      <c r="AE643" s="28"/>
      <c r="AF643" s="28"/>
      <c r="AG643" s="28" t="s">
        <v>90</v>
      </c>
      <c r="AH643" s="28" t="s">
        <v>90</v>
      </c>
      <c r="AI643" s="28" t="s">
        <v>90</v>
      </c>
      <c r="AJ643" s="28" t="s">
        <v>90</v>
      </c>
      <c r="AK643" s="28" t="s">
        <v>90</v>
      </c>
      <c r="AL643" s="28" t="s">
        <v>90</v>
      </c>
      <c r="AM643" s="28" t="s">
        <v>90</v>
      </c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9">
        <v>61.25</v>
      </c>
      <c r="AY643" s="30"/>
      <c r="AZ643" s="30"/>
      <c r="BA643" s="29"/>
      <c r="BB643" s="29"/>
      <c r="BC643" s="30"/>
      <c r="BD643" s="31">
        <f t="shared" si="142"/>
        <v>12740</v>
      </c>
      <c r="BE643" s="31"/>
      <c r="BF643" s="30"/>
      <c r="BG643" s="36">
        <v>1</v>
      </c>
      <c r="BH643" s="31">
        <f t="shared" si="146"/>
        <v>0</v>
      </c>
      <c r="BI643" s="31">
        <f t="shared" si="147"/>
        <v>0</v>
      </c>
      <c r="BJ643" s="33">
        <f t="shared" si="148"/>
        <v>0</v>
      </c>
      <c r="BK643" s="30"/>
      <c r="BL643" s="30"/>
      <c r="BM643" s="30"/>
      <c r="BN643" s="31">
        <f>IF((AX643+AY643+AZ643)&lt;20,(20-(AX643+AY643+AZ643)),0)</f>
        <v>0</v>
      </c>
      <c r="BO643" s="33">
        <f t="shared" si="143"/>
        <v>0</v>
      </c>
      <c r="BP643" s="30">
        <v>17</v>
      </c>
      <c r="BQ643" s="30">
        <v>25</v>
      </c>
      <c r="BR643" s="30"/>
      <c r="BS643" s="30"/>
      <c r="BT643" s="34">
        <f t="shared" si="144"/>
        <v>61.25</v>
      </c>
      <c r="BU643" s="34"/>
      <c r="BV643" s="34"/>
      <c r="BW643" s="34"/>
      <c r="BX643" s="34"/>
      <c r="BY643" s="30"/>
      <c r="BZ643" s="31">
        <f t="shared" si="145"/>
        <v>1041.25</v>
      </c>
      <c r="CA643" s="31">
        <f t="shared" ref="CA643:CA706" si="149">(BT643*BQ643)+(BW643*BX643)</f>
        <v>1531.25</v>
      </c>
    </row>
    <row r="644" spans="1:79" ht="63.75" x14ac:dyDescent="0.25">
      <c r="A644" s="17"/>
      <c r="B644" s="2">
        <v>631</v>
      </c>
      <c r="C644" s="18">
        <v>315</v>
      </c>
      <c r="D644" s="18">
        <v>951</v>
      </c>
      <c r="E644" s="19">
        <v>0.375</v>
      </c>
      <c r="F644" s="59">
        <v>0.40138888888888885</v>
      </c>
      <c r="G644" s="18" t="s">
        <v>1362</v>
      </c>
      <c r="H644" s="18" t="s">
        <v>1363</v>
      </c>
      <c r="I644" s="20">
        <v>20</v>
      </c>
      <c r="J644" s="21" t="s">
        <v>93</v>
      </c>
      <c r="K644" s="22">
        <f>41+39</f>
        <v>80</v>
      </c>
      <c r="L644" s="23">
        <f t="shared" si="137"/>
        <v>1600</v>
      </c>
      <c r="M644" s="24" t="s">
        <v>1364</v>
      </c>
      <c r="N644" s="17" t="s">
        <v>1365</v>
      </c>
      <c r="O644" s="17">
        <v>21</v>
      </c>
      <c r="P644" s="25" t="s">
        <v>1138</v>
      </c>
      <c r="Q644" s="25">
        <v>31</v>
      </c>
      <c r="R644" s="25" t="s">
        <v>1139</v>
      </c>
      <c r="S644" s="35">
        <v>29</v>
      </c>
      <c r="T644" s="26">
        <v>3210</v>
      </c>
      <c r="U644" s="26" t="s">
        <v>1366</v>
      </c>
      <c r="V644" s="26" t="s">
        <v>1143</v>
      </c>
      <c r="W644" s="26" t="s">
        <v>1141</v>
      </c>
      <c r="X644" s="27">
        <v>44816</v>
      </c>
      <c r="Y644" s="27">
        <v>45100</v>
      </c>
      <c r="Z644" s="27"/>
      <c r="AA644" s="27"/>
      <c r="AB644" s="26" t="s">
        <v>1367</v>
      </c>
      <c r="AC644" s="26"/>
      <c r="AD644" s="28" t="s">
        <v>90</v>
      </c>
      <c r="AE644" s="28"/>
      <c r="AF644" s="28" t="s">
        <v>90</v>
      </c>
      <c r="AG644" s="28"/>
      <c r="AH644" s="28"/>
      <c r="AI644" s="28" t="s">
        <v>90</v>
      </c>
      <c r="AJ644" s="28"/>
      <c r="AK644" s="28" t="s">
        <v>90</v>
      </c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9">
        <v>36</v>
      </c>
      <c r="AY644" s="30"/>
      <c r="AZ644" s="30"/>
      <c r="BA644" s="29"/>
      <c r="BB644" s="29"/>
      <c r="BC644" s="30"/>
      <c r="BD644" s="31">
        <f t="shared" si="142"/>
        <v>2880</v>
      </c>
      <c r="BE644" s="31"/>
      <c r="BF644" s="30"/>
      <c r="BG644" s="36">
        <v>1</v>
      </c>
      <c r="BH644" s="31">
        <f t="shared" si="146"/>
        <v>4</v>
      </c>
      <c r="BI644" s="31">
        <f t="shared" si="147"/>
        <v>0</v>
      </c>
      <c r="BJ644" s="31">
        <f t="shared" si="148"/>
        <v>320</v>
      </c>
      <c r="BK644" s="30"/>
      <c r="BL644" s="30"/>
      <c r="BM644" s="30"/>
      <c r="BN644" s="30"/>
      <c r="BO644" s="33">
        <f t="shared" si="143"/>
        <v>0</v>
      </c>
      <c r="BP644" s="30">
        <v>6</v>
      </c>
      <c r="BQ644" s="30">
        <v>8</v>
      </c>
      <c r="BR644" s="30"/>
      <c r="BS644" s="30"/>
      <c r="BT644" s="34">
        <f t="shared" si="144"/>
        <v>40</v>
      </c>
      <c r="BU644" s="34"/>
      <c r="BV644" s="34"/>
      <c r="BW644" s="34"/>
      <c r="BX644" s="34"/>
      <c r="BY644" s="30"/>
      <c r="BZ644" s="31">
        <f t="shared" si="145"/>
        <v>240</v>
      </c>
      <c r="CA644" s="31">
        <f t="shared" si="149"/>
        <v>320</v>
      </c>
    </row>
    <row r="645" spans="1:79" ht="63.75" x14ac:dyDescent="0.25">
      <c r="A645" s="17"/>
      <c r="B645" s="2">
        <v>632</v>
      </c>
      <c r="C645" s="18">
        <v>315</v>
      </c>
      <c r="D645" s="18">
        <v>951</v>
      </c>
      <c r="E645" s="19">
        <v>0.375</v>
      </c>
      <c r="F645" s="19">
        <v>0.40138888888888885</v>
      </c>
      <c r="G645" s="18" t="s">
        <v>1362</v>
      </c>
      <c r="H645" s="18" t="s">
        <v>1368</v>
      </c>
      <c r="I645" s="20">
        <v>20</v>
      </c>
      <c r="J645" s="21" t="s">
        <v>367</v>
      </c>
      <c r="K645" s="22">
        <v>11</v>
      </c>
      <c r="L645" s="23">
        <f t="shared" si="137"/>
        <v>220</v>
      </c>
      <c r="M645" s="24" t="s">
        <v>1364</v>
      </c>
      <c r="N645" s="17" t="s">
        <v>1365</v>
      </c>
      <c r="O645" s="17">
        <v>21</v>
      </c>
      <c r="P645" s="25" t="s">
        <v>1138</v>
      </c>
      <c r="Q645" s="25">
        <v>31</v>
      </c>
      <c r="R645" s="25" t="s">
        <v>1139</v>
      </c>
      <c r="S645" s="35">
        <v>29</v>
      </c>
      <c r="T645" s="26">
        <v>3210</v>
      </c>
      <c r="U645" s="26" t="s">
        <v>1366</v>
      </c>
      <c r="V645" s="26" t="s">
        <v>1143</v>
      </c>
      <c r="W645" s="26" t="s">
        <v>1141</v>
      </c>
      <c r="X645" s="27">
        <v>44562</v>
      </c>
      <c r="Y645" s="27">
        <v>44815</v>
      </c>
      <c r="Z645" s="27">
        <v>45101</v>
      </c>
      <c r="AA645" s="27">
        <v>45169</v>
      </c>
      <c r="AB645" s="26" t="s">
        <v>1294</v>
      </c>
      <c r="AC645" s="26"/>
      <c r="AD645" s="28"/>
      <c r="AE645" s="28" t="s">
        <v>90</v>
      </c>
      <c r="AF645" s="28" t="s">
        <v>90</v>
      </c>
      <c r="AG645" s="28"/>
      <c r="AH645" s="28"/>
      <c r="AI645" s="28" t="s">
        <v>90</v>
      </c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9">
        <v>60</v>
      </c>
      <c r="AY645" s="30"/>
      <c r="AZ645" s="30"/>
      <c r="BA645" s="29"/>
      <c r="BB645" s="29"/>
      <c r="BC645" s="30"/>
      <c r="BD645" s="31">
        <f t="shared" si="142"/>
        <v>660</v>
      </c>
      <c r="BE645" s="31"/>
      <c r="BF645" s="30"/>
      <c r="BG645" s="36">
        <v>1</v>
      </c>
      <c r="BH645" s="31">
        <f t="shared" si="146"/>
        <v>0</v>
      </c>
      <c r="BI645" s="31">
        <f t="shared" si="147"/>
        <v>0</v>
      </c>
      <c r="BJ645" s="33">
        <f t="shared" si="148"/>
        <v>0</v>
      </c>
      <c r="BK645" s="30"/>
      <c r="BL645" s="30"/>
      <c r="BM645" s="30"/>
      <c r="BN645" s="30"/>
      <c r="BO645" s="33">
        <f t="shared" si="143"/>
        <v>0</v>
      </c>
      <c r="BP645" s="30">
        <v>1</v>
      </c>
      <c r="BQ645" s="30">
        <v>0</v>
      </c>
      <c r="BR645" s="30"/>
      <c r="BS645" s="30"/>
      <c r="BT645" s="34">
        <f t="shared" si="144"/>
        <v>60</v>
      </c>
      <c r="BU645" s="34"/>
      <c r="BV645" s="34"/>
      <c r="BW645" s="34"/>
      <c r="BX645" s="34"/>
      <c r="BY645" s="30"/>
      <c r="BZ645" s="31">
        <f t="shared" si="145"/>
        <v>60</v>
      </c>
      <c r="CA645" s="31">
        <f t="shared" si="149"/>
        <v>0</v>
      </c>
    </row>
    <row r="646" spans="1:79" ht="63.75" x14ac:dyDescent="0.25">
      <c r="A646" s="17"/>
      <c r="B646" s="2">
        <v>633</v>
      </c>
      <c r="C646" s="18">
        <v>315</v>
      </c>
      <c r="D646" s="18">
        <v>94</v>
      </c>
      <c r="E646" s="19">
        <v>0.4236111111111111</v>
      </c>
      <c r="F646" s="59">
        <v>0.46180555555555558</v>
      </c>
      <c r="G646" s="18" t="s">
        <v>1369</v>
      </c>
      <c r="H646" s="18" t="s">
        <v>290</v>
      </c>
      <c r="I646" s="20">
        <v>25</v>
      </c>
      <c r="J646" s="21" t="s">
        <v>93</v>
      </c>
      <c r="K646" s="22">
        <v>13</v>
      </c>
      <c r="L646" s="23">
        <f t="shared" si="137"/>
        <v>325</v>
      </c>
      <c r="M646" s="24" t="s">
        <v>1278</v>
      </c>
      <c r="N646" s="25" t="s">
        <v>1291</v>
      </c>
      <c r="O646" s="25">
        <v>20</v>
      </c>
      <c r="P646" s="17" t="s">
        <v>1279</v>
      </c>
      <c r="Q646" s="17">
        <v>23</v>
      </c>
      <c r="R646" s="17"/>
      <c r="S646" s="25"/>
      <c r="T646" s="26" t="s">
        <v>1140</v>
      </c>
      <c r="U646" s="26" t="s">
        <v>1141</v>
      </c>
      <c r="V646" s="26" t="s">
        <v>1370</v>
      </c>
      <c r="W646" s="26" t="s">
        <v>1371</v>
      </c>
      <c r="X646" s="27">
        <v>44562</v>
      </c>
      <c r="Y646" s="27">
        <v>44815</v>
      </c>
      <c r="Z646" s="27">
        <v>45101</v>
      </c>
      <c r="AA646" s="27">
        <v>45169</v>
      </c>
      <c r="AB646" s="62" t="s">
        <v>291</v>
      </c>
      <c r="AC646" s="62"/>
      <c r="AD646" s="28"/>
      <c r="AE646" s="28" t="s">
        <v>90</v>
      </c>
      <c r="AF646" s="28"/>
      <c r="AG646" s="28"/>
      <c r="AH646" s="28"/>
      <c r="AI646" s="28"/>
      <c r="AJ646" s="28"/>
      <c r="AK646" s="28"/>
      <c r="AL646" s="28"/>
      <c r="AM646" s="28"/>
      <c r="AN646" s="28" t="s">
        <v>90</v>
      </c>
      <c r="AO646" s="28"/>
      <c r="AP646" s="28"/>
      <c r="AQ646" s="28"/>
      <c r="AR646" s="28"/>
      <c r="AS646" s="28"/>
      <c r="AT646" s="28"/>
      <c r="AU646" s="28"/>
      <c r="AV646" s="28"/>
      <c r="AW646" s="28"/>
      <c r="AX646" s="29">
        <v>63.39</v>
      </c>
      <c r="AY646" s="30"/>
      <c r="AZ646" s="30"/>
      <c r="BA646" s="29"/>
      <c r="BB646" s="29"/>
      <c r="BC646" s="30"/>
      <c r="BD646" s="31">
        <f t="shared" si="142"/>
        <v>824.07</v>
      </c>
      <c r="BE646" s="31"/>
      <c r="BF646" s="30"/>
      <c r="BG646" s="36">
        <v>1</v>
      </c>
      <c r="BH646" s="31">
        <f t="shared" si="146"/>
        <v>0</v>
      </c>
      <c r="BI646" s="31">
        <f t="shared" si="147"/>
        <v>0</v>
      </c>
      <c r="BJ646" s="33">
        <f t="shared" si="148"/>
        <v>0</v>
      </c>
      <c r="BK646" s="30"/>
      <c r="BL646" s="30"/>
      <c r="BM646" s="30"/>
      <c r="BN646" s="30"/>
      <c r="BO646" s="33">
        <f t="shared" si="143"/>
        <v>0</v>
      </c>
      <c r="BP646" s="30">
        <v>2</v>
      </c>
      <c r="BQ646" s="30">
        <v>0</v>
      </c>
      <c r="BR646" s="30"/>
      <c r="BS646" s="30"/>
      <c r="BT646" s="34">
        <f t="shared" si="144"/>
        <v>63.39</v>
      </c>
      <c r="BU646" s="34"/>
      <c r="BV646" s="34"/>
      <c r="BW646" s="34"/>
      <c r="BX646" s="34"/>
      <c r="BY646" s="30"/>
      <c r="BZ646" s="31">
        <f t="shared" si="145"/>
        <v>126.78</v>
      </c>
      <c r="CA646" s="31">
        <f t="shared" si="149"/>
        <v>0</v>
      </c>
    </row>
    <row r="647" spans="1:79" ht="51" x14ac:dyDescent="0.25">
      <c r="A647" s="17"/>
      <c r="B647" s="2">
        <v>634</v>
      </c>
      <c r="C647" s="18">
        <v>315</v>
      </c>
      <c r="D647" s="18">
        <v>952</v>
      </c>
      <c r="E647" s="19">
        <v>0.47916666666666669</v>
      </c>
      <c r="F647" s="19">
        <v>0.50555555555555554</v>
      </c>
      <c r="G647" s="18" t="s">
        <v>1372</v>
      </c>
      <c r="H647" s="18" t="s">
        <v>1363</v>
      </c>
      <c r="I647" s="20">
        <v>20</v>
      </c>
      <c r="J647" s="21" t="s">
        <v>93</v>
      </c>
      <c r="K647" s="22">
        <v>80</v>
      </c>
      <c r="L647" s="23">
        <f t="shared" si="137"/>
        <v>1600</v>
      </c>
      <c r="M647" s="24" t="s">
        <v>1364</v>
      </c>
      <c r="N647" s="17" t="s">
        <v>1365</v>
      </c>
      <c r="O647" s="17">
        <v>21</v>
      </c>
      <c r="P647" s="25" t="s">
        <v>1138</v>
      </c>
      <c r="Q647" s="25">
        <v>31</v>
      </c>
      <c r="R647" s="25" t="s">
        <v>1139</v>
      </c>
      <c r="S647" s="35">
        <v>29</v>
      </c>
      <c r="T647" s="26" t="s">
        <v>1140</v>
      </c>
      <c r="U647" s="26" t="s">
        <v>1141</v>
      </c>
      <c r="V647" s="26">
        <v>3210</v>
      </c>
      <c r="W647" s="26" t="s">
        <v>1366</v>
      </c>
      <c r="X647" s="27">
        <v>44816</v>
      </c>
      <c r="Y647" s="27">
        <v>45100</v>
      </c>
      <c r="Z647" s="27"/>
      <c r="AA647" s="27"/>
      <c r="AB647" s="26" t="s">
        <v>1367</v>
      </c>
      <c r="AC647" s="26"/>
      <c r="AD647" s="28" t="s">
        <v>90</v>
      </c>
      <c r="AE647" s="28"/>
      <c r="AF647" s="28" t="s">
        <v>90</v>
      </c>
      <c r="AG647" s="28"/>
      <c r="AH647" s="28"/>
      <c r="AI647" s="28" t="s">
        <v>90</v>
      </c>
      <c r="AJ647" s="28"/>
      <c r="AK647" s="28" t="s">
        <v>90</v>
      </c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9">
        <v>36</v>
      </c>
      <c r="AY647" s="30"/>
      <c r="AZ647" s="30"/>
      <c r="BA647" s="29"/>
      <c r="BB647" s="29"/>
      <c r="BC647" s="30"/>
      <c r="BD647" s="31">
        <f t="shared" si="142"/>
        <v>2880</v>
      </c>
      <c r="BE647" s="31"/>
      <c r="BF647" s="30"/>
      <c r="BG647" s="36">
        <v>1</v>
      </c>
      <c r="BH647" s="31">
        <f t="shared" si="146"/>
        <v>4</v>
      </c>
      <c r="BI647" s="31">
        <f t="shared" si="147"/>
        <v>0</v>
      </c>
      <c r="BJ647" s="31">
        <f t="shared" si="148"/>
        <v>320</v>
      </c>
      <c r="BK647" s="30"/>
      <c r="BL647" s="30"/>
      <c r="BM647" s="30"/>
      <c r="BN647" s="30"/>
      <c r="BO647" s="33">
        <f t="shared" si="143"/>
        <v>0</v>
      </c>
      <c r="BP647" s="30">
        <v>6</v>
      </c>
      <c r="BQ647" s="30">
        <v>8</v>
      </c>
      <c r="BR647" s="30"/>
      <c r="BS647" s="30"/>
      <c r="BT647" s="34">
        <f t="shared" si="144"/>
        <v>40</v>
      </c>
      <c r="BU647" s="34"/>
      <c r="BV647" s="34"/>
      <c r="BW647" s="34"/>
      <c r="BX647" s="34"/>
      <c r="BY647" s="30"/>
      <c r="BZ647" s="31">
        <f t="shared" si="145"/>
        <v>240</v>
      </c>
      <c r="CA647" s="31">
        <f t="shared" si="149"/>
        <v>320</v>
      </c>
    </row>
    <row r="648" spans="1:79" ht="51" x14ac:dyDescent="0.25">
      <c r="A648" s="17"/>
      <c r="B648" s="2">
        <v>635</v>
      </c>
      <c r="C648" s="18">
        <v>315</v>
      </c>
      <c r="D648" s="18">
        <v>952</v>
      </c>
      <c r="E648" s="19">
        <v>0.47916666666666669</v>
      </c>
      <c r="F648" s="19">
        <v>0.50555555555555554</v>
      </c>
      <c r="G648" s="18" t="s">
        <v>1372</v>
      </c>
      <c r="H648" s="18" t="s">
        <v>1368</v>
      </c>
      <c r="I648" s="20">
        <v>20</v>
      </c>
      <c r="J648" s="21" t="s">
        <v>367</v>
      </c>
      <c r="K648" s="22">
        <v>11</v>
      </c>
      <c r="L648" s="23">
        <f t="shared" si="137"/>
        <v>220</v>
      </c>
      <c r="M648" s="24" t="s">
        <v>1364</v>
      </c>
      <c r="N648" s="17" t="s">
        <v>1365</v>
      </c>
      <c r="O648" s="17">
        <v>21</v>
      </c>
      <c r="P648" s="25" t="s">
        <v>1138</v>
      </c>
      <c r="Q648" s="25">
        <v>31</v>
      </c>
      <c r="R648" s="25" t="s">
        <v>1139</v>
      </c>
      <c r="S648" s="35">
        <v>29</v>
      </c>
      <c r="T648" s="26" t="s">
        <v>1140</v>
      </c>
      <c r="U648" s="26" t="s">
        <v>1141</v>
      </c>
      <c r="V648" s="26">
        <v>3210</v>
      </c>
      <c r="W648" s="26" t="s">
        <v>1366</v>
      </c>
      <c r="X648" s="27">
        <v>44562</v>
      </c>
      <c r="Y648" s="27">
        <v>44815</v>
      </c>
      <c r="Z648" s="27">
        <v>45101</v>
      </c>
      <c r="AA648" s="27">
        <v>45169</v>
      </c>
      <c r="AB648" s="26" t="s">
        <v>1294</v>
      </c>
      <c r="AC648" s="26"/>
      <c r="AD648" s="28"/>
      <c r="AE648" s="28" t="s">
        <v>90</v>
      </c>
      <c r="AF648" s="28" t="s">
        <v>90</v>
      </c>
      <c r="AG648" s="28"/>
      <c r="AH648" s="28"/>
      <c r="AI648" s="28" t="s">
        <v>90</v>
      </c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9">
        <v>60</v>
      </c>
      <c r="AY648" s="30"/>
      <c r="AZ648" s="30"/>
      <c r="BA648" s="29"/>
      <c r="BB648" s="29"/>
      <c r="BC648" s="30"/>
      <c r="BD648" s="31">
        <f t="shared" si="142"/>
        <v>660</v>
      </c>
      <c r="BE648" s="31"/>
      <c r="BF648" s="30"/>
      <c r="BG648" s="36">
        <v>1</v>
      </c>
      <c r="BH648" s="31">
        <f t="shared" si="146"/>
        <v>0</v>
      </c>
      <c r="BI648" s="31">
        <f t="shared" si="147"/>
        <v>0</v>
      </c>
      <c r="BJ648" s="33">
        <f t="shared" si="148"/>
        <v>0</v>
      </c>
      <c r="BK648" s="30"/>
      <c r="BL648" s="30"/>
      <c r="BM648" s="30"/>
      <c r="BN648" s="30"/>
      <c r="BO648" s="33">
        <f t="shared" si="143"/>
        <v>0</v>
      </c>
      <c r="BP648" s="30">
        <v>1</v>
      </c>
      <c r="BQ648" s="30">
        <v>0</v>
      </c>
      <c r="BR648" s="30"/>
      <c r="BS648" s="30"/>
      <c r="BT648" s="34">
        <f t="shared" si="144"/>
        <v>60</v>
      </c>
      <c r="BU648" s="34"/>
      <c r="BV648" s="34"/>
      <c r="BW648" s="34"/>
      <c r="BX648" s="34"/>
      <c r="BY648" s="30"/>
      <c r="BZ648" s="31">
        <f t="shared" si="145"/>
        <v>60</v>
      </c>
      <c r="CA648" s="31">
        <f t="shared" si="149"/>
        <v>0</v>
      </c>
    </row>
    <row r="649" spans="1:79" ht="51" x14ac:dyDescent="0.25">
      <c r="A649" s="17"/>
      <c r="B649" s="2">
        <v>636</v>
      </c>
      <c r="C649" s="18">
        <v>315</v>
      </c>
      <c r="D649" s="18">
        <v>335</v>
      </c>
      <c r="E649" s="19">
        <v>0.58333333333333337</v>
      </c>
      <c r="F649" s="19">
        <v>0.60555555555555551</v>
      </c>
      <c r="G649" s="18" t="s">
        <v>1373</v>
      </c>
      <c r="H649" s="18" t="s">
        <v>306</v>
      </c>
      <c r="I649" s="20">
        <v>7</v>
      </c>
      <c r="J649" s="21" t="s">
        <v>373</v>
      </c>
      <c r="K649" s="22">
        <v>208</v>
      </c>
      <c r="L649" s="23">
        <f t="shared" si="137"/>
        <v>1456</v>
      </c>
      <c r="M649" s="24" t="s">
        <v>1278</v>
      </c>
      <c r="N649" s="25" t="s">
        <v>1291</v>
      </c>
      <c r="O649" s="25">
        <v>20</v>
      </c>
      <c r="P649" s="25" t="s">
        <v>1359</v>
      </c>
      <c r="Q649" s="25">
        <v>31</v>
      </c>
      <c r="R649" s="25" t="s">
        <v>1139</v>
      </c>
      <c r="S649" s="35">
        <v>29</v>
      </c>
      <c r="T649" s="26">
        <v>3209</v>
      </c>
      <c r="U649" s="26" t="s">
        <v>1361</v>
      </c>
      <c r="V649" s="26">
        <v>3213</v>
      </c>
      <c r="W649" s="26" t="s">
        <v>1360</v>
      </c>
      <c r="X649" s="66">
        <v>44816</v>
      </c>
      <c r="Y649" s="66">
        <v>45086</v>
      </c>
      <c r="Z649" s="66"/>
      <c r="AA649" s="66"/>
      <c r="AB649" s="26" t="s">
        <v>309</v>
      </c>
      <c r="AC649" s="26"/>
      <c r="AD649" s="28"/>
      <c r="AE649" s="28"/>
      <c r="AF649" s="28"/>
      <c r="AG649" s="28" t="s">
        <v>90</v>
      </c>
      <c r="AH649" s="28" t="s">
        <v>90</v>
      </c>
      <c r="AI649" s="28" t="s">
        <v>90</v>
      </c>
      <c r="AJ649" s="28" t="s">
        <v>90</v>
      </c>
      <c r="AK649" s="28" t="s">
        <v>90</v>
      </c>
      <c r="AL649" s="28" t="s">
        <v>90</v>
      </c>
      <c r="AM649" s="28" t="s">
        <v>90</v>
      </c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9">
        <v>42.43</v>
      </c>
      <c r="AY649" s="30"/>
      <c r="AZ649" s="30"/>
      <c r="BA649" s="29"/>
      <c r="BB649" s="29"/>
      <c r="BC649" s="30"/>
      <c r="BD649" s="31">
        <f t="shared" si="142"/>
        <v>8825.44</v>
      </c>
      <c r="BE649" s="31"/>
      <c r="BF649" s="30"/>
      <c r="BG649" s="36">
        <v>1</v>
      </c>
      <c r="BH649" s="31">
        <f t="shared" si="146"/>
        <v>0</v>
      </c>
      <c r="BI649" s="31">
        <f t="shared" si="147"/>
        <v>0</v>
      </c>
      <c r="BJ649" s="33">
        <f t="shared" si="148"/>
        <v>0</v>
      </c>
      <c r="BK649" s="30"/>
      <c r="BL649" s="30"/>
      <c r="BM649" s="30"/>
      <c r="BN649" s="30"/>
      <c r="BO649" s="33">
        <f t="shared" si="143"/>
        <v>0</v>
      </c>
      <c r="BP649" s="30">
        <v>17</v>
      </c>
      <c r="BQ649" s="30">
        <v>25</v>
      </c>
      <c r="BR649" s="30"/>
      <c r="BS649" s="30"/>
      <c r="BT649" s="34">
        <f t="shared" si="144"/>
        <v>42.43</v>
      </c>
      <c r="BU649" s="34"/>
      <c r="BV649" s="34"/>
      <c r="BW649" s="34"/>
      <c r="BX649" s="34"/>
      <c r="BY649" s="30"/>
      <c r="BZ649" s="31">
        <f t="shared" si="145"/>
        <v>721.31</v>
      </c>
      <c r="CA649" s="31">
        <f t="shared" si="149"/>
        <v>1060.75</v>
      </c>
    </row>
    <row r="650" spans="1:79" ht="63.75" x14ac:dyDescent="0.25">
      <c r="A650" s="17"/>
      <c r="B650" s="2">
        <v>637</v>
      </c>
      <c r="C650" s="18">
        <v>315</v>
      </c>
      <c r="D650" s="18">
        <v>953</v>
      </c>
      <c r="E650" s="19">
        <v>0.65625</v>
      </c>
      <c r="F650" s="59">
        <v>0.68263888888888891</v>
      </c>
      <c r="G650" s="18" t="s">
        <v>1362</v>
      </c>
      <c r="H650" s="18" t="s">
        <v>349</v>
      </c>
      <c r="I650" s="20">
        <v>20</v>
      </c>
      <c r="J650" s="21" t="s">
        <v>93</v>
      </c>
      <c r="K650" s="22">
        <v>202</v>
      </c>
      <c r="L650" s="23">
        <f t="shared" si="137"/>
        <v>4040</v>
      </c>
      <c r="M650" s="24" t="s">
        <v>1364</v>
      </c>
      <c r="N650" s="17" t="s">
        <v>1365</v>
      </c>
      <c r="O650" s="17">
        <v>21</v>
      </c>
      <c r="P650" s="25" t="s">
        <v>1138</v>
      </c>
      <c r="Q650" s="25">
        <v>31</v>
      </c>
      <c r="R650" s="25" t="s">
        <v>1139</v>
      </c>
      <c r="S650" s="35">
        <v>29</v>
      </c>
      <c r="T650" s="26">
        <v>3210</v>
      </c>
      <c r="U650" s="26" t="s">
        <v>1366</v>
      </c>
      <c r="V650" s="26" t="s">
        <v>1143</v>
      </c>
      <c r="W650" s="26" t="s">
        <v>1141</v>
      </c>
      <c r="X650" s="27">
        <v>44816</v>
      </c>
      <c r="Y650" s="27">
        <v>45100</v>
      </c>
      <c r="Z650" s="27"/>
      <c r="AA650" s="27"/>
      <c r="AB650" s="26" t="s">
        <v>351</v>
      </c>
      <c r="AC650" s="26"/>
      <c r="AD650" s="28" t="s">
        <v>90</v>
      </c>
      <c r="AE650" s="28"/>
      <c r="AF650" s="28" t="s">
        <v>90</v>
      </c>
      <c r="AG650" s="28"/>
      <c r="AH650" s="28" t="s">
        <v>90</v>
      </c>
      <c r="AI650" s="28" t="s">
        <v>90</v>
      </c>
      <c r="AJ650" s="28" t="s">
        <v>90</v>
      </c>
      <c r="AK650" s="28" t="s">
        <v>90</v>
      </c>
      <c r="AL650" s="28" t="s">
        <v>90</v>
      </c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9">
        <v>36</v>
      </c>
      <c r="AY650" s="30"/>
      <c r="AZ650" s="30"/>
      <c r="BA650" s="29"/>
      <c r="BB650" s="29"/>
      <c r="BC650" s="30"/>
      <c r="BD650" s="31">
        <f t="shared" si="142"/>
        <v>7272</v>
      </c>
      <c r="BE650" s="31"/>
      <c r="BF650" s="30"/>
      <c r="BG650" s="36">
        <v>1</v>
      </c>
      <c r="BH650" s="31">
        <f t="shared" si="146"/>
        <v>4</v>
      </c>
      <c r="BI650" s="31">
        <f t="shared" si="147"/>
        <v>0</v>
      </c>
      <c r="BJ650" s="31">
        <f t="shared" si="148"/>
        <v>808</v>
      </c>
      <c r="BK650" s="30"/>
      <c r="BL650" s="30"/>
      <c r="BM650" s="30"/>
      <c r="BN650" s="30"/>
      <c r="BO650" s="33">
        <f t="shared" si="143"/>
        <v>0</v>
      </c>
      <c r="BP650" s="30">
        <v>15</v>
      </c>
      <c r="BQ650" s="30">
        <v>21</v>
      </c>
      <c r="BR650" s="30"/>
      <c r="BS650" s="30"/>
      <c r="BT650" s="34">
        <f t="shared" si="144"/>
        <v>40</v>
      </c>
      <c r="BU650" s="34"/>
      <c r="BV650" s="34"/>
      <c r="BW650" s="34"/>
      <c r="BX650" s="34"/>
      <c r="BY650" s="30"/>
      <c r="BZ650" s="31">
        <f t="shared" si="145"/>
        <v>600</v>
      </c>
      <c r="CA650" s="31">
        <f t="shared" si="149"/>
        <v>840</v>
      </c>
    </row>
    <row r="651" spans="1:79" ht="51" x14ac:dyDescent="0.25">
      <c r="A651" s="17"/>
      <c r="B651" s="2">
        <v>638</v>
      </c>
      <c r="C651" s="18">
        <v>315</v>
      </c>
      <c r="D651" s="18">
        <v>954</v>
      </c>
      <c r="E651" s="19">
        <v>0.69097222222222221</v>
      </c>
      <c r="F651" s="19">
        <v>0.71736111111111101</v>
      </c>
      <c r="G651" s="18" t="s">
        <v>1372</v>
      </c>
      <c r="H651" s="18" t="s">
        <v>349</v>
      </c>
      <c r="I651" s="20">
        <v>20</v>
      </c>
      <c r="J651" s="21" t="s">
        <v>93</v>
      </c>
      <c r="K651" s="22">
        <v>202</v>
      </c>
      <c r="L651" s="23">
        <f t="shared" si="137"/>
        <v>4040</v>
      </c>
      <c r="M651" s="24" t="s">
        <v>1364</v>
      </c>
      <c r="N651" s="17" t="s">
        <v>1365</v>
      </c>
      <c r="O651" s="17">
        <v>21</v>
      </c>
      <c r="P651" s="25" t="s">
        <v>1138</v>
      </c>
      <c r="Q651" s="25">
        <v>31</v>
      </c>
      <c r="R651" s="25" t="s">
        <v>1139</v>
      </c>
      <c r="S651" s="35">
        <v>29</v>
      </c>
      <c r="T651" s="26" t="s">
        <v>1140</v>
      </c>
      <c r="U651" s="26" t="s">
        <v>1141</v>
      </c>
      <c r="V651" s="26">
        <v>3210</v>
      </c>
      <c r="W651" s="26" t="s">
        <v>1366</v>
      </c>
      <c r="X651" s="27">
        <v>44816</v>
      </c>
      <c r="Y651" s="27">
        <v>45100</v>
      </c>
      <c r="Z651" s="27"/>
      <c r="AA651" s="27"/>
      <c r="AB651" s="26" t="s">
        <v>351</v>
      </c>
      <c r="AC651" s="26"/>
      <c r="AD651" s="28" t="s">
        <v>90</v>
      </c>
      <c r="AE651" s="28"/>
      <c r="AF651" s="28" t="s">
        <v>90</v>
      </c>
      <c r="AG651" s="28"/>
      <c r="AH651" s="28" t="s">
        <v>90</v>
      </c>
      <c r="AI651" s="28" t="s">
        <v>90</v>
      </c>
      <c r="AJ651" s="28" t="s">
        <v>90</v>
      </c>
      <c r="AK651" s="28" t="s">
        <v>90</v>
      </c>
      <c r="AL651" s="28" t="s">
        <v>90</v>
      </c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9">
        <v>36</v>
      </c>
      <c r="AY651" s="30"/>
      <c r="AZ651" s="30"/>
      <c r="BA651" s="29"/>
      <c r="BB651" s="29"/>
      <c r="BC651" s="30"/>
      <c r="BD651" s="31">
        <f t="shared" si="142"/>
        <v>7272</v>
      </c>
      <c r="BE651" s="31"/>
      <c r="BF651" s="30"/>
      <c r="BG651" s="36">
        <v>1</v>
      </c>
      <c r="BH651" s="31">
        <f t="shared" si="146"/>
        <v>4</v>
      </c>
      <c r="BI651" s="31">
        <f t="shared" si="147"/>
        <v>0</v>
      </c>
      <c r="BJ651" s="31">
        <f t="shared" si="148"/>
        <v>808</v>
      </c>
      <c r="BK651" s="30"/>
      <c r="BL651" s="30"/>
      <c r="BM651" s="30"/>
      <c r="BN651" s="30"/>
      <c r="BO651" s="33">
        <f t="shared" si="143"/>
        <v>0</v>
      </c>
      <c r="BP651" s="30">
        <v>15</v>
      </c>
      <c r="BQ651" s="30">
        <v>21</v>
      </c>
      <c r="BR651" s="30"/>
      <c r="BS651" s="30"/>
      <c r="BT651" s="34">
        <f t="shared" si="144"/>
        <v>40</v>
      </c>
      <c r="BU651" s="34"/>
      <c r="BV651" s="34"/>
      <c r="BW651" s="34"/>
      <c r="BX651" s="34"/>
      <c r="BY651" s="30"/>
      <c r="BZ651" s="31">
        <f t="shared" si="145"/>
        <v>600</v>
      </c>
      <c r="CA651" s="31">
        <f t="shared" si="149"/>
        <v>840</v>
      </c>
    </row>
    <row r="652" spans="1:79" ht="51" x14ac:dyDescent="0.25">
      <c r="A652" s="17"/>
      <c r="B652" s="2">
        <v>639</v>
      </c>
      <c r="C652" s="48">
        <v>334</v>
      </c>
      <c r="D652" s="48">
        <v>539</v>
      </c>
      <c r="E652" s="49">
        <v>0.34513888888888888</v>
      </c>
      <c r="F652" s="49">
        <v>0.35138888888888892</v>
      </c>
      <c r="G652" s="51" t="s">
        <v>1374</v>
      </c>
      <c r="H652" s="18" t="s">
        <v>306</v>
      </c>
      <c r="I652" s="48">
        <v>4</v>
      </c>
      <c r="J652" s="52">
        <v>19</v>
      </c>
      <c r="K652" s="22">
        <v>208</v>
      </c>
      <c r="L652" s="23">
        <f t="shared" si="137"/>
        <v>832</v>
      </c>
      <c r="M652" s="24" t="s">
        <v>1284</v>
      </c>
      <c r="N652" s="25" t="s">
        <v>1375</v>
      </c>
      <c r="O652" s="25">
        <v>22</v>
      </c>
      <c r="P652" s="25" t="s">
        <v>1376</v>
      </c>
      <c r="Q652" s="25">
        <v>29</v>
      </c>
      <c r="R652" s="17" t="s">
        <v>1377</v>
      </c>
      <c r="S652" s="25">
        <v>21</v>
      </c>
      <c r="T652" s="26" t="s">
        <v>1378</v>
      </c>
      <c r="U652" s="26" t="s">
        <v>1379</v>
      </c>
      <c r="V652" s="26" t="s">
        <v>1380</v>
      </c>
      <c r="W652" s="26" t="s">
        <v>1381</v>
      </c>
      <c r="X652" s="66">
        <v>44816</v>
      </c>
      <c r="Y652" s="66">
        <v>45086</v>
      </c>
      <c r="Z652" s="66"/>
      <c r="AA652" s="66"/>
      <c r="AB652" s="26" t="s">
        <v>309</v>
      </c>
      <c r="AC652" s="26"/>
      <c r="AD652" s="28"/>
      <c r="AE652" s="28"/>
      <c r="AF652" s="28"/>
      <c r="AG652" s="28" t="s">
        <v>90</v>
      </c>
      <c r="AH652" s="28" t="s">
        <v>90</v>
      </c>
      <c r="AI652" s="28" t="s">
        <v>90</v>
      </c>
      <c r="AJ652" s="28" t="s">
        <v>90</v>
      </c>
      <c r="AK652" s="28" t="s">
        <v>90</v>
      </c>
      <c r="AL652" s="28" t="s">
        <v>90</v>
      </c>
      <c r="AM652" s="28" t="s">
        <v>90</v>
      </c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31"/>
      <c r="AY652" s="30"/>
      <c r="AZ652" s="30"/>
      <c r="BA652" s="55" t="s">
        <v>1382</v>
      </c>
      <c r="BB652" s="55"/>
      <c r="BC652" s="30"/>
      <c r="BD652" s="31">
        <f t="shared" si="142"/>
        <v>0</v>
      </c>
      <c r="BE652" s="30"/>
      <c r="BF652" s="30"/>
      <c r="BG652" s="36">
        <v>1</v>
      </c>
      <c r="BH652" s="30"/>
      <c r="BI652" s="31"/>
      <c r="BJ652" s="30"/>
      <c r="BK652" s="30"/>
      <c r="BL652" s="30"/>
      <c r="BM652" s="30"/>
      <c r="BN652" s="30"/>
      <c r="BO652" s="33">
        <f t="shared" si="143"/>
        <v>0</v>
      </c>
      <c r="BP652" s="30">
        <v>17</v>
      </c>
      <c r="BQ652" s="30">
        <v>25</v>
      </c>
      <c r="BR652" s="30"/>
      <c r="BS652" s="30"/>
      <c r="BT652" s="34">
        <f t="shared" si="144"/>
        <v>0</v>
      </c>
      <c r="BU652" s="34" t="s">
        <v>446</v>
      </c>
      <c r="BV652" s="30">
        <v>1</v>
      </c>
      <c r="BW652" s="30">
        <v>1</v>
      </c>
      <c r="BX652" s="34">
        <v>2500</v>
      </c>
      <c r="BY652" s="30"/>
      <c r="BZ652" s="31">
        <f t="shared" si="145"/>
        <v>2500</v>
      </c>
      <c r="CA652" s="31">
        <f t="shared" si="149"/>
        <v>2500</v>
      </c>
    </row>
    <row r="653" spans="1:79" ht="51" x14ac:dyDescent="0.25">
      <c r="A653" s="17" t="s">
        <v>206</v>
      </c>
      <c r="B653" s="2">
        <v>640</v>
      </c>
      <c r="C653" s="48">
        <v>334</v>
      </c>
      <c r="D653" s="48">
        <v>276</v>
      </c>
      <c r="E653" s="49">
        <v>0.40208333333333335</v>
      </c>
      <c r="F653" s="49">
        <v>0.41180555555555554</v>
      </c>
      <c r="G653" s="51" t="s">
        <v>1383</v>
      </c>
      <c r="H653" s="18" t="s">
        <v>306</v>
      </c>
      <c r="I653" s="60">
        <v>16</v>
      </c>
      <c r="J653" s="52">
        <v>19</v>
      </c>
      <c r="K653" s="22">
        <v>208</v>
      </c>
      <c r="L653" s="23">
        <f t="shared" si="137"/>
        <v>3328</v>
      </c>
      <c r="M653" s="24" t="s">
        <v>1284</v>
      </c>
      <c r="N653" s="25" t="s">
        <v>1375</v>
      </c>
      <c r="O653" s="25">
        <v>22</v>
      </c>
      <c r="P653" s="25" t="s">
        <v>1376</v>
      </c>
      <c r="Q653" s="25">
        <v>29</v>
      </c>
      <c r="R653" s="17" t="s">
        <v>1377</v>
      </c>
      <c r="S653" s="25">
        <v>21</v>
      </c>
      <c r="T653" s="26" t="s">
        <v>1380</v>
      </c>
      <c r="U653" s="26" t="s">
        <v>1381</v>
      </c>
      <c r="V653" s="26" t="s">
        <v>1384</v>
      </c>
      <c r="W653" s="26" t="s">
        <v>1385</v>
      </c>
      <c r="X653" s="66">
        <v>44816</v>
      </c>
      <c r="Y653" s="66">
        <v>45086</v>
      </c>
      <c r="Z653" s="66"/>
      <c r="AA653" s="66"/>
      <c r="AB653" s="26" t="s">
        <v>309</v>
      </c>
      <c r="AC653" s="26"/>
      <c r="AD653" s="28"/>
      <c r="AE653" s="28"/>
      <c r="AF653" s="28"/>
      <c r="AG653" s="28" t="s">
        <v>90</v>
      </c>
      <c r="AH653" s="28" t="s">
        <v>90</v>
      </c>
      <c r="AI653" s="28" t="s">
        <v>90</v>
      </c>
      <c r="AJ653" s="28" t="s">
        <v>90</v>
      </c>
      <c r="AK653" s="28" t="s">
        <v>90</v>
      </c>
      <c r="AL653" s="28" t="s">
        <v>90</v>
      </c>
      <c r="AM653" s="28" t="s">
        <v>90</v>
      </c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31"/>
      <c r="AY653" s="30"/>
      <c r="AZ653" s="30"/>
      <c r="BA653" s="55" t="s">
        <v>1382</v>
      </c>
      <c r="BB653" s="55"/>
      <c r="BC653" s="30">
        <v>32</v>
      </c>
      <c r="BD653" s="31">
        <f t="shared" si="142"/>
        <v>0</v>
      </c>
      <c r="BE653" s="30"/>
      <c r="BF653" s="30"/>
      <c r="BG653" s="36">
        <v>1</v>
      </c>
      <c r="BH653" s="30"/>
      <c r="BI653" s="31"/>
      <c r="BJ653" s="30"/>
      <c r="BK653" s="30"/>
      <c r="BL653" s="30"/>
      <c r="BM653" s="30"/>
      <c r="BN653" s="30"/>
      <c r="BO653" s="33">
        <f t="shared" si="143"/>
        <v>0</v>
      </c>
      <c r="BP653" s="30">
        <v>17</v>
      </c>
      <c r="BQ653" s="30">
        <v>25</v>
      </c>
      <c r="BR653" s="30"/>
      <c r="BS653" s="30"/>
      <c r="BT653" s="34">
        <f t="shared" si="144"/>
        <v>0</v>
      </c>
      <c r="BU653" s="82" t="s">
        <v>309</v>
      </c>
      <c r="BV653" s="30">
        <v>17</v>
      </c>
      <c r="BW653" s="30">
        <v>25</v>
      </c>
      <c r="BX653" s="34">
        <v>69</v>
      </c>
      <c r="BY653" s="30"/>
      <c r="BZ653" s="31">
        <f t="shared" si="145"/>
        <v>1173</v>
      </c>
      <c r="CA653" s="31">
        <f t="shared" si="149"/>
        <v>1725</v>
      </c>
    </row>
    <row r="654" spans="1:79" ht="51" x14ac:dyDescent="0.25">
      <c r="A654" s="17"/>
      <c r="B654" s="2">
        <v>641</v>
      </c>
      <c r="C654" s="48">
        <v>334</v>
      </c>
      <c r="D654" s="48">
        <v>405</v>
      </c>
      <c r="E654" s="49">
        <v>0.41597222222222219</v>
      </c>
      <c r="F654" s="50">
        <v>0.4368055555555555</v>
      </c>
      <c r="G654" s="51" t="s">
        <v>1386</v>
      </c>
      <c r="H654" s="18" t="s">
        <v>306</v>
      </c>
      <c r="I654" s="48">
        <v>19.3</v>
      </c>
      <c r="J654" s="52">
        <v>19</v>
      </c>
      <c r="K654" s="22">
        <v>208</v>
      </c>
      <c r="L654" s="23">
        <f t="shared" si="137"/>
        <v>4014.4</v>
      </c>
      <c r="M654" s="24" t="s">
        <v>1284</v>
      </c>
      <c r="N654" s="25" t="s">
        <v>1375</v>
      </c>
      <c r="O654" s="25">
        <v>22</v>
      </c>
      <c r="P654" s="25" t="s">
        <v>1376</v>
      </c>
      <c r="Q654" s="25">
        <v>29</v>
      </c>
      <c r="R654" s="17" t="s">
        <v>1377</v>
      </c>
      <c r="S654" s="25">
        <v>21</v>
      </c>
      <c r="T654" s="26" t="s">
        <v>1387</v>
      </c>
      <c r="U654" s="26" t="s">
        <v>1388</v>
      </c>
      <c r="V654" s="26" t="s">
        <v>1380</v>
      </c>
      <c r="W654" s="26" t="s">
        <v>1381</v>
      </c>
      <c r="X654" s="66">
        <v>44816</v>
      </c>
      <c r="Y654" s="66">
        <v>45086</v>
      </c>
      <c r="Z654" s="66"/>
      <c r="AA654" s="66"/>
      <c r="AB654" s="26" t="s">
        <v>309</v>
      </c>
      <c r="AC654" s="26"/>
      <c r="AD654" s="28"/>
      <c r="AE654" s="28"/>
      <c r="AF654" s="28"/>
      <c r="AG654" s="28" t="s">
        <v>90</v>
      </c>
      <c r="AH654" s="28" t="s">
        <v>90</v>
      </c>
      <c r="AI654" s="28" t="s">
        <v>90</v>
      </c>
      <c r="AJ654" s="28" t="s">
        <v>90</v>
      </c>
      <c r="AK654" s="28" t="s">
        <v>90</v>
      </c>
      <c r="AL654" s="28" t="s">
        <v>90</v>
      </c>
      <c r="AM654" s="28" t="s">
        <v>90</v>
      </c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31"/>
      <c r="AY654" s="30"/>
      <c r="AZ654" s="30"/>
      <c r="BA654" s="55" t="s">
        <v>1382</v>
      </c>
      <c r="BB654" s="55"/>
      <c r="BC654" s="30">
        <v>33</v>
      </c>
      <c r="BD654" s="31">
        <f t="shared" si="142"/>
        <v>0</v>
      </c>
      <c r="BE654" s="30"/>
      <c r="BF654" s="30"/>
      <c r="BG654" s="36">
        <v>1</v>
      </c>
      <c r="BH654" s="30"/>
      <c r="BI654" s="31"/>
      <c r="BJ654" s="30"/>
      <c r="BK654" s="30"/>
      <c r="BL654" s="30"/>
      <c r="BM654" s="30"/>
      <c r="BN654" s="30"/>
      <c r="BO654" s="33">
        <f t="shared" si="143"/>
        <v>0</v>
      </c>
      <c r="BP654" s="30">
        <v>17</v>
      </c>
      <c r="BQ654" s="30">
        <v>25</v>
      </c>
      <c r="BR654" s="30"/>
      <c r="BS654" s="30"/>
      <c r="BT654" s="34">
        <f t="shared" si="144"/>
        <v>0</v>
      </c>
      <c r="BU654" s="34"/>
      <c r="BV654" s="34"/>
      <c r="BW654" s="34"/>
      <c r="BX654" s="34"/>
      <c r="BY654" s="30"/>
      <c r="BZ654" s="31">
        <f t="shared" si="145"/>
        <v>0</v>
      </c>
      <c r="CA654" s="31">
        <f t="shared" si="149"/>
        <v>0</v>
      </c>
    </row>
    <row r="655" spans="1:79" ht="51" x14ac:dyDescent="0.25">
      <c r="A655" s="17"/>
      <c r="B655" s="2">
        <v>642</v>
      </c>
      <c r="C655" s="60">
        <v>334</v>
      </c>
      <c r="D655" s="48">
        <v>87</v>
      </c>
      <c r="E655" s="50">
        <v>0.46180555555555558</v>
      </c>
      <c r="F655" s="49">
        <v>0.4777777777777778</v>
      </c>
      <c r="G655" s="51" t="s">
        <v>1389</v>
      </c>
      <c r="H655" s="18" t="s">
        <v>273</v>
      </c>
      <c r="I655" s="48">
        <v>14</v>
      </c>
      <c r="J655" s="52">
        <v>19</v>
      </c>
      <c r="K655" s="22">
        <v>174</v>
      </c>
      <c r="L655" s="23">
        <f t="shared" si="137"/>
        <v>2436</v>
      </c>
      <c r="M655" s="24" t="s">
        <v>1284</v>
      </c>
      <c r="N655" s="25" t="s">
        <v>1375</v>
      </c>
      <c r="O655" s="25">
        <v>22</v>
      </c>
      <c r="P655" s="25" t="s">
        <v>1376</v>
      </c>
      <c r="Q655" s="25">
        <v>29</v>
      </c>
      <c r="R655" s="17" t="s">
        <v>1377</v>
      </c>
      <c r="S655" s="25">
        <v>21</v>
      </c>
      <c r="T655" s="26" t="s">
        <v>1380</v>
      </c>
      <c r="U655" s="26" t="s">
        <v>1381</v>
      </c>
      <c r="V655" s="26">
        <v>3367</v>
      </c>
      <c r="W655" s="26" t="s">
        <v>1390</v>
      </c>
      <c r="X655" s="66">
        <v>44816</v>
      </c>
      <c r="Y655" s="66">
        <v>45086</v>
      </c>
      <c r="Z655" s="66"/>
      <c r="AA655" s="66"/>
      <c r="AB655" s="26" t="s">
        <v>282</v>
      </c>
      <c r="AC655" s="26"/>
      <c r="AD655" s="28"/>
      <c r="AE655" s="28"/>
      <c r="AF655" s="28"/>
      <c r="AG655" s="28" t="s">
        <v>90</v>
      </c>
      <c r="AH655" s="28" t="s">
        <v>90</v>
      </c>
      <c r="AI655" s="28" t="s">
        <v>90</v>
      </c>
      <c r="AJ655" s="28" t="s">
        <v>90</v>
      </c>
      <c r="AK655" s="28" t="s">
        <v>90</v>
      </c>
      <c r="AL655" s="28" t="s">
        <v>90</v>
      </c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31"/>
      <c r="AY655" s="30"/>
      <c r="AZ655" s="30"/>
      <c r="BA655" s="55" t="s">
        <v>1391</v>
      </c>
      <c r="BB655" s="55"/>
      <c r="BC655" s="30"/>
      <c r="BD655" s="31">
        <f t="shared" si="142"/>
        <v>0</v>
      </c>
      <c r="BE655" s="30"/>
      <c r="BF655" s="30"/>
      <c r="BG655" s="36">
        <v>1</v>
      </c>
      <c r="BH655" s="30"/>
      <c r="BI655" s="31"/>
      <c r="BJ655" s="30"/>
      <c r="BK655" s="30"/>
      <c r="BL655" s="30"/>
      <c r="BM655" s="30"/>
      <c r="BN655" s="30"/>
      <c r="BO655" s="33">
        <f t="shared" si="143"/>
        <v>0</v>
      </c>
      <c r="BP655" s="30">
        <v>15</v>
      </c>
      <c r="BQ655" s="30">
        <v>20</v>
      </c>
      <c r="BR655" s="30"/>
      <c r="BS655" s="30"/>
      <c r="BT655" s="34">
        <f t="shared" si="144"/>
        <v>0</v>
      </c>
      <c r="BU655" s="34" t="s">
        <v>446</v>
      </c>
      <c r="BV655" s="30">
        <v>1</v>
      </c>
      <c r="BW655" s="30">
        <v>1</v>
      </c>
      <c r="BX655" s="34">
        <v>2500</v>
      </c>
      <c r="BY655" s="30"/>
      <c r="BZ655" s="31">
        <f t="shared" si="145"/>
        <v>2500</v>
      </c>
      <c r="CA655" s="31">
        <f t="shared" si="149"/>
        <v>2500</v>
      </c>
    </row>
    <row r="656" spans="1:79" ht="51" x14ac:dyDescent="0.25">
      <c r="A656" s="17"/>
      <c r="B656" s="2">
        <v>643</v>
      </c>
      <c r="C656" s="48">
        <v>334</v>
      </c>
      <c r="D656" s="48">
        <v>197</v>
      </c>
      <c r="E656" s="49">
        <v>0.5805555555555556</v>
      </c>
      <c r="F656" s="49">
        <v>0.58611111111111114</v>
      </c>
      <c r="G656" s="51" t="s">
        <v>1374</v>
      </c>
      <c r="H656" s="18" t="s">
        <v>306</v>
      </c>
      <c r="I656" s="48">
        <v>4</v>
      </c>
      <c r="J656" s="52">
        <v>19</v>
      </c>
      <c r="K656" s="22">
        <v>208</v>
      </c>
      <c r="L656" s="23">
        <f t="shared" si="137"/>
        <v>832</v>
      </c>
      <c r="M656" s="24" t="s">
        <v>1284</v>
      </c>
      <c r="N656" s="25" t="s">
        <v>1375</v>
      </c>
      <c r="O656" s="25">
        <v>22</v>
      </c>
      <c r="P656" s="25" t="s">
        <v>1376</v>
      </c>
      <c r="Q656" s="25">
        <v>29</v>
      </c>
      <c r="R656" s="17" t="s">
        <v>1377</v>
      </c>
      <c r="S656" s="25">
        <v>21</v>
      </c>
      <c r="T656" s="26" t="s">
        <v>1378</v>
      </c>
      <c r="U656" s="26" t="s">
        <v>1379</v>
      </c>
      <c r="V656" s="26" t="s">
        <v>1380</v>
      </c>
      <c r="W656" s="26" t="s">
        <v>1381</v>
      </c>
      <c r="X656" s="66">
        <v>44816</v>
      </c>
      <c r="Y656" s="66">
        <v>45086</v>
      </c>
      <c r="Z656" s="66"/>
      <c r="AA656" s="66"/>
      <c r="AB656" s="26" t="s">
        <v>309</v>
      </c>
      <c r="AC656" s="26"/>
      <c r="AD656" s="28"/>
      <c r="AE656" s="28"/>
      <c r="AF656" s="28"/>
      <c r="AG656" s="28" t="s">
        <v>90</v>
      </c>
      <c r="AH656" s="28" t="s">
        <v>90</v>
      </c>
      <c r="AI656" s="28" t="s">
        <v>90</v>
      </c>
      <c r="AJ656" s="28" t="s">
        <v>90</v>
      </c>
      <c r="AK656" s="28" t="s">
        <v>90</v>
      </c>
      <c r="AL656" s="28" t="s">
        <v>90</v>
      </c>
      <c r="AM656" s="28" t="s">
        <v>90</v>
      </c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31"/>
      <c r="AY656" s="30"/>
      <c r="AZ656" s="30"/>
      <c r="BA656" s="55" t="s">
        <v>1391</v>
      </c>
      <c r="BB656" s="55"/>
      <c r="BC656" s="30"/>
      <c r="BD656" s="31">
        <f t="shared" si="142"/>
        <v>0</v>
      </c>
      <c r="BE656" s="30"/>
      <c r="BF656" s="30"/>
      <c r="BG656" s="36">
        <v>1</v>
      </c>
      <c r="BH656" s="30"/>
      <c r="BI656" s="31"/>
      <c r="BJ656" s="30"/>
      <c r="BK656" s="30"/>
      <c r="BL656" s="30"/>
      <c r="BM656" s="30"/>
      <c r="BN656" s="30"/>
      <c r="BO656" s="33">
        <f t="shared" si="143"/>
        <v>0</v>
      </c>
      <c r="BP656" s="30">
        <v>17</v>
      </c>
      <c r="BQ656" s="30">
        <v>25</v>
      </c>
      <c r="BR656" s="30"/>
      <c r="BS656" s="30"/>
      <c r="BT656" s="34">
        <f t="shared" si="144"/>
        <v>0</v>
      </c>
      <c r="BU656" s="34"/>
      <c r="BV656" s="34"/>
      <c r="BW656" s="34"/>
      <c r="BX656" s="34"/>
      <c r="BY656" s="30"/>
      <c r="BZ656" s="31">
        <f t="shared" si="145"/>
        <v>0</v>
      </c>
      <c r="CA656" s="31">
        <f t="shared" si="149"/>
        <v>0</v>
      </c>
    </row>
    <row r="657" spans="1:79" ht="51" x14ac:dyDescent="0.25">
      <c r="A657" s="17"/>
      <c r="B657" s="2">
        <v>644</v>
      </c>
      <c r="C657" s="48">
        <v>334</v>
      </c>
      <c r="D657" s="48">
        <v>201</v>
      </c>
      <c r="E657" s="49">
        <v>0.60486111111111118</v>
      </c>
      <c r="F657" s="49">
        <v>0.62638888888888888</v>
      </c>
      <c r="G657" s="51" t="s">
        <v>1392</v>
      </c>
      <c r="H657" s="18" t="s">
        <v>273</v>
      </c>
      <c r="I657" s="48">
        <v>19.3</v>
      </c>
      <c r="J657" s="52">
        <v>19</v>
      </c>
      <c r="K657" s="22">
        <v>174</v>
      </c>
      <c r="L657" s="23">
        <f t="shared" si="137"/>
        <v>3358.2000000000003</v>
      </c>
      <c r="M657" s="24" t="s">
        <v>1284</v>
      </c>
      <c r="N657" s="25" t="s">
        <v>1375</v>
      </c>
      <c r="O657" s="25">
        <v>22</v>
      </c>
      <c r="P657" s="25" t="s">
        <v>1376</v>
      </c>
      <c r="Q657" s="25">
        <v>29</v>
      </c>
      <c r="R657" s="17" t="s">
        <v>1377</v>
      </c>
      <c r="S657" s="25">
        <v>21</v>
      </c>
      <c r="T657" s="26" t="s">
        <v>1387</v>
      </c>
      <c r="U657" s="26" t="s">
        <v>1388</v>
      </c>
      <c r="V657" s="26" t="s">
        <v>1380</v>
      </c>
      <c r="W657" s="26" t="s">
        <v>1381</v>
      </c>
      <c r="X657" s="66">
        <v>44816</v>
      </c>
      <c r="Y657" s="66">
        <v>45086</v>
      </c>
      <c r="Z657" s="66"/>
      <c r="AA657" s="66"/>
      <c r="AB657" s="26" t="s">
        <v>282</v>
      </c>
      <c r="AC657" s="26"/>
      <c r="AD657" s="28"/>
      <c r="AE657" s="28"/>
      <c r="AF657" s="28"/>
      <c r="AG657" s="28" t="s">
        <v>90</v>
      </c>
      <c r="AH657" s="28" t="s">
        <v>90</v>
      </c>
      <c r="AI657" s="28" t="s">
        <v>90</v>
      </c>
      <c r="AJ657" s="28" t="s">
        <v>90</v>
      </c>
      <c r="AK657" s="28" t="s">
        <v>90</v>
      </c>
      <c r="AL657" s="28" t="s">
        <v>90</v>
      </c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31"/>
      <c r="AY657" s="30"/>
      <c r="AZ657" s="30"/>
      <c r="BA657" s="55" t="s">
        <v>1382</v>
      </c>
      <c r="BB657" s="55"/>
      <c r="BC657" s="30">
        <v>34</v>
      </c>
      <c r="BD657" s="31">
        <f t="shared" si="142"/>
        <v>0</v>
      </c>
      <c r="BE657" s="30"/>
      <c r="BF657" s="30"/>
      <c r="BG657" s="36">
        <v>1</v>
      </c>
      <c r="BH657" s="30"/>
      <c r="BI657" s="31"/>
      <c r="BJ657" s="30"/>
      <c r="BK657" s="30"/>
      <c r="BL657" s="30"/>
      <c r="BM657" s="30"/>
      <c r="BN657" s="30"/>
      <c r="BO657" s="33">
        <f t="shared" si="143"/>
        <v>0</v>
      </c>
      <c r="BP657" s="30">
        <v>15</v>
      </c>
      <c r="BQ657" s="30">
        <v>20</v>
      </c>
      <c r="BR657" s="30"/>
      <c r="BS657" s="30"/>
      <c r="BT657" s="34">
        <f t="shared" si="144"/>
        <v>0</v>
      </c>
      <c r="BU657" s="34"/>
      <c r="BV657" s="34"/>
      <c r="BW657" s="34"/>
      <c r="BX657" s="34"/>
      <c r="BY657" s="30"/>
      <c r="BZ657" s="31">
        <f t="shared" si="145"/>
        <v>0</v>
      </c>
      <c r="CA657" s="31">
        <f t="shared" si="149"/>
        <v>0</v>
      </c>
    </row>
    <row r="658" spans="1:79" ht="45.75" x14ac:dyDescent="0.25">
      <c r="A658" s="17"/>
      <c r="B658" s="2">
        <v>645</v>
      </c>
      <c r="C658" s="60">
        <v>334</v>
      </c>
      <c r="D658" s="60">
        <v>401</v>
      </c>
      <c r="E658" s="49">
        <v>0.6875</v>
      </c>
      <c r="F658" s="50">
        <v>0.69861111111111107</v>
      </c>
      <c r="G658" s="51" t="s">
        <v>1386</v>
      </c>
      <c r="H658" s="18" t="s">
        <v>1393</v>
      </c>
      <c r="I658" s="48">
        <v>10</v>
      </c>
      <c r="J658" s="52">
        <v>19</v>
      </c>
      <c r="K658" s="22">
        <v>34</v>
      </c>
      <c r="L658" s="23">
        <f t="shared" si="137"/>
        <v>340</v>
      </c>
      <c r="M658" s="24" t="s">
        <v>1284</v>
      </c>
      <c r="N658" s="25" t="s">
        <v>1375</v>
      </c>
      <c r="O658" s="25">
        <v>22</v>
      </c>
      <c r="P658" s="25" t="s">
        <v>1376</v>
      </c>
      <c r="Q658" s="25">
        <v>29</v>
      </c>
      <c r="R658" s="17" t="s">
        <v>1377</v>
      </c>
      <c r="S658" s="25">
        <v>21</v>
      </c>
      <c r="T658" s="26" t="s">
        <v>1384</v>
      </c>
      <c r="U658" s="26" t="s">
        <v>1385</v>
      </c>
      <c r="V658" s="26" t="s">
        <v>1380</v>
      </c>
      <c r="W658" s="26" t="s">
        <v>1381</v>
      </c>
      <c r="X658" s="66">
        <v>44816</v>
      </c>
      <c r="Y658" s="66">
        <v>45086</v>
      </c>
      <c r="Z658" s="66"/>
      <c r="AA658" s="66"/>
      <c r="AB658" s="28" t="s">
        <v>382</v>
      </c>
      <c r="AC658" s="28"/>
      <c r="AD658" s="28"/>
      <c r="AE658" s="28"/>
      <c r="AF658" s="28"/>
      <c r="AG658" s="28" t="s">
        <v>90</v>
      </c>
      <c r="AH658" s="28"/>
      <c r="AI658" s="28"/>
      <c r="AJ658" s="28"/>
      <c r="AK658" s="28"/>
      <c r="AL658" s="28"/>
      <c r="AM658" s="28" t="s">
        <v>90</v>
      </c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31"/>
      <c r="AY658" s="30"/>
      <c r="AZ658" s="30"/>
      <c r="BA658" s="55" t="s">
        <v>1382</v>
      </c>
      <c r="BB658" s="55"/>
      <c r="BC658" s="30">
        <v>35</v>
      </c>
      <c r="BD658" s="31">
        <f t="shared" si="142"/>
        <v>0</v>
      </c>
      <c r="BE658" s="30"/>
      <c r="BF658" s="30"/>
      <c r="BG658" s="36">
        <v>1</v>
      </c>
      <c r="BH658" s="30"/>
      <c r="BI658" s="31"/>
      <c r="BJ658" s="30"/>
      <c r="BK658" s="30"/>
      <c r="BL658" s="30"/>
      <c r="BM658" s="30"/>
      <c r="BN658" s="30"/>
      <c r="BO658" s="33">
        <f t="shared" si="143"/>
        <v>0</v>
      </c>
      <c r="BP658" s="30">
        <v>2</v>
      </c>
      <c r="BQ658" s="30">
        <v>5</v>
      </c>
      <c r="BR658" s="30"/>
      <c r="BS658" s="30"/>
      <c r="BT658" s="34">
        <f t="shared" si="144"/>
        <v>0</v>
      </c>
      <c r="BU658" s="34"/>
      <c r="BV658" s="34"/>
      <c r="BW658" s="34"/>
      <c r="BX658" s="34"/>
      <c r="BY658" s="30"/>
      <c r="BZ658" s="31">
        <f t="shared" si="145"/>
        <v>0</v>
      </c>
      <c r="CA658" s="31">
        <f t="shared" si="149"/>
        <v>0</v>
      </c>
    </row>
    <row r="659" spans="1:79" ht="51" x14ac:dyDescent="0.25">
      <c r="A659" s="17"/>
      <c r="B659" s="2">
        <v>646</v>
      </c>
      <c r="C659" s="48">
        <v>334</v>
      </c>
      <c r="D659" s="48">
        <v>278</v>
      </c>
      <c r="E659" s="50">
        <v>0.74583333333333324</v>
      </c>
      <c r="F659" s="50">
        <v>0.75624999999999998</v>
      </c>
      <c r="G659" s="51" t="s">
        <v>1394</v>
      </c>
      <c r="H659" s="18" t="s">
        <v>273</v>
      </c>
      <c r="I659" s="48">
        <v>10.3</v>
      </c>
      <c r="J659" s="52">
        <v>19</v>
      </c>
      <c r="K659" s="22">
        <v>174</v>
      </c>
      <c r="L659" s="23">
        <f t="shared" si="137"/>
        <v>1792.2</v>
      </c>
      <c r="M659" s="24" t="s">
        <v>1284</v>
      </c>
      <c r="N659" s="25" t="s">
        <v>1375</v>
      </c>
      <c r="O659" s="25">
        <v>22</v>
      </c>
      <c r="P659" s="25" t="s">
        <v>1376</v>
      </c>
      <c r="Q659" s="25">
        <v>29</v>
      </c>
      <c r="R659" s="17" t="s">
        <v>1377</v>
      </c>
      <c r="S659" s="25">
        <v>21</v>
      </c>
      <c r="T659" s="26" t="s">
        <v>1384</v>
      </c>
      <c r="U659" s="26" t="s">
        <v>1385</v>
      </c>
      <c r="V659" s="26">
        <v>3354</v>
      </c>
      <c r="W659" s="26" t="s">
        <v>1395</v>
      </c>
      <c r="X659" s="66">
        <v>44816</v>
      </c>
      <c r="Y659" s="66">
        <v>45086</v>
      </c>
      <c r="Z659" s="66"/>
      <c r="AA659" s="66"/>
      <c r="AB659" s="26" t="s">
        <v>282</v>
      </c>
      <c r="AC659" s="26"/>
      <c r="AD659" s="28"/>
      <c r="AE659" s="28"/>
      <c r="AF659" s="28"/>
      <c r="AG659" s="28" t="s">
        <v>90</v>
      </c>
      <c r="AH659" s="28" t="s">
        <v>90</v>
      </c>
      <c r="AI659" s="28" t="s">
        <v>90</v>
      </c>
      <c r="AJ659" s="28" t="s">
        <v>90</v>
      </c>
      <c r="AK659" s="28" t="s">
        <v>90</v>
      </c>
      <c r="AL659" s="28" t="s">
        <v>90</v>
      </c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31"/>
      <c r="AY659" s="30"/>
      <c r="AZ659" s="30"/>
      <c r="BA659" s="55" t="s">
        <v>1382</v>
      </c>
      <c r="BB659" s="55"/>
      <c r="BC659" s="30">
        <v>36</v>
      </c>
      <c r="BD659" s="31">
        <f t="shared" si="142"/>
        <v>0</v>
      </c>
      <c r="BE659" s="30"/>
      <c r="BF659" s="30"/>
      <c r="BG659" s="36">
        <v>1</v>
      </c>
      <c r="BH659" s="30"/>
      <c r="BI659" s="31"/>
      <c r="BJ659" s="30"/>
      <c r="BK659" s="30"/>
      <c r="BL659" s="30"/>
      <c r="BM659" s="30"/>
      <c r="BN659" s="30"/>
      <c r="BO659" s="33">
        <f t="shared" si="143"/>
        <v>0</v>
      </c>
      <c r="BP659" s="30">
        <v>15</v>
      </c>
      <c r="BQ659" s="30">
        <v>20</v>
      </c>
      <c r="BR659" s="30"/>
      <c r="BS659" s="30"/>
      <c r="BT659" s="34">
        <f t="shared" si="144"/>
        <v>0</v>
      </c>
      <c r="BU659" s="34"/>
      <c r="BV659" s="34"/>
      <c r="BW659" s="34"/>
      <c r="BX659" s="34"/>
      <c r="BY659" s="30"/>
      <c r="BZ659" s="31">
        <f t="shared" si="145"/>
        <v>0</v>
      </c>
      <c r="CA659" s="31">
        <f t="shared" si="149"/>
        <v>0</v>
      </c>
    </row>
    <row r="660" spans="1:79" ht="51" x14ac:dyDescent="0.25">
      <c r="A660" s="17"/>
      <c r="B660" s="2">
        <v>647</v>
      </c>
      <c r="C660" s="48">
        <v>334</v>
      </c>
      <c r="D660" s="48">
        <v>211</v>
      </c>
      <c r="E660" s="49">
        <v>0.75694444444444453</v>
      </c>
      <c r="F660" s="49">
        <v>0.76597222222222217</v>
      </c>
      <c r="G660" s="51" t="s">
        <v>1396</v>
      </c>
      <c r="H660" s="18" t="s">
        <v>273</v>
      </c>
      <c r="I660" s="48">
        <v>8</v>
      </c>
      <c r="J660" s="52">
        <v>19</v>
      </c>
      <c r="K660" s="22">
        <v>174</v>
      </c>
      <c r="L660" s="23">
        <f t="shared" si="137"/>
        <v>1392</v>
      </c>
      <c r="M660" s="24" t="s">
        <v>1284</v>
      </c>
      <c r="N660" s="25" t="s">
        <v>1375</v>
      </c>
      <c r="O660" s="25">
        <v>22</v>
      </c>
      <c r="P660" s="25" t="s">
        <v>1376</v>
      </c>
      <c r="Q660" s="25">
        <v>29</v>
      </c>
      <c r="R660" s="17" t="s">
        <v>1377</v>
      </c>
      <c r="S660" s="25">
        <v>21</v>
      </c>
      <c r="T660" s="26">
        <v>3354</v>
      </c>
      <c r="U660" s="26" t="s">
        <v>1395</v>
      </c>
      <c r="V660" s="26" t="s">
        <v>1380</v>
      </c>
      <c r="W660" s="26" t="s">
        <v>1381</v>
      </c>
      <c r="X660" s="66">
        <v>44816</v>
      </c>
      <c r="Y660" s="66">
        <v>45086</v>
      </c>
      <c r="Z660" s="66"/>
      <c r="AA660" s="66"/>
      <c r="AB660" s="26" t="s">
        <v>282</v>
      </c>
      <c r="AC660" s="26"/>
      <c r="AD660" s="28"/>
      <c r="AE660" s="28"/>
      <c r="AF660" s="28"/>
      <c r="AG660" s="28" t="s">
        <v>90</v>
      </c>
      <c r="AH660" s="28" t="s">
        <v>90</v>
      </c>
      <c r="AI660" s="28" t="s">
        <v>90</v>
      </c>
      <c r="AJ660" s="28" t="s">
        <v>90</v>
      </c>
      <c r="AK660" s="28" t="s">
        <v>90</v>
      </c>
      <c r="AL660" s="28" t="s">
        <v>90</v>
      </c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31"/>
      <c r="AY660" s="30"/>
      <c r="AZ660" s="30"/>
      <c r="BA660" s="55" t="s">
        <v>1382</v>
      </c>
      <c r="BB660" s="55"/>
      <c r="BC660" s="30">
        <v>37</v>
      </c>
      <c r="BD660" s="31">
        <f t="shared" si="142"/>
        <v>0</v>
      </c>
      <c r="BE660" s="30"/>
      <c r="BF660" s="30"/>
      <c r="BG660" s="36">
        <v>1</v>
      </c>
      <c r="BH660" s="30"/>
      <c r="BI660" s="31"/>
      <c r="BJ660" s="30"/>
      <c r="BK660" s="30"/>
      <c r="BL660" s="30"/>
      <c r="BM660" s="30"/>
      <c r="BN660" s="30"/>
      <c r="BO660" s="33">
        <f t="shared" si="143"/>
        <v>0</v>
      </c>
      <c r="BP660" s="30">
        <v>15</v>
      </c>
      <c r="BQ660" s="30">
        <v>20</v>
      </c>
      <c r="BR660" s="30"/>
      <c r="BS660" s="30"/>
      <c r="BT660" s="34">
        <f t="shared" si="144"/>
        <v>0</v>
      </c>
      <c r="BU660" s="34"/>
      <c r="BV660" s="34"/>
      <c r="BW660" s="34"/>
      <c r="BX660" s="34"/>
      <c r="BY660" s="30"/>
      <c r="BZ660" s="31">
        <f t="shared" si="145"/>
        <v>0</v>
      </c>
      <c r="CA660" s="31">
        <f t="shared" si="149"/>
        <v>0</v>
      </c>
    </row>
    <row r="661" spans="1:79" ht="51" x14ac:dyDescent="0.25">
      <c r="A661" s="17"/>
      <c r="B661" s="2">
        <v>648</v>
      </c>
      <c r="C661" s="48">
        <v>334</v>
      </c>
      <c r="D661" s="48">
        <v>402</v>
      </c>
      <c r="E661" s="49">
        <v>0.77013888888888893</v>
      </c>
      <c r="F661" s="49">
        <v>0.78055555555555556</v>
      </c>
      <c r="G661" s="51" t="s">
        <v>1394</v>
      </c>
      <c r="H661" s="18" t="s">
        <v>306</v>
      </c>
      <c r="I661" s="48">
        <v>10.3</v>
      </c>
      <c r="J661" s="52">
        <v>19</v>
      </c>
      <c r="K661" s="22">
        <v>208</v>
      </c>
      <c r="L661" s="23">
        <f t="shared" ref="L661:L724" si="150">+K661*I661</f>
        <v>2142.4</v>
      </c>
      <c r="M661" s="24" t="s">
        <v>1284</v>
      </c>
      <c r="N661" s="25" t="s">
        <v>1375</v>
      </c>
      <c r="O661" s="25">
        <v>22</v>
      </c>
      <c r="P661" s="25" t="s">
        <v>1376</v>
      </c>
      <c r="Q661" s="25">
        <v>29</v>
      </c>
      <c r="R661" s="17" t="s">
        <v>1377</v>
      </c>
      <c r="S661" s="25">
        <v>21</v>
      </c>
      <c r="T661" s="26" t="s">
        <v>1384</v>
      </c>
      <c r="U661" s="26" t="s">
        <v>1385</v>
      </c>
      <c r="V661" s="26">
        <v>3354</v>
      </c>
      <c r="W661" s="26" t="s">
        <v>1395</v>
      </c>
      <c r="X661" s="66">
        <v>44816</v>
      </c>
      <c r="Y661" s="66">
        <v>45086</v>
      </c>
      <c r="Z661" s="66"/>
      <c r="AA661" s="66"/>
      <c r="AB661" s="26" t="s">
        <v>309</v>
      </c>
      <c r="AC661" s="26"/>
      <c r="AD661" s="28"/>
      <c r="AE661" s="28"/>
      <c r="AF661" s="28"/>
      <c r="AG661" s="28" t="s">
        <v>90</v>
      </c>
      <c r="AH661" s="28" t="s">
        <v>90</v>
      </c>
      <c r="AI661" s="28" t="s">
        <v>90</v>
      </c>
      <c r="AJ661" s="28" t="s">
        <v>90</v>
      </c>
      <c r="AK661" s="28" t="s">
        <v>90</v>
      </c>
      <c r="AL661" s="28" t="s">
        <v>90</v>
      </c>
      <c r="AM661" s="28" t="s">
        <v>90</v>
      </c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31"/>
      <c r="AY661" s="30"/>
      <c r="AZ661" s="30"/>
      <c r="BA661" s="55" t="s">
        <v>1382</v>
      </c>
      <c r="BB661" s="55"/>
      <c r="BC661" s="30">
        <v>38</v>
      </c>
      <c r="BD661" s="31">
        <f t="shared" si="142"/>
        <v>0</v>
      </c>
      <c r="BE661" s="30"/>
      <c r="BF661" s="30"/>
      <c r="BG661" s="36">
        <v>1</v>
      </c>
      <c r="BH661" s="30"/>
      <c r="BI661" s="31"/>
      <c r="BJ661" s="30"/>
      <c r="BK661" s="30"/>
      <c r="BL661" s="30"/>
      <c r="BM661" s="30"/>
      <c r="BN661" s="30"/>
      <c r="BO661" s="33">
        <f t="shared" si="143"/>
        <v>0</v>
      </c>
      <c r="BP661" s="30">
        <v>17</v>
      </c>
      <c r="BQ661" s="30">
        <v>25</v>
      </c>
      <c r="BR661" s="30"/>
      <c r="BS661" s="30"/>
      <c r="BT661" s="34">
        <f t="shared" si="144"/>
        <v>0</v>
      </c>
      <c r="BU661" s="34"/>
      <c r="BV661" s="34"/>
      <c r="BW661" s="34"/>
      <c r="BX661" s="34"/>
      <c r="BY661" s="30"/>
      <c r="BZ661" s="31">
        <f t="shared" si="145"/>
        <v>0</v>
      </c>
      <c r="CA661" s="31">
        <f t="shared" si="149"/>
        <v>0</v>
      </c>
    </row>
    <row r="662" spans="1:79" ht="51" x14ac:dyDescent="0.25">
      <c r="A662" s="17"/>
      <c r="B662" s="2">
        <v>649</v>
      </c>
      <c r="C662" s="60">
        <v>307</v>
      </c>
      <c r="D662" s="48">
        <v>282</v>
      </c>
      <c r="E662" s="49">
        <v>0.40277777777777773</v>
      </c>
      <c r="F662" s="49">
        <v>0.42499999999999999</v>
      </c>
      <c r="G662" s="51" t="s">
        <v>1397</v>
      </c>
      <c r="H662" s="18" t="s">
        <v>273</v>
      </c>
      <c r="I662" s="48">
        <v>17</v>
      </c>
      <c r="J662" s="52">
        <v>19</v>
      </c>
      <c r="K662" s="22">
        <v>174</v>
      </c>
      <c r="L662" s="23">
        <f t="shared" si="150"/>
        <v>2958</v>
      </c>
      <c r="M662" s="24" t="s">
        <v>1284</v>
      </c>
      <c r="N662" s="25" t="s">
        <v>1375</v>
      </c>
      <c r="O662" s="25">
        <v>22</v>
      </c>
      <c r="P662" s="25" t="s">
        <v>1376</v>
      </c>
      <c r="Q662" s="25">
        <v>29</v>
      </c>
      <c r="R662" s="17" t="s">
        <v>1377</v>
      </c>
      <c r="S662" s="25">
        <v>21</v>
      </c>
      <c r="T662" s="26" t="s">
        <v>1398</v>
      </c>
      <c r="U662" s="26" t="s">
        <v>1399</v>
      </c>
      <c r="V662" s="26" t="s">
        <v>1398</v>
      </c>
      <c r="W662" s="26" t="s">
        <v>1400</v>
      </c>
      <c r="X662" s="66">
        <v>44816</v>
      </c>
      <c r="Y662" s="66">
        <v>45086</v>
      </c>
      <c r="Z662" s="66"/>
      <c r="AA662" s="66"/>
      <c r="AB662" s="26" t="s">
        <v>282</v>
      </c>
      <c r="AC662" s="26"/>
      <c r="AD662" s="28"/>
      <c r="AE662" s="28"/>
      <c r="AF662" s="28"/>
      <c r="AG662" s="28" t="s">
        <v>90</v>
      </c>
      <c r="AH662" s="28" t="s">
        <v>90</v>
      </c>
      <c r="AI662" s="28" t="s">
        <v>90</v>
      </c>
      <c r="AJ662" s="28" t="s">
        <v>90</v>
      </c>
      <c r="AK662" s="28" t="s">
        <v>90</v>
      </c>
      <c r="AL662" s="28" t="s">
        <v>90</v>
      </c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31"/>
      <c r="AY662" s="30"/>
      <c r="AZ662" s="30"/>
      <c r="BA662" s="55" t="s">
        <v>1391</v>
      </c>
      <c r="BB662" s="55"/>
      <c r="BC662" s="30"/>
      <c r="BD662" s="31">
        <f t="shared" si="142"/>
        <v>0</v>
      </c>
      <c r="BE662" s="30"/>
      <c r="BF662" s="30"/>
      <c r="BG662" s="36">
        <v>1</v>
      </c>
      <c r="BH662" s="30"/>
      <c r="BI662" s="31"/>
      <c r="BJ662" s="30"/>
      <c r="BK662" s="30"/>
      <c r="BL662" s="30"/>
      <c r="BM662" s="30"/>
      <c r="BN662" s="30"/>
      <c r="BO662" s="33">
        <f t="shared" si="143"/>
        <v>0</v>
      </c>
      <c r="BP662" s="30">
        <v>15</v>
      </c>
      <c r="BQ662" s="30">
        <v>20</v>
      </c>
      <c r="BR662" s="30"/>
      <c r="BS662" s="30"/>
      <c r="BT662" s="34">
        <f t="shared" si="144"/>
        <v>0</v>
      </c>
      <c r="BU662" s="34"/>
      <c r="BV662" s="34"/>
      <c r="BW662" s="34"/>
      <c r="BX662" s="34"/>
      <c r="BY662" s="30"/>
      <c r="BZ662" s="31">
        <f t="shared" si="145"/>
        <v>0</v>
      </c>
      <c r="CA662" s="31">
        <f t="shared" si="149"/>
        <v>0</v>
      </c>
    </row>
    <row r="663" spans="1:79" ht="51" x14ac:dyDescent="0.25">
      <c r="A663" s="17"/>
      <c r="B663" s="2">
        <v>650</v>
      </c>
      <c r="C663" s="48">
        <v>335</v>
      </c>
      <c r="D663" s="48">
        <v>182</v>
      </c>
      <c r="E663" s="49">
        <v>0.44861111111111113</v>
      </c>
      <c r="F663" s="49">
        <v>0.4548611111111111</v>
      </c>
      <c r="G663" s="51" t="s">
        <v>1401</v>
      </c>
      <c r="H663" s="18" t="s">
        <v>306</v>
      </c>
      <c r="I663" s="48">
        <v>4</v>
      </c>
      <c r="J663" s="52">
        <v>19</v>
      </c>
      <c r="K663" s="22">
        <v>208</v>
      </c>
      <c r="L663" s="23">
        <f t="shared" si="150"/>
        <v>832</v>
      </c>
      <c r="M663" s="24" t="s">
        <v>1284</v>
      </c>
      <c r="N663" s="25" t="s">
        <v>1375</v>
      </c>
      <c r="O663" s="25">
        <v>22</v>
      </c>
      <c r="P663" s="25" t="s">
        <v>1376</v>
      </c>
      <c r="Q663" s="25">
        <v>29</v>
      </c>
      <c r="R663" s="17" t="s">
        <v>1377</v>
      </c>
      <c r="S663" s="25">
        <v>21</v>
      </c>
      <c r="T663" s="26" t="s">
        <v>1380</v>
      </c>
      <c r="U663" s="26" t="s">
        <v>1381</v>
      </c>
      <c r="V663" s="26" t="s">
        <v>1378</v>
      </c>
      <c r="W663" s="26" t="s">
        <v>1379</v>
      </c>
      <c r="X663" s="66">
        <v>44816</v>
      </c>
      <c r="Y663" s="66">
        <v>45086</v>
      </c>
      <c r="Z663" s="66"/>
      <c r="AA663" s="66"/>
      <c r="AB663" s="26" t="s">
        <v>309</v>
      </c>
      <c r="AC663" s="26"/>
      <c r="AD663" s="28"/>
      <c r="AE663" s="28"/>
      <c r="AF663" s="28"/>
      <c r="AG663" s="28" t="s">
        <v>90</v>
      </c>
      <c r="AH663" s="28" t="s">
        <v>90</v>
      </c>
      <c r="AI663" s="28" t="s">
        <v>90</v>
      </c>
      <c r="AJ663" s="28" t="s">
        <v>90</v>
      </c>
      <c r="AK663" s="28" t="s">
        <v>90</v>
      </c>
      <c r="AL663" s="28" t="s">
        <v>90</v>
      </c>
      <c r="AM663" s="28" t="s">
        <v>90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31"/>
      <c r="AY663" s="30"/>
      <c r="AZ663" s="30"/>
      <c r="BA663" s="55" t="s">
        <v>1391</v>
      </c>
      <c r="BB663" s="55"/>
      <c r="BC663" s="30">
        <v>39</v>
      </c>
      <c r="BD663" s="31">
        <f t="shared" si="142"/>
        <v>0</v>
      </c>
      <c r="BE663" s="30"/>
      <c r="BF663" s="30"/>
      <c r="BG663" s="36">
        <v>1</v>
      </c>
      <c r="BH663" s="30"/>
      <c r="BI663" s="31"/>
      <c r="BJ663" s="30"/>
      <c r="BK663" s="30"/>
      <c r="BL663" s="30"/>
      <c r="BM663" s="30"/>
      <c r="BN663" s="30"/>
      <c r="BO663" s="33">
        <f t="shared" si="143"/>
        <v>0</v>
      </c>
      <c r="BP663" s="30">
        <v>17</v>
      </c>
      <c r="BQ663" s="30">
        <v>25</v>
      </c>
      <c r="BR663" s="30"/>
      <c r="BS663" s="30"/>
      <c r="BT663" s="34">
        <f t="shared" si="144"/>
        <v>0</v>
      </c>
      <c r="BU663" s="34"/>
      <c r="BV663" s="34"/>
      <c r="BW663" s="34"/>
      <c r="BX663" s="34"/>
      <c r="BY663" s="30"/>
      <c r="BZ663" s="31">
        <f t="shared" si="145"/>
        <v>0</v>
      </c>
      <c r="CA663" s="31">
        <f t="shared" si="149"/>
        <v>0</v>
      </c>
    </row>
    <row r="664" spans="1:79" ht="51" x14ac:dyDescent="0.25">
      <c r="A664" s="17"/>
      <c r="B664" s="2">
        <v>651</v>
      </c>
      <c r="C664" s="48">
        <v>335</v>
      </c>
      <c r="D664" s="48">
        <v>198</v>
      </c>
      <c r="E664" s="49">
        <v>0.65625</v>
      </c>
      <c r="F664" s="49">
        <v>0.66249999999999998</v>
      </c>
      <c r="G664" s="51" t="s">
        <v>1401</v>
      </c>
      <c r="H664" s="18" t="s">
        <v>306</v>
      </c>
      <c r="I664" s="48">
        <v>4</v>
      </c>
      <c r="J664" s="52">
        <v>19</v>
      </c>
      <c r="K664" s="22">
        <v>208</v>
      </c>
      <c r="L664" s="23">
        <f t="shared" si="150"/>
        <v>832</v>
      </c>
      <c r="M664" s="24" t="s">
        <v>1284</v>
      </c>
      <c r="N664" s="25" t="s">
        <v>1375</v>
      </c>
      <c r="O664" s="25">
        <v>22</v>
      </c>
      <c r="P664" s="25" t="s">
        <v>1376</v>
      </c>
      <c r="Q664" s="25">
        <v>29</v>
      </c>
      <c r="R664" s="17" t="s">
        <v>1377</v>
      </c>
      <c r="S664" s="25">
        <v>21</v>
      </c>
      <c r="T664" s="26" t="s">
        <v>1380</v>
      </c>
      <c r="U664" s="26" t="s">
        <v>1381</v>
      </c>
      <c r="V664" s="26" t="s">
        <v>1378</v>
      </c>
      <c r="W664" s="26" t="s">
        <v>1379</v>
      </c>
      <c r="X664" s="66">
        <v>44816</v>
      </c>
      <c r="Y664" s="66">
        <v>45086</v>
      </c>
      <c r="Z664" s="66"/>
      <c r="AA664" s="66"/>
      <c r="AB664" s="26" t="s">
        <v>309</v>
      </c>
      <c r="AC664" s="26"/>
      <c r="AD664" s="28"/>
      <c r="AE664" s="28"/>
      <c r="AF664" s="28"/>
      <c r="AG664" s="28" t="s">
        <v>90</v>
      </c>
      <c r="AH664" s="28" t="s">
        <v>90</v>
      </c>
      <c r="AI664" s="28" t="s">
        <v>90</v>
      </c>
      <c r="AJ664" s="28" t="s">
        <v>90</v>
      </c>
      <c r="AK664" s="28" t="s">
        <v>90</v>
      </c>
      <c r="AL664" s="28" t="s">
        <v>90</v>
      </c>
      <c r="AM664" s="28" t="s">
        <v>90</v>
      </c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31"/>
      <c r="AY664" s="30"/>
      <c r="AZ664" s="30"/>
      <c r="BA664" s="55" t="s">
        <v>1391</v>
      </c>
      <c r="BB664" s="55"/>
      <c r="BC664" s="30">
        <v>40</v>
      </c>
      <c r="BD664" s="31">
        <f t="shared" si="142"/>
        <v>0</v>
      </c>
      <c r="BE664" s="30"/>
      <c r="BF664" s="30"/>
      <c r="BG664" s="36">
        <v>1</v>
      </c>
      <c r="BH664" s="30"/>
      <c r="BI664" s="31"/>
      <c r="BJ664" s="30"/>
      <c r="BK664" s="30"/>
      <c r="BL664" s="30"/>
      <c r="BM664" s="30"/>
      <c r="BN664" s="30"/>
      <c r="BO664" s="33">
        <f t="shared" si="143"/>
        <v>0</v>
      </c>
      <c r="BP664" s="30">
        <v>17</v>
      </c>
      <c r="BQ664" s="30">
        <v>25</v>
      </c>
      <c r="BR664" s="30"/>
      <c r="BS664" s="30"/>
      <c r="BT664" s="34">
        <f t="shared" si="144"/>
        <v>0</v>
      </c>
      <c r="BU664" s="34"/>
      <c r="BV664" s="34"/>
      <c r="BW664" s="34"/>
      <c r="BX664" s="34"/>
      <c r="BY664" s="30"/>
      <c r="BZ664" s="31">
        <f t="shared" si="145"/>
        <v>0</v>
      </c>
      <c r="CA664" s="31">
        <f t="shared" si="149"/>
        <v>0</v>
      </c>
    </row>
    <row r="665" spans="1:79" ht="51" x14ac:dyDescent="0.25">
      <c r="A665" s="17"/>
      <c r="B665" s="2">
        <v>652</v>
      </c>
      <c r="C665" s="48">
        <v>335</v>
      </c>
      <c r="D665" s="48">
        <v>208</v>
      </c>
      <c r="E665" s="50">
        <v>0.79513888888888884</v>
      </c>
      <c r="F665" s="50">
        <v>0.8208333333333333</v>
      </c>
      <c r="G665" s="51" t="s">
        <v>1402</v>
      </c>
      <c r="H665" s="18" t="s">
        <v>306</v>
      </c>
      <c r="I665" s="48">
        <v>19.3</v>
      </c>
      <c r="J665" s="52">
        <v>19</v>
      </c>
      <c r="K665" s="22">
        <v>208</v>
      </c>
      <c r="L665" s="23">
        <f t="shared" si="150"/>
        <v>4014.4</v>
      </c>
      <c r="M665" s="24" t="s">
        <v>1284</v>
      </c>
      <c r="N665" s="25" t="s">
        <v>1375</v>
      </c>
      <c r="O665" s="25">
        <v>22</v>
      </c>
      <c r="P665" s="25" t="s">
        <v>1376</v>
      </c>
      <c r="Q665" s="25">
        <v>29</v>
      </c>
      <c r="R665" s="17" t="s">
        <v>1377</v>
      </c>
      <c r="S665" s="25">
        <v>21</v>
      </c>
      <c r="T665" s="26" t="s">
        <v>1380</v>
      </c>
      <c r="U665" s="26" t="s">
        <v>1381</v>
      </c>
      <c r="V665" s="26" t="s">
        <v>1384</v>
      </c>
      <c r="W665" s="26" t="s">
        <v>1385</v>
      </c>
      <c r="X665" s="66">
        <v>44816</v>
      </c>
      <c r="Y665" s="66">
        <v>45086</v>
      </c>
      <c r="Z665" s="66"/>
      <c r="AA665" s="66"/>
      <c r="AB665" s="26" t="s">
        <v>309</v>
      </c>
      <c r="AC665" s="26"/>
      <c r="AD665" s="28"/>
      <c r="AE665" s="28"/>
      <c r="AF665" s="28"/>
      <c r="AG665" s="28" t="s">
        <v>90</v>
      </c>
      <c r="AH665" s="28" t="s">
        <v>90</v>
      </c>
      <c r="AI665" s="28" t="s">
        <v>90</v>
      </c>
      <c r="AJ665" s="28" t="s">
        <v>90</v>
      </c>
      <c r="AK665" s="28" t="s">
        <v>90</v>
      </c>
      <c r="AL665" s="28" t="s">
        <v>90</v>
      </c>
      <c r="AM665" s="28" t="s">
        <v>90</v>
      </c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31"/>
      <c r="AY665" s="30"/>
      <c r="AZ665" s="30"/>
      <c r="BA665" s="55" t="s">
        <v>1382</v>
      </c>
      <c r="BB665" s="55"/>
      <c r="BC665" s="30">
        <v>41</v>
      </c>
      <c r="BD665" s="31">
        <f t="shared" si="142"/>
        <v>0</v>
      </c>
      <c r="BE665" s="30"/>
      <c r="BF665" s="30"/>
      <c r="BG665" s="36">
        <v>1</v>
      </c>
      <c r="BH665" s="30"/>
      <c r="BI665" s="31"/>
      <c r="BJ665" s="30"/>
      <c r="BK665" s="30"/>
      <c r="BL665" s="30"/>
      <c r="BM665" s="30"/>
      <c r="BN665" s="30"/>
      <c r="BO665" s="33">
        <f t="shared" si="143"/>
        <v>0</v>
      </c>
      <c r="BP665" s="30">
        <v>17</v>
      </c>
      <c r="BQ665" s="30">
        <v>25</v>
      </c>
      <c r="BR665" s="30"/>
      <c r="BS665" s="30"/>
      <c r="BT665" s="34">
        <f t="shared" si="144"/>
        <v>0</v>
      </c>
      <c r="BU665" s="34"/>
      <c r="BV665" s="34"/>
      <c r="BW665" s="34"/>
      <c r="BX665" s="34"/>
      <c r="BY665" s="30"/>
      <c r="BZ665" s="31">
        <f t="shared" si="145"/>
        <v>0</v>
      </c>
      <c r="CA665" s="31">
        <f t="shared" si="149"/>
        <v>0</v>
      </c>
    </row>
    <row r="666" spans="1:79" ht="51" x14ac:dyDescent="0.25">
      <c r="A666" s="17" t="s">
        <v>206</v>
      </c>
      <c r="B666" s="2">
        <v>653</v>
      </c>
      <c r="C666" s="48">
        <v>335</v>
      </c>
      <c r="D666" s="48">
        <v>208</v>
      </c>
      <c r="E666" s="50">
        <v>0.8208333333333333</v>
      </c>
      <c r="F666" s="50">
        <v>0.82916666666666661</v>
      </c>
      <c r="G666" s="51" t="s">
        <v>1403</v>
      </c>
      <c r="H666" s="18" t="s">
        <v>306</v>
      </c>
      <c r="I666" s="60">
        <v>19.3</v>
      </c>
      <c r="J666" s="52">
        <v>19</v>
      </c>
      <c r="K666" s="22">
        <v>208</v>
      </c>
      <c r="L666" s="23">
        <f t="shared" si="150"/>
        <v>4014.4</v>
      </c>
      <c r="M666" s="24" t="s">
        <v>1284</v>
      </c>
      <c r="N666" s="25" t="s">
        <v>1375</v>
      </c>
      <c r="O666" s="25">
        <v>22</v>
      </c>
      <c r="P666" s="25" t="s">
        <v>1376</v>
      </c>
      <c r="Q666" s="25">
        <v>29</v>
      </c>
      <c r="R666" s="17" t="s">
        <v>1377</v>
      </c>
      <c r="S666" s="25">
        <v>21</v>
      </c>
      <c r="T666" s="26" t="s">
        <v>1384</v>
      </c>
      <c r="U666" s="26" t="s">
        <v>1385</v>
      </c>
      <c r="V666" s="26" t="s">
        <v>1380</v>
      </c>
      <c r="W666" s="26" t="s">
        <v>1381</v>
      </c>
      <c r="X666" s="66">
        <v>44816</v>
      </c>
      <c r="Y666" s="66">
        <v>45086</v>
      </c>
      <c r="Z666" s="66"/>
      <c r="AA666" s="66"/>
      <c r="AB666" s="26" t="s">
        <v>309</v>
      </c>
      <c r="AC666" s="26"/>
      <c r="AD666" s="28"/>
      <c r="AE666" s="28"/>
      <c r="AF666" s="28"/>
      <c r="AG666" s="28" t="s">
        <v>90</v>
      </c>
      <c r="AH666" s="28" t="s">
        <v>90</v>
      </c>
      <c r="AI666" s="28" t="s">
        <v>90</v>
      </c>
      <c r="AJ666" s="28" t="s">
        <v>90</v>
      </c>
      <c r="AK666" s="28" t="s">
        <v>90</v>
      </c>
      <c r="AL666" s="28" t="s">
        <v>90</v>
      </c>
      <c r="AM666" s="28" t="s">
        <v>90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31"/>
      <c r="AY666" s="30"/>
      <c r="AZ666" s="30"/>
      <c r="BA666" s="55" t="s">
        <v>1382</v>
      </c>
      <c r="BB666" s="55"/>
      <c r="BC666" s="30">
        <v>42</v>
      </c>
      <c r="BD666" s="31">
        <f t="shared" si="142"/>
        <v>0</v>
      </c>
      <c r="BE666" s="30"/>
      <c r="BF666" s="30"/>
      <c r="BG666" s="36">
        <v>1</v>
      </c>
      <c r="BH666" s="30"/>
      <c r="BI666" s="31"/>
      <c r="BJ666" s="30"/>
      <c r="BK666" s="30"/>
      <c r="BL666" s="30"/>
      <c r="BM666" s="30"/>
      <c r="BN666" s="30"/>
      <c r="BO666" s="33">
        <f t="shared" si="143"/>
        <v>0</v>
      </c>
      <c r="BP666" s="30">
        <v>17</v>
      </c>
      <c r="BQ666" s="30">
        <v>25</v>
      </c>
      <c r="BR666" s="30"/>
      <c r="BS666" s="30"/>
      <c r="BT666" s="34">
        <f t="shared" si="144"/>
        <v>0</v>
      </c>
      <c r="BU666" s="34"/>
      <c r="BV666" s="34"/>
      <c r="BW666" s="34"/>
      <c r="BX666" s="34"/>
      <c r="BY666" s="30"/>
      <c r="BZ666" s="31">
        <f t="shared" si="145"/>
        <v>0</v>
      </c>
      <c r="CA666" s="31">
        <f t="shared" si="149"/>
        <v>0</v>
      </c>
    </row>
    <row r="667" spans="1:79" ht="51" x14ac:dyDescent="0.25">
      <c r="A667" s="17"/>
      <c r="B667" s="2">
        <v>654</v>
      </c>
      <c r="C667" s="48">
        <v>335</v>
      </c>
      <c r="D667" s="48">
        <v>210</v>
      </c>
      <c r="E667" s="49">
        <v>0.83194444444444438</v>
      </c>
      <c r="F667" s="49">
        <v>0.8520833333333333</v>
      </c>
      <c r="G667" s="51" t="s">
        <v>1402</v>
      </c>
      <c r="H667" s="18" t="s">
        <v>306</v>
      </c>
      <c r="I667" s="48">
        <v>19.3</v>
      </c>
      <c r="J667" s="52">
        <v>19</v>
      </c>
      <c r="K667" s="22">
        <v>208</v>
      </c>
      <c r="L667" s="23">
        <f t="shared" si="150"/>
        <v>4014.4</v>
      </c>
      <c r="M667" s="24" t="s">
        <v>1284</v>
      </c>
      <c r="N667" s="25" t="s">
        <v>1375</v>
      </c>
      <c r="O667" s="25">
        <v>22</v>
      </c>
      <c r="P667" s="25" t="s">
        <v>1376</v>
      </c>
      <c r="Q667" s="25">
        <v>29</v>
      </c>
      <c r="R667" s="17" t="s">
        <v>1377</v>
      </c>
      <c r="S667" s="25">
        <v>21</v>
      </c>
      <c r="T667" s="26" t="s">
        <v>1380</v>
      </c>
      <c r="U667" s="26" t="s">
        <v>1381</v>
      </c>
      <c r="V667" s="26" t="s">
        <v>1387</v>
      </c>
      <c r="W667" s="26" t="s">
        <v>1388</v>
      </c>
      <c r="X667" s="66">
        <v>44816</v>
      </c>
      <c r="Y667" s="66">
        <v>45086</v>
      </c>
      <c r="Z667" s="66"/>
      <c r="AA667" s="66"/>
      <c r="AB667" s="26" t="s">
        <v>309</v>
      </c>
      <c r="AC667" s="26"/>
      <c r="AD667" s="28"/>
      <c r="AE667" s="28"/>
      <c r="AF667" s="28"/>
      <c r="AG667" s="28" t="s">
        <v>90</v>
      </c>
      <c r="AH667" s="28" t="s">
        <v>90</v>
      </c>
      <c r="AI667" s="28" t="s">
        <v>90</v>
      </c>
      <c r="AJ667" s="28" t="s">
        <v>90</v>
      </c>
      <c r="AK667" s="28" t="s">
        <v>90</v>
      </c>
      <c r="AL667" s="28" t="s">
        <v>90</v>
      </c>
      <c r="AM667" s="28" t="s">
        <v>90</v>
      </c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31"/>
      <c r="AY667" s="30"/>
      <c r="AZ667" s="30"/>
      <c r="BA667" s="55" t="s">
        <v>1382</v>
      </c>
      <c r="BB667" s="55"/>
      <c r="BC667" s="30">
        <v>43</v>
      </c>
      <c r="BD667" s="31">
        <f t="shared" si="142"/>
        <v>0</v>
      </c>
      <c r="BE667" s="30"/>
      <c r="BF667" s="30"/>
      <c r="BG667" s="36">
        <v>1</v>
      </c>
      <c r="BH667" s="30"/>
      <c r="BI667" s="31"/>
      <c r="BJ667" s="30"/>
      <c r="BK667" s="30"/>
      <c r="BL667" s="30"/>
      <c r="BM667" s="30"/>
      <c r="BN667" s="30"/>
      <c r="BO667" s="33">
        <f t="shared" si="143"/>
        <v>0</v>
      </c>
      <c r="BP667" s="30">
        <v>17</v>
      </c>
      <c r="BQ667" s="30">
        <v>25</v>
      </c>
      <c r="BR667" s="30"/>
      <c r="BS667" s="30"/>
      <c r="BT667" s="34">
        <f t="shared" si="144"/>
        <v>0</v>
      </c>
      <c r="BU667" s="34"/>
      <c r="BV667" s="34"/>
      <c r="BW667" s="34"/>
      <c r="BX667" s="34"/>
      <c r="BY667" s="30"/>
      <c r="BZ667" s="31">
        <f t="shared" si="145"/>
        <v>0</v>
      </c>
      <c r="CA667" s="31">
        <f t="shared" si="149"/>
        <v>0</v>
      </c>
    </row>
    <row r="668" spans="1:79" ht="63.75" x14ac:dyDescent="0.25">
      <c r="A668" s="17"/>
      <c r="B668" s="2">
        <v>655</v>
      </c>
      <c r="C668" s="18">
        <v>336</v>
      </c>
      <c r="D668" s="21">
        <v>791</v>
      </c>
      <c r="E668" s="19">
        <v>0.27291666666666664</v>
      </c>
      <c r="F668" s="19">
        <v>0.28402777777777777</v>
      </c>
      <c r="G668" s="18" t="s">
        <v>1404</v>
      </c>
      <c r="H668" s="18" t="s">
        <v>306</v>
      </c>
      <c r="I668" s="20">
        <v>9.5</v>
      </c>
      <c r="J668" s="21" t="s">
        <v>380</v>
      </c>
      <c r="K668" s="22">
        <v>208</v>
      </c>
      <c r="L668" s="23">
        <f t="shared" si="150"/>
        <v>1976</v>
      </c>
      <c r="M668" s="24" t="s">
        <v>1405</v>
      </c>
      <c r="N668" s="25" t="s">
        <v>1406</v>
      </c>
      <c r="O668" s="25">
        <v>9</v>
      </c>
      <c r="P668" s="25" t="s">
        <v>1407</v>
      </c>
      <c r="Q668" s="25">
        <v>9</v>
      </c>
      <c r="R668" s="25" t="s">
        <v>1408</v>
      </c>
      <c r="S668" s="35">
        <v>9</v>
      </c>
      <c r="T668" s="26" t="s">
        <v>1409</v>
      </c>
      <c r="U668" s="26" t="s">
        <v>1410</v>
      </c>
      <c r="V668" s="26" t="s">
        <v>1380</v>
      </c>
      <c r="W668" s="26" t="s">
        <v>1381</v>
      </c>
      <c r="X668" s="66">
        <v>44816</v>
      </c>
      <c r="Y668" s="66">
        <v>45086</v>
      </c>
      <c r="Z668" s="66"/>
      <c r="AA668" s="66"/>
      <c r="AB668" s="26" t="s">
        <v>309</v>
      </c>
      <c r="AC668" s="26"/>
      <c r="AD668" s="28"/>
      <c r="AE668" s="28"/>
      <c r="AF668" s="28"/>
      <c r="AG668" s="28" t="s">
        <v>90</v>
      </c>
      <c r="AH668" s="28" t="s">
        <v>90</v>
      </c>
      <c r="AI668" s="28" t="s">
        <v>90</v>
      </c>
      <c r="AJ668" s="28" t="s">
        <v>90</v>
      </c>
      <c r="AK668" s="28" t="s">
        <v>90</v>
      </c>
      <c r="AL668" s="28" t="s">
        <v>90</v>
      </c>
      <c r="AM668" s="28" t="s">
        <v>90</v>
      </c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9">
        <v>30.37</v>
      </c>
      <c r="AY668" s="30"/>
      <c r="AZ668" s="30"/>
      <c r="BA668" s="29"/>
      <c r="BB668" s="29"/>
      <c r="BC668" s="30"/>
      <c r="BD668" s="31">
        <f t="shared" si="142"/>
        <v>6316.96</v>
      </c>
      <c r="BE668" s="31"/>
      <c r="BF668" s="30"/>
      <c r="BG668" s="36">
        <v>1</v>
      </c>
      <c r="BH668" s="31">
        <f t="shared" ref="BH668:BH676" si="151">IF(AND((AX668/I668)&lt;2,BG668=1),(I668*2)-AX668,0)</f>
        <v>0</v>
      </c>
      <c r="BI668" s="31">
        <f t="shared" ref="BI668:BI676" si="152">IF(AND((AX668/I668)&lt;3,BG668=2),(I668*3)-AX668,0)</f>
        <v>0</v>
      </c>
      <c r="BJ668" s="33">
        <f t="shared" ref="BJ668:BJ676" si="153">(BH668+BI668)*K668</f>
        <v>0</v>
      </c>
      <c r="BK668" s="30"/>
      <c r="BL668" s="30"/>
      <c r="BM668" s="30"/>
      <c r="BN668" s="31">
        <f>IF((AX668+AY668+AZ668)&lt;20,(20-(AX668+AY668+AZ668)),0)</f>
        <v>0</v>
      </c>
      <c r="BO668" s="33">
        <f t="shared" si="143"/>
        <v>0</v>
      </c>
      <c r="BP668" s="30">
        <v>17</v>
      </c>
      <c r="BQ668" s="30">
        <v>25</v>
      </c>
      <c r="BR668" s="30"/>
      <c r="BS668" s="30"/>
      <c r="BT668" s="34">
        <f t="shared" si="144"/>
        <v>30.37</v>
      </c>
      <c r="BU668" s="34"/>
      <c r="BV668" s="34"/>
      <c r="BW668" s="34"/>
      <c r="BX668" s="34"/>
      <c r="BY668" s="30"/>
      <c r="BZ668" s="31">
        <f t="shared" si="145"/>
        <v>516.29</v>
      </c>
      <c r="CA668" s="31">
        <f t="shared" si="149"/>
        <v>759.25</v>
      </c>
    </row>
    <row r="669" spans="1:79" ht="45" x14ac:dyDescent="0.25">
      <c r="A669" s="17"/>
      <c r="B669" s="2">
        <v>656</v>
      </c>
      <c r="C669" s="18">
        <v>336</v>
      </c>
      <c r="D669" s="21">
        <v>786</v>
      </c>
      <c r="E669" s="19">
        <v>0.2951388888888889</v>
      </c>
      <c r="F669" s="19">
        <v>0.30486111111111108</v>
      </c>
      <c r="G669" s="18" t="s">
        <v>1411</v>
      </c>
      <c r="H669" s="18" t="s">
        <v>422</v>
      </c>
      <c r="I669" s="20">
        <v>6.7</v>
      </c>
      <c r="J669" s="21" t="s">
        <v>367</v>
      </c>
      <c r="K669" s="22">
        <v>240</v>
      </c>
      <c r="L669" s="23">
        <f t="shared" si="150"/>
        <v>1608</v>
      </c>
      <c r="M669" s="24" t="s">
        <v>1284</v>
      </c>
      <c r="N669" s="25" t="s">
        <v>1375</v>
      </c>
      <c r="O669" s="25">
        <v>22</v>
      </c>
      <c r="P669" s="25" t="s">
        <v>1376</v>
      </c>
      <c r="Q669" s="25">
        <v>29</v>
      </c>
      <c r="R669" s="17" t="s">
        <v>1377</v>
      </c>
      <c r="S669" s="25">
        <v>21</v>
      </c>
      <c r="T669" s="26" t="s">
        <v>1380</v>
      </c>
      <c r="U669" s="26" t="s">
        <v>1381</v>
      </c>
      <c r="V669" s="26">
        <v>3337</v>
      </c>
      <c r="W669" s="26" t="s">
        <v>1412</v>
      </c>
      <c r="X669" s="27">
        <v>44816</v>
      </c>
      <c r="Y669" s="27">
        <v>45100</v>
      </c>
      <c r="Z669" s="27"/>
      <c r="AA669" s="27"/>
      <c r="AB669" s="26" t="s">
        <v>423</v>
      </c>
      <c r="AC669" s="26"/>
      <c r="AD669" s="28" t="s">
        <v>90</v>
      </c>
      <c r="AE669" s="28"/>
      <c r="AF669" s="28" t="s">
        <v>90</v>
      </c>
      <c r="AG669" s="28"/>
      <c r="AH669" s="28" t="s">
        <v>90</v>
      </c>
      <c r="AI669" s="28" t="s">
        <v>90</v>
      </c>
      <c r="AJ669" s="28" t="s">
        <v>90</v>
      </c>
      <c r="AK669" s="28" t="s">
        <v>90</v>
      </c>
      <c r="AL669" s="28" t="s">
        <v>90</v>
      </c>
      <c r="AM669" s="28" t="s">
        <v>90</v>
      </c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9">
        <v>21.77</v>
      </c>
      <c r="AY669" s="30"/>
      <c r="AZ669" s="30"/>
      <c r="BA669" s="29"/>
      <c r="BB669" s="29"/>
      <c r="BC669" s="30"/>
      <c r="BD669" s="31">
        <f t="shared" si="142"/>
        <v>5224.8</v>
      </c>
      <c r="BE669" s="31"/>
      <c r="BF669" s="30"/>
      <c r="BG669" s="36">
        <v>1</v>
      </c>
      <c r="BH669" s="31">
        <f t="shared" si="151"/>
        <v>0</v>
      </c>
      <c r="BI669" s="31">
        <f t="shared" si="152"/>
        <v>0</v>
      </c>
      <c r="BJ669" s="33">
        <f t="shared" si="153"/>
        <v>0</v>
      </c>
      <c r="BK669" s="30"/>
      <c r="BL669" s="30"/>
      <c r="BM669" s="30"/>
      <c r="BN669" s="30"/>
      <c r="BO669" s="33">
        <f t="shared" si="143"/>
        <v>0</v>
      </c>
      <c r="BP669" s="30">
        <v>17</v>
      </c>
      <c r="BQ669" s="30">
        <v>26</v>
      </c>
      <c r="BR669" s="30"/>
      <c r="BS669" s="30"/>
      <c r="BT669" s="34">
        <f t="shared" si="144"/>
        <v>21.77</v>
      </c>
      <c r="BU669" s="34"/>
      <c r="BV669" s="34"/>
      <c r="BW669" s="34"/>
      <c r="BX669" s="34"/>
      <c r="BY669" s="30"/>
      <c r="BZ669" s="31">
        <f t="shared" si="145"/>
        <v>370.09</v>
      </c>
      <c r="CA669" s="31">
        <f t="shared" si="149"/>
        <v>566.02</v>
      </c>
    </row>
    <row r="670" spans="1:79" ht="63.75" x14ac:dyDescent="0.25">
      <c r="A670" s="17"/>
      <c r="B670" s="2">
        <v>657</v>
      </c>
      <c r="C670" s="18">
        <v>336</v>
      </c>
      <c r="D670" s="21">
        <v>787</v>
      </c>
      <c r="E670" s="59">
        <v>0.30902777777777779</v>
      </c>
      <c r="F670" s="59">
        <v>0.32291666666666669</v>
      </c>
      <c r="G670" s="51" t="s">
        <v>1404</v>
      </c>
      <c r="H670" s="18" t="s">
        <v>454</v>
      </c>
      <c r="I670" s="20">
        <v>7</v>
      </c>
      <c r="J670" s="21" t="s">
        <v>367</v>
      </c>
      <c r="K670" s="22">
        <v>304</v>
      </c>
      <c r="L670" s="23">
        <f t="shared" si="150"/>
        <v>2128</v>
      </c>
      <c r="M670" s="24" t="s">
        <v>1284</v>
      </c>
      <c r="N670" s="25" t="s">
        <v>1375</v>
      </c>
      <c r="O670" s="25">
        <v>22</v>
      </c>
      <c r="P670" s="25" t="s">
        <v>1376</v>
      </c>
      <c r="Q670" s="25">
        <v>29</v>
      </c>
      <c r="R670" s="17" t="s">
        <v>1377</v>
      </c>
      <c r="S670" s="25">
        <v>21</v>
      </c>
      <c r="T670" s="26" t="s">
        <v>1409</v>
      </c>
      <c r="U670" s="26" t="s">
        <v>1410</v>
      </c>
      <c r="V670" s="26" t="s">
        <v>1380</v>
      </c>
      <c r="W670" s="26" t="s">
        <v>1381</v>
      </c>
      <c r="X670" s="66">
        <v>44805</v>
      </c>
      <c r="Y670" s="66">
        <v>45169</v>
      </c>
      <c r="Z670" s="66"/>
      <c r="AA670" s="66"/>
      <c r="AB670" s="28" t="s">
        <v>459</v>
      </c>
      <c r="AC670" s="28"/>
      <c r="AD670" s="28" t="s">
        <v>90</v>
      </c>
      <c r="AE670" s="28" t="s">
        <v>90</v>
      </c>
      <c r="AF670" s="28" t="s">
        <v>90</v>
      </c>
      <c r="AG670" s="28"/>
      <c r="AH670" s="28" t="s">
        <v>90</v>
      </c>
      <c r="AI670" s="28" t="s">
        <v>90</v>
      </c>
      <c r="AJ670" s="28" t="s">
        <v>90</v>
      </c>
      <c r="AK670" s="28" t="s">
        <v>90</v>
      </c>
      <c r="AL670" s="28" t="s">
        <v>90</v>
      </c>
      <c r="AM670" s="28" t="s">
        <v>90</v>
      </c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9">
        <v>29.41</v>
      </c>
      <c r="AY670" s="30"/>
      <c r="AZ670" s="30"/>
      <c r="BA670" s="29"/>
      <c r="BB670" s="29"/>
      <c r="BC670" s="30"/>
      <c r="BD670" s="31">
        <f t="shared" si="142"/>
        <v>8940.64</v>
      </c>
      <c r="BE670" s="31"/>
      <c r="BF670" s="30"/>
      <c r="BG670" s="36">
        <v>1</v>
      </c>
      <c r="BH670" s="31">
        <f t="shared" si="151"/>
        <v>0</v>
      </c>
      <c r="BI670" s="31">
        <f t="shared" si="152"/>
        <v>0</v>
      </c>
      <c r="BJ670" s="33">
        <f t="shared" si="153"/>
        <v>0</v>
      </c>
      <c r="BK670" s="30"/>
      <c r="BL670" s="30"/>
      <c r="BM670" s="30"/>
      <c r="BN670" s="30"/>
      <c r="BO670" s="33">
        <f t="shared" si="143"/>
        <v>0</v>
      </c>
      <c r="BP670" s="30">
        <v>26</v>
      </c>
      <c r="BQ670" s="30">
        <v>26</v>
      </c>
      <c r="BR670" s="30"/>
      <c r="BS670" s="30"/>
      <c r="BT670" s="34">
        <f t="shared" si="144"/>
        <v>29.41</v>
      </c>
      <c r="BU670" s="34"/>
      <c r="BV670" s="34"/>
      <c r="BW670" s="34"/>
      <c r="BX670" s="34"/>
      <c r="BY670" s="30"/>
      <c r="BZ670" s="31">
        <f t="shared" si="145"/>
        <v>764.66</v>
      </c>
      <c r="CA670" s="31">
        <f t="shared" si="149"/>
        <v>764.66</v>
      </c>
    </row>
    <row r="671" spans="1:79" ht="63.75" x14ac:dyDescent="0.25">
      <c r="A671" s="17"/>
      <c r="B671" s="2">
        <v>658</v>
      </c>
      <c r="C671" s="18">
        <v>336</v>
      </c>
      <c r="D671" s="21">
        <v>788</v>
      </c>
      <c r="E671" s="19">
        <v>0.55069444444444449</v>
      </c>
      <c r="F671" s="59">
        <v>0.56388888888888888</v>
      </c>
      <c r="G671" s="51" t="s">
        <v>1413</v>
      </c>
      <c r="H671" s="18" t="s">
        <v>454</v>
      </c>
      <c r="I671" s="20">
        <v>7.7</v>
      </c>
      <c r="J671" s="21" t="s">
        <v>367</v>
      </c>
      <c r="K671" s="22">
        <v>304</v>
      </c>
      <c r="L671" s="23">
        <f t="shared" si="150"/>
        <v>2340.8000000000002</v>
      </c>
      <c r="M671" s="24" t="s">
        <v>1284</v>
      </c>
      <c r="N671" s="25" t="s">
        <v>1375</v>
      </c>
      <c r="O671" s="25">
        <v>22</v>
      </c>
      <c r="P671" s="25" t="s">
        <v>1376</v>
      </c>
      <c r="Q671" s="25">
        <v>29</v>
      </c>
      <c r="R671" s="17" t="s">
        <v>1377</v>
      </c>
      <c r="S671" s="25">
        <v>21</v>
      </c>
      <c r="T671" s="26" t="s">
        <v>1380</v>
      </c>
      <c r="U671" s="26" t="s">
        <v>1381</v>
      </c>
      <c r="V671" s="26" t="s">
        <v>1409</v>
      </c>
      <c r="W671" s="26" t="s">
        <v>1410</v>
      </c>
      <c r="X671" s="66">
        <v>44805</v>
      </c>
      <c r="Y671" s="66">
        <v>45169</v>
      </c>
      <c r="Z671" s="66"/>
      <c r="AA671" s="66"/>
      <c r="AB671" s="28" t="s">
        <v>459</v>
      </c>
      <c r="AC671" s="28"/>
      <c r="AD671" s="28" t="s">
        <v>90</v>
      </c>
      <c r="AE671" s="28" t="s">
        <v>90</v>
      </c>
      <c r="AF671" s="28" t="s">
        <v>90</v>
      </c>
      <c r="AG671" s="28"/>
      <c r="AH671" s="28" t="s">
        <v>90</v>
      </c>
      <c r="AI671" s="28" t="s">
        <v>90</v>
      </c>
      <c r="AJ671" s="28" t="s">
        <v>90</v>
      </c>
      <c r="AK671" s="28" t="s">
        <v>90</v>
      </c>
      <c r="AL671" s="28" t="s">
        <v>90</v>
      </c>
      <c r="AM671" s="28" t="s">
        <v>90</v>
      </c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9">
        <v>29.41</v>
      </c>
      <c r="AY671" s="30"/>
      <c r="AZ671" s="30"/>
      <c r="BA671" s="29"/>
      <c r="BB671" s="29"/>
      <c r="BC671" s="30"/>
      <c r="BD671" s="31">
        <f t="shared" si="142"/>
        <v>8940.64</v>
      </c>
      <c r="BE671" s="31"/>
      <c r="BF671" s="30"/>
      <c r="BG671" s="36">
        <v>1</v>
      </c>
      <c r="BH671" s="31">
        <f t="shared" si="151"/>
        <v>0</v>
      </c>
      <c r="BI671" s="31">
        <f t="shared" si="152"/>
        <v>0</v>
      </c>
      <c r="BJ671" s="33">
        <f t="shared" si="153"/>
        <v>0</v>
      </c>
      <c r="BK671" s="30"/>
      <c r="BL671" s="30"/>
      <c r="BM671" s="30"/>
      <c r="BN671" s="30"/>
      <c r="BO671" s="33">
        <f t="shared" si="143"/>
        <v>0</v>
      </c>
      <c r="BP671" s="30">
        <v>26</v>
      </c>
      <c r="BQ671" s="30">
        <v>26</v>
      </c>
      <c r="BR671" s="30"/>
      <c r="BS671" s="30"/>
      <c r="BT671" s="34">
        <f t="shared" si="144"/>
        <v>29.41</v>
      </c>
      <c r="BU671" s="34"/>
      <c r="BV671" s="34"/>
      <c r="BW671" s="34"/>
      <c r="BX671" s="34"/>
      <c r="BY671" s="30"/>
      <c r="BZ671" s="31">
        <f t="shared" si="145"/>
        <v>764.66</v>
      </c>
      <c r="CA671" s="31">
        <f t="shared" si="149"/>
        <v>764.66</v>
      </c>
    </row>
    <row r="672" spans="1:79" ht="51" x14ac:dyDescent="0.25">
      <c r="A672" s="17"/>
      <c r="B672" s="2">
        <v>659</v>
      </c>
      <c r="C672" s="18">
        <v>336</v>
      </c>
      <c r="D672" s="21">
        <v>789</v>
      </c>
      <c r="E672" s="59">
        <v>0.56388888888888888</v>
      </c>
      <c r="F672" s="59">
        <v>0.57430555555555551</v>
      </c>
      <c r="G672" s="51" t="s">
        <v>1414</v>
      </c>
      <c r="H672" s="18" t="s">
        <v>454</v>
      </c>
      <c r="I672" s="20">
        <v>7.7</v>
      </c>
      <c r="J672" s="21" t="s">
        <v>367</v>
      </c>
      <c r="K672" s="22">
        <v>304</v>
      </c>
      <c r="L672" s="23">
        <f t="shared" si="150"/>
        <v>2340.8000000000002</v>
      </c>
      <c r="M672" s="24" t="s">
        <v>1284</v>
      </c>
      <c r="N672" s="25" t="s">
        <v>1375</v>
      </c>
      <c r="O672" s="25">
        <v>22</v>
      </c>
      <c r="P672" s="25" t="s">
        <v>1376</v>
      </c>
      <c r="Q672" s="25">
        <v>29</v>
      </c>
      <c r="R672" s="17" t="s">
        <v>1377</v>
      </c>
      <c r="S672" s="25">
        <v>21</v>
      </c>
      <c r="T672" s="26" t="s">
        <v>1409</v>
      </c>
      <c r="U672" s="26" t="s">
        <v>1410</v>
      </c>
      <c r="V672" s="26" t="s">
        <v>1380</v>
      </c>
      <c r="W672" s="26" t="s">
        <v>1381</v>
      </c>
      <c r="X672" s="66">
        <v>44805</v>
      </c>
      <c r="Y672" s="66">
        <v>45169</v>
      </c>
      <c r="Z672" s="66"/>
      <c r="AA672" s="66"/>
      <c r="AB672" s="28" t="s">
        <v>459</v>
      </c>
      <c r="AC672" s="28"/>
      <c r="AD672" s="28" t="s">
        <v>90</v>
      </c>
      <c r="AE672" s="28" t="s">
        <v>90</v>
      </c>
      <c r="AF672" s="28" t="s">
        <v>90</v>
      </c>
      <c r="AG672" s="28"/>
      <c r="AH672" s="28" t="s">
        <v>90</v>
      </c>
      <c r="AI672" s="28" t="s">
        <v>90</v>
      </c>
      <c r="AJ672" s="28" t="s">
        <v>90</v>
      </c>
      <c r="AK672" s="28" t="s">
        <v>90</v>
      </c>
      <c r="AL672" s="28" t="s">
        <v>90</v>
      </c>
      <c r="AM672" s="28" t="s">
        <v>90</v>
      </c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9">
        <v>18.05</v>
      </c>
      <c r="AY672" s="30"/>
      <c r="AZ672" s="30"/>
      <c r="BA672" s="29"/>
      <c r="BB672" s="29"/>
      <c r="BC672" s="30"/>
      <c r="BD672" s="31">
        <f t="shared" si="142"/>
        <v>5487.2</v>
      </c>
      <c r="BE672" s="31"/>
      <c r="BF672" s="30"/>
      <c r="BG672" s="36">
        <v>1</v>
      </c>
      <c r="BH672" s="31">
        <f t="shared" si="151"/>
        <v>0</v>
      </c>
      <c r="BI672" s="31">
        <f t="shared" si="152"/>
        <v>0</v>
      </c>
      <c r="BJ672" s="33">
        <f t="shared" si="153"/>
        <v>0</v>
      </c>
      <c r="BK672" s="30"/>
      <c r="BL672" s="30"/>
      <c r="BM672" s="30"/>
      <c r="BN672" s="30"/>
      <c r="BO672" s="33">
        <f t="shared" si="143"/>
        <v>0</v>
      </c>
      <c r="BP672" s="30">
        <v>26</v>
      </c>
      <c r="BQ672" s="30">
        <v>26</v>
      </c>
      <c r="BR672" s="30"/>
      <c r="BS672" s="30"/>
      <c r="BT672" s="34">
        <f t="shared" si="144"/>
        <v>18.05</v>
      </c>
      <c r="BU672" s="34"/>
      <c r="BV672" s="34"/>
      <c r="BW672" s="34"/>
      <c r="BX672" s="34"/>
      <c r="BY672" s="30"/>
      <c r="BZ672" s="31">
        <f t="shared" si="145"/>
        <v>469.3</v>
      </c>
      <c r="CA672" s="31">
        <f t="shared" si="149"/>
        <v>469.3</v>
      </c>
    </row>
    <row r="673" spans="1:79" ht="63.75" x14ac:dyDescent="0.25">
      <c r="A673" s="17"/>
      <c r="B673" s="2">
        <v>660</v>
      </c>
      <c r="C673" s="18">
        <v>336</v>
      </c>
      <c r="D673" s="21">
        <v>794</v>
      </c>
      <c r="E673" s="19">
        <v>0.59027777777777779</v>
      </c>
      <c r="F673" s="59">
        <v>0.60416666666666663</v>
      </c>
      <c r="G673" s="18" t="s">
        <v>1415</v>
      </c>
      <c r="H673" s="18" t="s">
        <v>306</v>
      </c>
      <c r="I673" s="20">
        <v>7.7</v>
      </c>
      <c r="J673" s="21" t="s">
        <v>380</v>
      </c>
      <c r="K673" s="22">
        <v>208</v>
      </c>
      <c r="L673" s="23">
        <f t="shared" si="150"/>
        <v>1601.6000000000001</v>
      </c>
      <c r="M673" s="24" t="s">
        <v>1405</v>
      </c>
      <c r="N673" s="25" t="s">
        <v>1406</v>
      </c>
      <c r="O673" s="25">
        <v>9</v>
      </c>
      <c r="P673" s="25" t="s">
        <v>1407</v>
      </c>
      <c r="Q673" s="25">
        <v>9</v>
      </c>
      <c r="R673" s="25" t="s">
        <v>1408</v>
      </c>
      <c r="S673" s="35">
        <v>9</v>
      </c>
      <c r="T673" s="26" t="s">
        <v>1380</v>
      </c>
      <c r="U673" s="26" t="s">
        <v>1381</v>
      </c>
      <c r="V673" s="26" t="s">
        <v>1409</v>
      </c>
      <c r="W673" s="26" t="s">
        <v>1410</v>
      </c>
      <c r="X673" s="66">
        <v>44816</v>
      </c>
      <c r="Y673" s="66">
        <v>45086</v>
      </c>
      <c r="Z673" s="66"/>
      <c r="AA673" s="66"/>
      <c r="AB673" s="26" t="s">
        <v>309</v>
      </c>
      <c r="AC673" s="26"/>
      <c r="AD673" s="28"/>
      <c r="AE673" s="28"/>
      <c r="AF673" s="28"/>
      <c r="AG673" s="28" t="s">
        <v>90</v>
      </c>
      <c r="AH673" s="28" t="s">
        <v>90</v>
      </c>
      <c r="AI673" s="28" t="s">
        <v>90</v>
      </c>
      <c r="AJ673" s="28" t="s">
        <v>90</v>
      </c>
      <c r="AK673" s="28" t="s">
        <v>90</v>
      </c>
      <c r="AL673" s="28" t="s">
        <v>90</v>
      </c>
      <c r="AM673" s="28" t="s">
        <v>90</v>
      </c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9">
        <v>13.86</v>
      </c>
      <c r="AY673" s="30"/>
      <c r="AZ673" s="30"/>
      <c r="BA673" s="29"/>
      <c r="BB673" s="29"/>
      <c r="BC673" s="30"/>
      <c r="BD673" s="31">
        <f t="shared" si="142"/>
        <v>2882.88</v>
      </c>
      <c r="BE673" s="31"/>
      <c r="BF673" s="30"/>
      <c r="BG673" s="36">
        <v>1</v>
      </c>
      <c r="BH673" s="31">
        <f t="shared" si="151"/>
        <v>1.5400000000000009</v>
      </c>
      <c r="BI673" s="31">
        <f t="shared" si="152"/>
        <v>0</v>
      </c>
      <c r="BJ673" s="31">
        <f t="shared" si="153"/>
        <v>320.32000000000016</v>
      </c>
      <c r="BK673" s="30"/>
      <c r="BL673" s="30"/>
      <c r="BM673" s="30"/>
      <c r="BN673" s="30"/>
      <c r="BO673" s="33">
        <f t="shared" si="143"/>
        <v>0</v>
      </c>
      <c r="BP673" s="30">
        <v>17</v>
      </c>
      <c r="BQ673" s="30">
        <v>25</v>
      </c>
      <c r="BR673" s="30"/>
      <c r="BS673" s="30"/>
      <c r="BT673" s="34">
        <f t="shared" si="144"/>
        <v>15.4</v>
      </c>
      <c r="BU673" s="34"/>
      <c r="BV673" s="34"/>
      <c r="BW673" s="34"/>
      <c r="BX673" s="34"/>
      <c r="BY673" s="30"/>
      <c r="BZ673" s="31">
        <f t="shared" si="145"/>
        <v>261.8</v>
      </c>
      <c r="CA673" s="31">
        <f t="shared" si="149"/>
        <v>385</v>
      </c>
    </row>
    <row r="674" spans="1:79" ht="63.75" x14ac:dyDescent="0.25">
      <c r="A674" s="17"/>
      <c r="B674" s="2">
        <v>661</v>
      </c>
      <c r="C674" s="18">
        <v>336</v>
      </c>
      <c r="D674" s="21">
        <v>803</v>
      </c>
      <c r="E674" s="19">
        <v>0.60416666666666663</v>
      </c>
      <c r="F674" s="59">
        <v>0.61458333333333337</v>
      </c>
      <c r="G674" s="18" t="s">
        <v>1416</v>
      </c>
      <c r="H674" s="18" t="s">
        <v>306</v>
      </c>
      <c r="I674" s="20">
        <v>7.7</v>
      </c>
      <c r="J674" s="21" t="s">
        <v>380</v>
      </c>
      <c r="K674" s="22">
        <v>208</v>
      </c>
      <c r="L674" s="23">
        <f t="shared" si="150"/>
        <v>1601.6000000000001</v>
      </c>
      <c r="M674" s="24" t="s">
        <v>1405</v>
      </c>
      <c r="N674" s="25" t="s">
        <v>1406</v>
      </c>
      <c r="O674" s="25">
        <v>9</v>
      </c>
      <c r="P674" s="25" t="s">
        <v>1407</v>
      </c>
      <c r="Q674" s="25">
        <v>9</v>
      </c>
      <c r="R674" s="25" t="s">
        <v>1408</v>
      </c>
      <c r="S674" s="35">
        <v>9</v>
      </c>
      <c r="T674" s="26" t="s">
        <v>1409</v>
      </c>
      <c r="U674" s="26" t="s">
        <v>1410</v>
      </c>
      <c r="V674" s="26" t="s">
        <v>1380</v>
      </c>
      <c r="W674" s="26" t="s">
        <v>1381</v>
      </c>
      <c r="X674" s="66">
        <v>44816</v>
      </c>
      <c r="Y674" s="66">
        <v>45086</v>
      </c>
      <c r="Z674" s="66"/>
      <c r="AA674" s="66"/>
      <c r="AB674" s="26" t="s">
        <v>309</v>
      </c>
      <c r="AC674" s="26"/>
      <c r="AD674" s="28"/>
      <c r="AE674" s="28"/>
      <c r="AF674" s="28"/>
      <c r="AG674" s="28" t="s">
        <v>90</v>
      </c>
      <c r="AH674" s="28" t="s">
        <v>90</v>
      </c>
      <c r="AI674" s="28" t="s">
        <v>90</v>
      </c>
      <c r="AJ674" s="28" t="s">
        <v>90</v>
      </c>
      <c r="AK674" s="28" t="s">
        <v>90</v>
      </c>
      <c r="AL674" s="28" t="s">
        <v>90</v>
      </c>
      <c r="AM674" s="28" t="s">
        <v>90</v>
      </c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9">
        <v>13.86</v>
      </c>
      <c r="AY674" s="30"/>
      <c r="AZ674" s="30"/>
      <c r="BA674" s="29"/>
      <c r="BB674" s="29"/>
      <c r="BC674" s="30"/>
      <c r="BD674" s="31">
        <f t="shared" si="142"/>
        <v>2882.88</v>
      </c>
      <c r="BE674" s="31"/>
      <c r="BF674" s="30"/>
      <c r="BG674" s="36">
        <v>1</v>
      </c>
      <c r="BH674" s="31">
        <f t="shared" si="151"/>
        <v>1.5400000000000009</v>
      </c>
      <c r="BI674" s="31">
        <f t="shared" si="152"/>
        <v>0</v>
      </c>
      <c r="BJ674" s="31">
        <f t="shared" si="153"/>
        <v>320.32000000000016</v>
      </c>
      <c r="BK674" s="30"/>
      <c r="BL674" s="30"/>
      <c r="BM674" s="30"/>
      <c r="BN674" s="30"/>
      <c r="BO674" s="33">
        <f t="shared" si="143"/>
        <v>0</v>
      </c>
      <c r="BP674" s="30">
        <v>17</v>
      </c>
      <c r="BQ674" s="30">
        <v>25</v>
      </c>
      <c r="BR674" s="30"/>
      <c r="BS674" s="30"/>
      <c r="BT674" s="34">
        <f t="shared" si="144"/>
        <v>15.4</v>
      </c>
      <c r="BU674" s="34"/>
      <c r="BV674" s="34"/>
      <c r="BW674" s="34"/>
      <c r="BX674" s="34"/>
      <c r="BY674" s="30"/>
      <c r="BZ674" s="31">
        <f t="shared" si="145"/>
        <v>261.8</v>
      </c>
      <c r="CA674" s="31">
        <f t="shared" si="149"/>
        <v>385</v>
      </c>
    </row>
    <row r="675" spans="1:79" ht="102" x14ac:dyDescent="0.25">
      <c r="A675" s="17"/>
      <c r="B675" s="2">
        <v>662</v>
      </c>
      <c r="C675" s="18">
        <v>336</v>
      </c>
      <c r="D675" s="21">
        <v>790</v>
      </c>
      <c r="E675" s="59">
        <v>0.71527777777777779</v>
      </c>
      <c r="F675" s="59">
        <v>0.7270833333333333</v>
      </c>
      <c r="G675" s="18" t="s">
        <v>1417</v>
      </c>
      <c r="H675" s="18" t="s">
        <v>1418</v>
      </c>
      <c r="I675" s="20">
        <v>7.7</v>
      </c>
      <c r="J675" s="21" t="s">
        <v>380</v>
      </c>
      <c r="K675" s="22">
        <f>174+14</f>
        <v>188</v>
      </c>
      <c r="L675" s="23">
        <f t="shared" si="150"/>
        <v>1447.6000000000001</v>
      </c>
      <c r="M675" s="24" t="s">
        <v>1284</v>
      </c>
      <c r="N675" s="25" t="s">
        <v>1375</v>
      </c>
      <c r="O675" s="25">
        <v>22</v>
      </c>
      <c r="P675" s="25" t="s">
        <v>1376</v>
      </c>
      <c r="Q675" s="25">
        <v>29</v>
      </c>
      <c r="R675" s="17" t="s">
        <v>1377</v>
      </c>
      <c r="S675" s="25">
        <v>21</v>
      </c>
      <c r="T675" s="26" t="s">
        <v>1380</v>
      </c>
      <c r="U675" s="26" t="s">
        <v>1381</v>
      </c>
      <c r="V675" s="26" t="s">
        <v>1409</v>
      </c>
      <c r="W675" s="26" t="s">
        <v>1410</v>
      </c>
      <c r="X675" s="66">
        <v>44816</v>
      </c>
      <c r="Y675" s="66">
        <v>45086</v>
      </c>
      <c r="Z675" s="66"/>
      <c r="AA675" s="66"/>
      <c r="AB675" s="28" t="s">
        <v>1419</v>
      </c>
      <c r="AC675" s="28"/>
      <c r="AD675" s="28"/>
      <c r="AE675" s="28"/>
      <c r="AF675" s="28"/>
      <c r="AG675" s="28" t="s">
        <v>90</v>
      </c>
      <c r="AH675" s="28" t="s">
        <v>90</v>
      </c>
      <c r="AI675" s="28" t="s">
        <v>90</v>
      </c>
      <c r="AJ675" s="28" t="s">
        <v>90</v>
      </c>
      <c r="AK675" s="28" t="s">
        <v>90</v>
      </c>
      <c r="AL675" s="28" t="s">
        <v>90</v>
      </c>
      <c r="AM675" s="28"/>
      <c r="AN675" s="28"/>
      <c r="AO675" s="28"/>
      <c r="AP675" s="28"/>
      <c r="AQ675" s="28"/>
      <c r="AR675" s="28" t="s">
        <v>90</v>
      </c>
      <c r="AS675" s="28"/>
      <c r="AT675" s="28" t="s">
        <v>90</v>
      </c>
      <c r="AU675" s="28"/>
      <c r="AV675" s="28" t="s">
        <v>90</v>
      </c>
      <c r="AW675" s="28"/>
      <c r="AX675" s="29">
        <v>24</v>
      </c>
      <c r="AY675" s="30"/>
      <c r="AZ675" s="30"/>
      <c r="BA675" s="29"/>
      <c r="BB675" s="29"/>
      <c r="BC675" s="30"/>
      <c r="BD675" s="31">
        <f t="shared" si="142"/>
        <v>4512</v>
      </c>
      <c r="BE675" s="31"/>
      <c r="BF675" s="30"/>
      <c r="BG675" s="36">
        <v>1</v>
      </c>
      <c r="BH675" s="31">
        <f t="shared" si="151"/>
        <v>0</v>
      </c>
      <c r="BI675" s="31">
        <f t="shared" si="152"/>
        <v>0</v>
      </c>
      <c r="BJ675" s="33">
        <f t="shared" si="153"/>
        <v>0</v>
      </c>
      <c r="BK675" s="30"/>
      <c r="BL675" s="30"/>
      <c r="BM675" s="30"/>
      <c r="BN675" s="30"/>
      <c r="BO675" s="33">
        <f t="shared" si="143"/>
        <v>0</v>
      </c>
      <c r="BP675" s="30">
        <v>15</v>
      </c>
      <c r="BQ675" s="30">
        <v>21</v>
      </c>
      <c r="BR675" s="30"/>
      <c r="BS675" s="30"/>
      <c r="BT675" s="34">
        <f t="shared" si="144"/>
        <v>24</v>
      </c>
      <c r="BU675" s="34"/>
      <c r="BV675" s="34"/>
      <c r="BW675" s="34"/>
      <c r="BX675" s="34"/>
      <c r="BY675" s="30"/>
      <c r="BZ675" s="31">
        <f t="shared" si="145"/>
        <v>360</v>
      </c>
      <c r="CA675" s="31">
        <f t="shared" si="149"/>
        <v>504</v>
      </c>
    </row>
    <row r="676" spans="1:79" ht="102" x14ac:dyDescent="0.25">
      <c r="A676" s="17"/>
      <c r="B676" s="2">
        <v>663</v>
      </c>
      <c r="C676" s="18">
        <v>336</v>
      </c>
      <c r="D676" s="21">
        <v>805</v>
      </c>
      <c r="E676" s="19">
        <v>0.7270833333333333</v>
      </c>
      <c r="F676" s="59">
        <v>0.73749999999999993</v>
      </c>
      <c r="G676" s="18" t="s">
        <v>1420</v>
      </c>
      <c r="H676" s="18" t="s">
        <v>1418</v>
      </c>
      <c r="I676" s="20">
        <v>7.7</v>
      </c>
      <c r="J676" s="21" t="s">
        <v>380</v>
      </c>
      <c r="K676" s="22">
        <f>174+14</f>
        <v>188</v>
      </c>
      <c r="L676" s="23">
        <f t="shared" si="150"/>
        <v>1447.6000000000001</v>
      </c>
      <c r="M676" s="24" t="s">
        <v>1284</v>
      </c>
      <c r="N676" s="25" t="s">
        <v>1375</v>
      </c>
      <c r="O676" s="25">
        <v>22</v>
      </c>
      <c r="P676" s="25" t="s">
        <v>1376</v>
      </c>
      <c r="Q676" s="25">
        <v>29</v>
      </c>
      <c r="R676" s="17" t="s">
        <v>1377</v>
      </c>
      <c r="S676" s="25">
        <v>21</v>
      </c>
      <c r="T676" s="26">
        <v>3337</v>
      </c>
      <c r="U676" s="26" t="s">
        <v>1412</v>
      </c>
      <c r="V676" s="26" t="s">
        <v>1380</v>
      </c>
      <c r="W676" s="26" t="s">
        <v>1381</v>
      </c>
      <c r="X676" s="66">
        <v>44816</v>
      </c>
      <c r="Y676" s="66">
        <v>45086</v>
      </c>
      <c r="Z676" s="66"/>
      <c r="AA676" s="66"/>
      <c r="AB676" s="28" t="s">
        <v>1419</v>
      </c>
      <c r="AC676" s="28"/>
      <c r="AD676" s="28"/>
      <c r="AE676" s="28"/>
      <c r="AF676" s="28"/>
      <c r="AG676" s="28" t="s">
        <v>90</v>
      </c>
      <c r="AH676" s="28" t="s">
        <v>90</v>
      </c>
      <c r="AI676" s="28" t="s">
        <v>90</v>
      </c>
      <c r="AJ676" s="28" t="s">
        <v>90</v>
      </c>
      <c r="AK676" s="28" t="s">
        <v>90</v>
      </c>
      <c r="AL676" s="28" t="s">
        <v>90</v>
      </c>
      <c r="AM676" s="28"/>
      <c r="AN676" s="28"/>
      <c r="AO676" s="28"/>
      <c r="AP676" s="28"/>
      <c r="AQ676" s="28"/>
      <c r="AR676" s="28" t="s">
        <v>90</v>
      </c>
      <c r="AS676" s="28"/>
      <c r="AT676" s="28" t="s">
        <v>90</v>
      </c>
      <c r="AU676" s="28"/>
      <c r="AV676" s="28" t="s">
        <v>90</v>
      </c>
      <c r="AW676" s="28"/>
      <c r="AX676" s="29">
        <v>15.4</v>
      </c>
      <c r="AY676" s="30"/>
      <c r="AZ676" s="30"/>
      <c r="BA676" s="29"/>
      <c r="BB676" s="29"/>
      <c r="BC676" s="30"/>
      <c r="BD676" s="31">
        <f t="shared" si="142"/>
        <v>2895.2000000000003</v>
      </c>
      <c r="BE676" s="31"/>
      <c r="BF676" s="30"/>
      <c r="BG676" s="36">
        <v>1</v>
      </c>
      <c r="BH676" s="31">
        <f t="shared" si="151"/>
        <v>0</v>
      </c>
      <c r="BI676" s="31">
        <f t="shared" si="152"/>
        <v>0</v>
      </c>
      <c r="BJ676" s="33">
        <f t="shared" si="153"/>
        <v>0</v>
      </c>
      <c r="BK676" s="30"/>
      <c r="BL676" s="30"/>
      <c r="BM676" s="30"/>
      <c r="BN676" s="30"/>
      <c r="BO676" s="33">
        <f t="shared" si="143"/>
        <v>0</v>
      </c>
      <c r="BP676" s="30">
        <v>15</v>
      </c>
      <c r="BQ676" s="30">
        <v>21</v>
      </c>
      <c r="BR676" s="30"/>
      <c r="BS676" s="30"/>
      <c r="BT676" s="34">
        <f t="shared" si="144"/>
        <v>15.4</v>
      </c>
      <c r="BU676" s="34"/>
      <c r="BV676" s="34"/>
      <c r="BW676" s="34"/>
      <c r="BX676" s="34"/>
      <c r="BY676" s="30"/>
      <c r="BZ676" s="31">
        <f t="shared" si="145"/>
        <v>231</v>
      </c>
      <c r="CA676" s="31">
        <f t="shared" si="149"/>
        <v>323.40000000000003</v>
      </c>
    </row>
    <row r="677" spans="1:79" ht="38.25" x14ac:dyDescent="0.25">
      <c r="A677" s="17"/>
      <c r="B677" s="2">
        <v>664</v>
      </c>
      <c r="C677" s="48">
        <v>401</v>
      </c>
      <c r="D677" s="48">
        <v>122</v>
      </c>
      <c r="E677" s="49">
        <v>0.28472222222222221</v>
      </c>
      <c r="F677" s="49">
        <v>0.30486111111111108</v>
      </c>
      <c r="G677" s="51" t="s">
        <v>1421</v>
      </c>
      <c r="H677" s="18" t="s">
        <v>1422</v>
      </c>
      <c r="I677" s="48">
        <v>17</v>
      </c>
      <c r="J677" s="52">
        <v>19</v>
      </c>
      <c r="K677" s="22">
        <v>34</v>
      </c>
      <c r="L677" s="23">
        <f t="shared" si="150"/>
        <v>578</v>
      </c>
      <c r="M677" s="24" t="s">
        <v>182</v>
      </c>
      <c r="N677" s="25" t="s">
        <v>183</v>
      </c>
      <c r="O677" s="25">
        <v>22</v>
      </c>
      <c r="P677" s="25" t="s">
        <v>184</v>
      </c>
      <c r="Q677" s="25">
        <v>34</v>
      </c>
      <c r="R677" s="25"/>
      <c r="S677" s="25"/>
      <c r="T677" s="26">
        <v>4300</v>
      </c>
      <c r="U677" s="26" t="s">
        <v>1423</v>
      </c>
      <c r="V677" s="26" t="s">
        <v>1424</v>
      </c>
      <c r="W677" s="26" t="s">
        <v>1425</v>
      </c>
      <c r="X677" s="66">
        <v>44816</v>
      </c>
      <c r="Y677" s="66">
        <v>45086</v>
      </c>
      <c r="Z677" s="66"/>
      <c r="AA677" s="66"/>
      <c r="AB677" s="62" t="s">
        <v>382</v>
      </c>
      <c r="AC677" s="62"/>
      <c r="AD677" s="28"/>
      <c r="AE677" s="28"/>
      <c r="AF677" s="28"/>
      <c r="AG677" s="28" t="s">
        <v>90</v>
      </c>
      <c r="AH677" s="28"/>
      <c r="AI677" s="28"/>
      <c r="AJ677" s="28"/>
      <c r="AK677" s="28"/>
      <c r="AL677" s="28"/>
      <c r="AM677" s="28" t="s">
        <v>90</v>
      </c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31"/>
      <c r="AY677" s="30"/>
      <c r="AZ677" s="30"/>
      <c r="BA677" s="55" t="s">
        <v>1426</v>
      </c>
      <c r="BB677" s="55"/>
      <c r="BC677" s="30"/>
      <c r="BD677" s="31">
        <f t="shared" si="142"/>
        <v>0</v>
      </c>
      <c r="BE677" s="30"/>
      <c r="BF677" s="30"/>
      <c r="BG677" s="36">
        <v>1</v>
      </c>
      <c r="BH677" s="30"/>
      <c r="BI677" s="31"/>
      <c r="BJ677" s="30"/>
      <c r="BK677" s="30"/>
      <c r="BL677" s="30"/>
      <c r="BM677" s="30"/>
      <c r="BN677" s="31"/>
      <c r="BO677" s="33">
        <f t="shared" si="143"/>
        <v>0</v>
      </c>
      <c r="BP677" s="30">
        <v>2</v>
      </c>
      <c r="BQ677" s="30">
        <v>5</v>
      </c>
      <c r="BR677" s="30"/>
      <c r="BS677" s="30"/>
      <c r="BT677" s="34">
        <f t="shared" si="144"/>
        <v>0</v>
      </c>
      <c r="BU677" s="34" t="s">
        <v>382</v>
      </c>
      <c r="BV677" s="30">
        <v>2</v>
      </c>
      <c r="BW677" s="30">
        <v>5</v>
      </c>
      <c r="BX677" s="34">
        <v>385</v>
      </c>
      <c r="BY677" s="30"/>
      <c r="BZ677" s="31">
        <f t="shared" si="145"/>
        <v>770</v>
      </c>
      <c r="CA677" s="31">
        <f t="shared" si="149"/>
        <v>1925</v>
      </c>
    </row>
    <row r="678" spans="1:79" ht="63.75" x14ac:dyDescent="0.25">
      <c r="A678" s="17"/>
      <c r="B678" s="2">
        <v>665</v>
      </c>
      <c r="C678" s="48">
        <v>401</v>
      </c>
      <c r="D678" s="48">
        <v>122</v>
      </c>
      <c r="E678" s="49">
        <v>0.28472222222222221</v>
      </c>
      <c r="F678" s="49">
        <v>0.30486111111111108</v>
      </c>
      <c r="G678" s="51" t="s">
        <v>1421</v>
      </c>
      <c r="H678" s="18" t="s">
        <v>1427</v>
      </c>
      <c r="I678" s="48">
        <v>17</v>
      </c>
      <c r="J678" s="52">
        <v>19</v>
      </c>
      <c r="K678" s="22">
        <v>26</v>
      </c>
      <c r="L678" s="23">
        <f t="shared" si="150"/>
        <v>442</v>
      </c>
      <c r="M678" s="24" t="s">
        <v>182</v>
      </c>
      <c r="N678" s="25" t="s">
        <v>183</v>
      </c>
      <c r="O678" s="25">
        <v>22</v>
      </c>
      <c r="P678" s="25" t="s">
        <v>184</v>
      </c>
      <c r="Q678" s="25">
        <v>34</v>
      </c>
      <c r="R678" s="25"/>
      <c r="S678" s="25"/>
      <c r="T678" s="26">
        <v>4300</v>
      </c>
      <c r="U678" s="26" t="s">
        <v>1423</v>
      </c>
      <c r="V678" s="26" t="s">
        <v>1424</v>
      </c>
      <c r="W678" s="26" t="s">
        <v>1425</v>
      </c>
      <c r="X678" s="27">
        <v>44816</v>
      </c>
      <c r="Y678" s="27">
        <v>45100</v>
      </c>
      <c r="Z678" s="27"/>
      <c r="AA678" s="27"/>
      <c r="AB678" s="26" t="s">
        <v>1021</v>
      </c>
      <c r="AC678" s="26"/>
      <c r="AD678" s="28" t="s">
        <v>90</v>
      </c>
      <c r="AE678" s="28"/>
      <c r="AF678" s="28" t="s">
        <v>90</v>
      </c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 t="s">
        <v>90</v>
      </c>
      <c r="AS678" s="28" t="s">
        <v>90</v>
      </c>
      <c r="AT678" s="28" t="s">
        <v>90</v>
      </c>
      <c r="AU678" s="28" t="s">
        <v>90</v>
      </c>
      <c r="AV678" s="28" t="s">
        <v>90</v>
      </c>
      <c r="AW678" s="28"/>
      <c r="AX678" s="31"/>
      <c r="AY678" s="30"/>
      <c r="AZ678" s="30"/>
      <c r="BA678" s="55" t="s">
        <v>1428</v>
      </c>
      <c r="BB678" s="55"/>
      <c r="BC678" s="30"/>
      <c r="BD678" s="31">
        <f t="shared" si="142"/>
        <v>0</v>
      </c>
      <c r="BE678" s="30"/>
      <c r="BF678" s="30"/>
      <c r="BG678" s="36">
        <v>1</v>
      </c>
      <c r="BH678" s="30"/>
      <c r="BI678" s="31"/>
      <c r="BJ678" s="30"/>
      <c r="BK678" s="30"/>
      <c r="BL678" s="30"/>
      <c r="BM678" s="30"/>
      <c r="BN678" s="31"/>
      <c r="BO678" s="33">
        <f t="shared" si="143"/>
        <v>0</v>
      </c>
      <c r="BP678" s="30">
        <v>0</v>
      </c>
      <c r="BQ678" s="30">
        <v>1</v>
      </c>
      <c r="BR678" s="30"/>
      <c r="BS678" s="30"/>
      <c r="BT678" s="34">
        <f t="shared" si="144"/>
        <v>0</v>
      </c>
      <c r="BU678" s="34" t="s">
        <v>360</v>
      </c>
      <c r="BV678" s="30">
        <v>0</v>
      </c>
      <c r="BW678" s="30">
        <v>1</v>
      </c>
      <c r="BX678" s="34">
        <v>165</v>
      </c>
      <c r="BY678" s="30"/>
      <c r="BZ678" s="31">
        <f t="shared" si="145"/>
        <v>0</v>
      </c>
      <c r="CA678" s="31">
        <f t="shared" si="149"/>
        <v>165</v>
      </c>
    </row>
    <row r="679" spans="1:79" ht="51" x14ac:dyDescent="0.25">
      <c r="A679" s="17"/>
      <c r="B679" s="2">
        <v>666</v>
      </c>
      <c r="C679" s="18">
        <v>401</v>
      </c>
      <c r="D679" s="18">
        <v>507</v>
      </c>
      <c r="E679" s="19">
        <v>0.3298611111111111</v>
      </c>
      <c r="F679" s="59">
        <v>0.36805555555555558</v>
      </c>
      <c r="G679" s="18" t="s">
        <v>1429</v>
      </c>
      <c r="H679" s="18" t="s">
        <v>349</v>
      </c>
      <c r="I679" s="20">
        <v>49</v>
      </c>
      <c r="J679" s="21" t="s">
        <v>81</v>
      </c>
      <c r="K679" s="22">
        <v>202</v>
      </c>
      <c r="L679" s="23">
        <f t="shared" si="150"/>
        <v>9898</v>
      </c>
      <c r="M679" s="24" t="s">
        <v>1430</v>
      </c>
      <c r="N679" s="25" t="s">
        <v>1431</v>
      </c>
      <c r="O679" s="25">
        <v>61</v>
      </c>
      <c r="P679" s="25" t="s">
        <v>1432</v>
      </c>
      <c r="Q679" s="25">
        <v>62</v>
      </c>
      <c r="R679" s="25"/>
      <c r="S679" s="25"/>
      <c r="T679" s="26">
        <v>4400</v>
      </c>
      <c r="U679" s="26" t="s">
        <v>186</v>
      </c>
      <c r="V679" s="26">
        <v>1</v>
      </c>
      <c r="W679" s="26" t="s">
        <v>300</v>
      </c>
      <c r="X679" s="27">
        <v>44816</v>
      </c>
      <c r="Y679" s="27">
        <v>45100</v>
      </c>
      <c r="Z679" s="27"/>
      <c r="AA679" s="27"/>
      <c r="AB679" s="26" t="s">
        <v>351</v>
      </c>
      <c r="AC679" s="26"/>
      <c r="AD679" s="28" t="s">
        <v>90</v>
      </c>
      <c r="AE679" s="28"/>
      <c r="AF679" s="28" t="s">
        <v>90</v>
      </c>
      <c r="AG679" s="28"/>
      <c r="AH679" s="28" t="s">
        <v>90</v>
      </c>
      <c r="AI679" s="28" t="s">
        <v>90</v>
      </c>
      <c r="AJ679" s="28" t="s">
        <v>90</v>
      </c>
      <c r="AK679" s="28" t="s">
        <v>90</v>
      </c>
      <c r="AL679" s="28" t="s">
        <v>90</v>
      </c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31">
        <v>88.2</v>
      </c>
      <c r="AY679" s="30"/>
      <c r="AZ679" s="30"/>
      <c r="BA679" s="31"/>
      <c r="BB679" s="31"/>
      <c r="BC679" s="30"/>
      <c r="BD679" s="31">
        <f t="shared" si="142"/>
        <v>17816.400000000001</v>
      </c>
      <c r="BE679" s="31"/>
      <c r="BF679" s="30"/>
      <c r="BG679" s="32">
        <v>2</v>
      </c>
      <c r="BH679" s="53"/>
      <c r="BI679" s="53"/>
      <c r="BJ679" s="53"/>
      <c r="BK679" s="30"/>
      <c r="BL679" s="30"/>
      <c r="BM679" s="30"/>
      <c r="BN679" s="30"/>
      <c r="BO679" s="33">
        <f t="shared" si="143"/>
        <v>0</v>
      </c>
      <c r="BP679" s="30">
        <v>15</v>
      </c>
      <c r="BQ679" s="30">
        <v>21</v>
      </c>
      <c r="BR679" s="30"/>
      <c r="BS679" s="30"/>
      <c r="BT679" s="34">
        <f t="shared" si="144"/>
        <v>88.2</v>
      </c>
      <c r="BU679" s="34"/>
      <c r="BV679" s="34"/>
      <c r="BW679" s="34"/>
      <c r="BX679" s="34"/>
      <c r="BY679" s="30"/>
      <c r="BZ679" s="31">
        <f t="shared" si="145"/>
        <v>1323</v>
      </c>
      <c r="CA679" s="31">
        <f t="shared" si="149"/>
        <v>1852.2</v>
      </c>
    </row>
    <row r="680" spans="1:79" ht="63.75" x14ac:dyDescent="0.25">
      <c r="A680" s="17"/>
      <c r="B680" s="2">
        <v>667</v>
      </c>
      <c r="C680" s="18">
        <v>401</v>
      </c>
      <c r="D680" s="18">
        <v>134</v>
      </c>
      <c r="E680" s="19">
        <v>0.42708333333333331</v>
      </c>
      <c r="F680" s="19">
        <v>0.47291666666666665</v>
      </c>
      <c r="G680" s="18" t="s">
        <v>1433</v>
      </c>
      <c r="H680" s="18" t="s">
        <v>290</v>
      </c>
      <c r="I680" s="20">
        <v>37</v>
      </c>
      <c r="J680" s="21" t="s">
        <v>285</v>
      </c>
      <c r="K680" s="22">
        <v>13</v>
      </c>
      <c r="L680" s="23">
        <f t="shared" si="150"/>
        <v>481</v>
      </c>
      <c r="M680" s="24" t="s">
        <v>794</v>
      </c>
      <c r="N680" s="25" t="s">
        <v>795</v>
      </c>
      <c r="O680" s="25">
        <v>42</v>
      </c>
      <c r="P680" s="25" t="s">
        <v>496</v>
      </c>
      <c r="Q680" s="25">
        <v>45</v>
      </c>
      <c r="R680" s="25" t="s">
        <v>295</v>
      </c>
      <c r="S680" s="35">
        <v>48</v>
      </c>
      <c r="T680" s="26">
        <v>1</v>
      </c>
      <c r="U680" s="26" t="s">
        <v>179</v>
      </c>
      <c r="V680" s="26">
        <v>4400</v>
      </c>
      <c r="W680" s="26" t="s">
        <v>186</v>
      </c>
      <c r="X680" s="27">
        <v>44562</v>
      </c>
      <c r="Y680" s="27">
        <v>44815</v>
      </c>
      <c r="Z680" s="27">
        <v>45101</v>
      </c>
      <c r="AA680" s="27">
        <v>45169</v>
      </c>
      <c r="AB680" s="62" t="s">
        <v>291</v>
      </c>
      <c r="AC680" s="62"/>
      <c r="AD680" s="28"/>
      <c r="AE680" s="28" t="s">
        <v>90</v>
      </c>
      <c r="AF680" s="28"/>
      <c r="AG680" s="28"/>
      <c r="AH680" s="28"/>
      <c r="AI680" s="28"/>
      <c r="AJ680" s="28"/>
      <c r="AK680" s="28"/>
      <c r="AL680" s="28"/>
      <c r="AM680" s="28"/>
      <c r="AN680" s="28" t="s">
        <v>90</v>
      </c>
      <c r="AO680" s="28"/>
      <c r="AP680" s="28"/>
      <c r="AQ680" s="28"/>
      <c r="AR680" s="28"/>
      <c r="AS680" s="28"/>
      <c r="AT680" s="28"/>
      <c r="AU680" s="28"/>
      <c r="AV680" s="28"/>
      <c r="AW680" s="28"/>
      <c r="AX680" s="29">
        <v>111</v>
      </c>
      <c r="AY680" s="30"/>
      <c r="AZ680" s="30"/>
      <c r="BA680" s="29"/>
      <c r="BB680" s="29"/>
      <c r="BC680" s="30"/>
      <c r="BD680" s="31">
        <f t="shared" si="142"/>
        <v>1443</v>
      </c>
      <c r="BE680" s="31"/>
      <c r="BF680" s="30"/>
      <c r="BG680" s="32">
        <v>2</v>
      </c>
      <c r="BH680" s="31">
        <f>IF(AND((AX680/I680)&lt;2,BG680=1),(I680*2)-AX680,0)</f>
        <v>0</v>
      </c>
      <c r="BI680" s="31">
        <f>IF(AND((AX680/I680)&lt;3,BG680=2),(I680*3)-AX680,0)</f>
        <v>0</v>
      </c>
      <c r="BJ680" s="33">
        <f>(BH680+BI680)*K680</f>
        <v>0</v>
      </c>
      <c r="BK680" s="30"/>
      <c r="BL680" s="30"/>
      <c r="BM680" s="30"/>
      <c r="BN680" s="30"/>
      <c r="BO680" s="33">
        <f t="shared" si="143"/>
        <v>0</v>
      </c>
      <c r="BP680" s="30">
        <v>2</v>
      </c>
      <c r="BQ680" s="30">
        <v>0</v>
      </c>
      <c r="BR680" s="30"/>
      <c r="BS680" s="30"/>
      <c r="BT680" s="34">
        <f t="shared" si="144"/>
        <v>111</v>
      </c>
      <c r="BU680" s="34"/>
      <c r="BV680" s="34"/>
      <c r="BW680" s="34"/>
      <c r="BX680" s="34"/>
      <c r="BY680" s="30"/>
      <c r="BZ680" s="31">
        <f t="shared" si="145"/>
        <v>222</v>
      </c>
      <c r="CA680" s="31">
        <f t="shared" si="149"/>
        <v>0</v>
      </c>
    </row>
    <row r="681" spans="1:79" ht="51" x14ac:dyDescent="0.25">
      <c r="A681" s="17"/>
      <c r="B681" s="2">
        <v>668</v>
      </c>
      <c r="C681" s="18">
        <v>401</v>
      </c>
      <c r="D681" s="18">
        <v>147</v>
      </c>
      <c r="E681" s="19">
        <v>0.47916666666666669</v>
      </c>
      <c r="F681" s="19">
        <v>0.52986111111111112</v>
      </c>
      <c r="G681" s="18" t="s">
        <v>1429</v>
      </c>
      <c r="H681" s="18" t="s">
        <v>290</v>
      </c>
      <c r="I681" s="20">
        <v>41</v>
      </c>
      <c r="J681" s="21" t="s">
        <v>285</v>
      </c>
      <c r="K681" s="22">
        <v>13</v>
      </c>
      <c r="L681" s="23">
        <f t="shared" si="150"/>
        <v>533</v>
      </c>
      <c r="M681" s="24" t="s">
        <v>794</v>
      </c>
      <c r="N681" s="25" t="s">
        <v>795</v>
      </c>
      <c r="O681" s="25">
        <v>42</v>
      </c>
      <c r="P681" s="25" t="s">
        <v>496</v>
      </c>
      <c r="Q681" s="25">
        <v>45</v>
      </c>
      <c r="R681" s="25" t="s">
        <v>295</v>
      </c>
      <c r="S681" s="35">
        <v>48</v>
      </c>
      <c r="T681" s="26">
        <v>4400</v>
      </c>
      <c r="U681" s="26" t="s">
        <v>186</v>
      </c>
      <c r="V681" s="26">
        <v>1</v>
      </c>
      <c r="W681" s="26" t="s">
        <v>300</v>
      </c>
      <c r="X681" s="27">
        <v>44562</v>
      </c>
      <c r="Y681" s="27">
        <v>44815</v>
      </c>
      <c r="Z681" s="27">
        <v>45101</v>
      </c>
      <c r="AA681" s="27">
        <v>45169</v>
      </c>
      <c r="AB681" s="62" t="s">
        <v>291</v>
      </c>
      <c r="AC681" s="62"/>
      <c r="AD681" s="28"/>
      <c r="AE681" s="28" t="s">
        <v>90</v>
      </c>
      <c r="AF681" s="28"/>
      <c r="AG681" s="28"/>
      <c r="AH681" s="28"/>
      <c r="AI681" s="28"/>
      <c r="AJ681" s="28"/>
      <c r="AK681" s="28"/>
      <c r="AL681" s="28"/>
      <c r="AM681" s="28"/>
      <c r="AN681" s="28" t="s">
        <v>90</v>
      </c>
      <c r="AO681" s="28"/>
      <c r="AP681" s="28"/>
      <c r="AQ681" s="28"/>
      <c r="AR681" s="28"/>
      <c r="AS681" s="28"/>
      <c r="AT681" s="28"/>
      <c r="AU681" s="28"/>
      <c r="AV681" s="28"/>
      <c r="AW681" s="28"/>
      <c r="AX681" s="29">
        <v>123</v>
      </c>
      <c r="AY681" s="31"/>
      <c r="AZ681" s="30"/>
      <c r="BA681" s="29"/>
      <c r="BB681" s="29"/>
      <c r="BC681" s="30"/>
      <c r="BD681" s="31">
        <f t="shared" si="142"/>
        <v>1599</v>
      </c>
      <c r="BE681" s="31"/>
      <c r="BF681" s="30"/>
      <c r="BG681" s="32">
        <v>2</v>
      </c>
      <c r="BH681" s="31">
        <f>IF(AND((AX681/I681)&lt;2,BG681=1),(I681*2)-AX681,0)</f>
        <v>0</v>
      </c>
      <c r="BI681" s="31">
        <f>IF(AND((AX681/I681)&lt;3,BG681=2),(I681*3)-AX681,0)</f>
        <v>0</v>
      </c>
      <c r="BJ681" s="33">
        <f>(BH681+BI681)*K681</f>
        <v>0</v>
      </c>
      <c r="BK681" s="30"/>
      <c r="BL681" s="30"/>
      <c r="BM681" s="30"/>
      <c r="BN681" s="30"/>
      <c r="BO681" s="33">
        <f t="shared" si="143"/>
        <v>0</v>
      </c>
      <c r="BP681" s="30">
        <v>2</v>
      </c>
      <c r="BQ681" s="30">
        <v>0</v>
      </c>
      <c r="BR681" s="30"/>
      <c r="BS681" s="30"/>
      <c r="BT681" s="34">
        <f t="shared" si="144"/>
        <v>123</v>
      </c>
      <c r="BU681" s="34"/>
      <c r="BV681" s="34"/>
      <c r="BW681" s="34"/>
      <c r="BX681" s="34"/>
      <c r="BY681" s="30"/>
      <c r="BZ681" s="31">
        <f t="shared" si="145"/>
        <v>246</v>
      </c>
      <c r="CA681" s="31">
        <f t="shared" si="149"/>
        <v>0</v>
      </c>
    </row>
    <row r="682" spans="1:79" ht="51" x14ac:dyDescent="0.25">
      <c r="A682" s="17"/>
      <c r="B682" s="2">
        <v>669</v>
      </c>
      <c r="C682" s="18">
        <v>401</v>
      </c>
      <c r="D682" s="18">
        <v>507</v>
      </c>
      <c r="E682" s="19">
        <v>0.54861111111111105</v>
      </c>
      <c r="F682" s="19">
        <v>0.59722222222222221</v>
      </c>
      <c r="G682" s="18" t="s">
        <v>1429</v>
      </c>
      <c r="H682" s="18" t="s">
        <v>1180</v>
      </c>
      <c r="I682" s="20">
        <v>49</v>
      </c>
      <c r="J682" s="21" t="s">
        <v>81</v>
      </c>
      <c r="K682" s="22">
        <v>55</v>
      </c>
      <c r="L682" s="23">
        <f t="shared" si="150"/>
        <v>2695</v>
      </c>
      <c r="M682" s="24" t="s">
        <v>1430</v>
      </c>
      <c r="N682" s="25" t="s">
        <v>1431</v>
      </c>
      <c r="O682" s="25">
        <v>61</v>
      </c>
      <c r="P682" s="25" t="s">
        <v>1432</v>
      </c>
      <c r="Q682" s="25">
        <v>62</v>
      </c>
      <c r="R682" s="17"/>
      <c r="S682" s="25"/>
      <c r="T682" s="26" t="s">
        <v>1424</v>
      </c>
      <c r="U682" s="26" t="s">
        <v>1425</v>
      </c>
      <c r="V682" s="26">
        <v>1</v>
      </c>
      <c r="W682" s="26" t="s">
        <v>300</v>
      </c>
      <c r="X682" s="27">
        <v>44562</v>
      </c>
      <c r="Y682" s="27">
        <v>44815</v>
      </c>
      <c r="Z682" s="27">
        <v>45101</v>
      </c>
      <c r="AA682" s="27">
        <v>45169</v>
      </c>
      <c r="AB682" s="62" t="s">
        <v>353</v>
      </c>
      <c r="AC682" s="62"/>
      <c r="AD682" s="28"/>
      <c r="AE682" s="28" t="s">
        <v>90</v>
      </c>
      <c r="AF682" s="28" t="s">
        <v>90</v>
      </c>
      <c r="AG682" s="28"/>
      <c r="AH682" s="28" t="s">
        <v>90</v>
      </c>
      <c r="AI682" s="28" t="s">
        <v>90</v>
      </c>
      <c r="AJ682" s="28" t="s">
        <v>90</v>
      </c>
      <c r="AK682" s="28" t="s">
        <v>90</v>
      </c>
      <c r="AL682" s="28" t="s">
        <v>90</v>
      </c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31">
        <v>88.2</v>
      </c>
      <c r="AY682" s="31"/>
      <c r="AZ682" s="30"/>
      <c r="BA682" s="31"/>
      <c r="BB682" s="31"/>
      <c r="BC682" s="30"/>
      <c r="BD682" s="31">
        <f t="shared" si="142"/>
        <v>4851</v>
      </c>
      <c r="BE682" s="31"/>
      <c r="BF682" s="30"/>
      <c r="BG682" s="32">
        <v>2</v>
      </c>
      <c r="BH682" s="53"/>
      <c r="BI682" s="53"/>
      <c r="BJ682" s="53"/>
      <c r="BK682" s="30"/>
      <c r="BL682" s="30"/>
      <c r="BM682" s="30"/>
      <c r="BN682" s="30"/>
      <c r="BO682" s="33">
        <f t="shared" si="143"/>
        <v>0</v>
      </c>
      <c r="BP682" s="30">
        <v>7</v>
      </c>
      <c r="BQ682" s="30">
        <v>0</v>
      </c>
      <c r="BR682" s="30"/>
      <c r="BS682" s="30"/>
      <c r="BT682" s="34">
        <f t="shared" si="144"/>
        <v>88.2</v>
      </c>
      <c r="BU682" s="34"/>
      <c r="BV682" s="34"/>
      <c r="BW682" s="34"/>
      <c r="BX682" s="34"/>
      <c r="BY682" s="30"/>
      <c r="BZ682" s="31">
        <f t="shared" si="145"/>
        <v>617.4</v>
      </c>
      <c r="CA682" s="31">
        <f t="shared" si="149"/>
        <v>0</v>
      </c>
    </row>
    <row r="683" spans="1:79" ht="51" x14ac:dyDescent="0.25">
      <c r="A683" s="17"/>
      <c r="B683" s="2">
        <v>670</v>
      </c>
      <c r="C683" s="18">
        <v>401</v>
      </c>
      <c r="D683" s="18">
        <v>266</v>
      </c>
      <c r="E683" s="19">
        <v>0.70138888888888884</v>
      </c>
      <c r="F683" s="19">
        <v>0.71875</v>
      </c>
      <c r="G683" s="18" t="s">
        <v>1434</v>
      </c>
      <c r="H683" s="18" t="s">
        <v>355</v>
      </c>
      <c r="I683" s="20">
        <v>17.5</v>
      </c>
      <c r="J683" s="21" t="s">
        <v>380</v>
      </c>
      <c r="K683" s="22">
        <v>55</v>
      </c>
      <c r="L683" s="23">
        <f t="shared" si="150"/>
        <v>962.5</v>
      </c>
      <c r="M683" s="24" t="s">
        <v>1435</v>
      </c>
      <c r="N683" s="25" t="s">
        <v>1436</v>
      </c>
      <c r="O683" s="25">
        <v>9</v>
      </c>
      <c r="P683" s="25" t="s">
        <v>1437</v>
      </c>
      <c r="Q683" s="25">
        <v>9</v>
      </c>
      <c r="R683" s="17"/>
      <c r="S683" s="25"/>
      <c r="T683" s="26">
        <v>4300</v>
      </c>
      <c r="U683" s="26" t="s">
        <v>1423</v>
      </c>
      <c r="V683" s="26">
        <v>4400</v>
      </c>
      <c r="W683" s="26" t="s">
        <v>186</v>
      </c>
      <c r="X683" s="27">
        <v>44562</v>
      </c>
      <c r="Y683" s="27">
        <v>44815</v>
      </c>
      <c r="Z683" s="27">
        <v>45101</v>
      </c>
      <c r="AA683" s="27">
        <v>45169</v>
      </c>
      <c r="AB683" s="26" t="s">
        <v>353</v>
      </c>
      <c r="AC683" s="26"/>
      <c r="AD683" s="28"/>
      <c r="AE683" s="28" t="s">
        <v>90</v>
      </c>
      <c r="AF683" s="28" t="s">
        <v>90</v>
      </c>
      <c r="AG683" s="28"/>
      <c r="AH683" s="28" t="s">
        <v>90</v>
      </c>
      <c r="AI683" s="28" t="s">
        <v>90</v>
      </c>
      <c r="AJ683" s="28" t="s">
        <v>90</v>
      </c>
      <c r="AK683" s="28" t="s">
        <v>90</v>
      </c>
      <c r="AL683" s="28" t="s">
        <v>90</v>
      </c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9">
        <v>35</v>
      </c>
      <c r="AY683" s="31"/>
      <c r="AZ683" s="30"/>
      <c r="BA683" s="29"/>
      <c r="BB683" s="29"/>
      <c r="BC683" s="30"/>
      <c r="BD683" s="31">
        <f t="shared" si="142"/>
        <v>1925</v>
      </c>
      <c r="BE683" s="31"/>
      <c r="BF683" s="30"/>
      <c r="BG683" s="36">
        <v>1</v>
      </c>
      <c r="BH683" s="31">
        <f>IF(AND((AX683/I683)&lt;2,BG683=1),(I683*2)-AX683,0)</f>
        <v>0</v>
      </c>
      <c r="BI683" s="31">
        <f>IF(AND((AX683/I683)&lt;3,BG683=2),(I683*3)-AX683,0)</f>
        <v>0</v>
      </c>
      <c r="BJ683" s="33">
        <f>(BH683+BI683)*K683</f>
        <v>0</v>
      </c>
      <c r="BK683" s="30"/>
      <c r="BL683" s="30"/>
      <c r="BM683" s="30"/>
      <c r="BN683" s="30"/>
      <c r="BO683" s="33">
        <f t="shared" si="143"/>
        <v>0</v>
      </c>
      <c r="BP683" s="30">
        <v>7</v>
      </c>
      <c r="BQ683" s="30">
        <v>0</v>
      </c>
      <c r="BR683" s="30"/>
      <c r="BS683" s="30"/>
      <c r="BT683" s="34">
        <f t="shared" si="144"/>
        <v>35</v>
      </c>
      <c r="BU683" s="34"/>
      <c r="BV683" s="34"/>
      <c r="BW683" s="34"/>
      <c r="BX683" s="34"/>
      <c r="BY683" s="30"/>
      <c r="BZ683" s="31">
        <f t="shared" si="145"/>
        <v>245</v>
      </c>
      <c r="CA683" s="31">
        <f t="shared" si="149"/>
        <v>0</v>
      </c>
    </row>
    <row r="684" spans="1:79" ht="38.25" x14ac:dyDescent="0.25">
      <c r="A684" s="17"/>
      <c r="B684" s="2">
        <v>671</v>
      </c>
      <c r="C684" s="18">
        <v>401</v>
      </c>
      <c r="D684" s="18">
        <v>410</v>
      </c>
      <c r="E684" s="19">
        <v>0.77430555555555547</v>
      </c>
      <c r="F684" s="19">
        <v>0.7895833333333333</v>
      </c>
      <c r="G684" s="18" t="s">
        <v>1438</v>
      </c>
      <c r="H684" s="18" t="s">
        <v>352</v>
      </c>
      <c r="I684" s="20">
        <v>11.5</v>
      </c>
      <c r="J684" s="40">
        <v>50</v>
      </c>
      <c r="K684" s="22">
        <v>55</v>
      </c>
      <c r="L684" s="23">
        <f t="shared" si="150"/>
        <v>632.5</v>
      </c>
      <c r="M684" s="24" t="s">
        <v>478</v>
      </c>
      <c r="N684" s="25" t="s">
        <v>1439</v>
      </c>
      <c r="O684" s="25" t="s">
        <v>308</v>
      </c>
      <c r="P684" s="25" t="s">
        <v>1440</v>
      </c>
      <c r="Q684" s="25">
        <v>57</v>
      </c>
      <c r="R684" s="25" t="s">
        <v>1441</v>
      </c>
      <c r="S684" s="35">
        <v>56</v>
      </c>
      <c r="T684" s="26">
        <v>1</v>
      </c>
      <c r="U684" s="26" t="s">
        <v>179</v>
      </c>
      <c r="V684" s="26" t="s">
        <v>655</v>
      </c>
      <c r="W684" s="26" t="s">
        <v>656</v>
      </c>
      <c r="X684" s="27">
        <v>44562</v>
      </c>
      <c r="Y684" s="27">
        <v>44815</v>
      </c>
      <c r="Z684" s="27">
        <v>45101</v>
      </c>
      <c r="AA684" s="27">
        <v>45169</v>
      </c>
      <c r="AB684" s="26" t="s">
        <v>353</v>
      </c>
      <c r="AC684" s="26"/>
      <c r="AD684" s="28"/>
      <c r="AE684" s="28" t="s">
        <v>90</v>
      </c>
      <c r="AF684" s="28" t="s">
        <v>90</v>
      </c>
      <c r="AG684" s="28"/>
      <c r="AH684" s="28" t="s">
        <v>90</v>
      </c>
      <c r="AI684" s="28" t="s">
        <v>90</v>
      </c>
      <c r="AJ684" s="28" t="s">
        <v>90</v>
      </c>
      <c r="AK684" s="28" t="s">
        <v>90</v>
      </c>
      <c r="AL684" s="28" t="s">
        <v>90</v>
      </c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9">
        <v>34.5</v>
      </c>
      <c r="AY684" s="31"/>
      <c r="AZ684" s="30"/>
      <c r="BA684" s="29"/>
      <c r="BB684" s="29"/>
      <c r="BC684" s="30"/>
      <c r="BD684" s="31">
        <f t="shared" si="142"/>
        <v>1897.5</v>
      </c>
      <c r="BE684" s="31"/>
      <c r="BF684" s="30"/>
      <c r="BG684" s="32">
        <v>2</v>
      </c>
      <c r="BH684" s="31">
        <f>IF(AND((AX684/I684)&lt;2,BG684=1),(I684*2)-AX684,0)</f>
        <v>0</v>
      </c>
      <c r="BI684" s="31">
        <f>IF(AND((AX684/I684)&lt;3,BG684=2),(I684*3)-AX684,0)</f>
        <v>0</v>
      </c>
      <c r="BJ684" s="33">
        <f>(BH684+BI684)*K684</f>
        <v>0</v>
      </c>
      <c r="BK684" s="30"/>
      <c r="BL684" s="30"/>
      <c r="BM684" s="30"/>
      <c r="BN684" s="30"/>
      <c r="BO684" s="33">
        <f t="shared" si="143"/>
        <v>0</v>
      </c>
      <c r="BP684" s="30">
        <v>7</v>
      </c>
      <c r="BQ684" s="30">
        <v>0</v>
      </c>
      <c r="BR684" s="30"/>
      <c r="BS684" s="30"/>
      <c r="BT684" s="34">
        <f t="shared" si="144"/>
        <v>34.5</v>
      </c>
      <c r="BU684" s="34"/>
      <c r="BV684" s="34"/>
      <c r="BW684" s="34"/>
      <c r="BX684" s="34"/>
      <c r="BY684" s="30"/>
      <c r="BZ684" s="31">
        <f t="shared" si="145"/>
        <v>241.5</v>
      </c>
      <c r="CA684" s="31">
        <f t="shared" si="149"/>
        <v>0</v>
      </c>
    </row>
    <row r="685" spans="1:79" ht="38.25" x14ac:dyDescent="0.25">
      <c r="A685" s="17"/>
      <c r="B685" s="2">
        <v>672</v>
      </c>
      <c r="C685" s="48">
        <v>401</v>
      </c>
      <c r="D685" s="60">
        <v>172</v>
      </c>
      <c r="E685" s="49">
        <v>0.80208333333333337</v>
      </c>
      <c r="F685" s="49">
        <v>0.84861111111111109</v>
      </c>
      <c r="G685" s="51" t="s">
        <v>1442</v>
      </c>
      <c r="H685" s="18" t="s">
        <v>268</v>
      </c>
      <c r="I685" s="48">
        <v>41</v>
      </c>
      <c r="J685" s="52">
        <v>50</v>
      </c>
      <c r="K685" s="22">
        <v>252</v>
      </c>
      <c r="L685" s="23">
        <f t="shared" si="150"/>
        <v>10332</v>
      </c>
      <c r="M685" s="24" t="s">
        <v>182</v>
      </c>
      <c r="N685" s="25" t="s">
        <v>1431</v>
      </c>
      <c r="O685" s="25">
        <v>61</v>
      </c>
      <c r="P685" s="25" t="s">
        <v>1432</v>
      </c>
      <c r="Q685" s="25">
        <v>62</v>
      </c>
      <c r="R685" s="17"/>
      <c r="S685" s="25"/>
      <c r="T685" s="26">
        <v>1</v>
      </c>
      <c r="U685" s="26" t="s">
        <v>179</v>
      </c>
      <c r="V685" s="26" t="s">
        <v>1424</v>
      </c>
      <c r="W685" s="26" t="s">
        <v>1425</v>
      </c>
      <c r="X685" s="66">
        <v>44805</v>
      </c>
      <c r="Y685" s="66">
        <v>45169</v>
      </c>
      <c r="Z685" s="66"/>
      <c r="AA685" s="66"/>
      <c r="AB685" s="26" t="s">
        <v>269</v>
      </c>
      <c r="AC685" s="26"/>
      <c r="AD685" s="28" t="s">
        <v>90</v>
      </c>
      <c r="AE685" s="28" t="s">
        <v>90</v>
      </c>
      <c r="AF685" s="28" t="s">
        <v>90</v>
      </c>
      <c r="AG685" s="28"/>
      <c r="AH685" s="28" t="s">
        <v>90</v>
      </c>
      <c r="AI685" s="28" t="s">
        <v>90</v>
      </c>
      <c r="AJ685" s="28" t="s">
        <v>90</v>
      </c>
      <c r="AK685" s="28" t="s">
        <v>90</v>
      </c>
      <c r="AL685" s="28" t="s">
        <v>90</v>
      </c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31"/>
      <c r="AY685" s="31"/>
      <c r="AZ685" s="30"/>
      <c r="BA685" s="55" t="s">
        <v>1443</v>
      </c>
      <c r="BB685" s="55"/>
      <c r="BC685" s="30"/>
      <c r="BD685" s="31">
        <f t="shared" si="142"/>
        <v>0</v>
      </c>
      <c r="BE685" s="30"/>
      <c r="BF685" s="30"/>
      <c r="BG685" s="32">
        <v>2</v>
      </c>
      <c r="BH685" s="30"/>
      <c r="BI685" s="31"/>
      <c r="BJ685" s="30"/>
      <c r="BK685" s="30"/>
      <c r="BL685" s="30"/>
      <c r="BM685" s="30"/>
      <c r="BN685" s="30"/>
      <c r="BO685" s="33">
        <f t="shared" si="143"/>
        <v>0</v>
      </c>
      <c r="BP685" s="30">
        <v>22</v>
      </c>
      <c r="BQ685" s="30">
        <v>21</v>
      </c>
      <c r="BR685" s="30"/>
      <c r="BS685" s="30"/>
      <c r="BT685" s="34">
        <f t="shared" si="144"/>
        <v>0</v>
      </c>
      <c r="BU685" s="34" t="s">
        <v>269</v>
      </c>
      <c r="BV685" s="30">
        <v>22</v>
      </c>
      <c r="BW685" s="30">
        <v>21</v>
      </c>
      <c r="BX685" s="34">
        <v>220</v>
      </c>
      <c r="BY685" s="30"/>
      <c r="BZ685" s="31">
        <f t="shared" si="145"/>
        <v>4840</v>
      </c>
      <c r="CA685" s="31">
        <f t="shared" si="149"/>
        <v>4620</v>
      </c>
    </row>
    <row r="686" spans="1:79" ht="78.75" x14ac:dyDescent="0.25">
      <c r="A686" s="17"/>
      <c r="B686" s="2">
        <v>673</v>
      </c>
      <c r="C686" s="18">
        <v>401</v>
      </c>
      <c r="D686" s="18">
        <v>172</v>
      </c>
      <c r="E686" s="19">
        <v>0.80208333333333337</v>
      </c>
      <c r="F686" s="19">
        <v>0.84861111111111109</v>
      </c>
      <c r="G686" s="18" t="s">
        <v>1444</v>
      </c>
      <c r="H686" s="18" t="s">
        <v>885</v>
      </c>
      <c r="I686" s="20">
        <v>41</v>
      </c>
      <c r="J686" s="21" t="s">
        <v>81</v>
      </c>
      <c r="K686" s="22">
        <v>38</v>
      </c>
      <c r="L686" s="23">
        <f t="shared" si="150"/>
        <v>1558</v>
      </c>
      <c r="M686" s="24" t="s">
        <v>1257</v>
      </c>
      <c r="N686" s="25" t="s">
        <v>1258</v>
      </c>
      <c r="O686" s="25">
        <v>57</v>
      </c>
      <c r="P686" s="25" t="s">
        <v>1445</v>
      </c>
      <c r="Q686" s="25">
        <v>57</v>
      </c>
      <c r="R686" s="25"/>
      <c r="S686" s="25"/>
      <c r="T686" s="26">
        <v>1</v>
      </c>
      <c r="U686" s="26" t="s">
        <v>179</v>
      </c>
      <c r="V686" s="26" t="s">
        <v>1424</v>
      </c>
      <c r="W686" s="26" t="s">
        <v>1425</v>
      </c>
      <c r="X686" s="27">
        <v>44816</v>
      </c>
      <c r="Y686" s="27">
        <v>45100</v>
      </c>
      <c r="Z686" s="27"/>
      <c r="AA686" s="27"/>
      <c r="AB686" s="26" t="s">
        <v>771</v>
      </c>
      <c r="AC686" s="26"/>
      <c r="AD686" s="28" t="s">
        <v>90</v>
      </c>
      <c r="AE686" s="28"/>
      <c r="AF686" s="28" t="s">
        <v>90</v>
      </c>
      <c r="AG686" s="28"/>
      <c r="AH686" s="28"/>
      <c r="AI686" s="28"/>
      <c r="AJ686" s="28"/>
      <c r="AK686" s="28"/>
      <c r="AL686" s="28"/>
      <c r="AM686" s="28" t="s">
        <v>90</v>
      </c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9">
        <v>123</v>
      </c>
      <c r="AY686" s="31"/>
      <c r="AZ686" s="30"/>
      <c r="BA686" s="29"/>
      <c r="BB686" s="29"/>
      <c r="BC686" s="30"/>
      <c r="BD686" s="31">
        <f t="shared" si="142"/>
        <v>4674</v>
      </c>
      <c r="BE686" s="31"/>
      <c r="BF686" s="30"/>
      <c r="BG686" s="32">
        <v>2</v>
      </c>
      <c r="BH686" s="31">
        <f>IF(AND((AX686/I686)&lt;2,BG686=1),(I686*2)-AX686,0)</f>
        <v>0</v>
      </c>
      <c r="BI686" s="31">
        <f>IF(AND((AX686/I686)&lt;3,BG686=2),(I686*3)-AX686,0)</f>
        <v>0</v>
      </c>
      <c r="BJ686" s="33">
        <f>(BH686+BI686)*K686</f>
        <v>0</v>
      </c>
      <c r="BK686" s="30"/>
      <c r="BL686" s="30"/>
      <c r="BM686" s="30"/>
      <c r="BN686" s="30"/>
      <c r="BO686" s="33">
        <f t="shared" si="143"/>
        <v>0</v>
      </c>
      <c r="BP686" s="30">
        <v>2</v>
      </c>
      <c r="BQ686" s="30">
        <v>5</v>
      </c>
      <c r="BR686" s="30"/>
      <c r="BS686" s="30"/>
      <c r="BT686" s="34">
        <f t="shared" si="144"/>
        <v>123</v>
      </c>
      <c r="BU686" s="34"/>
      <c r="BV686" s="34"/>
      <c r="BW686" s="34"/>
      <c r="BX686" s="34"/>
      <c r="BY686" s="30"/>
      <c r="BZ686" s="31">
        <f t="shared" si="145"/>
        <v>246</v>
      </c>
      <c r="CA686" s="31">
        <f t="shared" si="149"/>
        <v>615</v>
      </c>
    </row>
    <row r="687" spans="1:79" ht="89.25" x14ac:dyDescent="0.25">
      <c r="A687" s="17"/>
      <c r="B687" s="2">
        <v>674</v>
      </c>
      <c r="C687" s="18">
        <v>402</v>
      </c>
      <c r="D687" s="18">
        <v>254</v>
      </c>
      <c r="E687" s="19">
        <v>0.26180555555555557</v>
      </c>
      <c r="F687" s="19">
        <v>0.27986111111111112</v>
      </c>
      <c r="G687" s="18" t="s">
        <v>1446</v>
      </c>
      <c r="H687" s="18" t="s">
        <v>273</v>
      </c>
      <c r="I687" s="20">
        <v>2.4</v>
      </c>
      <c r="J687" s="21" t="s">
        <v>541</v>
      </c>
      <c r="K687" s="22">
        <v>174</v>
      </c>
      <c r="L687" s="23">
        <f t="shared" si="150"/>
        <v>417.59999999999997</v>
      </c>
      <c r="M687" s="24" t="s">
        <v>557</v>
      </c>
      <c r="N687" s="25" t="s">
        <v>558</v>
      </c>
      <c r="O687" s="25">
        <v>17</v>
      </c>
      <c r="P687" s="25" t="s">
        <v>559</v>
      </c>
      <c r="Q687" s="25">
        <v>18</v>
      </c>
      <c r="R687" s="25" t="s">
        <v>560</v>
      </c>
      <c r="S687" s="35">
        <v>23</v>
      </c>
      <c r="T687" s="26" t="s">
        <v>690</v>
      </c>
      <c r="U687" s="26" t="s">
        <v>691</v>
      </c>
      <c r="V687" s="26">
        <v>4043</v>
      </c>
      <c r="W687" s="26" t="s">
        <v>1447</v>
      </c>
      <c r="X687" s="66">
        <v>44816</v>
      </c>
      <c r="Y687" s="66">
        <v>45086</v>
      </c>
      <c r="Z687" s="66"/>
      <c r="AA687" s="66"/>
      <c r="AB687" s="26" t="s">
        <v>282</v>
      </c>
      <c r="AC687" s="26"/>
      <c r="AD687" s="28"/>
      <c r="AE687" s="28"/>
      <c r="AF687" s="28"/>
      <c r="AG687" s="28" t="s">
        <v>90</v>
      </c>
      <c r="AH687" s="28" t="s">
        <v>90</v>
      </c>
      <c r="AI687" s="28" t="s">
        <v>90</v>
      </c>
      <c r="AJ687" s="28" t="s">
        <v>90</v>
      </c>
      <c r="AK687" s="28" t="s">
        <v>90</v>
      </c>
      <c r="AL687" s="28" t="s">
        <v>90</v>
      </c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9">
        <v>10</v>
      </c>
      <c r="AY687" s="31"/>
      <c r="AZ687" s="30"/>
      <c r="BA687" s="29"/>
      <c r="BB687" s="29"/>
      <c r="BC687" s="55">
        <v>4</v>
      </c>
      <c r="BD687" s="31">
        <f t="shared" si="142"/>
        <v>1740</v>
      </c>
      <c r="BE687" s="31"/>
      <c r="BF687" s="30"/>
      <c r="BG687" s="36">
        <v>1</v>
      </c>
      <c r="BH687" s="31">
        <f>IF(AND((AX687/I687)&lt;2,BG687=1),(I687*2)-AX687,0)</f>
        <v>0</v>
      </c>
      <c r="BI687" s="31">
        <f>IF(AND((AX687/I687)&lt;3,BG687=2),(I687*3)-AX687,0)</f>
        <v>0</v>
      </c>
      <c r="BJ687" s="33">
        <f>(BH687+BI687)*K687</f>
        <v>0</v>
      </c>
      <c r="BK687" s="30"/>
      <c r="BL687" s="30"/>
      <c r="BM687" s="30"/>
      <c r="BN687" s="31">
        <f>IF((AX687+AY687+AZ687)&lt;20,(20-(AX687+AY687+AZ687)),0)</f>
        <v>10</v>
      </c>
      <c r="BO687" s="33">
        <f t="shared" si="143"/>
        <v>1740</v>
      </c>
      <c r="BP687" s="30">
        <v>15</v>
      </c>
      <c r="BQ687" s="30">
        <v>20</v>
      </c>
      <c r="BR687" s="30"/>
      <c r="BS687" s="30"/>
      <c r="BT687" s="34">
        <f t="shared" si="144"/>
        <v>20</v>
      </c>
      <c r="BU687" s="34"/>
      <c r="BV687" s="34"/>
      <c r="BW687" s="34"/>
      <c r="BX687" s="34"/>
      <c r="BY687" s="30"/>
      <c r="BZ687" s="31">
        <f t="shared" si="145"/>
        <v>300</v>
      </c>
      <c r="CA687" s="31">
        <f t="shared" si="149"/>
        <v>400</v>
      </c>
    </row>
    <row r="688" spans="1:79" ht="51" x14ac:dyDescent="0.25">
      <c r="A688" s="17"/>
      <c r="B688" s="2">
        <v>675</v>
      </c>
      <c r="C688" s="18">
        <v>402</v>
      </c>
      <c r="D688" s="18">
        <v>254</v>
      </c>
      <c r="E688" s="19">
        <v>0.26527777777777778</v>
      </c>
      <c r="F688" s="19">
        <v>0.28472222222222221</v>
      </c>
      <c r="G688" s="18" t="s">
        <v>1448</v>
      </c>
      <c r="H688" s="18" t="s">
        <v>273</v>
      </c>
      <c r="I688" s="20">
        <v>15.5</v>
      </c>
      <c r="J688" s="21" t="s">
        <v>541</v>
      </c>
      <c r="K688" s="22">
        <v>174</v>
      </c>
      <c r="L688" s="23">
        <f t="shared" si="150"/>
        <v>2697</v>
      </c>
      <c r="M688" s="24" t="s">
        <v>557</v>
      </c>
      <c r="N688" s="25" t="s">
        <v>558</v>
      </c>
      <c r="O688" s="25">
        <v>17</v>
      </c>
      <c r="P688" s="25" t="s">
        <v>559</v>
      </c>
      <c r="Q688" s="25">
        <v>18</v>
      </c>
      <c r="R688" s="25" t="s">
        <v>560</v>
      </c>
      <c r="S688" s="35">
        <v>23</v>
      </c>
      <c r="T688" s="26">
        <v>4043</v>
      </c>
      <c r="U688" s="26" t="s">
        <v>1447</v>
      </c>
      <c r="V688" s="26">
        <v>1122</v>
      </c>
      <c r="W688" s="26" t="s">
        <v>304</v>
      </c>
      <c r="X688" s="66">
        <v>44816</v>
      </c>
      <c r="Y688" s="66">
        <v>45086</v>
      </c>
      <c r="Z688" s="66"/>
      <c r="AA688" s="66"/>
      <c r="AB688" s="26" t="s">
        <v>282</v>
      </c>
      <c r="AC688" s="26"/>
      <c r="AD688" s="28"/>
      <c r="AE688" s="28"/>
      <c r="AF688" s="28"/>
      <c r="AG688" s="28" t="s">
        <v>90</v>
      </c>
      <c r="AH688" s="28" t="s">
        <v>90</v>
      </c>
      <c r="AI688" s="28" t="s">
        <v>90</v>
      </c>
      <c r="AJ688" s="28" t="s">
        <v>90</v>
      </c>
      <c r="AK688" s="28" t="s">
        <v>90</v>
      </c>
      <c r="AL688" s="28" t="s">
        <v>90</v>
      </c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9">
        <v>38.75</v>
      </c>
      <c r="AY688" s="31"/>
      <c r="AZ688" s="30"/>
      <c r="BA688" s="29"/>
      <c r="BB688" s="29"/>
      <c r="BC688" s="55">
        <v>5</v>
      </c>
      <c r="BD688" s="31">
        <f t="shared" si="142"/>
        <v>6742.5</v>
      </c>
      <c r="BE688" s="31"/>
      <c r="BF688" s="30"/>
      <c r="BG688" s="36">
        <v>1</v>
      </c>
      <c r="BH688" s="31">
        <f>IF(AND((AX688/I688)&lt;2,BG688=1),(I688*2)-AX688,0)</f>
        <v>0</v>
      </c>
      <c r="BI688" s="31">
        <f>IF(AND((AX688/I688)&lt;3,BG688=2),(I688*3)-AX688,0)</f>
        <v>0</v>
      </c>
      <c r="BJ688" s="33">
        <f>(BH688+BI688)*K688</f>
        <v>0</v>
      </c>
      <c r="BK688" s="30"/>
      <c r="BL688" s="30"/>
      <c r="BM688" s="30"/>
      <c r="BN688" s="31">
        <f>IF((AX688+AY688+AZ688)&lt;20,(20-(AX688+AY688+AZ688)),0)</f>
        <v>0</v>
      </c>
      <c r="BO688" s="33">
        <f t="shared" si="143"/>
        <v>0</v>
      </c>
      <c r="BP688" s="30">
        <v>15</v>
      </c>
      <c r="BQ688" s="30">
        <v>20</v>
      </c>
      <c r="BR688" s="30"/>
      <c r="BS688" s="30"/>
      <c r="BT688" s="34">
        <f t="shared" si="144"/>
        <v>38.75</v>
      </c>
      <c r="BU688" s="34"/>
      <c r="BV688" s="34"/>
      <c r="BW688" s="34"/>
      <c r="BX688" s="34"/>
      <c r="BY688" s="30"/>
      <c r="BZ688" s="31">
        <f t="shared" si="145"/>
        <v>581.25</v>
      </c>
      <c r="CA688" s="31">
        <f t="shared" si="149"/>
        <v>775</v>
      </c>
    </row>
    <row r="689" spans="1:79" ht="34.5" x14ac:dyDescent="0.25">
      <c r="A689" s="17"/>
      <c r="B689" s="2">
        <v>676</v>
      </c>
      <c r="C689" s="48">
        <v>402</v>
      </c>
      <c r="D689" s="48">
        <v>108</v>
      </c>
      <c r="E689" s="49">
        <v>0.51388888888888895</v>
      </c>
      <c r="F689" s="49">
        <v>0.54027777777777775</v>
      </c>
      <c r="G689" s="51" t="s">
        <v>1449</v>
      </c>
      <c r="H689" s="18" t="s">
        <v>290</v>
      </c>
      <c r="I689" s="48">
        <v>18</v>
      </c>
      <c r="J689" s="52">
        <v>30</v>
      </c>
      <c r="K689" s="22">
        <v>13</v>
      </c>
      <c r="L689" s="23">
        <f t="shared" si="150"/>
        <v>234</v>
      </c>
      <c r="M689" s="24" t="s">
        <v>557</v>
      </c>
      <c r="N689" s="25" t="s">
        <v>1450</v>
      </c>
      <c r="O689" s="25">
        <v>30</v>
      </c>
      <c r="P689" s="25" t="s">
        <v>1451</v>
      </c>
      <c r="Q689" s="25">
        <v>36</v>
      </c>
      <c r="R689" s="17"/>
      <c r="S689" s="25"/>
      <c r="T689" s="26">
        <v>1</v>
      </c>
      <c r="U689" s="26" t="s">
        <v>179</v>
      </c>
      <c r="V689" s="26" t="s">
        <v>690</v>
      </c>
      <c r="W689" s="26" t="s">
        <v>691</v>
      </c>
      <c r="X689" s="27">
        <v>44562</v>
      </c>
      <c r="Y689" s="27">
        <v>44815</v>
      </c>
      <c r="Z689" s="27">
        <v>45101</v>
      </c>
      <c r="AA689" s="27">
        <v>45169</v>
      </c>
      <c r="AB689" s="62" t="s">
        <v>291</v>
      </c>
      <c r="AC689" s="62"/>
      <c r="AD689" s="28"/>
      <c r="AE689" s="28" t="s">
        <v>90</v>
      </c>
      <c r="AF689" s="28"/>
      <c r="AG689" s="28"/>
      <c r="AH689" s="28"/>
      <c r="AI689" s="28"/>
      <c r="AJ689" s="28"/>
      <c r="AK689" s="28"/>
      <c r="AL689" s="28"/>
      <c r="AM689" s="28"/>
      <c r="AN689" s="28" t="s">
        <v>90</v>
      </c>
      <c r="AO689" s="28"/>
      <c r="AP689" s="28"/>
      <c r="AQ689" s="28"/>
      <c r="AR689" s="28"/>
      <c r="AS689" s="28"/>
      <c r="AT689" s="28"/>
      <c r="AU689" s="28"/>
      <c r="AV689" s="28"/>
      <c r="AW689" s="28"/>
      <c r="AX689" s="31"/>
      <c r="AY689" s="31"/>
      <c r="AZ689" s="30"/>
      <c r="BA689" s="55" t="s">
        <v>557</v>
      </c>
      <c r="BB689" s="55"/>
      <c r="BC689" s="30"/>
      <c r="BD689" s="31">
        <f t="shared" si="142"/>
        <v>0</v>
      </c>
      <c r="BE689" s="30"/>
      <c r="BF689" s="30"/>
      <c r="BG689" s="36">
        <v>1</v>
      </c>
      <c r="BH689" s="30"/>
      <c r="BI689" s="31"/>
      <c r="BJ689" s="30"/>
      <c r="BK689" s="30"/>
      <c r="BL689" s="30"/>
      <c r="BM689" s="30"/>
      <c r="BN689" s="30"/>
      <c r="BO689" s="33">
        <f t="shared" si="143"/>
        <v>0</v>
      </c>
      <c r="BP689" s="30">
        <v>2</v>
      </c>
      <c r="BQ689" s="30">
        <v>0</v>
      </c>
      <c r="BR689" s="30"/>
      <c r="BS689" s="30"/>
      <c r="BT689" s="34">
        <f t="shared" si="144"/>
        <v>0</v>
      </c>
      <c r="BU689" s="62" t="s">
        <v>291</v>
      </c>
      <c r="BV689" s="62">
        <v>2</v>
      </c>
      <c r="BW689" s="30">
        <v>0</v>
      </c>
      <c r="BX689" s="34">
        <v>350</v>
      </c>
      <c r="BY689" s="30"/>
      <c r="BZ689" s="31">
        <f t="shared" si="145"/>
        <v>700</v>
      </c>
      <c r="CA689" s="31">
        <f t="shared" si="149"/>
        <v>0</v>
      </c>
    </row>
    <row r="690" spans="1:79" ht="34.5" x14ac:dyDescent="0.25">
      <c r="A690" s="17"/>
      <c r="B690" s="2">
        <v>677</v>
      </c>
      <c r="C690" s="48">
        <v>402</v>
      </c>
      <c r="D690" s="48">
        <v>113</v>
      </c>
      <c r="E690" s="49">
        <v>0.56944444444444442</v>
      </c>
      <c r="F690" s="49">
        <v>0.59583333333333333</v>
      </c>
      <c r="G690" s="51" t="s">
        <v>1452</v>
      </c>
      <c r="H690" s="18" t="s">
        <v>290</v>
      </c>
      <c r="I690" s="48">
        <v>18</v>
      </c>
      <c r="J690" s="52">
        <v>30</v>
      </c>
      <c r="K690" s="22">
        <v>13</v>
      </c>
      <c r="L690" s="23">
        <f t="shared" si="150"/>
        <v>234</v>
      </c>
      <c r="M690" s="24" t="s">
        <v>557</v>
      </c>
      <c r="N690" s="25" t="s">
        <v>1450</v>
      </c>
      <c r="O690" s="25">
        <v>30</v>
      </c>
      <c r="P690" s="25" t="s">
        <v>1451</v>
      </c>
      <c r="Q690" s="25">
        <v>36</v>
      </c>
      <c r="R690" s="17"/>
      <c r="S690" s="25"/>
      <c r="T690" s="26" t="s">
        <v>690</v>
      </c>
      <c r="U690" s="26" t="s">
        <v>691</v>
      </c>
      <c r="V690" s="26">
        <v>1</v>
      </c>
      <c r="W690" s="26" t="s">
        <v>300</v>
      </c>
      <c r="X690" s="27">
        <v>44562</v>
      </c>
      <c r="Y690" s="27">
        <v>44815</v>
      </c>
      <c r="Z690" s="27">
        <v>45101</v>
      </c>
      <c r="AA690" s="27">
        <v>45169</v>
      </c>
      <c r="AB690" s="62" t="s">
        <v>291</v>
      </c>
      <c r="AC690" s="62"/>
      <c r="AD690" s="28"/>
      <c r="AE690" s="28" t="s">
        <v>90</v>
      </c>
      <c r="AF690" s="28"/>
      <c r="AG690" s="28"/>
      <c r="AH690" s="28"/>
      <c r="AI690" s="28"/>
      <c r="AJ690" s="28"/>
      <c r="AK690" s="28"/>
      <c r="AL690" s="28"/>
      <c r="AM690" s="28"/>
      <c r="AN690" s="28" t="s">
        <v>90</v>
      </c>
      <c r="AO690" s="28"/>
      <c r="AP690" s="28"/>
      <c r="AQ690" s="28"/>
      <c r="AR690" s="28"/>
      <c r="AS690" s="28"/>
      <c r="AT690" s="28"/>
      <c r="AU690" s="28"/>
      <c r="AV690" s="28"/>
      <c r="AW690" s="28"/>
      <c r="AX690" s="31"/>
      <c r="AY690" s="31"/>
      <c r="AZ690" s="30"/>
      <c r="BA690" s="55" t="s">
        <v>557</v>
      </c>
      <c r="BB690" s="55"/>
      <c r="BC690" s="30"/>
      <c r="BD690" s="31">
        <f t="shared" si="142"/>
        <v>0</v>
      </c>
      <c r="BE690" s="30"/>
      <c r="BF690" s="30"/>
      <c r="BG690" s="36">
        <v>1</v>
      </c>
      <c r="BH690" s="30"/>
      <c r="BI690" s="31"/>
      <c r="BJ690" s="30"/>
      <c r="BK690" s="30"/>
      <c r="BL690" s="30"/>
      <c r="BM690" s="30"/>
      <c r="BN690" s="30"/>
      <c r="BO690" s="33">
        <f t="shared" si="143"/>
        <v>0</v>
      </c>
      <c r="BP690" s="30">
        <v>2</v>
      </c>
      <c r="BQ690" s="30">
        <v>0</v>
      </c>
      <c r="BR690" s="30"/>
      <c r="BS690" s="30"/>
      <c r="BT690" s="34">
        <f t="shared" si="144"/>
        <v>0</v>
      </c>
      <c r="BU690" s="34"/>
      <c r="BV690" s="34"/>
      <c r="BW690" s="34"/>
      <c r="BX690" s="34"/>
      <c r="BY690" s="30"/>
      <c r="BZ690" s="31">
        <f t="shared" si="145"/>
        <v>0</v>
      </c>
      <c r="CA690" s="31">
        <f t="shared" si="149"/>
        <v>0</v>
      </c>
    </row>
    <row r="691" spans="1:79" ht="78.75" x14ac:dyDescent="0.25">
      <c r="A691" s="17"/>
      <c r="B691" s="2">
        <v>678</v>
      </c>
      <c r="C691" s="48">
        <v>402</v>
      </c>
      <c r="D691" s="48">
        <v>639</v>
      </c>
      <c r="E691" s="49">
        <v>0.64930555555555558</v>
      </c>
      <c r="F691" s="50">
        <v>0.70347222222222217</v>
      </c>
      <c r="G691" s="51" t="s">
        <v>1453</v>
      </c>
      <c r="H691" s="18" t="s">
        <v>273</v>
      </c>
      <c r="I691" s="48">
        <v>38.5</v>
      </c>
      <c r="J691" s="52">
        <v>50</v>
      </c>
      <c r="K691" s="22">
        <v>174</v>
      </c>
      <c r="L691" s="23">
        <f t="shared" si="150"/>
        <v>6699</v>
      </c>
      <c r="M691" s="24" t="s">
        <v>1257</v>
      </c>
      <c r="N691" s="25" t="s">
        <v>1258</v>
      </c>
      <c r="O691" s="25">
        <v>57</v>
      </c>
      <c r="P691" s="25" t="s">
        <v>1445</v>
      </c>
      <c r="Q691" s="25">
        <v>57</v>
      </c>
      <c r="R691" s="25" t="s">
        <v>1260</v>
      </c>
      <c r="S691" s="35">
        <v>33</v>
      </c>
      <c r="T691" s="26">
        <v>1</v>
      </c>
      <c r="U691" s="26" t="s">
        <v>179</v>
      </c>
      <c r="V691" s="26">
        <v>4070</v>
      </c>
      <c r="W691" s="26" t="s">
        <v>677</v>
      </c>
      <c r="X691" s="66">
        <v>44816</v>
      </c>
      <c r="Y691" s="66">
        <v>45086</v>
      </c>
      <c r="Z691" s="66"/>
      <c r="AA691" s="66"/>
      <c r="AB691" s="26" t="s">
        <v>282</v>
      </c>
      <c r="AC691" s="26"/>
      <c r="AD691" s="28"/>
      <c r="AE691" s="28"/>
      <c r="AF691" s="28"/>
      <c r="AG691" s="28" t="s">
        <v>90</v>
      </c>
      <c r="AH691" s="28" t="s">
        <v>90</v>
      </c>
      <c r="AI691" s="28" t="s">
        <v>90</v>
      </c>
      <c r="AJ691" s="28" t="s">
        <v>90</v>
      </c>
      <c r="AK691" s="28" t="s">
        <v>90</v>
      </c>
      <c r="AL691" s="28" t="s">
        <v>90</v>
      </c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53">
        <v>10.5</v>
      </c>
      <c r="AY691" s="53">
        <f>(1.9*35)</f>
        <v>66.5</v>
      </c>
      <c r="AZ691" s="30"/>
      <c r="BA691" s="42"/>
      <c r="BB691" s="42"/>
      <c r="BC691" s="30"/>
      <c r="BD691" s="31">
        <f t="shared" si="142"/>
        <v>1827</v>
      </c>
      <c r="BE691" s="31">
        <f>AY691*K691</f>
        <v>11571</v>
      </c>
      <c r="BF691" s="30"/>
      <c r="BG691" s="32">
        <v>2</v>
      </c>
      <c r="BH691" s="53"/>
      <c r="BI691" s="53"/>
      <c r="BJ691" s="53"/>
      <c r="BK691" s="31">
        <f>IF(AND((AY691/I691)&lt;2,BG691=1),(I691*2)-AY691,0)</f>
        <v>0</v>
      </c>
      <c r="BL691" s="31">
        <f>IF(AND((AY691/I691)&lt;3,BG691=2),(I691*3)-(AY691+AX691),0)</f>
        <v>38.5</v>
      </c>
      <c r="BM691" s="33">
        <f>(BK691+BL691)*K691</f>
        <v>6699</v>
      </c>
      <c r="BN691" s="30"/>
      <c r="BO691" s="33">
        <f t="shared" si="143"/>
        <v>0</v>
      </c>
      <c r="BP691" s="30">
        <v>15</v>
      </c>
      <c r="BQ691" s="30">
        <v>20</v>
      </c>
      <c r="BR691" s="30"/>
      <c r="BS691" s="30"/>
      <c r="BT691" s="34">
        <f t="shared" si="144"/>
        <v>115.5</v>
      </c>
      <c r="BU691" s="34"/>
      <c r="BV691" s="34"/>
      <c r="BW691" s="34"/>
      <c r="BX691" s="34"/>
      <c r="BY691" s="30"/>
      <c r="BZ691" s="31">
        <f t="shared" si="145"/>
        <v>1732.5</v>
      </c>
      <c r="CA691" s="31">
        <f t="shared" si="149"/>
        <v>2310</v>
      </c>
    </row>
    <row r="692" spans="1:79" ht="34.5" x14ac:dyDescent="0.25">
      <c r="A692" s="17"/>
      <c r="B692" s="2">
        <v>679</v>
      </c>
      <c r="C692" s="48">
        <v>403</v>
      </c>
      <c r="D692" s="48">
        <v>517</v>
      </c>
      <c r="E692" s="49">
        <v>0.74652777777777779</v>
      </c>
      <c r="F692" s="49">
        <v>0.78194444444444444</v>
      </c>
      <c r="G692" s="51" t="s">
        <v>1452</v>
      </c>
      <c r="H692" s="18" t="s">
        <v>290</v>
      </c>
      <c r="I692" s="48">
        <v>25</v>
      </c>
      <c r="J692" s="52">
        <v>30</v>
      </c>
      <c r="K692" s="22">
        <v>13</v>
      </c>
      <c r="L692" s="23">
        <f t="shared" si="150"/>
        <v>325</v>
      </c>
      <c r="M692" s="24" t="s">
        <v>557</v>
      </c>
      <c r="N692" s="25" t="s">
        <v>1450</v>
      </c>
      <c r="O692" s="25">
        <v>30</v>
      </c>
      <c r="P692" s="25" t="s">
        <v>1451</v>
      </c>
      <c r="Q692" s="25">
        <v>36</v>
      </c>
      <c r="R692" s="17"/>
      <c r="S692" s="25"/>
      <c r="T692" s="26" t="s">
        <v>690</v>
      </c>
      <c r="U692" s="26" t="s">
        <v>691</v>
      </c>
      <c r="V692" s="26">
        <v>1</v>
      </c>
      <c r="W692" s="26" t="s">
        <v>300</v>
      </c>
      <c r="X692" s="27">
        <v>44562</v>
      </c>
      <c r="Y692" s="27">
        <v>44815</v>
      </c>
      <c r="Z692" s="27">
        <v>45101</v>
      </c>
      <c r="AA692" s="27">
        <v>45169</v>
      </c>
      <c r="AB692" s="62" t="s">
        <v>291</v>
      </c>
      <c r="AC692" s="62"/>
      <c r="AD692" s="28"/>
      <c r="AE692" s="28" t="s">
        <v>90</v>
      </c>
      <c r="AF692" s="28"/>
      <c r="AG692" s="28"/>
      <c r="AH692" s="28"/>
      <c r="AI692" s="28"/>
      <c r="AJ692" s="28"/>
      <c r="AK692" s="28"/>
      <c r="AL692" s="28"/>
      <c r="AM692" s="28"/>
      <c r="AN692" s="28" t="s">
        <v>90</v>
      </c>
      <c r="AO692" s="28"/>
      <c r="AP692" s="28"/>
      <c r="AQ692" s="28"/>
      <c r="AR692" s="28"/>
      <c r="AS692" s="28"/>
      <c r="AT692" s="28"/>
      <c r="AU692" s="28"/>
      <c r="AV692" s="28"/>
      <c r="AW692" s="28"/>
      <c r="AX692" s="31"/>
      <c r="AY692" s="31"/>
      <c r="AZ692" s="30"/>
      <c r="BA692" s="55" t="s">
        <v>557</v>
      </c>
      <c r="BB692" s="55"/>
      <c r="BC692" s="30"/>
      <c r="BD692" s="31">
        <f t="shared" si="142"/>
        <v>0</v>
      </c>
      <c r="BE692" s="30"/>
      <c r="BF692" s="30"/>
      <c r="BG692" s="36">
        <v>1</v>
      </c>
      <c r="BH692" s="30"/>
      <c r="BI692" s="31"/>
      <c r="BJ692" s="30"/>
      <c r="BK692" s="30"/>
      <c r="BL692" s="30"/>
      <c r="BM692" s="30"/>
      <c r="BN692" s="30"/>
      <c r="BO692" s="33">
        <f t="shared" si="143"/>
        <v>0</v>
      </c>
      <c r="BP692" s="30">
        <v>2</v>
      </c>
      <c r="BQ692" s="30">
        <v>0</v>
      </c>
      <c r="BR692" s="30"/>
      <c r="BS692" s="30"/>
      <c r="BT692" s="34">
        <f t="shared" si="144"/>
        <v>0</v>
      </c>
      <c r="BU692" s="34"/>
      <c r="BV692" s="34"/>
      <c r="BW692" s="34"/>
      <c r="BX692" s="34"/>
      <c r="BY692" s="30"/>
      <c r="BZ692" s="31">
        <f t="shared" si="145"/>
        <v>0</v>
      </c>
      <c r="CA692" s="31">
        <f t="shared" si="149"/>
        <v>0</v>
      </c>
    </row>
    <row r="693" spans="1:79" ht="51" x14ac:dyDescent="0.25">
      <c r="A693" s="17"/>
      <c r="B693" s="2">
        <v>680</v>
      </c>
      <c r="C693" s="18">
        <v>403</v>
      </c>
      <c r="D693" s="18">
        <v>410</v>
      </c>
      <c r="E693" s="19">
        <v>0.77430555555555547</v>
      </c>
      <c r="F693" s="19">
        <v>0.81111111111111101</v>
      </c>
      <c r="G693" s="18" t="s">
        <v>1454</v>
      </c>
      <c r="H693" s="18" t="s">
        <v>290</v>
      </c>
      <c r="I693" s="20">
        <v>25</v>
      </c>
      <c r="J693" s="21" t="s">
        <v>285</v>
      </c>
      <c r="K693" s="22">
        <v>13</v>
      </c>
      <c r="L693" s="23">
        <f t="shared" si="150"/>
        <v>325</v>
      </c>
      <c r="M693" s="24" t="s">
        <v>794</v>
      </c>
      <c r="N693" s="25" t="s">
        <v>795</v>
      </c>
      <c r="O693" s="25">
        <v>42</v>
      </c>
      <c r="P693" s="25" t="s">
        <v>496</v>
      </c>
      <c r="Q693" s="25">
        <v>45</v>
      </c>
      <c r="R693" s="25" t="s">
        <v>295</v>
      </c>
      <c r="S693" s="35">
        <v>48</v>
      </c>
      <c r="T693" s="26">
        <v>1</v>
      </c>
      <c r="U693" s="26" t="s">
        <v>179</v>
      </c>
      <c r="V693" s="26" t="s">
        <v>690</v>
      </c>
      <c r="W693" s="26" t="s">
        <v>691</v>
      </c>
      <c r="X693" s="27">
        <v>44562</v>
      </c>
      <c r="Y693" s="27">
        <v>44815</v>
      </c>
      <c r="Z693" s="27">
        <v>45101</v>
      </c>
      <c r="AA693" s="27">
        <v>45169</v>
      </c>
      <c r="AB693" s="62" t="s">
        <v>291</v>
      </c>
      <c r="AC693" s="62"/>
      <c r="AD693" s="28"/>
      <c r="AE693" s="28" t="s">
        <v>90</v>
      </c>
      <c r="AF693" s="28"/>
      <c r="AG693" s="28"/>
      <c r="AH693" s="28"/>
      <c r="AI693" s="28"/>
      <c r="AJ693" s="28"/>
      <c r="AK693" s="28"/>
      <c r="AL693" s="28"/>
      <c r="AM693" s="28"/>
      <c r="AN693" s="28" t="s">
        <v>90</v>
      </c>
      <c r="AO693" s="28"/>
      <c r="AP693" s="28"/>
      <c r="AQ693" s="28"/>
      <c r="AR693" s="28"/>
      <c r="AS693" s="28"/>
      <c r="AT693" s="28"/>
      <c r="AU693" s="28"/>
      <c r="AV693" s="28"/>
      <c r="AW693" s="28"/>
      <c r="AX693" s="29">
        <v>75</v>
      </c>
      <c r="AY693" s="31"/>
      <c r="AZ693" s="30"/>
      <c r="BA693" s="29"/>
      <c r="BB693" s="29"/>
      <c r="BC693" s="30"/>
      <c r="BD693" s="31">
        <f t="shared" ref="BD693:BD721" si="154">AX693*K693</f>
        <v>975</v>
      </c>
      <c r="BE693" s="31"/>
      <c r="BF693" s="30"/>
      <c r="BG693" s="32">
        <v>2</v>
      </c>
      <c r="BH693" s="31">
        <f>IF(AND((AX693/I693)&lt;2,BG693=1),(I693*2)-AX693,0)</f>
        <v>0</v>
      </c>
      <c r="BI693" s="31">
        <f>IF(AND((AX693/I693)&lt;3,BG693=2),(I693*3)-AX693,0)</f>
        <v>0</v>
      </c>
      <c r="BJ693" s="33">
        <f>(BH693+BI693)*K693</f>
        <v>0</v>
      </c>
      <c r="BK693" s="30"/>
      <c r="BL693" s="30"/>
      <c r="BM693" s="30"/>
      <c r="BN693" s="30"/>
      <c r="BO693" s="33">
        <f t="shared" si="143"/>
        <v>0</v>
      </c>
      <c r="BP693" s="30">
        <v>2</v>
      </c>
      <c r="BQ693" s="30">
        <v>0</v>
      </c>
      <c r="BR693" s="30"/>
      <c r="BS693" s="30"/>
      <c r="BT693" s="34">
        <f t="shared" si="144"/>
        <v>75</v>
      </c>
      <c r="BU693" s="34"/>
      <c r="BV693" s="34"/>
      <c r="BW693" s="34"/>
      <c r="BX693" s="34"/>
      <c r="BY693" s="30"/>
      <c r="BZ693" s="31">
        <f t="shared" si="145"/>
        <v>150</v>
      </c>
      <c r="CA693" s="31">
        <f t="shared" si="149"/>
        <v>0</v>
      </c>
    </row>
    <row r="694" spans="1:79" ht="51" x14ac:dyDescent="0.25">
      <c r="A694" s="17"/>
      <c r="B694" s="2">
        <v>681</v>
      </c>
      <c r="C694" s="18">
        <v>404</v>
      </c>
      <c r="D694" s="18">
        <v>633</v>
      </c>
      <c r="E694" s="19">
        <v>0.28125</v>
      </c>
      <c r="F694" s="19">
        <v>0.28888888888888892</v>
      </c>
      <c r="G694" s="18" t="s">
        <v>1455</v>
      </c>
      <c r="H694" s="18" t="s">
        <v>306</v>
      </c>
      <c r="I694" s="20">
        <v>3.5</v>
      </c>
      <c r="J694" s="21" t="s">
        <v>1456</v>
      </c>
      <c r="K694" s="22">
        <v>208</v>
      </c>
      <c r="L694" s="23">
        <f t="shared" si="150"/>
        <v>728</v>
      </c>
      <c r="M694" s="24" t="s">
        <v>557</v>
      </c>
      <c r="N694" s="25" t="s">
        <v>1457</v>
      </c>
      <c r="O694" s="25">
        <v>9</v>
      </c>
      <c r="P694" s="25" t="s">
        <v>1458</v>
      </c>
      <c r="Q694" s="25">
        <v>5</v>
      </c>
      <c r="R694" s="25" t="s">
        <v>1459</v>
      </c>
      <c r="S694" s="25">
        <v>9</v>
      </c>
      <c r="T694" s="26">
        <v>4037</v>
      </c>
      <c r="U694" s="26" t="s">
        <v>1460</v>
      </c>
      <c r="V694" s="26" t="s">
        <v>690</v>
      </c>
      <c r="W694" s="26" t="s">
        <v>691</v>
      </c>
      <c r="X694" s="66">
        <v>44816</v>
      </c>
      <c r="Y694" s="66">
        <v>45086</v>
      </c>
      <c r="Z694" s="66"/>
      <c r="AA694" s="66"/>
      <c r="AB694" s="26" t="s">
        <v>309</v>
      </c>
      <c r="AC694" s="26"/>
      <c r="AD694" s="28"/>
      <c r="AE694" s="28"/>
      <c r="AF694" s="28"/>
      <c r="AG694" s="28" t="s">
        <v>90</v>
      </c>
      <c r="AH694" s="28" t="s">
        <v>90</v>
      </c>
      <c r="AI694" s="28" t="s">
        <v>90</v>
      </c>
      <c r="AJ694" s="28" t="s">
        <v>90</v>
      </c>
      <c r="AK694" s="28" t="s">
        <v>90</v>
      </c>
      <c r="AL694" s="28" t="s">
        <v>90</v>
      </c>
      <c r="AM694" s="28" t="s">
        <v>90</v>
      </c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9">
        <v>10</v>
      </c>
      <c r="AY694" s="31"/>
      <c r="AZ694" s="30"/>
      <c r="BA694" s="29"/>
      <c r="BB694" s="29"/>
      <c r="BC694" s="55">
        <v>6</v>
      </c>
      <c r="BD694" s="31">
        <f t="shared" si="154"/>
        <v>2080</v>
      </c>
      <c r="BE694" s="31"/>
      <c r="BF694" s="30"/>
      <c r="BG694" s="36">
        <v>1</v>
      </c>
      <c r="BH694" s="31">
        <f>IF(AND((AX694/I694)&lt;2,BG694=1),(I694*2)-AX694,0)</f>
        <v>0</v>
      </c>
      <c r="BI694" s="31">
        <f>IF(AND((AX694/I694)&lt;3,BG694=2),(I694*3)-AX694,0)</f>
        <v>0</v>
      </c>
      <c r="BJ694" s="33">
        <f>(BH694+BI694)*K694</f>
        <v>0</v>
      </c>
      <c r="BK694" s="30"/>
      <c r="BL694" s="30"/>
      <c r="BM694" s="30"/>
      <c r="BN694" s="31">
        <f>IF((AX694+AY694+AZ694)&lt;20,(20-(AX694+AY694+AZ694)),0)</f>
        <v>10</v>
      </c>
      <c r="BO694" s="33">
        <f t="shared" ref="BO694:BO757" si="155">BN694*K694</f>
        <v>2080</v>
      </c>
      <c r="BP694" s="30">
        <v>17</v>
      </c>
      <c r="BQ694" s="30">
        <v>25</v>
      </c>
      <c r="BR694" s="30"/>
      <c r="BS694" s="30"/>
      <c r="BT694" s="34">
        <f t="shared" ref="BT694:BT757" si="156">SUM(AX694:AZ694)+SUM(BH694:BI694)+SUM(BK694:BL694)+BN694</f>
        <v>20</v>
      </c>
      <c r="BU694" s="34"/>
      <c r="BV694" s="34"/>
      <c r="BW694" s="34"/>
      <c r="BX694" s="34"/>
      <c r="BY694" s="30"/>
      <c r="BZ694" s="31">
        <f t="shared" ref="BZ694:BZ757" si="157">(BT694*BP694)+(BV694*BX694)</f>
        <v>340</v>
      </c>
      <c r="CA694" s="31">
        <f t="shared" si="149"/>
        <v>500</v>
      </c>
    </row>
    <row r="695" spans="1:79" ht="51" x14ac:dyDescent="0.25">
      <c r="A695" s="17"/>
      <c r="B695" s="2">
        <v>682</v>
      </c>
      <c r="C695" s="18">
        <v>404</v>
      </c>
      <c r="D695" s="18">
        <v>638</v>
      </c>
      <c r="E695" s="19">
        <v>0.54861111111111105</v>
      </c>
      <c r="F695" s="19">
        <v>0.55625000000000002</v>
      </c>
      <c r="G695" s="18" t="s">
        <v>1461</v>
      </c>
      <c r="H695" s="18" t="s">
        <v>1462</v>
      </c>
      <c r="I695" s="20">
        <v>3.5</v>
      </c>
      <c r="J695" s="21" t="s">
        <v>380</v>
      </c>
      <c r="K695" s="22">
        <v>34</v>
      </c>
      <c r="L695" s="23">
        <f t="shared" si="150"/>
        <v>119</v>
      </c>
      <c r="M695" s="24" t="s">
        <v>557</v>
      </c>
      <c r="N695" s="25" t="s">
        <v>1457</v>
      </c>
      <c r="O695" s="25">
        <v>9</v>
      </c>
      <c r="P695" s="25" t="s">
        <v>1459</v>
      </c>
      <c r="Q695" s="25">
        <v>9</v>
      </c>
      <c r="R695" s="25" t="s">
        <v>1458</v>
      </c>
      <c r="S695" s="25">
        <v>5</v>
      </c>
      <c r="T695" s="26" t="s">
        <v>690</v>
      </c>
      <c r="U695" s="26" t="s">
        <v>691</v>
      </c>
      <c r="V695" s="26">
        <v>4037</v>
      </c>
      <c r="W695" s="26" t="s">
        <v>1460</v>
      </c>
      <c r="X695" s="66">
        <v>44816</v>
      </c>
      <c r="Y695" s="66">
        <v>45086</v>
      </c>
      <c r="Z695" s="66"/>
      <c r="AA695" s="66"/>
      <c r="AB695" s="26" t="s">
        <v>382</v>
      </c>
      <c r="AC695" s="26"/>
      <c r="AD695" s="28"/>
      <c r="AE695" s="28"/>
      <c r="AF695" s="28"/>
      <c r="AG695" s="28" t="s">
        <v>90</v>
      </c>
      <c r="AH695" s="28"/>
      <c r="AI695" s="28"/>
      <c r="AJ695" s="28"/>
      <c r="AK695" s="28"/>
      <c r="AL695" s="28"/>
      <c r="AM695" s="28" t="s">
        <v>90</v>
      </c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9">
        <v>6.3</v>
      </c>
      <c r="AY695" s="31"/>
      <c r="AZ695" s="30"/>
      <c r="BA695" s="29"/>
      <c r="BB695" s="29"/>
      <c r="BC695" s="55">
        <v>7</v>
      </c>
      <c r="BD695" s="31">
        <f t="shared" si="154"/>
        <v>214.2</v>
      </c>
      <c r="BE695" s="31"/>
      <c r="BF695" s="30"/>
      <c r="BG695" s="36">
        <v>1</v>
      </c>
      <c r="BH695" s="53"/>
      <c r="BI695" s="53"/>
      <c r="BJ695" s="53"/>
      <c r="BK695" s="30"/>
      <c r="BL695" s="30"/>
      <c r="BM695" s="30"/>
      <c r="BN695" s="30"/>
      <c r="BO695" s="33">
        <f t="shared" si="155"/>
        <v>0</v>
      </c>
      <c r="BP695" s="30">
        <v>2</v>
      </c>
      <c r="BQ695" s="30">
        <v>5</v>
      </c>
      <c r="BR695" s="30"/>
      <c r="BS695" s="30"/>
      <c r="BT695" s="34">
        <f t="shared" si="156"/>
        <v>6.3</v>
      </c>
      <c r="BU695" s="34"/>
      <c r="BV695" s="34"/>
      <c r="BW695" s="34"/>
      <c r="BX695" s="34"/>
      <c r="BY695" s="30"/>
      <c r="BZ695" s="31">
        <f t="shared" si="157"/>
        <v>12.6</v>
      </c>
      <c r="CA695" s="31">
        <f t="shared" si="149"/>
        <v>31.5</v>
      </c>
    </row>
    <row r="696" spans="1:79" ht="51" x14ac:dyDescent="0.25">
      <c r="A696" s="17"/>
      <c r="B696" s="2">
        <v>683</v>
      </c>
      <c r="C696" s="18">
        <v>404</v>
      </c>
      <c r="D696" s="18">
        <v>635</v>
      </c>
      <c r="E696" s="19">
        <v>0.55972222222222223</v>
      </c>
      <c r="F696" s="59">
        <v>0.56736111111111109</v>
      </c>
      <c r="G696" s="18" t="s">
        <v>1455</v>
      </c>
      <c r="H696" s="18" t="s">
        <v>1462</v>
      </c>
      <c r="I696" s="20">
        <v>4.5</v>
      </c>
      <c r="J696" s="21" t="s">
        <v>380</v>
      </c>
      <c r="K696" s="22">
        <v>34</v>
      </c>
      <c r="L696" s="23">
        <f t="shared" si="150"/>
        <v>153</v>
      </c>
      <c r="M696" s="24" t="s">
        <v>557</v>
      </c>
      <c r="N696" s="25" t="s">
        <v>1457</v>
      </c>
      <c r="O696" s="25">
        <v>9</v>
      </c>
      <c r="P696" s="25" t="s">
        <v>1459</v>
      </c>
      <c r="Q696" s="25">
        <v>9</v>
      </c>
      <c r="R696" s="25" t="s">
        <v>1458</v>
      </c>
      <c r="S696" s="25">
        <v>5</v>
      </c>
      <c r="T696" s="26">
        <v>4037</v>
      </c>
      <c r="U696" s="26" t="s">
        <v>1460</v>
      </c>
      <c r="V696" s="26" t="s">
        <v>690</v>
      </c>
      <c r="W696" s="26" t="s">
        <v>691</v>
      </c>
      <c r="X696" s="66">
        <v>44816</v>
      </c>
      <c r="Y696" s="66">
        <v>45086</v>
      </c>
      <c r="Z696" s="66"/>
      <c r="AA696" s="66"/>
      <c r="AB696" s="26" t="s">
        <v>382</v>
      </c>
      <c r="AC696" s="26"/>
      <c r="AD696" s="28"/>
      <c r="AE696" s="28"/>
      <c r="AF696" s="28"/>
      <c r="AG696" s="28" t="s">
        <v>90</v>
      </c>
      <c r="AH696" s="28"/>
      <c r="AI696" s="28"/>
      <c r="AJ696" s="28"/>
      <c r="AK696" s="28"/>
      <c r="AL696" s="28"/>
      <c r="AM696" s="28" t="s">
        <v>90</v>
      </c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9">
        <v>6.3</v>
      </c>
      <c r="AY696" s="31"/>
      <c r="AZ696" s="30"/>
      <c r="BA696" s="29"/>
      <c r="BB696" s="29"/>
      <c r="BC696" s="55">
        <v>8</v>
      </c>
      <c r="BD696" s="31">
        <f t="shared" si="154"/>
        <v>214.2</v>
      </c>
      <c r="BE696" s="31"/>
      <c r="BF696" s="30"/>
      <c r="BG696" s="36">
        <v>1</v>
      </c>
      <c r="BH696" s="53"/>
      <c r="BI696" s="53"/>
      <c r="BJ696" s="53"/>
      <c r="BK696" s="30"/>
      <c r="BL696" s="30"/>
      <c r="BM696" s="30"/>
      <c r="BN696" s="30"/>
      <c r="BO696" s="33">
        <f t="shared" si="155"/>
        <v>0</v>
      </c>
      <c r="BP696" s="30">
        <v>2</v>
      </c>
      <c r="BQ696" s="30">
        <v>5</v>
      </c>
      <c r="BR696" s="30"/>
      <c r="BS696" s="30"/>
      <c r="BT696" s="34">
        <f t="shared" si="156"/>
        <v>6.3</v>
      </c>
      <c r="BU696" s="34"/>
      <c r="BV696" s="34"/>
      <c r="BW696" s="34"/>
      <c r="BX696" s="34"/>
      <c r="BY696" s="30"/>
      <c r="BZ696" s="31">
        <f t="shared" si="157"/>
        <v>12.6</v>
      </c>
      <c r="CA696" s="31">
        <f t="shared" si="149"/>
        <v>31.5</v>
      </c>
    </row>
    <row r="697" spans="1:79" ht="51" x14ac:dyDescent="0.25">
      <c r="A697" s="17"/>
      <c r="B697" s="2">
        <v>684</v>
      </c>
      <c r="C697" s="18">
        <v>404</v>
      </c>
      <c r="D697" s="18">
        <v>640</v>
      </c>
      <c r="E697" s="19">
        <v>0.58680555555555558</v>
      </c>
      <c r="F697" s="19">
        <v>0.59444444444444444</v>
      </c>
      <c r="G697" s="18" t="s">
        <v>1461</v>
      </c>
      <c r="H697" s="18" t="s">
        <v>273</v>
      </c>
      <c r="I697" s="20">
        <v>3.5</v>
      </c>
      <c r="J697" s="21" t="s">
        <v>380</v>
      </c>
      <c r="K697" s="22">
        <v>174</v>
      </c>
      <c r="L697" s="23">
        <f t="shared" si="150"/>
        <v>609</v>
      </c>
      <c r="M697" s="24" t="s">
        <v>557</v>
      </c>
      <c r="N697" s="25" t="s">
        <v>1457</v>
      </c>
      <c r="O697" s="25">
        <v>9</v>
      </c>
      <c r="P697" s="25" t="s">
        <v>1459</v>
      </c>
      <c r="Q697" s="25">
        <v>9</v>
      </c>
      <c r="R697" s="25" t="s">
        <v>1458</v>
      </c>
      <c r="S697" s="25">
        <v>5</v>
      </c>
      <c r="T697" s="26" t="s">
        <v>690</v>
      </c>
      <c r="U697" s="26" t="s">
        <v>691</v>
      </c>
      <c r="V697" s="26">
        <v>4037</v>
      </c>
      <c r="W697" s="26" t="s">
        <v>1460</v>
      </c>
      <c r="X697" s="66">
        <v>44816</v>
      </c>
      <c r="Y697" s="66">
        <v>45086</v>
      </c>
      <c r="Z697" s="66"/>
      <c r="AA697" s="66"/>
      <c r="AB697" s="26" t="s">
        <v>282</v>
      </c>
      <c r="AC697" s="26"/>
      <c r="AD697" s="28"/>
      <c r="AE697" s="28"/>
      <c r="AF697" s="28"/>
      <c r="AG697" s="28" t="s">
        <v>90</v>
      </c>
      <c r="AH697" s="28" t="s">
        <v>90</v>
      </c>
      <c r="AI697" s="28" t="s">
        <v>90</v>
      </c>
      <c r="AJ697" s="28" t="s">
        <v>90</v>
      </c>
      <c r="AK697" s="28" t="s">
        <v>90</v>
      </c>
      <c r="AL697" s="28" t="s">
        <v>90</v>
      </c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9">
        <v>6.3</v>
      </c>
      <c r="AY697" s="31"/>
      <c r="AZ697" s="30"/>
      <c r="BA697" s="29"/>
      <c r="BB697" s="29"/>
      <c r="BC697" s="55">
        <v>9</v>
      </c>
      <c r="BD697" s="31">
        <f t="shared" si="154"/>
        <v>1096.2</v>
      </c>
      <c r="BE697" s="31"/>
      <c r="BF697" s="30"/>
      <c r="BG697" s="36">
        <v>1</v>
      </c>
      <c r="BH697" s="53"/>
      <c r="BI697" s="53"/>
      <c r="BJ697" s="53"/>
      <c r="BK697" s="30"/>
      <c r="BL697" s="30"/>
      <c r="BM697" s="30"/>
      <c r="BN697" s="30"/>
      <c r="BO697" s="33">
        <f t="shared" si="155"/>
        <v>0</v>
      </c>
      <c r="BP697" s="30">
        <v>15</v>
      </c>
      <c r="BQ697" s="30">
        <v>20</v>
      </c>
      <c r="BR697" s="30"/>
      <c r="BS697" s="30"/>
      <c r="BT697" s="34">
        <f t="shared" si="156"/>
        <v>6.3</v>
      </c>
      <c r="BU697" s="34"/>
      <c r="BV697" s="34"/>
      <c r="BW697" s="34"/>
      <c r="BX697" s="34"/>
      <c r="BY697" s="30"/>
      <c r="BZ697" s="31">
        <f t="shared" si="157"/>
        <v>94.5</v>
      </c>
      <c r="CA697" s="31">
        <f t="shared" si="149"/>
        <v>126</v>
      </c>
    </row>
    <row r="698" spans="1:79" ht="51" x14ac:dyDescent="0.25">
      <c r="A698" s="17"/>
      <c r="B698" s="2">
        <v>685</v>
      </c>
      <c r="C698" s="18">
        <v>404</v>
      </c>
      <c r="D698" s="18">
        <v>637</v>
      </c>
      <c r="E698" s="19">
        <v>0.59444444444444444</v>
      </c>
      <c r="F698" s="19">
        <v>0.6020833333333333</v>
      </c>
      <c r="G698" s="18" t="s">
        <v>1455</v>
      </c>
      <c r="H698" s="18" t="s">
        <v>273</v>
      </c>
      <c r="I698" s="20">
        <v>3.5</v>
      </c>
      <c r="J698" s="21" t="s">
        <v>380</v>
      </c>
      <c r="K698" s="22">
        <v>174</v>
      </c>
      <c r="L698" s="23">
        <f t="shared" si="150"/>
        <v>609</v>
      </c>
      <c r="M698" s="24" t="s">
        <v>557</v>
      </c>
      <c r="N698" s="25" t="s">
        <v>1457</v>
      </c>
      <c r="O698" s="25">
        <v>9</v>
      </c>
      <c r="P698" s="25" t="s">
        <v>1459</v>
      </c>
      <c r="Q698" s="25">
        <v>9</v>
      </c>
      <c r="R698" s="25" t="s">
        <v>1458</v>
      </c>
      <c r="S698" s="25">
        <v>5</v>
      </c>
      <c r="T698" s="26">
        <v>4037</v>
      </c>
      <c r="U698" s="26" t="s">
        <v>1460</v>
      </c>
      <c r="V698" s="26" t="s">
        <v>690</v>
      </c>
      <c r="W698" s="26" t="s">
        <v>691</v>
      </c>
      <c r="X698" s="66">
        <v>44816</v>
      </c>
      <c r="Y698" s="66">
        <v>45086</v>
      </c>
      <c r="Z698" s="66"/>
      <c r="AA698" s="66"/>
      <c r="AB698" s="26" t="s">
        <v>282</v>
      </c>
      <c r="AC698" s="26"/>
      <c r="AD698" s="28"/>
      <c r="AE698" s="28"/>
      <c r="AF698" s="28"/>
      <c r="AG698" s="28" t="s">
        <v>90</v>
      </c>
      <c r="AH698" s="28" t="s">
        <v>90</v>
      </c>
      <c r="AI698" s="28" t="s">
        <v>90</v>
      </c>
      <c r="AJ698" s="28" t="s">
        <v>90</v>
      </c>
      <c r="AK698" s="28" t="s">
        <v>90</v>
      </c>
      <c r="AL698" s="28" t="s">
        <v>90</v>
      </c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9">
        <v>6.3</v>
      </c>
      <c r="AY698" s="31"/>
      <c r="AZ698" s="30"/>
      <c r="BA698" s="29"/>
      <c r="BB698" s="29"/>
      <c r="BC698" s="55">
        <v>10</v>
      </c>
      <c r="BD698" s="31">
        <f t="shared" si="154"/>
        <v>1096.2</v>
      </c>
      <c r="BE698" s="31"/>
      <c r="BF698" s="30"/>
      <c r="BG698" s="36">
        <v>1</v>
      </c>
      <c r="BH698" s="53"/>
      <c r="BI698" s="53"/>
      <c r="BJ698" s="53"/>
      <c r="BK698" s="30"/>
      <c r="BL698" s="30"/>
      <c r="BM698" s="30"/>
      <c r="BN698" s="30"/>
      <c r="BO698" s="33">
        <f t="shared" si="155"/>
        <v>0</v>
      </c>
      <c r="BP698" s="30">
        <v>15</v>
      </c>
      <c r="BQ698" s="30">
        <v>20</v>
      </c>
      <c r="BR698" s="30"/>
      <c r="BS698" s="30"/>
      <c r="BT698" s="34">
        <f t="shared" si="156"/>
        <v>6.3</v>
      </c>
      <c r="BU698" s="34"/>
      <c r="BV698" s="34"/>
      <c r="BW698" s="34"/>
      <c r="BX698" s="34"/>
      <c r="BY698" s="30"/>
      <c r="BZ698" s="31">
        <f t="shared" si="157"/>
        <v>94.5</v>
      </c>
      <c r="CA698" s="31">
        <f t="shared" si="149"/>
        <v>126</v>
      </c>
    </row>
    <row r="699" spans="1:79" ht="34.5" x14ac:dyDescent="0.25">
      <c r="A699" s="17"/>
      <c r="B699" s="2">
        <v>686</v>
      </c>
      <c r="C699" s="48">
        <v>406</v>
      </c>
      <c r="D699" s="48">
        <v>27</v>
      </c>
      <c r="E699" s="49">
        <v>0.29166666666666669</v>
      </c>
      <c r="F699" s="49">
        <v>0.32291666666666669</v>
      </c>
      <c r="G699" s="51" t="s">
        <v>181</v>
      </c>
      <c r="H699" s="18" t="s">
        <v>92</v>
      </c>
      <c r="I699" s="48">
        <v>19</v>
      </c>
      <c r="J699" s="52">
        <v>19</v>
      </c>
      <c r="K699" s="22">
        <v>12</v>
      </c>
      <c r="L699" s="23">
        <f t="shared" si="150"/>
        <v>228</v>
      </c>
      <c r="M699" s="24" t="s">
        <v>182</v>
      </c>
      <c r="N699" s="25" t="s">
        <v>183</v>
      </c>
      <c r="O699" s="25">
        <v>22</v>
      </c>
      <c r="P699" s="25" t="s">
        <v>184</v>
      </c>
      <c r="Q699" s="25">
        <v>34</v>
      </c>
      <c r="R699" s="25"/>
      <c r="S699" s="25"/>
      <c r="T699" s="26">
        <v>4497</v>
      </c>
      <c r="U699" s="26" t="s">
        <v>185</v>
      </c>
      <c r="V699" s="26">
        <v>4400</v>
      </c>
      <c r="W699" s="26" t="s">
        <v>186</v>
      </c>
      <c r="X699" s="27">
        <v>44562</v>
      </c>
      <c r="Y699" s="27">
        <v>44815</v>
      </c>
      <c r="Z699" s="27">
        <v>45101</v>
      </c>
      <c r="AA699" s="27">
        <v>45169</v>
      </c>
      <c r="AB699" s="26" t="s">
        <v>101</v>
      </c>
      <c r="AC699" s="26"/>
      <c r="AD699" s="28"/>
      <c r="AE699" s="28" t="s">
        <v>90</v>
      </c>
      <c r="AF699" s="28" t="s">
        <v>90</v>
      </c>
      <c r="AG699" s="28"/>
      <c r="AH699" s="28"/>
      <c r="AI699" s="28"/>
      <c r="AJ699" s="28"/>
      <c r="AK699" s="28"/>
      <c r="AL699" s="28"/>
      <c r="AM699" s="28" t="s">
        <v>90</v>
      </c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31"/>
      <c r="AY699" s="31"/>
      <c r="AZ699" s="30"/>
      <c r="BA699" s="55" t="s">
        <v>187</v>
      </c>
      <c r="BB699" s="55"/>
      <c r="BC699" s="30"/>
      <c r="BD699" s="31">
        <f t="shared" si="154"/>
        <v>0</v>
      </c>
      <c r="BE699" s="30"/>
      <c r="BF699" s="30"/>
      <c r="BG699" s="36">
        <v>1</v>
      </c>
      <c r="BH699" s="30"/>
      <c r="BI699" s="31"/>
      <c r="BJ699" s="30"/>
      <c r="BK699" s="30"/>
      <c r="BL699" s="30"/>
      <c r="BM699" s="30"/>
      <c r="BN699" s="30"/>
      <c r="BO699" s="33">
        <f t="shared" si="155"/>
        <v>0</v>
      </c>
      <c r="BP699" s="30">
        <v>2</v>
      </c>
      <c r="BQ699" s="30">
        <v>0</v>
      </c>
      <c r="BR699" s="30"/>
      <c r="BS699" s="30"/>
      <c r="BT699" s="34">
        <f t="shared" si="156"/>
        <v>0</v>
      </c>
      <c r="BU699" s="34" t="s">
        <v>89</v>
      </c>
      <c r="BV699" s="30">
        <v>9</v>
      </c>
      <c r="BW699" s="30">
        <v>0</v>
      </c>
      <c r="BX699" s="34">
        <v>165</v>
      </c>
      <c r="BY699" s="30"/>
      <c r="BZ699" s="31">
        <f t="shared" si="157"/>
        <v>1485</v>
      </c>
      <c r="CA699" s="31">
        <f t="shared" si="149"/>
        <v>0</v>
      </c>
    </row>
    <row r="700" spans="1:79" ht="38.25" x14ac:dyDescent="0.25">
      <c r="A700" s="17"/>
      <c r="B700" s="2">
        <v>687</v>
      </c>
      <c r="C700" s="48">
        <v>407</v>
      </c>
      <c r="D700" s="48">
        <v>74</v>
      </c>
      <c r="E700" s="49">
        <v>0.72222222222222221</v>
      </c>
      <c r="F700" s="49">
        <v>0.73958333333333337</v>
      </c>
      <c r="G700" s="51" t="s">
        <v>1463</v>
      </c>
      <c r="H700" s="18" t="s">
        <v>352</v>
      </c>
      <c r="I700" s="48">
        <v>8</v>
      </c>
      <c r="J700" s="52">
        <v>30</v>
      </c>
      <c r="K700" s="22">
        <v>55</v>
      </c>
      <c r="L700" s="23">
        <f t="shared" si="150"/>
        <v>440</v>
      </c>
      <c r="M700" s="24" t="s">
        <v>182</v>
      </c>
      <c r="N700" s="25" t="s">
        <v>1464</v>
      </c>
      <c r="O700" s="25">
        <v>33</v>
      </c>
      <c r="P700" s="25" t="s">
        <v>184</v>
      </c>
      <c r="Q700" s="25">
        <v>34</v>
      </c>
      <c r="R700" s="17"/>
      <c r="S700" s="25"/>
      <c r="T700" s="26">
        <v>4400</v>
      </c>
      <c r="U700" s="26" t="s">
        <v>186</v>
      </c>
      <c r="V700" s="26">
        <v>4464</v>
      </c>
      <c r="W700" s="26" t="s">
        <v>1465</v>
      </c>
      <c r="X700" s="27">
        <v>44562</v>
      </c>
      <c r="Y700" s="27">
        <v>44815</v>
      </c>
      <c r="Z700" s="27">
        <v>45101</v>
      </c>
      <c r="AA700" s="27">
        <v>45169</v>
      </c>
      <c r="AB700" s="26" t="s">
        <v>353</v>
      </c>
      <c r="AC700" s="26"/>
      <c r="AD700" s="28"/>
      <c r="AE700" s="28" t="s">
        <v>90</v>
      </c>
      <c r="AF700" s="28" t="s">
        <v>90</v>
      </c>
      <c r="AG700" s="28"/>
      <c r="AH700" s="28" t="s">
        <v>90</v>
      </c>
      <c r="AI700" s="28" t="s">
        <v>90</v>
      </c>
      <c r="AJ700" s="28" t="s">
        <v>90</v>
      </c>
      <c r="AK700" s="28" t="s">
        <v>90</v>
      </c>
      <c r="AL700" s="28" t="s">
        <v>90</v>
      </c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31"/>
      <c r="AY700" s="31"/>
      <c r="AZ700" s="30"/>
      <c r="BA700" s="55" t="s">
        <v>187</v>
      </c>
      <c r="BB700" s="55"/>
      <c r="BC700" s="30"/>
      <c r="BD700" s="31">
        <f t="shared" si="154"/>
        <v>0</v>
      </c>
      <c r="BE700" s="30"/>
      <c r="BF700" s="30"/>
      <c r="BG700" s="36">
        <v>1</v>
      </c>
      <c r="BH700" s="30"/>
      <c r="BI700" s="31"/>
      <c r="BJ700" s="30"/>
      <c r="BK700" s="30"/>
      <c r="BL700" s="30"/>
      <c r="BM700" s="30"/>
      <c r="BN700" s="30"/>
      <c r="BO700" s="33">
        <f t="shared" si="155"/>
        <v>0</v>
      </c>
      <c r="BP700" s="30">
        <v>7</v>
      </c>
      <c r="BQ700" s="30">
        <v>0</v>
      </c>
      <c r="BR700" s="30"/>
      <c r="BS700" s="30"/>
      <c r="BT700" s="34">
        <f t="shared" si="156"/>
        <v>0</v>
      </c>
      <c r="BU700" s="34"/>
      <c r="BV700" s="34"/>
      <c r="BW700" s="34"/>
      <c r="BX700" s="34"/>
      <c r="BY700" s="30"/>
      <c r="BZ700" s="31">
        <f t="shared" si="157"/>
        <v>0</v>
      </c>
      <c r="CA700" s="31">
        <f t="shared" si="149"/>
        <v>0</v>
      </c>
    </row>
    <row r="701" spans="1:79" ht="38.25" x14ac:dyDescent="0.25">
      <c r="A701" s="17"/>
      <c r="B701" s="2">
        <v>688</v>
      </c>
      <c r="C701" s="48">
        <v>407</v>
      </c>
      <c r="D701" s="48">
        <v>75</v>
      </c>
      <c r="E701" s="49">
        <v>0.74305555555555547</v>
      </c>
      <c r="F701" s="49">
        <v>0.75694444444444453</v>
      </c>
      <c r="G701" s="51" t="s">
        <v>1466</v>
      </c>
      <c r="H701" s="18" t="s">
        <v>352</v>
      </c>
      <c r="I701" s="48">
        <v>8</v>
      </c>
      <c r="J701" s="52">
        <v>30</v>
      </c>
      <c r="K701" s="22">
        <v>55</v>
      </c>
      <c r="L701" s="23">
        <f t="shared" si="150"/>
        <v>440</v>
      </c>
      <c r="M701" s="24" t="s">
        <v>182</v>
      </c>
      <c r="N701" s="25" t="s">
        <v>1464</v>
      </c>
      <c r="O701" s="25">
        <v>33</v>
      </c>
      <c r="P701" s="25" t="s">
        <v>184</v>
      </c>
      <c r="Q701" s="25">
        <v>34</v>
      </c>
      <c r="R701" s="17"/>
      <c r="S701" s="25"/>
      <c r="T701" s="26">
        <v>4464</v>
      </c>
      <c r="U701" s="26" t="s">
        <v>1465</v>
      </c>
      <c r="V701" s="26">
        <v>4400</v>
      </c>
      <c r="W701" s="26" t="s">
        <v>186</v>
      </c>
      <c r="X701" s="27">
        <v>44562</v>
      </c>
      <c r="Y701" s="27">
        <v>44815</v>
      </c>
      <c r="Z701" s="27">
        <v>45101</v>
      </c>
      <c r="AA701" s="27">
        <v>45169</v>
      </c>
      <c r="AB701" s="26" t="s">
        <v>353</v>
      </c>
      <c r="AC701" s="26"/>
      <c r="AD701" s="28"/>
      <c r="AE701" s="28" t="s">
        <v>90</v>
      </c>
      <c r="AF701" s="28" t="s">
        <v>90</v>
      </c>
      <c r="AG701" s="28"/>
      <c r="AH701" s="28" t="s">
        <v>90</v>
      </c>
      <c r="AI701" s="28" t="s">
        <v>90</v>
      </c>
      <c r="AJ701" s="28" t="s">
        <v>90</v>
      </c>
      <c r="AK701" s="28" t="s">
        <v>90</v>
      </c>
      <c r="AL701" s="28" t="s">
        <v>90</v>
      </c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31"/>
      <c r="AY701" s="31"/>
      <c r="AZ701" s="30"/>
      <c r="BA701" s="55" t="s">
        <v>187</v>
      </c>
      <c r="BB701" s="55"/>
      <c r="BC701" s="30"/>
      <c r="BD701" s="31">
        <f t="shared" si="154"/>
        <v>0</v>
      </c>
      <c r="BE701" s="30"/>
      <c r="BF701" s="30"/>
      <c r="BG701" s="36">
        <v>1</v>
      </c>
      <c r="BH701" s="30"/>
      <c r="BI701" s="31"/>
      <c r="BJ701" s="30"/>
      <c r="BK701" s="30"/>
      <c r="BL701" s="30"/>
      <c r="BM701" s="30"/>
      <c r="BN701" s="30"/>
      <c r="BO701" s="33">
        <f t="shared" si="155"/>
        <v>0</v>
      </c>
      <c r="BP701" s="30">
        <v>7</v>
      </c>
      <c r="BQ701" s="30">
        <v>0</v>
      </c>
      <c r="BR701" s="30"/>
      <c r="BS701" s="30"/>
      <c r="BT701" s="34">
        <f t="shared" si="156"/>
        <v>0</v>
      </c>
      <c r="BU701" s="34"/>
      <c r="BV701" s="34"/>
      <c r="BW701" s="34"/>
      <c r="BX701" s="34"/>
      <c r="BY701" s="30"/>
      <c r="BZ701" s="31">
        <f t="shared" si="157"/>
        <v>0</v>
      </c>
      <c r="CA701" s="31">
        <f t="shared" si="149"/>
        <v>0</v>
      </c>
    </row>
    <row r="702" spans="1:79" ht="38.25" x14ac:dyDescent="0.25">
      <c r="A702" s="17"/>
      <c r="B702" s="2">
        <v>689</v>
      </c>
      <c r="C702" s="48">
        <v>407</v>
      </c>
      <c r="D702" s="48">
        <v>79</v>
      </c>
      <c r="E702" s="49">
        <v>0.79513888888888884</v>
      </c>
      <c r="F702" s="49">
        <v>0.80902777777777779</v>
      </c>
      <c r="G702" s="51" t="s">
        <v>1467</v>
      </c>
      <c r="H702" s="18" t="s">
        <v>349</v>
      </c>
      <c r="I702" s="48">
        <v>8</v>
      </c>
      <c r="J702" s="52">
        <v>19</v>
      </c>
      <c r="K702" s="22">
        <v>202</v>
      </c>
      <c r="L702" s="23">
        <f t="shared" si="150"/>
        <v>1616</v>
      </c>
      <c r="M702" s="24" t="s">
        <v>189</v>
      </c>
      <c r="N702" s="25" t="s">
        <v>190</v>
      </c>
      <c r="O702" s="25">
        <v>21</v>
      </c>
      <c r="P702" s="25" t="s">
        <v>191</v>
      </c>
      <c r="Q702" s="25">
        <v>21</v>
      </c>
      <c r="R702" s="56"/>
      <c r="S702" s="25"/>
      <c r="T702" s="26">
        <v>4400</v>
      </c>
      <c r="U702" s="26" t="s">
        <v>186</v>
      </c>
      <c r="V702" s="26">
        <v>4464</v>
      </c>
      <c r="W702" s="26" t="s">
        <v>1465</v>
      </c>
      <c r="X702" s="27">
        <v>44816</v>
      </c>
      <c r="Y702" s="27">
        <v>45100</v>
      </c>
      <c r="Z702" s="27"/>
      <c r="AA702" s="27"/>
      <c r="AB702" s="26" t="s">
        <v>351</v>
      </c>
      <c r="AC702" s="26"/>
      <c r="AD702" s="28" t="s">
        <v>90</v>
      </c>
      <c r="AE702" s="28"/>
      <c r="AF702" s="28" t="s">
        <v>90</v>
      </c>
      <c r="AG702" s="28"/>
      <c r="AH702" s="28" t="s">
        <v>90</v>
      </c>
      <c r="AI702" s="28" t="s">
        <v>90</v>
      </c>
      <c r="AJ702" s="28" t="s">
        <v>90</v>
      </c>
      <c r="AK702" s="28" t="s">
        <v>90</v>
      </c>
      <c r="AL702" s="28" t="s">
        <v>90</v>
      </c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31"/>
      <c r="AY702" s="29">
        <f>1.9*8</f>
        <v>15.2</v>
      </c>
      <c r="AZ702" s="30"/>
      <c r="BA702" s="42"/>
      <c r="BB702" s="42"/>
      <c r="BC702" s="30"/>
      <c r="BD702" s="31">
        <f t="shared" si="154"/>
        <v>0</v>
      </c>
      <c r="BE702" s="31">
        <f>AY702*K702</f>
        <v>3070.3999999999996</v>
      </c>
      <c r="BF702" s="30"/>
      <c r="BG702" s="36">
        <v>1</v>
      </c>
      <c r="BH702" s="30"/>
      <c r="BI702" s="31"/>
      <c r="BJ702" s="30"/>
      <c r="BK702" s="31">
        <f>IF(AND((AY702/I702)&lt;2,BG702=1),(I702*2)-AY702,0)</f>
        <v>0.80000000000000071</v>
      </c>
      <c r="BL702" s="31">
        <f>IF(AND((AY702/I702)&lt;3,BG702=2),(I702*3)-AY702,0)</f>
        <v>0</v>
      </c>
      <c r="BM702" s="46">
        <f>(BK702+BL702)*K702</f>
        <v>161.60000000000014</v>
      </c>
      <c r="BN702" s="30"/>
      <c r="BO702" s="33">
        <f t="shared" si="155"/>
        <v>0</v>
      </c>
      <c r="BP702" s="30">
        <v>15</v>
      </c>
      <c r="BQ702" s="30">
        <v>21</v>
      </c>
      <c r="BR702" s="30"/>
      <c r="BS702" s="30"/>
      <c r="BT702" s="34">
        <f t="shared" si="156"/>
        <v>16</v>
      </c>
      <c r="BU702" s="34"/>
      <c r="BV702" s="34"/>
      <c r="BW702" s="34"/>
      <c r="BX702" s="34"/>
      <c r="BY702" s="30"/>
      <c r="BZ702" s="31">
        <f t="shared" si="157"/>
        <v>240</v>
      </c>
      <c r="CA702" s="31">
        <f t="shared" si="149"/>
        <v>336</v>
      </c>
    </row>
    <row r="703" spans="1:79" ht="51" x14ac:dyDescent="0.25">
      <c r="A703" s="17"/>
      <c r="B703" s="2">
        <v>690</v>
      </c>
      <c r="C703" s="48">
        <v>408</v>
      </c>
      <c r="D703" s="48">
        <v>36</v>
      </c>
      <c r="E703" s="49">
        <v>0.30902777777777779</v>
      </c>
      <c r="F703" s="49">
        <v>0.31319444444444444</v>
      </c>
      <c r="G703" s="51" t="s">
        <v>1468</v>
      </c>
      <c r="H703" s="18" t="s">
        <v>306</v>
      </c>
      <c r="I703" s="48">
        <v>3</v>
      </c>
      <c r="J703" s="52">
        <v>40</v>
      </c>
      <c r="K703" s="22">
        <v>208</v>
      </c>
      <c r="L703" s="23">
        <f t="shared" si="150"/>
        <v>624</v>
      </c>
      <c r="M703" s="24" t="s">
        <v>1430</v>
      </c>
      <c r="N703" s="25" t="s">
        <v>1431</v>
      </c>
      <c r="O703" s="25">
        <v>61</v>
      </c>
      <c r="P703" s="25" t="s">
        <v>1432</v>
      </c>
      <c r="Q703" s="25">
        <v>62</v>
      </c>
      <c r="R703" s="17"/>
      <c r="S703" s="25"/>
      <c r="T703" s="26">
        <v>4400</v>
      </c>
      <c r="U703" s="26" t="s">
        <v>186</v>
      </c>
      <c r="V703" s="26">
        <v>4410</v>
      </c>
      <c r="W703" s="26" t="s">
        <v>1469</v>
      </c>
      <c r="X703" s="66">
        <v>44816</v>
      </c>
      <c r="Y703" s="66">
        <v>45086</v>
      </c>
      <c r="Z703" s="66"/>
      <c r="AA703" s="66"/>
      <c r="AB703" s="26" t="s">
        <v>309</v>
      </c>
      <c r="AC703" s="26"/>
      <c r="AD703" s="28"/>
      <c r="AE703" s="28"/>
      <c r="AF703" s="28"/>
      <c r="AG703" s="28" t="s">
        <v>90</v>
      </c>
      <c r="AH703" s="28" t="s">
        <v>90</v>
      </c>
      <c r="AI703" s="28" t="s">
        <v>90</v>
      </c>
      <c r="AJ703" s="28" t="s">
        <v>90</v>
      </c>
      <c r="AK703" s="28" t="s">
        <v>90</v>
      </c>
      <c r="AL703" s="28" t="s">
        <v>90</v>
      </c>
      <c r="AM703" s="28" t="s">
        <v>90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31"/>
      <c r="AY703" s="31"/>
      <c r="AZ703" s="30"/>
      <c r="BA703" s="55" t="s">
        <v>1443</v>
      </c>
      <c r="BB703" s="55"/>
      <c r="BC703" s="30"/>
      <c r="BD703" s="31">
        <f t="shared" si="154"/>
        <v>0</v>
      </c>
      <c r="BE703" s="30"/>
      <c r="BF703" s="30"/>
      <c r="BG703" s="32">
        <v>2</v>
      </c>
      <c r="BH703" s="30"/>
      <c r="BI703" s="31"/>
      <c r="BJ703" s="30"/>
      <c r="BK703" s="30"/>
      <c r="BL703" s="30"/>
      <c r="BM703" s="30"/>
      <c r="BN703" s="30"/>
      <c r="BO703" s="33">
        <f t="shared" si="155"/>
        <v>0</v>
      </c>
      <c r="BP703" s="30">
        <v>17</v>
      </c>
      <c r="BQ703" s="30">
        <v>25</v>
      </c>
      <c r="BR703" s="30"/>
      <c r="BS703" s="30"/>
      <c r="BT703" s="34">
        <f t="shared" si="156"/>
        <v>0</v>
      </c>
      <c r="BU703" s="34"/>
      <c r="BV703" s="34"/>
      <c r="BW703" s="34"/>
      <c r="BX703" s="34"/>
      <c r="BY703" s="30"/>
      <c r="BZ703" s="31">
        <f t="shared" si="157"/>
        <v>0</v>
      </c>
      <c r="CA703" s="31">
        <f t="shared" si="149"/>
        <v>0</v>
      </c>
    </row>
    <row r="704" spans="1:79" ht="51" x14ac:dyDescent="0.25">
      <c r="A704" s="17"/>
      <c r="B704" s="2">
        <v>691</v>
      </c>
      <c r="C704" s="48">
        <v>408</v>
      </c>
      <c r="D704" s="48">
        <v>36</v>
      </c>
      <c r="E704" s="49">
        <v>0.30902777777777779</v>
      </c>
      <c r="F704" s="49">
        <v>0.31319444444444444</v>
      </c>
      <c r="G704" s="51" t="s">
        <v>1468</v>
      </c>
      <c r="H704" s="18" t="s">
        <v>615</v>
      </c>
      <c r="I704" s="48">
        <v>3</v>
      </c>
      <c r="J704" s="52">
        <v>19</v>
      </c>
      <c r="K704" s="22">
        <v>29</v>
      </c>
      <c r="L704" s="23">
        <f t="shared" si="150"/>
        <v>87</v>
      </c>
      <c r="M704" s="24" t="s">
        <v>1430</v>
      </c>
      <c r="N704" s="25" t="s">
        <v>1431</v>
      </c>
      <c r="O704" s="25">
        <v>61</v>
      </c>
      <c r="P704" s="25" t="s">
        <v>1432</v>
      </c>
      <c r="Q704" s="25">
        <v>62</v>
      </c>
      <c r="R704" s="17"/>
      <c r="S704" s="25"/>
      <c r="T704" s="26">
        <v>4400</v>
      </c>
      <c r="U704" s="26" t="s">
        <v>186</v>
      </c>
      <c r="V704" s="26">
        <v>4410</v>
      </c>
      <c r="W704" s="26" t="s">
        <v>1469</v>
      </c>
      <c r="X704" s="27">
        <v>44816</v>
      </c>
      <c r="Y704" s="27">
        <v>45100</v>
      </c>
      <c r="Z704" s="27"/>
      <c r="AA704" s="27"/>
      <c r="AB704" s="26" t="s">
        <v>360</v>
      </c>
      <c r="AC704" s="26"/>
      <c r="AD704" s="28" t="s">
        <v>90</v>
      </c>
      <c r="AE704" s="28"/>
      <c r="AF704" s="28" t="s">
        <v>90</v>
      </c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 t="s">
        <v>90</v>
      </c>
      <c r="AS704" s="28" t="s">
        <v>90</v>
      </c>
      <c r="AT704" s="28" t="s">
        <v>90</v>
      </c>
      <c r="AU704" s="28" t="s">
        <v>90</v>
      </c>
      <c r="AV704" s="28" t="s">
        <v>90</v>
      </c>
      <c r="AW704" s="28" t="s">
        <v>90</v>
      </c>
      <c r="AX704" s="31"/>
      <c r="AY704" s="31"/>
      <c r="AZ704" s="30"/>
      <c r="BA704" s="55" t="s">
        <v>1428</v>
      </c>
      <c r="BB704" s="55"/>
      <c r="BC704" s="30"/>
      <c r="BD704" s="31">
        <f t="shared" si="154"/>
        <v>0</v>
      </c>
      <c r="BE704" s="30"/>
      <c r="BF704" s="30"/>
      <c r="BG704" s="36">
        <v>1</v>
      </c>
      <c r="BH704" s="30"/>
      <c r="BI704" s="31"/>
      <c r="BJ704" s="30"/>
      <c r="BK704" s="30"/>
      <c r="BL704" s="30"/>
      <c r="BM704" s="30"/>
      <c r="BN704" s="30"/>
      <c r="BO704" s="33">
        <f t="shared" si="155"/>
        <v>0</v>
      </c>
      <c r="BP704" s="30">
        <v>0</v>
      </c>
      <c r="BQ704" s="30">
        <v>1</v>
      </c>
      <c r="BR704" s="30"/>
      <c r="BS704" s="30"/>
      <c r="BT704" s="34">
        <f t="shared" si="156"/>
        <v>0</v>
      </c>
      <c r="BU704" s="34"/>
      <c r="BV704" s="34"/>
      <c r="BW704" s="34"/>
      <c r="BX704" s="34"/>
      <c r="BY704" s="30"/>
      <c r="BZ704" s="31">
        <f t="shared" si="157"/>
        <v>0</v>
      </c>
      <c r="CA704" s="31">
        <f t="shared" si="149"/>
        <v>0</v>
      </c>
    </row>
    <row r="705" spans="1:79" ht="51" x14ac:dyDescent="0.25">
      <c r="A705" s="17"/>
      <c r="B705" s="2">
        <v>692</v>
      </c>
      <c r="C705" s="48">
        <v>408</v>
      </c>
      <c r="D705" s="48">
        <v>41</v>
      </c>
      <c r="E705" s="49">
        <v>0.31388888888888888</v>
      </c>
      <c r="F705" s="50">
        <v>0.31805555555555554</v>
      </c>
      <c r="G705" s="51" t="s">
        <v>1470</v>
      </c>
      <c r="H705" s="18" t="s">
        <v>306</v>
      </c>
      <c r="I705" s="48">
        <v>3</v>
      </c>
      <c r="J705" s="52">
        <v>40</v>
      </c>
      <c r="K705" s="22">
        <v>208</v>
      </c>
      <c r="L705" s="23">
        <f t="shared" si="150"/>
        <v>624</v>
      </c>
      <c r="M705" s="24" t="s">
        <v>1430</v>
      </c>
      <c r="N705" s="25" t="s">
        <v>1431</v>
      </c>
      <c r="O705" s="25">
        <v>61</v>
      </c>
      <c r="P705" s="25" t="s">
        <v>1432</v>
      </c>
      <c r="Q705" s="25">
        <v>62</v>
      </c>
      <c r="R705" s="17"/>
      <c r="S705" s="25"/>
      <c r="T705" s="26">
        <v>4410</v>
      </c>
      <c r="U705" s="26" t="s">
        <v>1469</v>
      </c>
      <c r="V705" s="26">
        <v>4400</v>
      </c>
      <c r="W705" s="26" t="s">
        <v>186</v>
      </c>
      <c r="X705" s="66">
        <v>44816</v>
      </c>
      <c r="Y705" s="66">
        <v>45086</v>
      </c>
      <c r="Z705" s="66"/>
      <c r="AA705" s="66"/>
      <c r="AB705" s="26" t="s">
        <v>309</v>
      </c>
      <c r="AC705" s="26"/>
      <c r="AD705" s="28"/>
      <c r="AE705" s="28"/>
      <c r="AF705" s="28"/>
      <c r="AG705" s="28" t="s">
        <v>90</v>
      </c>
      <c r="AH705" s="28" t="s">
        <v>90</v>
      </c>
      <c r="AI705" s="28" t="s">
        <v>90</v>
      </c>
      <c r="AJ705" s="28" t="s">
        <v>90</v>
      </c>
      <c r="AK705" s="28" t="s">
        <v>90</v>
      </c>
      <c r="AL705" s="28" t="s">
        <v>90</v>
      </c>
      <c r="AM705" s="28" t="s">
        <v>90</v>
      </c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31"/>
      <c r="AY705" s="31"/>
      <c r="AZ705" s="30"/>
      <c r="BA705" s="55" t="s">
        <v>1443</v>
      </c>
      <c r="BB705" s="55"/>
      <c r="BC705" s="30"/>
      <c r="BD705" s="31">
        <f t="shared" si="154"/>
        <v>0</v>
      </c>
      <c r="BE705" s="30"/>
      <c r="BF705" s="30"/>
      <c r="BG705" s="32">
        <v>2</v>
      </c>
      <c r="BH705" s="30"/>
      <c r="BI705" s="31"/>
      <c r="BJ705" s="30"/>
      <c r="BK705" s="30"/>
      <c r="BL705" s="30"/>
      <c r="BM705" s="30"/>
      <c r="BN705" s="30"/>
      <c r="BO705" s="33">
        <f t="shared" si="155"/>
        <v>0</v>
      </c>
      <c r="BP705" s="30">
        <v>17</v>
      </c>
      <c r="BQ705" s="30">
        <v>25</v>
      </c>
      <c r="BR705" s="30"/>
      <c r="BS705" s="30"/>
      <c r="BT705" s="34">
        <f t="shared" si="156"/>
        <v>0</v>
      </c>
      <c r="BU705" s="34"/>
      <c r="BV705" s="34"/>
      <c r="BW705" s="34"/>
      <c r="BX705" s="34"/>
      <c r="BY705" s="30"/>
      <c r="BZ705" s="31">
        <f t="shared" si="157"/>
        <v>0</v>
      </c>
      <c r="CA705" s="31">
        <f t="shared" si="149"/>
        <v>0</v>
      </c>
    </row>
    <row r="706" spans="1:79" ht="51" x14ac:dyDescent="0.25">
      <c r="A706" s="17"/>
      <c r="B706" s="2">
        <v>693</v>
      </c>
      <c r="C706" s="48">
        <v>408</v>
      </c>
      <c r="D706" s="48">
        <v>41</v>
      </c>
      <c r="E706" s="49">
        <v>0.31388888888888888</v>
      </c>
      <c r="F706" s="50">
        <v>0.31805555555555554</v>
      </c>
      <c r="G706" s="51" t="s">
        <v>1470</v>
      </c>
      <c r="H706" s="18" t="s">
        <v>615</v>
      </c>
      <c r="I706" s="48">
        <v>3</v>
      </c>
      <c r="J706" s="52">
        <v>19</v>
      </c>
      <c r="K706" s="22">
        <v>29</v>
      </c>
      <c r="L706" s="23">
        <f t="shared" si="150"/>
        <v>87</v>
      </c>
      <c r="M706" s="24" t="s">
        <v>1430</v>
      </c>
      <c r="N706" s="25" t="s">
        <v>1431</v>
      </c>
      <c r="O706" s="25">
        <v>61</v>
      </c>
      <c r="P706" s="25" t="s">
        <v>1432</v>
      </c>
      <c r="Q706" s="25">
        <v>62</v>
      </c>
      <c r="R706" s="17"/>
      <c r="S706" s="25"/>
      <c r="T706" s="26">
        <v>4410</v>
      </c>
      <c r="U706" s="26" t="s">
        <v>1469</v>
      </c>
      <c r="V706" s="26">
        <v>4400</v>
      </c>
      <c r="W706" s="26" t="s">
        <v>186</v>
      </c>
      <c r="X706" s="27">
        <v>44816</v>
      </c>
      <c r="Y706" s="27">
        <v>45100</v>
      </c>
      <c r="Z706" s="27"/>
      <c r="AA706" s="27"/>
      <c r="AB706" s="26" t="s">
        <v>360</v>
      </c>
      <c r="AC706" s="26"/>
      <c r="AD706" s="28" t="s">
        <v>90</v>
      </c>
      <c r="AE706" s="28"/>
      <c r="AF706" s="28" t="s">
        <v>90</v>
      </c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 t="s">
        <v>90</v>
      </c>
      <c r="AS706" s="28" t="s">
        <v>90</v>
      </c>
      <c r="AT706" s="28" t="s">
        <v>90</v>
      </c>
      <c r="AU706" s="28" t="s">
        <v>90</v>
      </c>
      <c r="AV706" s="28" t="s">
        <v>90</v>
      </c>
      <c r="AW706" s="28" t="s">
        <v>90</v>
      </c>
      <c r="AX706" s="31"/>
      <c r="AY706" s="31"/>
      <c r="AZ706" s="30"/>
      <c r="BA706" s="55" t="s">
        <v>1428</v>
      </c>
      <c r="BB706" s="55"/>
      <c r="BC706" s="30"/>
      <c r="BD706" s="31">
        <f t="shared" si="154"/>
        <v>0</v>
      </c>
      <c r="BE706" s="30"/>
      <c r="BF706" s="30"/>
      <c r="BG706" s="36">
        <v>1</v>
      </c>
      <c r="BH706" s="30"/>
      <c r="BI706" s="31"/>
      <c r="BJ706" s="30"/>
      <c r="BK706" s="30"/>
      <c r="BL706" s="30"/>
      <c r="BM706" s="30"/>
      <c r="BN706" s="30"/>
      <c r="BO706" s="33">
        <f t="shared" si="155"/>
        <v>0</v>
      </c>
      <c r="BP706" s="30">
        <v>0</v>
      </c>
      <c r="BQ706" s="30">
        <v>1</v>
      </c>
      <c r="BR706" s="30"/>
      <c r="BS706" s="30"/>
      <c r="BT706" s="34">
        <f t="shared" si="156"/>
        <v>0</v>
      </c>
      <c r="BU706" s="34"/>
      <c r="BV706" s="34"/>
      <c r="BW706" s="34"/>
      <c r="BX706" s="34"/>
      <c r="BY706" s="30"/>
      <c r="BZ706" s="31">
        <f t="shared" si="157"/>
        <v>0</v>
      </c>
      <c r="CA706" s="31">
        <f t="shared" si="149"/>
        <v>0</v>
      </c>
    </row>
    <row r="707" spans="1:79" ht="76.5" x14ac:dyDescent="0.25">
      <c r="A707" s="17"/>
      <c r="B707" s="2">
        <v>694</v>
      </c>
      <c r="C707" s="18">
        <v>409</v>
      </c>
      <c r="D707" s="18">
        <v>613</v>
      </c>
      <c r="E707" s="19">
        <v>0.3888888888888889</v>
      </c>
      <c r="F707" s="19">
        <v>0.41666666666666669</v>
      </c>
      <c r="G707" s="18" t="s">
        <v>1471</v>
      </c>
      <c r="H707" s="18" t="s">
        <v>737</v>
      </c>
      <c r="I707" s="20">
        <v>20</v>
      </c>
      <c r="J707" s="21" t="s">
        <v>571</v>
      </c>
      <c r="K707" s="22">
        <v>52</v>
      </c>
      <c r="L707" s="23">
        <f t="shared" si="150"/>
        <v>1040</v>
      </c>
      <c r="M707" s="24" t="s">
        <v>794</v>
      </c>
      <c r="N707" s="25" t="s">
        <v>1472</v>
      </c>
      <c r="O707" s="25">
        <v>17</v>
      </c>
      <c r="P707" s="25" t="s">
        <v>1229</v>
      </c>
      <c r="Q707" s="25">
        <v>21</v>
      </c>
      <c r="R707" s="25"/>
      <c r="S707" s="25"/>
      <c r="T707" s="26">
        <v>4442</v>
      </c>
      <c r="U707" s="26" t="s">
        <v>1473</v>
      </c>
      <c r="V707" s="26" t="s">
        <v>1424</v>
      </c>
      <c r="W707" s="26" t="s">
        <v>1425</v>
      </c>
      <c r="X707" s="66">
        <v>44805</v>
      </c>
      <c r="Y707" s="66">
        <v>45169</v>
      </c>
      <c r="Z707" s="66"/>
      <c r="AA707" s="66"/>
      <c r="AB707" s="28" t="s">
        <v>741</v>
      </c>
      <c r="AC707" s="28"/>
      <c r="AD707" s="28" t="s">
        <v>90</v>
      </c>
      <c r="AE707" s="28" t="s">
        <v>90</v>
      </c>
      <c r="AF707" s="28" t="s">
        <v>90</v>
      </c>
      <c r="AG707" s="28"/>
      <c r="AH707" s="28"/>
      <c r="AI707" s="28"/>
      <c r="AJ707" s="28" t="s">
        <v>90</v>
      </c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9">
        <v>69.95</v>
      </c>
      <c r="AY707" s="31"/>
      <c r="AZ707" s="30"/>
      <c r="BA707" s="29"/>
      <c r="BB707" s="29"/>
      <c r="BC707" s="30"/>
      <c r="BD707" s="31">
        <f t="shared" si="154"/>
        <v>3637.4</v>
      </c>
      <c r="BE707" s="31"/>
      <c r="BF707" s="30"/>
      <c r="BG707" s="36">
        <v>1</v>
      </c>
      <c r="BH707" s="31">
        <f>IF(AND((AX707/I707)&lt;2,BG707=1),(I707*2)-AX707,0)</f>
        <v>0</v>
      </c>
      <c r="BI707" s="31">
        <f>IF(AND((AX707/I707)&lt;3,BG707=2),(I707*3)-AX707,0)</f>
        <v>0</v>
      </c>
      <c r="BJ707" s="33">
        <f>(BH707+BI707)*K707</f>
        <v>0</v>
      </c>
      <c r="BK707" s="30"/>
      <c r="BL707" s="30"/>
      <c r="BM707" s="30"/>
      <c r="BN707" s="30"/>
      <c r="BO707" s="33">
        <f t="shared" si="155"/>
        <v>0</v>
      </c>
      <c r="BP707" s="30">
        <v>4</v>
      </c>
      <c r="BQ707" s="30">
        <v>4</v>
      </c>
      <c r="BR707" s="30"/>
      <c r="BS707" s="30"/>
      <c r="BT707" s="34">
        <f t="shared" si="156"/>
        <v>69.95</v>
      </c>
      <c r="BU707" s="34"/>
      <c r="BV707" s="34"/>
      <c r="BW707" s="34"/>
      <c r="BX707" s="34"/>
      <c r="BY707" s="30"/>
      <c r="BZ707" s="31">
        <f t="shared" si="157"/>
        <v>279.8</v>
      </c>
      <c r="CA707" s="31">
        <f t="shared" ref="CA707:CA770" si="158">(BT707*BQ707)+(BW707*BX707)</f>
        <v>279.8</v>
      </c>
    </row>
    <row r="708" spans="1:79" ht="76.5" x14ac:dyDescent="0.25">
      <c r="A708" s="17"/>
      <c r="B708" s="2">
        <v>695</v>
      </c>
      <c r="C708" s="18">
        <v>409</v>
      </c>
      <c r="D708" s="18">
        <v>612</v>
      </c>
      <c r="E708" s="19">
        <v>0.46875</v>
      </c>
      <c r="F708" s="19">
        <v>0.49652777777777773</v>
      </c>
      <c r="G708" s="18" t="s">
        <v>1474</v>
      </c>
      <c r="H708" s="18" t="s">
        <v>737</v>
      </c>
      <c r="I708" s="20">
        <v>20</v>
      </c>
      <c r="J708" s="21" t="s">
        <v>571</v>
      </c>
      <c r="K708" s="22">
        <v>52</v>
      </c>
      <c r="L708" s="23">
        <f t="shared" si="150"/>
        <v>1040</v>
      </c>
      <c r="M708" s="24" t="s">
        <v>794</v>
      </c>
      <c r="N708" s="25" t="s">
        <v>1472</v>
      </c>
      <c r="O708" s="25">
        <v>17</v>
      </c>
      <c r="P708" s="25" t="s">
        <v>1229</v>
      </c>
      <c r="Q708" s="25">
        <v>21</v>
      </c>
      <c r="R708" s="25"/>
      <c r="S708" s="25"/>
      <c r="T708" s="26" t="s">
        <v>1424</v>
      </c>
      <c r="U708" s="26" t="s">
        <v>1425</v>
      </c>
      <c r="V708" s="26">
        <v>4442</v>
      </c>
      <c r="W708" s="26" t="s">
        <v>1473</v>
      </c>
      <c r="X708" s="66">
        <v>44805</v>
      </c>
      <c r="Y708" s="66">
        <v>45169</v>
      </c>
      <c r="Z708" s="66"/>
      <c r="AA708" s="66"/>
      <c r="AB708" s="28" t="s">
        <v>741</v>
      </c>
      <c r="AC708" s="28"/>
      <c r="AD708" s="28" t="s">
        <v>90</v>
      </c>
      <c r="AE708" s="28" t="s">
        <v>90</v>
      </c>
      <c r="AF708" s="28" t="s">
        <v>90</v>
      </c>
      <c r="AG708" s="28"/>
      <c r="AH708" s="28"/>
      <c r="AI708" s="28"/>
      <c r="AJ708" s="28" t="s">
        <v>90</v>
      </c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9">
        <v>69.95</v>
      </c>
      <c r="AY708" s="31"/>
      <c r="AZ708" s="30"/>
      <c r="BA708" s="29"/>
      <c r="BB708" s="29"/>
      <c r="BC708" s="30"/>
      <c r="BD708" s="31">
        <f t="shared" si="154"/>
        <v>3637.4</v>
      </c>
      <c r="BE708" s="31"/>
      <c r="BF708" s="30"/>
      <c r="BG708" s="36">
        <v>1</v>
      </c>
      <c r="BH708" s="31">
        <f>IF(AND((AX708/I708)&lt;2,BG708=1),(I708*2)-AX708,0)</f>
        <v>0</v>
      </c>
      <c r="BI708" s="31">
        <f>IF(AND((AX708/I708)&lt;3,BG708=2),(I708*3)-AX708,0)</f>
        <v>0</v>
      </c>
      <c r="BJ708" s="33">
        <f>(BH708+BI708)*K708</f>
        <v>0</v>
      </c>
      <c r="BK708" s="30"/>
      <c r="BL708" s="30"/>
      <c r="BM708" s="30"/>
      <c r="BN708" s="30"/>
      <c r="BO708" s="33">
        <f t="shared" si="155"/>
        <v>0</v>
      </c>
      <c r="BP708" s="30">
        <v>4</v>
      </c>
      <c r="BQ708" s="30">
        <v>4</v>
      </c>
      <c r="BR708" s="30"/>
      <c r="BS708" s="30"/>
      <c r="BT708" s="34">
        <f t="shared" si="156"/>
        <v>69.95</v>
      </c>
      <c r="BU708" s="34"/>
      <c r="BV708" s="34"/>
      <c r="BW708" s="34"/>
      <c r="BX708" s="34"/>
      <c r="BY708" s="30"/>
      <c r="BZ708" s="31">
        <f t="shared" si="157"/>
        <v>279.8</v>
      </c>
      <c r="CA708" s="31">
        <f t="shared" si="158"/>
        <v>279.8</v>
      </c>
    </row>
    <row r="709" spans="1:79" ht="38.25" x14ac:dyDescent="0.25">
      <c r="A709" s="17"/>
      <c r="B709" s="2">
        <v>696</v>
      </c>
      <c r="C709" s="48">
        <v>409</v>
      </c>
      <c r="D709" s="48">
        <v>56</v>
      </c>
      <c r="E709" s="49">
        <v>0.76111111111111107</v>
      </c>
      <c r="F709" s="50">
        <v>0.77500000000000002</v>
      </c>
      <c r="G709" s="51" t="s">
        <v>1475</v>
      </c>
      <c r="H709" s="18" t="s">
        <v>349</v>
      </c>
      <c r="I709" s="48">
        <v>10</v>
      </c>
      <c r="J709" s="52">
        <v>19</v>
      </c>
      <c r="K709" s="22">
        <v>202</v>
      </c>
      <c r="L709" s="23">
        <f t="shared" si="150"/>
        <v>2020</v>
      </c>
      <c r="M709" s="24" t="s">
        <v>189</v>
      </c>
      <c r="N709" s="25" t="s">
        <v>190</v>
      </c>
      <c r="O709" s="25">
        <v>21</v>
      </c>
      <c r="P709" s="25" t="s">
        <v>191</v>
      </c>
      <c r="Q709" s="25">
        <v>21</v>
      </c>
      <c r="R709" s="56"/>
      <c r="S709" s="25"/>
      <c r="T709" s="26">
        <v>4400</v>
      </c>
      <c r="U709" s="26" t="s">
        <v>186</v>
      </c>
      <c r="V709" s="26">
        <v>4440</v>
      </c>
      <c r="W709" s="26" t="s">
        <v>192</v>
      </c>
      <c r="X709" s="27">
        <v>44816</v>
      </c>
      <c r="Y709" s="27">
        <v>45100</v>
      </c>
      <c r="Z709" s="27"/>
      <c r="AA709" s="27"/>
      <c r="AB709" s="26" t="s">
        <v>351</v>
      </c>
      <c r="AC709" s="26"/>
      <c r="AD709" s="28" t="s">
        <v>90</v>
      </c>
      <c r="AE709" s="28"/>
      <c r="AF709" s="28" t="s">
        <v>90</v>
      </c>
      <c r="AG709" s="28"/>
      <c r="AH709" s="28" t="s">
        <v>90</v>
      </c>
      <c r="AI709" s="28" t="s">
        <v>90</v>
      </c>
      <c r="AJ709" s="28" t="s">
        <v>90</v>
      </c>
      <c r="AK709" s="28" t="s">
        <v>90</v>
      </c>
      <c r="AL709" s="28" t="s">
        <v>90</v>
      </c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9"/>
      <c r="AY709" s="29">
        <f>1.9*10</f>
        <v>19</v>
      </c>
      <c r="AZ709" s="30"/>
      <c r="BA709" s="42"/>
      <c r="BB709" s="42"/>
      <c r="BC709" s="30"/>
      <c r="BD709" s="31">
        <f t="shared" si="154"/>
        <v>0</v>
      </c>
      <c r="BE709" s="31">
        <f>AY709*K709</f>
        <v>3838</v>
      </c>
      <c r="BF709" s="30"/>
      <c r="BG709" s="36">
        <v>1</v>
      </c>
      <c r="BH709" s="30"/>
      <c r="BI709" s="31"/>
      <c r="BJ709" s="30"/>
      <c r="BK709" s="31">
        <f>IF(AND((AY709/I709)&lt;2,BG709=1),(I709*2)-AY709,0)</f>
        <v>1</v>
      </c>
      <c r="BL709" s="31">
        <f>IF(AND((AY709/I709)&lt;3,BG709=2),(I709*3)-AY709,0)</f>
        <v>0</v>
      </c>
      <c r="BM709" s="33">
        <f>(BK709+BL709)*K709</f>
        <v>202</v>
      </c>
      <c r="BN709" s="30"/>
      <c r="BO709" s="33">
        <f t="shared" si="155"/>
        <v>0</v>
      </c>
      <c r="BP709" s="30">
        <v>15</v>
      </c>
      <c r="BQ709" s="30">
        <v>21</v>
      </c>
      <c r="BR709" s="30"/>
      <c r="BS709" s="30"/>
      <c r="BT709" s="34">
        <f t="shared" si="156"/>
        <v>20</v>
      </c>
      <c r="BU709" s="34"/>
      <c r="BV709" s="34"/>
      <c r="BW709" s="34"/>
      <c r="BX709" s="34"/>
      <c r="BY709" s="30"/>
      <c r="BZ709" s="31">
        <f t="shared" si="157"/>
        <v>300</v>
      </c>
      <c r="CA709" s="31">
        <f t="shared" si="158"/>
        <v>420</v>
      </c>
    </row>
    <row r="710" spans="1:79" ht="34.5" x14ac:dyDescent="0.25">
      <c r="A710" s="17"/>
      <c r="B710" s="2">
        <v>697</v>
      </c>
      <c r="C710" s="18">
        <v>409</v>
      </c>
      <c r="D710" s="18">
        <v>56</v>
      </c>
      <c r="E710" s="19">
        <v>0.76388888888888884</v>
      </c>
      <c r="F710" s="19">
        <v>0.77847222222222223</v>
      </c>
      <c r="G710" s="18" t="s">
        <v>188</v>
      </c>
      <c r="H710" s="18" t="s">
        <v>92</v>
      </c>
      <c r="I710" s="20">
        <v>10</v>
      </c>
      <c r="J710" s="40">
        <v>19</v>
      </c>
      <c r="K710" s="22">
        <v>12</v>
      </c>
      <c r="L710" s="23">
        <f t="shared" si="150"/>
        <v>120</v>
      </c>
      <c r="M710" s="24" t="s">
        <v>189</v>
      </c>
      <c r="N710" s="25" t="s">
        <v>190</v>
      </c>
      <c r="O710" s="25">
        <v>21</v>
      </c>
      <c r="P710" s="25" t="s">
        <v>191</v>
      </c>
      <c r="Q710" s="25">
        <v>21</v>
      </c>
      <c r="R710" s="56"/>
      <c r="S710" s="25"/>
      <c r="T710" s="26">
        <v>4400</v>
      </c>
      <c r="U710" s="26" t="s">
        <v>186</v>
      </c>
      <c r="V710" s="26">
        <v>4440</v>
      </c>
      <c r="W710" s="26" t="s">
        <v>192</v>
      </c>
      <c r="X710" s="27">
        <v>44562</v>
      </c>
      <c r="Y710" s="27">
        <v>44815</v>
      </c>
      <c r="Z710" s="27">
        <v>45101</v>
      </c>
      <c r="AA710" s="27">
        <v>45169</v>
      </c>
      <c r="AB710" s="26" t="s">
        <v>101</v>
      </c>
      <c r="AC710" s="26"/>
      <c r="AD710" s="28"/>
      <c r="AE710" s="28" t="s">
        <v>90</v>
      </c>
      <c r="AF710" s="28" t="s">
        <v>90</v>
      </c>
      <c r="AG710" s="28"/>
      <c r="AH710" s="28"/>
      <c r="AI710" s="28"/>
      <c r="AJ710" s="28"/>
      <c r="AK710" s="28"/>
      <c r="AL710" s="28"/>
      <c r="AM710" s="28" t="s">
        <v>90</v>
      </c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9">
        <v>30</v>
      </c>
      <c r="AY710" s="31"/>
      <c r="AZ710" s="30"/>
      <c r="BA710" s="29"/>
      <c r="BB710" s="29"/>
      <c r="BC710" s="30"/>
      <c r="BD710" s="31">
        <f t="shared" si="154"/>
        <v>360</v>
      </c>
      <c r="BE710" s="31"/>
      <c r="BF710" s="30"/>
      <c r="BG710" s="36">
        <v>1</v>
      </c>
      <c r="BH710" s="31">
        <f>IF(AND((AX710/I710)&lt;2,BG710=1),(I710*2)-AX710,0)</f>
        <v>0</v>
      </c>
      <c r="BI710" s="31">
        <f>IF(AND((AX710/I710)&lt;3,BG710=2),(I710*3)-AX710,0)</f>
        <v>0</v>
      </c>
      <c r="BJ710" s="33">
        <f>(BH710+BI710)*K710</f>
        <v>0</v>
      </c>
      <c r="BK710" s="30"/>
      <c r="BL710" s="30"/>
      <c r="BM710" s="30"/>
      <c r="BN710" s="30"/>
      <c r="BO710" s="33">
        <f t="shared" si="155"/>
        <v>0</v>
      </c>
      <c r="BP710" s="30">
        <v>2</v>
      </c>
      <c r="BQ710" s="30">
        <v>0</v>
      </c>
      <c r="BR710" s="30"/>
      <c r="BS710" s="30"/>
      <c r="BT710" s="34">
        <f t="shared" si="156"/>
        <v>30</v>
      </c>
      <c r="BU710" s="34"/>
      <c r="BV710" s="34"/>
      <c r="BW710" s="34"/>
      <c r="BX710" s="34"/>
      <c r="BY710" s="30"/>
      <c r="BZ710" s="31">
        <f t="shared" si="157"/>
        <v>60</v>
      </c>
      <c r="CA710" s="31">
        <f t="shared" si="158"/>
        <v>0</v>
      </c>
    </row>
    <row r="711" spans="1:79" ht="38.25" x14ac:dyDescent="0.25">
      <c r="A711" s="17"/>
      <c r="B711" s="2">
        <v>698</v>
      </c>
      <c r="C711" s="48">
        <v>409</v>
      </c>
      <c r="D711" s="60">
        <v>55</v>
      </c>
      <c r="E711" s="49">
        <v>0.77777777777777779</v>
      </c>
      <c r="F711" s="49">
        <v>0.79166666666666663</v>
      </c>
      <c r="G711" s="51" t="s">
        <v>1476</v>
      </c>
      <c r="H711" s="18" t="s">
        <v>349</v>
      </c>
      <c r="I711" s="48">
        <v>10</v>
      </c>
      <c r="J711" s="52">
        <v>19</v>
      </c>
      <c r="K711" s="22">
        <v>202</v>
      </c>
      <c r="L711" s="23">
        <f t="shared" si="150"/>
        <v>2020</v>
      </c>
      <c r="M711" s="24" t="s">
        <v>189</v>
      </c>
      <c r="N711" s="25" t="s">
        <v>190</v>
      </c>
      <c r="O711" s="25">
        <v>21</v>
      </c>
      <c r="P711" s="25" t="s">
        <v>191</v>
      </c>
      <c r="Q711" s="25">
        <v>21</v>
      </c>
      <c r="R711" s="56"/>
      <c r="S711" s="25"/>
      <c r="T711" s="26">
        <v>4440</v>
      </c>
      <c r="U711" s="26" t="s">
        <v>192</v>
      </c>
      <c r="V711" s="26">
        <v>4400</v>
      </c>
      <c r="W711" s="26" t="s">
        <v>186</v>
      </c>
      <c r="X711" s="27">
        <v>44816</v>
      </c>
      <c r="Y711" s="27">
        <v>45100</v>
      </c>
      <c r="Z711" s="27"/>
      <c r="AA711" s="27"/>
      <c r="AB711" s="26" t="s">
        <v>351</v>
      </c>
      <c r="AC711" s="26"/>
      <c r="AD711" s="28" t="s">
        <v>90</v>
      </c>
      <c r="AE711" s="28"/>
      <c r="AF711" s="28" t="s">
        <v>90</v>
      </c>
      <c r="AG711" s="28"/>
      <c r="AH711" s="28" t="s">
        <v>90</v>
      </c>
      <c r="AI711" s="28" t="s">
        <v>90</v>
      </c>
      <c r="AJ711" s="28" t="s">
        <v>90</v>
      </c>
      <c r="AK711" s="28" t="s">
        <v>90</v>
      </c>
      <c r="AL711" s="28" t="s">
        <v>90</v>
      </c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31"/>
      <c r="AY711" s="29">
        <f>1.9*10</f>
        <v>19</v>
      </c>
      <c r="AZ711" s="30"/>
      <c r="BA711" s="42"/>
      <c r="BB711" s="42"/>
      <c r="BC711" s="30"/>
      <c r="BD711" s="31">
        <f t="shared" si="154"/>
        <v>0</v>
      </c>
      <c r="BE711" s="31">
        <f>AY711*K711</f>
        <v>3838</v>
      </c>
      <c r="BF711" s="30"/>
      <c r="BG711" s="36">
        <v>1</v>
      </c>
      <c r="BH711" s="30"/>
      <c r="BI711" s="31"/>
      <c r="BJ711" s="30"/>
      <c r="BK711" s="31">
        <f>IF(AND((AY711/I711)&lt;2,BG711=1),(I711*2)-AY711,0)</f>
        <v>1</v>
      </c>
      <c r="BL711" s="31">
        <f>IF(AND((AY711/I711)&lt;3,BG711=2),(I711*3)-AY711,0)</f>
        <v>0</v>
      </c>
      <c r="BM711" s="33">
        <f>(BK711+BL711)*K711</f>
        <v>202</v>
      </c>
      <c r="BN711" s="30"/>
      <c r="BO711" s="33">
        <f t="shared" si="155"/>
        <v>0</v>
      </c>
      <c r="BP711" s="30">
        <v>15</v>
      </c>
      <c r="BQ711" s="30">
        <v>21</v>
      </c>
      <c r="BR711" s="30"/>
      <c r="BS711" s="30"/>
      <c r="BT711" s="34">
        <f t="shared" si="156"/>
        <v>20</v>
      </c>
      <c r="BU711" s="34"/>
      <c r="BV711" s="34"/>
      <c r="BW711" s="34"/>
      <c r="BX711" s="34"/>
      <c r="BY711" s="30"/>
      <c r="BZ711" s="31">
        <f t="shared" si="157"/>
        <v>300</v>
      </c>
      <c r="CA711" s="31">
        <f t="shared" si="158"/>
        <v>420</v>
      </c>
    </row>
    <row r="712" spans="1:79" ht="34.5" x14ac:dyDescent="0.25">
      <c r="A712" s="17"/>
      <c r="B712" s="2">
        <v>699</v>
      </c>
      <c r="C712" s="18">
        <v>409</v>
      </c>
      <c r="D712" s="18">
        <v>55</v>
      </c>
      <c r="E712" s="19">
        <v>0.78055555555555556</v>
      </c>
      <c r="F712" s="19">
        <v>0.7944444444444444</v>
      </c>
      <c r="G712" s="18" t="s">
        <v>193</v>
      </c>
      <c r="H712" s="18" t="s">
        <v>92</v>
      </c>
      <c r="I712" s="20">
        <v>10</v>
      </c>
      <c r="J712" s="40">
        <v>19</v>
      </c>
      <c r="K712" s="22">
        <v>12</v>
      </c>
      <c r="L712" s="23">
        <f t="shared" si="150"/>
        <v>120</v>
      </c>
      <c r="M712" s="24" t="s">
        <v>189</v>
      </c>
      <c r="N712" s="25" t="s">
        <v>190</v>
      </c>
      <c r="O712" s="25">
        <v>21</v>
      </c>
      <c r="P712" s="25" t="s">
        <v>191</v>
      </c>
      <c r="Q712" s="25">
        <v>21</v>
      </c>
      <c r="R712" s="56"/>
      <c r="S712" s="25"/>
      <c r="T712" s="26">
        <v>4440</v>
      </c>
      <c r="U712" s="26" t="s">
        <v>192</v>
      </c>
      <c r="V712" s="26">
        <v>4400</v>
      </c>
      <c r="W712" s="26" t="s">
        <v>186</v>
      </c>
      <c r="X712" s="27">
        <v>44562</v>
      </c>
      <c r="Y712" s="27">
        <v>44815</v>
      </c>
      <c r="Z712" s="27">
        <v>45101</v>
      </c>
      <c r="AA712" s="27">
        <v>45169</v>
      </c>
      <c r="AB712" s="26" t="s">
        <v>101</v>
      </c>
      <c r="AC712" s="26"/>
      <c r="AD712" s="28"/>
      <c r="AE712" s="28" t="s">
        <v>90</v>
      </c>
      <c r="AF712" s="28" t="s">
        <v>90</v>
      </c>
      <c r="AG712" s="28"/>
      <c r="AH712" s="28"/>
      <c r="AI712" s="28"/>
      <c r="AJ712" s="28"/>
      <c r="AK712" s="28"/>
      <c r="AL712" s="28"/>
      <c r="AM712" s="28" t="s">
        <v>90</v>
      </c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9">
        <v>30</v>
      </c>
      <c r="AY712" s="31"/>
      <c r="AZ712" s="30"/>
      <c r="BA712" s="29"/>
      <c r="BB712" s="29"/>
      <c r="BC712" s="30"/>
      <c r="BD712" s="31">
        <f t="shared" si="154"/>
        <v>360</v>
      </c>
      <c r="BE712" s="31"/>
      <c r="BF712" s="30"/>
      <c r="BG712" s="36">
        <v>1</v>
      </c>
      <c r="BH712" s="31">
        <f t="shared" ref="BH712:BH717" si="159">IF(AND((AX712/I712)&lt;2,BG712=1),(I712*2)-AX712,0)</f>
        <v>0</v>
      </c>
      <c r="BI712" s="31">
        <f t="shared" ref="BI712:BI717" si="160">IF(AND((AX712/I712)&lt;3,BG712=2),(I712*3)-AX712,0)</f>
        <v>0</v>
      </c>
      <c r="BJ712" s="33">
        <f t="shared" ref="BJ712:BJ717" si="161">(BH712+BI712)*K712</f>
        <v>0</v>
      </c>
      <c r="BK712" s="30"/>
      <c r="BL712" s="30"/>
      <c r="BM712" s="30"/>
      <c r="BN712" s="30"/>
      <c r="BO712" s="33">
        <f t="shared" si="155"/>
        <v>0</v>
      </c>
      <c r="BP712" s="30">
        <v>2</v>
      </c>
      <c r="BQ712" s="30">
        <v>0</v>
      </c>
      <c r="BR712" s="30"/>
      <c r="BS712" s="30"/>
      <c r="BT712" s="34">
        <f t="shared" si="156"/>
        <v>30</v>
      </c>
      <c r="BU712" s="34"/>
      <c r="BV712" s="34"/>
      <c r="BW712" s="34"/>
      <c r="BX712" s="34"/>
      <c r="BY712" s="30"/>
      <c r="BZ712" s="31">
        <f t="shared" si="157"/>
        <v>60</v>
      </c>
      <c r="CA712" s="31">
        <f t="shared" si="158"/>
        <v>0</v>
      </c>
    </row>
    <row r="713" spans="1:79" ht="89.25" x14ac:dyDescent="0.25">
      <c r="A713" s="17"/>
      <c r="B713" s="2">
        <v>700</v>
      </c>
      <c r="C713" s="18">
        <v>417</v>
      </c>
      <c r="D713" s="18">
        <v>225</v>
      </c>
      <c r="E713" s="19">
        <v>0.30277777777777776</v>
      </c>
      <c r="F713" s="59">
        <v>0.31875000000000003</v>
      </c>
      <c r="G713" s="18" t="s">
        <v>1477</v>
      </c>
      <c r="H713" s="18" t="s">
        <v>273</v>
      </c>
      <c r="I713" s="20">
        <v>10.5</v>
      </c>
      <c r="J713" s="21" t="s">
        <v>494</v>
      </c>
      <c r="K713" s="22">
        <v>174</v>
      </c>
      <c r="L713" s="23">
        <f t="shared" si="150"/>
        <v>1827</v>
      </c>
      <c r="M713" s="24" t="s">
        <v>478</v>
      </c>
      <c r="N713" s="25" t="s">
        <v>1439</v>
      </c>
      <c r="O713" s="25" t="s">
        <v>308</v>
      </c>
      <c r="P713" s="25" t="s">
        <v>1478</v>
      </c>
      <c r="Q713" s="25">
        <v>50</v>
      </c>
      <c r="R713" s="17"/>
      <c r="S713" s="25"/>
      <c r="T713" s="26" t="s">
        <v>1479</v>
      </c>
      <c r="U713" s="26" t="s">
        <v>1480</v>
      </c>
      <c r="V713" s="26" t="s">
        <v>1481</v>
      </c>
      <c r="W713" s="26" t="s">
        <v>1482</v>
      </c>
      <c r="X713" s="66">
        <v>44816</v>
      </c>
      <c r="Y713" s="66">
        <v>45086</v>
      </c>
      <c r="Z713" s="66"/>
      <c r="AA713" s="66"/>
      <c r="AB713" s="26" t="s">
        <v>282</v>
      </c>
      <c r="AC713" s="26"/>
      <c r="AD713" s="28"/>
      <c r="AE713" s="28"/>
      <c r="AF713" s="28"/>
      <c r="AG713" s="28" t="s">
        <v>90</v>
      </c>
      <c r="AH713" s="28" t="s">
        <v>90</v>
      </c>
      <c r="AI713" s="28" t="s">
        <v>90</v>
      </c>
      <c r="AJ713" s="28" t="s">
        <v>90</v>
      </c>
      <c r="AK713" s="28" t="s">
        <v>90</v>
      </c>
      <c r="AL713" s="28" t="s">
        <v>90</v>
      </c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9">
        <v>217.02</v>
      </c>
      <c r="AY713" s="30"/>
      <c r="AZ713" s="30"/>
      <c r="BA713" s="29"/>
      <c r="BB713" s="29"/>
      <c r="BC713" s="30"/>
      <c r="BD713" s="31">
        <f t="shared" si="154"/>
        <v>37761.480000000003</v>
      </c>
      <c r="BE713" s="31"/>
      <c r="BF713" s="30"/>
      <c r="BG713" s="32">
        <v>2</v>
      </c>
      <c r="BH713" s="31">
        <f t="shared" si="159"/>
        <v>0</v>
      </c>
      <c r="BI713" s="31">
        <f t="shared" si="160"/>
        <v>0</v>
      </c>
      <c r="BJ713" s="33">
        <f t="shared" si="161"/>
        <v>0</v>
      </c>
      <c r="BK713" s="30"/>
      <c r="BL713" s="30"/>
      <c r="BM713" s="30"/>
      <c r="BN713" s="30"/>
      <c r="BO713" s="33">
        <f t="shared" si="155"/>
        <v>0</v>
      </c>
      <c r="BP713" s="30">
        <v>15</v>
      </c>
      <c r="BQ713" s="30">
        <v>20</v>
      </c>
      <c r="BR713" s="30"/>
      <c r="BS713" s="30"/>
      <c r="BT713" s="34">
        <f t="shared" si="156"/>
        <v>217.02</v>
      </c>
      <c r="BU713" s="34"/>
      <c r="BV713" s="34"/>
      <c r="BW713" s="34"/>
      <c r="BX713" s="34"/>
      <c r="BY713" s="30"/>
      <c r="BZ713" s="31">
        <f t="shared" si="157"/>
        <v>3255.3</v>
      </c>
      <c r="CA713" s="31">
        <f t="shared" si="158"/>
        <v>4340.4000000000005</v>
      </c>
    </row>
    <row r="714" spans="1:79" ht="63.75" x14ac:dyDescent="0.25">
      <c r="A714" s="17"/>
      <c r="B714" s="2">
        <v>701</v>
      </c>
      <c r="C714" s="18">
        <v>417</v>
      </c>
      <c r="D714" s="18">
        <v>225</v>
      </c>
      <c r="E714" s="59">
        <v>0.31666666666666665</v>
      </c>
      <c r="F714" s="59">
        <v>0.32430555555555557</v>
      </c>
      <c r="G714" s="18" t="s">
        <v>1483</v>
      </c>
      <c r="H714" s="18" t="s">
        <v>273</v>
      </c>
      <c r="I714" s="20">
        <v>5.5</v>
      </c>
      <c r="J714" s="21" t="s">
        <v>93</v>
      </c>
      <c r="K714" s="22">
        <v>174</v>
      </c>
      <c r="L714" s="23">
        <f t="shared" si="150"/>
        <v>957</v>
      </c>
      <c r="M714" s="24" t="s">
        <v>1484</v>
      </c>
      <c r="N714" s="25" t="s">
        <v>1485</v>
      </c>
      <c r="O714" s="25">
        <v>21</v>
      </c>
      <c r="P714" s="25" t="s">
        <v>1486</v>
      </c>
      <c r="Q714" s="25">
        <v>31</v>
      </c>
      <c r="R714" s="17"/>
      <c r="S714" s="25"/>
      <c r="T714" s="26">
        <v>4120</v>
      </c>
      <c r="U714" s="26" t="s">
        <v>1487</v>
      </c>
      <c r="V714" s="26" t="s">
        <v>655</v>
      </c>
      <c r="W714" s="26" t="s">
        <v>656</v>
      </c>
      <c r="X714" s="66">
        <v>44816</v>
      </c>
      <c r="Y714" s="66">
        <v>45086</v>
      </c>
      <c r="Z714" s="66"/>
      <c r="AA714" s="66"/>
      <c r="AB714" s="26" t="s">
        <v>282</v>
      </c>
      <c r="AC714" s="26"/>
      <c r="AD714" s="28"/>
      <c r="AE714" s="28"/>
      <c r="AF714" s="28"/>
      <c r="AG714" s="28" t="s">
        <v>90</v>
      </c>
      <c r="AH714" s="28" t="s">
        <v>90</v>
      </c>
      <c r="AI714" s="28" t="s">
        <v>90</v>
      </c>
      <c r="AJ714" s="28" t="s">
        <v>90</v>
      </c>
      <c r="AK714" s="28" t="s">
        <v>90</v>
      </c>
      <c r="AL714" s="28" t="s">
        <v>90</v>
      </c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9">
        <v>9.9</v>
      </c>
      <c r="AY714" s="30"/>
      <c r="AZ714" s="30"/>
      <c r="BA714" s="29"/>
      <c r="BB714" s="29"/>
      <c r="BC714" s="30"/>
      <c r="BD714" s="31">
        <f t="shared" si="154"/>
        <v>1722.6000000000001</v>
      </c>
      <c r="BE714" s="31"/>
      <c r="BF714" s="30"/>
      <c r="BG714" s="36">
        <v>1</v>
      </c>
      <c r="BH714" s="31">
        <f t="shared" si="159"/>
        <v>1.0999999999999996</v>
      </c>
      <c r="BI714" s="31">
        <f t="shared" si="160"/>
        <v>0</v>
      </c>
      <c r="BJ714" s="31">
        <f t="shared" si="161"/>
        <v>191.39999999999995</v>
      </c>
      <c r="BK714" s="30"/>
      <c r="BL714" s="30"/>
      <c r="BM714" s="30"/>
      <c r="BN714" s="30"/>
      <c r="BO714" s="33">
        <f t="shared" si="155"/>
        <v>0</v>
      </c>
      <c r="BP714" s="30">
        <v>15</v>
      </c>
      <c r="BQ714" s="30">
        <v>20</v>
      </c>
      <c r="BR714" s="30"/>
      <c r="BS714" s="30"/>
      <c r="BT714" s="34">
        <f t="shared" si="156"/>
        <v>11</v>
      </c>
      <c r="BU714" s="34"/>
      <c r="BV714" s="34"/>
      <c r="BW714" s="34"/>
      <c r="BX714" s="34"/>
      <c r="BY714" s="30"/>
      <c r="BZ714" s="31">
        <f t="shared" si="157"/>
        <v>165</v>
      </c>
      <c r="CA714" s="31">
        <f t="shared" si="158"/>
        <v>220</v>
      </c>
    </row>
    <row r="715" spans="1:79" ht="51" x14ac:dyDescent="0.25">
      <c r="A715" s="17"/>
      <c r="B715" s="2">
        <v>702</v>
      </c>
      <c r="C715" s="18">
        <v>417</v>
      </c>
      <c r="D715" s="18">
        <v>307</v>
      </c>
      <c r="E715" s="19">
        <v>0.63888888888888895</v>
      </c>
      <c r="F715" s="19">
        <v>0.6645833333333333</v>
      </c>
      <c r="G715" s="18" t="s">
        <v>1488</v>
      </c>
      <c r="H715" s="18" t="s">
        <v>273</v>
      </c>
      <c r="I715" s="20">
        <v>14.5</v>
      </c>
      <c r="J715" s="21" t="s">
        <v>541</v>
      </c>
      <c r="K715" s="22">
        <v>174</v>
      </c>
      <c r="L715" s="23">
        <f t="shared" si="150"/>
        <v>2523</v>
      </c>
      <c r="M715" s="24" t="s">
        <v>1489</v>
      </c>
      <c r="N715" s="17" t="s">
        <v>1490</v>
      </c>
      <c r="O715" s="17">
        <v>23</v>
      </c>
      <c r="P715" s="25" t="s">
        <v>1491</v>
      </c>
      <c r="Q715" s="25">
        <v>24</v>
      </c>
      <c r="R715" s="25" t="s">
        <v>1492</v>
      </c>
      <c r="S715" s="35">
        <v>23</v>
      </c>
      <c r="T715" s="26">
        <v>4126</v>
      </c>
      <c r="U715" s="26" t="s">
        <v>1493</v>
      </c>
      <c r="V715" s="26" t="s">
        <v>655</v>
      </c>
      <c r="W715" s="26" t="s">
        <v>656</v>
      </c>
      <c r="X715" s="66">
        <v>44816</v>
      </c>
      <c r="Y715" s="66">
        <v>45086</v>
      </c>
      <c r="Z715" s="66"/>
      <c r="AA715" s="66"/>
      <c r="AB715" s="26" t="s">
        <v>282</v>
      </c>
      <c r="AC715" s="26"/>
      <c r="AD715" s="28"/>
      <c r="AE715" s="28"/>
      <c r="AF715" s="28"/>
      <c r="AG715" s="28" t="s">
        <v>90</v>
      </c>
      <c r="AH715" s="28" t="s">
        <v>90</v>
      </c>
      <c r="AI715" s="28" t="s">
        <v>90</v>
      </c>
      <c r="AJ715" s="28" t="s">
        <v>90</v>
      </c>
      <c r="AK715" s="28" t="s">
        <v>90</v>
      </c>
      <c r="AL715" s="28" t="s">
        <v>90</v>
      </c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9">
        <v>26.1</v>
      </c>
      <c r="AY715" s="30"/>
      <c r="AZ715" s="30"/>
      <c r="BA715" s="29"/>
      <c r="BB715" s="29"/>
      <c r="BC715" s="30"/>
      <c r="BD715" s="31">
        <f t="shared" si="154"/>
        <v>4541.4000000000005</v>
      </c>
      <c r="BE715" s="31"/>
      <c r="BF715" s="30"/>
      <c r="BG715" s="36">
        <v>1</v>
      </c>
      <c r="BH715" s="31">
        <f t="shared" si="159"/>
        <v>2.8999999999999986</v>
      </c>
      <c r="BI715" s="31">
        <f t="shared" si="160"/>
        <v>0</v>
      </c>
      <c r="BJ715" s="31">
        <f t="shared" si="161"/>
        <v>504.59999999999974</v>
      </c>
      <c r="BK715" s="30"/>
      <c r="BL715" s="30"/>
      <c r="BM715" s="30"/>
      <c r="BN715" s="30"/>
      <c r="BO715" s="33">
        <f t="shared" si="155"/>
        <v>0</v>
      </c>
      <c r="BP715" s="30">
        <v>15</v>
      </c>
      <c r="BQ715" s="30">
        <v>20</v>
      </c>
      <c r="BR715" s="30"/>
      <c r="BS715" s="30"/>
      <c r="BT715" s="34">
        <f t="shared" si="156"/>
        <v>29</v>
      </c>
      <c r="BU715" s="34"/>
      <c r="BV715" s="34"/>
      <c r="BW715" s="34"/>
      <c r="BX715" s="34"/>
      <c r="BY715" s="30"/>
      <c r="BZ715" s="31">
        <f t="shared" si="157"/>
        <v>435</v>
      </c>
      <c r="CA715" s="31">
        <f t="shared" si="158"/>
        <v>580</v>
      </c>
    </row>
    <row r="716" spans="1:79" ht="51" x14ac:dyDescent="0.25">
      <c r="A716" s="17"/>
      <c r="B716" s="2">
        <v>703</v>
      </c>
      <c r="C716" s="18">
        <v>417</v>
      </c>
      <c r="D716" s="18">
        <v>256</v>
      </c>
      <c r="E716" s="19">
        <v>0.67152777777777783</v>
      </c>
      <c r="F716" s="19">
        <v>0.7006944444444444</v>
      </c>
      <c r="G716" s="18" t="s">
        <v>1494</v>
      </c>
      <c r="H716" s="18" t="s">
        <v>273</v>
      </c>
      <c r="I716" s="20">
        <v>17.5</v>
      </c>
      <c r="J716" s="21" t="s">
        <v>104</v>
      </c>
      <c r="K716" s="22">
        <v>174</v>
      </c>
      <c r="L716" s="23">
        <f t="shared" si="150"/>
        <v>3045</v>
      </c>
      <c r="M716" s="24" t="s">
        <v>1484</v>
      </c>
      <c r="N716" s="25" t="s">
        <v>1486</v>
      </c>
      <c r="O716" s="25">
        <v>31</v>
      </c>
      <c r="P716" s="25" t="s">
        <v>1485</v>
      </c>
      <c r="Q716" s="25">
        <v>21</v>
      </c>
      <c r="R716" s="17"/>
      <c r="S716" s="25"/>
      <c r="T716" s="26" t="s">
        <v>655</v>
      </c>
      <c r="U716" s="26" t="s">
        <v>656</v>
      </c>
      <c r="V716" s="26" t="s">
        <v>1495</v>
      </c>
      <c r="W716" s="26" t="s">
        <v>1496</v>
      </c>
      <c r="X716" s="66">
        <v>44816</v>
      </c>
      <c r="Y716" s="66">
        <v>45086</v>
      </c>
      <c r="Z716" s="66"/>
      <c r="AA716" s="66"/>
      <c r="AB716" s="26" t="s">
        <v>282</v>
      </c>
      <c r="AC716" s="26"/>
      <c r="AD716" s="28"/>
      <c r="AE716" s="28"/>
      <c r="AF716" s="28"/>
      <c r="AG716" s="28" t="s">
        <v>90</v>
      </c>
      <c r="AH716" s="28" t="s">
        <v>90</v>
      </c>
      <c r="AI716" s="28" t="s">
        <v>90</v>
      </c>
      <c r="AJ716" s="28" t="s">
        <v>90</v>
      </c>
      <c r="AK716" s="28" t="s">
        <v>90</v>
      </c>
      <c r="AL716" s="28" t="s">
        <v>90</v>
      </c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9">
        <v>52.5</v>
      </c>
      <c r="AY716" s="30"/>
      <c r="AZ716" s="30"/>
      <c r="BA716" s="29"/>
      <c r="BB716" s="29"/>
      <c r="BC716" s="30"/>
      <c r="BD716" s="31">
        <f t="shared" si="154"/>
        <v>9135</v>
      </c>
      <c r="BE716" s="31"/>
      <c r="BF716" s="30"/>
      <c r="BG716" s="36">
        <v>1</v>
      </c>
      <c r="BH716" s="31">
        <f t="shared" si="159"/>
        <v>0</v>
      </c>
      <c r="BI716" s="31">
        <f t="shared" si="160"/>
        <v>0</v>
      </c>
      <c r="BJ716" s="33">
        <f t="shared" si="161"/>
        <v>0</v>
      </c>
      <c r="BK716" s="30"/>
      <c r="BL716" s="30"/>
      <c r="BM716" s="30"/>
      <c r="BN716" s="30"/>
      <c r="BO716" s="33">
        <f t="shared" si="155"/>
        <v>0</v>
      </c>
      <c r="BP716" s="30">
        <v>15</v>
      </c>
      <c r="BQ716" s="30">
        <v>20</v>
      </c>
      <c r="BR716" s="30"/>
      <c r="BS716" s="30"/>
      <c r="BT716" s="34">
        <f t="shared" si="156"/>
        <v>52.5</v>
      </c>
      <c r="BU716" s="34"/>
      <c r="BV716" s="34"/>
      <c r="BW716" s="34"/>
      <c r="BX716" s="34"/>
      <c r="BY716" s="30"/>
      <c r="BZ716" s="31">
        <f t="shared" si="157"/>
        <v>787.5</v>
      </c>
      <c r="CA716" s="31">
        <f t="shared" si="158"/>
        <v>1050</v>
      </c>
    </row>
    <row r="717" spans="1:79" ht="102" x14ac:dyDescent="0.25">
      <c r="A717" s="67" t="s">
        <v>322</v>
      </c>
      <c r="B717" s="2">
        <v>704</v>
      </c>
      <c r="C717" s="18">
        <v>418</v>
      </c>
      <c r="D717" s="18">
        <v>89</v>
      </c>
      <c r="E717" s="19">
        <v>0.25486111111111109</v>
      </c>
      <c r="F717" s="19">
        <v>0.25833333333333336</v>
      </c>
      <c r="G717" s="18" t="s">
        <v>1497</v>
      </c>
      <c r="H717" s="58" t="s">
        <v>1498</v>
      </c>
      <c r="I717" s="20">
        <v>3</v>
      </c>
      <c r="J717" s="21" t="s">
        <v>516</v>
      </c>
      <c r="K717" s="68">
        <v>208</v>
      </c>
      <c r="L717" s="23">
        <f t="shared" si="150"/>
        <v>624</v>
      </c>
      <c r="M717" s="24" t="s">
        <v>1499</v>
      </c>
      <c r="N717" s="25" t="s">
        <v>1500</v>
      </c>
      <c r="O717" s="25">
        <v>9</v>
      </c>
      <c r="P717" s="25" t="s">
        <v>1501</v>
      </c>
      <c r="Q717" s="25">
        <v>9</v>
      </c>
      <c r="R717" s="17"/>
      <c r="S717" s="25"/>
      <c r="T717" s="26">
        <v>4116</v>
      </c>
      <c r="U717" s="26" t="s">
        <v>1502</v>
      </c>
      <c r="V717" s="26">
        <v>4115</v>
      </c>
      <c r="W717" s="26" t="s">
        <v>1503</v>
      </c>
      <c r="X717" s="66">
        <v>44816</v>
      </c>
      <c r="Y717" s="66">
        <v>45086</v>
      </c>
      <c r="Z717" s="66"/>
      <c r="AA717" s="66"/>
      <c r="AB717" s="28" t="s">
        <v>309</v>
      </c>
      <c r="AC717" s="28"/>
      <c r="AD717" s="28"/>
      <c r="AE717" s="28"/>
      <c r="AF717" s="28"/>
      <c r="AG717" s="28" t="s">
        <v>90</v>
      </c>
      <c r="AH717" s="28" t="s">
        <v>90</v>
      </c>
      <c r="AI717" s="28" t="s">
        <v>90</v>
      </c>
      <c r="AJ717" s="28" t="s">
        <v>90</v>
      </c>
      <c r="AK717" s="28" t="s">
        <v>90</v>
      </c>
      <c r="AL717" s="28" t="s">
        <v>90</v>
      </c>
      <c r="AM717" s="28" t="s">
        <v>90</v>
      </c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9">
        <v>10</v>
      </c>
      <c r="AY717" s="30"/>
      <c r="AZ717" s="30"/>
      <c r="BA717" s="29"/>
      <c r="BB717" s="29"/>
      <c r="BC717" s="30"/>
      <c r="BD717" s="31">
        <f t="shared" si="154"/>
        <v>2080</v>
      </c>
      <c r="BE717" s="31"/>
      <c r="BF717" s="30"/>
      <c r="BG717" s="36">
        <v>1</v>
      </c>
      <c r="BH717" s="31">
        <f t="shared" si="159"/>
        <v>0</v>
      </c>
      <c r="BI717" s="31">
        <f t="shared" si="160"/>
        <v>0</v>
      </c>
      <c r="BJ717" s="33">
        <f t="shared" si="161"/>
        <v>0</v>
      </c>
      <c r="BK717" s="30"/>
      <c r="BL717" s="30"/>
      <c r="BM717" s="30"/>
      <c r="BN717" s="31">
        <f t="shared" ref="BN717:BN722" si="162">IF((AX717+AY717+AZ717)&lt;20,(20-(AX717+AY717+AZ717)),0)</f>
        <v>10</v>
      </c>
      <c r="BO717" s="33">
        <f t="shared" si="155"/>
        <v>2080</v>
      </c>
      <c r="BP717" s="30">
        <v>17</v>
      </c>
      <c r="BQ717" s="30">
        <v>25</v>
      </c>
      <c r="BR717" s="30"/>
      <c r="BS717" s="30"/>
      <c r="BT717" s="34">
        <f t="shared" si="156"/>
        <v>20</v>
      </c>
      <c r="BU717" s="34"/>
      <c r="BV717" s="34"/>
      <c r="BW717" s="34"/>
      <c r="BX717" s="34"/>
      <c r="BY717" s="30"/>
      <c r="BZ717" s="31">
        <f t="shared" si="157"/>
        <v>340</v>
      </c>
      <c r="CA717" s="31">
        <f t="shared" si="158"/>
        <v>500</v>
      </c>
    </row>
    <row r="718" spans="1:79" ht="63.75" x14ac:dyDescent="0.25">
      <c r="A718" s="17"/>
      <c r="B718" s="2">
        <v>705</v>
      </c>
      <c r="C718" s="48">
        <v>418</v>
      </c>
      <c r="D718" s="48">
        <v>169</v>
      </c>
      <c r="E718" s="49">
        <v>0.25694444444444448</v>
      </c>
      <c r="F718" s="50">
        <v>0.28125</v>
      </c>
      <c r="G718" s="51" t="s">
        <v>1504</v>
      </c>
      <c r="H718" s="18" t="s">
        <v>306</v>
      </c>
      <c r="I718" s="48">
        <v>15.7</v>
      </c>
      <c r="J718" s="52">
        <v>30</v>
      </c>
      <c r="K718" s="22">
        <v>208</v>
      </c>
      <c r="L718" s="23">
        <f t="shared" si="150"/>
        <v>3265.6</v>
      </c>
      <c r="M718" s="24" t="s">
        <v>1484</v>
      </c>
      <c r="N718" s="25" t="s">
        <v>1486</v>
      </c>
      <c r="O718" s="25">
        <v>31</v>
      </c>
      <c r="P718" s="25" t="s">
        <v>1485</v>
      </c>
      <c r="Q718" s="25">
        <v>21</v>
      </c>
      <c r="R718" s="17"/>
      <c r="S718" s="25"/>
      <c r="T718" s="26">
        <v>4143</v>
      </c>
      <c r="U718" s="26" t="s">
        <v>1505</v>
      </c>
      <c r="V718" s="26" t="s">
        <v>655</v>
      </c>
      <c r="W718" s="26" t="s">
        <v>656</v>
      </c>
      <c r="X718" s="66">
        <v>44816</v>
      </c>
      <c r="Y718" s="66">
        <v>45086</v>
      </c>
      <c r="Z718" s="66"/>
      <c r="AA718" s="66"/>
      <c r="AB718" s="26" t="s">
        <v>309</v>
      </c>
      <c r="AC718" s="26"/>
      <c r="AD718" s="28"/>
      <c r="AE718" s="28"/>
      <c r="AF718" s="28"/>
      <c r="AG718" s="28" t="s">
        <v>90</v>
      </c>
      <c r="AH718" s="28" t="s">
        <v>90</v>
      </c>
      <c r="AI718" s="28" t="s">
        <v>90</v>
      </c>
      <c r="AJ718" s="28" t="s">
        <v>90</v>
      </c>
      <c r="AK718" s="28" t="s">
        <v>90</v>
      </c>
      <c r="AL718" s="28" t="s">
        <v>90</v>
      </c>
      <c r="AM718" s="28" t="s">
        <v>90</v>
      </c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31"/>
      <c r="AY718" s="31">
        <f>2.2*15.7</f>
        <v>34.54</v>
      </c>
      <c r="AZ718" s="30"/>
      <c r="BA718" s="42"/>
      <c r="BB718" s="42"/>
      <c r="BC718" s="30"/>
      <c r="BD718" s="31">
        <f t="shared" si="154"/>
        <v>0</v>
      </c>
      <c r="BE718" s="31">
        <f>AY718*K718</f>
        <v>7184.32</v>
      </c>
      <c r="BF718" s="30"/>
      <c r="BG718" s="36">
        <v>1</v>
      </c>
      <c r="BH718" s="30"/>
      <c r="BI718" s="31"/>
      <c r="BJ718" s="30"/>
      <c r="BK718" s="31">
        <f>IF(AND((AY718/I718)&lt;2,BG718=1),(I718*2)-AY718,0)</f>
        <v>0</v>
      </c>
      <c r="BL718" s="31">
        <f>IF(AND((AY718/I718)&lt;3,BG718=2),(I718*3)-AY718,0)</f>
        <v>0</v>
      </c>
      <c r="BM718" s="33">
        <f>(BK718+BL718)*K718</f>
        <v>0</v>
      </c>
      <c r="BN718" s="31">
        <f t="shared" si="162"/>
        <v>0</v>
      </c>
      <c r="BO718" s="33">
        <f t="shared" si="155"/>
        <v>0</v>
      </c>
      <c r="BP718" s="30">
        <v>17</v>
      </c>
      <c r="BQ718" s="30">
        <v>25</v>
      </c>
      <c r="BR718" s="30"/>
      <c r="BS718" s="30"/>
      <c r="BT718" s="34">
        <f t="shared" si="156"/>
        <v>34.54</v>
      </c>
      <c r="BU718" s="34"/>
      <c r="BV718" s="34"/>
      <c r="BW718" s="34"/>
      <c r="BX718" s="34"/>
      <c r="BY718" s="30"/>
      <c r="BZ718" s="31">
        <f t="shared" si="157"/>
        <v>587.17999999999995</v>
      </c>
      <c r="CA718" s="31">
        <f t="shared" si="158"/>
        <v>863.5</v>
      </c>
    </row>
    <row r="719" spans="1:79" ht="51" x14ac:dyDescent="0.25">
      <c r="A719" s="17"/>
      <c r="B719" s="2">
        <v>706</v>
      </c>
      <c r="C719" s="48">
        <v>418</v>
      </c>
      <c r="D719" s="48">
        <v>169</v>
      </c>
      <c r="E719" s="49">
        <v>0.25694444444444448</v>
      </c>
      <c r="F719" s="50">
        <v>0.28125</v>
      </c>
      <c r="G719" s="51" t="s">
        <v>1506</v>
      </c>
      <c r="H719" s="18" t="s">
        <v>615</v>
      </c>
      <c r="I719" s="48">
        <v>14</v>
      </c>
      <c r="J719" s="52">
        <v>19</v>
      </c>
      <c r="K719" s="22">
        <v>29</v>
      </c>
      <c r="L719" s="23">
        <f t="shared" si="150"/>
        <v>406</v>
      </c>
      <c r="M719" s="24" t="s">
        <v>1484</v>
      </c>
      <c r="N719" s="25" t="s">
        <v>1485</v>
      </c>
      <c r="O719" s="25">
        <v>21</v>
      </c>
      <c r="P719" s="25" t="s">
        <v>1486</v>
      </c>
      <c r="Q719" s="25">
        <v>31</v>
      </c>
      <c r="R719" s="17"/>
      <c r="S719" s="25"/>
      <c r="T719" s="26">
        <v>4143</v>
      </c>
      <c r="U719" s="26" t="s">
        <v>1505</v>
      </c>
      <c r="V719" s="26" t="s">
        <v>655</v>
      </c>
      <c r="W719" s="26" t="s">
        <v>656</v>
      </c>
      <c r="X719" s="27">
        <v>44816</v>
      </c>
      <c r="Y719" s="27">
        <v>45100</v>
      </c>
      <c r="Z719" s="27"/>
      <c r="AA719" s="27"/>
      <c r="AB719" s="26" t="s">
        <v>360</v>
      </c>
      <c r="AC719" s="26"/>
      <c r="AD719" s="28" t="s">
        <v>90</v>
      </c>
      <c r="AE719" s="28"/>
      <c r="AF719" s="28" t="s">
        <v>90</v>
      </c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 t="s">
        <v>90</v>
      </c>
      <c r="AS719" s="28" t="s">
        <v>90</v>
      </c>
      <c r="AT719" s="28" t="s">
        <v>90</v>
      </c>
      <c r="AU719" s="28" t="s">
        <v>90</v>
      </c>
      <c r="AV719" s="28" t="s">
        <v>90</v>
      </c>
      <c r="AW719" s="28" t="s">
        <v>90</v>
      </c>
      <c r="AX719" s="31"/>
      <c r="AY719" s="31">
        <f>1.9*14</f>
        <v>26.599999999999998</v>
      </c>
      <c r="AZ719" s="30"/>
      <c r="BA719" s="42"/>
      <c r="BB719" s="42"/>
      <c r="BC719" s="30"/>
      <c r="BD719" s="31">
        <f t="shared" si="154"/>
        <v>0</v>
      </c>
      <c r="BE719" s="31">
        <f>AY719*K719</f>
        <v>771.4</v>
      </c>
      <c r="BF719" s="30"/>
      <c r="BG719" s="36">
        <v>1</v>
      </c>
      <c r="BH719" s="30"/>
      <c r="BI719" s="31"/>
      <c r="BJ719" s="30"/>
      <c r="BK719" s="31">
        <f>IF(AND((AY719/I719)&lt;2,BG719=1),(I719*2)-AY719,0)</f>
        <v>1.4000000000000021</v>
      </c>
      <c r="BL719" s="31">
        <f>IF(AND((AY719/I719)&lt;3,BG719=2),(I719*3)-AY719,0)</f>
        <v>0</v>
      </c>
      <c r="BM719" s="33">
        <f>(BK719+BL719)*K719</f>
        <v>40.600000000000065</v>
      </c>
      <c r="BN719" s="31">
        <f t="shared" si="162"/>
        <v>0</v>
      </c>
      <c r="BO719" s="33">
        <f t="shared" si="155"/>
        <v>0</v>
      </c>
      <c r="BP719" s="30">
        <v>0</v>
      </c>
      <c r="BQ719" s="30">
        <v>1</v>
      </c>
      <c r="BR719" s="30"/>
      <c r="BS719" s="30"/>
      <c r="BT719" s="34">
        <f t="shared" si="156"/>
        <v>28</v>
      </c>
      <c r="BU719" s="34"/>
      <c r="BV719" s="34"/>
      <c r="BW719" s="34"/>
      <c r="BX719" s="34"/>
      <c r="BY719" s="30"/>
      <c r="BZ719" s="31">
        <f t="shared" si="157"/>
        <v>0</v>
      </c>
      <c r="CA719" s="31">
        <f t="shared" si="158"/>
        <v>28</v>
      </c>
    </row>
    <row r="720" spans="1:79" ht="34.5" x14ac:dyDescent="0.25">
      <c r="A720" s="17"/>
      <c r="B720" s="2">
        <v>707</v>
      </c>
      <c r="C720" s="48">
        <v>418</v>
      </c>
      <c r="D720" s="48">
        <v>169</v>
      </c>
      <c r="E720" s="49">
        <v>0.25694444444444448</v>
      </c>
      <c r="F720" s="50">
        <v>0.28125</v>
      </c>
      <c r="G720" s="51" t="s">
        <v>1507</v>
      </c>
      <c r="H720" s="18" t="s">
        <v>316</v>
      </c>
      <c r="I720" s="48">
        <v>14</v>
      </c>
      <c r="J720" s="52">
        <v>19</v>
      </c>
      <c r="K720" s="22">
        <v>67</v>
      </c>
      <c r="L720" s="23">
        <f t="shared" si="150"/>
        <v>938</v>
      </c>
      <c r="M720" s="24" t="s">
        <v>1484</v>
      </c>
      <c r="N720" s="25" t="s">
        <v>1485</v>
      </c>
      <c r="O720" s="25">
        <v>21</v>
      </c>
      <c r="P720" s="25" t="s">
        <v>1486</v>
      </c>
      <c r="Q720" s="25">
        <v>31</v>
      </c>
      <c r="R720" s="17"/>
      <c r="S720" s="25"/>
      <c r="T720" s="26">
        <v>4143</v>
      </c>
      <c r="U720" s="26" t="s">
        <v>1505</v>
      </c>
      <c r="V720" s="26" t="s">
        <v>655</v>
      </c>
      <c r="W720" s="26" t="s">
        <v>656</v>
      </c>
      <c r="X720" s="27">
        <v>44562</v>
      </c>
      <c r="Y720" s="27">
        <v>44815</v>
      </c>
      <c r="Z720" s="27">
        <v>45101</v>
      </c>
      <c r="AA720" s="27">
        <v>45169</v>
      </c>
      <c r="AB720" s="28" t="s">
        <v>89</v>
      </c>
      <c r="AC720" s="28"/>
      <c r="AD720" s="28"/>
      <c r="AE720" s="28" t="s">
        <v>90</v>
      </c>
      <c r="AF720" s="28" t="s">
        <v>90</v>
      </c>
      <c r="AG720" s="28"/>
      <c r="AH720" s="28" t="s">
        <v>90</v>
      </c>
      <c r="AI720" s="28" t="s">
        <v>90</v>
      </c>
      <c r="AJ720" s="28" t="s">
        <v>90</v>
      </c>
      <c r="AK720" s="28" t="s">
        <v>90</v>
      </c>
      <c r="AL720" s="28" t="s">
        <v>90</v>
      </c>
      <c r="AM720" s="28" t="s">
        <v>90</v>
      </c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31"/>
      <c r="AY720" s="31">
        <f>1.9*14</f>
        <v>26.599999999999998</v>
      </c>
      <c r="AZ720" s="30"/>
      <c r="BA720" s="42"/>
      <c r="BB720" s="42"/>
      <c r="BC720" s="30"/>
      <c r="BD720" s="31">
        <f t="shared" si="154"/>
        <v>0</v>
      </c>
      <c r="BE720" s="31">
        <f>AY720*K720</f>
        <v>1782.1999999999998</v>
      </c>
      <c r="BF720" s="30"/>
      <c r="BG720" s="36">
        <v>1</v>
      </c>
      <c r="BH720" s="30"/>
      <c r="BI720" s="31"/>
      <c r="BJ720" s="30"/>
      <c r="BK720" s="31">
        <f>IF(AND((AY720/I720)&lt;2,BG720=1),(I720*2)-AY720,0)</f>
        <v>1.4000000000000021</v>
      </c>
      <c r="BL720" s="31">
        <f>IF(AND((AY720/I720)&lt;3,BG720=2),(I720*3)-AY720,0)</f>
        <v>0</v>
      </c>
      <c r="BM720" s="33">
        <f>(BK720+BL720)*K720</f>
        <v>93.800000000000139</v>
      </c>
      <c r="BN720" s="31">
        <f t="shared" si="162"/>
        <v>0</v>
      </c>
      <c r="BO720" s="33">
        <f t="shared" si="155"/>
        <v>0</v>
      </c>
      <c r="BP720" s="30">
        <v>9</v>
      </c>
      <c r="BQ720" s="30">
        <v>0</v>
      </c>
      <c r="BR720" s="30"/>
      <c r="BS720" s="30"/>
      <c r="BT720" s="34">
        <f t="shared" si="156"/>
        <v>28</v>
      </c>
      <c r="BU720" s="34"/>
      <c r="BV720" s="34"/>
      <c r="BW720" s="34"/>
      <c r="BX720" s="34"/>
      <c r="BY720" s="30"/>
      <c r="BZ720" s="31">
        <f t="shared" si="157"/>
        <v>252</v>
      </c>
      <c r="CA720" s="31">
        <f t="shared" si="158"/>
        <v>0</v>
      </c>
    </row>
    <row r="721" spans="1:79" ht="45" x14ac:dyDescent="0.25">
      <c r="A721" s="17"/>
      <c r="B721" s="2">
        <v>708</v>
      </c>
      <c r="C721" s="18">
        <v>418</v>
      </c>
      <c r="D721" s="18">
        <v>89</v>
      </c>
      <c r="E721" s="19">
        <v>0.25833333333333336</v>
      </c>
      <c r="F721" s="19">
        <v>0.2673611111111111</v>
      </c>
      <c r="G721" s="51" t="s">
        <v>1508</v>
      </c>
      <c r="H721" s="18" t="s">
        <v>454</v>
      </c>
      <c r="I721" s="20">
        <v>6</v>
      </c>
      <c r="J721" s="21" t="s">
        <v>93</v>
      </c>
      <c r="K721" s="22">
        <v>304</v>
      </c>
      <c r="L721" s="23">
        <f t="shared" si="150"/>
        <v>1824</v>
      </c>
      <c r="M721" s="24" t="s">
        <v>1499</v>
      </c>
      <c r="N721" s="25" t="s">
        <v>1500</v>
      </c>
      <c r="O721" s="25">
        <v>9</v>
      </c>
      <c r="P721" s="25" t="s">
        <v>1501</v>
      </c>
      <c r="Q721" s="25">
        <v>9</v>
      </c>
      <c r="R721" s="17"/>
      <c r="S721" s="25"/>
      <c r="T721" s="26">
        <v>4115</v>
      </c>
      <c r="U721" s="26" t="s">
        <v>1503</v>
      </c>
      <c r="V721" s="26">
        <v>4113</v>
      </c>
      <c r="W721" s="26" t="s">
        <v>1509</v>
      </c>
      <c r="X721" s="66">
        <v>44805</v>
      </c>
      <c r="Y721" s="66">
        <v>45169</v>
      </c>
      <c r="Z721" s="66"/>
      <c r="AA721" s="66"/>
      <c r="AB721" s="28" t="s">
        <v>459</v>
      </c>
      <c r="AC721" s="28"/>
      <c r="AD721" s="28" t="s">
        <v>90</v>
      </c>
      <c r="AE721" s="28" t="s">
        <v>90</v>
      </c>
      <c r="AF721" s="28" t="s">
        <v>90</v>
      </c>
      <c r="AG721" s="28"/>
      <c r="AH721" s="28" t="s">
        <v>90</v>
      </c>
      <c r="AI721" s="28" t="s">
        <v>90</v>
      </c>
      <c r="AJ721" s="28" t="s">
        <v>90</v>
      </c>
      <c r="AK721" s="28" t="s">
        <v>90</v>
      </c>
      <c r="AL721" s="28" t="s">
        <v>90</v>
      </c>
      <c r="AM721" s="28" t="s">
        <v>90</v>
      </c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9">
        <v>14.27</v>
      </c>
      <c r="AY721" s="30"/>
      <c r="AZ721" s="30"/>
      <c r="BA721" s="29"/>
      <c r="BB721" s="29"/>
      <c r="BC721" s="30"/>
      <c r="BD721" s="31">
        <f t="shared" si="154"/>
        <v>4338.08</v>
      </c>
      <c r="BE721" s="31"/>
      <c r="BF721" s="30"/>
      <c r="BG721" s="36">
        <v>1</v>
      </c>
      <c r="BH721" s="31">
        <f>IF(AND((AX721/I721)&lt;2,BG721=1),(I721*2)-AX721,0)</f>
        <v>0</v>
      </c>
      <c r="BI721" s="31">
        <f>IF(AND((AX721/I721)&lt;3,BG721=2),(I721*3)-AX721,0)</f>
        <v>0</v>
      </c>
      <c r="BJ721" s="33">
        <f>(BH721+BI721)*K721</f>
        <v>0</v>
      </c>
      <c r="BK721" s="30"/>
      <c r="BL721" s="30"/>
      <c r="BM721" s="30"/>
      <c r="BN721" s="31">
        <f t="shared" si="162"/>
        <v>5.73</v>
      </c>
      <c r="BO721" s="33">
        <f t="shared" si="155"/>
        <v>1741.92</v>
      </c>
      <c r="BP721" s="30">
        <v>26</v>
      </c>
      <c r="BQ721" s="30">
        <v>26</v>
      </c>
      <c r="BR721" s="30"/>
      <c r="BS721" s="30"/>
      <c r="BT721" s="34">
        <f t="shared" si="156"/>
        <v>20</v>
      </c>
      <c r="BU721" s="34"/>
      <c r="BV721" s="34"/>
      <c r="BW721" s="34"/>
      <c r="BX721" s="34"/>
      <c r="BY721" s="30"/>
      <c r="BZ721" s="31">
        <f t="shared" si="157"/>
        <v>520</v>
      </c>
      <c r="CA721" s="31">
        <f t="shared" si="158"/>
        <v>520</v>
      </c>
    </row>
    <row r="722" spans="1:79" ht="51" x14ac:dyDescent="0.25">
      <c r="A722" s="17" t="s">
        <v>147</v>
      </c>
      <c r="B722" s="2">
        <v>709</v>
      </c>
      <c r="C722" s="18">
        <v>418</v>
      </c>
      <c r="D722" s="18"/>
      <c r="E722" s="19">
        <v>0.2902777777777778</v>
      </c>
      <c r="F722" s="19">
        <v>0.2951388888888889</v>
      </c>
      <c r="G722" s="18" t="s">
        <v>1510</v>
      </c>
      <c r="H722" s="18" t="s">
        <v>273</v>
      </c>
      <c r="I722" s="20">
        <v>2.5</v>
      </c>
      <c r="J722" s="21" t="s">
        <v>1027</v>
      </c>
      <c r="K722" s="22">
        <v>174</v>
      </c>
      <c r="L722" s="23">
        <f t="shared" si="150"/>
        <v>435</v>
      </c>
      <c r="M722" s="24" t="s">
        <v>1484</v>
      </c>
      <c r="N722" s="25" t="s">
        <v>1511</v>
      </c>
      <c r="O722" s="25">
        <v>8</v>
      </c>
      <c r="P722" s="25" t="s">
        <v>1485</v>
      </c>
      <c r="Q722" s="25">
        <v>21</v>
      </c>
      <c r="R722" s="25" t="s">
        <v>1512</v>
      </c>
      <c r="S722" s="35">
        <v>9</v>
      </c>
      <c r="T722" s="26" t="s">
        <v>1513</v>
      </c>
      <c r="U722" s="26" t="s">
        <v>1514</v>
      </c>
      <c r="V722" s="26">
        <v>4142</v>
      </c>
      <c r="W722" s="26" t="s">
        <v>1515</v>
      </c>
      <c r="X722" s="66">
        <v>44816</v>
      </c>
      <c r="Y722" s="66">
        <v>45086</v>
      </c>
      <c r="Z722" s="66"/>
      <c r="AA722" s="66"/>
      <c r="AB722" s="26" t="s">
        <v>282</v>
      </c>
      <c r="AC722" s="26"/>
      <c r="AD722" s="28"/>
      <c r="AE722" s="28"/>
      <c r="AF722" s="28"/>
      <c r="AG722" s="28" t="s">
        <v>90</v>
      </c>
      <c r="AH722" s="28" t="s">
        <v>90</v>
      </c>
      <c r="AI722" s="28" t="s">
        <v>90</v>
      </c>
      <c r="AJ722" s="28" t="s">
        <v>90</v>
      </c>
      <c r="AK722" s="28" t="s">
        <v>90</v>
      </c>
      <c r="AL722" s="28" t="s">
        <v>90</v>
      </c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9"/>
      <c r="AY722" s="31"/>
      <c r="AZ722" s="31">
        <f>3*I722</f>
        <v>7.5</v>
      </c>
      <c r="BA722" s="29"/>
      <c r="BB722" s="29"/>
      <c r="BC722" s="30"/>
      <c r="BD722" s="30"/>
      <c r="BE722" s="30"/>
      <c r="BF722" s="31">
        <f>AZ722*K722</f>
        <v>1305</v>
      </c>
      <c r="BG722" s="36">
        <v>1</v>
      </c>
      <c r="BH722" s="36"/>
      <c r="BI722" s="47"/>
      <c r="BJ722" s="36"/>
      <c r="BK722" s="36"/>
      <c r="BL722" s="36"/>
      <c r="BM722" s="36"/>
      <c r="BN722" s="31">
        <f t="shared" si="162"/>
        <v>12.5</v>
      </c>
      <c r="BO722" s="33">
        <f t="shared" si="155"/>
        <v>2175</v>
      </c>
      <c r="BP722" s="30">
        <v>15</v>
      </c>
      <c r="BQ722" s="30">
        <v>20</v>
      </c>
      <c r="BR722" s="30"/>
      <c r="BS722" s="30"/>
      <c r="BT722" s="34">
        <f t="shared" si="156"/>
        <v>20</v>
      </c>
      <c r="BU722" s="34"/>
      <c r="BV722" s="34"/>
      <c r="BW722" s="34"/>
      <c r="BX722" s="34"/>
      <c r="BY722" s="30"/>
      <c r="BZ722" s="31">
        <f t="shared" si="157"/>
        <v>300</v>
      </c>
      <c r="CA722" s="31">
        <f t="shared" si="158"/>
        <v>400</v>
      </c>
    </row>
    <row r="723" spans="1:79" ht="63.75" x14ac:dyDescent="0.25">
      <c r="A723" s="17"/>
      <c r="B723" s="2">
        <v>710</v>
      </c>
      <c r="C723" s="18">
        <v>418</v>
      </c>
      <c r="D723" s="18">
        <v>95</v>
      </c>
      <c r="E723" s="19">
        <v>0.29305555555555557</v>
      </c>
      <c r="F723" s="19">
        <v>0.30555555555555552</v>
      </c>
      <c r="G723" s="18" t="s">
        <v>1516</v>
      </c>
      <c r="H723" s="18" t="s">
        <v>306</v>
      </c>
      <c r="I723" s="20">
        <v>9</v>
      </c>
      <c r="J723" s="21" t="s">
        <v>93</v>
      </c>
      <c r="K723" s="22">
        <v>208</v>
      </c>
      <c r="L723" s="23">
        <f t="shared" si="150"/>
        <v>1872</v>
      </c>
      <c r="M723" s="24" t="s">
        <v>1499</v>
      </c>
      <c r="N723" s="25" t="s">
        <v>1500</v>
      </c>
      <c r="O723" s="25">
        <v>9</v>
      </c>
      <c r="P723" s="25" t="s">
        <v>1501</v>
      </c>
      <c r="Q723" s="25">
        <v>9</v>
      </c>
      <c r="R723" s="17"/>
      <c r="S723" s="25"/>
      <c r="T723" s="26">
        <v>4116</v>
      </c>
      <c r="U723" s="26" t="s">
        <v>1502</v>
      </c>
      <c r="V723" s="26">
        <v>4113</v>
      </c>
      <c r="W723" s="26" t="s">
        <v>1509</v>
      </c>
      <c r="X723" s="66">
        <v>44816</v>
      </c>
      <c r="Y723" s="66">
        <v>45086</v>
      </c>
      <c r="Z723" s="66"/>
      <c r="AA723" s="66"/>
      <c r="AB723" s="26" t="s">
        <v>309</v>
      </c>
      <c r="AC723" s="26"/>
      <c r="AD723" s="28"/>
      <c r="AE723" s="28"/>
      <c r="AF723" s="28"/>
      <c r="AG723" s="28" t="s">
        <v>90</v>
      </c>
      <c r="AH723" s="28" t="s">
        <v>90</v>
      </c>
      <c r="AI723" s="28" t="s">
        <v>90</v>
      </c>
      <c r="AJ723" s="28" t="s">
        <v>90</v>
      </c>
      <c r="AK723" s="28" t="s">
        <v>90</v>
      </c>
      <c r="AL723" s="28" t="s">
        <v>90</v>
      </c>
      <c r="AM723" s="28" t="s">
        <v>90</v>
      </c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9">
        <v>27</v>
      </c>
      <c r="AY723" s="30"/>
      <c r="AZ723" s="30"/>
      <c r="BA723" s="29"/>
      <c r="BB723" s="29"/>
      <c r="BC723" s="30"/>
      <c r="BD723" s="31">
        <f t="shared" ref="BD723:BD786" si="163">AX723*K723</f>
        <v>5616</v>
      </c>
      <c r="BE723" s="31"/>
      <c r="BF723" s="30"/>
      <c r="BG723" s="36">
        <v>1</v>
      </c>
      <c r="BH723" s="31">
        <f t="shared" ref="BH723:BH739" si="164">IF(AND((AX723/I723)&lt;2,BG723=1),(I723*2)-AX723,0)</f>
        <v>0</v>
      </c>
      <c r="BI723" s="31">
        <f t="shared" ref="BI723:BI739" si="165">IF(AND((AX723/I723)&lt;3,BG723=2),(I723*3)-AX723,0)</f>
        <v>0</v>
      </c>
      <c r="BJ723" s="33">
        <f t="shared" ref="BJ723:BJ739" si="166">(BH723+BI723)*K723</f>
        <v>0</v>
      </c>
      <c r="BK723" s="30"/>
      <c r="BL723" s="30"/>
      <c r="BM723" s="30"/>
      <c r="BN723" s="30"/>
      <c r="BO723" s="33">
        <f t="shared" si="155"/>
        <v>0</v>
      </c>
      <c r="BP723" s="30">
        <v>17</v>
      </c>
      <c r="BQ723" s="30">
        <v>25</v>
      </c>
      <c r="BR723" s="30"/>
      <c r="BS723" s="30"/>
      <c r="BT723" s="34">
        <f t="shared" si="156"/>
        <v>27</v>
      </c>
      <c r="BU723" s="34"/>
      <c r="BV723" s="34"/>
      <c r="BW723" s="34"/>
      <c r="BX723" s="34"/>
      <c r="BY723" s="30"/>
      <c r="BZ723" s="31">
        <f t="shared" si="157"/>
        <v>459</v>
      </c>
      <c r="CA723" s="31">
        <f t="shared" si="158"/>
        <v>675</v>
      </c>
    </row>
    <row r="724" spans="1:79" ht="89.25" x14ac:dyDescent="0.25">
      <c r="A724" s="17"/>
      <c r="B724" s="2">
        <v>711</v>
      </c>
      <c r="C724" s="18">
        <v>418</v>
      </c>
      <c r="D724" s="18">
        <v>91</v>
      </c>
      <c r="E724" s="19">
        <v>0.3034722222222222</v>
      </c>
      <c r="F724" s="19">
        <v>0.32777777777777778</v>
      </c>
      <c r="G724" s="51" t="s">
        <v>1517</v>
      </c>
      <c r="H724" s="18" t="s">
        <v>454</v>
      </c>
      <c r="I724" s="20">
        <f>13.5+1.8</f>
        <v>15.3</v>
      </c>
      <c r="J724" s="21" t="s">
        <v>1518</v>
      </c>
      <c r="K724" s="22">
        <v>304</v>
      </c>
      <c r="L724" s="23">
        <f t="shared" si="150"/>
        <v>4651.2</v>
      </c>
      <c r="M724" s="24" t="s">
        <v>1499</v>
      </c>
      <c r="N724" s="25" t="s">
        <v>1519</v>
      </c>
      <c r="O724" s="25">
        <v>31</v>
      </c>
      <c r="P724" s="25" t="s">
        <v>1520</v>
      </c>
      <c r="Q724" s="25">
        <v>20</v>
      </c>
      <c r="R724" s="17"/>
      <c r="S724" s="25"/>
      <c r="T724" s="26">
        <v>4115</v>
      </c>
      <c r="U724" s="26" t="s">
        <v>1503</v>
      </c>
      <c r="V724" s="26" t="s">
        <v>655</v>
      </c>
      <c r="W724" s="26" t="s">
        <v>656</v>
      </c>
      <c r="X724" s="66">
        <v>44805</v>
      </c>
      <c r="Y724" s="66">
        <v>45169</v>
      </c>
      <c r="Z724" s="66"/>
      <c r="AA724" s="66"/>
      <c r="AB724" s="28" t="s">
        <v>459</v>
      </c>
      <c r="AC724" s="28"/>
      <c r="AD724" s="28" t="s">
        <v>90</v>
      </c>
      <c r="AE724" s="28" t="s">
        <v>90</v>
      </c>
      <c r="AF724" s="28" t="s">
        <v>90</v>
      </c>
      <c r="AG724" s="28"/>
      <c r="AH724" s="28" t="s">
        <v>90</v>
      </c>
      <c r="AI724" s="28" t="s">
        <v>90</v>
      </c>
      <c r="AJ724" s="28" t="s">
        <v>90</v>
      </c>
      <c r="AK724" s="28" t="s">
        <v>90</v>
      </c>
      <c r="AL724" s="28" t="s">
        <v>90</v>
      </c>
      <c r="AM724" s="28" t="s">
        <v>90</v>
      </c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9">
        <v>35.35</v>
      </c>
      <c r="AY724" s="30"/>
      <c r="AZ724" s="30"/>
      <c r="BA724" s="29"/>
      <c r="BB724" s="29"/>
      <c r="BC724" s="30"/>
      <c r="BD724" s="31">
        <f t="shared" si="163"/>
        <v>10746.4</v>
      </c>
      <c r="BE724" s="31"/>
      <c r="BF724" s="30"/>
      <c r="BG724" s="36">
        <v>1</v>
      </c>
      <c r="BH724" s="31">
        <f t="shared" si="164"/>
        <v>0</v>
      </c>
      <c r="BI724" s="31">
        <f t="shared" si="165"/>
        <v>0</v>
      </c>
      <c r="BJ724" s="33">
        <f t="shared" si="166"/>
        <v>0</v>
      </c>
      <c r="BK724" s="30"/>
      <c r="BL724" s="30"/>
      <c r="BM724" s="30"/>
      <c r="BN724" s="30"/>
      <c r="BO724" s="33">
        <f t="shared" si="155"/>
        <v>0</v>
      </c>
      <c r="BP724" s="30">
        <v>26</v>
      </c>
      <c r="BQ724" s="30">
        <v>26</v>
      </c>
      <c r="BR724" s="30"/>
      <c r="BS724" s="30"/>
      <c r="BT724" s="34">
        <f t="shared" si="156"/>
        <v>35.35</v>
      </c>
      <c r="BU724" s="34"/>
      <c r="BV724" s="34"/>
      <c r="BW724" s="34"/>
      <c r="BX724" s="34"/>
      <c r="BY724" s="30"/>
      <c r="BZ724" s="31">
        <f t="shared" si="157"/>
        <v>919.1</v>
      </c>
      <c r="CA724" s="31">
        <f t="shared" si="158"/>
        <v>919.1</v>
      </c>
    </row>
    <row r="725" spans="1:79" ht="63.75" x14ac:dyDescent="0.25">
      <c r="A725" s="17"/>
      <c r="B725" s="2">
        <v>712</v>
      </c>
      <c r="C725" s="18">
        <v>418</v>
      </c>
      <c r="D725" s="58" t="s">
        <v>1521</v>
      </c>
      <c r="E725" s="19">
        <v>0.36805555555555558</v>
      </c>
      <c r="F725" s="19">
        <v>0.42152777777777778</v>
      </c>
      <c r="G725" s="51" t="s">
        <v>1522</v>
      </c>
      <c r="H725" s="18" t="s">
        <v>1523</v>
      </c>
      <c r="I725" s="20">
        <f>16+16.5</f>
        <v>32.5</v>
      </c>
      <c r="J725" s="21" t="s">
        <v>104</v>
      </c>
      <c r="K725" s="22">
        <v>58</v>
      </c>
      <c r="L725" s="23">
        <f t="shared" ref="L725:L789" si="167">+K725*I725</f>
        <v>1885</v>
      </c>
      <c r="M725" s="24" t="s">
        <v>1524</v>
      </c>
      <c r="N725" s="25" t="s">
        <v>1525</v>
      </c>
      <c r="O725" s="25">
        <v>33</v>
      </c>
      <c r="P725" s="25" t="s">
        <v>1526</v>
      </c>
      <c r="Q725" s="25">
        <v>55</v>
      </c>
      <c r="R725" s="17"/>
      <c r="S725" s="25"/>
      <c r="T725" s="26" t="s">
        <v>655</v>
      </c>
      <c r="U725" s="26" t="s">
        <v>656</v>
      </c>
      <c r="V725" s="26" t="s">
        <v>655</v>
      </c>
      <c r="W725" s="26" t="s">
        <v>656</v>
      </c>
      <c r="X725" s="66">
        <v>44805</v>
      </c>
      <c r="Y725" s="66">
        <v>45169</v>
      </c>
      <c r="Z725" s="66"/>
      <c r="AA725" s="66"/>
      <c r="AB725" s="28" t="s">
        <v>408</v>
      </c>
      <c r="AC725" s="28"/>
      <c r="AD725" s="28" t="s">
        <v>90</v>
      </c>
      <c r="AE725" s="28" t="s">
        <v>90</v>
      </c>
      <c r="AF725" s="28"/>
      <c r="AG725" s="28"/>
      <c r="AH725" s="28"/>
      <c r="AI725" s="28"/>
      <c r="AJ725" s="28"/>
      <c r="AK725" s="28"/>
      <c r="AL725" s="28"/>
      <c r="AM725" s="28"/>
      <c r="AN725" s="28" t="s">
        <v>90</v>
      </c>
      <c r="AO725" s="28"/>
      <c r="AP725" s="28"/>
      <c r="AQ725" s="28"/>
      <c r="AR725" s="28"/>
      <c r="AS725" s="28"/>
      <c r="AT725" s="28"/>
      <c r="AU725" s="28"/>
      <c r="AV725" s="28"/>
      <c r="AW725" s="28"/>
      <c r="AX725" s="29">
        <v>97.5</v>
      </c>
      <c r="AY725" s="30"/>
      <c r="AZ725" s="30"/>
      <c r="BA725" s="29"/>
      <c r="BB725" s="29"/>
      <c r="BC725" s="30"/>
      <c r="BD725" s="31">
        <f t="shared" si="163"/>
        <v>5655</v>
      </c>
      <c r="BE725" s="31"/>
      <c r="BF725" s="30"/>
      <c r="BG725" s="36">
        <v>1</v>
      </c>
      <c r="BH725" s="31">
        <f t="shared" si="164"/>
        <v>0</v>
      </c>
      <c r="BI725" s="31">
        <f t="shared" si="165"/>
        <v>0</v>
      </c>
      <c r="BJ725" s="33">
        <f t="shared" si="166"/>
        <v>0</v>
      </c>
      <c r="BK725" s="30"/>
      <c r="BL725" s="30"/>
      <c r="BM725" s="30"/>
      <c r="BN725" s="30"/>
      <c r="BO725" s="33">
        <f t="shared" si="155"/>
        <v>0</v>
      </c>
      <c r="BP725" s="30">
        <v>4</v>
      </c>
      <c r="BQ725" s="30">
        <v>5</v>
      </c>
      <c r="BR725" s="30"/>
      <c r="BS725" s="30"/>
      <c r="BT725" s="34">
        <f t="shared" si="156"/>
        <v>97.5</v>
      </c>
      <c r="BU725" s="34"/>
      <c r="BV725" s="34"/>
      <c r="BW725" s="34"/>
      <c r="BX725" s="34"/>
      <c r="BY725" s="30"/>
      <c r="BZ725" s="31">
        <f t="shared" si="157"/>
        <v>390</v>
      </c>
      <c r="CA725" s="31">
        <f t="shared" si="158"/>
        <v>487.5</v>
      </c>
    </row>
    <row r="726" spans="1:79" ht="45" x14ac:dyDescent="0.25">
      <c r="A726" s="17"/>
      <c r="B726" s="2">
        <v>713</v>
      </c>
      <c r="C726" s="18">
        <v>418</v>
      </c>
      <c r="D726" s="18">
        <v>92</v>
      </c>
      <c r="E726" s="19">
        <v>0.52777777777777779</v>
      </c>
      <c r="F726" s="19">
        <v>0.55347222222222225</v>
      </c>
      <c r="G726" s="18" t="s">
        <v>1527</v>
      </c>
      <c r="H726" s="18" t="s">
        <v>316</v>
      </c>
      <c r="I726" s="20">
        <v>13.5</v>
      </c>
      <c r="J726" s="21" t="s">
        <v>1518</v>
      </c>
      <c r="K726" s="22">
        <v>67</v>
      </c>
      <c r="L726" s="23">
        <f t="shared" si="167"/>
        <v>904.5</v>
      </c>
      <c r="M726" s="24" t="s">
        <v>1499</v>
      </c>
      <c r="N726" s="25" t="s">
        <v>1519</v>
      </c>
      <c r="O726" s="25">
        <v>31</v>
      </c>
      <c r="P726" s="25" t="s">
        <v>1520</v>
      </c>
      <c r="Q726" s="25">
        <v>20</v>
      </c>
      <c r="R726" s="17"/>
      <c r="S726" s="25"/>
      <c r="T726" s="26" t="s">
        <v>655</v>
      </c>
      <c r="U726" s="26" t="s">
        <v>656</v>
      </c>
      <c r="V726" s="26">
        <v>4115</v>
      </c>
      <c r="W726" s="26" t="s">
        <v>1503</v>
      </c>
      <c r="X726" s="27">
        <v>44562</v>
      </c>
      <c r="Y726" s="27">
        <v>44815</v>
      </c>
      <c r="Z726" s="27">
        <v>45101</v>
      </c>
      <c r="AA726" s="27">
        <v>45169</v>
      </c>
      <c r="AB726" s="28" t="s">
        <v>89</v>
      </c>
      <c r="AC726" s="28"/>
      <c r="AD726" s="28"/>
      <c r="AE726" s="28" t="s">
        <v>90</v>
      </c>
      <c r="AF726" s="28" t="s">
        <v>90</v>
      </c>
      <c r="AG726" s="28"/>
      <c r="AH726" s="28" t="s">
        <v>90</v>
      </c>
      <c r="AI726" s="28" t="s">
        <v>90</v>
      </c>
      <c r="AJ726" s="28" t="s">
        <v>90</v>
      </c>
      <c r="AK726" s="28" t="s">
        <v>90</v>
      </c>
      <c r="AL726" s="28" t="s">
        <v>90</v>
      </c>
      <c r="AM726" s="28" t="s">
        <v>90</v>
      </c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9">
        <v>32.11</v>
      </c>
      <c r="AY726" s="30"/>
      <c r="AZ726" s="30"/>
      <c r="BA726" s="29"/>
      <c r="BB726" s="29"/>
      <c r="BC726" s="30"/>
      <c r="BD726" s="31">
        <f t="shared" si="163"/>
        <v>2151.37</v>
      </c>
      <c r="BE726" s="31"/>
      <c r="BF726" s="30"/>
      <c r="BG726" s="36">
        <v>1</v>
      </c>
      <c r="BH726" s="31">
        <f t="shared" si="164"/>
        <v>0</v>
      </c>
      <c r="BI726" s="31">
        <f t="shared" si="165"/>
        <v>0</v>
      </c>
      <c r="BJ726" s="33">
        <f t="shared" si="166"/>
        <v>0</v>
      </c>
      <c r="BK726" s="30"/>
      <c r="BL726" s="30"/>
      <c r="BM726" s="30"/>
      <c r="BN726" s="30"/>
      <c r="BO726" s="33">
        <f t="shared" si="155"/>
        <v>0</v>
      </c>
      <c r="BP726" s="30">
        <v>9</v>
      </c>
      <c r="BQ726" s="30">
        <v>0</v>
      </c>
      <c r="BR726" s="30"/>
      <c r="BS726" s="30"/>
      <c r="BT726" s="34">
        <f t="shared" si="156"/>
        <v>32.11</v>
      </c>
      <c r="BU726" s="34"/>
      <c r="BV726" s="34"/>
      <c r="BW726" s="34"/>
      <c r="BX726" s="34"/>
      <c r="BY726" s="30"/>
      <c r="BZ726" s="31">
        <f t="shared" si="157"/>
        <v>288.99</v>
      </c>
      <c r="CA726" s="31">
        <f t="shared" si="158"/>
        <v>0</v>
      </c>
    </row>
    <row r="727" spans="1:79" ht="45" x14ac:dyDescent="0.25">
      <c r="A727" s="17"/>
      <c r="B727" s="2">
        <v>714</v>
      </c>
      <c r="C727" s="18">
        <v>418</v>
      </c>
      <c r="D727" s="18">
        <v>92</v>
      </c>
      <c r="E727" s="19">
        <v>0.53125</v>
      </c>
      <c r="F727" s="59">
        <v>0.55555555555555558</v>
      </c>
      <c r="G727" s="18" t="s">
        <v>1527</v>
      </c>
      <c r="H727" s="18" t="s">
        <v>422</v>
      </c>
      <c r="I727" s="20">
        <v>13.5</v>
      </c>
      <c r="J727" s="21" t="s">
        <v>1518</v>
      </c>
      <c r="K727" s="22">
        <v>240</v>
      </c>
      <c r="L727" s="23">
        <f t="shared" si="167"/>
        <v>3240</v>
      </c>
      <c r="M727" s="24" t="s">
        <v>1499</v>
      </c>
      <c r="N727" s="25" t="s">
        <v>1519</v>
      </c>
      <c r="O727" s="25">
        <v>31</v>
      </c>
      <c r="P727" s="25" t="s">
        <v>1520</v>
      </c>
      <c r="Q727" s="25">
        <v>20</v>
      </c>
      <c r="R727" s="17"/>
      <c r="S727" s="25"/>
      <c r="T727" s="26" t="s">
        <v>655</v>
      </c>
      <c r="U727" s="26" t="s">
        <v>656</v>
      </c>
      <c r="V727" s="26">
        <v>4115</v>
      </c>
      <c r="W727" s="26" t="s">
        <v>1503</v>
      </c>
      <c r="X727" s="27">
        <v>44816</v>
      </c>
      <c r="Y727" s="27">
        <v>45100</v>
      </c>
      <c r="Z727" s="27"/>
      <c r="AA727" s="27"/>
      <c r="AB727" s="26" t="s">
        <v>423</v>
      </c>
      <c r="AC727" s="26"/>
      <c r="AD727" s="28" t="s">
        <v>90</v>
      </c>
      <c r="AE727" s="28"/>
      <c r="AF727" s="28" t="s">
        <v>90</v>
      </c>
      <c r="AG727" s="28"/>
      <c r="AH727" s="28" t="s">
        <v>90</v>
      </c>
      <c r="AI727" s="28" t="s">
        <v>90</v>
      </c>
      <c r="AJ727" s="28" t="s">
        <v>90</v>
      </c>
      <c r="AK727" s="28" t="s">
        <v>90</v>
      </c>
      <c r="AL727" s="28" t="s">
        <v>90</v>
      </c>
      <c r="AM727" s="28" t="s">
        <v>90</v>
      </c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9">
        <v>32.11</v>
      </c>
      <c r="AY727" s="30"/>
      <c r="AZ727" s="30"/>
      <c r="BA727" s="29"/>
      <c r="BB727" s="29"/>
      <c r="BC727" s="30"/>
      <c r="BD727" s="31">
        <f t="shared" si="163"/>
        <v>7706.4</v>
      </c>
      <c r="BE727" s="31"/>
      <c r="BF727" s="30"/>
      <c r="BG727" s="36">
        <v>1</v>
      </c>
      <c r="BH727" s="31">
        <f t="shared" si="164"/>
        <v>0</v>
      </c>
      <c r="BI727" s="31">
        <f t="shared" si="165"/>
        <v>0</v>
      </c>
      <c r="BJ727" s="33">
        <f t="shared" si="166"/>
        <v>0</v>
      </c>
      <c r="BK727" s="30"/>
      <c r="BL727" s="30"/>
      <c r="BM727" s="30"/>
      <c r="BN727" s="30"/>
      <c r="BO727" s="33">
        <f t="shared" si="155"/>
        <v>0</v>
      </c>
      <c r="BP727" s="30">
        <v>17</v>
      </c>
      <c r="BQ727" s="30">
        <v>26</v>
      </c>
      <c r="BR727" s="30"/>
      <c r="BS727" s="30"/>
      <c r="BT727" s="34">
        <f t="shared" si="156"/>
        <v>32.11</v>
      </c>
      <c r="BU727" s="34"/>
      <c r="BV727" s="34"/>
      <c r="BW727" s="34"/>
      <c r="BX727" s="34"/>
      <c r="BY727" s="30"/>
      <c r="BZ727" s="31">
        <f t="shared" si="157"/>
        <v>545.87</v>
      </c>
      <c r="CA727" s="31">
        <f t="shared" si="158"/>
        <v>834.86</v>
      </c>
    </row>
    <row r="728" spans="1:79" ht="63.75" x14ac:dyDescent="0.25">
      <c r="A728" s="17"/>
      <c r="B728" s="2">
        <v>715</v>
      </c>
      <c r="C728" s="18">
        <v>418</v>
      </c>
      <c r="D728" s="18">
        <v>180</v>
      </c>
      <c r="E728" s="19">
        <v>0.53819444444444442</v>
      </c>
      <c r="F728" s="59">
        <v>0.5625</v>
      </c>
      <c r="G728" s="18" t="s">
        <v>1528</v>
      </c>
      <c r="H728" s="18" t="s">
        <v>306</v>
      </c>
      <c r="I728" s="20">
        <v>12</v>
      </c>
      <c r="J728" s="21" t="s">
        <v>541</v>
      </c>
      <c r="K728" s="22">
        <v>208</v>
      </c>
      <c r="L728" s="23">
        <f t="shared" si="167"/>
        <v>2496</v>
      </c>
      <c r="M728" s="24" t="s">
        <v>478</v>
      </c>
      <c r="N728" s="25" t="s">
        <v>1529</v>
      </c>
      <c r="O728" s="25">
        <v>21</v>
      </c>
      <c r="P728" s="25" t="s">
        <v>479</v>
      </c>
      <c r="Q728" s="25">
        <v>17</v>
      </c>
      <c r="R728" s="17"/>
      <c r="S728" s="25"/>
      <c r="T728" s="26" t="s">
        <v>655</v>
      </c>
      <c r="U728" s="26" t="s">
        <v>656</v>
      </c>
      <c r="V728" s="26">
        <v>4143</v>
      </c>
      <c r="W728" s="26" t="s">
        <v>1505</v>
      </c>
      <c r="X728" s="66">
        <v>44816</v>
      </c>
      <c r="Y728" s="66">
        <v>45086</v>
      </c>
      <c r="Z728" s="66"/>
      <c r="AA728" s="66"/>
      <c r="AB728" s="26" t="s">
        <v>309</v>
      </c>
      <c r="AC728" s="26"/>
      <c r="AD728" s="28"/>
      <c r="AE728" s="28"/>
      <c r="AF728" s="28"/>
      <c r="AG728" s="28" t="s">
        <v>90</v>
      </c>
      <c r="AH728" s="28" t="s">
        <v>90</v>
      </c>
      <c r="AI728" s="28" t="s">
        <v>90</v>
      </c>
      <c r="AJ728" s="28" t="s">
        <v>90</v>
      </c>
      <c r="AK728" s="28" t="s">
        <v>90</v>
      </c>
      <c r="AL728" s="28" t="s">
        <v>90</v>
      </c>
      <c r="AM728" s="28" t="s">
        <v>90</v>
      </c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9">
        <v>37.74</v>
      </c>
      <c r="AY728" s="30"/>
      <c r="AZ728" s="30"/>
      <c r="BA728" s="29"/>
      <c r="BB728" s="29"/>
      <c r="BC728" s="30"/>
      <c r="BD728" s="31">
        <f t="shared" si="163"/>
        <v>7849.92</v>
      </c>
      <c r="BE728" s="31"/>
      <c r="BF728" s="30"/>
      <c r="BG728" s="36">
        <v>1</v>
      </c>
      <c r="BH728" s="31">
        <f t="shared" si="164"/>
        <v>0</v>
      </c>
      <c r="BI728" s="31">
        <f t="shared" si="165"/>
        <v>0</v>
      </c>
      <c r="BJ728" s="33">
        <f t="shared" si="166"/>
        <v>0</v>
      </c>
      <c r="BK728" s="30"/>
      <c r="BL728" s="30"/>
      <c r="BM728" s="30"/>
      <c r="BN728" s="30"/>
      <c r="BO728" s="33">
        <f t="shared" si="155"/>
        <v>0</v>
      </c>
      <c r="BP728" s="30">
        <v>17</v>
      </c>
      <c r="BQ728" s="30">
        <v>25</v>
      </c>
      <c r="BR728" s="30"/>
      <c r="BS728" s="30"/>
      <c r="BT728" s="34">
        <f t="shared" si="156"/>
        <v>37.74</v>
      </c>
      <c r="BU728" s="34"/>
      <c r="BV728" s="34"/>
      <c r="BW728" s="34"/>
      <c r="BX728" s="34"/>
      <c r="BY728" s="30"/>
      <c r="BZ728" s="31">
        <f t="shared" si="157"/>
        <v>641.58000000000004</v>
      </c>
      <c r="CA728" s="31">
        <f t="shared" si="158"/>
        <v>943.5</v>
      </c>
    </row>
    <row r="729" spans="1:79" ht="102" x14ac:dyDescent="0.25">
      <c r="A729" s="17"/>
      <c r="B729" s="2">
        <v>716</v>
      </c>
      <c r="C729" s="18">
        <v>418</v>
      </c>
      <c r="D729" s="58" t="s">
        <v>1530</v>
      </c>
      <c r="E729" s="19">
        <v>0.54861111111111105</v>
      </c>
      <c r="F729" s="19">
        <v>0.6020833333333333</v>
      </c>
      <c r="G729" s="51" t="s">
        <v>1531</v>
      </c>
      <c r="H729" s="18" t="s">
        <v>1523</v>
      </c>
      <c r="I729" s="20">
        <f>16+16.5</f>
        <v>32.5</v>
      </c>
      <c r="J729" s="21" t="s">
        <v>104</v>
      </c>
      <c r="K729" s="22">
        <v>58</v>
      </c>
      <c r="L729" s="23">
        <f t="shared" si="167"/>
        <v>1885</v>
      </c>
      <c r="M729" s="24" t="s">
        <v>1524</v>
      </c>
      <c r="N729" s="25" t="s">
        <v>1525</v>
      </c>
      <c r="O729" s="25">
        <v>33</v>
      </c>
      <c r="P729" s="25" t="s">
        <v>1526</v>
      </c>
      <c r="Q729" s="25">
        <v>55</v>
      </c>
      <c r="R729" s="17"/>
      <c r="S729" s="25"/>
      <c r="T729" s="26" t="s">
        <v>655</v>
      </c>
      <c r="U729" s="26" t="s">
        <v>656</v>
      </c>
      <c r="V729" s="26" t="s">
        <v>655</v>
      </c>
      <c r="W729" s="26" t="s">
        <v>656</v>
      </c>
      <c r="X729" s="66">
        <v>44805</v>
      </c>
      <c r="Y729" s="66">
        <v>45169</v>
      </c>
      <c r="Z729" s="66"/>
      <c r="AA729" s="66"/>
      <c r="AB729" s="28" t="s">
        <v>408</v>
      </c>
      <c r="AC729" s="28"/>
      <c r="AD729" s="28" t="s">
        <v>90</v>
      </c>
      <c r="AE729" s="28" t="s">
        <v>90</v>
      </c>
      <c r="AF729" s="28"/>
      <c r="AG729" s="28"/>
      <c r="AH729" s="28"/>
      <c r="AI729" s="28"/>
      <c r="AJ729" s="28"/>
      <c r="AK729" s="28"/>
      <c r="AL729" s="28"/>
      <c r="AM729" s="28"/>
      <c r="AN729" s="28" t="s">
        <v>90</v>
      </c>
      <c r="AO729" s="28"/>
      <c r="AP729" s="28"/>
      <c r="AQ729" s="28"/>
      <c r="AR729" s="28"/>
      <c r="AS729" s="28"/>
      <c r="AT729" s="28"/>
      <c r="AU729" s="28"/>
      <c r="AV729" s="28"/>
      <c r="AW729" s="28"/>
      <c r="AX729" s="29">
        <v>97.5</v>
      </c>
      <c r="AY729" s="30"/>
      <c r="AZ729" s="30"/>
      <c r="BA729" s="29"/>
      <c r="BB729" s="29"/>
      <c r="BC729" s="30"/>
      <c r="BD729" s="31">
        <f t="shared" si="163"/>
        <v>5655</v>
      </c>
      <c r="BE729" s="31"/>
      <c r="BF729" s="30"/>
      <c r="BG729" s="36">
        <v>1</v>
      </c>
      <c r="BH729" s="31">
        <f t="shared" si="164"/>
        <v>0</v>
      </c>
      <c r="BI729" s="31">
        <f t="shared" si="165"/>
        <v>0</v>
      </c>
      <c r="BJ729" s="33">
        <f t="shared" si="166"/>
        <v>0</v>
      </c>
      <c r="BK729" s="30"/>
      <c r="BL729" s="30"/>
      <c r="BM729" s="30"/>
      <c r="BN729" s="30"/>
      <c r="BO729" s="33">
        <f t="shared" si="155"/>
        <v>0</v>
      </c>
      <c r="BP729" s="30">
        <v>4</v>
      </c>
      <c r="BQ729" s="30">
        <v>5</v>
      </c>
      <c r="BR729" s="30"/>
      <c r="BS729" s="30"/>
      <c r="BT729" s="34">
        <f t="shared" si="156"/>
        <v>97.5</v>
      </c>
      <c r="BU729" s="34"/>
      <c r="BV729" s="34"/>
      <c r="BW729" s="34"/>
      <c r="BX729" s="34"/>
      <c r="BY729" s="30"/>
      <c r="BZ729" s="31">
        <f t="shared" si="157"/>
        <v>390</v>
      </c>
      <c r="CA729" s="31">
        <f t="shared" si="158"/>
        <v>487.5</v>
      </c>
    </row>
    <row r="730" spans="1:79" ht="51" x14ac:dyDescent="0.25">
      <c r="A730" s="17"/>
      <c r="B730" s="2">
        <v>717</v>
      </c>
      <c r="C730" s="58">
        <v>418</v>
      </c>
      <c r="D730" s="18">
        <v>456</v>
      </c>
      <c r="E730" s="19">
        <v>0.56597222222222221</v>
      </c>
      <c r="F730" s="19">
        <v>0.57500000000000007</v>
      </c>
      <c r="G730" s="18" t="s">
        <v>1532</v>
      </c>
      <c r="H730" s="18" t="s">
        <v>306</v>
      </c>
      <c r="I730" s="20">
        <v>6</v>
      </c>
      <c r="J730" s="21" t="s">
        <v>93</v>
      </c>
      <c r="K730" s="22">
        <v>208</v>
      </c>
      <c r="L730" s="23">
        <f t="shared" si="167"/>
        <v>1248</v>
      </c>
      <c r="M730" s="24" t="s">
        <v>1499</v>
      </c>
      <c r="N730" s="25" t="s">
        <v>1520</v>
      </c>
      <c r="O730" s="25">
        <v>20</v>
      </c>
      <c r="P730" s="25" t="s">
        <v>1501</v>
      </c>
      <c r="Q730" s="25">
        <v>9</v>
      </c>
      <c r="R730" s="17"/>
      <c r="S730" s="25"/>
      <c r="T730" s="26">
        <v>4113</v>
      </c>
      <c r="U730" s="26" t="s">
        <v>1509</v>
      </c>
      <c r="V730" s="26">
        <v>4115</v>
      </c>
      <c r="W730" s="26" t="s">
        <v>1503</v>
      </c>
      <c r="X730" s="66">
        <v>44816</v>
      </c>
      <c r="Y730" s="66">
        <v>45086</v>
      </c>
      <c r="Z730" s="66"/>
      <c r="AA730" s="66"/>
      <c r="AB730" s="26" t="s">
        <v>309</v>
      </c>
      <c r="AC730" s="26"/>
      <c r="AD730" s="28"/>
      <c r="AE730" s="28"/>
      <c r="AF730" s="28"/>
      <c r="AG730" s="28" t="s">
        <v>90</v>
      </c>
      <c r="AH730" s="28" t="s">
        <v>90</v>
      </c>
      <c r="AI730" s="28" t="s">
        <v>90</v>
      </c>
      <c r="AJ730" s="28" t="s">
        <v>90</v>
      </c>
      <c r="AK730" s="28" t="s">
        <v>90</v>
      </c>
      <c r="AL730" s="28" t="s">
        <v>90</v>
      </c>
      <c r="AM730" s="28" t="s">
        <v>90</v>
      </c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9">
        <v>10.8</v>
      </c>
      <c r="AY730" s="30"/>
      <c r="AZ730" s="30"/>
      <c r="BA730" s="29"/>
      <c r="BB730" s="29"/>
      <c r="BC730" s="30"/>
      <c r="BD730" s="31">
        <f t="shared" si="163"/>
        <v>2246.4</v>
      </c>
      <c r="BE730" s="31"/>
      <c r="BF730" s="30"/>
      <c r="BG730" s="36">
        <v>1</v>
      </c>
      <c r="BH730" s="31">
        <f t="shared" si="164"/>
        <v>1.1999999999999993</v>
      </c>
      <c r="BI730" s="31">
        <f t="shared" si="165"/>
        <v>0</v>
      </c>
      <c r="BJ730" s="31">
        <f t="shared" si="166"/>
        <v>249.59999999999985</v>
      </c>
      <c r="BK730" s="30"/>
      <c r="BL730" s="30"/>
      <c r="BM730" s="30"/>
      <c r="BN730" s="30"/>
      <c r="BO730" s="33">
        <f t="shared" si="155"/>
        <v>0</v>
      </c>
      <c r="BP730" s="30">
        <v>17</v>
      </c>
      <c r="BQ730" s="30">
        <v>25</v>
      </c>
      <c r="BR730" s="30"/>
      <c r="BS730" s="30"/>
      <c r="BT730" s="34">
        <f t="shared" si="156"/>
        <v>12</v>
      </c>
      <c r="BU730" s="34"/>
      <c r="BV730" s="34"/>
      <c r="BW730" s="34"/>
      <c r="BX730" s="34"/>
      <c r="BY730" s="30"/>
      <c r="BZ730" s="31">
        <f t="shared" si="157"/>
        <v>204</v>
      </c>
      <c r="CA730" s="31">
        <f t="shared" si="158"/>
        <v>300</v>
      </c>
    </row>
    <row r="731" spans="1:79" ht="45" x14ac:dyDescent="0.25">
      <c r="A731" s="17"/>
      <c r="B731" s="2">
        <v>718</v>
      </c>
      <c r="C731" s="18">
        <v>418</v>
      </c>
      <c r="D731" s="18">
        <v>93</v>
      </c>
      <c r="E731" s="19">
        <v>0.58263888888888882</v>
      </c>
      <c r="F731" s="19">
        <v>0.59166666666666667</v>
      </c>
      <c r="G731" s="51" t="s">
        <v>1533</v>
      </c>
      <c r="H731" s="18" t="s">
        <v>454</v>
      </c>
      <c r="I731" s="20">
        <v>6</v>
      </c>
      <c r="J731" s="21" t="s">
        <v>122</v>
      </c>
      <c r="K731" s="22">
        <v>304</v>
      </c>
      <c r="L731" s="23">
        <f t="shared" si="167"/>
        <v>1824</v>
      </c>
      <c r="M731" s="24" t="s">
        <v>1499</v>
      </c>
      <c r="N731" s="25" t="s">
        <v>1500</v>
      </c>
      <c r="O731" s="25">
        <v>9</v>
      </c>
      <c r="P731" s="25" t="s">
        <v>1501</v>
      </c>
      <c r="Q731" s="25">
        <v>9</v>
      </c>
      <c r="R731" s="17"/>
      <c r="S731" s="25"/>
      <c r="T731" s="26">
        <v>4115</v>
      </c>
      <c r="U731" s="26" t="s">
        <v>1503</v>
      </c>
      <c r="V731" s="26">
        <v>4113</v>
      </c>
      <c r="W731" s="26" t="s">
        <v>1509</v>
      </c>
      <c r="X731" s="66">
        <v>44805</v>
      </c>
      <c r="Y731" s="66">
        <v>45169</v>
      </c>
      <c r="Z731" s="66"/>
      <c r="AA731" s="66"/>
      <c r="AB731" s="28" t="s">
        <v>459</v>
      </c>
      <c r="AC731" s="28"/>
      <c r="AD731" s="28" t="s">
        <v>90</v>
      </c>
      <c r="AE731" s="28" t="s">
        <v>90</v>
      </c>
      <c r="AF731" s="28" t="s">
        <v>90</v>
      </c>
      <c r="AG731" s="28"/>
      <c r="AH731" s="28" t="s">
        <v>90</v>
      </c>
      <c r="AI731" s="28" t="s">
        <v>90</v>
      </c>
      <c r="AJ731" s="28" t="s">
        <v>90</v>
      </c>
      <c r="AK731" s="28" t="s">
        <v>90</v>
      </c>
      <c r="AL731" s="28" t="s">
        <v>90</v>
      </c>
      <c r="AM731" s="28" t="s">
        <v>90</v>
      </c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9">
        <v>14.27</v>
      </c>
      <c r="AY731" s="30"/>
      <c r="AZ731" s="30"/>
      <c r="BA731" s="29"/>
      <c r="BB731" s="29"/>
      <c r="BC731" s="30"/>
      <c r="BD731" s="31">
        <f t="shared" si="163"/>
        <v>4338.08</v>
      </c>
      <c r="BE731" s="31"/>
      <c r="BF731" s="30"/>
      <c r="BG731" s="36">
        <v>1</v>
      </c>
      <c r="BH731" s="31">
        <f t="shared" si="164"/>
        <v>0</v>
      </c>
      <c r="BI731" s="31">
        <f t="shared" si="165"/>
        <v>0</v>
      </c>
      <c r="BJ731" s="33">
        <f t="shared" si="166"/>
        <v>0</v>
      </c>
      <c r="BK731" s="30"/>
      <c r="BL731" s="30"/>
      <c r="BM731" s="30"/>
      <c r="BN731" s="30"/>
      <c r="BO731" s="33">
        <f t="shared" si="155"/>
        <v>0</v>
      </c>
      <c r="BP731" s="30">
        <v>26</v>
      </c>
      <c r="BQ731" s="30">
        <v>26</v>
      </c>
      <c r="BR731" s="30"/>
      <c r="BS731" s="30"/>
      <c r="BT731" s="34">
        <f t="shared" si="156"/>
        <v>14.27</v>
      </c>
      <c r="BU731" s="34"/>
      <c r="BV731" s="34"/>
      <c r="BW731" s="34"/>
      <c r="BX731" s="34"/>
      <c r="BY731" s="30"/>
      <c r="BZ731" s="31">
        <f t="shared" si="157"/>
        <v>371.02</v>
      </c>
      <c r="CA731" s="31">
        <f t="shared" si="158"/>
        <v>371.02</v>
      </c>
    </row>
    <row r="732" spans="1:79" ht="51" x14ac:dyDescent="0.25">
      <c r="A732" s="17"/>
      <c r="B732" s="2">
        <v>719</v>
      </c>
      <c r="C732" s="18">
        <v>418</v>
      </c>
      <c r="D732" s="18">
        <v>458</v>
      </c>
      <c r="E732" s="19">
        <v>0.59166666666666667</v>
      </c>
      <c r="F732" s="19">
        <v>0.60069444444444442</v>
      </c>
      <c r="G732" s="18" t="s">
        <v>1532</v>
      </c>
      <c r="H732" s="18" t="s">
        <v>306</v>
      </c>
      <c r="I732" s="20">
        <v>6</v>
      </c>
      <c r="J732" s="21" t="s">
        <v>380</v>
      </c>
      <c r="K732" s="22">
        <v>208</v>
      </c>
      <c r="L732" s="23">
        <f t="shared" si="167"/>
        <v>1248</v>
      </c>
      <c r="M732" s="24" t="s">
        <v>1499</v>
      </c>
      <c r="N732" s="25" t="s">
        <v>1500</v>
      </c>
      <c r="O732" s="25">
        <v>9</v>
      </c>
      <c r="P732" s="25" t="s">
        <v>1501</v>
      </c>
      <c r="Q732" s="25">
        <v>9</v>
      </c>
      <c r="R732" s="17"/>
      <c r="S732" s="25"/>
      <c r="T732" s="26">
        <v>4113</v>
      </c>
      <c r="U732" s="26" t="s">
        <v>1509</v>
      </c>
      <c r="V732" s="26">
        <v>4115</v>
      </c>
      <c r="W732" s="26" t="s">
        <v>1503</v>
      </c>
      <c r="X732" s="66">
        <v>44816</v>
      </c>
      <c r="Y732" s="66">
        <v>45086</v>
      </c>
      <c r="Z732" s="66"/>
      <c r="AA732" s="66"/>
      <c r="AB732" s="26" t="s">
        <v>309</v>
      </c>
      <c r="AC732" s="26"/>
      <c r="AD732" s="28"/>
      <c r="AE732" s="28"/>
      <c r="AF732" s="28"/>
      <c r="AG732" s="28" t="s">
        <v>90</v>
      </c>
      <c r="AH732" s="28" t="s">
        <v>90</v>
      </c>
      <c r="AI732" s="28" t="s">
        <v>90</v>
      </c>
      <c r="AJ732" s="28" t="s">
        <v>90</v>
      </c>
      <c r="AK732" s="28" t="s">
        <v>90</v>
      </c>
      <c r="AL732" s="28" t="s">
        <v>90</v>
      </c>
      <c r="AM732" s="28" t="s">
        <v>90</v>
      </c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9">
        <v>16.649999999999999</v>
      </c>
      <c r="AY732" s="30"/>
      <c r="AZ732" s="30"/>
      <c r="BA732" s="29"/>
      <c r="BB732" s="29"/>
      <c r="BC732" s="30"/>
      <c r="BD732" s="31">
        <f t="shared" si="163"/>
        <v>3463.2</v>
      </c>
      <c r="BE732" s="31"/>
      <c r="BF732" s="30"/>
      <c r="BG732" s="36">
        <v>1</v>
      </c>
      <c r="BH732" s="31">
        <f t="shared" si="164"/>
        <v>0</v>
      </c>
      <c r="BI732" s="31">
        <f t="shared" si="165"/>
        <v>0</v>
      </c>
      <c r="BJ732" s="33">
        <f t="shared" si="166"/>
        <v>0</v>
      </c>
      <c r="BK732" s="30"/>
      <c r="BL732" s="30"/>
      <c r="BM732" s="30"/>
      <c r="BN732" s="30"/>
      <c r="BO732" s="33">
        <f t="shared" si="155"/>
        <v>0</v>
      </c>
      <c r="BP732" s="30">
        <v>17</v>
      </c>
      <c r="BQ732" s="30">
        <v>25</v>
      </c>
      <c r="BR732" s="30"/>
      <c r="BS732" s="30"/>
      <c r="BT732" s="34">
        <f t="shared" si="156"/>
        <v>16.649999999999999</v>
      </c>
      <c r="BU732" s="34"/>
      <c r="BV732" s="34"/>
      <c r="BW732" s="34"/>
      <c r="BX732" s="34"/>
      <c r="BY732" s="30"/>
      <c r="BZ732" s="31">
        <f t="shared" si="157"/>
        <v>283.04999999999995</v>
      </c>
      <c r="CA732" s="31">
        <f t="shared" si="158"/>
        <v>416.24999999999994</v>
      </c>
    </row>
    <row r="733" spans="1:79" ht="63.75" x14ac:dyDescent="0.25">
      <c r="A733" s="17"/>
      <c r="B733" s="2">
        <v>720</v>
      </c>
      <c r="C733" s="18">
        <v>418</v>
      </c>
      <c r="D733" s="18">
        <v>458</v>
      </c>
      <c r="E733" s="19">
        <v>0.60069444444444442</v>
      </c>
      <c r="F733" s="19">
        <v>0.60416666666666663</v>
      </c>
      <c r="G733" s="18" t="s">
        <v>1534</v>
      </c>
      <c r="H733" s="18" t="s">
        <v>306</v>
      </c>
      <c r="I733" s="20">
        <v>3</v>
      </c>
      <c r="J733" s="21" t="s">
        <v>380</v>
      </c>
      <c r="K733" s="22">
        <v>208</v>
      </c>
      <c r="L733" s="23">
        <f t="shared" si="167"/>
        <v>624</v>
      </c>
      <c r="M733" s="24" t="s">
        <v>1499</v>
      </c>
      <c r="N733" s="25" t="s">
        <v>1500</v>
      </c>
      <c r="O733" s="25">
        <v>9</v>
      </c>
      <c r="P733" s="25" t="s">
        <v>1501</v>
      </c>
      <c r="Q733" s="25">
        <v>9</v>
      </c>
      <c r="R733" s="17"/>
      <c r="S733" s="25"/>
      <c r="T733" s="26">
        <v>4115</v>
      </c>
      <c r="U733" s="26" t="s">
        <v>1503</v>
      </c>
      <c r="V733" s="26">
        <v>4116</v>
      </c>
      <c r="W733" s="26" t="s">
        <v>1502</v>
      </c>
      <c r="X733" s="66">
        <v>44816</v>
      </c>
      <c r="Y733" s="66">
        <v>45086</v>
      </c>
      <c r="Z733" s="66"/>
      <c r="AA733" s="66"/>
      <c r="AB733" s="26" t="s">
        <v>309</v>
      </c>
      <c r="AC733" s="26"/>
      <c r="AD733" s="28"/>
      <c r="AE733" s="28"/>
      <c r="AF733" s="28"/>
      <c r="AG733" s="28" t="s">
        <v>90</v>
      </c>
      <c r="AH733" s="28" t="s">
        <v>90</v>
      </c>
      <c r="AI733" s="28" t="s">
        <v>90</v>
      </c>
      <c r="AJ733" s="28" t="s">
        <v>90</v>
      </c>
      <c r="AK733" s="28" t="s">
        <v>90</v>
      </c>
      <c r="AL733" s="28" t="s">
        <v>90</v>
      </c>
      <c r="AM733" s="28" t="s">
        <v>90</v>
      </c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9">
        <v>8.33</v>
      </c>
      <c r="AY733" s="30"/>
      <c r="AZ733" s="30"/>
      <c r="BA733" s="29"/>
      <c r="BB733" s="29"/>
      <c r="BC733" s="30"/>
      <c r="BD733" s="31">
        <f t="shared" si="163"/>
        <v>1732.64</v>
      </c>
      <c r="BE733" s="31"/>
      <c r="BF733" s="30"/>
      <c r="BG733" s="36">
        <v>1</v>
      </c>
      <c r="BH733" s="31">
        <f t="shared" si="164"/>
        <v>0</v>
      </c>
      <c r="BI733" s="31">
        <f t="shared" si="165"/>
        <v>0</v>
      </c>
      <c r="BJ733" s="33">
        <f t="shared" si="166"/>
        <v>0</v>
      </c>
      <c r="BK733" s="30"/>
      <c r="BL733" s="30"/>
      <c r="BM733" s="30"/>
      <c r="BN733" s="30"/>
      <c r="BO733" s="33">
        <f t="shared" si="155"/>
        <v>0</v>
      </c>
      <c r="BP733" s="30">
        <v>17</v>
      </c>
      <c r="BQ733" s="30">
        <v>25</v>
      </c>
      <c r="BR733" s="30"/>
      <c r="BS733" s="30"/>
      <c r="BT733" s="34">
        <f t="shared" si="156"/>
        <v>8.33</v>
      </c>
      <c r="BU733" s="34"/>
      <c r="BV733" s="34"/>
      <c r="BW733" s="34"/>
      <c r="BX733" s="34"/>
      <c r="BY733" s="30"/>
      <c r="BZ733" s="31">
        <f t="shared" si="157"/>
        <v>141.61000000000001</v>
      </c>
      <c r="CA733" s="31">
        <f t="shared" si="158"/>
        <v>208.25</v>
      </c>
    </row>
    <row r="734" spans="1:79" ht="63.75" x14ac:dyDescent="0.25">
      <c r="A734" s="17"/>
      <c r="B734" s="2">
        <v>721</v>
      </c>
      <c r="C734" s="18">
        <v>418</v>
      </c>
      <c r="D734" s="18">
        <v>306</v>
      </c>
      <c r="E734" s="19">
        <v>0.61111111111111105</v>
      </c>
      <c r="F734" s="19">
        <v>0.63888888888888895</v>
      </c>
      <c r="G734" s="18" t="s">
        <v>1535</v>
      </c>
      <c r="H734" s="18" t="s">
        <v>273</v>
      </c>
      <c r="I734" s="20">
        <v>19.5</v>
      </c>
      <c r="J734" s="21" t="s">
        <v>541</v>
      </c>
      <c r="K734" s="22">
        <v>174</v>
      </c>
      <c r="L734" s="23">
        <f t="shared" si="167"/>
        <v>3393</v>
      </c>
      <c r="M734" s="24" t="s">
        <v>1489</v>
      </c>
      <c r="N734" s="17" t="s">
        <v>1490</v>
      </c>
      <c r="O734" s="17">
        <v>23</v>
      </c>
      <c r="P734" s="25" t="s">
        <v>1491</v>
      </c>
      <c r="Q734" s="25">
        <v>24</v>
      </c>
      <c r="R734" s="25" t="s">
        <v>1492</v>
      </c>
      <c r="S734" s="35">
        <v>23</v>
      </c>
      <c r="T734" s="26" t="s">
        <v>655</v>
      </c>
      <c r="U734" s="26" t="s">
        <v>656</v>
      </c>
      <c r="V734" s="26">
        <v>4126</v>
      </c>
      <c r="W734" s="26" t="s">
        <v>1493</v>
      </c>
      <c r="X734" s="66">
        <v>44816</v>
      </c>
      <c r="Y734" s="66">
        <v>45086</v>
      </c>
      <c r="Z734" s="66"/>
      <c r="AA734" s="66"/>
      <c r="AB734" s="26" t="s">
        <v>282</v>
      </c>
      <c r="AC734" s="26"/>
      <c r="AD734" s="28"/>
      <c r="AE734" s="28"/>
      <c r="AF734" s="28"/>
      <c r="AG734" s="28" t="s">
        <v>90</v>
      </c>
      <c r="AH734" s="28" t="s">
        <v>90</v>
      </c>
      <c r="AI734" s="28" t="s">
        <v>90</v>
      </c>
      <c r="AJ734" s="28" t="s">
        <v>90</v>
      </c>
      <c r="AK734" s="28" t="s">
        <v>90</v>
      </c>
      <c r="AL734" s="28" t="s">
        <v>90</v>
      </c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9">
        <v>35.1</v>
      </c>
      <c r="AY734" s="30"/>
      <c r="AZ734" s="30"/>
      <c r="BA734" s="29"/>
      <c r="BB734" s="29"/>
      <c r="BC734" s="30"/>
      <c r="BD734" s="31">
        <f t="shared" si="163"/>
        <v>6107.4000000000005</v>
      </c>
      <c r="BE734" s="31"/>
      <c r="BF734" s="30"/>
      <c r="BG734" s="36">
        <v>1</v>
      </c>
      <c r="BH734" s="31">
        <f t="shared" si="164"/>
        <v>3.8999999999999986</v>
      </c>
      <c r="BI734" s="31">
        <f t="shared" si="165"/>
        <v>0</v>
      </c>
      <c r="BJ734" s="31">
        <f t="shared" si="166"/>
        <v>678.5999999999998</v>
      </c>
      <c r="BK734" s="30"/>
      <c r="BL734" s="30"/>
      <c r="BM734" s="30"/>
      <c r="BN734" s="30"/>
      <c r="BO734" s="33">
        <f t="shared" si="155"/>
        <v>0</v>
      </c>
      <c r="BP734" s="30">
        <v>15</v>
      </c>
      <c r="BQ734" s="30">
        <v>20</v>
      </c>
      <c r="BR734" s="30"/>
      <c r="BS734" s="30"/>
      <c r="BT734" s="34">
        <f t="shared" si="156"/>
        <v>39</v>
      </c>
      <c r="BU734" s="34"/>
      <c r="BV734" s="34"/>
      <c r="BW734" s="34"/>
      <c r="BX734" s="34"/>
      <c r="BY734" s="30"/>
      <c r="BZ734" s="31">
        <f t="shared" si="157"/>
        <v>585</v>
      </c>
      <c r="CA734" s="31">
        <f t="shared" si="158"/>
        <v>780</v>
      </c>
    </row>
    <row r="735" spans="1:79" ht="63.75" x14ac:dyDescent="0.25">
      <c r="A735" s="17"/>
      <c r="B735" s="2">
        <v>722</v>
      </c>
      <c r="C735" s="18">
        <v>418</v>
      </c>
      <c r="D735" s="18">
        <v>460</v>
      </c>
      <c r="E735" s="19">
        <v>0.625</v>
      </c>
      <c r="F735" s="19">
        <v>0.63750000000000007</v>
      </c>
      <c r="G735" s="18" t="s">
        <v>1536</v>
      </c>
      <c r="H735" s="18" t="s">
        <v>273</v>
      </c>
      <c r="I735" s="20">
        <v>9</v>
      </c>
      <c r="J735" s="21" t="s">
        <v>93</v>
      </c>
      <c r="K735" s="22">
        <v>174</v>
      </c>
      <c r="L735" s="23">
        <f t="shared" si="167"/>
        <v>1566</v>
      </c>
      <c r="M735" s="24" t="s">
        <v>1499</v>
      </c>
      <c r="N735" s="25" t="s">
        <v>1500</v>
      </c>
      <c r="O735" s="25">
        <v>9</v>
      </c>
      <c r="P735" s="25" t="s">
        <v>1501</v>
      </c>
      <c r="Q735" s="25">
        <v>9</v>
      </c>
      <c r="R735" s="17"/>
      <c r="S735" s="25"/>
      <c r="T735" s="26">
        <v>4113</v>
      </c>
      <c r="U735" s="26" t="s">
        <v>1509</v>
      </c>
      <c r="V735" s="26">
        <v>4116</v>
      </c>
      <c r="W735" s="26" t="s">
        <v>1502</v>
      </c>
      <c r="X735" s="66">
        <v>44816</v>
      </c>
      <c r="Y735" s="66">
        <v>45086</v>
      </c>
      <c r="Z735" s="66"/>
      <c r="AA735" s="66"/>
      <c r="AB735" s="26" t="s">
        <v>282</v>
      </c>
      <c r="AC735" s="26"/>
      <c r="AD735" s="28"/>
      <c r="AE735" s="28"/>
      <c r="AF735" s="28"/>
      <c r="AG735" s="28" t="s">
        <v>90</v>
      </c>
      <c r="AH735" s="28" t="s">
        <v>90</v>
      </c>
      <c r="AI735" s="28" t="s">
        <v>90</v>
      </c>
      <c r="AJ735" s="28" t="s">
        <v>90</v>
      </c>
      <c r="AK735" s="28" t="s">
        <v>90</v>
      </c>
      <c r="AL735" s="28" t="s">
        <v>90</v>
      </c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9">
        <v>27</v>
      </c>
      <c r="AY735" s="30"/>
      <c r="AZ735" s="30"/>
      <c r="BA735" s="29"/>
      <c r="BB735" s="29"/>
      <c r="BC735" s="30"/>
      <c r="BD735" s="31">
        <f t="shared" si="163"/>
        <v>4698</v>
      </c>
      <c r="BE735" s="31"/>
      <c r="BF735" s="30"/>
      <c r="BG735" s="36">
        <v>1</v>
      </c>
      <c r="BH735" s="31">
        <f t="shared" si="164"/>
        <v>0</v>
      </c>
      <c r="BI735" s="31">
        <f t="shared" si="165"/>
        <v>0</v>
      </c>
      <c r="BJ735" s="33">
        <f t="shared" si="166"/>
        <v>0</v>
      </c>
      <c r="BK735" s="30"/>
      <c r="BL735" s="30"/>
      <c r="BM735" s="30"/>
      <c r="BN735" s="30"/>
      <c r="BO735" s="33">
        <f t="shared" si="155"/>
        <v>0</v>
      </c>
      <c r="BP735" s="30">
        <v>15</v>
      </c>
      <c r="BQ735" s="30">
        <v>20</v>
      </c>
      <c r="BR735" s="30"/>
      <c r="BS735" s="30"/>
      <c r="BT735" s="34">
        <f t="shared" si="156"/>
        <v>27</v>
      </c>
      <c r="BU735" s="34"/>
      <c r="BV735" s="34"/>
      <c r="BW735" s="34"/>
      <c r="BX735" s="34"/>
      <c r="BY735" s="30"/>
      <c r="BZ735" s="31">
        <f t="shared" si="157"/>
        <v>405</v>
      </c>
      <c r="CA735" s="31">
        <f t="shared" si="158"/>
        <v>540</v>
      </c>
    </row>
    <row r="736" spans="1:79" ht="51" x14ac:dyDescent="0.25">
      <c r="A736" s="17"/>
      <c r="B736" s="2">
        <v>723</v>
      </c>
      <c r="C736" s="18">
        <v>418</v>
      </c>
      <c r="D736" s="18">
        <v>272</v>
      </c>
      <c r="E736" s="19">
        <v>0.67152777777777783</v>
      </c>
      <c r="F736" s="19">
        <v>0.6958333333333333</v>
      </c>
      <c r="G736" s="18" t="s">
        <v>1537</v>
      </c>
      <c r="H736" s="18" t="s">
        <v>273</v>
      </c>
      <c r="I736" s="20">
        <v>14</v>
      </c>
      <c r="J736" s="21" t="s">
        <v>93</v>
      </c>
      <c r="K736" s="22">
        <v>174</v>
      </c>
      <c r="L736" s="23">
        <f t="shared" si="167"/>
        <v>2436</v>
      </c>
      <c r="M736" s="24" t="s">
        <v>1484</v>
      </c>
      <c r="N736" s="25" t="s">
        <v>1485</v>
      </c>
      <c r="O736" s="25">
        <v>21</v>
      </c>
      <c r="P736" s="25" t="s">
        <v>1486</v>
      </c>
      <c r="Q736" s="25">
        <v>31</v>
      </c>
      <c r="R736" s="17"/>
      <c r="S736" s="25"/>
      <c r="T736" s="26" t="s">
        <v>655</v>
      </c>
      <c r="U736" s="26" t="s">
        <v>656</v>
      </c>
      <c r="V736" s="26">
        <v>4143</v>
      </c>
      <c r="W736" s="26" t="s">
        <v>1505</v>
      </c>
      <c r="X736" s="66">
        <v>44816</v>
      </c>
      <c r="Y736" s="66">
        <v>45086</v>
      </c>
      <c r="Z736" s="66"/>
      <c r="AA736" s="66"/>
      <c r="AB736" s="26" t="s">
        <v>282</v>
      </c>
      <c r="AC736" s="26"/>
      <c r="AD736" s="28"/>
      <c r="AE736" s="28"/>
      <c r="AF736" s="28"/>
      <c r="AG736" s="28" t="s">
        <v>90</v>
      </c>
      <c r="AH736" s="28" t="s">
        <v>90</v>
      </c>
      <c r="AI736" s="28" t="s">
        <v>90</v>
      </c>
      <c r="AJ736" s="28" t="s">
        <v>90</v>
      </c>
      <c r="AK736" s="28" t="s">
        <v>90</v>
      </c>
      <c r="AL736" s="28" t="s">
        <v>90</v>
      </c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31">
        <v>42</v>
      </c>
      <c r="AY736" s="30"/>
      <c r="AZ736" s="30"/>
      <c r="BA736" s="31"/>
      <c r="BB736" s="31"/>
      <c r="BC736" s="30"/>
      <c r="BD736" s="31">
        <f t="shared" si="163"/>
        <v>7308</v>
      </c>
      <c r="BE736" s="31"/>
      <c r="BF736" s="30"/>
      <c r="BG736" s="36">
        <v>1</v>
      </c>
      <c r="BH736" s="31">
        <f t="shared" si="164"/>
        <v>0</v>
      </c>
      <c r="BI736" s="31">
        <f t="shared" si="165"/>
        <v>0</v>
      </c>
      <c r="BJ736" s="33">
        <f t="shared" si="166"/>
        <v>0</v>
      </c>
      <c r="BK736" s="30"/>
      <c r="BL736" s="30"/>
      <c r="BM736" s="30"/>
      <c r="BN736" s="30"/>
      <c r="BO736" s="33">
        <f t="shared" si="155"/>
        <v>0</v>
      </c>
      <c r="BP736" s="30">
        <v>15</v>
      </c>
      <c r="BQ736" s="30">
        <v>20</v>
      </c>
      <c r="BR736" s="30"/>
      <c r="BS736" s="30"/>
      <c r="BT736" s="34">
        <f t="shared" si="156"/>
        <v>42</v>
      </c>
      <c r="BU736" s="34"/>
      <c r="BV736" s="34"/>
      <c r="BW736" s="34"/>
      <c r="BX736" s="34"/>
      <c r="BY736" s="30"/>
      <c r="BZ736" s="31">
        <f t="shared" si="157"/>
        <v>630</v>
      </c>
      <c r="CA736" s="31">
        <f t="shared" si="158"/>
        <v>840</v>
      </c>
    </row>
    <row r="737" spans="1:79" ht="63.75" x14ac:dyDescent="0.25">
      <c r="A737" s="17"/>
      <c r="B737" s="2">
        <v>724</v>
      </c>
      <c r="C737" s="18">
        <v>418</v>
      </c>
      <c r="D737" s="58" t="s">
        <v>1538</v>
      </c>
      <c r="E737" s="19">
        <v>0.73611111111111116</v>
      </c>
      <c r="F737" s="19">
        <v>0.7895833333333333</v>
      </c>
      <c r="G737" s="51" t="s">
        <v>1522</v>
      </c>
      <c r="H737" s="18" t="s">
        <v>1523</v>
      </c>
      <c r="I737" s="20">
        <f>16+16.5</f>
        <v>32.5</v>
      </c>
      <c r="J737" s="21" t="s">
        <v>104</v>
      </c>
      <c r="K737" s="22">
        <v>58</v>
      </c>
      <c r="L737" s="23">
        <f t="shared" si="167"/>
        <v>1885</v>
      </c>
      <c r="M737" s="24" t="s">
        <v>1524</v>
      </c>
      <c r="N737" s="25" t="s">
        <v>1525</v>
      </c>
      <c r="O737" s="25">
        <v>33</v>
      </c>
      <c r="P737" s="25" t="s">
        <v>1526</v>
      </c>
      <c r="Q737" s="25">
        <v>55</v>
      </c>
      <c r="R737" s="17"/>
      <c r="S737" s="25"/>
      <c r="T737" s="26" t="s">
        <v>655</v>
      </c>
      <c r="U737" s="26" t="s">
        <v>656</v>
      </c>
      <c r="V737" s="26" t="s">
        <v>655</v>
      </c>
      <c r="W737" s="26" t="s">
        <v>656</v>
      </c>
      <c r="X737" s="66">
        <v>44805</v>
      </c>
      <c r="Y737" s="66">
        <v>45169</v>
      </c>
      <c r="Z737" s="66"/>
      <c r="AA737" s="66"/>
      <c r="AB737" s="28" t="s">
        <v>408</v>
      </c>
      <c r="AC737" s="28"/>
      <c r="AD737" s="28" t="s">
        <v>90</v>
      </c>
      <c r="AE737" s="28" t="s">
        <v>90</v>
      </c>
      <c r="AF737" s="28"/>
      <c r="AG737" s="28"/>
      <c r="AH737" s="28"/>
      <c r="AI737" s="28"/>
      <c r="AJ737" s="28"/>
      <c r="AK737" s="28"/>
      <c r="AL737" s="28"/>
      <c r="AM737" s="28"/>
      <c r="AN737" s="28" t="s">
        <v>90</v>
      </c>
      <c r="AO737" s="28"/>
      <c r="AP737" s="28"/>
      <c r="AQ737" s="28"/>
      <c r="AR737" s="28"/>
      <c r="AS737" s="28"/>
      <c r="AT737" s="28"/>
      <c r="AU737" s="28"/>
      <c r="AV737" s="28"/>
      <c r="AW737" s="28"/>
      <c r="AX737" s="29">
        <v>97.5</v>
      </c>
      <c r="AY737" s="30"/>
      <c r="AZ737" s="30"/>
      <c r="BA737" s="29"/>
      <c r="BB737" s="29"/>
      <c r="BC737" s="30"/>
      <c r="BD737" s="31">
        <f t="shared" si="163"/>
        <v>5655</v>
      </c>
      <c r="BE737" s="31"/>
      <c r="BF737" s="30"/>
      <c r="BG737" s="36">
        <v>1</v>
      </c>
      <c r="BH737" s="31">
        <f t="shared" si="164"/>
        <v>0</v>
      </c>
      <c r="BI737" s="31">
        <f t="shared" si="165"/>
        <v>0</v>
      </c>
      <c r="BJ737" s="33">
        <f t="shared" si="166"/>
        <v>0</v>
      </c>
      <c r="BK737" s="30"/>
      <c r="BL737" s="30"/>
      <c r="BM737" s="30"/>
      <c r="BN737" s="30"/>
      <c r="BO737" s="33">
        <f t="shared" si="155"/>
        <v>0</v>
      </c>
      <c r="BP737" s="30">
        <v>4</v>
      </c>
      <c r="BQ737" s="30">
        <v>5</v>
      </c>
      <c r="BR737" s="30"/>
      <c r="BS737" s="30"/>
      <c r="BT737" s="34">
        <f t="shared" si="156"/>
        <v>97.5</v>
      </c>
      <c r="BU737" s="34"/>
      <c r="BV737" s="34"/>
      <c r="BW737" s="34"/>
      <c r="BX737" s="34"/>
      <c r="BY737" s="30"/>
      <c r="BZ737" s="31">
        <f t="shared" si="157"/>
        <v>390</v>
      </c>
      <c r="CA737" s="31">
        <f t="shared" si="158"/>
        <v>487.5</v>
      </c>
    </row>
    <row r="738" spans="1:79" ht="51" x14ac:dyDescent="0.25">
      <c r="A738" s="17"/>
      <c r="B738" s="2">
        <v>725</v>
      </c>
      <c r="C738" s="18">
        <v>418</v>
      </c>
      <c r="D738" s="18">
        <v>168</v>
      </c>
      <c r="E738" s="19">
        <v>0.73611111111111116</v>
      </c>
      <c r="F738" s="19">
        <v>0.76041666666666663</v>
      </c>
      <c r="G738" s="18" t="s">
        <v>1537</v>
      </c>
      <c r="H738" s="18" t="s">
        <v>273</v>
      </c>
      <c r="I738" s="20">
        <v>14</v>
      </c>
      <c r="J738" s="21" t="s">
        <v>93</v>
      </c>
      <c r="K738" s="22">
        <v>174</v>
      </c>
      <c r="L738" s="23">
        <f t="shared" si="167"/>
        <v>2436</v>
      </c>
      <c r="M738" s="24" t="s">
        <v>1499</v>
      </c>
      <c r="N738" s="25" t="s">
        <v>1520</v>
      </c>
      <c r="O738" s="25">
        <v>20</v>
      </c>
      <c r="P738" s="25" t="s">
        <v>1519</v>
      </c>
      <c r="Q738" s="25">
        <v>31</v>
      </c>
      <c r="R738" s="17"/>
      <c r="S738" s="25"/>
      <c r="T738" s="26" t="s">
        <v>655</v>
      </c>
      <c r="U738" s="26" t="s">
        <v>656</v>
      </c>
      <c r="V738" s="26">
        <v>4143</v>
      </c>
      <c r="W738" s="26" t="s">
        <v>1505</v>
      </c>
      <c r="X738" s="66">
        <v>44816</v>
      </c>
      <c r="Y738" s="66">
        <v>45086</v>
      </c>
      <c r="Z738" s="66"/>
      <c r="AA738" s="66"/>
      <c r="AB738" s="26" t="s">
        <v>282</v>
      </c>
      <c r="AC738" s="26"/>
      <c r="AD738" s="28"/>
      <c r="AE738" s="28"/>
      <c r="AF738" s="28"/>
      <c r="AG738" s="28" t="s">
        <v>90</v>
      </c>
      <c r="AH738" s="28" t="s">
        <v>90</v>
      </c>
      <c r="AI738" s="28" t="s">
        <v>90</v>
      </c>
      <c r="AJ738" s="28" t="s">
        <v>90</v>
      </c>
      <c r="AK738" s="28" t="s">
        <v>90</v>
      </c>
      <c r="AL738" s="28" t="s">
        <v>90</v>
      </c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9">
        <f>((35*105)+(25.2*69))/174</f>
        <v>31.113793103448277</v>
      </c>
      <c r="AY738" s="30"/>
      <c r="AZ738" s="30"/>
      <c r="BA738" s="29"/>
      <c r="BB738" s="29"/>
      <c r="BC738" s="30"/>
      <c r="BD738" s="31">
        <f t="shared" si="163"/>
        <v>5413.8</v>
      </c>
      <c r="BE738" s="31"/>
      <c r="BF738" s="30"/>
      <c r="BG738" s="36">
        <v>1</v>
      </c>
      <c r="BH738" s="31">
        <f t="shared" si="164"/>
        <v>0</v>
      </c>
      <c r="BI738" s="31">
        <f t="shared" si="165"/>
        <v>0</v>
      </c>
      <c r="BJ738" s="33">
        <f t="shared" si="166"/>
        <v>0</v>
      </c>
      <c r="BK738" s="30"/>
      <c r="BL738" s="30"/>
      <c r="BM738" s="30"/>
      <c r="BN738" s="30"/>
      <c r="BO738" s="33">
        <f t="shared" si="155"/>
        <v>0</v>
      </c>
      <c r="BP738" s="30">
        <v>15</v>
      </c>
      <c r="BQ738" s="30">
        <v>20</v>
      </c>
      <c r="BR738" s="30"/>
      <c r="BS738" s="30"/>
      <c r="BT738" s="34">
        <f t="shared" si="156"/>
        <v>31.113793103448277</v>
      </c>
      <c r="BU738" s="34"/>
      <c r="BV738" s="34"/>
      <c r="BW738" s="34"/>
      <c r="BX738" s="34"/>
      <c r="BY738" s="30"/>
      <c r="BZ738" s="31">
        <f t="shared" si="157"/>
        <v>466.70689655172413</v>
      </c>
      <c r="CA738" s="31">
        <f t="shared" si="158"/>
        <v>622.27586206896558</v>
      </c>
    </row>
    <row r="739" spans="1:79" ht="45" x14ac:dyDescent="0.25">
      <c r="A739" s="17"/>
      <c r="B739" s="2">
        <v>726</v>
      </c>
      <c r="C739" s="58">
        <v>418</v>
      </c>
      <c r="D739" s="18">
        <v>94</v>
      </c>
      <c r="E739" s="19">
        <v>0.77430555555555547</v>
      </c>
      <c r="F739" s="19">
        <v>0.79513888888888884</v>
      </c>
      <c r="G739" s="51" t="s">
        <v>1527</v>
      </c>
      <c r="H739" s="18" t="s">
        <v>454</v>
      </c>
      <c r="I739" s="20">
        <v>13.5</v>
      </c>
      <c r="J739" s="21" t="s">
        <v>1518</v>
      </c>
      <c r="K739" s="22">
        <v>304</v>
      </c>
      <c r="L739" s="23">
        <f t="shared" si="167"/>
        <v>4104</v>
      </c>
      <c r="M739" s="24" t="s">
        <v>1499</v>
      </c>
      <c r="N739" s="25" t="s">
        <v>1519</v>
      </c>
      <c r="O739" s="25">
        <v>31</v>
      </c>
      <c r="P739" s="25" t="s">
        <v>1520</v>
      </c>
      <c r="Q739" s="25">
        <v>20</v>
      </c>
      <c r="R739" s="17"/>
      <c r="S739" s="25"/>
      <c r="T739" s="26" t="s">
        <v>655</v>
      </c>
      <c r="U739" s="26" t="s">
        <v>656</v>
      </c>
      <c r="V739" s="26">
        <v>4115</v>
      </c>
      <c r="W739" s="26" t="s">
        <v>1503</v>
      </c>
      <c r="X739" s="66">
        <v>44805</v>
      </c>
      <c r="Y739" s="66">
        <v>45169</v>
      </c>
      <c r="Z739" s="66"/>
      <c r="AA739" s="66"/>
      <c r="AB739" s="28" t="s">
        <v>459</v>
      </c>
      <c r="AC739" s="28"/>
      <c r="AD739" s="28" t="s">
        <v>90</v>
      </c>
      <c r="AE739" s="28" t="s">
        <v>90</v>
      </c>
      <c r="AF739" s="28" t="s">
        <v>90</v>
      </c>
      <c r="AG739" s="28"/>
      <c r="AH739" s="28" t="s">
        <v>90</v>
      </c>
      <c r="AI739" s="28" t="s">
        <v>90</v>
      </c>
      <c r="AJ739" s="28" t="s">
        <v>90</v>
      </c>
      <c r="AK739" s="28" t="s">
        <v>90</v>
      </c>
      <c r="AL739" s="28" t="s">
        <v>90</v>
      </c>
      <c r="AM739" s="28" t="s">
        <v>90</v>
      </c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9">
        <v>32.11</v>
      </c>
      <c r="AY739" s="30"/>
      <c r="AZ739" s="30"/>
      <c r="BA739" s="29"/>
      <c r="BB739" s="29"/>
      <c r="BC739" s="30"/>
      <c r="BD739" s="31">
        <f t="shared" si="163"/>
        <v>9761.44</v>
      </c>
      <c r="BE739" s="31"/>
      <c r="BF739" s="30"/>
      <c r="BG739" s="36">
        <v>1</v>
      </c>
      <c r="BH739" s="31">
        <f t="shared" si="164"/>
        <v>0</v>
      </c>
      <c r="BI739" s="31">
        <f t="shared" si="165"/>
        <v>0</v>
      </c>
      <c r="BJ739" s="33">
        <f t="shared" si="166"/>
        <v>0</v>
      </c>
      <c r="BK739" s="30"/>
      <c r="BL739" s="30"/>
      <c r="BM739" s="30"/>
      <c r="BN739" s="30"/>
      <c r="BO739" s="33">
        <f t="shared" si="155"/>
        <v>0</v>
      </c>
      <c r="BP739" s="30">
        <v>26</v>
      </c>
      <c r="BQ739" s="30">
        <v>26</v>
      </c>
      <c r="BR739" s="30"/>
      <c r="BS739" s="30"/>
      <c r="BT739" s="34">
        <f t="shared" si="156"/>
        <v>32.11</v>
      </c>
      <c r="BU739" s="34"/>
      <c r="BV739" s="34"/>
      <c r="BW739" s="34"/>
      <c r="BX739" s="34"/>
      <c r="BY739" s="30"/>
      <c r="BZ739" s="31">
        <f t="shared" si="157"/>
        <v>834.86</v>
      </c>
      <c r="CA739" s="31">
        <f t="shared" si="158"/>
        <v>834.86</v>
      </c>
    </row>
    <row r="740" spans="1:79" ht="34.5" x14ac:dyDescent="0.25">
      <c r="A740" s="17"/>
      <c r="B740" s="2">
        <v>727</v>
      </c>
      <c r="C740" s="48">
        <v>418</v>
      </c>
      <c r="D740" s="48">
        <v>184</v>
      </c>
      <c r="E740" s="49">
        <v>0.79375000000000007</v>
      </c>
      <c r="F740" s="50">
        <v>0.81805555555555554</v>
      </c>
      <c r="G740" s="51" t="s">
        <v>1539</v>
      </c>
      <c r="H740" s="48" t="s">
        <v>454</v>
      </c>
      <c r="I740" s="48">
        <v>14</v>
      </c>
      <c r="J740" s="52">
        <v>19</v>
      </c>
      <c r="K740" s="22">
        <v>304</v>
      </c>
      <c r="L740" s="23">
        <f t="shared" si="167"/>
        <v>4256</v>
      </c>
      <c r="M740" s="24" t="s">
        <v>1484</v>
      </c>
      <c r="N740" s="25" t="s">
        <v>1485</v>
      </c>
      <c r="O740" s="25">
        <v>21</v>
      </c>
      <c r="P740" s="25" t="s">
        <v>1486</v>
      </c>
      <c r="Q740" s="25">
        <v>31</v>
      </c>
      <c r="R740" s="17"/>
      <c r="S740" s="25"/>
      <c r="T740" s="26" t="s">
        <v>655</v>
      </c>
      <c r="U740" s="26" t="s">
        <v>656</v>
      </c>
      <c r="V740" s="26">
        <v>4143</v>
      </c>
      <c r="W740" s="26" t="s">
        <v>1505</v>
      </c>
      <c r="X740" s="66">
        <v>44805</v>
      </c>
      <c r="Y740" s="66">
        <v>45169</v>
      </c>
      <c r="Z740" s="66"/>
      <c r="AA740" s="66"/>
      <c r="AB740" s="28" t="s">
        <v>459</v>
      </c>
      <c r="AC740" s="28"/>
      <c r="AD740" s="28" t="s">
        <v>90</v>
      </c>
      <c r="AE740" s="28" t="s">
        <v>90</v>
      </c>
      <c r="AF740" s="28" t="s">
        <v>90</v>
      </c>
      <c r="AG740" s="28"/>
      <c r="AH740" s="28" t="s">
        <v>90</v>
      </c>
      <c r="AI740" s="28" t="s">
        <v>90</v>
      </c>
      <c r="AJ740" s="28" t="s">
        <v>90</v>
      </c>
      <c r="AK740" s="28" t="s">
        <v>90</v>
      </c>
      <c r="AL740" s="28" t="s">
        <v>90</v>
      </c>
      <c r="AM740" s="28" t="s">
        <v>90</v>
      </c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31"/>
      <c r="AY740" s="31">
        <f>1.9*14</f>
        <v>26.599999999999998</v>
      </c>
      <c r="AZ740" s="30"/>
      <c r="BA740" s="42"/>
      <c r="BB740" s="42"/>
      <c r="BC740" s="30"/>
      <c r="BD740" s="31">
        <f t="shared" si="163"/>
        <v>0</v>
      </c>
      <c r="BE740" s="31">
        <f>AY740*K740</f>
        <v>8086.4</v>
      </c>
      <c r="BF740" s="30"/>
      <c r="BG740" s="36">
        <v>1</v>
      </c>
      <c r="BH740" s="30"/>
      <c r="BI740" s="31"/>
      <c r="BJ740" s="30"/>
      <c r="BK740" s="31">
        <f>IF(AND((AY740/I740)&lt;2,BG740=1),(I740*2)-AY740,0)</f>
        <v>1.4000000000000021</v>
      </c>
      <c r="BL740" s="31">
        <f>IF(AND((AY740/I740)&lt;3,BG740=2),(I740*3)-AY740,0)</f>
        <v>0</v>
      </c>
      <c r="BM740" s="33">
        <f>(BK740+BL740)*K740</f>
        <v>425.60000000000065</v>
      </c>
      <c r="BN740" s="30"/>
      <c r="BO740" s="33">
        <f t="shared" si="155"/>
        <v>0</v>
      </c>
      <c r="BP740" s="30">
        <v>26</v>
      </c>
      <c r="BQ740" s="30">
        <v>26</v>
      </c>
      <c r="BR740" s="30"/>
      <c r="BS740" s="30"/>
      <c r="BT740" s="34">
        <f t="shared" si="156"/>
        <v>28</v>
      </c>
      <c r="BU740" s="34"/>
      <c r="BV740" s="34"/>
      <c r="BW740" s="34"/>
      <c r="BX740" s="34"/>
      <c r="BY740" s="30"/>
      <c r="BZ740" s="31">
        <f t="shared" si="157"/>
        <v>728</v>
      </c>
      <c r="CA740" s="31">
        <f t="shared" si="158"/>
        <v>728</v>
      </c>
    </row>
    <row r="741" spans="1:79" ht="63.75" x14ac:dyDescent="0.25">
      <c r="A741" s="17"/>
      <c r="B741" s="2">
        <v>728</v>
      </c>
      <c r="C741" s="58">
        <v>418</v>
      </c>
      <c r="D741" s="18">
        <v>94</v>
      </c>
      <c r="E741" s="19">
        <v>0.79513888888888884</v>
      </c>
      <c r="F741" s="19">
        <v>0.79999999999999993</v>
      </c>
      <c r="G741" s="18" t="s">
        <v>1534</v>
      </c>
      <c r="H741" s="18" t="s">
        <v>306</v>
      </c>
      <c r="I741" s="20">
        <v>3</v>
      </c>
      <c r="J741" s="21" t="s">
        <v>380</v>
      </c>
      <c r="K741" s="22">
        <v>208</v>
      </c>
      <c r="L741" s="23">
        <f t="shared" si="167"/>
        <v>624</v>
      </c>
      <c r="M741" s="24" t="s">
        <v>1499</v>
      </c>
      <c r="N741" s="25" t="s">
        <v>1520</v>
      </c>
      <c r="O741" s="25">
        <v>20</v>
      </c>
      <c r="P741" s="25" t="s">
        <v>1501</v>
      </c>
      <c r="Q741" s="25">
        <v>9</v>
      </c>
      <c r="R741" s="17"/>
      <c r="S741" s="25"/>
      <c r="T741" s="26">
        <v>4115</v>
      </c>
      <c r="U741" s="26" t="s">
        <v>1503</v>
      </c>
      <c r="V741" s="26">
        <v>4116</v>
      </c>
      <c r="W741" s="26" t="s">
        <v>1502</v>
      </c>
      <c r="X741" s="66">
        <v>44816</v>
      </c>
      <c r="Y741" s="66">
        <v>45086</v>
      </c>
      <c r="Z741" s="66"/>
      <c r="AA741" s="66"/>
      <c r="AB741" s="26" t="s">
        <v>309</v>
      </c>
      <c r="AC741" s="26"/>
      <c r="AD741" s="28"/>
      <c r="AE741" s="28"/>
      <c r="AF741" s="28"/>
      <c r="AG741" s="28" t="s">
        <v>90</v>
      </c>
      <c r="AH741" s="28" t="s">
        <v>90</v>
      </c>
      <c r="AI741" s="28" t="s">
        <v>90</v>
      </c>
      <c r="AJ741" s="28" t="s">
        <v>90</v>
      </c>
      <c r="AK741" s="28" t="s">
        <v>90</v>
      </c>
      <c r="AL741" s="28" t="s">
        <v>90</v>
      </c>
      <c r="AM741" s="28" t="s">
        <v>90</v>
      </c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9">
        <v>8.93</v>
      </c>
      <c r="AY741" s="30"/>
      <c r="AZ741" s="30"/>
      <c r="BA741" s="29"/>
      <c r="BB741" s="29"/>
      <c r="BC741" s="30"/>
      <c r="BD741" s="31">
        <f t="shared" si="163"/>
        <v>1857.44</v>
      </c>
      <c r="BE741" s="31"/>
      <c r="BF741" s="30"/>
      <c r="BG741" s="36">
        <v>1</v>
      </c>
      <c r="BH741" s="31">
        <f t="shared" ref="BH741:BH764" si="168">IF(AND((AX741/I741)&lt;2,BG741=1),(I741*2)-AX741,0)</f>
        <v>0</v>
      </c>
      <c r="BI741" s="31">
        <f t="shared" ref="BI741:BI764" si="169">IF(AND((AX741/I741)&lt;3,BG741=2),(I741*3)-AX741,0)</f>
        <v>0</v>
      </c>
      <c r="BJ741" s="33">
        <f t="shared" ref="BJ741:BJ764" si="170">(BH741+BI741)*K741</f>
        <v>0</v>
      </c>
      <c r="BK741" s="30"/>
      <c r="BL741" s="30"/>
      <c r="BM741" s="30"/>
      <c r="BN741" s="30"/>
      <c r="BO741" s="33">
        <f t="shared" si="155"/>
        <v>0</v>
      </c>
      <c r="BP741" s="30">
        <v>17</v>
      </c>
      <c r="BQ741" s="30">
        <v>25</v>
      </c>
      <c r="BR741" s="30"/>
      <c r="BS741" s="30"/>
      <c r="BT741" s="34">
        <f t="shared" si="156"/>
        <v>8.93</v>
      </c>
      <c r="BU741" s="34"/>
      <c r="BV741" s="34"/>
      <c r="BW741" s="34"/>
      <c r="BX741" s="34"/>
      <c r="BY741" s="30"/>
      <c r="BZ741" s="31">
        <f t="shared" si="157"/>
        <v>151.81</v>
      </c>
      <c r="CA741" s="31">
        <f t="shared" si="158"/>
        <v>223.25</v>
      </c>
    </row>
    <row r="742" spans="1:79" ht="51" x14ac:dyDescent="0.25">
      <c r="A742" s="17"/>
      <c r="B742" s="2">
        <v>729</v>
      </c>
      <c r="C742" s="18">
        <v>423</v>
      </c>
      <c r="D742" s="21">
        <v>177</v>
      </c>
      <c r="E742" s="19">
        <v>0.31874999999999998</v>
      </c>
      <c r="F742" s="19">
        <v>0.32569444444444445</v>
      </c>
      <c r="G742" s="18" t="s">
        <v>1540</v>
      </c>
      <c r="H742" s="18" t="s">
        <v>273</v>
      </c>
      <c r="I742" s="20">
        <v>6</v>
      </c>
      <c r="J742" s="21" t="s">
        <v>93</v>
      </c>
      <c r="K742" s="22">
        <v>174</v>
      </c>
      <c r="L742" s="23">
        <f t="shared" si="167"/>
        <v>1044</v>
      </c>
      <c r="M742" s="24" t="s">
        <v>550</v>
      </c>
      <c r="N742" s="25" t="s">
        <v>551</v>
      </c>
      <c r="O742" s="25">
        <v>21</v>
      </c>
      <c r="P742" s="25" t="s">
        <v>191</v>
      </c>
      <c r="Q742" s="25">
        <v>21</v>
      </c>
      <c r="R742" s="17"/>
      <c r="S742" s="25"/>
      <c r="T742" s="26">
        <v>4210</v>
      </c>
      <c r="U742" s="26" t="s">
        <v>1541</v>
      </c>
      <c r="V742" s="26" t="s">
        <v>655</v>
      </c>
      <c r="W742" s="26" t="s">
        <v>656</v>
      </c>
      <c r="X742" s="66">
        <v>44816</v>
      </c>
      <c r="Y742" s="66">
        <v>45086</v>
      </c>
      <c r="Z742" s="66"/>
      <c r="AA742" s="66"/>
      <c r="AB742" s="26" t="s">
        <v>282</v>
      </c>
      <c r="AC742" s="26"/>
      <c r="AD742" s="28"/>
      <c r="AE742" s="28"/>
      <c r="AF742" s="28"/>
      <c r="AG742" s="28" t="s">
        <v>90</v>
      </c>
      <c r="AH742" s="28" t="s">
        <v>90</v>
      </c>
      <c r="AI742" s="28" t="s">
        <v>90</v>
      </c>
      <c r="AJ742" s="28" t="s">
        <v>90</v>
      </c>
      <c r="AK742" s="28" t="s">
        <v>90</v>
      </c>
      <c r="AL742" s="28" t="s">
        <v>90</v>
      </c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9">
        <v>10.8</v>
      </c>
      <c r="AY742" s="30"/>
      <c r="AZ742" s="30"/>
      <c r="BA742" s="29"/>
      <c r="BB742" s="29"/>
      <c r="BC742" s="30"/>
      <c r="BD742" s="31">
        <f t="shared" si="163"/>
        <v>1879.2</v>
      </c>
      <c r="BE742" s="31"/>
      <c r="BF742" s="30"/>
      <c r="BG742" s="36">
        <v>1</v>
      </c>
      <c r="BH742" s="31">
        <f t="shared" si="168"/>
        <v>1.1999999999999993</v>
      </c>
      <c r="BI742" s="31">
        <f t="shared" si="169"/>
        <v>0</v>
      </c>
      <c r="BJ742" s="31">
        <f t="shared" si="170"/>
        <v>208.79999999999987</v>
      </c>
      <c r="BK742" s="30"/>
      <c r="BL742" s="30"/>
      <c r="BM742" s="30"/>
      <c r="BN742" s="30"/>
      <c r="BO742" s="33">
        <f t="shared" si="155"/>
        <v>0</v>
      </c>
      <c r="BP742" s="30">
        <v>15</v>
      </c>
      <c r="BQ742" s="30">
        <v>20</v>
      </c>
      <c r="BR742" s="30"/>
      <c r="BS742" s="30"/>
      <c r="BT742" s="34">
        <f t="shared" si="156"/>
        <v>12</v>
      </c>
      <c r="BU742" s="34"/>
      <c r="BV742" s="34"/>
      <c r="BW742" s="34"/>
      <c r="BX742" s="34"/>
      <c r="BY742" s="30"/>
      <c r="BZ742" s="31">
        <f t="shared" si="157"/>
        <v>180</v>
      </c>
      <c r="CA742" s="31">
        <f t="shared" si="158"/>
        <v>240</v>
      </c>
    </row>
    <row r="743" spans="1:79" ht="51" x14ac:dyDescent="0.25">
      <c r="A743" s="17"/>
      <c r="B743" s="2">
        <v>730</v>
      </c>
      <c r="C743" s="18">
        <v>423</v>
      </c>
      <c r="D743" s="18">
        <v>202</v>
      </c>
      <c r="E743" s="19">
        <v>0.81805555555555554</v>
      </c>
      <c r="F743" s="19">
        <v>0.83750000000000002</v>
      </c>
      <c r="G743" s="18" t="s">
        <v>1542</v>
      </c>
      <c r="H743" s="18" t="s">
        <v>273</v>
      </c>
      <c r="I743" s="20">
        <v>14</v>
      </c>
      <c r="J743" s="21" t="s">
        <v>93</v>
      </c>
      <c r="K743" s="22">
        <v>174</v>
      </c>
      <c r="L743" s="23">
        <f t="shared" si="167"/>
        <v>2436</v>
      </c>
      <c r="M743" s="24" t="s">
        <v>1489</v>
      </c>
      <c r="N743" s="17" t="s">
        <v>1490</v>
      </c>
      <c r="O743" s="17">
        <v>23</v>
      </c>
      <c r="P743" s="25" t="s">
        <v>1491</v>
      </c>
      <c r="Q743" s="25">
        <v>24</v>
      </c>
      <c r="R743" s="25" t="s">
        <v>1492</v>
      </c>
      <c r="S743" s="35">
        <v>23</v>
      </c>
      <c r="T743" s="26" t="s">
        <v>655</v>
      </c>
      <c r="U743" s="26" t="s">
        <v>656</v>
      </c>
      <c r="V743" s="26" t="s">
        <v>1543</v>
      </c>
      <c r="W743" s="26" t="s">
        <v>1544</v>
      </c>
      <c r="X743" s="66">
        <v>44816</v>
      </c>
      <c r="Y743" s="66">
        <v>45086</v>
      </c>
      <c r="Z743" s="66"/>
      <c r="AA743" s="66"/>
      <c r="AB743" s="26" t="s">
        <v>282</v>
      </c>
      <c r="AC743" s="26"/>
      <c r="AD743" s="28"/>
      <c r="AE743" s="28"/>
      <c r="AF743" s="28"/>
      <c r="AG743" s="28" t="s">
        <v>90</v>
      </c>
      <c r="AH743" s="28" t="s">
        <v>90</v>
      </c>
      <c r="AI743" s="28" t="s">
        <v>90</v>
      </c>
      <c r="AJ743" s="28" t="s">
        <v>90</v>
      </c>
      <c r="AK743" s="28" t="s">
        <v>90</v>
      </c>
      <c r="AL743" s="28" t="s">
        <v>90</v>
      </c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9">
        <v>48.25</v>
      </c>
      <c r="AY743" s="30"/>
      <c r="AZ743" s="30"/>
      <c r="BA743" s="29"/>
      <c r="BB743" s="29"/>
      <c r="BC743" s="30"/>
      <c r="BD743" s="31">
        <f t="shared" si="163"/>
        <v>8395.5</v>
      </c>
      <c r="BE743" s="31"/>
      <c r="BF743" s="30"/>
      <c r="BG743" s="36">
        <v>1</v>
      </c>
      <c r="BH743" s="31">
        <f t="shared" si="168"/>
        <v>0</v>
      </c>
      <c r="BI743" s="31">
        <f t="shared" si="169"/>
        <v>0</v>
      </c>
      <c r="BJ743" s="33">
        <f t="shared" si="170"/>
        <v>0</v>
      </c>
      <c r="BK743" s="30"/>
      <c r="BL743" s="30"/>
      <c r="BM743" s="30"/>
      <c r="BN743" s="30"/>
      <c r="BO743" s="33">
        <f t="shared" si="155"/>
        <v>0</v>
      </c>
      <c r="BP743" s="30">
        <v>15</v>
      </c>
      <c r="BQ743" s="30">
        <v>20</v>
      </c>
      <c r="BR743" s="30"/>
      <c r="BS743" s="30"/>
      <c r="BT743" s="34">
        <f t="shared" si="156"/>
        <v>48.25</v>
      </c>
      <c r="BU743" s="34"/>
      <c r="BV743" s="34"/>
      <c r="BW743" s="34"/>
      <c r="BX743" s="34"/>
      <c r="BY743" s="30"/>
      <c r="BZ743" s="31">
        <f t="shared" si="157"/>
        <v>723.75</v>
      </c>
      <c r="CA743" s="31">
        <f t="shared" si="158"/>
        <v>965</v>
      </c>
    </row>
    <row r="744" spans="1:79" ht="90" x14ac:dyDescent="0.25">
      <c r="A744" s="17"/>
      <c r="B744" s="2">
        <v>731</v>
      </c>
      <c r="C744" s="18">
        <v>425</v>
      </c>
      <c r="D744" s="18">
        <v>438</v>
      </c>
      <c r="E744" s="19">
        <v>0.39930555555555558</v>
      </c>
      <c r="F744" s="19">
        <v>0.4145833333333333</v>
      </c>
      <c r="G744" s="51" t="s">
        <v>1545</v>
      </c>
      <c r="H744" s="18" t="s">
        <v>1546</v>
      </c>
      <c r="I744" s="20">
        <v>12.5</v>
      </c>
      <c r="J744" s="21" t="s">
        <v>122</v>
      </c>
      <c r="K744" s="22">
        <f>39+11</f>
        <v>50</v>
      </c>
      <c r="L744" s="23">
        <f t="shared" si="167"/>
        <v>625</v>
      </c>
      <c r="M744" s="24" t="s">
        <v>589</v>
      </c>
      <c r="N744" s="25" t="s">
        <v>590</v>
      </c>
      <c r="O744" s="25">
        <v>21</v>
      </c>
      <c r="P744" s="25" t="s">
        <v>1547</v>
      </c>
      <c r="Q744" s="25">
        <v>24</v>
      </c>
      <c r="R744" s="17"/>
      <c r="S744" s="25"/>
      <c r="T744" s="26" t="s">
        <v>655</v>
      </c>
      <c r="U744" s="26" t="s">
        <v>656</v>
      </c>
      <c r="V744" s="26">
        <v>4136</v>
      </c>
      <c r="W744" s="26" t="s">
        <v>1548</v>
      </c>
      <c r="X744" s="66">
        <v>44805</v>
      </c>
      <c r="Y744" s="66">
        <v>45169</v>
      </c>
      <c r="Z744" s="66"/>
      <c r="AA744" s="66"/>
      <c r="AB744" s="28" t="s">
        <v>1549</v>
      </c>
      <c r="AC744" s="28"/>
      <c r="AD744" s="28" t="s">
        <v>90</v>
      </c>
      <c r="AE744" s="28" t="s">
        <v>90</v>
      </c>
      <c r="AF744" s="28" t="s">
        <v>90</v>
      </c>
      <c r="AG744" s="28"/>
      <c r="AH744" s="28"/>
      <c r="AI744" s="28"/>
      <c r="AJ744" s="28"/>
      <c r="AK744" s="28" t="s">
        <v>90</v>
      </c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9">
        <v>17.600000000000001</v>
      </c>
      <c r="AY744" s="31"/>
      <c r="AZ744" s="30"/>
      <c r="BA744" s="29"/>
      <c r="BB744" s="29"/>
      <c r="BC744" s="30"/>
      <c r="BD744" s="31">
        <f t="shared" si="163"/>
        <v>880.00000000000011</v>
      </c>
      <c r="BE744" s="31"/>
      <c r="BF744" s="30"/>
      <c r="BG744" s="36">
        <v>1</v>
      </c>
      <c r="BH744" s="31">
        <f t="shared" si="168"/>
        <v>7.3999999999999986</v>
      </c>
      <c r="BI744" s="31">
        <f t="shared" si="169"/>
        <v>0</v>
      </c>
      <c r="BJ744" s="31">
        <f t="shared" si="170"/>
        <v>369.99999999999994</v>
      </c>
      <c r="BK744" s="30"/>
      <c r="BL744" s="30"/>
      <c r="BM744" s="30"/>
      <c r="BN744" s="30"/>
      <c r="BO744" s="33">
        <f t="shared" si="155"/>
        <v>0</v>
      </c>
      <c r="BP744" s="30">
        <v>5</v>
      </c>
      <c r="BQ744" s="30">
        <v>4</v>
      </c>
      <c r="BR744" s="30"/>
      <c r="BS744" s="30"/>
      <c r="BT744" s="34">
        <f t="shared" si="156"/>
        <v>25</v>
      </c>
      <c r="BU744" s="34"/>
      <c r="BV744" s="34"/>
      <c r="BW744" s="34"/>
      <c r="BX744" s="34"/>
      <c r="BY744" s="30"/>
      <c r="BZ744" s="31">
        <f t="shared" si="157"/>
        <v>125</v>
      </c>
      <c r="CA744" s="31">
        <f t="shared" si="158"/>
        <v>100</v>
      </c>
    </row>
    <row r="745" spans="1:79" ht="90" x14ac:dyDescent="0.25">
      <c r="A745" s="17"/>
      <c r="B745" s="2">
        <v>732</v>
      </c>
      <c r="C745" s="18">
        <v>425</v>
      </c>
      <c r="D745" s="18">
        <v>465</v>
      </c>
      <c r="E745" s="19">
        <v>0.41666666666666669</v>
      </c>
      <c r="F745" s="19">
        <v>0.43194444444444446</v>
      </c>
      <c r="G745" s="51" t="s">
        <v>1550</v>
      </c>
      <c r="H745" s="18" t="s">
        <v>1546</v>
      </c>
      <c r="I745" s="20">
        <v>12.5</v>
      </c>
      <c r="J745" s="21" t="s">
        <v>122</v>
      </c>
      <c r="K745" s="22">
        <f>39+11</f>
        <v>50</v>
      </c>
      <c r="L745" s="23">
        <f t="shared" si="167"/>
        <v>625</v>
      </c>
      <c r="M745" s="24" t="s">
        <v>589</v>
      </c>
      <c r="N745" s="25" t="s">
        <v>590</v>
      </c>
      <c r="O745" s="25">
        <v>21</v>
      </c>
      <c r="P745" s="25" t="s">
        <v>1547</v>
      </c>
      <c r="Q745" s="25">
        <v>24</v>
      </c>
      <c r="R745" s="17"/>
      <c r="S745" s="25"/>
      <c r="T745" s="26">
        <v>4136</v>
      </c>
      <c r="U745" s="26" t="s">
        <v>1548</v>
      </c>
      <c r="V745" s="26" t="s">
        <v>655</v>
      </c>
      <c r="W745" s="26" t="s">
        <v>656</v>
      </c>
      <c r="X745" s="66">
        <v>44805</v>
      </c>
      <c r="Y745" s="66">
        <v>45169</v>
      </c>
      <c r="Z745" s="66"/>
      <c r="AA745" s="66"/>
      <c r="AB745" s="28" t="s">
        <v>1549</v>
      </c>
      <c r="AC745" s="28"/>
      <c r="AD745" s="28" t="s">
        <v>90</v>
      </c>
      <c r="AE745" s="28" t="s">
        <v>90</v>
      </c>
      <c r="AF745" s="28" t="s">
        <v>90</v>
      </c>
      <c r="AG745" s="28"/>
      <c r="AH745" s="28"/>
      <c r="AI745" s="28"/>
      <c r="AJ745" s="28"/>
      <c r="AK745" s="28" t="s">
        <v>90</v>
      </c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9">
        <v>17.600000000000001</v>
      </c>
      <c r="AY745" s="31"/>
      <c r="AZ745" s="30"/>
      <c r="BA745" s="29"/>
      <c r="BB745" s="29"/>
      <c r="BC745" s="30"/>
      <c r="BD745" s="31">
        <f t="shared" si="163"/>
        <v>880.00000000000011</v>
      </c>
      <c r="BE745" s="31"/>
      <c r="BF745" s="30"/>
      <c r="BG745" s="36">
        <v>1</v>
      </c>
      <c r="BH745" s="31">
        <f t="shared" si="168"/>
        <v>7.3999999999999986</v>
      </c>
      <c r="BI745" s="31">
        <f t="shared" si="169"/>
        <v>0</v>
      </c>
      <c r="BJ745" s="31">
        <f t="shared" si="170"/>
        <v>369.99999999999994</v>
      </c>
      <c r="BK745" s="30"/>
      <c r="BL745" s="30"/>
      <c r="BM745" s="30"/>
      <c r="BN745" s="30"/>
      <c r="BO745" s="33">
        <f t="shared" si="155"/>
        <v>0</v>
      </c>
      <c r="BP745" s="30">
        <v>5</v>
      </c>
      <c r="BQ745" s="30">
        <v>4</v>
      </c>
      <c r="BR745" s="30"/>
      <c r="BS745" s="30"/>
      <c r="BT745" s="34">
        <f t="shared" si="156"/>
        <v>25</v>
      </c>
      <c r="BU745" s="34"/>
      <c r="BV745" s="34"/>
      <c r="BW745" s="34"/>
      <c r="BX745" s="34"/>
      <c r="BY745" s="30"/>
      <c r="BZ745" s="31">
        <f t="shared" si="157"/>
        <v>125</v>
      </c>
      <c r="CA745" s="31">
        <f t="shared" si="158"/>
        <v>100</v>
      </c>
    </row>
    <row r="746" spans="1:79" ht="90" x14ac:dyDescent="0.25">
      <c r="A746" s="17"/>
      <c r="B746" s="2">
        <v>733</v>
      </c>
      <c r="C746" s="18">
        <v>425</v>
      </c>
      <c r="D746" s="18">
        <v>440</v>
      </c>
      <c r="E746" s="19">
        <v>0.48958333333333331</v>
      </c>
      <c r="F746" s="19">
        <v>0.50486111111111109</v>
      </c>
      <c r="G746" s="51" t="s">
        <v>1545</v>
      </c>
      <c r="H746" s="18" t="s">
        <v>1546</v>
      </c>
      <c r="I746" s="20">
        <v>12.5</v>
      </c>
      <c r="J746" s="21" t="s">
        <v>122</v>
      </c>
      <c r="K746" s="22">
        <f>39+11</f>
        <v>50</v>
      </c>
      <c r="L746" s="23">
        <f t="shared" si="167"/>
        <v>625</v>
      </c>
      <c r="M746" s="24" t="s">
        <v>589</v>
      </c>
      <c r="N746" s="25" t="s">
        <v>590</v>
      </c>
      <c r="O746" s="25">
        <v>21</v>
      </c>
      <c r="P746" s="25" t="s">
        <v>1547</v>
      </c>
      <c r="Q746" s="25">
        <v>24</v>
      </c>
      <c r="R746" s="17"/>
      <c r="S746" s="25"/>
      <c r="T746" s="26" t="s">
        <v>655</v>
      </c>
      <c r="U746" s="26" t="s">
        <v>656</v>
      </c>
      <c r="V746" s="26">
        <v>4136</v>
      </c>
      <c r="W746" s="26" t="s">
        <v>1548</v>
      </c>
      <c r="X746" s="66">
        <v>44805</v>
      </c>
      <c r="Y746" s="66">
        <v>45169</v>
      </c>
      <c r="Z746" s="66"/>
      <c r="AA746" s="66"/>
      <c r="AB746" s="28" t="s">
        <v>1549</v>
      </c>
      <c r="AC746" s="28"/>
      <c r="AD746" s="28" t="s">
        <v>90</v>
      </c>
      <c r="AE746" s="28" t="s">
        <v>90</v>
      </c>
      <c r="AF746" s="28" t="s">
        <v>90</v>
      </c>
      <c r="AG746" s="28"/>
      <c r="AH746" s="28"/>
      <c r="AI746" s="28"/>
      <c r="AJ746" s="28"/>
      <c r="AK746" s="28" t="s">
        <v>90</v>
      </c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9">
        <v>17.600000000000001</v>
      </c>
      <c r="AY746" s="30"/>
      <c r="AZ746" s="30"/>
      <c r="BA746" s="29"/>
      <c r="BB746" s="29"/>
      <c r="BC746" s="30"/>
      <c r="BD746" s="31">
        <f t="shared" si="163"/>
        <v>880.00000000000011</v>
      </c>
      <c r="BE746" s="31"/>
      <c r="BF746" s="30"/>
      <c r="BG746" s="36">
        <v>1</v>
      </c>
      <c r="BH746" s="31">
        <f t="shared" si="168"/>
        <v>7.3999999999999986</v>
      </c>
      <c r="BI746" s="31">
        <f t="shared" si="169"/>
        <v>0</v>
      </c>
      <c r="BJ746" s="31">
        <f t="shared" si="170"/>
        <v>369.99999999999994</v>
      </c>
      <c r="BK746" s="30"/>
      <c r="BL746" s="30"/>
      <c r="BM746" s="30"/>
      <c r="BN746" s="30"/>
      <c r="BO746" s="33">
        <f t="shared" si="155"/>
        <v>0</v>
      </c>
      <c r="BP746" s="30">
        <v>5</v>
      </c>
      <c r="BQ746" s="30">
        <v>4</v>
      </c>
      <c r="BR746" s="30"/>
      <c r="BS746" s="30"/>
      <c r="BT746" s="34">
        <f t="shared" si="156"/>
        <v>25</v>
      </c>
      <c r="BU746" s="34"/>
      <c r="BV746" s="34"/>
      <c r="BW746" s="34"/>
      <c r="BX746" s="34"/>
      <c r="BY746" s="30"/>
      <c r="BZ746" s="31">
        <f t="shared" si="157"/>
        <v>125</v>
      </c>
      <c r="CA746" s="31">
        <f t="shared" si="158"/>
        <v>100</v>
      </c>
    </row>
    <row r="747" spans="1:79" ht="90" x14ac:dyDescent="0.25">
      <c r="A747" s="17"/>
      <c r="B747" s="2">
        <v>734</v>
      </c>
      <c r="C747" s="18">
        <v>425</v>
      </c>
      <c r="D747" s="18">
        <v>467</v>
      </c>
      <c r="E747" s="19">
        <v>0.50694444444444442</v>
      </c>
      <c r="F747" s="19">
        <v>0.52222222222222225</v>
      </c>
      <c r="G747" s="51" t="s">
        <v>1550</v>
      </c>
      <c r="H747" s="18" t="s">
        <v>1546</v>
      </c>
      <c r="I747" s="20">
        <v>12.5</v>
      </c>
      <c r="J747" s="21" t="s">
        <v>122</v>
      </c>
      <c r="K747" s="22">
        <f>39+11</f>
        <v>50</v>
      </c>
      <c r="L747" s="23">
        <f t="shared" si="167"/>
        <v>625</v>
      </c>
      <c r="M747" s="24" t="s">
        <v>589</v>
      </c>
      <c r="N747" s="25" t="s">
        <v>590</v>
      </c>
      <c r="O747" s="25">
        <v>21</v>
      </c>
      <c r="P747" s="25" t="s">
        <v>1547</v>
      </c>
      <c r="Q747" s="25">
        <v>24</v>
      </c>
      <c r="R747" s="17"/>
      <c r="S747" s="25"/>
      <c r="T747" s="26">
        <v>4136</v>
      </c>
      <c r="U747" s="26" t="s">
        <v>1548</v>
      </c>
      <c r="V747" s="26" t="s">
        <v>655</v>
      </c>
      <c r="W747" s="26" t="s">
        <v>656</v>
      </c>
      <c r="X747" s="66">
        <v>44805</v>
      </c>
      <c r="Y747" s="66">
        <v>45169</v>
      </c>
      <c r="Z747" s="66"/>
      <c r="AA747" s="66"/>
      <c r="AB747" s="28" t="s">
        <v>1549</v>
      </c>
      <c r="AC747" s="28"/>
      <c r="AD747" s="28" t="s">
        <v>90</v>
      </c>
      <c r="AE747" s="28" t="s">
        <v>90</v>
      </c>
      <c r="AF747" s="28" t="s">
        <v>90</v>
      </c>
      <c r="AG747" s="28"/>
      <c r="AH747" s="28"/>
      <c r="AI747" s="28"/>
      <c r="AJ747" s="28"/>
      <c r="AK747" s="28" t="s">
        <v>90</v>
      </c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9">
        <v>17.600000000000001</v>
      </c>
      <c r="AY747" s="30"/>
      <c r="AZ747" s="30"/>
      <c r="BA747" s="29"/>
      <c r="BB747" s="29"/>
      <c r="BC747" s="30"/>
      <c r="BD747" s="31">
        <f t="shared" si="163"/>
        <v>880.00000000000011</v>
      </c>
      <c r="BE747" s="31"/>
      <c r="BF747" s="30"/>
      <c r="BG747" s="36">
        <v>1</v>
      </c>
      <c r="BH747" s="31">
        <f t="shared" si="168"/>
        <v>7.3999999999999986</v>
      </c>
      <c r="BI747" s="31">
        <f t="shared" si="169"/>
        <v>0</v>
      </c>
      <c r="BJ747" s="31">
        <f t="shared" si="170"/>
        <v>369.99999999999994</v>
      </c>
      <c r="BK747" s="30"/>
      <c r="BL747" s="30"/>
      <c r="BM747" s="30"/>
      <c r="BN747" s="30"/>
      <c r="BO747" s="33">
        <f t="shared" si="155"/>
        <v>0</v>
      </c>
      <c r="BP747" s="30">
        <v>5</v>
      </c>
      <c r="BQ747" s="30">
        <v>4</v>
      </c>
      <c r="BR747" s="30"/>
      <c r="BS747" s="30"/>
      <c r="BT747" s="34">
        <f t="shared" si="156"/>
        <v>25</v>
      </c>
      <c r="BU747" s="34"/>
      <c r="BV747" s="34"/>
      <c r="BW747" s="34"/>
      <c r="BX747" s="34"/>
      <c r="BY747" s="30"/>
      <c r="BZ747" s="31">
        <f t="shared" si="157"/>
        <v>125</v>
      </c>
      <c r="CA747" s="31">
        <f t="shared" si="158"/>
        <v>100</v>
      </c>
    </row>
    <row r="748" spans="1:79" ht="51" x14ac:dyDescent="0.25">
      <c r="A748" s="17"/>
      <c r="B748" s="2">
        <v>735</v>
      </c>
      <c r="C748" s="18">
        <v>429</v>
      </c>
      <c r="D748" s="18">
        <v>19</v>
      </c>
      <c r="E748" s="19">
        <v>0.2902777777777778</v>
      </c>
      <c r="F748" s="19">
        <v>0.2951388888888889</v>
      </c>
      <c r="G748" s="18" t="s">
        <v>1551</v>
      </c>
      <c r="H748" s="18" t="s">
        <v>306</v>
      </c>
      <c r="I748" s="20">
        <v>3</v>
      </c>
      <c r="J748" s="21" t="s">
        <v>93</v>
      </c>
      <c r="K748" s="22">
        <v>208</v>
      </c>
      <c r="L748" s="23">
        <f t="shared" si="167"/>
        <v>624</v>
      </c>
      <c r="M748" s="24" t="s">
        <v>412</v>
      </c>
      <c r="N748" s="72" t="s">
        <v>413</v>
      </c>
      <c r="O748" s="72">
        <v>17</v>
      </c>
      <c r="P748" s="25" t="s">
        <v>414</v>
      </c>
      <c r="Q748" s="25">
        <v>9</v>
      </c>
      <c r="R748" s="17"/>
      <c r="S748" s="25"/>
      <c r="T748" s="26" t="s">
        <v>1552</v>
      </c>
      <c r="U748" s="26" t="s">
        <v>1553</v>
      </c>
      <c r="V748" s="26">
        <v>4046</v>
      </c>
      <c r="W748" s="26" t="s">
        <v>1554</v>
      </c>
      <c r="X748" s="66">
        <v>44816</v>
      </c>
      <c r="Y748" s="66">
        <v>45086</v>
      </c>
      <c r="Z748" s="66"/>
      <c r="AA748" s="66"/>
      <c r="AB748" s="26" t="s">
        <v>309</v>
      </c>
      <c r="AC748" s="26"/>
      <c r="AD748" s="28"/>
      <c r="AE748" s="28"/>
      <c r="AF748" s="28"/>
      <c r="AG748" s="28" t="s">
        <v>90</v>
      </c>
      <c r="AH748" s="28" t="s">
        <v>90</v>
      </c>
      <c r="AI748" s="28" t="s">
        <v>90</v>
      </c>
      <c r="AJ748" s="28" t="s">
        <v>90</v>
      </c>
      <c r="AK748" s="28" t="s">
        <v>90</v>
      </c>
      <c r="AL748" s="28" t="s">
        <v>90</v>
      </c>
      <c r="AM748" s="28" t="s">
        <v>90</v>
      </c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9">
        <v>10</v>
      </c>
      <c r="AY748" s="30"/>
      <c r="AZ748" s="30"/>
      <c r="BA748" s="29"/>
      <c r="BB748" s="29"/>
      <c r="BC748" s="30"/>
      <c r="BD748" s="31">
        <f t="shared" si="163"/>
        <v>2080</v>
      </c>
      <c r="BE748" s="31"/>
      <c r="BF748" s="30"/>
      <c r="BG748" s="36">
        <v>1</v>
      </c>
      <c r="BH748" s="31">
        <f t="shared" si="168"/>
        <v>0</v>
      </c>
      <c r="BI748" s="31">
        <f t="shared" si="169"/>
        <v>0</v>
      </c>
      <c r="BJ748" s="33">
        <f t="shared" si="170"/>
        <v>0</v>
      </c>
      <c r="BK748" s="30"/>
      <c r="BL748" s="30"/>
      <c r="BM748" s="30"/>
      <c r="BN748" s="31">
        <f>IF((AX748+AY748+AZ748)&lt;20,(20-(AX748+AY748+AZ748)),0)</f>
        <v>10</v>
      </c>
      <c r="BO748" s="33">
        <f t="shared" si="155"/>
        <v>2080</v>
      </c>
      <c r="BP748" s="30">
        <v>17</v>
      </c>
      <c r="BQ748" s="30">
        <v>25</v>
      </c>
      <c r="BR748" s="30"/>
      <c r="BS748" s="30"/>
      <c r="BT748" s="34">
        <f t="shared" si="156"/>
        <v>20</v>
      </c>
      <c r="BU748" s="34"/>
      <c r="BV748" s="34"/>
      <c r="BW748" s="34"/>
      <c r="BX748" s="34"/>
      <c r="BY748" s="30"/>
      <c r="BZ748" s="31">
        <f t="shared" si="157"/>
        <v>340</v>
      </c>
      <c r="CA748" s="31">
        <f t="shared" si="158"/>
        <v>500</v>
      </c>
    </row>
    <row r="749" spans="1:79" ht="51" x14ac:dyDescent="0.25">
      <c r="A749" s="17"/>
      <c r="B749" s="2">
        <v>736</v>
      </c>
      <c r="C749" s="18">
        <v>429</v>
      </c>
      <c r="D749" s="58">
        <v>21</v>
      </c>
      <c r="E749" s="19">
        <v>0.55208333333333337</v>
      </c>
      <c r="F749" s="19">
        <v>0.55555555555555558</v>
      </c>
      <c r="G749" s="18" t="s">
        <v>1555</v>
      </c>
      <c r="H749" s="18" t="s">
        <v>273</v>
      </c>
      <c r="I749" s="20">
        <v>2</v>
      </c>
      <c r="J749" s="21" t="s">
        <v>516</v>
      </c>
      <c r="K749" s="22">
        <v>174</v>
      </c>
      <c r="L749" s="23">
        <f t="shared" si="167"/>
        <v>348</v>
      </c>
      <c r="M749" s="24" t="s">
        <v>412</v>
      </c>
      <c r="N749" s="72" t="s">
        <v>413</v>
      </c>
      <c r="O749" s="72">
        <v>17</v>
      </c>
      <c r="P749" s="25" t="s">
        <v>414</v>
      </c>
      <c r="Q749" s="25">
        <v>9</v>
      </c>
      <c r="R749" s="17"/>
      <c r="S749" s="25"/>
      <c r="T749" s="26">
        <v>4048</v>
      </c>
      <c r="U749" s="26" t="s">
        <v>1556</v>
      </c>
      <c r="V749" s="26">
        <v>4046</v>
      </c>
      <c r="W749" s="26" t="s">
        <v>1554</v>
      </c>
      <c r="X749" s="66">
        <v>44816</v>
      </c>
      <c r="Y749" s="66">
        <v>45086</v>
      </c>
      <c r="Z749" s="66"/>
      <c r="AA749" s="66"/>
      <c r="AB749" s="26" t="s">
        <v>282</v>
      </c>
      <c r="AC749" s="26"/>
      <c r="AD749" s="28"/>
      <c r="AE749" s="28"/>
      <c r="AF749" s="28"/>
      <c r="AG749" s="28" t="s">
        <v>90</v>
      </c>
      <c r="AH749" s="28" t="s">
        <v>90</v>
      </c>
      <c r="AI749" s="28" t="s">
        <v>90</v>
      </c>
      <c r="AJ749" s="28" t="s">
        <v>90</v>
      </c>
      <c r="AK749" s="28" t="s">
        <v>90</v>
      </c>
      <c r="AL749" s="28" t="s">
        <v>90</v>
      </c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9">
        <v>3.6</v>
      </c>
      <c r="AY749" s="30"/>
      <c r="AZ749" s="30"/>
      <c r="BA749" s="29"/>
      <c r="BB749" s="29"/>
      <c r="BC749" s="30"/>
      <c r="BD749" s="31">
        <f t="shared" si="163"/>
        <v>626.4</v>
      </c>
      <c r="BE749" s="31"/>
      <c r="BF749" s="30"/>
      <c r="BG749" s="36">
        <v>1</v>
      </c>
      <c r="BH749" s="31">
        <f t="shared" si="168"/>
        <v>0.39999999999999991</v>
      </c>
      <c r="BI749" s="31">
        <f t="shared" si="169"/>
        <v>0</v>
      </c>
      <c r="BJ749" s="31">
        <f t="shared" si="170"/>
        <v>69.59999999999998</v>
      </c>
      <c r="BK749" s="30"/>
      <c r="BL749" s="30"/>
      <c r="BM749" s="30"/>
      <c r="BN749" s="30"/>
      <c r="BO749" s="33">
        <f t="shared" si="155"/>
        <v>0</v>
      </c>
      <c r="BP749" s="30">
        <v>15</v>
      </c>
      <c r="BQ749" s="30">
        <v>20</v>
      </c>
      <c r="BR749" s="30"/>
      <c r="BS749" s="30"/>
      <c r="BT749" s="34">
        <f t="shared" si="156"/>
        <v>4</v>
      </c>
      <c r="BU749" s="34"/>
      <c r="BV749" s="34"/>
      <c r="BW749" s="34"/>
      <c r="BX749" s="34"/>
      <c r="BY749" s="30"/>
      <c r="BZ749" s="31">
        <f t="shared" si="157"/>
        <v>60</v>
      </c>
      <c r="CA749" s="31">
        <f t="shared" si="158"/>
        <v>80</v>
      </c>
    </row>
    <row r="750" spans="1:79" ht="51" x14ac:dyDescent="0.25">
      <c r="A750" s="17"/>
      <c r="B750" s="2">
        <v>737</v>
      </c>
      <c r="C750" s="18">
        <v>429</v>
      </c>
      <c r="D750" s="58">
        <v>16</v>
      </c>
      <c r="E750" s="19">
        <v>0.56597222222222221</v>
      </c>
      <c r="F750" s="19">
        <v>0.56944444444444442</v>
      </c>
      <c r="G750" s="18" t="s">
        <v>1557</v>
      </c>
      <c r="H750" s="18" t="s">
        <v>273</v>
      </c>
      <c r="I750" s="20">
        <v>2</v>
      </c>
      <c r="J750" s="21" t="s">
        <v>516</v>
      </c>
      <c r="K750" s="22">
        <v>174</v>
      </c>
      <c r="L750" s="23">
        <f t="shared" si="167"/>
        <v>348</v>
      </c>
      <c r="M750" s="24" t="s">
        <v>412</v>
      </c>
      <c r="N750" s="72" t="s">
        <v>413</v>
      </c>
      <c r="O750" s="72">
        <v>17</v>
      </c>
      <c r="P750" s="25" t="s">
        <v>414</v>
      </c>
      <c r="Q750" s="25">
        <v>9</v>
      </c>
      <c r="R750" s="17"/>
      <c r="S750" s="25"/>
      <c r="T750" s="26">
        <v>4046</v>
      </c>
      <c r="U750" s="26" t="s">
        <v>1554</v>
      </c>
      <c r="V750" s="26">
        <v>4048</v>
      </c>
      <c r="W750" s="26" t="s">
        <v>1556</v>
      </c>
      <c r="X750" s="66">
        <v>44816</v>
      </c>
      <c r="Y750" s="66">
        <v>45086</v>
      </c>
      <c r="Z750" s="66"/>
      <c r="AA750" s="66"/>
      <c r="AB750" s="26" t="s">
        <v>282</v>
      </c>
      <c r="AC750" s="26"/>
      <c r="AD750" s="28"/>
      <c r="AE750" s="28"/>
      <c r="AF750" s="28"/>
      <c r="AG750" s="28" t="s">
        <v>90</v>
      </c>
      <c r="AH750" s="28" t="s">
        <v>90</v>
      </c>
      <c r="AI750" s="28" t="s">
        <v>90</v>
      </c>
      <c r="AJ750" s="28" t="s">
        <v>90</v>
      </c>
      <c r="AK750" s="28" t="s">
        <v>90</v>
      </c>
      <c r="AL750" s="28" t="s">
        <v>90</v>
      </c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9">
        <v>3.6</v>
      </c>
      <c r="AY750" s="30"/>
      <c r="AZ750" s="30"/>
      <c r="BA750" s="29"/>
      <c r="BB750" s="29"/>
      <c r="BC750" s="30"/>
      <c r="BD750" s="31">
        <f t="shared" si="163"/>
        <v>626.4</v>
      </c>
      <c r="BE750" s="31"/>
      <c r="BF750" s="30"/>
      <c r="BG750" s="36">
        <v>1</v>
      </c>
      <c r="BH750" s="31">
        <f t="shared" si="168"/>
        <v>0.39999999999999991</v>
      </c>
      <c r="BI750" s="31">
        <f t="shared" si="169"/>
        <v>0</v>
      </c>
      <c r="BJ750" s="31">
        <f t="shared" si="170"/>
        <v>69.59999999999998</v>
      </c>
      <c r="BK750" s="30"/>
      <c r="BL750" s="30"/>
      <c r="BM750" s="30"/>
      <c r="BN750" s="30"/>
      <c r="BO750" s="33">
        <f t="shared" si="155"/>
        <v>0</v>
      </c>
      <c r="BP750" s="30">
        <v>15</v>
      </c>
      <c r="BQ750" s="30">
        <v>20</v>
      </c>
      <c r="BR750" s="30"/>
      <c r="BS750" s="30"/>
      <c r="BT750" s="34">
        <f t="shared" si="156"/>
        <v>4</v>
      </c>
      <c r="BU750" s="34"/>
      <c r="BV750" s="34"/>
      <c r="BW750" s="34"/>
      <c r="BX750" s="34"/>
      <c r="BY750" s="30"/>
      <c r="BZ750" s="31">
        <f t="shared" si="157"/>
        <v>60</v>
      </c>
      <c r="CA750" s="31">
        <f t="shared" si="158"/>
        <v>80</v>
      </c>
    </row>
    <row r="751" spans="1:79" ht="51" x14ac:dyDescent="0.25">
      <c r="A751" s="17"/>
      <c r="B751" s="2">
        <v>738</v>
      </c>
      <c r="C751" s="18">
        <v>431</v>
      </c>
      <c r="D751" s="18">
        <v>1</v>
      </c>
      <c r="E751" s="19">
        <v>0.29166666666666669</v>
      </c>
      <c r="F751" s="19">
        <v>0.2986111111111111</v>
      </c>
      <c r="G751" s="18" t="s">
        <v>1558</v>
      </c>
      <c r="H751" s="18" t="s">
        <v>306</v>
      </c>
      <c r="I751" s="20">
        <v>4.5</v>
      </c>
      <c r="J751" s="21" t="s">
        <v>541</v>
      </c>
      <c r="K751" s="22">
        <v>208</v>
      </c>
      <c r="L751" s="23">
        <f t="shared" si="167"/>
        <v>936</v>
      </c>
      <c r="M751" s="24" t="s">
        <v>557</v>
      </c>
      <c r="N751" s="25" t="s">
        <v>1459</v>
      </c>
      <c r="O751" s="25">
        <v>9</v>
      </c>
      <c r="P751" s="25" t="s">
        <v>1559</v>
      </c>
      <c r="Q751" s="25">
        <v>9</v>
      </c>
      <c r="R751" s="25" t="s">
        <v>1457</v>
      </c>
      <c r="S751" s="25">
        <v>9</v>
      </c>
      <c r="T751" s="26">
        <v>4030</v>
      </c>
      <c r="U751" s="26" t="s">
        <v>1560</v>
      </c>
      <c r="V751" s="26">
        <v>4025</v>
      </c>
      <c r="W751" s="26" t="s">
        <v>1561</v>
      </c>
      <c r="X751" s="66">
        <v>44816</v>
      </c>
      <c r="Y751" s="66">
        <v>45086</v>
      </c>
      <c r="Z751" s="66"/>
      <c r="AA751" s="66"/>
      <c r="AB751" s="26" t="s">
        <v>309</v>
      </c>
      <c r="AC751" s="26"/>
      <c r="AD751" s="28"/>
      <c r="AE751" s="28"/>
      <c r="AF751" s="28"/>
      <c r="AG751" s="28" t="s">
        <v>90</v>
      </c>
      <c r="AH751" s="28" t="s">
        <v>90</v>
      </c>
      <c r="AI751" s="28" t="s">
        <v>90</v>
      </c>
      <c r="AJ751" s="28" t="s">
        <v>90</v>
      </c>
      <c r="AK751" s="28" t="s">
        <v>90</v>
      </c>
      <c r="AL751" s="28" t="s">
        <v>90</v>
      </c>
      <c r="AM751" s="28" t="s">
        <v>90</v>
      </c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9">
        <v>24.38</v>
      </c>
      <c r="AY751" s="30"/>
      <c r="AZ751" s="30"/>
      <c r="BA751" s="29"/>
      <c r="BB751" s="29"/>
      <c r="BC751" s="55">
        <v>11</v>
      </c>
      <c r="BD751" s="31">
        <f t="shared" si="163"/>
        <v>5071.04</v>
      </c>
      <c r="BE751" s="31"/>
      <c r="BF751" s="30"/>
      <c r="BG751" s="36">
        <v>1</v>
      </c>
      <c r="BH751" s="31">
        <f t="shared" si="168"/>
        <v>0</v>
      </c>
      <c r="BI751" s="31">
        <f t="shared" si="169"/>
        <v>0</v>
      </c>
      <c r="BJ751" s="33">
        <f t="shared" si="170"/>
        <v>0</v>
      </c>
      <c r="BK751" s="30"/>
      <c r="BL751" s="30"/>
      <c r="BM751" s="30"/>
      <c r="BN751" s="30"/>
      <c r="BO751" s="33">
        <f t="shared" si="155"/>
        <v>0</v>
      </c>
      <c r="BP751" s="30">
        <v>17</v>
      </c>
      <c r="BQ751" s="30">
        <v>25</v>
      </c>
      <c r="BR751" s="30"/>
      <c r="BS751" s="30"/>
      <c r="BT751" s="34">
        <f t="shared" si="156"/>
        <v>24.38</v>
      </c>
      <c r="BU751" s="34"/>
      <c r="BV751" s="34"/>
      <c r="BW751" s="34"/>
      <c r="BX751" s="34"/>
      <c r="BY751" s="30"/>
      <c r="BZ751" s="31">
        <f t="shared" si="157"/>
        <v>414.46</v>
      </c>
      <c r="CA751" s="31">
        <f t="shared" si="158"/>
        <v>609.5</v>
      </c>
    </row>
    <row r="752" spans="1:79" ht="51" x14ac:dyDescent="0.25">
      <c r="A752" s="17"/>
      <c r="B752" s="2">
        <v>739</v>
      </c>
      <c r="C752" s="18">
        <v>431</v>
      </c>
      <c r="D752" s="18">
        <v>4</v>
      </c>
      <c r="E752" s="19">
        <v>0.74097222222222225</v>
      </c>
      <c r="F752" s="19">
        <v>0.74861111111111101</v>
      </c>
      <c r="G752" s="18" t="s">
        <v>1562</v>
      </c>
      <c r="H752" s="18" t="s">
        <v>273</v>
      </c>
      <c r="I752" s="20">
        <v>4.5</v>
      </c>
      <c r="J752" s="21" t="s">
        <v>541</v>
      </c>
      <c r="K752" s="22">
        <v>174</v>
      </c>
      <c r="L752" s="23">
        <f t="shared" si="167"/>
        <v>783</v>
      </c>
      <c r="M752" s="24" t="s">
        <v>557</v>
      </c>
      <c r="N752" s="25" t="s">
        <v>560</v>
      </c>
      <c r="O752" s="25">
        <v>23</v>
      </c>
      <c r="P752" s="25" t="s">
        <v>1450</v>
      </c>
      <c r="Q752" s="25">
        <v>30</v>
      </c>
      <c r="R752" s="17"/>
      <c r="S752" s="25"/>
      <c r="T752" s="26">
        <v>4025</v>
      </c>
      <c r="U752" s="26" t="s">
        <v>1561</v>
      </c>
      <c r="V752" s="26">
        <v>4030</v>
      </c>
      <c r="W752" s="26" t="s">
        <v>1560</v>
      </c>
      <c r="X752" s="66">
        <v>44816</v>
      </c>
      <c r="Y752" s="66">
        <v>45086</v>
      </c>
      <c r="Z752" s="66"/>
      <c r="AA752" s="66"/>
      <c r="AB752" s="26" t="s">
        <v>282</v>
      </c>
      <c r="AC752" s="26"/>
      <c r="AD752" s="28"/>
      <c r="AE752" s="28"/>
      <c r="AF752" s="28"/>
      <c r="AG752" s="28" t="s">
        <v>90</v>
      </c>
      <c r="AH752" s="28" t="s">
        <v>90</v>
      </c>
      <c r="AI752" s="28" t="s">
        <v>90</v>
      </c>
      <c r="AJ752" s="28" t="s">
        <v>90</v>
      </c>
      <c r="AK752" s="28" t="s">
        <v>90</v>
      </c>
      <c r="AL752" s="28" t="s">
        <v>90</v>
      </c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9">
        <v>22.82</v>
      </c>
      <c r="AY752" s="30"/>
      <c r="AZ752" s="30"/>
      <c r="BA752" s="29"/>
      <c r="BB752" s="29"/>
      <c r="BC752" s="55">
        <v>12</v>
      </c>
      <c r="BD752" s="31">
        <f t="shared" si="163"/>
        <v>3970.68</v>
      </c>
      <c r="BE752" s="31"/>
      <c r="BF752" s="30"/>
      <c r="BG752" s="36">
        <v>1</v>
      </c>
      <c r="BH752" s="31">
        <f t="shared" si="168"/>
        <v>0</v>
      </c>
      <c r="BI752" s="31">
        <f t="shared" si="169"/>
        <v>0</v>
      </c>
      <c r="BJ752" s="33">
        <f t="shared" si="170"/>
        <v>0</v>
      </c>
      <c r="BK752" s="30"/>
      <c r="BL752" s="30"/>
      <c r="BM752" s="30"/>
      <c r="BN752" s="30"/>
      <c r="BO752" s="33">
        <f t="shared" si="155"/>
        <v>0</v>
      </c>
      <c r="BP752" s="30">
        <v>15</v>
      </c>
      <c r="BQ752" s="30">
        <v>20</v>
      </c>
      <c r="BR752" s="30"/>
      <c r="BS752" s="30"/>
      <c r="BT752" s="34">
        <f t="shared" si="156"/>
        <v>22.82</v>
      </c>
      <c r="BU752" s="34"/>
      <c r="BV752" s="34"/>
      <c r="BW752" s="34"/>
      <c r="BX752" s="34"/>
      <c r="BY752" s="30"/>
      <c r="BZ752" s="31">
        <f t="shared" si="157"/>
        <v>342.3</v>
      </c>
      <c r="CA752" s="31">
        <f t="shared" si="158"/>
        <v>456.4</v>
      </c>
    </row>
    <row r="753" spans="1:79" ht="216.75" x14ac:dyDescent="0.25">
      <c r="A753" s="17"/>
      <c r="B753" s="2">
        <v>740</v>
      </c>
      <c r="C753" s="18">
        <v>433</v>
      </c>
      <c r="D753" s="18">
        <v>530</v>
      </c>
      <c r="E753" s="19">
        <v>0.33333333333333331</v>
      </c>
      <c r="F753" s="19">
        <v>0.36944444444444446</v>
      </c>
      <c r="G753" s="18" t="s">
        <v>1563</v>
      </c>
      <c r="H753" s="18" t="s">
        <v>1564</v>
      </c>
      <c r="I753" s="20">
        <v>17</v>
      </c>
      <c r="J753" s="21">
        <v>20</v>
      </c>
      <c r="K753" s="22">
        <v>22</v>
      </c>
      <c r="L753" s="23">
        <f t="shared" si="167"/>
        <v>374</v>
      </c>
      <c r="M753" s="24" t="s">
        <v>189</v>
      </c>
      <c r="N753" s="25" t="s">
        <v>190</v>
      </c>
      <c r="O753" s="25">
        <v>21</v>
      </c>
      <c r="P753" s="25" t="s">
        <v>191</v>
      </c>
      <c r="Q753" s="25">
        <v>21</v>
      </c>
      <c r="R753" s="56"/>
      <c r="S753" s="25"/>
      <c r="T753" s="26">
        <v>4380</v>
      </c>
      <c r="U753" s="26" t="s">
        <v>1565</v>
      </c>
      <c r="V753" s="26" t="s">
        <v>1566</v>
      </c>
      <c r="W753" s="26" t="s">
        <v>1567</v>
      </c>
      <c r="X753" s="27">
        <v>44562</v>
      </c>
      <c r="Y753" s="27">
        <v>44815</v>
      </c>
      <c r="Z753" s="27">
        <v>45101</v>
      </c>
      <c r="AA753" s="27">
        <v>45169</v>
      </c>
      <c r="AB753" s="26" t="s">
        <v>1568</v>
      </c>
      <c r="AC753" s="26"/>
      <c r="AD753" s="28"/>
      <c r="AE753" s="28" t="s">
        <v>90</v>
      </c>
      <c r="AF753" s="28" t="s">
        <v>90</v>
      </c>
      <c r="AG753" s="28"/>
      <c r="AH753" s="28" t="s">
        <v>90</v>
      </c>
      <c r="AI753" s="28"/>
      <c r="AJ753" s="28" t="s">
        <v>90</v>
      </c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9">
        <v>50.28</v>
      </c>
      <c r="AY753" s="30"/>
      <c r="AZ753" s="30"/>
      <c r="BA753" s="29"/>
      <c r="BB753" s="29"/>
      <c r="BC753" s="30"/>
      <c r="BD753" s="31">
        <f t="shared" si="163"/>
        <v>1106.1600000000001</v>
      </c>
      <c r="BE753" s="31"/>
      <c r="BF753" s="30"/>
      <c r="BG753" s="36">
        <v>1</v>
      </c>
      <c r="BH753" s="31">
        <f t="shared" si="168"/>
        <v>0</v>
      </c>
      <c r="BI753" s="31">
        <f t="shared" si="169"/>
        <v>0</v>
      </c>
      <c r="BJ753" s="33">
        <f t="shared" si="170"/>
        <v>0</v>
      </c>
      <c r="BK753" s="30"/>
      <c r="BL753" s="30"/>
      <c r="BM753" s="30"/>
      <c r="BN753" s="30"/>
      <c r="BO753" s="33">
        <f t="shared" si="155"/>
        <v>0</v>
      </c>
      <c r="BP753" s="30">
        <v>2</v>
      </c>
      <c r="BQ753" s="30">
        <v>0</v>
      </c>
      <c r="BR753" s="30"/>
      <c r="BS753" s="30"/>
      <c r="BT753" s="34">
        <f t="shared" si="156"/>
        <v>50.28</v>
      </c>
      <c r="BU753" s="34"/>
      <c r="BV753" s="34"/>
      <c r="BW753" s="34"/>
      <c r="BX753" s="34"/>
      <c r="BY753" s="30"/>
      <c r="BZ753" s="31">
        <f t="shared" si="157"/>
        <v>100.56</v>
      </c>
      <c r="CA753" s="31">
        <f t="shared" si="158"/>
        <v>0</v>
      </c>
    </row>
    <row r="754" spans="1:79" ht="63.75" x14ac:dyDescent="0.25">
      <c r="A754" s="17"/>
      <c r="B754" s="2">
        <v>741</v>
      </c>
      <c r="C754" s="18">
        <v>433</v>
      </c>
      <c r="D754" s="18">
        <v>530</v>
      </c>
      <c r="E754" s="19">
        <v>0.375</v>
      </c>
      <c r="F754" s="19">
        <v>0.41111111111111115</v>
      </c>
      <c r="G754" s="18" t="s">
        <v>1569</v>
      </c>
      <c r="H754" s="18" t="s">
        <v>1570</v>
      </c>
      <c r="I754" s="20">
        <v>17</v>
      </c>
      <c r="J754" s="21">
        <v>20</v>
      </c>
      <c r="K754" s="22">
        <v>78</v>
      </c>
      <c r="L754" s="23">
        <f t="shared" si="167"/>
        <v>1326</v>
      </c>
      <c r="M754" s="24" t="s">
        <v>189</v>
      </c>
      <c r="N754" s="25" t="s">
        <v>190</v>
      </c>
      <c r="O754" s="25">
        <v>21</v>
      </c>
      <c r="P754" s="25" t="s">
        <v>191</v>
      </c>
      <c r="Q754" s="25">
        <v>21</v>
      </c>
      <c r="R754" s="56"/>
      <c r="S754" s="25"/>
      <c r="T754" s="26">
        <v>4380</v>
      </c>
      <c r="U754" s="26" t="s">
        <v>1565</v>
      </c>
      <c r="V754" s="26" t="s">
        <v>1566</v>
      </c>
      <c r="W754" s="26" t="s">
        <v>1567</v>
      </c>
      <c r="X754" s="27">
        <v>44816</v>
      </c>
      <c r="Y754" s="27">
        <v>45100</v>
      </c>
      <c r="Z754" s="27"/>
      <c r="AA754" s="27"/>
      <c r="AB754" s="26" t="s">
        <v>1571</v>
      </c>
      <c r="AC754" s="26"/>
      <c r="AD754" s="28" t="s">
        <v>90</v>
      </c>
      <c r="AE754" s="28"/>
      <c r="AF754" s="28" t="s">
        <v>90</v>
      </c>
      <c r="AG754" s="28"/>
      <c r="AH754" s="28" t="s">
        <v>90</v>
      </c>
      <c r="AI754" s="28"/>
      <c r="AJ754" s="28" t="s">
        <v>90</v>
      </c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9">
        <v>46.43</v>
      </c>
      <c r="AY754" s="30"/>
      <c r="AZ754" s="30"/>
      <c r="BA754" s="29"/>
      <c r="BB754" s="29"/>
      <c r="BC754" s="30"/>
      <c r="BD754" s="31">
        <f t="shared" si="163"/>
        <v>3621.54</v>
      </c>
      <c r="BE754" s="31"/>
      <c r="BF754" s="30"/>
      <c r="BG754" s="36">
        <v>1</v>
      </c>
      <c r="BH754" s="31">
        <f t="shared" si="168"/>
        <v>0</v>
      </c>
      <c r="BI754" s="31">
        <f t="shared" si="169"/>
        <v>0</v>
      </c>
      <c r="BJ754" s="33">
        <f t="shared" si="170"/>
        <v>0</v>
      </c>
      <c r="BK754" s="30"/>
      <c r="BL754" s="30"/>
      <c r="BM754" s="30"/>
      <c r="BN754" s="30"/>
      <c r="BO754" s="33">
        <f t="shared" si="155"/>
        <v>0</v>
      </c>
      <c r="BP754" s="30">
        <v>6</v>
      </c>
      <c r="BQ754" s="30">
        <v>9</v>
      </c>
      <c r="BR754" s="30"/>
      <c r="BS754" s="30"/>
      <c r="BT754" s="34">
        <f t="shared" si="156"/>
        <v>46.43</v>
      </c>
      <c r="BU754" s="34"/>
      <c r="BV754" s="34"/>
      <c r="BW754" s="34"/>
      <c r="BX754" s="34"/>
      <c r="BY754" s="30"/>
      <c r="BZ754" s="31">
        <f t="shared" si="157"/>
        <v>278.58</v>
      </c>
      <c r="CA754" s="31">
        <f t="shared" si="158"/>
        <v>417.87</v>
      </c>
    </row>
    <row r="755" spans="1:79" ht="63.75" x14ac:dyDescent="0.25">
      <c r="A755" s="17"/>
      <c r="B755" s="2">
        <v>742</v>
      </c>
      <c r="C755" s="18">
        <v>433</v>
      </c>
      <c r="D755" s="18">
        <v>532</v>
      </c>
      <c r="E755" s="19">
        <v>0.46875</v>
      </c>
      <c r="F755" s="59">
        <v>0.50486111111111109</v>
      </c>
      <c r="G755" s="18" t="s">
        <v>1572</v>
      </c>
      <c r="H755" s="18" t="s">
        <v>1573</v>
      </c>
      <c r="I755" s="20">
        <v>17</v>
      </c>
      <c r="J755" s="21">
        <v>20</v>
      </c>
      <c r="K755" s="22">
        <f>48+52</f>
        <v>100</v>
      </c>
      <c r="L755" s="23">
        <f t="shared" si="167"/>
        <v>1700</v>
      </c>
      <c r="M755" s="24" t="s">
        <v>189</v>
      </c>
      <c r="N755" s="25" t="s">
        <v>190</v>
      </c>
      <c r="O755" s="25">
        <v>21</v>
      </c>
      <c r="P755" s="25" t="s">
        <v>191</v>
      </c>
      <c r="Q755" s="25">
        <v>21</v>
      </c>
      <c r="R755" s="56"/>
      <c r="S755" s="25"/>
      <c r="T755" s="26" t="s">
        <v>1566</v>
      </c>
      <c r="U755" s="26" t="s">
        <v>1567</v>
      </c>
      <c r="V755" s="26">
        <v>4380</v>
      </c>
      <c r="W755" s="26" t="s">
        <v>1565</v>
      </c>
      <c r="X755" s="66">
        <v>44805</v>
      </c>
      <c r="Y755" s="66">
        <v>45169</v>
      </c>
      <c r="Z755" s="66"/>
      <c r="AA755" s="66"/>
      <c r="AB755" s="26" t="s">
        <v>1574</v>
      </c>
      <c r="AC755" s="26"/>
      <c r="AD755" s="28" t="s">
        <v>90</v>
      </c>
      <c r="AE755" s="28" t="s">
        <v>90</v>
      </c>
      <c r="AF755" s="28" t="s">
        <v>90</v>
      </c>
      <c r="AG755" s="28"/>
      <c r="AH755" s="28" t="s">
        <v>90</v>
      </c>
      <c r="AI755" s="28"/>
      <c r="AJ755" s="28" t="s">
        <v>90</v>
      </c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9">
        <v>47.23</v>
      </c>
      <c r="AY755" s="30"/>
      <c r="AZ755" s="30"/>
      <c r="BA755" s="29"/>
      <c r="BB755" s="29"/>
      <c r="BC755" s="30"/>
      <c r="BD755" s="31">
        <f t="shared" si="163"/>
        <v>4723</v>
      </c>
      <c r="BE755" s="31"/>
      <c r="BF755" s="30"/>
      <c r="BG755" s="36">
        <v>1</v>
      </c>
      <c r="BH755" s="31">
        <f t="shared" si="168"/>
        <v>0</v>
      </c>
      <c r="BI755" s="31">
        <f t="shared" si="169"/>
        <v>0</v>
      </c>
      <c r="BJ755" s="33">
        <f t="shared" si="170"/>
        <v>0</v>
      </c>
      <c r="BK755" s="30"/>
      <c r="BL755" s="30"/>
      <c r="BM755" s="30"/>
      <c r="BN755" s="30"/>
      <c r="BO755" s="33">
        <f t="shared" si="155"/>
        <v>0</v>
      </c>
      <c r="BP755" s="30">
        <v>8</v>
      </c>
      <c r="BQ755" s="30">
        <v>9</v>
      </c>
      <c r="BR755" s="30"/>
      <c r="BS755" s="30"/>
      <c r="BT755" s="34">
        <f t="shared" si="156"/>
        <v>47.23</v>
      </c>
      <c r="BU755" s="34"/>
      <c r="BV755" s="34"/>
      <c r="BW755" s="34"/>
      <c r="BX755" s="34"/>
      <c r="BY755" s="30"/>
      <c r="BZ755" s="31">
        <f t="shared" si="157"/>
        <v>377.84</v>
      </c>
      <c r="CA755" s="31">
        <f t="shared" si="158"/>
        <v>425.07</v>
      </c>
    </row>
    <row r="756" spans="1:79" ht="76.5" x14ac:dyDescent="0.25">
      <c r="A756" s="17"/>
      <c r="B756" s="2">
        <v>743</v>
      </c>
      <c r="C756" s="18">
        <v>504</v>
      </c>
      <c r="D756" s="18">
        <v>8</v>
      </c>
      <c r="E756" s="59">
        <v>0.72152777777777777</v>
      </c>
      <c r="F756" s="59">
        <v>0.73055555555555562</v>
      </c>
      <c r="G756" s="58" t="s">
        <v>1575</v>
      </c>
      <c r="H756" s="18" t="s">
        <v>273</v>
      </c>
      <c r="I756" s="20">
        <v>5</v>
      </c>
      <c r="J756" s="21">
        <v>16</v>
      </c>
      <c r="K756" s="22">
        <v>174</v>
      </c>
      <c r="L756" s="23">
        <f t="shared" si="167"/>
        <v>870</v>
      </c>
      <c r="M756" s="24" t="s">
        <v>725</v>
      </c>
      <c r="N756" s="25" t="s">
        <v>727</v>
      </c>
      <c r="O756" s="25">
        <v>21</v>
      </c>
      <c r="P756" s="25" t="s">
        <v>726</v>
      </c>
      <c r="Q756" s="25">
        <v>8</v>
      </c>
      <c r="R756" s="17"/>
      <c r="S756" s="25"/>
      <c r="T756" s="26">
        <v>5117</v>
      </c>
      <c r="U756" s="26" t="s">
        <v>1576</v>
      </c>
      <c r="V756" s="26">
        <v>5119</v>
      </c>
      <c r="W756" s="26" t="s">
        <v>1577</v>
      </c>
      <c r="X756" s="66">
        <v>44816</v>
      </c>
      <c r="Y756" s="66">
        <v>45086</v>
      </c>
      <c r="Z756" s="66"/>
      <c r="AA756" s="66"/>
      <c r="AB756" s="26" t="s">
        <v>282</v>
      </c>
      <c r="AC756" s="26"/>
      <c r="AD756" s="28"/>
      <c r="AE756" s="28"/>
      <c r="AF756" s="28"/>
      <c r="AG756" s="28" t="s">
        <v>90</v>
      </c>
      <c r="AH756" s="28" t="s">
        <v>90</v>
      </c>
      <c r="AI756" s="28" t="s">
        <v>90</v>
      </c>
      <c r="AJ756" s="28" t="s">
        <v>90</v>
      </c>
      <c r="AK756" s="28" t="s">
        <v>90</v>
      </c>
      <c r="AL756" s="28" t="s">
        <v>90</v>
      </c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9">
        <v>48.42</v>
      </c>
      <c r="AY756" s="30"/>
      <c r="AZ756" s="30"/>
      <c r="BA756" s="29"/>
      <c r="BB756" s="29"/>
      <c r="BC756" s="30"/>
      <c r="BD756" s="31">
        <f t="shared" si="163"/>
        <v>8425.08</v>
      </c>
      <c r="BE756" s="31"/>
      <c r="BF756" s="30"/>
      <c r="BG756" s="36">
        <v>1</v>
      </c>
      <c r="BH756" s="31">
        <f t="shared" si="168"/>
        <v>0</v>
      </c>
      <c r="BI756" s="31">
        <f t="shared" si="169"/>
        <v>0</v>
      </c>
      <c r="BJ756" s="33">
        <f t="shared" si="170"/>
        <v>0</v>
      </c>
      <c r="BK756" s="30"/>
      <c r="BL756" s="30"/>
      <c r="BM756" s="30"/>
      <c r="BN756" s="30"/>
      <c r="BO756" s="33">
        <f t="shared" si="155"/>
        <v>0</v>
      </c>
      <c r="BP756" s="30">
        <v>15</v>
      </c>
      <c r="BQ756" s="30">
        <v>20</v>
      </c>
      <c r="BR756" s="30"/>
      <c r="BS756" s="30"/>
      <c r="BT756" s="34">
        <f t="shared" si="156"/>
        <v>48.42</v>
      </c>
      <c r="BU756" s="34"/>
      <c r="BV756" s="34"/>
      <c r="BW756" s="34"/>
      <c r="BX756" s="34"/>
      <c r="BY756" s="30"/>
      <c r="BZ756" s="31">
        <f t="shared" si="157"/>
        <v>726.30000000000007</v>
      </c>
      <c r="CA756" s="31">
        <f t="shared" si="158"/>
        <v>968.40000000000009</v>
      </c>
    </row>
    <row r="757" spans="1:79" ht="76.5" x14ac:dyDescent="0.25">
      <c r="A757" s="17"/>
      <c r="B757" s="2">
        <v>744</v>
      </c>
      <c r="C757" s="18">
        <v>512</v>
      </c>
      <c r="D757" s="18">
        <v>476</v>
      </c>
      <c r="E757" s="19">
        <v>0.24444444444444446</v>
      </c>
      <c r="F757" s="19">
        <v>0.2673611111111111</v>
      </c>
      <c r="G757" s="18" t="s">
        <v>1578</v>
      </c>
      <c r="H757" s="18" t="s">
        <v>1579</v>
      </c>
      <c r="I757" s="20">
        <v>25</v>
      </c>
      <c r="J757" s="21" t="s">
        <v>754</v>
      </c>
      <c r="K757" s="22">
        <v>36</v>
      </c>
      <c r="L757" s="23">
        <f t="shared" si="167"/>
        <v>900</v>
      </c>
      <c r="M757" s="24" t="s">
        <v>478</v>
      </c>
      <c r="N757" s="25" t="s">
        <v>1440</v>
      </c>
      <c r="O757" s="25">
        <v>57</v>
      </c>
      <c r="P757" s="25" t="s">
        <v>1478</v>
      </c>
      <c r="Q757" s="25">
        <v>50</v>
      </c>
      <c r="R757" s="17"/>
      <c r="S757" s="25"/>
      <c r="T757" s="26" t="s">
        <v>199</v>
      </c>
      <c r="U757" s="26" t="s">
        <v>200</v>
      </c>
      <c r="V757" s="26" t="s">
        <v>1580</v>
      </c>
      <c r="W757" s="26" t="s">
        <v>1581</v>
      </c>
      <c r="X757" s="66">
        <v>44816</v>
      </c>
      <c r="Y757" s="66">
        <v>45086</v>
      </c>
      <c r="Z757" s="66"/>
      <c r="AA757" s="66"/>
      <c r="AB757" s="28" t="s">
        <v>732</v>
      </c>
      <c r="AC757" s="28"/>
      <c r="AD757" s="28"/>
      <c r="AE757" s="28"/>
      <c r="AF757" s="28"/>
      <c r="AG757" s="28" t="s">
        <v>90</v>
      </c>
      <c r="AH757" s="28" t="s">
        <v>90</v>
      </c>
      <c r="AI757" s="28"/>
      <c r="AJ757" s="28"/>
      <c r="AK757" s="28"/>
      <c r="AL757" s="28"/>
      <c r="AM757" s="28"/>
      <c r="AN757" s="28"/>
      <c r="AO757" s="28" t="s">
        <v>90</v>
      </c>
      <c r="AP757" s="28"/>
      <c r="AQ757" s="28"/>
      <c r="AR757" s="28"/>
      <c r="AS757" s="28"/>
      <c r="AT757" s="28"/>
      <c r="AU757" s="28"/>
      <c r="AV757" s="28"/>
      <c r="AW757" s="28"/>
      <c r="AX757" s="29">
        <v>75</v>
      </c>
      <c r="AY757" s="31"/>
      <c r="AZ757" s="30"/>
      <c r="BA757" s="29"/>
      <c r="BB757" s="29"/>
      <c r="BC757" s="30"/>
      <c r="BD757" s="31">
        <f t="shared" si="163"/>
        <v>2700</v>
      </c>
      <c r="BE757" s="31"/>
      <c r="BF757" s="30"/>
      <c r="BG757" s="32">
        <v>2</v>
      </c>
      <c r="BH757" s="31">
        <f t="shared" si="168"/>
        <v>0</v>
      </c>
      <c r="BI757" s="31">
        <f t="shared" si="169"/>
        <v>0</v>
      </c>
      <c r="BJ757" s="33">
        <f t="shared" si="170"/>
        <v>0</v>
      </c>
      <c r="BK757" s="30"/>
      <c r="BL757" s="30"/>
      <c r="BM757" s="30"/>
      <c r="BN757" s="31">
        <f>IF((AX757+AY757+AZ757)&lt;20,(20-(AX757+AY757+AZ757)),0)</f>
        <v>0</v>
      </c>
      <c r="BO757" s="33">
        <f t="shared" si="155"/>
        <v>0</v>
      </c>
      <c r="BP757" s="30">
        <v>3</v>
      </c>
      <c r="BQ757" s="30">
        <v>4</v>
      </c>
      <c r="BR757" s="30"/>
      <c r="BS757" s="30"/>
      <c r="BT757" s="34">
        <f t="shared" si="156"/>
        <v>75</v>
      </c>
      <c r="BU757" s="34"/>
      <c r="BV757" s="34"/>
      <c r="BW757" s="34"/>
      <c r="BX757" s="34"/>
      <c r="BY757" s="30"/>
      <c r="BZ757" s="31">
        <f t="shared" si="157"/>
        <v>225</v>
      </c>
      <c r="CA757" s="31">
        <f t="shared" si="158"/>
        <v>300</v>
      </c>
    </row>
    <row r="758" spans="1:79" ht="89.25" x14ac:dyDescent="0.25">
      <c r="A758" s="17"/>
      <c r="B758" s="2">
        <v>745</v>
      </c>
      <c r="C758" s="18">
        <v>512</v>
      </c>
      <c r="D758" s="18">
        <v>476</v>
      </c>
      <c r="E758" s="59">
        <v>0.2673611111111111</v>
      </c>
      <c r="F758" s="59">
        <v>0.33333333333333331</v>
      </c>
      <c r="G758" s="18" t="s">
        <v>1582</v>
      </c>
      <c r="H758" s="18" t="s">
        <v>306</v>
      </c>
      <c r="I758" s="20">
        <f>63+2.8</f>
        <v>65.8</v>
      </c>
      <c r="J758" s="21" t="s">
        <v>754</v>
      </c>
      <c r="K758" s="22">
        <v>208</v>
      </c>
      <c r="L758" s="23">
        <f t="shared" si="167"/>
        <v>13686.4</v>
      </c>
      <c r="M758" s="24" t="s">
        <v>478</v>
      </c>
      <c r="N758" s="25" t="s">
        <v>1440</v>
      </c>
      <c r="O758" s="25">
        <v>57</v>
      </c>
      <c r="P758" s="25" t="s">
        <v>1478</v>
      </c>
      <c r="Q758" s="25">
        <v>50</v>
      </c>
      <c r="R758" s="17"/>
      <c r="S758" s="25"/>
      <c r="T758" s="26" t="s">
        <v>1580</v>
      </c>
      <c r="U758" s="26" t="s">
        <v>1583</v>
      </c>
      <c r="V758" s="26">
        <v>5015</v>
      </c>
      <c r="W758" s="26" t="s">
        <v>1584</v>
      </c>
      <c r="X758" s="66">
        <v>44816</v>
      </c>
      <c r="Y758" s="66">
        <v>45086</v>
      </c>
      <c r="Z758" s="66"/>
      <c r="AA758" s="66"/>
      <c r="AB758" s="26" t="s">
        <v>309</v>
      </c>
      <c r="AC758" s="26"/>
      <c r="AD758" s="28"/>
      <c r="AE758" s="28"/>
      <c r="AF758" s="28"/>
      <c r="AG758" s="28" t="s">
        <v>90</v>
      </c>
      <c r="AH758" s="28" t="s">
        <v>90</v>
      </c>
      <c r="AI758" s="28" t="s">
        <v>90</v>
      </c>
      <c r="AJ758" s="28" t="s">
        <v>90</v>
      </c>
      <c r="AK758" s="28" t="s">
        <v>90</v>
      </c>
      <c r="AL758" s="28" t="s">
        <v>90</v>
      </c>
      <c r="AM758" s="28" t="s">
        <v>90</v>
      </c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9">
        <v>263.24</v>
      </c>
      <c r="AY758" s="31"/>
      <c r="AZ758" s="30"/>
      <c r="BA758" s="29"/>
      <c r="BB758" s="29"/>
      <c r="BC758" s="30"/>
      <c r="BD758" s="31">
        <f t="shared" si="163"/>
        <v>54753.919999999998</v>
      </c>
      <c r="BE758" s="31"/>
      <c r="BF758" s="30"/>
      <c r="BG758" s="32">
        <v>2</v>
      </c>
      <c r="BH758" s="31">
        <f t="shared" si="168"/>
        <v>0</v>
      </c>
      <c r="BI758" s="31">
        <f t="shared" si="169"/>
        <v>0</v>
      </c>
      <c r="BJ758" s="33">
        <f t="shared" si="170"/>
        <v>0</v>
      </c>
      <c r="BK758" s="30"/>
      <c r="BL758" s="30"/>
      <c r="BM758" s="30"/>
      <c r="BN758" s="31">
        <f>IF((AX758+AY758+AZ758)&lt;20,(20-(AX758+AY758+AZ758)),0)</f>
        <v>0</v>
      </c>
      <c r="BO758" s="33">
        <f t="shared" ref="BO758:BO821" si="171">BN758*K758</f>
        <v>0</v>
      </c>
      <c r="BP758" s="30">
        <v>17</v>
      </c>
      <c r="BQ758" s="30">
        <v>25</v>
      </c>
      <c r="BR758" s="30"/>
      <c r="BS758" s="30"/>
      <c r="BT758" s="34">
        <f t="shared" ref="BT758:BT821" si="172">SUM(AX758:AZ758)+SUM(BH758:BI758)+SUM(BK758:BL758)+BN758</f>
        <v>263.24</v>
      </c>
      <c r="BU758" s="34"/>
      <c r="BV758" s="34"/>
      <c r="BW758" s="34"/>
      <c r="BX758" s="34"/>
      <c r="BY758" s="30"/>
      <c r="BZ758" s="31">
        <f t="shared" ref="BZ758:BZ821" si="173">(BT758*BP758)+(BV758*BX758)</f>
        <v>4475.08</v>
      </c>
      <c r="CA758" s="31">
        <f t="shared" si="158"/>
        <v>6581</v>
      </c>
    </row>
    <row r="759" spans="1:79" ht="51" x14ac:dyDescent="0.25">
      <c r="A759" s="17"/>
      <c r="B759" s="2">
        <v>746</v>
      </c>
      <c r="C759" s="18">
        <v>601</v>
      </c>
      <c r="D759" s="18">
        <v>695</v>
      </c>
      <c r="E759" s="19">
        <v>0.2722222222222222</v>
      </c>
      <c r="F759" s="19">
        <v>0.29375000000000001</v>
      </c>
      <c r="G759" s="18" t="s">
        <v>1585</v>
      </c>
      <c r="H759" s="58" t="s">
        <v>273</v>
      </c>
      <c r="I759" s="20">
        <v>21.5</v>
      </c>
      <c r="J759" s="21" t="s">
        <v>104</v>
      </c>
      <c r="K759" s="68">
        <f>208-K760</f>
        <v>174</v>
      </c>
      <c r="L759" s="23">
        <f t="shared" si="167"/>
        <v>3741</v>
      </c>
      <c r="M759" s="24" t="s">
        <v>1586</v>
      </c>
      <c r="N759" s="25" t="s">
        <v>1587</v>
      </c>
      <c r="O759" s="25">
        <v>56</v>
      </c>
      <c r="P759" s="25" t="s">
        <v>1588</v>
      </c>
      <c r="Q759" s="25">
        <v>60</v>
      </c>
      <c r="R759" s="25" t="s">
        <v>220</v>
      </c>
      <c r="S759" s="25">
        <v>54</v>
      </c>
      <c r="T759" s="26">
        <v>6200</v>
      </c>
      <c r="U759" s="26" t="s">
        <v>1589</v>
      </c>
      <c r="V759" s="26" t="s">
        <v>204</v>
      </c>
      <c r="W759" s="26" t="s">
        <v>205</v>
      </c>
      <c r="X759" s="66">
        <v>44816</v>
      </c>
      <c r="Y759" s="66">
        <v>45086</v>
      </c>
      <c r="Z759" s="66"/>
      <c r="AA759" s="66"/>
      <c r="AB759" s="78" t="s">
        <v>282</v>
      </c>
      <c r="AC759" s="26"/>
      <c r="AD759" s="28"/>
      <c r="AE759" s="28"/>
      <c r="AF759" s="28"/>
      <c r="AG759" s="28" t="s">
        <v>90</v>
      </c>
      <c r="AH759" s="28" t="s">
        <v>90</v>
      </c>
      <c r="AI759" s="28" t="s">
        <v>90</v>
      </c>
      <c r="AJ759" s="28" t="s">
        <v>90</v>
      </c>
      <c r="AK759" s="28" t="s">
        <v>90</v>
      </c>
      <c r="AL759" s="28" t="s">
        <v>90</v>
      </c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9">
        <v>64.5</v>
      </c>
      <c r="AY759" s="31"/>
      <c r="AZ759" s="30"/>
      <c r="BA759" s="29"/>
      <c r="BB759" s="29"/>
      <c r="BC759" s="30"/>
      <c r="BD759" s="31">
        <f t="shared" si="163"/>
        <v>11223</v>
      </c>
      <c r="BE759" s="31"/>
      <c r="BF759" s="30"/>
      <c r="BG759" s="36">
        <v>1</v>
      </c>
      <c r="BH759" s="31">
        <f t="shared" si="168"/>
        <v>0</v>
      </c>
      <c r="BI759" s="31">
        <f t="shared" si="169"/>
        <v>0</v>
      </c>
      <c r="BJ759" s="33">
        <f t="shared" si="170"/>
        <v>0</v>
      </c>
      <c r="BK759" s="30"/>
      <c r="BL759" s="30"/>
      <c r="BM759" s="30"/>
      <c r="BN759" s="31">
        <f>IF((AX759+AY759+AZ759)&lt;20,(20-(AX759+AY759+AZ759)),0)</f>
        <v>0</v>
      </c>
      <c r="BO759" s="33">
        <f t="shared" si="171"/>
        <v>0</v>
      </c>
      <c r="BP759" s="30">
        <v>15</v>
      </c>
      <c r="BQ759" s="30">
        <v>20</v>
      </c>
      <c r="BR759" s="30"/>
      <c r="BS759" s="30"/>
      <c r="BT759" s="34">
        <f t="shared" si="172"/>
        <v>64.5</v>
      </c>
      <c r="BU759" s="34"/>
      <c r="BV759" s="34"/>
      <c r="BW759" s="34"/>
      <c r="BX759" s="34"/>
      <c r="BY759" s="30"/>
      <c r="BZ759" s="31">
        <f t="shared" si="173"/>
        <v>967.5</v>
      </c>
      <c r="CA759" s="31">
        <f t="shared" si="158"/>
        <v>1290</v>
      </c>
    </row>
    <row r="760" spans="1:79" ht="51" x14ac:dyDescent="0.25">
      <c r="A760" s="17"/>
      <c r="B760" s="71" t="s">
        <v>1590</v>
      </c>
      <c r="C760" s="18">
        <v>601</v>
      </c>
      <c r="D760" s="18">
        <v>695</v>
      </c>
      <c r="E760" s="19">
        <v>0.2722222222222222</v>
      </c>
      <c r="F760" s="19">
        <v>0.29375000000000001</v>
      </c>
      <c r="G760" s="18" t="s">
        <v>1585</v>
      </c>
      <c r="H760" s="58" t="s">
        <v>1591</v>
      </c>
      <c r="I760" s="20">
        <v>21.5</v>
      </c>
      <c r="J760" s="21" t="s">
        <v>104</v>
      </c>
      <c r="K760" s="68">
        <v>34</v>
      </c>
      <c r="L760" s="23">
        <f t="shared" si="167"/>
        <v>731</v>
      </c>
      <c r="M760" s="24" t="s">
        <v>195</v>
      </c>
      <c r="N760" s="25" t="s">
        <v>219</v>
      </c>
      <c r="O760" s="25">
        <v>31</v>
      </c>
      <c r="P760" s="25" t="s">
        <v>1592</v>
      </c>
      <c r="Q760" s="25">
        <v>31</v>
      </c>
      <c r="R760" s="25"/>
      <c r="S760" s="25"/>
      <c r="T760" s="26">
        <v>6200</v>
      </c>
      <c r="U760" s="26" t="s">
        <v>1589</v>
      </c>
      <c r="V760" s="26" t="s">
        <v>204</v>
      </c>
      <c r="W760" s="26" t="s">
        <v>205</v>
      </c>
      <c r="X760" s="66">
        <v>44816</v>
      </c>
      <c r="Y760" s="66">
        <v>45086</v>
      </c>
      <c r="Z760" s="66"/>
      <c r="AA760" s="66"/>
      <c r="AB760" s="78" t="s">
        <v>382</v>
      </c>
      <c r="AC760" s="26"/>
      <c r="AD760" s="28"/>
      <c r="AE760" s="28"/>
      <c r="AF760" s="28"/>
      <c r="AG760" s="28" t="s">
        <v>90</v>
      </c>
      <c r="AH760" s="28"/>
      <c r="AI760" s="28"/>
      <c r="AJ760" s="28"/>
      <c r="AK760" s="28"/>
      <c r="AL760" s="28"/>
      <c r="AM760" s="28" t="s">
        <v>90</v>
      </c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9">
        <v>64.5</v>
      </c>
      <c r="AY760" s="31"/>
      <c r="AZ760" s="30"/>
      <c r="BA760" s="29"/>
      <c r="BB760" s="29"/>
      <c r="BC760" s="30"/>
      <c r="BD760" s="31">
        <f t="shared" si="163"/>
        <v>2193</v>
      </c>
      <c r="BE760" s="31"/>
      <c r="BF760" s="30"/>
      <c r="BG760" s="36">
        <v>1</v>
      </c>
      <c r="BH760" s="31">
        <f t="shared" si="168"/>
        <v>0</v>
      </c>
      <c r="BI760" s="31">
        <f t="shared" si="169"/>
        <v>0</v>
      </c>
      <c r="BJ760" s="33">
        <f t="shared" si="170"/>
        <v>0</v>
      </c>
      <c r="BK760" s="30"/>
      <c r="BL760" s="30"/>
      <c r="BM760" s="30"/>
      <c r="BN760" s="31">
        <f>IF((AX760+AY760+AZ760)&lt;20,(20-(AX760+AY760+AZ760)),0)</f>
        <v>0</v>
      </c>
      <c r="BO760" s="33">
        <f t="shared" si="171"/>
        <v>0</v>
      </c>
      <c r="BP760" s="30">
        <v>2</v>
      </c>
      <c r="BQ760" s="30">
        <v>5</v>
      </c>
      <c r="BR760" s="30"/>
      <c r="BS760" s="30"/>
      <c r="BT760" s="34">
        <f t="shared" si="172"/>
        <v>64.5</v>
      </c>
      <c r="BU760" s="34"/>
      <c r="BV760" s="34"/>
      <c r="BW760" s="34"/>
      <c r="BX760" s="34"/>
      <c r="BY760" s="30"/>
      <c r="BZ760" s="31">
        <f t="shared" si="173"/>
        <v>129</v>
      </c>
      <c r="CA760" s="31">
        <f t="shared" si="158"/>
        <v>322.5</v>
      </c>
    </row>
    <row r="761" spans="1:79" ht="63.75" x14ac:dyDescent="0.25">
      <c r="A761" s="17"/>
      <c r="B761" s="2">
        <v>747</v>
      </c>
      <c r="C761" s="18">
        <v>601</v>
      </c>
      <c r="D761" s="18">
        <v>616</v>
      </c>
      <c r="E761" s="19">
        <v>0.86458333333333337</v>
      </c>
      <c r="F761" s="19">
        <v>0.88680555555555562</v>
      </c>
      <c r="G761" s="18" t="s">
        <v>194</v>
      </c>
      <c r="H761" s="18" t="s">
        <v>80</v>
      </c>
      <c r="I761" s="20">
        <v>22</v>
      </c>
      <c r="J761" s="21" t="s">
        <v>93</v>
      </c>
      <c r="K761" s="22">
        <v>67</v>
      </c>
      <c r="L761" s="23">
        <f t="shared" si="167"/>
        <v>1474</v>
      </c>
      <c r="M761" s="24" t="s">
        <v>195</v>
      </c>
      <c r="N761" s="25" t="s">
        <v>196</v>
      </c>
      <c r="O761" s="25">
        <v>24</v>
      </c>
      <c r="P761" s="25" t="s">
        <v>197</v>
      </c>
      <c r="Q761" s="25">
        <v>21</v>
      </c>
      <c r="R761" s="25" t="s">
        <v>198</v>
      </c>
      <c r="S761" s="25">
        <v>21</v>
      </c>
      <c r="T761" s="26" t="s">
        <v>199</v>
      </c>
      <c r="U761" s="26" t="s">
        <v>200</v>
      </c>
      <c r="V761" s="26">
        <v>6120</v>
      </c>
      <c r="W761" s="26" t="s">
        <v>98</v>
      </c>
      <c r="X761" s="27">
        <v>44562</v>
      </c>
      <c r="Y761" s="27">
        <v>44815</v>
      </c>
      <c r="Z761" s="27">
        <v>45101</v>
      </c>
      <c r="AA761" s="27">
        <v>45169</v>
      </c>
      <c r="AB761" s="28" t="s">
        <v>89</v>
      </c>
      <c r="AC761" s="28"/>
      <c r="AD761" s="28"/>
      <c r="AE761" s="28" t="s">
        <v>90</v>
      </c>
      <c r="AF761" s="28" t="s">
        <v>90</v>
      </c>
      <c r="AG761" s="28"/>
      <c r="AH761" s="28" t="s">
        <v>90</v>
      </c>
      <c r="AI761" s="28" t="s">
        <v>90</v>
      </c>
      <c r="AJ761" s="28" t="s">
        <v>90</v>
      </c>
      <c r="AK761" s="28" t="s">
        <v>90</v>
      </c>
      <c r="AL761" s="28" t="s">
        <v>90</v>
      </c>
      <c r="AM761" s="28" t="s">
        <v>90</v>
      </c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9">
        <v>55</v>
      </c>
      <c r="AY761" s="31"/>
      <c r="AZ761" s="30"/>
      <c r="BA761" s="29"/>
      <c r="BB761" s="29"/>
      <c r="BC761" s="30"/>
      <c r="BD761" s="31">
        <f t="shared" si="163"/>
        <v>3685</v>
      </c>
      <c r="BE761" s="31"/>
      <c r="BF761" s="30"/>
      <c r="BG761" s="36">
        <v>1</v>
      </c>
      <c r="BH761" s="31">
        <f t="shared" si="168"/>
        <v>0</v>
      </c>
      <c r="BI761" s="31">
        <f t="shared" si="169"/>
        <v>0</v>
      </c>
      <c r="BJ761" s="33">
        <f t="shared" si="170"/>
        <v>0</v>
      </c>
      <c r="BK761" s="30"/>
      <c r="BL761" s="30"/>
      <c r="BM761" s="30"/>
      <c r="BN761" s="30"/>
      <c r="BO761" s="33">
        <f t="shared" si="171"/>
        <v>0</v>
      </c>
      <c r="BP761" s="30">
        <v>9</v>
      </c>
      <c r="BQ761" s="30">
        <v>0</v>
      </c>
      <c r="BR761" s="30"/>
      <c r="BS761" s="30"/>
      <c r="BT761" s="34">
        <f t="shared" si="172"/>
        <v>55</v>
      </c>
      <c r="BU761" s="34"/>
      <c r="BV761" s="34"/>
      <c r="BW761" s="34"/>
      <c r="BX761" s="34"/>
      <c r="BY761" s="30"/>
      <c r="BZ761" s="31">
        <f t="shared" si="173"/>
        <v>495</v>
      </c>
      <c r="CA761" s="31">
        <f t="shared" si="158"/>
        <v>0</v>
      </c>
    </row>
    <row r="762" spans="1:79" ht="51" x14ac:dyDescent="0.25">
      <c r="A762" s="17"/>
      <c r="B762" s="2">
        <v>748</v>
      </c>
      <c r="C762" s="18">
        <v>611</v>
      </c>
      <c r="D762" s="18">
        <v>387</v>
      </c>
      <c r="E762" s="19">
        <v>0.26041666666666669</v>
      </c>
      <c r="F762" s="19">
        <v>0.28472222222222221</v>
      </c>
      <c r="G762" s="18" t="s">
        <v>1593</v>
      </c>
      <c r="H762" s="18" t="s">
        <v>306</v>
      </c>
      <c r="I762" s="20">
        <v>19.100000000000001</v>
      </c>
      <c r="J762" s="21" t="s">
        <v>81</v>
      </c>
      <c r="K762" s="22">
        <v>208</v>
      </c>
      <c r="L762" s="23">
        <f t="shared" si="167"/>
        <v>3972.8</v>
      </c>
      <c r="M762" s="24" t="s">
        <v>919</v>
      </c>
      <c r="N762" s="25" t="s">
        <v>1594</v>
      </c>
      <c r="O762" s="25">
        <v>55</v>
      </c>
      <c r="P762" s="25" t="s">
        <v>1595</v>
      </c>
      <c r="Q762" s="25">
        <v>55</v>
      </c>
      <c r="R762" s="25" t="s">
        <v>1596</v>
      </c>
      <c r="S762" s="35">
        <v>46</v>
      </c>
      <c r="T762" s="26">
        <v>6133</v>
      </c>
      <c r="U762" s="26" t="s">
        <v>1597</v>
      </c>
      <c r="V762" s="26" t="s">
        <v>202</v>
      </c>
      <c r="W762" s="26" t="s">
        <v>203</v>
      </c>
      <c r="X762" s="66">
        <v>44816</v>
      </c>
      <c r="Y762" s="66">
        <v>45086</v>
      </c>
      <c r="Z762" s="66"/>
      <c r="AA762" s="66"/>
      <c r="AB762" s="26" t="s">
        <v>309</v>
      </c>
      <c r="AC762" s="26"/>
      <c r="AD762" s="28"/>
      <c r="AE762" s="28"/>
      <c r="AF762" s="28"/>
      <c r="AG762" s="28" t="s">
        <v>90</v>
      </c>
      <c r="AH762" s="28" t="s">
        <v>90</v>
      </c>
      <c r="AI762" s="28" t="s">
        <v>90</v>
      </c>
      <c r="AJ762" s="28" t="s">
        <v>90</v>
      </c>
      <c r="AK762" s="28" t="s">
        <v>90</v>
      </c>
      <c r="AL762" s="28" t="s">
        <v>90</v>
      </c>
      <c r="AM762" s="28" t="s">
        <v>90</v>
      </c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9">
        <f>15.3+14+14</f>
        <v>43.3</v>
      </c>
      <c r="AY762" s="31"/>
      <c r="AZ762" s="30"/>
      <c r="BA762" s="29"/>
      <c r="BB762" s="29"/>
      <c r="BC762" s="30"/>
      <c r="BD762" s="31">
        <f t="shared" si="163"/>
        <v>9006.4</v>
      </c>
      <c r="BE762" s="31"/>
      <c r="BF762" s="30"/>
      <c r="BG762" s="32">
        <v>2</v>
      </c>
      <c r="BH762" s="31">
        <f t="shared" si="168"/>
        <v>0</v>
      </c>
      <c r="BI762" s="31">
        <f t="shared" si="169"/>
        <v>14.000000000000007</v>
      </c>
      <c r="BJ762" s="33">
        <f t="shared" si="170"/>
        <v>2912.0000000000014</v>
      </c>
      <c r="BK762" s="30"/>
      <c r="BL762" s="30"/>
      <c r="BM762" s="30"/>
      <c r="BN762" s="31">
        <f>IF((AX762+AY762+AZ762)&lt;20,(20-(AX762+AY762+AZ762)),0)</f>
        <v>0</v>
      </c>
      <c r="BO762" s="33">
        <f t="shared" si="171"/>
        <v>0</v>
      </c>
      <c r="BP762" s="30">
        <v>17</v>
      </c>
      <c r="BQ762" s="30">
        <v>25</v>
      </c>
      <c r="BR762" s="30"/>
      <c r="BS762" s="30"/>
      <c r="BT762" s="34">
        <f t="shared" si="172"/>
        <v>57.300000000000004</v>
      </c>
      <c r="BU762" s="34"/>
      <c r="BV762" s="34"/>
      <c r="BW762" s="34"/>
      <c r="BX762" s="34"/>
      <c r="BY762" s="30"/>
      <c r="BZ762" s="31">
        <f t="shared" si="173"/>
        <v>974.1</v>
      </c>
      <c r="CA762" s="31">
        <f t="shared" si="158"/>
        <v>1432.5</v>
      </c>
    </row>
    <row r="763" spans="1:79" ht="45.75" x14ac:dyDescent="0.25">
      <c r="A763" s="17"/>
      <c r="B763" s="2">
        <v>749</v>
      </c>
      <c r="C763" s="18">
        <v>611</v>
      </c>
      <c r="D763" s="21">
        <v>71</v>
      </c>
      <c r="E763" s="19">
        <v>0.26041666666666669</v>
      </c>
      <c r="F763" s="19">
        <v>0.29791666666666666</v>
      </c>
      <c r="G763" s="18" t="s">
        <v>201</v>
      </c>
      <c r="H763" s="18" t="s">
        <v>80</v>
      </c>
      <c r="I763" s="20">
        <v>27</v>
      </c>
      <c r="J763" s="21" t="s">
        <v>93</v>
      </c>
      <c r="K763" s="22">
        <v>67</v>
      </c>
      <c r="L763" s="23">
        <f t="shared" si="167"/>
        <v>1809</v>
      </c>
      <c r="M763" s="24" t="s">
        <v>195</v>
      </c>
      <c r="N763" s="25" t="s">
        <v>196</v>
      </c>
      <c r="O763" s="25">
        <v>24</v>
      </c>
      <c r="P763" s="25" t="s">
        <v>197</v>
      </c>
      <c r="Q763" s="25">
        <v>21</v>
      </c>
      <c r="R763" s="25" t="s">
        <v>198</v>
      </c>
      <c r="S763" s="25">
        <v>21</v>
      </c>
      <c r="T763" s="26" t="s">
        <v>202</v>
      </c>
      <c r="U763" s="26" t="s">
        <v>203</v>
      </c>
      <c r="V763" s="26" t="s">
        <v>204</v>
      </c>
      <c r="W763" s="26" t="s">
        <v>205</v>
      </c>
      <c r="X763" s="27">
        <v>44562</v>
      </c>
      <c r="Y763" s="27">
        <v>44815</v>
      </c>
      <c r="Z763" s="27">
        <v>45101</v>
      </c>
      <c r="AA763" s="27">
        <v>45169</v>
      </c>
      <c r="AB763" s="28" t="s">
        <v>89</v>
      </c>
      <c r="AC763" s="28"/>
      <c r="AD763" s="28"/>
      <c r="AE763" s="28" t="s">
        <v>90</v>
      </c>
      <c r="AF763" s="28" t="s">
        <v>90</v>
      </c>
      <c r="AG763" s="28"/>
      <c r="AH763" s="28" t="s">
        <v>90</v>
      </c>
      <c r="AI763" s="28" t="s">
        <v>90</v>
      </c>
      <c r="AJ763" s="28" t="s">
        <v>90</v>
      </c>
      <c r="AK763" s="28" t="s">
        <v>90</v>
      </c>
      <c r="AL763" s="28" t="s">
        <v>90</v>
      </c>
      <c r="AM763" s="28" t="s">
        <v>90</v>
      </c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9">
        <v>67.5</v>
      </c>
      <c r="AY763" s="31"/>
      <c r="AZ763" s="30"/>
      <c r="BA763" s="29"/>
      <c r="BB763" s="29"/>
      <c r="BC763" s="30"/>
      <c r="BD763" s="31">
        <f t="shared" si="163"/>
        <v>4522.5</v>
      </c>
      <c r="BE763" s="31"/>
      <c r="BF763" s="30"/>
      <c r="BG763" s="36">
        <v>1</v>
      </c>
      <c r="BH763" s="31">
        <f t="shared" si="168"/>
        <v>0</v>
      </c>
      <c r="BI763" s="31">
        <f t="shared" si="169"/>
        <v>0</v>
      </c>
      <c r="BJ763" s="33">
        <f t="shared" si="170"/>
        <v>0</v>
      </c>
      <c r="BK763" s="30"/>
      <c r="BL763" s="30"/>
      <c r="BM763" s="30"/>
      <c r="BN763" s="31">
        <f>IF((AX763+AY763+AZ763)&lt;20,(20-(AX763+AY763+AZ763)),0)</f>
        <v>0</v>
      </c>
      <c r="BO763" s="33">
        <f t="shared" si="171"/>
        <v>0</v>
      </c>
      <c r="BP763" s="30">
        <v>9</v>
      </c>
      <c r="BQ763" s="30">
        <v>0</v>
      </c>
      <c r="BR763" s="30"/>
      <c r="BS763" s="30"/>
      <c r="BT763" s="34">
        <f t="shared" si="172"/>
        <v>67.5</v>
      </c>
      <c r="BU763" s="34"/>
      <c r="BV763" s="34"/>
      <c r="BW763" s="34"/>
      <c r="BX763" s="34"/>
      <c r="BY763" s="30"/>
      <c r="BZ763" s="31">
        <f t="shared" si="173"/>
        <v>607.5</v>
      </c>
      <c r="CA763" s="31">
        <f t="shared" si="158"/>
        <v>0</v>
      </c>
    </row>
    <row r="764" spans="1:79" ht="45" x14ac:dyDescent="0.25">
      <c r="A764" s="17"/>
      <c r="B764" s="2">
        <v>750</v>
      </c>
      <c r="C764" s="18">
        <v>611</v>
      </c>
      <c r="D764" s="18">
        <v>49</v>
      </c>
      <c r="E764" s="19">
        <v>0.27291666666666664</v>
      </c>
      <c r="F764" s="19">
        <v>0.29375000000000001</v>
      </c>
      <c r="G764" s="18" t="s">
        <v>1598</v>
      </c>
      <c r="H764" s="18" t="s">
        <v>1599</v>
      </c>
      <c r="I764" s="20">
        <v>14</v>
      </c>
      <c r="J764" s="21" t="s">
        <v>93</v>
      </c>
      <c r="K764" s="22">
        <v>55</v>
      </c>
      <c r="L764" s="23">
        <f t="shared" si="167"/>
        <v>770</v>
      </c>
      <c r="M764" s="24" t="s">
        <v>94</v>
      </c>
      <c r="N764" s="17" t="s">
        <v>97</v>
      </c>
      <c r="O764" s="25">
        <v>21</v>
      </c>
      <c r="P764" s="25" t="s">
        <v>95</v>
      </c>
      <c r="Q764" s="25">
        <v>24</v>
      </c>
      <c r="R764" s="25" t="s">
        <v>96</v>
      </c>
      <c r="S764" s="25">
        <v>34</v>
      </c>
      <c r="T764" s="26">
        <v>6136</v>
      </c>
      <c r="U764" s="26" t="s">
        <v>1600</v>
      </c>
      <c r="V764" s="26">
        <v>6120</v>
      </c>
      <c r="W764" s="26" t="s">
        <v>98</v>
      </c>
      <c r="X764" s="27">
        <v>44562</v>
      </c>
      <c r="Y764" s="27">
        <v>44815</v>
      </c>
      <c r="Z764" s="27">
        <v>45101</v>
      </c>
      <c r="AA764" s="27">
        <v>45169</v>
      </c>
      <c r="AB764" s="26" t="s">
        <v>353</v>
      </c>
      <c r="AC764" s="26"/>
      <c r="AD764" s="28"/>
      <c r="AE764" s="28" t="s">
        <v>90</v>
      </c>
      <c r="AF764" s="28" t="s">
        <v>90</v>
      </c>
      <c r="AG764" s="28"/>
      <c r="AH764" s="28" t="s">
        <v>90</v>
      </c>
      <c r="AI764" s="28" t="s">
        <v>90</v>
      </c>
      <c r="AJ764" s="28" t="s">
        <v>90</v>
      </c>
      <c r="AK764" s="28" t="s">
        <v>90</v>
      </c>
      <c r="AL764" s="28" t="s">
        <v>90</v>
      </c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9">
        <v>0</v>
      </c>
      <c r="AY764" s="31"/>
      <c r="AZ764" s="30"/>
      <c r="BA764" s="29"/>
      <c r="BB764" s="29"/>
      <c r="BC764" s="30"/>
      <c r="BD764" s="31">
        <f t="shared" si="163"/>
        <v>0</v>
      </c>
      <c r="BE764" s="31"/>
      <c r="BF764" s="30"/>
      <c r="BG764" s="36">
        <v>1</v>
      </c>
      <c r="BH764" s="31">
        <f t="shared" si="168"/>
        <v>28</v>
      </c>
      <c r="BI764" s="31">
        <f t="shared" si="169"/>
        <v>0</v>
      </c>
      <c r="BJ764" s="31">
        <f t="shared" si="170"/>
        <v>1540</v>
      </c>
      <c r="BK764" s="30"/>
      <c r="BL764" s="30"/>
      <c r="BM764" s="30"/>
      <c r="BN764" s="31"/>
      <c r="BO764" s="33">
        <f t="shared" si="171"/>
        <v>0</v>
      </c>
      <c r="BP764" s="30">
        <v>7</v>
      </c>
      <c r="BQ764" s="30">
        <v>0</v>
      </c>
      <c r="BR764" s="30"/>
      <c r="BS764" s="30"/>
      <c r="BT764" s="34">
        <f t="shared" si="172"/>
        <v>28</v>
      </c>
      <c r="BU764" s="34"/>
      <c r="BV764" s="34"/>
      <c r="BW764" s="34"/>
      <c r="BX764" s="34"/>
      <c r="BY764" s="30"/>
      <c r="BZ764" s="31">
        <f t="shared" si="173"/>
        <v>196</v>
      </c>
      <c r="CA764" s="31">
        <f t="shared" si="158"/>
        <v>0</v>
      </c>
    </row>
    <row r="765" spans="1:79" ht="38.25" x14ac:dyDescent="0.25">
      <c r="A765" s="17"/>
      <c r="B765" s="2">
        <v>751</v>
      </c>
      <c r="C765" s="65">
        <v>611</v>
      </c>
      <c r="D765" s="48">
        <v>71</v>
      </c>
      <c r="E765" s="49">
        <v>0.28055555555555556</v>
      </c>
      <c r="F765" s="49">
        <v>0.30833333333333335</v>
      </c>
      <c r="G765" s="51" t="s">
        <v>1601</v>
      </c>
      <c r="H765" s="48" t="s">
        <v>1602</v>
      </c>
      <c r="I765" s="48">
        <v>26.5</v>
      </c>
      <c r="J765" s="52">
        <v>50</v>
      </c>
      <c r="K765" s="22">
        <v>33</v>
      </c>
      <c r="L765" s="23">
        <f t="shared" si="167"/>
        <v>874.5</v>
      </c>
      <c r="M765" s="24" t="s">
        <v>455</v>
      </c>
      <c r="N765" s="25" t="s">
        <v>456</v>
      </c>
      <c r="O765" s="25">
        <v>53</v>
      </c>
      <c r="P765" s="25" t="s">
        <v>457</v>
      </c>
      <c r="Q765" s="25">
        <v>54</v>
      </c>
      <c r="R765" s="17" t="s">
        <v>458</v>
      </c>
      <c r="S765" s="75">
        <v>53</v>
      </c>
      <c r="T765" s="26">
        <v>6131</v>
      </c>
      <c r="U765" s="26" t="s">
        <v>1603</v>
      </c>
      <c r="V765" s="26">
        <v>1</v>
      </c>
      <c r="W765" s="26" t="s">
        <v>300</v>
      </c>
      <c r="X765" s="66">
        <v>44816</v>
      </c>
      <c r="Y765" s="66">
        <v>45086</v>
      </c>
      <c r="Z765" s="66"/>
      <c r="AA765" s="66"/>
      <c r="AB765" s="28" t="s">
        <v>646</v>
      </c>
      <c r="AC765" s="28"/>
      <c r="AD765" s="28"/>
      <c r="AE765" s="28"/>
      <c r="AF765" s="28"/>
      <c r="AG765" s="28" t="s">
        <v>90</v>
      </c>
      <c r="AH765" s="28" t="s">
        <v>90</v>
      </c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31"/>
      <c r="AY765" s="31"/>
      <c r="AZ765" s="30"/>
      <c r="BA765" s="55" t="s">
        <v>455</v>
      </c>
      <c r="BB765" s="55"/>
      <c r="BC765" s="30"/>
      <c r="BD765" s="31">
        <f t="shared" si="163"/>
        <v>0</v>
      </c>
      <c r="BE765" s="30"/>
      <c r="BF765" s="30"/>
      <c r="BG765" s="32">
        <v>2</v>
      </c>
      <c r="BH765" s="30"/>
      <c r="BI765" s="31"/>
      <c r="BJ765" s="30"/>
      <c r="BK765" s="30"/>
      <c r="BL765" s="30"/>
      <c r="BM765" s="30"/>
      <c r="BN765" s="31"/>
      <c r="BO765" s="33">
        <f t="shared" si="171"/>
        <v>0</v>
      </c>
      <c r="BP765" s="30">
        <v>3</v>
      </c>
      <c r="BQ765" s="30">
        <v>4</v>
      </c>
      <c r="BR765" s="30"/>
      <c r="BS765" s="30"/>
      <c r="BT765" s="34">
        <f t="shared" si="172"/>
        <v>0</v>
      </c>
      <c r="BU765" s="34"/>
      <c r="BV765" s="34"/>
      <c r="BW765" s="34"/>
      <c r="BX765" s="34"/>
      <c r="BY765" s="30"/>
      <c r="BZ765" s="31">
        <f t="shared" si="173"/>
        <v>0</v>
      </c>
      <c r="CA765" s="31">
        <f t="shared" si="158"/>
        <v>0</v>
      </c>
    </row>
    <row r="766" spans="1:79" ht="51" x14ac:dyDescent="0.25">
      <c r="A766" s="17"/>
      <c r="B766" s="2">
        <v>752</v>
      </c>
      <c r="C766" s="18">
        <v>611</v>
      </c>
      <c r="D766" s="18">
        <v>229</v>
      </c>
      <c r="E766" s="19">
        <v>0.30555555555555552</v>
      </c>
      <c r="F766" s="19">
        <v>0.30833333333333335</v>
      </c>
      <c r="G766" s="18" t="s">
        <v>1604</v>
      </c>
      <c r="H766" s="18" t="s">
        <v>352</v>
      </c>
      <c r="I766" s="20">
        <v>4</v>
      </c>
      <c r="J766" s="21" t="s">
        <v>93</v>
      </c>
      <c r="K766" s="22">
        <v>55</v>
      </c>
      <c r="L766" s="23">
        <f t="shared" si="167"/>
        <v>220</v>
      </c>
      <c r="M766" s="24" t="s">
        <v>195</v>
      </c>
      <c r="N766" s="25" t="s">
        <v>196</v>
      </c>
      <c r="O766" s="25">
        <v>24</v>
      </c>
      <c r="P766" s="25" t="s">
        <v>197</v>
      </c>
      <c r="Q766" s="25">
        <v>21</v>
      </c>
      <c r="R766" s="25" t="s">
        <v>198</v>
      </c>
      <c r="S766" s="25">
        <v>21</v>
      </c>
      <c r="T766" s="26" t="s">
        <v>204</v>
      </c>
      <c r="U766" s="26" t="s">
        <v>205</v>
      </c>
      <c r="V766" s="26">
        <v>954</v>
      </c>
      <c r="W766" s="26" t="s">
        <v>508</v>
      </c>
      <c r="X766" s="27">
        <v>44562</v>
      </c>
      <c r="Y766" s="27">
        <v>44815</v>
      </c>
      <c r="Z766" s="27">
        <v>45101</v>
      </c>
      <c r="AA766" s="27">
        <v>45169</v>
      </c>
      <c r="AB766" s="26" t="s">
        <v>353</v>
      </c>
      <c r="AC766" s="26"/>
      <c r="AD766" s="28"/>
      <c r="AE766" s="28" t="s">
        <v>90</v>
      </c>
      <c r="AF766" s="28" t="s">
        <v>90</v>
      </c>
      <c r="AG766" s="28"/>
      <c r="AH766" s="28" t="s">
        <v>90</v>
      </c>
      <c r="AI766" s="28" t="s">
        <v>90</v>
      </c>
      <c r="AJ766" s="28" t="s">
        <v>90</v>
      </c>
      <c r="AK766" s="28" t="s">
        <v>90</v>
      </c>
      <c r="AL766" s="28" t="s">
        <v>90</v>
      </c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9">
        <v>12</v>
      </c>
      <c r="AY766" s="29"/>
      <c r="AZ766" s="30"/>
      <c r="BA766" s="30"/>
      <c r="BB766" s="30"/>
      <c r="BC766" s="30"/>
      <c r="BD766" s="31">
        <f t="shared" si="163"/>
        <v>660</v>
      </c>
      <c r="BE766" s="31"/>
      <c r="BF766" s="30"/>
      <c r="BG766" s="36">
        <v>1</v>
      </c>
      <c r="BH766" s="31">
        <f>IF(AND((AX766/I766)&lt;2,BG766=1),(I766*2)-AX766,0)</f>
        <v>0</v>
      </c>
      <c r="BI766" s="31">
        <f>IF(AND((AX766/I766)&lt;3,BG766=2),(I766*3)-AX766,0)</f>
        <v>0</v>
      </c>
      <c r="BJ766" s="33">
        <f>(BH766+BI766)*K766</f>
        <v>0</v>
      </c>
      <c r="BK766" s="30"/>
      <c r="BL766" s="30"/>
      <c r="BM766" s="30"/>
      <c r="BN766" s="30"/>
      <c r="BO766" s="33">
        <f t="shared" si="171"/>
        <v>0</v>
      </c>
      <c r="BP766" s="30">
        <v>7</v>
      </c>
      <c r="BQ766" s="30">
        <v>0</v>
      </c>
      <c r="BR766" s="30"/>
      <c r="BS766" s="30"/>
      <c r="BT766" s="34">
        <f t="shared" si="172"/>
        <v>12</v>
      </c>
      <c r="BU766" s="34"/>
      <c r="BV766" s="34"/>
      <c r="BW766" s="34"/>
      <c r="BX766" s="34"/>
      <c r="BY766" s="30"/>
      <c r="BZ766" s="31">
        <f t="shared" si="173"/>
        <v>84</v>
      </c>
      <c r="CA766" s="31">
        <f t="shared" si="158"/>
        <v>0</v>
      </c>
    </row>
    <row r="767" spans="1:79" ht="51" x14ac:dyDescent="0.25">
      <c r="A767" s="17"/>
      <c r="B767" s="2">
        <v>753</v>
      </c>
      <c r="C767" s="18">
        <v>611</v>
      </c>
      <c r="D767" s="18">
        <v>620</v>
      </c>
      <c r="E767" s="19">
        <v>0.54166666666666663</v>
      </c>
      <c r="F767" s="19">
        <v>0.56944444444444442</v>
      </c>
      <c r="G767" s="18" t="s">
        <v>1605</v>
      </c>
      <c r="H767" s="18" t="s">
        <v>306</v>
      </c>
      <c r="I767" s="20">
        <v>21</v>
      </c>
      <c r="J767" s="21" t="s">
        <v>93</v>
      </c>
      <c r="K767" s="22">
        <v>208</v>
      </c>
      <c r="L767" s="23">
        <f t="shared" si="167"/>
        <v>4368</v>
      </c>
      <c r="M767" s="24" t="s">
        <v>919</v>
      </c>
      <c r="N767" s="25" t="s">
        <v>1606</v>
      </c>
      <c r="O767" s="25">
        <v>23</v>
      </c>
      <c r="P767" s="25" t="s">
        <v>1607</v>
      </c>
      <c r="Q767" s="25">
        <v>21</v>
      </c>
      <c r="R767" s="25" t="s">
        <v>922</v>
      </c>
      <c r="S767" s="25">
        <v>37</v>
      </c>
      <c r="T767" s="26">
        <v>6140</v>
      </c>
      <c r="U767" s="26" t="s">
        <v>1608</v>
      </c>
      <c r="V767" s="26" t="s">
        <v>202</v>
      </c>
      <c r="W767" s="26" t="s">
        <v>203</v>
      </c>
      <c r="X767" s="66">
        <v>44816</v>
      </c>
      <c r="Y767" s="66">
        <v>45086</v>
      </c>
      <c r="Z767" s="66"/>
      <c r="AA767" s="66"/>
      <c r="AB767" s="26" t="s">
        <v>309</v>
      </c>
      <c r="AC767" s="26"/>
      <c r="AD767" s="28"/>
      <c r="AE767" s="28"/>
      <c r="AF767" s="28"/>
      <c r="AG767" s="28" t="s">
        <v>90</v>
      </c>
      <c r="AH767" s="28" t="s">
        <v>90</v>
      </c>
      <c r="AI767" s="28" t="s">
        <v>90</v>
      </c>
      <c r="AJ767" s="28" t="s">
        <v>90</v>
      </c>
      <c r="AK767" s="28" t="s">
        <v>90</v>
      </c>
      <c r="AL767" s="28" t="s">
        <v>90</v>
      </c>
      <c r="AM767" s="28" t="s">
        <v>90</v>
      </c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9">
        <v>63</v>
      </c>
      <c r="AY767" s="29"/>
      <c r="AZ767" s="30"/>
      <c r="BA767" s="30"/>
      <c r="BB767" s="30"/>
      <c r="BC767" s="30"/>
      <c r="BD767" s="31">
        <f t="shared" si="163"/>
        <v>13104</v>
      </c>
      <c r="BE767" s="31"/>
      <c r="BF767" s="30"/>
      <c r="BG767" s="36">
        <v>1</v>
      </c>
      <c r="BH767" s="31">
        <f>IF(AND((AX767/I767)&lt;2,BG767=1),(I767*2)-AX767,0)</f>
        <v>0</v>
      </c>
      <c r="BI767" s="31">
        <f>IF(AND((AX767/I767)&lt;3,BG767=2),(I767*3)-AX767,0)</f>
        <v>0</v>
      </c>
      <c r="BJ767" s="33">
        <f>(BH767+BI767)*K767</f>
        <v>0</v>
      </c>
      <c r="BK767" s="30"/>
      <c r="BL767" s="30"/>
      <c r="BM767" s="30"/>
      <c r="BN767" s="30"/>
      <c r="BO767" s="33">
        <f t="shared" si="171"/>
        <v>0</v>
      </c>
      <c r="BP767" s="30">
        <v>17</v>
      </c>
      <c r="BQ767" s="30">
        <v>25</v>
      </c>
      <c r="BR767" s="30"/>
      <c r="BS767" s="30"/>
      <c r="BT767" s="34">
        <f t="shared" si="172"/>
        <v>63</v>
      </c>
      <c r="BU767" s="34"/>
      <c r="BV767" s="34"/>
      <c r="BW767" s="34"/>
      <c r="BX767" s="34"/>
      <c r="BY767" s="30"/>
      <c r="BZ767" s="31">
        <f t="shared" si="173"/>
        <v>1071</v>
      </c>
      <c r="CA767" s="31">
        <f t="shared" si="158"/>
        <v>1575</v>
      </c>
    </row>
    <row r="768" spans="1:79" ht="89.25" x14ac:dyDescent="0.25">
      <c r="A768" s="17"/>
      <c r="B768" s="2">
        <v>754</v>
      </c>
      <c r="C768" s="18">
        <v>611</v>
      </c>
      <c r="D768" s="18">
        <v>60</v>
      </c>
      <c r="E768" s="19">
        <v>0.54166666666666663</v>
      </c>
      <c r="F768" s="19">
        <v>0.58472222222222225</v>
      </c>
      <c r="G768" s="18" t="s">
        <v>1609</v>
      </c>
      <c r="H768" s="18" t="s">
        <v>273</v>
      </c>
      <c r="I768" s="20">
        <v>30</v>
      </c>
      <c r="J768" s="21" t="s">
        <v>918</v>
      </c>
      <c r="K768" s="22">
        <v>174</v>
      </c>
      <c r="L768" s="23">
        <f t="shared" si="167"/>
        <v>5220</v>
      </c>
      <c r="M768" s="24" t="s">
        <v>919</v>
      </c>
      <c r="N768" s="25" t="s">
        <v>920</v>
      </c>
      <c r="O768" s="25">
        <v>55</v>
      </c>
      <c r="P768" s="25" t="s">
        <v>921</v>
      </c>
      <c r="Q768" s="25">
        <v>57</v>
      </c>
      <c r="R768" s="25" t="s">
        <v>922</v>
      </c>
      <c r="S768" s="25">
        <v>37</v>
      </c>
      <c r="T768" s="26" t="s">
        <v>744</v>
      </c>
      <c r="U768" s="26" t="s">
        <v>745</v>
      </c>
      <c r="V768" s="26" t="s">
        <v>202</v>
      </c>
      <c r="W768" s="26" t="s">
        <v>203</v>
      </c>
      <c r="X768" s="66">
        <v>44816</v>
      </c>
      <c r="Y768" s="66">
        <v>45086</v>
      </c>
      <c r="Z768" s="66"/>
      <c r="AA768" s="66"/>
      <c r="AB768" s="26" t="s">
        <v>282</v>
      </c>
      <c r="AC768" s="26"/>
      <c r="AD768" s="28"/>
      <c r="AE768" s="28"/>
      <c r="AF768" s="28"/>
      <c r="AG768" s="28" t="s">
        <v>90</v>
      </c>
      <c r="AH768" s="28" t="s">
        <v>90</v>
      </c>
      <c r="AI768" s="28" t="s">
        <v>90</v>
      </c>
      <c r="AJ768" s="28" t="s">
        <v>90</v>
      </c>
      <c r="AK768" s="28" t="s">
        <v>90</v>
      </c>
      <c r="AL768" s="28" t="s">
        <v>90</v>
      </c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9">
        <v>90</v>
      </c>
      <c r="AY768" s="29"/>
      <c r="AZ768" s="30"/>
      <c r="BA768" s="30"/>
      <c r="BB768" s="30"/>
      <c r="BC768" s="30"/>
      <c r="BD768" s="31">
        <f t="shared" si="163"/>
        <v>15660</v>
      </c>
      <c r="BE768" s="31"/>
      <c r="BF768" s="30"/>
      <c r="BG768" s="32">
        <v>2</v>
      </c>
      <c r="BH768" s="31">
        <f>IF(AND((AX768/I768)&lt;2,BG768=1),(I768*2)-AX768,0)</f>
        <v>0</v>
      </c>
      <c r="BI768" s="31">
        <f>IF(AND((AX768/I768)&lt;3,BG768=2),(I768*3)-AX768,0)</f>
        <v>0</v>
      </c>
      <c r="BJ768" s="33">
        <f>(BH768+BI768)*K768</f>
        <v>0</v>
      </c>
      <c r="BK768" s="30"/>
      <c r="BL768" s="30"/>
      <c r="BM768" s="30"/>
      <c r="BN768" s="30"/>
      <c r="BO768" s="33">
        <f t="shared" si="171"/>
        <v>0</v>
      </c>
      <c r="BP768" s="30">
        <v>15</v>
      </c>
      <c r="BQ768" s="30">
        <v>20</v>
      </c>
      <c r="BR768" s="30"/>
      <c r="BS768" s="30"/>
      <c r="BT768" s="34">
        <f t="shared" si="172"/>
        <v>90</v>
      </c>
      <c r="BU768" s="34"/>
      <c r="BV768" s="34"/>
      <c r="BW768" s="34"/>
      <c r="BX768" s="34"/>
      <c r="BY768" s="30"/>
      <c r="BZ768" s="31">
        <f t="shared" si="173"/>
        <v>1350</v>
      </c>
      <c r="CA768" s="31">
        <f t="shared" si="158"/>
        <v>1800</v>
      </c>
    </row>
    <row r="769" spans="1:79" ht="127.5" x14ac:dyDescent="0.25">
      <c r="A769" s="17"/>
      <c r="B769" s="2">
        <v>755</v>
      </c>
      <c r="C769" s="58">
        <v>132</v>
      </c>
      <c r="D769" s="21">
        <v>641</v>
      </c>
      <c r="E769" s="19">
        <v>0.55833333333333335</v>
      </c>
      <c r="F769" s="19">
        <v>0.56180555555555556</v>
      </c>
      <c r="G769" s="18" t="s">
        <v>1610</v>
      </c>
      <c r="H769" s="18" t="s">
        <v>273</v>
      </c>
      <c r="I769" s="20">
        <v>3</v>
      </c>
      <c r="J769" s="21" t="s">
        <v>494</v>
      </c>
      <c r="K769" s="22">
        <v>174</v>
      </c>
      <c r="L769" s="23">
        <f t="shared" si="167"/>
        <v>522</v>
      </c>
      <c r="M769" s="24" t="s">
        <v>486</v>
      </c>
      <c r="N769" s="25" t="s">
        <v>495</v>
      </c>
      <c r="O769" s="45">
        <v>46</v>
      </c>
      <c r="P769" s="25" t="s">
        <v>501</v>
      </c>
      <c r="Q769" s="45">
        <v>47</v>
      </c>
      <c r="R769" s="17"/>
      <c r="S769" s="45"/>
      <c r="T769" s="26" t="s">
        <v>204</v>
      </c>
      <c r="U769" s="26" t="s">
        <v>205</v>
      </c>
      <c r="V769" s="26" t="s">
        <v>744</v>
      </c>
      <c r="W769" s="26" t="s">
        <v>745</v>
      </c>
      <c r="X769" s="66">
        <v>44816</v>
      </c>
      <c r="Y769" s="66">
        <v>45086</v>
      </c>
      <c r="Z769" s="66"/>
      <c r="AA769" s="66"/>
      <c r="AB769" s="26" t="s">
        <v>282</v>
      </c>
      <c r="AC769" s="26"/>
      <c r="AD769" s="28"/>
      <c r="AE769" s="28"/>
      <c r="AF769" s="28"/>
      <c r="AG769" s="28" t="s">
        <v>90</v>
      </c>
      <c r="AH769" s="28" t="s">
        <v>90</v>
      </c>
      <c r="AI769" s="28" t="s">
        <v>90</v>
      </c>
      <c r="AJ769" s="28" t="s">
        <v>90</v>
      </c>
      <c r="AK769" s="28" t="s">
        <v>90</v>
      </c>
      <c r="AL769" s="28" t="s">
        <v>90</v>
      </c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9">
        <v>9</v>
      </c>
      <c r="AY769" s="29"/>
      <c r="AZ769" s="30"/>
      <c r="BA769" s="30"/>
      <c r="BB769" s="30"/>
      <c r="BC769" s="30"/>
      <c r="BD769" s="31">
        <f t="shared" si="163"/>
        <v>1566</v>
      </c>
      <c r="BE769" s="31"/>
      <c r="BF769" s="30"/>
      <c r="BG769" s="32">
        <v>2</v>
      </c>
      <c r="BH769" s="31">
        <f>IF(AND((AX769/I769)&lt;2,BG769=1),(I769*2)-AX769,0)</f>
        <v>0</v>
      </c>
      <c r="BI769" s="31">
        <f>IF(AND((AX769/I769)&lt;3,BG769=2),(I769*3)-AX769,0)</f>
        <v>0</v>
      </c>
      <c r="BJ769" s="33">
        <f>(BH769+BI769)*K769</f>
        <v>0</v>
      </c>
      <c r="BK769" s="30"/>
      <c r="BL769" s="30"/>
      <c r="BM769" s="30"/>
      <c r="BN769" s="30"/>
      <c r="BO769" s="33">
        <f t="shared" si="171"/>
        <v>0</v>
      </c>
      <c r="BP769" s="30">
        <v>15</v>
      </c>
      <c r="BQ769" s="30">
        <v>20</v>
      </c>
      <c r="BR769" s="30"/>
      <c r="BS769" s="30"/>
      <c r="BT769" s="34">
        <f t="shared" si="172"/>
        <v>9</v>
      </c>
      <c r="BU769" s="34"/>
      <c r="BV769" s="34"/>
      <c r="BW769" s="34"/>
      <c r="BX769" s="34"/>
      <c r="BY769" s="30"/>
      <c r="BZ769" s="31">
        <f t="shared" si="173"/>
        <v>135</v>
      </c>
      <c r="CA769" s="31">
        <f t="shared" si="158"/>
        <v>180</v>
      </c>
    </row>
    <row r="770" spans="1:79" ht="51" x14ac:dyDescent="0.25">
      <c r="A770" s="17"/>
      <c r="B770" s="2">
        <v>756</v>
      </c>
      <c r="C770" s="18">
        <v>611</v>
      </c>
      <c r="D770" s="18">
        <v>577</v>
      </c>
      <c r="E770" s="19">
        <v>0.69444444444444453</v>
      </c>
      <c r="F770" s="19">
        <v>0.72569444444444453</v>
      </c>
      <c r="G770" s="18" t="s">
        <v>1611</v>
      </c>
      <c r="H770" s="18" t="s">
        <v>349</v>
      </c>
      <c r="I770" s="20">
        <v>23</v>
      </c>
      <c r="J770" s="21" t="s">
        <v>81</v>
      </c>
      <c r="K770" s="22">
        <v>202</v>
      </c>
      <c r="L770" s="23">
        <f t="shared" si="167"/>
        <v>4646</v>
      </c>
      <c r="M770" s="24" t="s">
        <v>919</v>
      </c>
      <c r="N770" s="25" t="s">
        <v>1612</v>
      </c>
      <c r="O770" s="25">
        <v>46</v>
      </c>
      <c r="P770" s="25" t="s">
        <v>1607</v>
      </c>
      <c r="Q770" s="25">
        <v>21</v>
      </c>
      <c r="R770" s="25" t="s">
        <v>922</v>
      </c>
      <c r="S770" s="25">
        <v>37</v>
      </c>
      <c r="T770" s="26" t="s">
        <v>202</v>
      </c>
      <c r="U770" s="26" t="s">
        <v>203</v>
      </c>
      <c r="V770" s="26">
        <v>6120</v>
      </c>
      <c r="W770" s="26" t="s">
        <v>98</v>
      </c>
      <c r="X770" s="27">
        <v>44816</v>
      </c>
      <c r="Y770" s="27">
        <v>45100</v>
      </c>
      <c r="Z770" s="27"/>
      <c r="AA770" s="27"/>
      <c r="AB770" s="26" t="s">
        <v>351</v>
      </c>
      <c r="AC770" s="26"/>
      <c r="AD770" s="28" t="s">
        <v>90</v>
      </c>
      <c r="AE770" s="28"/>
      <c r="AF770" s="28" t="s">
        <v>90</v>
      </c>
      <c r="AG770" s="28"/>
      <c r="AH770" s="28" t="s">
        <v>90</v>
      </c>
      <c r="AI770" s="28" t="s">
        <v>90</v>
      </c>
      <c r="AJ770" s="28" t="s">
        <v>90</v>
      </c>
      <c r="AK770" s="28" t="s">
        <v>90</v>
      </c>
      <c r="AL770" s="28" t="s">
        <v>90</v>
      </c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9">
        <v>69</v>
      </c>
      <c r="AY770" s="29"/>
      <c r="AZ770" s="30"/>
      <c r="BA770" s="30"/>
      <c r="BB770" s="30"/>
      <c r="BC770" s="30"/>
      <c r="BD770" s="31">
        <f t="shared" si="163"/>
        <v>13938</v>
      </c>
      <c r="BE770" s="31"/>
      <c r="BF770" s="30"/>
      <c r="BG770" s="32">
        <v>2</v>
      </c>
      <c r="BH770" s="31">
        <f>IF(AND((AX770/I770)&lt;2,BG770=1),(I770*2)-AX770,0)</f>
        <v>0</v>
      </c>
      <c r="BI770" s="31">
        <f>IF(AND((AX770/I770)&lt;3,BG770=2),(I770*3)-AX770,0)</f>
        <v>0</v>
      </c>
      <c r="BJ770" s="33">
        <f>(BH770+BI770)*K770</f>
        <v>0</v>
      </c>
      <c r="BK770" s="30"/>
      <c r="BL770" s="30"/>
      <c r="BM770" s="30"/>
      <c r="BN770" s="30"/>
      <c r="BO770" s="33">
        <f t="shared" si="171"/>
        <v>0</v>
      </c>
      <c r="BP770" s="30">
        <v>15</v>
      </c>
      <c r="BQ770" s="30">
        <v>21</v>
      </c>
      <c r="BR770" s="30"/>
      <c r="BS770" s="30"/>
      <c r="BT770" s="34">
        <f t="shared" si="172"/>
        <v>69</v>
      </c>
      <c r="BU770" s="34"/>
      <c r="BV770" s="34"/>
      <c r="BW770" s="34"/>
      <c r="BX770" s="34"/>
      <c r="BY770" s="30"/>
      <c r="BZ770" s="31">
        <f t="shared" si="173"/>
        <v>1035</v>
      </c>
      <c r="CA770" s="31">
        <f t="shared" si="158"/>
        <v>1449</v>
      </c>
    </row>
    <row r="771" spans="1:79" ht="51" x14ac:dyDescent="0.25">
      <c r="A771" s="17"/>
      <c r="B771" s="2">
        <v>757</v>
      </c>
      <c r="C771" s="48">
        <v>611</v>
      </c>
      <c r="D771" s="48">
        <v>95</v>
      </c>
      <c r="E771" s="49">
        <v>0.73611111111111116</v>
      </c>
      <c r="F771" s="49">
        <v>0.7715277777777777</v>
      </c>
      <c r="G771" s="51" t="s">
        <v>1613</v>
      </c>
      <c r="H771" s="18" t="s">
        <v>273</v>
      </c>
      <c r="I771" s="48">
        <v>27</v>
      </c>
      <c r="J771" s="52">
        <v>30</v>
      </c>
      <c r="K771" s="22">
        <v>174</v>
      </c>
      <c r="L771" s="23">
        <f t="shared" si="167"/>
        <v>4698</v>
      </c>
      <c r="M771" s="24" t="s">
        <v>919</v>
      </c>
      <c r="N771" s="25" t="s">
        <v>920</v>
      </c>
      <c r="O771" s="25">
        <v>55</v>
      </c>
      <c r="P771" s="25" t="s">
        <v>921</v>
      </c>
      <c r="Q771" s="25">
        <v>57</v>
      </c>
      <c r="R771" s="25" t="s">
        <v>922</v>
      </c>
      <c r="S771" s="25">
        <v>37</v>
      </c>
      <c r="T771" s="26" t="s">
        <v>202</v>
      </c>
      <c r="U771" s="26" t="s">
        <v>203</v>
      </c>
      <c r="V771" s="26" t="s">
        <v>204</v>
      </c>
      <c r="W771" s="26" t="s">
        <v>205</v>
      </c>
      <c r="X771" s="66">
        <v>44816</v>
      </c>
      <c r="Y771" s="66">
        <v>45086</v>
      </c>
      <c r="Z771" s="66"/>
      <c r="AA771" s="66"/>
      <c r="AB771" s="26" t="s">
        <v>282</v>
      </c>
      <c r="AC771" s="26"/>
      <c r="AD771" s="28"/>
      <c r="AE771" s="28"/>
      <c r="AF771" s="28"/>
      <c r="AG771" s="28" t="s">
        <v>90</v>
      </c>
      <c r="AH771" s="28" t="s">
        <v>90</v>
      </c>
      <c r="AI771" s="28" t="s">
        <v>90</v>
      </c>
      <c r="AJ771" s="28" t="s">
        <v>90</v>
      </c>
      <c r="AK771" s="28" t="s">
        <v>90</v>
      </c>
      <c r="AL771" s="28" t="s">
        <v>90</v>
      </c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31"/>
      <c r="AY771" s="31">
        <f>2.2*27</f>
        <v>59.400000000000006</v>
      </c>
      <c r="AZ771" s="30"/>
      <c r="BA771" s="30"/>
      <c r="BB771" s="30"/>
      <c r="BC771" s="30"/>
      <c r="BD771" s="31">
        <f t="shared" si="163"/>
        <v>0</v>
      </c>
      <c r="BE771" s="31">
        <f>AY771*K771</f>
        <v>10335.6</v>
      </c>
      <c r="BF771" s="30"/>
      <c r="BG771" s="36">
        <v>1</v>
      </c>
      <c r="BH771" s="30"/>
      <c r="BI771" s="31"/>
      <c r="BJ771" s="30"/>
      <c r="BK771" s="31">
        <f>IF(AND((AY771/I771)&lt;2,BG771=1),(I771*2)-AY771,0)</f>
        <v>0</v>
      </c>
      <c r="BL771" s="31">
        <f>IF(AND((AY771/I771)&lt;3,BG771=2),(I771*3)-AY771,0)</f>
        <v>0</v>
      </c>
      <c r="BM771" s="33">
        <f>(BK771+BL771)*K771</f>
        <v>0</v>
      </c>
      <c r="BN771" s="30"/>
      <c r="BO771" s="33">
        <f t="shared" si="171"/>
        <v>0</v>
      </c>
      <c r="BP771" s="30">
        <v>15</v>
      </c>
      <c r="BQ771" s="30">
        <v>20</v>
      </c>
      <c r="BR771" s="30"/>
      <c r="BS771" s="30"/>
      <c r="BT771" s="34">
        <f t="shared" si="172"/>
        <v>59.400000000000006</v>
      </c>
      <c r="BU771" s="34"/>
      <c r="BV771" s="34"/>
      <c r="BW771" s="34"/>
      <c r="BX771" s="34"/>
      <c r="BY771" s="30"/>
      <c r="BZ771" s="31">
        <f t="shared" si="173"/>
        <v>891.00000000000011</v>
      </c>
      <c r="CA771" s="31">
        <f t="shared" ref="CA771:CA834" si="174">(BT771*BQ771)+(BW771*BX771)</f>
        <v>1188</v>
      </c>
    </row>
    <row r="772" spans="1:79" ht="51" x14ac:dyDescent="0.25">
      <c r="A772" s="17"/>
      <c r="B772" s="2">
        <v>758</v>
      </c>
      <c r="C772" s="48">
        <v>611</v>
      </c>
      <c r="D772" s="48">
        <v>92</v>
      </c>
      <c r="E772" s="49">
        <v>0.74722222222222223</v>
      </c>
      <c r="F772" s="50">
        <v>0.76458333333333339</v>
      </c>
      <c r="G772" s="51" t="s">
        <v>1614</v>
      </c>
      <c r="H772" s="18" t="s">
        <v>273</v>
      </c>
      <c r="I772" s="48">
        <v>14</v>
      </c>
      <c r="J772" s="52">
        <v>19</v>
      </c>
      <c r="K772" s="22">
        <v>174</v>
      </c>
      <c r="L772" s="23">
        <f t="shared" si="167"/>
        <v>2436</v>
      </c>
      <c r="M772" s="24" t="s">
        <v>919</v>
      </c>
      <c r="N772" s="25" t="s">
        <v>1612</v>
      </c>
      <c r="O772" s="25">
        <v>46</v>
      </c>
      <c r="P772" s="25" t="s">
        <v>1615</v>
      </c>
      <c r="Q772" s="25">
        <v>21</v>
      </c>
      <c r="R772" s="25" t="s">
        <v>922</v>
      </c>
      <c r="S772" s="25">
        <v>37</v>
      </c>
      <c r="T772" s="26">
        <v>6120</v>
      </c>
      <c r="U772" s="26" t="s">
        <v>98</v>
      </c>
      <c r="V772" s="26">
        <v>6136</v>
      </c>
      <c r="W772" s="26" t="s">
        <v>1600</v>
      </c>
      <c r="X772" s="66">
        <v>44816</v>
      </c>
      <c r="Y772" s="66">
        <v>45086</v>
      </c>
      <c r="Z772" s="66"/>
      <c r="AA772" s="66"/>
      <c r="AB772" s="26" t="s">
        <v>282</v>
      </c>
      <c r="AC772" s="26"/>
      <c r="AD772" s="28"/>
      <c r="AE772" s="28"/>
      <c r="AF772" s="28"/>
      <c r="AG772" s="28" t="s">
        <v>90</v>
      </c>
      <c r="AH772" s="28" t="s">
        <v>90</v>
      </c>
      <c r="AI772" s="28" t="s">
        <v>90</v>
      </c>
      <c r="AJ772" s="28" t="s">
        <v>90</v>
      </c>
      <c r="AK772" s="28" t="s">
        <v>90</v>
      </c>
      <c r="AL772" s="28" t="s">
        <v>90</v>
      </c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31"/>
      <c r="AY772" s="31">
        <f>1.9*14</f>
        <v>26.599999999999998</v>
      </c>
      <c r="AZ772" s="30"/>
      <c r="BA772" s="30"/>
      <c r="BB772" s="30"/>
      <c r="BC772" s="30"/>
      <c r="BD772" s="31">
        <f t="shared" si="163"/>
        <v>0</v>
      </c>
      <c r="BE772" s="31">
        <f>AY772*K772</f>
        <v>4628.3999999999996</v>
      </c>
      <c r="BF772" s="30"/>
      <c r="BG772" s="36">
        <v>1</v>
      </c>
      <c r="BH772" s="30"/>
      <c r="BI772" s="31"/>
      <c r="BJ772" s="30"/>
      <c r="BK772" s="31">
        <f>IF(AND((AY772/I772)&lt;2,BG772=1),(I772*2)-AY772,0)</f>
        <v>1.4000000000000021</v>
      </c>
      <c r="BL772" s="31">
        <f>IF(AND((AY772/I772)&lt;3,BG772=2),(I772*3)-AY772,0)</f>
        <v>0</v>
      </c>
      <c r="BM772" s="33">
        <f>(BK772+BL772)*K772</f>
        <v>243.60000000000036</v>
      </c>
      <c r="BN772" s="30"/>
      <c r="BO772" s="33">
        <f t="shared" si="171"/>
        <v>0</v>
      </c>
      <c r="BP772" s="30">
        <v>15</v>
      </c>
      <c r="BQ772" s="30">
        <v>20</v>
      </c>
      <c r="BR772" s="30"/>
      <c r="BS772" s="30"/>
      <c r="BT772" s="34">
        <f t="shared" si="172"/>
        <v>28</v>
      </c>
      <c r="BU772" s="34"/>
      <c r="BV772" s="34"/>
      <c r="BW772" s="34"/>
      <c r="BX772" s="34"/>
      <c r="BY772" s="30"/>
      <c r="BZ772" s="31">
        <f t="shared" si="173"/>
        <v>420</v>
      </c>
      <c r="CA772" s="31">
        <f t="shared" si="174"/>
        <v>560</v>
      </c>
    </row>
    <row r="773" spans="1:79" ht="63.75" x14ac:dyDescent="0.25">
      <c r="A773" s="17"/>
      <c r="B773" s="2">
        <v>759</v>
      </c>
      <c r="C773" s="48">
        <v>611</v>
      </c>
      <c r="D773" s="48">
        <v>98</v>
      </c>
      <c r="E773" s="49">
        <v>0.78472222222222221</v>
      </c>
      <c r="F773" s="50">
        <v>0.81944444444444453</v>
      </c>
      <c r="G773" s="51" t="s">
        <v>1616</v>
      </c>
      <c r="H773" s="18" t="s">
        <v>273</v>
      </c>
      <c r="I773" s="48">
        <v>27</v>
      </c>
      <c r="J773" s="52">
        <v>30</v>
      </c>
      <c r="K773" s="22">
        <v>174</v>
      </c>
      <c r="L773" s="23">
        <f t="shared" si="167"/>
        <v>4698</v>
      </c>
      <c r="M773" s="24" t="s">
        <v>919</v>
      </c>
      <c r="N773" s="25" t="s">
        <v>1612</v>
      </c>
      <c r="O773" s="25">
        <v>46</v>
      </c>
      <c r="P773" s="25" t="s">
        <v>920</v>
      </c>
      <c r="Q773" s="25">
        <v>55</v>
      </c>
      <c r="R773" s="25" t="s">
        <v>922</v>
      </c>
      <c r="S773" s="25">
        <v>37</v>
      </c>
      <c r="T773" s="26" t="s">
        <v>204</v>
      </c>
      <c r="U773" s="26" t="s">
        <v>205</v>
      </c>
      <c r="V773" s="26" t="s">
        <v>202</v>
      </c>
      <c r="W773" s="26" t="s">
        <v>203</v>
      </c>
      <c r="X773" s="66">
        <v>44816</v>
      </c>
      <c r="Y773" s="66">
        <v>45086</v>
      </c>
      <c r="Z773" s="66"/>
      <c r="AA773" s="66"/>
      <c r="AB773" s="26" t="s">
        <v>282</v>
      </c>
      <c r="AC773" s="26"/>
      <c r="AD773" s="28"/>
      <c r="AE773" s="28"/>
      <c r="AF773" s="28"/>
      <c r="AG773" s="28" t="s">
        <v>90</v>
      </c>
      <c r="AH773" s="28" t="s">
        <v>90</v>
      </c>
      <c r="AI773" s="28" t="s">
        <v>90</v>
      </c>
      <c r="AJ773" s="28" t="s">
        <v>90</v>
      </c>
      <c r="AK773" s="28" t="s">
        <v>90</v>
      </c>
      <c r="AL773" s="28" t="s">
        <v>90</v>
      </c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31"/>
      <c r="AY773" s="31">
        <f>2.2*27</f>
        <v>59.400000000000006</v>
      </c>
      <c r="AZ773" s="30"/>
      <c r="BA773" s="30"/>
      <c r="BB773" s="30"/>
      <c r="BC773" s="30"/>
      <c r="BD773" s="31">
        <f t="shared" si="163"/>
        <v>0</v>
      </c>
      <c r="BE773" s="31">
        <f>AY773*K773</f>
        <v>10335.6</v>
      </c>
      <c r="BF773" s="30"/>
      <c r="BG773" s="36">
        <v>1</v>
      </c>
      <c r="BH773" s="30"/>
      <c r="BI773" s="31"/>
      <c r="BJ773" s="30"/>
      <c r="BK773" s="31">
        <f>IF(AND((AY773/I773)&lt;2,BG773=1),(I773*2)-AY773,0)</f>
        <v>0</v>
      </c>
      <c r="BL773" s="31">
        <f>IF(AND((AY773/I773)&lt;3,BG773=2),(I773*3)-AY773,0)</f>
        <v>0</v>
      </c>
      <c r="BM773" s="33">
        <f>(BK773+BL773)*K773</f>
        <v>0</v>
      </c>
      <c r="BN773" s="30"/>
      <c r="BO773" s="33">
        <f t="shared" si="171"/>
        <v>0</v>
      </c>
      <c r="BP773" s="30">
        <v>15</v>
      </c>
      <c r="BQ773" s="30">
        <v>20</v>
      </c>
      <c r="BR773" s="30"/>
      <c r="BS773" s="30"/>
      <c r="BT773" s="34">
        <f t="shared" si="172"/>
        <v>59.400000000000006</v>
      </c>
      <c r="BU773" s="34"/>
      <c r="BV773" s="34"/>
      <c r="BW773" s="34"/>
      <c r="BX773" s="34"/>
      <c r="BY773" s="30"/>
      <c r="BZ773" s="31">
        <f t="shared" si="173"/>
        <v>891.00000000000011</v>
      </c>
      <c r="CA773" s="31">
        <f t="shared" si="174"/>
        <v>1188</v>
      </c>
    </row>
    <row r="774" spans="1:79" ht="76.5" x14ac:dyDescent="0.25">
      <c r="A774" s="17"/>
      <c r="B774" s="2">
        <v>760</v>
      </c>
      <c r="C774" s="48">
        <v>611</v>
      </c>
      <c r="D774" s="48">
        <v>100</v>
      </c>
      <c r="E774" s="49">
        <v>0.78819444444444453</v>
      </c>
      <c r="F774" s="50">
        <v>0.80902777777777779</v>
      </c>
      <c r="G774" s="51" t="s">
        <v>1617</v>
      </c>
      <c r="H774" s="18" t="s">
        <v>349</v>
      </c>
      <c r="I774" s="48">
        <v>17</v>
      </c>
      <c r="J774" s="52">
        <v>19</v>
      </c>
      <c r="K774" s="22">
        <v>202</v>
      </c>
      <c r="L774" s="23">
        <f t="shared" si="167"/>
        <v>3434</v>
      </c>
      <c r="M774" s="24" t="s">
        <v>94</v>
      </c>
      <c r="N774" s="25" t="s">
        <v>97</v>
      </c>
      <c r="O774" s="25">
        <v>21</v>
      </c>
      <c r="P774" s="25" t="s">
        <v>96</v>
      </c>
      <c r="Q774" s="25">
        <v>34</v>
      </c>
      <c r="R774" s="25" t="s">
        <v>95</v>
      </c>
      <c r="S774" s="35">
        <v>24</v>
      </c>
      <c r="T774" s="26">
        <v>6120</v>
      </c>
      <c r="U774" s="26" t="s">
        <v>98</v>
      </c>
      <c r="V774" s="26" t="s">
        <v>1618</v>
      </c>
      <c r="W774" s="26" t="s">
        <v>1619</v>
      </c>
      <c r="X774" s="27">
        <v>44816</v>
      </c>
      <c r="Y774" s="27">
        <v>45100</v>
      </c>
      <c r="Z774" s="27"/>
      <c r="AA774" s="27"/>
      <c r="AB774" s="26" t="s">
        <v>351</v>
      </c>
      <c r="AC774" s="26"/>
      <c r="AD774" s="28" t="s">
        <v>90</v>
      </c>
      <c r="AE774" s="28"/>
      <c r="AF774" s="28" t="s">
        <v>90</v>
      </c>
      <c r="AG774" s="28"/>
      <c r="AH774" s="28" t="s">
        <v>90</v>
      </c>
      <c r="AI774" s="28" t="s">
        <v>90</v>
      </c>
      <c r="AJ774" s="28" t="s">
        <v>90</v>
      </c>
      <c r="AK774" s="28" t="s">
        <v>90</v>
      </c>
      <c r="AL774" s="28" t="s">
        <v>90</v>
      </c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31"/>
      <c r="AY774" s="31"/>
      <c r="AZ774" s="30"/>
      <c r="BA774" s="55" t="s">
        <v>94</v>
      </c>
      <c r="BB774" s="55"/>
      <c r="BC774" s="30"/>
      <c r="BD774" s="31">
        <f t="shared" si="163"/>
        <v>0</v>
      </c>
      <c r="BE774" s="30"/>
      <c r="BF774" s="30"/>
      <c r="BG774" s="36">
        <v>1</v>
      </c>
      <c r="BH774" s="30"/>
      <c r="BI774" s="31"/>
      <c r="BJ774" s="30"/>
      <c r="BK774" s="30"/>
      <c r="BL774" s="30"/>
      <c r="BM774" s="30"/>
      <c r="BN774" s="30"/>
      <c r="BO774" s="33">
        <f t="shared" si="171"/>
        <v>0</v>
      </c>
      <c r="BP774" s="30">
        <v>15</v>
      </c>
      <c r="BQ774" s="30">
        <v>21</v>
      </c>
      <c r="BR774" s="30"/>
      <c r="BS774" s="30"/>
      <c r="BT774" s="34">
        <f t="shared" si="172"/>
        <v>0</v>
      </c>
      <c r="BU774" s="34"/>
      <c r="BV774" s="34"/>
      <c r="BW774" s="34"/>
      <c r="BX774" s="34"/>
      <c r="BY774" s="30"/>
      <c r="BZ774" s="31">
        <f t="shared" si="173"/>
        <v>0</v>
      </c>
      <c r="CA774" s="31">
        <f t="shared" si="174"/>
        <v>0</v>
      </c>
    </row>
    <row r="775" spans="1:79" ht="76.5" x14ac:dyDescent="0.25">
      <c r="A775" s="17"/>
      <c r="B775" s="2">
        <v>761</v>
      </c>
      <c r="C775" s="48">
        <v>611</v>
      </c>
      <c r="D775" s="48">
        <v>100</v>
      </c>
      <c r="E775" s="49">
        <v>0.80208333333333337</v>
      </c>
      <c r="F775" s="124">
        <v>0.82291666666666663</v>
      </c>
      <c r="G775" s="51" t="s">
        <v>1617</v>
      </c>
      <c r="H775" s="51" t="s">
        <v>1620</v>
      </c>
      <c r="I775" s="48">
        <v>17</v>
      </c>
      <c r="J775" s="52">
        <v>19</v>
      </c>
      <c r="K775" s="22">
        <v>38</v>
      </c>
      <c r="L775" s="23">
        <f t="shared" si="167"/>
        <v>646</v>
      </c>
      <c r="M775" s="24" t="s">
        <v>94</v>
      </c>
      <c r="N775" s="25" t="s">
        <v>97</v>
      </c>
      <c r="O775" s="25">
        <v>21</v>
      </c>
      <c r="P775" s="25" t="s">
        <v>96</v>
      </c>
      <c r="Q775" s="25">
        <v>34</v>
      </c>
      <c r="R775" s="25" t="s">
        <v>95</v>
      </c>
      <c r="S775" s="35">
        <v>24</v>
      </c>
      <c r="T775" s="26">
        <v>6120</v>
      </c>
      <c r="U775" s="26" t="s">
        <v>98</v>
      </c>
      <c r="V775" s="26" t="s">
        <v>1618</v>
      </c>
      <c r="W775" s="26" t="s">
        <v>1619</v>
      </c>
      <c r="X775" s="27">
        <v>44816</v>
      </c>
      <c r="Y775" s="27">
        <v>45100</v>
      </c>
      <c r="Z775" s="27"/>
      <c r="AA775" s="27"/>
      <c r="AB775" s="26" t="s">
        <v>771</v>
      </c>
      <c r="AC775" s="26"/>
      <c r="AD775" s="28" t="s">
        <v>90</v>
      </c>
      <c r="AE775" s="28"/>
      <c r="AF775" s="28" t="s">
        <v>90</v>
      </c>
      <c r="AG775" s="28"/>
      <c r="AH775" s="28"/>
      <c r="AI775" s="28"/>
      <c r="AJ775" s="28"/>
      <c r="AK775" s="28"/>
      <c r="AL775" s="28"/>
      <c r="AM775" s="28" t="s">
        <v>90</v>
      </c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31"/>
      <c r="AY775" s="31"/>
      <c r="AZ775" s="30"/>
      <c r="BA775" s="55" t="s">
        <v>94</v>
      </c>
      <c r="BB775" s="55"/>
      <c r="BC775" s="30"/>
      <c r="BD775" s="31">
        <f t="shared" si="163"/>
        <v>0</v>
      </c>
      <c r="BE775" s="30"/>
      <c r="BF775" s="30"/>
      <c r="BG775" s="36">
        <v>1</v>
      </c>
      <c r="BH775" s="30"/>
      <c r="BI775" s="31"/>
      <c r="BJ775" s="30"/>
      <c r="BK775" s="30"/>
      <c r="BL775" s="30"/>
      <c r="BM775" s="30"/>
      <c r="BN775" s="30"/>
      <c r="BO775" s="33">
        <f t="shared" si="171"/>
        <v>0</v>
      </c>
      <c r="BP775" s="30">
        <v>2</v>
      </c>
      <c r="BQ775" s="30">
        <v>5</v>
      </c>
      <c r="BR775" s="30"/>
      <c r="BS775" s="30"/>
      <c r="BT775" s="34">
        <f t="shared" si="172"/>
        <v>0</v>
      </c>
      <c r="BU775" s="34"/>
      <c r="BV775" s="34"/>
      <c r="BW775" s="34"/>
      <c r="BX775" s="34"/>
      <c r="BY775" s="30"/>
      <c r="BZ775" s="31">
        <f t="shared" si="173"/>
        <v>0</v>
      </c>
      <c r="CA775" s="31">
        <f t="shared" si="174"/>
        <v>0</v>
      </c>
    </row>
    <row r="776" spans="1:79" ht="51" x14ac:dyDescent="0.25">
      <c r="A776" s="17"/>
      <c r="B776" s="2">
        <v>762</v>
      </c>
      <c r="C776" s="48">
        <v>615</v>
      </c>
      <c r="D776" s="60" t="s">
        <v>1621</v>
      </c>
      <c r="E776" s="50">
        <v>0.25208333333333333</v>
      </c>
      <c r="F776" s="50">
        <v>0.27291666666666664</v>
      </c>
      <c r="G776" s="51" t="s">
        <v>1622</v>
      </c>
      <c r="H776" s="18" t="s">
        <v>273</v>
      </c>
      <c r="I776" s="48">
        <f>10+3</f>
        <v>13</v>
      </c>
      <c r="J776" s="52">
        <v>19</v>
      </c>
      <c r="K776" s="22">
        <v>174</v>
      </c>
      <c r="L776" s="23">
        <f t="shared" si="167"/>
        <v>2262</v>
      </c>
      <c r="M776" s="24" t="s">
        <v>94</v>
      </c>
      <c r="N776" s="17" t="s">
        <v>97</v>
      </c>
      <c r="O776" s="25">
        <v>21</v>
      </c>
      <c r="P776" s="25" t="s">
        <v>95</v>
      </c>
      <c r="Q776" s="25">
        <v>24</v>
      </c>
      <c r="R776" s="17"/>
      <c r="S776" s="25"/>
      <c r="T776" s="26" t="s">
        <v>1623</v>
      </c>
      <c r="U776" s="26" t="s">
        <v>1624</v>
      </c>
      <c r="V776" s="26">
        <v>6120</v>
      </c>
      <c r="W776" s="26" t="s">
        <v>98</v>
      </c>
      <c r="X776" s="66">
        <v>44816</v>
      </c>
      <c r="Y776" s="66">
        <v>45086</v>
      </c>
      <c r="Z776" s="66"/>
      <c r="AA776" s="66"/>
      <c r="AB776" s="26" t="s">
        <v>282</v>
      </c>
      <c r="AC776" s="26"/>
      <c r="AD776" s="28"/>
      <c r="AE776" s="28"/>
      <c r="AF776" s="28"/>
      <c r="AG776" s="28" t="s">
        <v>90</v>
      </c>
      <c r="AH776" s="28" t="s">
        <v>90</v>
      </c>
      <c r="AI776" s="28" t="s">
        <v>90</v>
      </c>
      <c r="AJ776" s="28" t="s">
        <v>90</v>
      </c>
      <c r="AK776" s="28" t="s">
        <v>90</v>
      </c>
      <c r="AL776" s="28" t="s">
        <v>90</v>
      </c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31"/>
      <c r="AY776" s="31"/>
      <c r="AZ776" s="30"/>
      <c r="BA776" s="55" t="s">
        <v>94</v>
      </c>
      <c r="BB776" s="55"/>
      <c r="BC776" s="30"/>
      <c r="BD776" s="31">
        <f t="shared" si="163"/>
        <v>0</v>
      </c>
      <c r="BE776" s="30"/>
      <c r="BF776" s="30"/>
      <c r="BG776" s="36">
        <v>1</v>
      </c>
      <c r="BH776" s="30"/>
      <c r="BI776" s="31"/>
      <c r="BJ776" s="30"/>
      <c r="BK776" s="30"/>
      <c r="BL776" s="30"/>
      <c r="BM776" s="30"/>
      <c r="BN776" s="31"/>
      <c r="BO776" s="33">
        <f t="shared" si="171"/>
        <v>0</v>
      </c>
      <c r="BP776" s="30">
        <v>15</v>
      </c>
      <c r="BQ776" s="30">
        <v>20</v>
      </c>
      <c r="BR776" s="30"/>
      <c r="BS776" s="30"/>
      <c r="BT776" s="34">
        <f t="shared" si="172"/>
        <v>0</v>
      </c>
      <c r="BU776" s="34"/>
      <c r="BV776" s="34"/>
      <c r="BW776" s="34"/>
      <c r="BX776" s="34"/>
      <c r="BY776" s="30"/>
      <c r="BZ776" s="31">
        <f t="shared" si="173"/>
        <v>0</v>
      </c>
      <c r="CA776" s="31">
        <f t="shared" si="174"/>
        <v>0</v>
      </c>
    </row>
    <row r="777" spans="1:79" ht="45" x14ac:dyDescent="0.25">
      <c r="A777" s="17" t="s">
        <v>206</v>
      </c>
      <c r="B777" s="2">
        <v>763</v>
      </c>
      <c r="C777" s="18">
        <v>615</v>
      </c>
      <c r="D777" s="18">
        <v>510</v>
      </c>
      <c r="E777" s="19">
        <v>0.28541666666666665</v>
      </c>
      <c r="F777" s="19">
        <v>0.29583333333333334</v>
      </c>
      <c r="G777" s="18" t="s">
        <v>207</v>
      </c>
      <c r="H777" s="18" t="s">
        <v>92</v>
      </c>
      <c r="I777" s="57">
        <v>10</v>
      </c>
      <c r="J777" s="21" t="s">
        <v>93</v>
      </c>
      <c r="K777" s="22">
        <v>12</v>
      </c>
      <c r="L777" s="23">
        <f t="shared" si="167"/>
        <v>120</v>
      </c>
      <c r="M777" s="24" t="s">
        <v>94</v>
      </c>
      <c r="N777" s="17" t="s">
        <v>97</v>
      </c>
      <c r="O777" s="25">
        <v>21</v>
      </c>
      <c r="P777" s="25" t="s">
        <v>96</v>
      </c>
      <c r="Q777" s="25">
        <v>34</v>
      </c>
      <c r="R777" s="25" t="s">
        <v>95</v>
      </c>
      <c r="S777" s="35">
        <v>24</v>
      </c>
      <c r="T777" s="26">
        <v>6120</v>
      </c>
      <c r="U777" s="26" t="s">
        <v>98</v>
      </c>
      <c r="V777" s="26">
        <v>6127</v>
      </c>
      <c r="W777" s="26" t="s">
        <v>208</v>
      </c>
      <c r="X777" s="27">
        <v>44562</v>
      </c>
      <c r="Y777" s="27">
        <v>44815</v>
      </c>
      <c r="Z777" s="27">
        <v>45101</v>
      </c>
      <c r="AA777" s="27">
        <v>45169</v>
      </c>
      <c r="AB777" s="26" t="s">
        <v>101</v>
      </c>
      <c r="AC777" s="26"/>
      <c r="AD777" s="28"/>
      <c r="AE777" s="28" t="s">
        <v>90</v>
      </c>
      <c r="AF777" s="28" t="s">
        <v>90</v>
      </c>
      <c r="AG777" s="28"/>
      <c r="AH777" s="28"/>
      <c r="AI777" s="28"/>
      <c r="AJ777" s="28"/>
      <c r="AK777" s="28"/>
      <c r="AL777" s="28"/>
      <c r="AM777" s="28" t="s">
        <v>90</v>
      </c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9">
        <v>25</v>
      </c>
      <c r="AY777" s="29"/>
      <c r="AZ777" s="30"/>
      <c r="BA777" s="30"/>
      <c r="BB777" s="30"/>
      <c r="BC777" s="30"/>
      <c r="BD777" s="31">
        <f t="shared" si="163"/>
        <v>300</v>
      </c>
      <c r="BE777" s="31"/>
      <c r="BF777" s="30"/>
      <c r="BG777" s="36">
        <v>1</v>
      </c>
      <c r="BH777" s="31">
        <f t="shared" ref="BH777:BH783" si="175">IF(AND((AX777/I777)&lt;2,BG777=1),(I777*2)-AX777,0)</f>
        <v>0</v>
      </c>
      <c r="BI777" s="31">
        <f t="shared" ref="BI777:BI783" si="176">IF(AND((AX777/I777)&lt;3,BG777=2),(I777*3)-AX777,0)</f>
        <v>0</v>
      </c>
      <c r="BJ777" s="33">
        <f t="shared" ref="BJ777:BJ783" si="177">(BH777+BI777)*K777</f>
        <v>0</v>
      </c>
      <c r="BK777" s="30"/>
      <c r="BL777" s="30"/>
      <c r="BM777" s="30"/>
      <c r="BN777" s="31">
        <f>IF((AX777+AY777+AZ777)&lt;20,(20-(AX777+AY777+AZ777)),0)</f>
        <v>0</v>
      </c>
      <c r="BO777" s="33">
        <f t="shared" si="171"/>
        <v>0</v>
      </c>
      <c r="BP777" s="30">
        <v>2</v>
      </c>
      <c r="BQ777" s="30">
        <v>0</v>
      </c>
      <c r="BR777" s="30"/>
      <c r="BS777" s="30"/>
      <c r="BT777" s="34">
        <f t="shared" si="172"/>
        <v>25</v>
      </c>
      <c r="BU777" s="34"/>
      <c r="BV777" s="34"/>
      <c r="BW777" s="34"/>
      <c r="BX777" s="34"/>
      <c r="BY777" s="30"/>
      <c r="BZ777" s="31">
        <f t="shared" si="173"/>
        <v>50</v>
      </c>
      <c r="CA777" s="31">
        <f t="shared" si="174"/>
        <v>0</v>
      </c>
    </row>
    <row r="778" spans="1:79" ht="45" x14ac:dyDescent="0.25">
      <c r="A778" s="17" t="s">
        <v>206</v>
      </c>
      <c r="B778" s="2">
        <v>764</v>
      </c>
      <c r="C778" s="18">
        <v>615</v>
      </c>
      <c r="D778" s="18">
        <v>511</v>
      </c>
      <c r="E778" s="19">
        <v>0.29652777777777778</v>
      </c>
      <c r="F778" s="19">
        <v>0.31180555555555556</v>
      </c>
      <c r="G778" s="18" t="s">
        <v>209</v>
      </c>
      <c r="H778" s="18" t="s">
        <v>92</v>
      </c>
      <c r="I778" s="57">
        <v>12</v>
      </c>
      <c r="J778" s="21" t="s">
        <v>93</v>
      </c>
      <c r="K778" s="22">
        <v>12</v>
      </c>
      <c r="L778" s="23">
        <f t="shared" si="167"/>
        <v>144</v>
      </c>
      <c r="M778" s="24" t="s">
        <v>94</v>
      </c>
      <c r="N778" s="25" t="s">
        <v>97</v>
      </c>
      <c r="O778" s="25">
        <v>21</v>
      </c>
      <c r="P778" s="25" t="s">
        <v>96</v>
      </c>
      <c r="Q778" s="25">
        <v>34</v>
      </c>
      <c r="R778" s="25" t="s">
        <v>95</v>
      </c>
      <c r="S778" s="35">
        <v>24</v>
      </c>
      <c r="T778" s="26">
        <v>6127</v>
      </c>
      <c r="U778" s="26" t="s">
        <v>208</v>
      </c>
      <c r="V778" s="26">
        <v>6120</v>
      </c>
      <c r="W778" s="26" t="s">
        <v>98</v>
      </c>
      <c r="X778" s="27">
        <v>44562</v>
      </c>
      <c r="Y778" s="27">
        <v>44815</v>
      </c>
      <c r="Z778" s="27">
        <v>45101</v>
      </c>
      <c r="AA778" s="27">
        <v>45169</v>
      </c>
      <c r="AB778" s="26" t="s">
        <v>101</v>
      </c>
      <c r="AC778" s="26"/>
      <c r="AD778" s="28"/>
      <c r="AE778" s="28" t="s">
        <v>90</v>
      </c>
      <c r="AF778" s="28" t="s">
        <v>90</v>
      </c>
      <c r="AG778" s="28"/>
      <c r="AH778" s="28"/>
      <c r="AI778" s="28"/>
      <c r="AJ778" s="28"/>
      <c r="AK778" s="28"/>
      <c r="AL778" s="28"/>
      <c r="AM778" s="28" t="s">
        <v>90</v>
      </c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9">
        <v>30</v>
      </c>
      <c r="AY778" s="29"/>
      <c r="AZ778" s="30"/>
      <c r="BA778" s="30"/>
      <c r="BB778" s="30"/>
      <c r="BC778" s="30"/>
      <c r="BD778" s="31">
        <f t="shared" si="163"/>
        <v>360</v>
      </c>
      <c r="BE778" s="31"/>
      <c r="BF778" s="30"/>
      <c r="BG778" s="36">
        <v>1</v>
      </c>
      <c r="BH778" s="31">
        <f t="shared" si="175"/>
        <v>0</v>
      </c>
      <c r="BI778" s="31">
        <f t="shared" si="176"/>
        <v>0</v>
      </c>
      <c r="BJ778" s="33">
        <f t="shared" si="177"/>
        <v>0</v>
      </c>
      <c r="BK778" s="30"/>
      <c r="BL778" s="30"/>
      <c r="BM778" s="30"/>
      <c r="BN778" s="30"/>
      <c r="BO778" s="33">
        <f t="shared" si="171"/>
        <v>0</v>
      </c>
      <c r="BP778" s="30">
        <v>2</v>
      </c>
      <c r="BQ778" s="30">
        <v>0</v>
      </c>
      <c r="BR778" s="30"/>
      <c r="BS778" s="30"/>
      <c r="BT778" s="34">
        <f t="shared" si="172"/>
        <v>30</v>
      </c>
      <c r="BU778" s="34"/>
      <c r="BV778" s="34"/>
      <c r="BW778" s="34"/>
      <c r="BX778" s="34"/>
      <c r="BY778" s="30"/>
      <c r="BZ778" s="31">
        <f t="shared" si="173"/>
        <v>60</v>
      </c>
      <c r="CA778" s="31">
        <f t="shared" si="174"/>
        <v>0</v>
      </c>
    </row>
    <row r="779" spans="1:79" ht="51" x14ac:dyDescent="0.25">
      <c r="A779" s="17"/>
      <c r="B779" s="2">
        <v>765</v>
      </c>
      <c r="C779" s="18">
        <v>615</v>
      </c>
      <c r="D779" s="18">
        <v>546</v>
      </c>
      <c r="E779" s="19">
        <v>0.57638888888888895</v>
      </c>
      <c r="F779" s="19">
        <v>0.59027777777777779</v>
      </c>
      <c r="G779" s="18" t="s">
        <v>210</v>
      </c>
      <c r="H779" s="18" t="s">
        <v>80</v>
      </c>
      <c r="I779" s="20">
        <v>10</v>
      </c>
      <c r="J779" s="21" t="s">
        <v>93</v>
      </c>
      <c r="K779" s="22">
        <v>67</v>
      </c>
      <c r="L779" s="23">
        <f t="shared" si="167"/>
        <v>670</v>
      </c>
      <c r="M779" s="24" t="s">
        <v>195</v>
      </c>
      <c r="N779" s="25" t="s">
        <v>197</v>
      </c>
      <c r="O779" s="25">
        <v>21</v>
      </c>
      <c r="P779" s="25" t="s">
        <v>196</v>
      </c>
      <c r="Q779" s="25">
        <v>24</v>
      </c>
      <c r="R779" s="25" t="s">
        <v>198</v>
      </c>
      <c r="S779" s="25">
        <v>21</v>
      </c>
      <c r="T779" s="26">
        <v>6120</v>
      </c>
      <c r="U779" s="26" t="s">
        <v>98</v>
      </c>
      <c r="V779" s="26">
        <v>6127</v>
      </c>
      <c r="W779" s="26" t="s">
        <v>208</v>
      </c>
      <c r="X779" s="27">
        <v>44562</v>
      </c>
      <c r="Y779" s="27">
        <v>44815</v>
      </c>
      <c r="Z779" s="27">
        <v>45101</v>
      </c>
      <c r="AA779" s="27">
        <v>45169</v>
      </c>
      <c r="AB779" s="28" t="s">
        <v>89</v>
      </c>
      <c r="AC779" s="28"/>
      <c r="AD779" s="28"/>
      <c r="AE779" s="28" t="s">
        <v>90</v>
      </c>
      <c r="AF779" s="28" t="s">
        <v>90</v>
      </c>
      <c r="AG779" s="28"/>
      <c r="AH779" s="28" t="s">
        <v>90</v>
      </c>
      <c r="AI779" s="28" t="s">
        <v>90</v>
      </c>
      <c r="AJ779" s="28" t="s">
        <v>90</v>
      </c>
      <c r="AK779" s="28" t="s">
        <v>90</v>
      </c>
      <c r="AL779" s="28" t="s">
        <v>90</v>
      </c>
      <c r="AM779" s="28" t="s">
        <v>90</v>
      </c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9">
        <v>30</v>
      </c>
      <c r="AY779" s="29"/>
      <c r="AZ779" s="30"/>
      <c r="BA779" s="30"/>
      <c r="BB779" s="30"/>
      <c r="BC779" s="30"/>
      <c r="BD779" s="31">
        <f t="shared" si="163"/>
        <v>2010</v>
      </c>
      <c r="BE779" s="31"/>
      <c r="BF779" s="30"/>
      <c r="BG779" s="36">
        <v>1</v>
      </c>
      <c r="BH779" s="31">
        <f t="shared" si="175"/>
        <v>0</v>
      </c>
      <c r="BI779" s="31">
        <f t="shared" si="176"/>
        <v>0</v>
      </c>
      <c r="BJ779" s="33">
        <f t="shared" si="177"/>
        <v>0</v>
      </c>
      <c r="BK779" s="30"/>
      <c r="BL779" s="30"/>
      <c r="BM779" s="30"/>
      <c r="BN779" s="30"/>
      <c r="BO779" s="33">
        <f t="shared" si="171"/>
        <v>0</v>
      </c>
      <c r="BP779" s="30">
        <v>9</v>
      </c>
      <c r="BQ779" s="30">
        <v>0</v>
      </c>
      <c r="BR779" s="30"/>
      <c r="BS779" s="30"/>
      <c r="BT779" s="34">
        <f t="shared" si="172"/>
        <v>30</v>
      </c>
      <c r="BU779" s="34"/>
      <c r="BV779" s="34"/>
      <c r="BW779" s="34"/>
      <c r="BX779" s="34"/>
      <c r="BY779" s="30"/>
      <c r="BZ779" s="31">
        <f t="shared" si="173"/>
        <v>270</v>
      </c>
      <c r="CA779" s="31">
        <f t="shared" si="174"/>
        <v>0</v>
      </c>
    </row>
    <row r="780" spans="1:79" ht="63.75" x14ac:dyDescent="0.25">
      <c r="A780" s="17" t="s">
        <v>206</v>
      </c>
      <c r="B780" s="2">
        <v>766</v>
      </c>
      <c r="C780" s="58">
        <v>615</v>
      </c>
      <c r="D780" s="18">
        <v>524</v>
      </c>
      <c r="E780" s="19">
        <v>0.57847222222222217</v>
      </c>
      <c r="F780" s="19">
        <v>0.59027777777777779</v>
      </c>
      <c r="G780" s="18" t="s">
        <v>1625</v>
      </c>
      <c r="H780" s="18" t="s">
        <v>273</v>
      </c>
      <c r="I780" s="57">
        <v>8</v>
      </c>
      <c r="J780" s="21" t="s">
        <v>93</v>
      </c>
      <c r="K780" s="22">
        <v>174</v>
      </c>
      <c r="L780" s="23">
        <f t="shared" si="167"/>
        <v>1392</v>
      </c>
      <c r="M780" s="24" t="s">
        <v>94</v>
      </c>
      <c r="N780" s="25" t="s">
        <v>95</v>
      </c>
      <c r="O780" s="25">
        <v>24</v>
      </c>
      <c r="P780" s="25" t="s">
        <v>97</v>
      </c>
      <c r="Q780" s="25">
        <v>21</v>
      </c>
      <c r="R780" s="25" t="s">
        <v>96</v>
      </c>
      <c r="S780" s="25">
        <v>34</v>
      </c>
      <c r="T780" s="26" t="s">
        <v>1626</v>
      </c>
      <c r="U780" s="26" t="s">
        <v>1627</v>
      </c>
      <c r="V780" s="26">
        <v>6127</v>
      </c>
      <c r="W780" s="26" t="s">
        <v>208</v>
      </c>
      <c r="X780" s="66">
        <v>44816</v>
      </c>
      <c r="Y780" s="66">
        <v>45086</v>
      </c>
      <c r="Z780" s="66"/>
      <c r="AA780" s="66"/>
      <c r="AB780" s="26" t="s">
        <v>282</v>
      </c>
      <c r="AC780" s="26"/>
      <c r="AD780" s="28"/>
      <c r="AE780" s="28"/>
      <c r="AF780" s="28"/>
      <c r="AG780" s="28" t="s">
        <v>90</v>
      </c>
      <c r="AH780" s="28" t="s">
        <v>90</v>
      </c>
      <c r="AI780" s="28" t="s">
        <v>90</v>
      </c>
      <c r="AJ780" s="28" t="s">
        <v>90</v>
      </c>
      <c r="AK780" s="28" t="s">
        <v>90</v>
      </c>
      <c r="AL780" s="28" t="s">
        <v>90</v>
      </c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9">
        <v>24</v>
      </c>
      <c r="AY780" s="29"/>
      <c r="AZ780" s="30"/>
      <c r="BA780" s="30"/>
      <c r="BB780" s="30"/>
      <c r="BC780" s="30"/>
      <c r="BD780" s="31">
        <f t="shared" si="163"/>
        <v>4176</v>
      </c>
      <c r="BE780" s="31"/>
      <c r="BF780" s="30"/>
      <c r="BG780" s="36">
        <v>1</v>
      </c>
      <c r="BH780" s="31">
        <f t="shared" si="175"/>
        <v>0</v>
      </c>
      <c r="BI780" s="31">
        <f t="shared" si="176"/>
        <v>0</v>
      </c>
      <c r="BJ780" s="33">
        <f t="shared" si="177"/>
        <v>0</v>
      </c>
      <c r="BK780" s="30"/>
      <c r="BL780" s="30"/>
      <c r="BM780" s="30"/>
      <c r="BN780" s="30"/>
      <c r="BO780" s="33">
        <f t="shared" si="171"/>
        <v>0</v>
      </c>
      <c r="BP780" s="30">
        <v>15</v>
      </c>
      <c r="BQ780" s="30">
        <v>20</v>
      </c>
      <c r="BR780" s="30"/>
      <c r="BS780" s="30"/>
      <c r="BT780" s="34">
        <f t="shared" si="172"/>
        <v>24</v>
      </c>
      <c r="BU780" s="34"/>
      <c r="BV780" s="34"/>
      <c r="BW780" s="34"/>
      <c r="BX780" s="34"/>
      <c r="BY780" s="30"/>
      <c r="BZ780" s="31">
        <f t="shared" si="173"/>
        <v>360</v>
      </c>
      <c r="CA780" s="31">
        <f t="shared" si="174"/>
        <v>480</v>
      </c>
    </row>
    <row r="781" spans="1:79" ht="102" x14ac:dyDescent="0.25">
      <c r="A781" s="17"/>
      <c r="B781" s="2">
        <v>767</v>
      </c>
      <c r="C781" s="18">
        <v>615</v>
      </c>
      <c r="D781" s="18">
        <v>524</v>
      </c>
      <c r="E781" s="19">
        <v>0.59027777777777779</v>
      </c>
      <c r="F781" s="19">
        <v>0.59375</v>
      </c>
      <c r="G781" s="18" t="s">
        <v>1628</v>
      </c>
      <c r="H781" s="18" t="s">
        <v>940</v>
      </c>
      <c r="I781" s="20">
        <v>2.6</v>
      </c>
      <c r="J781" s="21" t="s">
        <v>93</v>
      </c>
      <c r="K781" s="22">
        <f>33+36+36</f>
        <v>105</v>
      </c>
      <c r="L781" s="23">
        <f t="shared" si="167"/>
        <v>273</v>
      </c>
      <c r="M781" s="24" t="s">
        <v>94</v>
      </c>
      <c r="N781" s="25" t="s">
        <v>95</v>
      </c>
      <c r="O781" s="25">
        <v>24</v>
      </c>
      <c r="P781" s="25" t="s">
        <v>97</v>
      </c>
      <c r="Q781" s="25">
        <v>21</v>
      </c>
      <c r="R781" s="25" t="s">
        <v>96</v>
      </c>
      <c r="S781" s="25">
        <v>34</v>
      </c>
      <c r="T781" s="26">
        <v>6127</v>
      </c>
      <c r="U781" s="26" t="s">
        <v>208</v>
      </c>
      <c r="V781" s="26" t="s">
        <v>1623</v>
      </c>
      <c r="W781" s="26" t="s">
        <v>1624</v>
      </c>
      <c r="X781" s="66">
        <v>44816</v>
      </c>
      <c r="Y781" s="66">
        <v>45086</v>
      </c>
      <c r="Z781" s="66"/>
      <c r="AA781" s="66"/>
      <c r="AB781" s="26" t="s">
        <v>389</v>
      </c>
      <c r="AC781" s="26"/>
      <c r="AD781" s="28"/>
      <c r="AE781" s="28"/>
      <c r="AF781" s="28"/>
      <c r="AG781" s="28" t="s">
        <v>90</v>
      </c>
      <c r="AH781" s="28" t="s">
        <v>90</v>
      </c>
      <c r="AI781" s="28"/>
      <c r="AJ781" s="28" t="s">
        <v>90</v>
      </c>
      <c r="AK781" s="28"/>
      <c r="AL781" s="28" t="s">
        <v>90</v>
      </c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9">
        <v>7.8</v>
      </c>
      <c r="AY781" s="29"/>
      <c r="AZ781" s="30"/>
      <c r="BA781" s="30"/>
      <c r="BB781" s="30"/>
      <c r="BC781" s="30"/>
      <c r="BD781" s="31">
        <f t="shared" si="163"/>
        <v>819</v>
      </c>
      <c r="BE781" s="31"/>
      <c r="BF781" s="30"/>
      <c r="BG781" s="36">
        <v>1</v>
      </c>
      <c r="BH781" s="31">
        <f t="shared" si="175"/>
        <v>0</v>
      </c>
      <c r="BI781" s="31">
        <f t="shared" si="176"/>
        <v>0</v>
      </c>
      <c r="BJ781" s="33">
        <f t="shared" si="177"/>
        <v>0</v>
      </c>
      <c r="BK781" s="30"/>
      <c r="BL781" s="30"/>
      <c r="BM781" s="30"/>
      <c r="BN781" s="30"/>
      <c r="BO781" s="33">
        <f t="shared" si="171"/>
        <v>0</v>
      </c>
      <c r="BP781" s="30">
        <v>9</v>
      </c>
      <c r="BQ781" s="30">
        <v>12</v>
      </c>
      <c r="BR781" s="30"/>
      <c r="BS781" s="30"/>
      <c r="BT781" s="34">
        <f t="shared" si="172"/>
        <v>7.8</v>
      </c>
      <c r="BU781" s="34"/>
      <c r="BV781" s="34"/>
      <c r="BW781" s="34"/>
      <c r="BX781" s="34"/>
      <c r="BY781" s="30"/>
      <c r="BZ781" s="31">
        <f t="shared" si="173"/>
        <v>70.2</v>
      </c>
      <c r="CA781" s="31">
        <f t="shared" si="174"/>
        <v>93.6</v>
      </c>
    </row>
    <row r="782" spans="1:79" ht="51" x14ac:dyDescent="0.25">
      <c r="A782" s="17"/>
      <c r="B782" s="2">
        <v>768</v>
      </c>
      <c r="C782" s="18">
        <v>615</v>
      </c>
      <c r="D782" s="18">
        <v>522</v>
      </c>
      <c r="E782" s="19">
        <v>0.71527777777777779</v>
      </c>
      <c r="F782" s="19">
        <v>0.72916666666666663</v>
      </c>
      <c r="G782" s="18" t="s">
        <v>207</v>
      </c>
      <c r="H782" s="18" t="s">
        <v>273</v>
      </c>
      <c r="I782" s="20">
        <v>10</v>
      </c>
      <c r="J782" s="21" t="s">
        <v>463</v>
      </c>
      <c r="K782" s="22">
        <v>174</v>
      </c>
      <c r="L782" s="23">
        <f t="shared" si="167"/>
        <v>1740</v>
      </c>
      <c r="M782" s="24" t="s">
        <v>94</v>
      </c>
      <c r="N782" s="25" t="s">
        <v>95</v>
      </c>
      <c r="O782" s="25">
        <v>24</v>
      </c>
      <c r="P782" s="25" t="s">
        <v>440</v>
      </c>
      <c r="Q782" s="25">
        <v>24</v>
      </c>
      <c r="R782" s="17"/>
      <c r="S782" s="25"/>
      <c r="T782" s="26">
        <v>6120</v>
      </c>
      <c r="U782" s="26" t="s">
        <v>98</v>
      </c>
      <c r="V782" s="26">
        <v>6127</v>
      </c>
      <c r="W782" s="26" t="s">
        <v>208</v>
      </c>
      <c r="X782" s="66">
        <v>44816</v>
      </c>
      <c r="Y782" s="66">
        <v>45086</v>
      </c>
      <c r="Z782" s="66"/>
      <c r="AA782" s="66"/>
      <c r="AB782" s="26" t="s">
        <v>282</v>
      </c>
      <c r="AC782" s="26"/>
      <c r="AD782" s="28"/>
      <c r="AE782" s="28"/>
      <c r="AF782" s="28"/>
      <c r="AG782" s="28" t="s">
        <v>90</v>
      </c>
      <c r="AH782" s="28" t="s">
        <v>90</v>
      </c>
      <c r="AI782" s="28" t="s">
        <v>90</v>
      </c>
      <c r="AJ782" s="28" t="s">
        <v>90</v>
      </c>
      <c r="AK782" s="28" t="s">
        <v>90</v>
      </c>
      <c r="AL782" s="28" t="s">
        <v>90</v>
      </c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9">
        <v>30</v>
      </c>
      <c r="AY782" s="29"/>
      <c r="AZ782" s="30"/>
      <c r="BA782" s="30"/>
      <c r="BB782" s="30"/>
      <c r="BC782" s="30"/>
      <c r="BD782" s="31">
        <f t="shared" si="163"/>
        <v>5220</v>
      </c>
      <c r="BE782" s="31"/>
      <c r="BF782" s="30"/>
      <c r="BG782" s="36">
        <v>1</v>
      </c>
      <c r="BH782" s="31">
        <f t="shared" si="175"/>
        <v>0</v>
      </c>
      <c r="BI782" s="31">
        <f t="shared" si="176"/>
        <v>0</v>
      </c>
      <c r="BJ782" s="33">
        <f t="shared" si="177"/>
        <v>0</v>
      </c>
      <c r="BK782" s="30"/>
      <c r="BL782" s="30"/>
      <c r="BM782" s="30"/>
      <c r="BN782" s="30"/>
      <c r="BO782" s="33">
        <f t="shared" si="171"/>
        <v>0</v>
      </c>
      <c r="BP782" s="30">
        <v>15</v>
      </c>
      <c r="BQ782" s="30">
        <v>20</v>
      </c>
      <c r="BR782" s="30"/>
      <c r="BS782" s="30"/>
      <c r="BT782" s="34">
        <f t="shared" si="172"/>
        <v>30</v>
      </c>
      <c r="BU782" s="34"/>
      <c r="BV782" s="34"/>
      <c r="BW782" s="34"/>
      <c r="BX782" s="34"/>
      <c r="BY782" s="30"/>
      <c r="BZ782" s="31">
        <f t="shared" si="173"/>
        <v>450</v>
      </c>
      <c r="CA782" s="31">
        <f t="shared" si="174"/>
        <v>600</v>
      </c>
    </row>
    <row r="783" spans="1:79" ht="38.25" x14ac:dyDescent="0.25">
      <c r="A783" s="17"/>
      <c r="B783" s="2">
        <v>769</v>
      </c>
      <c r="C783" s="18">
        <v>615</v>
      </c>
      <c r="D783" s="58">
        <v>520</v>
      </c>
      <c r="E783" s="59">
        <v>0.75347222222222221</v>
      </c>
      <c r="F783" s="59">
        <v>0.76736111111111116</v>
      </c>
      <c r="G783" s="18" t="s">
        <v>207</v>
      </c>
      <c r="H783" s="18" t="s">
        <v>92</v>
      </c>
      <c r="I783" s="20">
        <v>22</v>
      </c>
      <c r="J783" s="21" t="s">
        <v>93</v>
      </c>
      <c r="K783" s="22">
        <v>12</v>
      </c>
      <c r="L783" s="23">
        <f t="shared" si="167"/>
        <v>264</v>
      </c>
      <c r="M783" s="24" t="s">
        <v>195</v>
      </c>
      <c r="N783" s="25" t="s">
        <v>196</v>
      </c>
      <c r="O783" s="25">
        <v>24</v>
      </c>
      <c r="P783" s="25" t="s">
        <v>197</v>
      </c>
      <c r="Q783" s="25">
        <v>21</v>
      </c>
      <c r="R783" s="25"/>
      <c r="S783" s="25"/>
      <c r="T783" s="26">
        <v>6120</v>
      </c>
      <c r="U783" s="26" t="s">
        <v>98</v>
      </c>
      <c r="V783" s="26">
        <v>6127</v>
      </c>
      <c r="W783" s="26" t="s">
        <v>208</v>
      </c>
      <c r="X783" s="27">
        <v>44562</v>
      </c>
      <c r="Y783" s="27">
        <v>44815</v>
      </c>
      <c r="Z783" s="27">
        <v>45101</v>
      </c>
      <c r="AA783" s="27">
        <v>45169</v>
      </c>
      <c r="AB783" s="26" t="s">
        <v>101</v>
      </c>
      <c r="AC783" s="26"/>
      <c r="AD783" s="28"/>
      <c r="AE783" s="28" t="s">
        <v>90</v>
      </c>
      <c r="AF783" s="28" t="s">
        <v>90</v>
      </c>
      <c r="AG783" s="28"/>
      <c r="AH783" s="28"/>
      <c r="AI783" s="28"/>
      <c r="AJ783" s="28"/>
      <c r="AK783" s="28"/>
      <c r="AL783" s="28"/>
      <c r="AM783" s="28" t="s">
        <v>90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9">
        <v>55</v>
      </c>
      <c r="AY783" s="29"/>
      <c r="AZ783" s="30"/>
      <c r="BA783" s="30"/>
      <c r="BB783" s="30"/>
      <c r="BC783" s="30"/>
      <c r="BD783" s="31">
        <f t="shared" si="163"/>
        <v>660</v>
      </c>
      <c r="BE783" s="31"/>
      <c r="BF783" s="30"/>
      <c r="BG783" s="36">
        <v>1</v>
      </c>
      <c r="BH783" s="31">
        <f t="shared" si="175"/>
        <v>0</v>
      </c>
      <c r="BI783" s="31">
        <f t="shared" si="176"/>
        <v>0</v>
      </c>
      <c r="BJ783" s="33">
        <f t="shared" si="177"/>
        <v>0</v>
      </c>
      <c r="BK783" s="30"/>
      <c r="BL783" s="30"/>
      <c r="BM783" s="30"/>
      <c r="BN783" s="30"/>
      <c r="BO783" s="33">
        <f t="shared" si="171"/>
        <v>0</v>
      </c>
      <c r="BP783" s="30">
        <v>2</v>
      </c>
      <c r="BQ783" s="30">
        <v>0</v>
      </c>
      <c r="BR783" s="30"/>
      <c r="BS783" s="30"/>
      <c r="BT783" s="34">
        <f t="shared" si="172"/>
        <v>55</v>
      </c>
      <c r="BU783" s="34"/>
      <c r="BV783" s="34"/>
      <c r="BW783" s="34"/>
      <c r="BX783" s="34"/>
      <c r="BY783" s="30"/>
      <c r="BZ783" s="31">
        <f t="shared" si="173"/>
        <v>110</v>
      </c>
      <c r="CA783" s="31">
        <f t="shared" si="174"/>
        <v>0</v>
      </c>
    </row>
    <row r="784" spans="1:79" ht="45.75" x14ac:dyDescent="0.25">
      <c r="A784" s="17"/>
      <c r="B784" s="2">
        <v>770</v>
      </c>
      <c r="C784" s="48">
        <v>615</v>
      </c>
      <c r="D784" s="48">
        <v>520</v>
      </c>
      <c r="E784" s="49">
        <v>0.75347222222222221</v>
      </c>
      <c r="F784" s="49">
        <v>0.76736111111111116</v>
      </c>
      <c r="G784" s="51" t="s">
        <v>207</v>
      </c>
      <c r="H784" s="18" t="s">
        <v>422</v>
      </c>
      <c r="I784" s="48">
        <v>10</v>
      </c>
      <c r="J784" s="52">
        <v>19</v>
      </c>
      <c r="K784" s="22">
        <v>240</v>
      </c>
      <c r="L784" s="23">
        <f t="shared" si="167"/>
        <v>2400</v>
      </c>
      <c r="M784" s="24" t="s">
        <v>94</v>
      </c>
      <c r="N784" s="25" t="s">
        <v>95</v>
      </c>
      <c r="O784" s="25">
        <v>24</v>
      </c>
      <c r="P784" s="25" t="s">
        <v>96</v>
      </c>
      <c r="Q784" s="25">
        <v>34</v>
      </c>
      <c r="R784" s="17"/>
      <c r="S784" s="25"/>
      <c r="T784" s="26">
        <v>6120</v>
      </c>
      <c r="U784" s="26" t="s">
        <v>98</v>
      </c>
      <c r="V784" s="26">
        <v>6127</v>
      </c>
      <c r="W784" s="26" t="s">
        <v>208</v>
      </c>
      <c r="X784" s="27">
        <v>44816</v>
      </c>
      <c r="Y784" s="27">
        <v>45100</v>
      </c>
      <c r="Z784" s="27"/>
      <c r="AA784" s="27"/>
      <c r="AB784" s="26" t="s">
        <v>423</v>
      </c>
      <c r="AC784" s="26"/>
      <c r="AD784" s="28" t="s">
        <v>90</v>
      </c>
      <c r="AE784" s="28"/>
      <c r="AF784" s="28" t="s">
        <v>90</v>
      </c>
      <c r="AG784" s="28"/>
      <c r="AH784" s="28" t="s">
        <v>90</v>
      </c>
      <c r="AI784" s="28" t="s">
        <v>90</v>
      </c>
      <c r="AJ784" s="28" t="s">
        <v>90</v>
      </c>
      <c r="AK784" s="28" t="s">
        <v>90</v>
      </c>
      <c r="AL784" s="28" t="s">
        <v>90</v>
      </c>
      <c r="AM784" s="28" t="s">
        <v>90</v>
      </c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31"/>
      <c r="AY784" s="31"/>
      <c r="AZ784" s="30"/>
      <c r="BA784" s="55" t="s">
        <v>94</v>
      </c>
      <c r="BB784" s="55"/>
      <c r="BC784" s="30"/>
      <c r="BD784" s="31">
        <f t="shared" si="163"/>
        <v>0</v>
      </c>
      <c r="BE784" s="30"/>
      <c r="BF784" s="30"/>
      <c r="BG784" s="36">
        <v>1</v>
      </c>
      <c r="BH784" s="30"/>
      <c r="BI784" s="31"/>
      <c r="BJ784" s="30"/>
      <c r="BK784" s="30"/>
      <c r="BL784" s="30"/>
      <c r="BM784" s="30"/>
      <c r="BN784" s="30"/>
      <c r="BO784" s="33">
        <f t="shared" si="171"/>
        <v>0</v>
      </c>
      <c r="BP784" s="30">
        <v>17</v>
      </c>
      <c r="BQ784" s="30">
        <v>26</v>
      </c>
      <c r="BR784" s="30"/>
      <c r="BS784" s="30"/>
      <c r="BT784" s="34">
        <f t="shared" si="172"/>
        <v>0</v>
      </c>
      <c r="BU784" s="34"/>
      <c r="BV784" s="34"/>
      <c r="BW784" s="34"/>
      <c r="BX784" s="34"/>
      <c r="BY784" s="30"/>
      <c r="BZ784" s="31">
        <f t="shared" si="173"/>
        <v>0</v>
      </c>
      <c r="CA784" s="31">
        <f t="shared" si="174"/>
        <v>0</v>
      </c>
    </row>
    <row r="785" spans="1:79" ht="45.75" x14ac:dyDescent="0.25">
      <c r="A785" s="17"/>
      <c r="B785" s="2">
        <v>771</v>
      </c>
      <c r="C785" s="48">
        <v>615</v>
      </c>
      <c r="D785" s="48">
        <v>515</v>
      </c>
      <c r="E785" s="49">
        <v>0.7680555555555556</v>
      </c>
      <c r="F785" s="49">
        <v>0.78541666666666676</v>
      </c>
      <c r="G785" s="51" t="s">
        <v>209</v>
      </c>
      <c r="H785" s="18" t="s">
        <v>422</v>
      </c>
      <c r="I785" s="48">
        <v>12</v>
      </c>
      <c r="J785" s="52">
        <v>19</v>
      </c>
      <c r="K785" s="22">
        <v>240</v>
      </c>
      <c r="L785" s="23">
        <f t="shared" si="167"/>
        <v>2880</v>
      </c>
      <c r="M785" s="24" t="s">
        <v>94</v>
      </c>
      <c r="N785" s="25" t="s">
        <v>95</v>
      </c>
      <c r="O785" s="25">
        <v>24</v>
      </c>
      <c r="P785" s="25" t="s">
        <v>96</v>
      </c>
      <c r="Q785" s="25">
        <v>34</v>
      </c>
      <c r="R785" s="17"/>
      <c r="S785" s="25"/>
      <c r="T785" s="26">
        <v>6127</v>
      </c>
      <c r="U785" s="26" t="s">
        <v>208</v>
      </c>
      <c r="V785" s="26">
        <v>6120</v>
      </c>
      <c r="W785" s="26" t="s">
        <v>98</v>
      </c>
      <c r="X785" s="27">
        <v>44816</v>
      </c>
      <c r="Y785" s="27">
        <v>45100</v>
      </c>
      <c r="Z785" s="27"/>
      <c r="AA785" s="27"/>
      <c r="AB785" s="26" t="s">
        <v>423</v>
      </c>
      <c r="AC785" s="26"/>
      <c r="AD785" s="28" t="s">
        <v>90</v>
      </c>
      <c r="AE785" s="28"/>
      <c r="AF785" s="28" t="s">
        <v>90</v>
      </c>
      <c r="AG785" s="28"/>
      <c r="AH785" s="28" t="s">
        <v>90</v>
      </c>
      <c r="AI785" s="28" t="s">
        <v>90</v>
      </c>
      <c r="AJ785" s="28" t="s">
        <v>90</v>
      </c>
      <c r="AK785" s="28" t="s">
        <v>90</v>
      </c>
      <c r="AL785" s="28" t="s">
        <v>90</v>
      </c>
      <c r="AM785" s="28" t="s">
        <v>90</v>
      </c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31"/>
      <c r="AY785" s="31"/>
      <c r="AZ785" s="30"/>
      <c r="BA785" s="55" t="s">
        <v>94</v>
      </c>
      <c r="BB785" s="55"/>
      <c r="BC785" s="30"/>
      <c r="BD785" s="31">
        <f t="shared" si="163"/>
        <v>0</v>
      </c>
      <c r="BE785" s="30"/>
      <c r="BF785" s="30"/>
      <c r="BG785" s="36">
        <v>1</v>
      </c>
      <c r="BH785" s="30"/>
      <c r="BI785" s="31"/>
      <c r="BJ785" s="30"/>
      <c r="BK785" s="30"/>
      <c r="BL785" s="30"/>
      <c r="BM785" s="30"/>
      <c r="BN785" s="30"/>
      <c r="BO785" s="33">
        <f t="shared" si="171"/>
        <v>0</v>
      </c>
      <c r="BP785" s="30">
        <v>17</v>
      </c>
      <c r="BQ785" s="30">
        <v>26</v>
      </c>
      <c r="BR785" s="30"/>
      <c r="BS785" s="30"/>
      <c r="BT785" s="34">
        <f t="shared" si="172"/>
        <v>0</v>
      </c>
      <c r="BU785" s="34"/>
      <c r="BV785" s="34"/>
      <c r="BW785" s="34"/>
      <c r="BX785" s="34"/>
      <c r="BY785" s="30"/>
      <c r="BZ785" s="31">
        <f t="shared" si="173"/>
        <v>0</v>
      </c>
      <c r="CA785" s="31">
        <f t="shared" si="174"/>
        <v>0</v>
      </c>
    </row>
    <row r="786" spans="1:79" ht="38.25" x14ac:dyDescent="0.25">
      <c r="A786" s="17"/>
      <c r="B786" s="2">
        <v>772</v>
      </c>
      <c r="C786" s="18">
        <v>615</v>
      </c>
      <c r="D786" s="58">
        <v>517</v>
      </c>
      <c r="E786" s="19">
        <v>0.7680555555555556</v>
      </c>
      <c r="F786" s="19">
        <v>0.78541666666666676</v>
      </c>
      <c r="G786" s="18" t="s">
        <v>209</v>
      </c>
      <c r="H786" s="18" t="s">
        <v>92</v>
      </c>
      <c r="I786" s="20">
        <v>22</v>
      </c>
      <c r="J786" s="21" t="s">
        <v>93</v>
      </c>
      <c r="K786" s="22">
        <v>12</v>
      </c>
      <c r="L786" s="23">
        <f t="shared" si="167"/>
        <v>264</v>
      </c>
      <c r="M786" s="24" t="s">
        <v>195</v>
      </c>
      <c r="N786" s="25" t="s">
        <v>196</v>
      </c>
      <c r="O786" s="25">
        <v>24</v>
      </c>
      <c r="P786" s="25" t="s">
        <v>197</v>
      </c>
      <c r="Q786" s="25">
        <v>21</v>
      </c>
      <c r="R786" s="25"/>
      <c r="S786" s="25"/>
      <c r="T786" s="26">
        <v>6127</v>
      </c>
      <c r="U786" s="26" t="s">
        <v>208</v>
      </c>
      <c r="V786" s="26">
        <v>6120</v>
      </c>
      <c r="W786" s="26" t="s">
        <v>98</v>
      </c>
      <c r="X786" s="27">
        <v>44562</v>
      </c>
      <c r="Y786" s="27">
        <v>44815</v>
      </c>
      <c r="Z786" s="27">
        <v>45101</v>
      </c>
      <c r="AA786" s="27">
        <v>45169</v>
      </c>
      <c r="AB786" s="26" t="s">
        <v>101</v>
      </c>
      <c r="AC786" s="26"/>
      <c r="AD786" s="28"/>
      <c r="AE786" s="28" t="s">
        <v>90</v>
      </c>
      <c r="AF786" s="28" t="s">
        <v>90</v>
      </c>
      <c r="AG786" s="28"/>
      <c r="AH786" s="28"/>
      <c r="AI786" s="28"/>
      <c r="AJ786" s="28"/>
      <c r="AK786" s="28"/>
      <c r="AL786" s="28"/>
      <c r="AM786" s="28" t="s">
        <v>90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9">
        <v>55</v>
      </c>
      <c r="AY786" s="29"/>
      <c r="AZ786" s="30"/>
      <c r="BA786" s="30"/>
      <c r="BB786" s="30"/>
      <c r="BC786" s="30"/>
      <c r="BD786" s="31">
        <f t="shared" si="163"/>
        <v>660</v>
      </c>
      <c r="BE786" s="31"/>
      <c r="BF786" s="30"/>
      <c r="BG786" s="36">
        <v>1</v>
      </c>
      <c r="BH786" s="31">
        <f t="shared" ref="BH786:BH811" si="178">IF(AND((AX786/I786)&lt;2,BG786=1),(I786*2)-AX786,0)</f>
        <v>0</v>
      </c>
      <c r="BI786" s="31">
        <f t="shared" ref="BI786:BI811" si="179">IF(AND((AX786/I786)&lt;3,BG786=2),(I786*3)-AX786,0)</f>
        <v>0</v>
      </c>
      <c r="BJ786" s="33">
        <f t="shared" ref="BJ786:BJ811" si="180">(BH786+BI786)*K786</f>
        <v>0</v>
      </c>
      <c r="BK786" s="30"/>
      <c r="BL786" s="30"/>
      <c r="BM786" s="30"/>
      <c r="BN786" s="30"/>
      <c r="BO786" s="33">
        <f t="shared" si="171"/>
        <v>0</v>
      </c>
      <c r="BP786" s="30">
        <v>2</v>
      </c>
      <c r="BQ786" s="30">
        <v>0</v>
      </c>
      <c r="BR786" s="30"/>
      <c r="BS786" s="30"/>
      <c r="BT786" s="34">
        <f t="shared" si="172"/>
        <v>55</v>
      </c>
      <c r="BU786" s="34"/>
      <c r="BV786" s="34"/>
      <c r="BW786" s="34"/>
      <c r="BX786" s="34"/>
      <c r="BY786" s="30"/>
      <c r="BZ786" s="31">
        <f t="shared" si="173"/>
        <v>110</v>
      </c>
      <c r="CA786" s="31">
        <f t="shared" si="174"/>
        <v>0</v>
      </c>
    </row>
    <row r="787" spans="1:79" ht="102" x14ac:dyDescent="0.25">
      <c r="A787" s="17"/>
      <c r="B787" s="2">
        <v>773</v>
      </c>
      <c r="C787" s="18">
        <v>620</v>
      </c>
      <c r="D787" s="18">
        <v>230</v>
      </c>
      <c r="E787" s="59">
        <v>0.25972222222222224</v>
      </c>
      <c r="F787" s="19">
        <v>0.2902777777777778</v>
      </c>
      <c r="G787" s="18" t="s">
        <v>1629</v>
      </c>
      <c r="H787" s="18" t="s">
        <v>273</v>
      </c>
      <c r="I787" s="20">
        <v>18</v>
      </c>
      <c r="J787" s="21" t="s">
        <v>93</v>
      </c>
      <c r="K787" s="22">
        <v>174</v>
      </c>
      <c r="L787" s="23">
        <f t="shared" si="167"/>
        <v>3132</v>
      </c>
      <c r="M787" s="24" t="s">
        <v>919</v>
      </c>
      <c r="N787" s="45" t="s">
        <v>1606</v>
      </c>
      <c r="O787" s="25">
        <v>23</v>
      </c>
      <c r="P787" s="25" t="s">
        <v>1615</v>
      </c>
      <c r="Q787" s="25">
        <v>21</v>
      </c>
      <c r="R787" s="17"/>
      <c r="S787" s="25"/>
      <c r="T787" s="26">
        <v>6146</v>
      </c>
      <c r="U787" s="26" t="s">
        <v>1630</v>
      </c>
      <c r="V787" s="26">
        <v>6220</v>
      </c>
      <c r="W787" s="26" t="s">
        <v>216</v>
      </c>
      <c r="X787" s="66">
        <v>44816</v>
      </c>
      <c r="Y787" s="66">
        <v>45086</v>
      </c>
      <c r="Z787" s="66"/>
      <c r="AA787" s="66"/>
      <c r="AB787" s="26" t="s">
        <v>282</v>
      </c>
      <c r="AC787" s="26"/>
      <c r="AD787" s="28"/>
      <c r="AE787" s="28"/>
      <c r="AF787" s="28"/>
      <c r="AG787" s="28" t="s">
        <v>90</v>
      </c>
      <c r="AH787" s="28" t="s">
        <v>90</v>
      </c>
      <c r="AI787" s="28" t="s">
        <v>90</v>
      </c>
      <c r="AJ787" s="28" t="s">
        <v>90</v>
      </c>
      <c r="AK787" s="28" t="s">
        <v>90</v>
      </c>
      <c r="AL787" s="28" t="s">
        <v>90</v>
      </c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9">
        <v>56.400000000000006</v>
      </c>
      <c r="AY787" s="29"/>
      <c r="AZ787" s="30"/>
      <c r="BA787" s="30"/>
      <c r="BB787" s="30"/>
      <c r="BC787" s="30"/>
      <c r="BD787" s="31">
        <f t="shared" ref="BD787:BD850" si="181">AX787*K787</f>
        <v>9813.6</v>
      </c>
      <c r="BE787" s="31"/>
      <c r="BF787" s="30"/>
      <c r="BG787" s="36">
        <v>1</v>
      </c>
      <c r="BH787" s="31">
        <f t="shared" si="178"/>
        <v>0</v>
      </c>
      <c r="BI787" s="31">
        <f t="shared" si="179"/>
        <v>0</v>
      </c>
      <c r="BJ787" s="33">
        <f t="shared" si="180"/>
        <v>0</v>
      </c>
      <c r="BK787" s="30"/>
      <c r="BL787" s="30"/>
      <c r="BM787" s="30"/>
      <c r="BN787" s="31">
        <f>IF((AX787+AY787+AZ787)&lt;20,(20-(AX787+AY787+AZ787)),0)</f>
        <v>0</v>
      </c>
      <c r="BO787" s="33">
        <f t="shared" si="171"/>
        <v>0</v>
      </c>
      <c r="BP787" s="30">
        <v>15</v>
      </c>
      <c r="BQ787" s="30">
        <v>20</v>
      </c>
      <c r="BR787" s="30"/>
      <c r="BS787" s="30"/>
      <c r="BT787" s="34">
        <f t="shared" si="172"/>
        <v>56.400000000000006</v>
      </c>
      <c r="BU787" s="34"/>
      <c r="BV787" s="34"/>
      <c r="BW787" s="34"/>
      <c r="BX787" s="34"/>
      <c r="BY787" s="30"/>
      <c r="BZ787" s="31">
        <f t="shared" si="173"/>
        <v>846.00000000000011</v>
      </c>
      <c r="CA787" s="31">
        <f t="shared" si="174"/>
        <v>1128</v>
      </c>
    </row>
    <row r="788" spans="1:79" ht="63.75" x14ac:dyDescent="0.25">
      <c r="A788" s="17"/>
      <c r="B788" s="2">
        <v>774</v>
      </c>
      <c r="C788" s="58">
        <v>620</v>
      </c>
      <c r="D788" s="18">
        <v>223</v>
      </c>
      <c r="E788" s="19">
        <v>0.26944444444444443</v>
      </c>
      <c r="F788" s="19">
        <v>0.31527777777777777</v>
      </c>
      <c r="G788" s="18" t="s">
        <v>211</v>
      </c>
      <c r="H788" s="18" t="s">
        <v>352</v>
      </c>
      <c r="I788" s="20">
        <v>32.5</v>
      </c>
      <c r="J788" s="21" t="s">
        <v>104</v>
      </c>
      <c r="K788" s="22">
        <v>55</v>
      </c>
      <c r="L788" s="23">
        <f t="shared" si="167"/>
        <v>1787.5</v>
      </c>
      <c r="M788" s="24" t="s">
        <v>195</v>
      </c>
      <c r="N788" s="25" t="s">
        <v>219</v>
      </c>
      <c r="O788" s="25">
        <v>31</v>
      </c>
      <c r="P788" s="25" t="s">
        <v>220</v>
      </c>
      <c r="Q788" s="25">
        <v>54</v>
      </c>
      <c r="R788" s="17"/>
      <c r="S788" s="25"/>
      <c r="T788" s="26">
        <v>6220</v>
      </c>
      <c r="U788" s="26" t="s">
        <v>216</v>
      </c>
      <c r="V788" s="26" t="s">
        <v>204</v>
      </c>
      <c r="W788" s="26" t="s">
        <v>205</v>
      </c>
      <c r="X788" s="27">
        <v>44562</v>
      </c>
      <c r="Y788" s="27">
        <v>44815</v>
      </c>
      <c r="Z788" s="27">
        <v>45101</v>
      </c>
      <c r="AA788" s="27">
        <v>45169</v>
      </c>
      <c r="AB788" s="26" t="s">
        <v>353</v>
      </c>
      <c r="AC788" s="26"/>
      <c r="AD788" s="28"/>
      <c r="AE788" s="28" t="s">
        <v>90</v>
      </c>
      <c r="AF788" s="28" t="s">
        <v>90</v>
      </c>
      <c r="AG788" s="28"/>
      <c r="AH788" s="28" t="s">
        <v>90</v>
      </c>
      <c r="AI788" s="28" t="s">
        <v>90</v>
      </c>
      <c r="AJ788" s="28" t="s">
        <v>90</v>
      </c>
      <c r="AK788" s="28" t="s">
        <v>90</v>
      </c>
      <c r="AL788" s="28" t="s">
        <v>90</v>
      </c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9">
        <v>97.5</v>
      </c>
      <c r="AY788" s="29"/>
      <c r="AZ788" s="30"/>
      <c r="BA788" s="30"/>
      <c r="BB788" s="30"/>
      <c r="BC788" s="30"/>
      <c r="BD788" s="31">
        <f t="shared" si="181"/>
        <v>5362.5</v>
      </c>
      <c r="BE788" s="31"/>
      <c r="BF788" s="30"/>
      <c r="BG788" s="36">
        <v>1</v>
      </c>
      <c r="BH788" s="31">
        <f t="shared" si="178"/>
        <v>0</v>
      </c>
      <c r="BI788" s="31">
        <f t="shared" si="179"/>
        <v>0</v>
      </c>
      <c r="BJ788" s="33">
        <f t="shared" si="180"/>
        <v>0</v>
      </c>
      <c r="BK788" s="30"/>
      <c r="BL788" s="30"/>
      <c r="BM788" s="30"/>
      <c r="BN788" s="31">
        <f>IF((AX788+AY788+AZ788)&lt;20,(20-(AX788+AY788+AZ788)),0)</f>
        <v>0</v>
      </c>
      <c r="BO788" s="33">
        <f t="shared" si="171"/>
        <v>0</v>
      </c>
      <c r="BP788" s="30">
        <v>7</v>
      </c>
      <c r="BQ788" s="30">
        <v>0</v>
      </c>
      <c r="BR788" s="30"/>
      <c r="BS788" s="30"/>
      <c r="BT788" s="34">
        <f t="shared" si="172"/>
        <v>97.5</v>
      </c>
      <c r="BU788" s="34"/>
      <c r="BV788" s="34"/>
      <c r="BW788" s="34"/>
      <c r="BX788" s="34"/>
      <c r="BY788" s="30"/>
      <c r="BZ788" s="31">
        <f t="shared" si="173"/>
        <v>682.5</v>
      </c>
      <c r="CA788" s="31">
        <f t="shared" si="174"/>
        <v>0</v>
      </c>
    </row>
    <row r="789" spans="1:79" ht="67.5" x14ac:dyDescent="0.25">
      <c r="A789" s="17"/>
      <c r="B789" s="2">
        <v>775</v>
      </c>
      <c r="C789" s="18">
        <v>620</v>
      </c>
      <c r="D789" s="18">
        <v>237</v>
      </c>
      <c r="E789" s="19">
        <v>0.53749999999999998</v>
      </c>
      <c r="F789" s="19">
        <v>0.54166666666666663</v>
      </c>
      <c r="G789" s="18" t="s">
        <v>1631</v>
      </c>
      <c r="H789" s="18" t="s">
        <v>306</v>
      </c>
      <c r="I789" s="20">
        <v>3</v>
      </c>
      <c r="J789" s="21" t="s">
        <v>380</v>
      </c>
      <c r="K789" s="22">
        <v>208</v>
      </c>
      <c r="L789" s="23">
        <f t="shared" si="167"/>
        <v>624</v>
      </c>
      <c r="M789" s="24" t="s">
        <v>1632</v>
      </c>
      <c r="N789" s="25" t="s">
        <v>1633</v>
      </c>
      <c r="O789" s="25">
        <v>9</v>
      </c>
      <c r="P789" s="25" t="s">
        <v>1634</v>
      </c>
      <c r="Q789" s="25">
        <v>9</v>
      </c>
      <c r="R789" s="25" t="s">
        <v>1635</v>
      </c>
      <c r="S789" s="35">
        <v>9</v>
      </c>
      <c r="T789" s="26">
        <v>6144</v>
      </c>
      <c r="U789" s="26" t="s">
        <v>1636</v>
      </c>
      <c r="V789" s="26">
        <v>6143</v>
      </c>
      <c r="W789" s="26" t="s">
        <v>1637</v>
      </c>
      <c r="X789" s="66">
        <v>44816</v>
      </c>
      <c r="Y789" s="66">
        <v>45086</v>
      </c>
      <c r="Z789" s="66"/>
      <c r="AA789" s="66"/>
      <c r="AB789" s="26" t="s">
        <v>309</v>
      </c>
      <c r="AC789" s="26"/>
      <c r="AD789" s="28"/>
      <c r="AE789" s="28"/>
      <c r="AF789" s="28"/>
      <c r="AG789" s="28" t="s">
        <v>90</v>
      </c>
      <c r="AH789" s="28" t="s">
        <v>90</v>
      </c>
      <c r="AI789" s="28" t="s">
        <v>90</v>
      </c>
      <c r="AJ789" s="28" t="s">
        <v>90</v>
      </c>
      <c r="AK789" s="28" t="s">
        <v>90</v>
      </c>
      <c r="AL789" s="28" t="s">
        <v>90</v>
      </c>
      <c r="AM789" s="28" t="s">
        <v>90</v>
      </c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9">
        <v>7.91</v>
      </c>
      <c r="AY789" s="29"/>
      <c r="AZ789" s="30"/>
      <c r="BA789" s="30"/>
      <c r="BB789" s="30"/>
      <c r="BC789" s="30"/>
      <c r="BD789" s="31">
        <f t="shared" si="181"/>
        <v>1645.28</v>
      </c>
      <c r="BE789" s="31"/>
      <c r="BF789" s="30"/>
      <c r="BG789" s="36">
        <v>1</v>
      </c>
      <c r="BH789" s="31">
        <f t="shared" si="178"/>
        <v>0</v>
      </c>
      <c r="BI789" s="31">
        <f t="shared" si="179"/>
        <v>0</v>
      </c>
      <c r="BJ789" s="33">
        <f t="shared" si="180"/>
        <v>0</v>
      </c>
      <c r="BK789" s="30"/>
      <c r="BL789" s="30"/>
      <c r="BM789" s="30"/>
      <c r="BN789" s="30"/>
      <c r="BO789" s="33">
        <f t="shared" si="171"/>
        <v>0</v>
      </c>
      <c r="BP789" s="30">
        <v>17</v>
      </c>
      <c r="BQ789" s="30">
        <v>25</v>
      </c>
      <c r="BR789" s="30"/>
      <c r="BS789" s="30"/>
      <c r="BT789" s="34">
        <f t="shared" si="172"/>
        <v>7.91</v>
      </c>
      <c r="BU789" s="34"/>
      <c r="BV789" s="34"/>
      <c r="BW789" s="34"/>
      <c r="BX789" s="34"/>
      <c r="BY789" s="30"/>
      <c r="BZ789" s="31">
        <f t="shared" si="173"/>
        <v>134.47</v>
      </c>
      <c r="CA789" s="31">
        <f t="shared" si="174"/>
        <v>197.75</v>
      </c>
    </row>
    <row r="790" spans="1:79" ht="89.25" x14ac:dyDescent="0.25">
      <c r="A790" s="17"/>
      <c r="B790" s="2">
        <v>776</v>
      </c>
      <c r="C790" s="18">
        <v>620</v>
      </c>
      <c r="D790" s="18">
        <v>420</v>
      </c>
      <c r="E790" s="19">
        <v>0.56111111111111112</v>
      </c>
      <c r="F790" s="19">
        <v>0.57291666666666663</v>
      </c>
      <c r="G790" s="18" t="s">
        <v>1638</v>
      </c>
      <c r="H790" s="18" t="s">
        <v>306</v>
      </c>
      <c r="I790" s="20">
        <v>11.4</v>
      </c>
      <c r="J790" s="21" t="s">
        <v>380</v>
      </c>
      <c r="K790" s="22">
        <v>208</v>
      </c>
      <c r="L790" s="23">
        <f t="shared" ref="L790:L855" si="182">+K790*I790</f>
        <v>2371.2000000000003</v>
      </c>
      <c r="M790" s="24" t="s">
        <v>1632</v>
      </c>
      <c r="N790" s="25" t="s">
        <v>1634</v>
      </c>
      <c r="O790" s="25">
        <v>9</v>
      </c>
      <c r="P790" s="25" t="s">
        <v>1635</v>
      </c>
      <c r="Q790" s="25">
        <v>9</v>
      </c>
      <c r="R790" s="25" t="s">
        <v>1639</v>
      </c>
      <c r="S790" s="35">
        <v>9</v>
      </c>
      <c r="T790" s="26">
        <v>6140</v>
      </c>
      <c r="U790" s="26" t="s">
        <v>1608</v>
      </c>
      <c r="V790" s="26">
        <v>6143</v>
      </c>
      <c r="W790" s="26" t="s">
        <v>1637</v>
      </c>
      <c r="X790" s="66">
        <v>44816</v>
      </c>
      <c r="Y790" s="66">
        <v>45086</v>
      </c>
      <c r="Z790" s="66"/>
      <c r="AA790" s="66"/>
      <c r="AB790" s="26" t="s">
        <v>309</v>
      </c>
      <c r="AC790" s="26"/>
      <c r="AD790" s="28"/>
      <c r="AE790" s="28"/>
      <c r="AF790" s="28"/>
      <c r="AG790" s="28" t="s">
        <v>90</v>
      </c>
      <c r="AH790" s="28" t="s">
        <v>90</v>
      </c>
      <c r="AI790" s="28" t="s">
        <v>90</v>
      </c>
      <c r="AJ790" s="28" t="s">
        <v>90</v>
      </c>
      <c r="AK790" s="28" t="s">
        <v>90</v>
      </c>
      <c r="AL790" s="28" t="s">
        <v>90</v>
      </c>
      <c r="AM790" s="28" t="s">
        <v>90</v>
      </c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9">
        <v>38.65</v>
      </c>
      <c r="AY790" s="29"/>
      <c r="AZ790" s="30"/>
      <c r="BA790" s="30"/>
      <c r="BB790" s="30"/>
      <c r="BC790" s="30"/>
      <c r="BD790" s="31">
        <f t="shared" si="181"/>
        <v>8039.2</v>
      </c>
      <c r="BE790" s="31"/>
      <c r="BF790" s="30"/>
      <c r="BG790" s="36">
        <v>1</v>
      </c>
      <c r="BH790" s="31">
        <f t="shared" si="178"/>
        <v>0</v>
      </c>
      <c r="BI790" s="31">
        <f t="shared" si="179"/>
        <v>0</v>
      </c>
      <c r="BJ790" s="33">
        <f t="shared" si="180"/>
        <v>0</v>
      </c>
      <c r="BK790" s="30"/>
      <c r="BL790" s="30"/>
      <c r="BM790" s="30"/>
      <c r="BN790" s="30"/>
      <c r="BO790" s="33">
        <f t="shared" si="171"/>
        <v>0</v>
      </c>
      <c r="BP790" s="30">
        <v>17</v>
      </c>
      <c r="BQ790" s="30">
        <v>25</v>
      </c>
      <c r="BR790" s="30"/>
      <c r="BS790" s="30"/>
      <c r="BT790" s="34">
        <f t="shared" si="172"/>
        <v>38.65</v>
      </c>
      <c r="BU790" s="34"/>
      <c r="BV790" s="34"/>
      <c r="BW790" s="34"/>
      <c r="BX790" s="34"/>
      <c r="BY790" s="30"/>
      <c r="BZ790" s="31">
        <f t="shared" si="173"/>
        <v>657.05</v>
      </c>
      <c r="CA790" s="31">
        <f t="shared" si="174"/>
        <v>966.25</v>
      </c>
    </row>
    <row r="791" spans="1:79" ht="67.5" x14ac:dyDescent="0.25">
      <c r="A791" s="17"/>
      <c r="B791" s="2">
        <v>777</v>
      </c>
      <c r="C791" s="18">
        <v>620</v>
      </c>
      <c r="D791" s="18">
        <v>420</v>
      </c>
      <c r="E791" s="19">
        <v>0.56111111111111112</v>
      </c>
      <c r="F791" s="19">
        <v>0.56597222222222221</v>
      </c>
      <c r="G791" s="18" t="s">
        <v>1640</v>
      </c>
      <c r="H791" s="18" t="s">
        <v>306</v>
      </c>
      <c r="I791" s="20">
        <v>3.9</v>
      </c>
      <c r="J791" s="21" t="s">
        <v>380</v>
      </c>
      <c r="K791" s="22">
        <v>208</v>
      </c>
      <c r="L791" s="23">
        <f t="shared" si="182"/>
        <v>811.19999999999993</v>
      </c>
      <c r="M791" s="24" t="s">
        <v>1632</v>
      </c>
      <c r="N791" s="25" t="s">
        <v>1633</v>
      </c>
      <c r="O791" s="25">
        <v>9</v>
      </c>
      <c r="P791" s="25" t="s">
        <v>1635</v>
      </c>
      <c r="Q791" s="25">
        <v>9</v>
      </c>
      <c r="R791" s="25" t="s">
        <v>1639</v>
      </c>
      <c r="S791" s="35">
        <v>9</v>
      </c>
      <c r="T791" s="26">
        <v>6140</v>
      </c>
      <c r="U791" s="26" t="s">
        <v>1608</v>
      </c>
      <c r="V791" s="26">
        <v>6143</v>
      </c>
      <c r="W791" s="26" t="s">
        <v>1637</v>
      </c>
      <c r="X791" s="66">
        <v>44816</v>
      </c>
      <c r="Y791" s="66">
        <v>45086</v>
      </c>
      <c r="Z791" s="66"/>
      <c r="AA791" s="66"/>
      <c r="AB791" s="26" t="s">
        <v>309</v>
      </c>
      <c r="AC791" s="26"/>
      <c r="AD791" s="28"/>
      <c r="AE791" s="28"/>
      <c r="AF791" s="28"/>
      <c r="AG791" s="28" t="s">
        <v>90</v>
      </c>
      <c r="AH791" s="28" t="s">
        <v>90</v>
      </c>
      <c r="AI791" s="28" t="s">
        <v>90</v>
      </c>
      <c r="AJ791" s="28" t="s">
        <v>90</v>
      </c>
      <c r="AK791" s="28" t="s">
        <v>90</v>
      </c>
      <c r="AL791" s="28" t="s">
        <v>90</v>
      </c>
      <c r="AM791" s="28" t="s">
        <v>90</v>
      </c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9">
        <v>11.7</v>
      </c>
      <c r="AY791" s="29"/>
      <c r="AZ791" s="30"/>
      <c r="BA791" s="30"/>
      <c r="BB791" s="30"/>
      <c r="BC791" s="30"/>
      <c r="BD791" s="31">
        <f t="shared" si="181"/>
        <v>2433.6</v>
      </c>
      <c r="BE791" s="31"/>
      <c r="BF791" s="30"/>
      <c r="BG791" s="36">
        <v>1</v>
      </c>
      <c r="BH791" s="31">
        <f t="shared" si="178"/>
        <v>0</v>
      </c>
      <c r="BI791" s="31">
        <f t="shared" si="179"/>
        <v>0</v>
      </c>
      <c r="BJ791" s="33">
        <f t="shared" si="180"/>
        <v>0</v>
      </c>
      <c r="BK791" s="30"/>
      <c r="BL791" s="30"/>
      <c r="BM791" s="30"/>
      <c r="BN791" s="30"/>
      <c r="BO791" s="33">
        <f t="shared" si="171"/>
        <v>0</v>
      </c>
      <c r="BP791" s="30">
        <v>17</v>
      </c>
      <c r="BQ791" s="30">
        <v>25</v>
      </c>
      <c r="BR791" s="30"/>
      <c r="BS791" s="30"/>
      <c r="BT791" s="34">
        <f t="shared" si="172"/>
        <v>11.7</v>
      </c>
      <c r="BU791" s="34"/>
      <c r="BV791" s="34"/>
      <c r="BW791" s="34"/>
      <c r="BX791" s="34"/>
      <c r="BY791" s="30"/>
      <c r="BZ791" s="31">
        <f t="shared" si="173"/>
        <v>198.89999999999998</v>
      </c>
      <c r="CA791" s="31">
        <f t="shared" si="174"/>
        <v>292.5</v>
      </c>
    </row>
    <row r="792" spans="1:79" ht="63.75" x14ac:dyDescent="0.25">
      <c r="A792" s="17"/>
      <c r="B792" s="2">
        <v>778</v>
      </c>
      <c r="C792" s="18">
        <v>620</v>
      </c>
      <c r="D792" s="18">
        <v>973</v>
      </c>
      <c r="E792" s="19">
        <v>0.58194444444444449</v>
      </c>
      <c r="F792" s="19">
        <v>0.62777777777777777</v>
      </c>
      <c r="G792" s="18" t="s">
        <v>211</v>
      </c>
      <c r="H792" s="18" t="s">
        <v>92</v>
      </c>
      <c r="I792" s="20">
        <v>32.5</v>
      </c>
      <c r="J792" s="21" t="s">
        <v>104</v>
      </c>
      <c r="K792" s="22">
        <v>12</v>
      </c>
      <c r="L792" s="23">
        <f t="shared" si="182"/>
        <v>390</v>
      </c>
      <c r="M792" s="24" t="s">
        <v>212</v>
      </c>
      <c r="N792" s="25" t="s">
        <v>213</v>
      </c>
      <c r="O792" s="25">
        <v>23</v>
      </c>
      <c r="P792" s="25" t="s">
        <v>214</v>
      </c>
      <c r="Q792" s="25">
        <v>23</v>
      </c>
      <c r="R792" s="25" t="s">
        <v>215</v>
      </c>
      <c r="S792" s="35">
        <v>21</v>
      </c>
      <c r="T792" s="26">
        <v>6220</v>
      </c>
      <c r="U792" s="26" t="s">
        <v>216</v>
      </c>
      <c r="V792" s="26" t="s">
        <v>204</v>
      </c>
      <c r="W792" s="26" t="s">
        <v>205</v>
      </c>
      <c r="X792" s="27">
        <v>44562</v>
      </c>
      <c r="Y792" s="27">
        <v>44815</v>
      </c>
      <c r="Z792" s="27">
        <v>45101</v>
      </c>
      <c r="AA792" s="27">
        <v>45169</v>
      </c>
      <c r="AB792" s="26" t="s">
        <v>101</v>
      </c>
      <c r="AC792" s="26"/>
      <c r="AD792" s="28"/>
      <c r="AE792" s="28" t="s">
        <v>90</v>
      </c>
      <c r="AF792" s="28" t="s">
        <v>90</v>
      </c>
      <c r="AG792" s="28"/>
      <c r="AH792" s="28"/>
      <c r="AI792" s="28"/>
      <c r="AJ792" s="28"/>
      <c r="AK792" s="28"/>
      <c r="AL792" s="28"/>
      <c r="AM792" s="28" t="s">
        <v>90</v>
      </c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9">
        <v>97.5</v>
      </c>
      <c r="AY792" s="29"/>
      <c r="AZ792" s="30"/>
      <c r="BA792" s="30"/>
      <c r="BB792" s="30"/>
      <c r="BC792" s="30"/>
      <c r="BD792" s="31">
        <f t="shared" si="181"/>
        <v>1170</v>
      </c>
      <c r="BE792" s="31"/>
      <c r="BF792" s="30"/>
      <c r="BG792" s="36">
        <v>1</v>
      </c>
      <c r="BH792" s="31">
        <f t="shared" si="178"/>
        <v>0</v>
      </c>
      <c r="BI792" s="31">
        <f t="shared" si="179"/>
        <v>0</v>
      </c>
      <c r="BJ792" s="33">
        <f t="shared" si="180"/>
        <v>0</v>
      </c>
      <c r="BK792" s="30"/>
      <c r="BL792" s="30"/>
      <c r="BM792" s="30"/>
      <c r="BN792" s="30"/>
      <c r="BO792" s="33">
        <f t="shared" si="171"/>
        <v>0</v>
      </c>
      <c r="BP792" s="30">
        <v>2</v>
      </c>
      <c r="BQ792" s="30">
        <v>0</v>
      </c>
      <c r="BR792" s="30"/>
      <c r="BS792" s="30"/>
      <c r="BT792" s="34">
        <f t="shared" si="172"/>
        <v>97.5</v>
      </c>
      <c r="BU792" s="34"/>
      <c r="BV792" s="34"/>
      <c r="BW792" s="34"/>
      <c r="BX792" s="34"/>
      <c r="BY792" s="30"/>
      <c r="BZ792" s="31">
        <f t="shared" si="173"/>
        <v>195</v>
      </c>
      <c r="CA792" s="31">
        <f t="shared" si="174"/>
        <v>0</v>
      </c>
    </row>
    <row r="793" spans="1:79" ht="67.5" x14ac:dyDescent="0.25">
      <c r="A793" s="17"/>
      <c r="B793" s="2">
        <v>779</v>
      </c>
      <c r="C793" s="18">
        <v>620</v>
      </c>
      <c r="D793" s="18">
        <v>646</v>
      </c>
      <c r="E793" s="19">
        <v>0.58194444444444449</v>
      </c>
      <c r="F793" s="19">
        <v>0.58680555555555558</v>
      </c>
      <c r="G793" s="18" t="s">
        <v>1641</v>
      </c>
      <c r="H793" s="18" t="s">
        <v>306</v>
      </c>
      <c r="I793" s="20">
        <v>3.9</v>
      </c>
      <c r="J793" s="21" t="s">
        <v>380</v>
      </c>
      <c r="K793" s="22">
        <v>208</v>
      </c>
      <c r="L793" s="23">
        <f t="shared" si="182"/>
        <v>811.19999999999993</v>
      </c>
      <c r="M793" s="24" t="s">
        <v>1632</v>
      </c>
      <c r="N793" s="25" t="s">
        <v>1633</v>
      </c>
      <c r="O793" s="25">
        <v>9</v>
      </c>
      <c r="P793" s="25" t="s">
        <v>1634</v>
      </c>
      <c r="Q793" s="25">
        <v>9</v>
      </c>
      <c r="R793" s="25" t="s">
        <v>1635</v>
      </c>
      <c r="S793" s="35">
        <v>9</v>
      </c>
      <c r="T793" s="26">
        <v>6140</v>
      </c>
      <c r="U793" s="26" t="s">
        <v>1608</v>
      </c>
      <c r="V793" s="26" t="s">
        <v>1642</v>
      </c>
      <c r="W793" s="26" t="s">
        <v>1643</v>
      </c>
      <c r="X793" s="66">
        <v>44816</v>
      </c>
      <c r="Y793" s="66">
        <v>45086</v>
      </c>
      <c r="Z793" s="66"/>
      <c r="AA793" s="66"/>
      <c r="AB793" s="26" t="s">
        <v>309</v>
      </c>
      <c r="AC793" s="26"/>
      <c r="AD793" s="28"/>
      <c r="AE793" s="28"/>
      <c r="AF793" s="28"/>
      <c r="AG793" s="28" t="s">
        <v>90</v>
      </c>
      <c r="AH793" s="28" t="s">
        <v>90</v>
      </c>
      <c r="AI793" s="28" t="s">
        <v>90</v>
      </c>
      <c r="AJ793" s="28" t="s">
        <v>90</v>
      </c>
      <c r="AK793" s="28" t="s">
        <v>90</v>
      </c>
      <c r="AL793" s="28" t="s">
        <v>90</v>
      </c>
      <c r="AM793" s="28" t="s">
        <v>90</v>
      </c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9">
        <v>12.88</v>
      </c>
      <c r="AY793" s="29"/>
      <c r="AZ793" s="30"/>
      <c r="BA793" s="30"/>
      <c r="BB793" s="30"/>
      <c r="BC793" s="30"/>
      <c r="BD793" s="31">
        <f t="shared" si="181"/>
        <v>2679.04</v>
      </c>
      <c r="BE793" s="31"/>
      <c r="BF793" s="30"/>
      <c r="BG793" s="36">
        <v>1</v>
      </c>
      <c r="BH793" s="31">
        <f t="shared" si="178"/>
        <v>0</v>
      </c>
      <c r="BI793" s="31">
        <f t="shared" si="179"/>
        <v>0</v>
      </c>
      <c r="BJ793" s="33">
        <f t="shared" si="180"/>
        <v>0</v>
      </c>
      <c r="BK793" s="30"/>
      <c r="BL793" s="30"/>
      <c r="BM793" s="30"/>
      <c r="BN793" s="30"/>
      <c r="BO793" s="33">
        <f t="shared" si="171"/>
        <v>0</v>
      </c>
      <c r="BP793" s="30">
        <v>17</v>
      </c>
      <c r="BQ793" s="30">
        <v>25</v>
      </c>
      <c r="BR793" s="30"/>
      <c r="BS793" s="30"/>
      <c r="BT793" s="34">
        <f t="shared" si="172"/>
        <v>12.88</v>
      </c>
      <c r="BU793" s="34"/>
      <c r="BV793" s="34"/>
      <c r="BW793" s="34"/>
      <c r="BX793" s="34"/>
      <c r="BY793" s="30"/>
      <c r="BZ793" s="31">
        <f t="shared" si="173"/>
        <v>218.96</v>
      </c>
      <c r="CA793" s="31">
        <f t="shared" si="174"/>
        <v>322</v>
      </c>
    </row>
    <row r="794" spans="1:79" ht="67.5" x14ac:dyDescent="0.25">
      <c r="A794" s="17"/>
      <c r="B794" s="2">
        <v>780</v>
      </c>
      <c r="C794" s="18">
        <v>620</v>
      </c>
      <c r="D794" s="18">
        <v>426</v>
      </c>
      <c r="E794" s="59">
        <v>0.60625000000000007</v>
      </c>
      <c r="F794" s="59">
        <v>0.61111111111111105</v>
      </c>
      <c r="G794" s="18" t="s">
        <v>1641</v>
      </c>
      <c r="H794" s="18" t="s">
        <v>306</v>
      </c>
      <c r="I794" s="20">
        <v>3.9</v>
      </c>
      <c r="J794" s="21" t="s">
        <v>380</v>
      </c>
      <c r="K794" s="22">
        <v>208</v>
      </c>
      <c r="L794" s="23">
        <f t="shared" si="182"/>
        <v>811.19999999999993</v>
      </c>
      <c r="M794" s="24" t="s">
        <v>1632</v>
      </c>
      <c r="N794" s="25" t="s">
        <v>1633</v>
      </c>
      <c r="O794" s="25">
        <v>9</v>
      </c>
      <c r="P794" s="25" t="s">
        <v>1634</v>
      </c>
      <c r="Q794" s="25">
        <v>9</v>
      </c>
      <c r="R794" s="25" t="s">
        <v>1635</v>
      </c>
      <c r="S794" s="35">
        <v>9</v>
      </c>
      <c r="T794" s="26">
        <v>6140</v>
      </c>
      <c r="U794" s="26" t="s">
        <v>1608</v>
      </c>
      <c r="V794" s="26" t="s">
        <v>1642</v>
      </c>
      <c r="W794" s="26" t="s">
        <v>1643</v>
      </c>
      <c r="X794" s="66">
        <v>44816</v>
      </c>
      <c r="Y794" s="66">
        <v>45086</v>
      </c>
      <c r="Z794" s="66"/>
      <c r="AA794" s="66"/>
      <c r="AB794" s="26" t="s">
        <v>309</v>
      </c>
      <c r="AC794" s="26"/>
      <c r="AD794" s="28"/>
      <c r="AE794" s="28"/>
      <c r="AF794" s="28"/>
      <c r="AG794" s="28" t="s">
        <v>90</v>
      </c>
      <c r="AH794" s="28" t="s">
        <v>90</v>
      </c>
      <c r="AI794" s="28" t="s">
        <v>90</v>
      </c>
      <c r="AJ794" s="28" t="s">
        <v>90</v>
      </c>
      <c r="AK794" s="28" t="s">
        <v>90</v>
      </c>
      <c r="AL794" s="28" t="s">
        <v>90</v>
      </c>
      <c r="AM794" s="28" t="s">
        <v>90</v>
      </c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9">
        <v>12.88</v>
      </c>
      <c r="AY794" s="29"/>
      <c r="AZ794" s="30"/>
      <c r="BA794" s="30"/>
      <c r="BB794" s="30"/>
      <c r="BC794" s="30"/>
      <c r="BD794" s="31">
        <f t="shared" si="181"/>
        <v>2679.04</v>
      </c>
      <c r="BE794" s="31"/>
      <c r="BF794" s="30"/>
      <c r="BG794" s="36">
        <v>1</v>
      </c>
      <c r="BH794" s="31">
        <f t="shared" si="178"/>
        <v>0</v>
      </c>
      <c r="BI794" s="31">
        <f t="shared" si="179"/>
        <v>0</v>
      </c>
      <c r="BJ794" s="33">
        <f t="shared" si="180"/>
        <v>0</v>
      </c>
      <c r="BK794" s="30"/>
      <c r="BL794" s="30"/>
      <c r="BM794" s="30"/>
      <c r="BN794" s="30"/>
      <c r="BO794" s="33">
        <f t="shared" si="171"/>
        <v>0</v>
      </c>
      <c r="BP794" s="30">
        <v>17</v>
      </c>
      <c r="BQ794" s="30">
        <v>25</v>
      </c>
      <c r="BR794" s="30"/>
      <c r="BS794" s="30"/>
      <c r="BT794" s="34">
        <f t="shared" si="172"/>
        <v>12.88</v>
      </c>
      <c r="BU794" s="34"/>
      <c r="BV794" s="34"/>
      <c r="BW794" s="34"/>
      <c r="BX794" s="34"/>
      <c r="BY794" s="30"/>
      <c r="BZ794" s="31">
        <f t="shared" si="173"/>
        <v>218.96</v>
      </c>
      <c r="CA794" s="31">
        <f t="shared" si="174"/>
        <v>322</v>
      </c>
    </row>
    <row r="795" spans="1:79" ht="51" x14ac:dyDescent="0.25">
      <c r="A795" s="17"/>
      <c r="B795" s="2">
        <v>781</v>
      </c>
      <c r="C795" s="18">
        <v>620</v>
      </c>
      <c r="D795" s="18">
        <v>982</v>
      </c>
      <c r="E795" s="19">
        <v>0.62013888888888891</v>
      </c>
      <c r="F795" s="19">
        <v>0.66597222222222219</v>
      </c>
      <c r="G795" s="18" t="s">
        <v>1644</v>
      </c>
      <c r="H795" s="18" t="s">
        <v>327</v>
      </c>
      <c r="I795" s="20">
        <v>32.5</v>
      </c>
      <c r="J795" s="21" t="s">
        <v>104</v>
      </c>
      <c r="K795" s="22">
        <v>67</v>
      </c>
      <c r="L795" s="23">
        <f t="shared" si="182"/>
        <v>2177.5</v>
      </c>
      <c r="M795" s="24" t="s">
        <v>195</v>
      </c>
      <c r="N795" s="25" t="s">
        <v>219</v>
      </c>
      <c r="O795" s="25">
        <v>31</v>
      </c>
      <c r="P795" s="25" t="s">
        <v>220</v>
      </c>
      <c r="Q795" s="25">
        <v>54</v>
      </c>
      <c r="R795" s="17"/>
      <c r="S795" s="25"/>
      <c r="T795" s="26" t="s">
        <v>204</v>
      </c>
      <c r="U795" s="26" t="s">
        <v>205</v>
      </c>
      <c r="V795" s="26">
        <v>6220</v>
      </c>
      <c r="W795" s="26" t="s">
        <v>216</v>
      </c>
      <c r="X795" s="27">
        <v>44562</v>
      </c>
      <c r="Y795" s="27">
        <v>44815</v>
      </c>
      <c r="Z795" s="27">
        <v>45101</v>
      </c>
      <c r="AA795" s="27">
        <v>45169</v>
      </c>
      <c r="AB795" s="28" t="s">
        <v>89</v>
      </c>
      <c r="AC795" s="28"/>
      <c r="AD795" s="28"/>
      <c r="AE795" s="28" t="s">
        <v>90</v>
      </c>
      <c r="AF795" s="28" t="s">
        <v>90</v>
      </c>
      <c r="AG795" s="28"/>
      <c r="AH795" s="28" t="s">
        <v>90</v>
      </c>
      <c r="AI795" s="28" t="s">
        <v>90</v>
      </c>
      <c r="AJ795" s="28" t="s">
        <v>90</v>
      </c>
      <c r="AK795" s="28" t="s">
        <v>90</v>
      </c>
      <c r="AL795" s="28" t="s">
        <v>90</v>
      </c>
      <c r="AM795" s="28" t="s">
        <v>90</v>
      </c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9">
        <v>97.5</v>
      </c>
      <c r="AY795" s="29"/>
      <c r="AZ795" s="30"/>
      <c r="BA795" s="30"/>
      <c r="BB795" s="30"/>
      <c r="BC795" s="30"/>
      <c r="BD795" s="31">
        <f t="shared" si="181"/>
        <v>6532.5</v>
      </c>
      <c r="BE795" s="31"/>
      <c r="BF795" s="30"/>
      <c r="BG795" s="36">
        <v>1</v>
      </c>
      <c r="BH795" s="31">
        <f t="shared" si="178"/>
        <v>0</v>
      </c>
      <c r="BI795" s="31">
        <f t="shared" si="179"/>
        <v>0</v>
      </c>
      <c r="BJ795" s="33">
        <f t="shared" si="180"/>
        <v>0</v>
      </c>
      <c r="BK795" s="30"/>
      <c r="BL795" s="30"/>
      <c r="BM795" s="30"/>
      <c r="BN795" s="30"/>
      <c r="BO795" s="33">
        <f t="shared" si="171"/>
        <v>0</v>
      </c>
      <c r="BP795" s="30">
        <v>9</v>
      </c>
      <c r="BQ795" s="30">
        <v>0</v>
      </c>
      <c r="BR795" s="30"/>
      <c r="BS795" s="30"/>
      <c r="BT795" s="34">
        <f t="shared" si="172"/>
        <v>97.5</v>
      </c>
      <c r="BU795" s="34"/>
      <c r="BV795" s="34"/>
      <c r="BW795" s="34"/>
      <c r="BX795" s="34"/>
      <c r="BY795" s="30"/>
      <c r="BZ795" s="31">
        <f t="shared" si="173"/>
        <v>877.5</v>
      </c>
      <c r="CA795" s="31">
        <f t="shared" si="174"/>
        <v>0</v>
      </c>
    </row>
    <row r="796" spans="1:79" ht="51" x14ac:dyDescent="0.25">
      <c r="A796" s="17"/>
      <c r="B796" s="2">
        <v>782</v>
      </c>
      <c r="C796" s="18">
        <v>620</v>
      </c>
      <c r="D796" s="18">
        <v>982</v>
      </c>
      <c r="E796" s="19">
        <v>0.62013888888888891</v>
      </c>
      <c r="F796" s="19">
        <v>0.66597222222222219</v>
      </c>
      <c r="G796" s="18" t="s">
        <v>1644</v>
      </c>
      <c r="H796" s="18" t="s">
        <v>422</v>
      </c>
      <c r="I796" s="20">
        <v>32.5</v>
      </c>
      <c r="J796" s="21" t="s">
        <v>104</v>
      </c>
      <c r="K796" s="22">
        <v>240</v>
      </c>
      <c r="L796" s="23">
        <f t="shared" si="182"/>
        <v>7800</v>
      </c>
      <c r="M796" s="24" t="s">
        <v>195</v>
      </c>
      <c r="N796" s="25" t="s">
        <v>219</v>
      </c>
      <c r="O796" s="25">
        <v>31</v>
      </c>
      <c r="P796" s="25" t="s">
        <v>220</v>
      </c>
      <c r="Q796" s="25">
        <v>54</v>
      </c>
      <c r="R796" s="17"/>
      <c r="S796" s="25"/>
      <c r="T796" s="26" t="s">
        <v>204</v>
      </c>
      <c r="U796" s="26" t="s">
        <v>205</v>
      </c>
      <c r="V796" s="26">
        <v>6220</v>
      </c>
      <c r="W796" s="26" t="s">
        <v>216</v>
      </c>
      <c r="X796" s="27">
        <v>44816</v>
      </c>
      <c r="Y796" s="27">
        <v>45100</v>
      </c>
      <c r="Z796" s="27"/>
      <c r="AA796" s="27"/>
      <c r="AB796" s="26" t="s">
        <v>423</v>
      </c>
      <c r="AC796" s="26"/>
      <c r="AD796" s="28" t="s">
        <v>90</v>
      </c>
      <c r="AE796" s="28"/>
      <c r="AF796" s="28" t="s">
        <v>90</v>
      </c>
      <c r="AG796" s="28"/>
      <c r="AH796" s="28" t="s">
        <v>90</v>
      </c>
      <c r="AI796" s="28" t="s">
        <v>90</v>
      </c>
      <c r="AJ796" s="28" t="s">
        <v>90</v>
      </c>
      <c r="AK796" s="28" t="s">
        <v>90</v>
      </c>
      <c r="AL796" s="28" t="s">
        <v>90</v>
      </c>
      <c r="AM796" s="28" t="s">
        <v>90</v>
      </c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9">
        <v>97.5</v>
      </c>
      <c r="AY796" s="29"/>
      <c r="AZ796" s="30"/>
      <c r="BA796" s="30"/>
      <c r="BB796" s="30"/>
      <c r="BC796" s="30"/>
      <c r="BD796" s="31">
        <f t="shared" si="181"/>
        <v>23400</v>
      </c>
      <c r="BE796" s="31"/>
      <c r="BF796" s="30"/>
      <c r="BG796" s="36">
        <v>1</v>
      </c>
      <c r="BH796" s="31">
        <f t="shared" si="178"/>
        <v>0</v>
      </c>
      <c r="BI796" s="31">
        <f t="shared" si="179"/>
        <v>0</v>
      </c>
      <c r="BJ796" s="33">
        <f t="shared" si="180"/>
        <v>0</v>
      </c>
      <c r="BK796" s="30"/>
      <c r="BL796" s="30"/>
      <c r="BM796" s="30"/>
      <c r="BN796" s="30"/>
      <c r="BO796" s="33">
        <f t="shared" si="171"/>
        <v>0</v>
      </c>
      <c r="BP796" s="30">
        <v>17</v>
      </c>
      <c r="BQ796" s="30">
        <v>26</v>
      </c>
      <c r="BR796" s="30"/>
      <c r="BS796" s="30"/>
      <c r="BT796" s="34">
        <f t="shared" si="172"/>
        <v>97.5</v>
      </c>
      <c r="BU796" s="34"/>
      <c r="BV796" s="34"/>
      <c r="BW796" s="34"/>
      <c r="BX796" s="34"/>
      <c r="BY796" s="30"/>
      <c r="BZ796" s="31">
        <f t="shared" si="173"/>
        <v>1657.5</v>
      </c>
      <c r="CA796" s="31">
        <f t="shared" si="174"/>
        <v>2535</v>
      </c>
    </row>
    <row r="797" spans="1:79" ht="51" x14ac:dyDescent="0.25">
      <c r="A797" s="17"/>
      <c r="B797" s="2">
        <v>783</v>
      </c>
      <c r="C797" s="18">
        <v>620</v>
      </c>
      <c r="D797" s="18">
        <v>984</v>
      </c>
      <c r="E797" s="19">
        <v>0.66180555555555554</v>
      </c>
      <c r="F797" s="19">
        <v>0.69513888888888886</v>
      </c>
      <c r="G797" s="18" t="s">
        <v>217</v>
      </c>
      <c r="H797" s="18" t="s">
        <v>92</v>
      </c>
      <c r="I797" s="20">
        <v>29</v>
      </c>
      <c r="J797" s="21" t="s">
        <v>93</v>
      </c>
      <c r="K797" s="22">
        <v>12</v>
      </c>
      <c r="L797" s="23">
        <f t="shared" si="182"/>
        <v>348</v>
      </c>
      <c r="M797" s="24" t="s">
        <v>212</v>
      </c>
      <c r="N797" s="25" t="s">
        <v>213</v>
      </c>
      <c r="O797" s="25">
        <v>23</v>
      </c>
      <c r="P797" s="25" t="s">
        <v>214</v>
      </c>
      <c r="Q797" s="25">
        <v>23</v>
      </c>
      <c r="R797" s="25" t="s">
        <v>215</v>
      </c>
      <c r="S797" s="35">
        <v>21</v>
      </c>
      <c r="T797" s="26" t="s">
        <v>204</v>
      </c>
      <c r="U797" s="26" t="s">
        <v>205</v>
      </c>
      <c r="V797" s="26">
        <v>6220</v>
      </c>
      <c r="W797" s="26" t="s">
        <v>216</v>
      </c>
      <c r="X797" s="27">
        <v>44562</v>
      </c>
      <c r="Y797" s="27">
        <v>44815</v>
      </c>
      <c r="Z797" s="27">
        <v>45101</v>
      </c>
      <c r="AA797" s="27">
        <v>45169</v>
      </c>
      <c r="AB797" s="26" t="s">
        <v>101</v>
      </c>
      <c r="AC797" s="26"/>
      <c r="AD797" s="28"/>
      <c r="AE797" s="28" t="s">
        <v>90</v>
      </c>
      <c r="AF797" s="28" t="s">
        <v>90</v>
      </c>
      <c r="AG797" s="28"/>
      <c r="AH797" s="28"/>
      <c r="AI797" s="28"/>
      <c r="AJ797" s="28"/>
      <c r="AK797" s="28"/>
      <c r="AL797" s="28"/>
      <c r="AM797" s="28" t="s">
        <v>90</v>
      </c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9">
        <v>87</v>
      </c>
      <c r="AY797" s="29"/>
      <c r="AZ797" s="30"/>
      <c r="BA797" s="30"/>
      <c r="BB797" s="30"/>
      <c r="BC797" s="30"/>
      <c r="BD797" s="31">
        <f t="shared" si="181"/>
        <v>1044</v>
      </c>
      <c r="BE797" s="31"/>
      <c r="BF797" s="30"/>
      <c r="BG797" s="36">
        <v>1</v>
      </c>
      <c r="BH797" s="31">
        <f t="shared" si="178"/>
        <v>0</v>
      </c>
      <c r="BI797" s="31">
        <f t="shared" si="179"/>
        <v>0</v>
      </c>
      <c r="BJ797" s="33">
        <f t="shared" si="180"/>
        <v>0</v>
      </c>
      <c r="BK797" s="30"/>
      <c r="BL797" s="30"/>
      <c r="BM797" s="30"/>
      <c r="BN797" s="30"/>
      <c r="BO797" s="33">
        <f t="shared" si="171"/>
        <v>0</v>
      </c>
      <c r="BP797" s="30">
        <v>2</v>
      </c>
      <c r="BQ797" s="30">
        <v>0</v>
      </c>
      <c r="BR797" s="30"/>
      <c r="BS797" s="30"/>
      <c r="BT797" s="34">
        <f t="shared" si="172"/>
        <v>87</v>
      </c>
      <c r="BU797" s="34"/>
      <c r="BV797" s="34"/>
      <c r="BW797" s="34"/>
      <c r="BX797" s="34"/>
      <c r="BY797" s="30"/>
      <c r="BZ797" s="31">
        <f t="shared" si="173"/>
        <v>174</v>
      </c>
      <c r="CA797" s="31">
        <f t="shared" si="174"/>
        <v>0</v>
      </c>
    </row>
    <row r="798" spans="1:79" ht="63.75" x14ac:dyDescent="0.25">
      <c r="A798" s="17"/>
      <c r="B798" s="2">
        <v>784</v>
      </c>
      <c r="C798" s="18">
        <v>620</v>
      </c>
      <c r="D798" s="18">
        <v>979</v>
      </c>
      <c r="E798" s="19">
        <v>0.66875000000000007</v>
      </c>
      <c r="F798" s="19">
        <v>0.71458333333333324</v>
      </c>
      <c r="G798" s="18" t="s">
        <v>211</v>
      </c>
      <c r="H798" s="18" t="s">
        <v>327</v>
      </c>
      <c r="I798" s="20">
        <v>32.5</v>
      </c>
      <c r="J798" s="21" t="s">
        <v>104</v>
      </c>
      <c r="K798" s="22">
        <v>67</v>
      </c>
      <c r="L798" s="23">
        <f t="shared" si="182"/>
        <v>2177.5</v>
      </c>
      <c r="M798" s="24" t="s">
        <v>195</v>
      </c>
      <c r="N798" s="25" t="s">
        <v>219</v>
      </c>
      <c r="O798" s="25">
        <v>31</v>
      </c>
      <c r="P798" s="25" t="s">
        <v>220</v>
      </c>
      <c r="Q798" s="25">
        <v>54</v>
      </c>
      <c r="R798" s="17"/>
      <c r="S798" s="25"/>
      <c r="T798" s="26">
        <v>6220</v>
      </c>
      <c r="U798" s="26" t="s">
        <v>216</v>
      </c>
      <c r="V798" s="26" t="s">
        <v>204</v>
      </c>
      <c r="W798" s="26" t="s">
        <v>205</v>
      </c>
      <c r="X798" s="27">
        <v>44562</v>
      </c>
      <c r="Y798" s="27">
        <v>44815</v>
      </c>
      <c r="Z798" s="27">
        <v>45101</v>
      </c>
      <c r="AA798" s="27">
        <v>45169</v>
      </c>
      <c r="AB798" s="28" t="s">
        <v>89</v>
      </c>
      <c r="AC798" s="28"/>
      <c r="AD798" s="28"/>
      <c r="AE798" s="28" t="s">
        <v>90</v>
      </c>
      <c r="AF798" s="28" t="s">
        <v>90</v>
      </c>
      <c r="AG798" s="28"/>
      <c r="AH798" s="28" t="s">
        <v>90</v>
      </c>
      <c r="AI798" s="28" t="s">
        <v>90</v>
      </c>
      <c r="AJ798" s="28" t="s">
        <v>90</v>
      </c>
      <c r="AK798" s="28" t="s">
        <v>90</v>
      </c>
      <c r="AL798" s="28" t="s">
        <v>90</v>
      </c>
      <c r="AM798" s="28" t="s">
        <v>90</v>
      </c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9">
        <v>97.5</v>
      </c>
      <c r="AY798" s="29"/>
      <c r="AZ798" s="30"/>
      <c r="BA798" s="30"/>
      <c r="BB798" s="30"/>
      <c r="BC798" s="30"/>
      <c r="BD798" s="31">
        <f t="shared" si="181"/>
        <v>6532.5</v>
      </c>
      <c r="BE798" s="31"/>
      <c r="BF798" s="30"/>
      <c r="BG798" s="36">
        <v>1</v>
      </c>
      <c r="BH798" s="31">
        <f t="shared" si="178"/>
        <v>0</v>
      </c>
      <c r="BI798" s="31">
        <f t="shared" si="179"/>
        <v>0</v>
      </c>
      <c r="BJ798" s="33">
        <f t="shared" si="180"/>
        <v>0</v>
      </c>
      <c r="BK798" s="30"/>
      <c r="BL798" s="30"/>
      <c r="BM798" s="30"/>
      <c r="BN798" s="30"/>
      <c r="BO798" s="33">
        <f t="shared" si="171"/>
        <v>0</v>
      </c>
      <c r="BP798" s="30">
        <v>9</v>
      </c>
      <c r="BQ798" s="30">
        <v>0</v>
      </c>
      <c r="BR798" s="30"/>
      <c r="BS798" s="30"/>
      <c r="BT798" s="34">
        <f t="shared" si="172"/>
        <v>97.5</v>
      </c>
      <c r="BU798" s="34"/>
      <c r="BV798" s="34"/>
      <c r="BW798" s="34"/>
      <c r="BX798" s="34"/>
      <c r="BY798" s="30"/>
      <c r="BZ798" s="31">
        <f t="shared" si="173"/>
        <v>877.5</v>
      </c>
      <c r="CA798" s="31">
        <f t="shared" si="174"/>
        <v>0</v>
      </c>
    </row>
    <row r="799" spans="1:79" ht="63.75" x14ac:dyDescent="0.25">
      <c r="A799" s="17"/>
      <c r="B799" s="2">
        <v>785</v>
      </c>
      <c r="C799" s="18">
        <v>620</v>
      </c>
      <c r="D799" s="18">
        <v>979</v>
      </c>
      <c r="E799" s="19">
        <v>0.66875000000000007</v>
      </c>
      <c r="F799" s="19">
        <v>0.71458333333333324</v>
      </c>
      <c r="G799" s="18" t="s">
        <v>211</v>
      </c>
      <c r="H799" s="18" t="s">
        <v>422</v>
      </c>
      <c r="I799" s="20">
        <v>32.5</v>
      </c>
      <c r="J799" s="21" t="s">
        <v>104</v>
      </c>
      <c r="K799" s="22">
        <v>240</v>
      </c>
      <c r="L799" s="23">
        <f t="shared" si="182"/>
        <v>7800</v>
      </c>
      <c r="M799" s="24" t="s">
        <v>195</v>
      </c>
      <c r="N799" s="25" t="s">
        <v>219</v>
      </c>
      <c r="O799" s="25">
        <v>31</v>
      </c>
      <c r="P799" s="25" t="s">
        <v>220</v>
      </c>
      <c r="Q799" s="25">
        <v>54</v>
      </c>
      <c r="R799" s="17"/>
      <c r="S799" s="25"/>
      <c r="T799" s="26">
        <v>6220</v>
      </c>
      <c r="U799" s="26" t="s">
        <v>216</v>
      </c>
      <c r="V799" s="26" t="s">
        <v>204</v>
      </c>
      <c r="W799" s="26" t="s">
        <v>205</v>
      </c>
      <c r="X799" s="27">
        <v>44816</v>
      </c>
      <c r="Y799" s="27">
        <v>45100</v>
      </c>
      <c r="Z799" s="27"/>
      <c r="AA799" s="27"/>
      <c r="AB799" s="26" t="s">
        <v>423</v>
      </c>
      <c r="AC799" s="26"/>
      <c r="AD799" s="28" t="s">
        <v>90</v>
      </c>
      <c r="AE799" s="28"/>
      <c r="AF799" s="28" t="s">
        <v>90</v>
      </c>
      <c r="AG799" s="28"/>
      <c r="AH799" s="28" t="s">
        <v>90</v>
      </c>
      <c r="AI799" s="28" t="s">
        <v>90</v>
      </c>
      <c r="AJ799" s="28" t="s">
        <v>90</v>
      </c>
      <c r="AK799" s="28" t="s">
        <v>90</v>
      </c>
      <c r="AL799" s="28" t="s">
        <v>90</v>
      </c>
      <c r="AM799" s="28" t="s">
        <v>90</v>
      </c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9">
        <v>97.5</v>
      </c>
      <c r="AY799" s="29"/>
      <c r="AZ799" s="30"/>
      <c r="BA799" s="30"/>
      <c r="BB799" s="30"/>
      <c r="BC799" s="30"/>
      <c r="BD799" s="31">
        <f t="shared" si="181"/>
        <v>23400</v>
      </c>
      <c r="BE799" s="31"/>
      <c r="BF799" s="30"/>
      <c r="BG799" s="36">
        <v>1</v>
      </c>
      <c r="BH799" s="31">
        <f t="shared" si="178"/>
        <v>0</v>
      </c>
      <c r="BI799" s="31">
        <f t="shared" si="179"/>
        <v>0</v>
      </c>
      <c r="BJ799" s="33">
        <f t="shared" si="180"/>
        <v>0</v>
      </c>
      <c r="BK799" s="30"/>
      <c r="BL799" s="30"/>
      <c r="BM799" s="30"/>
      <c r="BN799" s="30"/>
      <c r="BO799" s="33">
        <f t="shared" si="171"/>
        <v>0</v>
      </c>
      <c r="BP799" s="30">
        <v>17</v>
      </c>
      <c r="BQ799" s="30">
        <v>26</v>
      </c>
      <c r="BR799" s="30"/>
      <c r="BS799" s="30"/>
      <c r="BT799" s="34">
        <f t="shared" si="172"/>
        <v>97.5</v>
      </c>
      <c r="BU799" s="34"/>
      <c r="BV799" s="34"/>
      <c r="BW799" s="34"/>
      <c r="BX799" s="34"/>
      <c r="BY799" s="30"/>
      <c r="BZ799" s="31">
        <f t="shared" si="173"/>
        <v>1657.5</v>
      </c>
      <c r="CA799" s="31">
        <f t="shared" si="174"/>
        <v>2535</v>
      </c>
    </row>
    <row r="800" spans="1:79" ht="51" x14ac:dyDescent="0.25">
      <c r="A800" s="17"/>
      <c r="B800" s="2">
        <v>786</v>
      </c>
      <c r="C800" s="18">
        <v>620</v>
      </c>
      <c r="D800" s="18">
        <v>226</v>
      </c>
      <c r="E800" s="19">
        <v>0.70277777777777783</v>
      </c>
      <c r="F800" s="19">
        <v>0.71458333333333324</v>
      </c>
      <c r="G800" s="18" t="s">
        <v>1645</v>
      </c>
      <c r="H800" s="18" t="s">
        <v>273</v>
      </c>
      <c r="I800" s="20">
        <v>9.4</v>
      </c>
      <c r="J800" s="21" t="s">
        <v>93</v>
      </c>
      <c r="K800" s="22">
        <v>174</v>
      </c>
      <c r="L800" s="23">
        <f t="shared" si="182"/>
        <v>1635.6000000000001</v>
      </c>
      <c r="M800" s="24" t="s">
        <v>94</v>
      </c>
      <c r="N800" s="25" t="s">
        <v>97</v>
      </c>
      <c r="O800" s="25">
        <v>21</v>
      </c>
      <c r="P800" s="25" t="s">
        <v>440</v>
      </c>
      <c r="Q800" s="25">
        <v>24</v>
      </c>
      <c r="R800" s="17"/>
      <c r="S800" s="25"/>
      <c r="T800" s="26">
        <v>6140</v>
      </c>
      <c r="U800" s="26" t="s">
        <v>1608</v>
      </c>
      <c r="V800" s="26">
        <v>6143</v>
      </c>
      <c r="W800" s="26" t="s">
        <v>1637</v>
      </c>
      <c r="X800" s="66">
        <v>44816</v>
      </c>
      <c r="Y800" s="66">
        <v>45086</v>
      </c>
      <c r="Z800" s="66"/>
      <c r="AA800" s="66"/>
      <c r="AB800" s="26" t="s">
        <v>282</v>
      </c>
      <c r="AC800" s="26"/>
      <c r="AD800" s="28"/>
      <c r="AE800" s="28"/>
      <c r="AF800" s="28"/>
      <c r="AG800" s="28" t="s">
        <v>90</v>
      </c>
      <c r="AH800" s="28" t="s">
        <v>90</v>
      </c>
      <c r="AI800" s="28" t="s">
        <v>90</v>
      </c>
      <c r="AJ800" s="28" t="s">
        <v>90</v>
      </c>
      <c r="AK800" s="28" t="s">
        <v>90</v>
      </c>
      <c r="AL800" s="28" t="s">
        <v>90</v>
      </c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9">
        <v>34.200000000000003</v>
      </c>
      <c r="AY800" s="29"/>
      <c r="AZ800" s="30"/>
      <c r="BA800" s="30"/>
      <c r="BB800" s="30"/>
      <c r="BC800" s="30"/>
      <c r="BD800" s="31">
        <f t="shared" si="181"/>
        <v>5950.8</v>
      </c>
      <c r="BE800" s="31"/>
      <c r="BF800" s="30"/>
      <c r="BG800" s="36">
        <v>1</v>
      </c>
      <c r="BH800" s="31">
        <f t="shared" si="178"/>
        <v>0</v>
      </c>
      <c r="BI800" s="31">
        <f t="shared" si="179"/>
        <v>0</v>
      </c>
      <c r="BJ800" s="33">
        <f t="shared" si="180"/>
        <v>0</v>
      </c>
      <c r="BK800" s="30"/>
      <c r="BL800" s="30"/>
      <c r="BM800" s="30"/>
      <c r="BN800" s="30"/>
      <c r="BO800" s="33">
        <f t="shared" si="171"/>
        <v>0</v>
      </c>
      <c r="BP800" s="30">
        <v>15</v>
      </c>
      <c r="BQ800" s="30">
        <v>20</v>
      </c>
      <c r="BR800" s="30"/>
      <c r="BS800" s="30"/>
      <c r="BT800" s="34">
        <f t="shared" si="172"/>
        <v>34.200000000000003</v>
      </c>
      <c r="BU800" s="34"/>
      <c r="BV800" s="34"/>
      <c r="BW800" s="34"/>
      <c r="BX800" s="34"/>
      <c r="BY800" s="30"/>
      <c r="BZ800" s="31">
        <f t="shared" si="173"/>
        <v>513</v>
      </c>
      <c r="CA800" s="31">
        <f t="shared" si="174"/>
        <v>684</v>
      </c>
    </row>
    <row r="801" spans="1:79" ht="51" x14ac:dyDescent="0.25">
      <c r="A801" s="17"/>
      <c r="B801" s="2">
        <v>787</v>
      </c>
      <c r="C801" s="18">
        <v>620</v>
      </c>
      <c r="D801" s="18">
        <v>228</v>
      </c>
      <c r="E801" s="19">
        <v>0.74305555555555547</v>
      </c>
      <c r="F801" s="59">
        <v>0.77222222222222225</v>
      </c>
      <c r="G801" s="18" t="s">
        <v>1646</v>
      </c>
      <c r="H801" s="18" t="s">
        <v>1647</v>
      </c>
      <c r="I801" s="20">
        <v>26</v>
      </c>
      <c r="J801" s="21" t="s">
        <v>104</v>
      </c>
      <c r="K801" s="22">
        <v>38</v>
      </c>
      <c r="L801" s="23">
        <f t="shared" si="182"/>
        <v>988</v>
      </c>
      <c r="M801" s="24" t="s">
        <v>195</v>
      </c>
      <c r="N801" s="25" t="s">
        <v>219</v>
      </c>
      <c r="O801" s="25">
        <v>31</v>
      </c>
      <c r="P801" s="25" t="s">
        <v>220</v>
      </c>
      <c r="Q801" s="25">
        <v>54</v>
      </c>
      <c r="R801" s="17"/>
      <c r="S801" s="25"/>
      <c r="T801" s="26">
        <v>6120</v>
      </c>
      <c r="U801" s="26" t="s">
        <v>98</v>
      </c>
      <c r="V801" s="26">
        <v>6220</v>
      </c>
      <c r="W801" s="26" t="s">
        <v>216</v>
      </c>
      <c r="X801" s="27">
        <v>44816</v>
      </c>
      <c r="Y801" s="27">
        <v>45100</v>
      </c>
      <c r="Z801" s="27"/>
      <c r="AA801" s="27"/>
      <c r="AB801" s="28" t="s">
        <v>771</v>
      </c>
      <c r="AC801" s="28"/>
      <c r="AD801" s="28" t="s">
        <v>90</v>
      </c>
      <c r="AE801" s="28"/>
      <c r="AF801" s="28" t="s">
        <v>90</v>
      </c>
      <c r="AG801" s="28"/>
      <c r="AH801" s="28"/>
      <c r="AI801" s="28"/>
      <c r="AJ801" s="28"/>
      <c r="AK801" s="28"/>
      <c r="AL801" s="28"/>
      <c r="AM801" s="28" t="s">
        <v>90</v>
      </c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9">
        <v>78</v>
      </c>
      <c r="AY801" s="29"/>
      <c r="AZ801" s="30"/>
      <c r="BA801" s="30"/>
      <c r="BB801" s="30"/>
      <c r="BC801" s="30"/>
      <c r="BD801" s="31">
        <f t="shared" si="181"/>
        <v>2964</v>
      </c>
      <c r="BE801" s="31"/>
      <c r="BF801" s="30"/>
      <c r="BG801" s="36">
        <v>1</v>
      </c>
      <c r="BH801" s="31">
        <f t="shared" si="178"/>
        <v>0</v>
      </c>
      <c r="BI801" s="31">
        <f t="shared" si="179"/>
        <v>0</v>
      </c>
      <c r="BJ801" s="33">
        <f t="shared" si="180"/>
        <v>0</v>
      </c>
      <c r="BK801" s="30"/>
      <c r="BL801" s="30"/>
      <c r="BM801" s="30"/>
      <c r="BN801" s="30"/>
      <c r="BO801" s="33">
        <f t="shared" si="171"/>
        <v>0</v>
      </c>
      <c r="BP801" s="30">
        <v>2</v>
      </c>
      <c r="BQ801" s="30">
        <v>5</v>
      </c>
      <c r="BR801" s="30"/>
      <c r="BS801" s="30"/>
      <c r="BT801" s="34">
        <f t="shared" si="172"/>
        <v>78</v>
      </c>
      <c r="BU801" s="34"/>
      <c r="BV801" s="34"/>
      <c r="BW801" s="34"/>
      <c r="BX801" s="34"/>
      <c r="BY801" s="30"/>
      <c r="BZ801" s="31">
        <f t="shared" si="173"/>
        <v>156</v>
      </c>
      <c r="CA801" s="31">
        <f t="shared" si="174"/>
        <v>390</v>
      </c>
    </row>
    <row r="802" spans="1:79" ht="51" x14ac:dyDescent="0.25">
      <c r="A802" s="17"/>
      <c r="B802" s="2">
        <v>788</v>
      </c>
      <c r="C802" s="18">
        <v>620</v>
      </c>
      <c r="D802" s="18">
        <v>228</v>
      </c>
      <c r="E802" s="19">
        <v>0.74305555555555547</v>
      </c>
      <c r="F802" s="19">
        <v>0.77013888888888893</v>
      </c>
      <c r="G802" s="18" t="s">
        <v>218</v>
      </c>
      <c r="H802" s="18" t="s">
        <v>92</v>
      </c>
      <c r="I802" s="20">
        <v>26</v>
      </c>
      <c r="J802" s="21" t="s">
        <v>104</v>
      </c>
      <c r="K802" s="22">
        <v>12</v>
      </c>
      <c r="L802" s="23">
        <f t="shared" si="182"/>
        <v>312</v>
      </c>
      <c r="M802" s="24" t="s">
        <v>195</v>
      </c>
      <c r="N802" s="25" t="s">
        <v>219</v>
      </c>
      <c r="O802" s="25">
        <v>31</v>
      </c>
      <c r="P802" s="25" t="s">
        <v>220</v>
      </c>
      <c r="Q802" s="25">
        <v>54</v>
      </c>
      <c r="R802" s="17"/>
      <c r="S802" s="25"/>
      <c r="T802" s="26">
        <v>6120</v>
      </c>
      <c r="U802" s="26" t="s">
        <v>98</v>
      </c>
      <c r="V802" s="26">
        <v>6220</v>
      </c>
      <c r="W802" s="26" t="s">
        <v>216</v>
      </c>
      <c r="X802" s="27">
        <v>44562</v>
      </c>
      <c r="Y802" s="27">
        <v>44815</v>
      </c>
      <c r="Z802" s="27">
        <v>45101</v>
      </c>
      <c r="AA802" s="27">
        <v>45169</v>
      </c>
      <c r="AB802" s="26" t="s">
        <v>101</v>
      </c>
      <c r="AC802" s="26"/>
      <c r="AD802" s="28"/>
      <c r="AE802" s="28" t="s">
        <v>90</v>
      </c>
      <c r="AF802" s="28" t="s">
        <v>90</v>
      </c>
      <c r="AG802" s="28"/>
      <c r="AH802" s="28"/>
      <c r="AI802" s="28"/>
      <c r="AJ802" s="28"/>
      <c r="AK802" s="28"/>
      <c r="AL802" s="28"/>
      <c r="AM802" s="28" t="s">
        <v>90</v>
      </c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9">
        <v>78</v>
      </c>
      <c r="AY802" s="29"/>
      <c r="AZ802" s="30"/>
      <c r="BA802" s="30"/>
      <c r="BB802" s="30"/>
      <c r="BC802" s="30"/>
      <c r="BD802" s="31">
        <f t="shared" si="181"/>
        <v>936</v>
      </c>
      <c r="BE802" s="31"/>
      <c r="BF802" s="30"/>
      <c r="BG802" s="36">
        <v>1</v>
      </c>
      <c r="BH802" s="31">
        <f t="shared" si="178"/>
        <v>0</v>
      </c>
      <c r="BI802" s="31">
        <f t="shared" si="179"/>
        <v>0</v>
      </c>
      <c r="BJ802" s="33">
        <f t="shared" si="180"/>
        <v>0</v>
      </c>
      <c r="BK802" s="30"/>
      <c r="BL802" s="30"/>
      <c r="BM802" s="30"/>
      <c r="BN802" s="30"/>
      <c r="BO802" s="33">
        <f t="shared" si="171"/>
        <v>0</v>
      </c>
      <c r="BP802" s="30">
        <v>2</v>
      </c>
      <c r="BQ802" s="30">
        <v>0</v>
      </c>
      <c r="BR802" s="30"/>
      <c r="BS802" s="30"/>
      <c r="BT802" s="34">
        <f t="shared" si="172"/>
        <v>78</v>
      </c>
      <c r="BU802" s="34"/>
      <c r="BV802" s="34"/>
      <c r="BW802" s="34"/>
      <c r="BX802" s="34"/>
      <c r="BY802" s="30"/>
      <c r="BZ802" s="31">
        <f t="shared" si="173"/>
        <v>156</v>
      </c>
      <c r="CA802" s="31">
        <f t="shared" si="174"/>
        <v>0</v>
      </c>
    </row>
    <row r="803" spans="1:79" ht="38.25" x14ac:dyDescent="0.25">
      <c r="A803" s="17"/>
      <c r="B803" s="2">
        <v>789</v>
      </c>
      <c r="C803" s="18">
        <v>620</v>
      </c>
      <c r="D803" s="18">
        <v>988</v>
      </c>
      <c r="E803" s="19">
        <v>0.77222222222222225</v>
      </c>
      <c r="F803" s="19">
        <v>0.79652777777777783</v>
      </c>
      <c r="G803" s="18" t="s">
        <v>1648</v>
      </c>
      <c r="H803" s="18" t="s">
        <v>422</v>
      </c>
      <c r="I803" s="20">
        <v>16</v>
      </c>
      <c r="J803" s="21" t="s">
        <v>93</v>
      </c>
      <c r="K803" s="22">
        <v>240</v>
      </c>
      <c r="L803" s="23">
        <f t="shared" si="182"/>
        <v>3840</v>
      </c>
      <c r="M803" s="24" t="s">
        <v>195</v>
      </c>
      <c r="N803" s="25" t="s">
        <v>197</v>
      </c>
      <c r="O803" s="25">
        <v>21</v>
      </c>
      <c r="P803" s="25" t="s">
        <v>219</v>
      </c>
      <c r="Q803" s="25">
        <v>31</v>
      </c>
      <c r="R803" s="25" t="s">
        <v>220</v>
      </c>
      <c r="S803" s="25">
        <v>54</v>
      </c>
      <c r="T803" s="26">
        <v>6120</v>
      </c>
      <c r="U803" s="26" t="s">
        <v>98</v>
      </c>
      <c r="V803" s="26">
        <v>6147</v>
      </c>
      <c r="W803" s="26" t="s">
        <v>1649</v>
      </c>
      <c r="X803" s="27">
        <v>44816</v>
      </c>
      <c r="Y803" s="27">
        <v>45100</v>
      </c>
      <c r="Z803" s="27"/>
      <c r="AA803" s="27"/>
      <c r="AB803" s="26" t="s">
        <v>423</v>
      </c>
      <c r="AC803" s="26"/>
      <c r="AD803" s="28" t="s">
        <v>90</v>
      </c>
      <c r="AE803" s="28"/>
      <c r="AF803" s="28" t="s">
        <v>90</v>
      </c>
      <c r="AG803" s="28"/>
      <c r="AH803" s="28" t="s">
        <v>90</v>
      </c>
      <c r="AI803" s="28" t="s">
        <v>90</v>
      </c>
      <c r="AJ803" s="28" t="s">
        <v>90</v>
      </c>
      <c r="AK803" s="28" t="s">
        <v>90</v>
      </c>
      <c r="AL803" s="28" t="s">
        <v>90</v>
      </c>
      <c r="AM803" s="28" t="s">
        <v>90</v>
      </c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9">
        <v>48</v>
      </c>
      <c r="AY803" s="29"/>
      <c r="AZ803" s="30"/>
      <c r="BA803" s="30"/>
      <c r="BB803" s="30"/>
      <c r="BC803" s="30"/>
      <c r="BD803" s="31">
        <f t="shared" si="181"/>
        <v>11520</v>
      </c>
      <c r="BE803" s="31"/>
      <c r="BF803" s="30"/>
      <c r="BG803" s="36">
        <v>1</v>
      </c>
      <c r="BH803" s="31">
        <f t="shared" si="178"/>
        <v>0</v>
      </c>
      <c r="BI803" s="31">
        <f t="shared" si="179"/>
        <v>0</v>
      </c>
      <c r="BJ803" s="33">
        <f t="shared" si="180"/>
        <v>0</v>
      </c>
      <c r="BK803" s="30"/>
      <c r="BL803" s="30"/>
      <c r="BM803" s="30"/>
      <c r="BN803" s="30"/>
      <c r="BO803" s="33">
        <f t="shared" si="171"/>
        <v>0</v>
      </c>
      <c r="BP803" s="30">
        <v>17</v>
      </c>
      <c r="BQ803" s="30">
        <v>26</v>
      </c>
      <c r="BR803" s="30"/>
      <c r="BS803" s="30"/>
      <c r="BT803" s="34">
        <f t="shared" si="172"/>
        <v>48</v>
      </c>
      <c r="BU803" s="34"/>
      <c r="BV803" s="34"/>
      <c r="BW803" s="34"/>
      <c r="BX803" s="34"/>
      <c r="BY803" s="30"/>
      <c r="BZ803" s="31">
        <f t="shared" si="173"/>
        <v>816</v>
      </c>
      <c r="CA803" s="31">
        <f t="shared" si="174"/>
        <v>1248</v>
      </c>
    </row>
    <row r="804" spans="1:79" ht="38.25" x14ac:dyDescent="0.25">
      <c r="A804" s="17"/>
      <c r="B804" s="2">
        <v>790</v>
      </c>
      <c r="C804" s="18">
        <v>620</v>
      </c>
      <c r="D804" s="18">
        <v>988</v>
      </c>
      <c r="E804" s="19">
        <v>0.77430555555555547</v>
      </c>
      <c r="F804" s="19">
        <v>0.79861111111111116</v>
      </c>
      <c r="G804" s="18" t="s">
        <v>1650</v>
      </c>
      <c r="H804" s="18" t="s">
        <v>327</v>
      </c>
      <c r="I804" s="20">
        <v>16</v>
      </c>
      <c r="J804" s="21" t="s">
        <v>93</v>
      </c>
      <c r="K804" s="22">
        <v>67</v>
      </c>
      <c r="L804" s="23">
        <f t="shared" si="182"/>
        <v>1072</v>
      </c>
      <c r="M804" s="24" t="s">
        <v>195</v>
      </c>
      <c r="N804" s="25" t="s">
        <v>198</v>
      </c>
      <c r="O804" s="25">
        <v>21</v>
      </c>
      <c r="P804" s="25" t="s">
        <v>197</v>
      </c>
      <c r="Q804" s="25">
        <v>21</v>
      </c>
      <c r="R804" s="17"/>
      <c r="S804" s="25"/>
      <c r="T804" s="26">
        <v>6120</v>
      </c>
      <c r="U804" s="26" t="s">
        <v>98</v>
      </c>
      <c r="V804" s="26">
        <v>6147</v>
      </c>
      <c r="W804" s="26" t="s">
        <v>1649</v>
      </c>
      <c r="X804" s="27">
        <v>44562</v>
      </c>
      <c r="Y804" s="27">
        <v>44815</v>
      </c>
      <c r="Z804" s="27">
        <v>45101</v>
      </c>
      <c r="AA804" s="27">
        <v>45169</v>
      </c>
      <c r="AB804" s="28" t="s">
        <v>89</v>
      </c>
      <c r="AC804" s="28"/>
      <c r="AD804" s="28"/>
      <c r="AE804" s="28" t="s">
        <v>90</v>
      </c>
      <c r="AF804" s="28" t="s">
        <v>90</v>
      </c>
      <c r="AG804" s="28"/>
      <c r="AH804" s="28" t="s">
        <v>90</v>
      </c>
      <c r="AI804" s="28" t="s">
        <v>90</v>
      </c>
      <c r="AJ804" s="28" t="s">
        <v>90</v>
      </c>
      <c r="AK804" s="28" t="s">
        <v>90</v>
      </c>
      <c r="AL804" s="28" t="s">
        <v>90</v>
      </c>
      <c r="AM804" s="28" t="s">
        <v>90</v>
      </c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9">
        <v>48</v>
      </c>
      <c r="AY804" s="29"/>
      <c r="AZ804" s="30"/>
      <c r="BA804" s="30"/>
      <c r="BB804" s="30"/>
      <c r="BC804" s="30"/>
      <c r="BD804" s="31">
        <f t="shared" si="181"/>
        <v>3216</v>
      </c>
      <c r="BE804" s="31"/>
      <c r="BF804" s="30"/>
      <c r="BG804" s="36">
        <v>1</v>
      </c>
      <c r="BH804" s="31">
        <f t="shared" si="178"/>
        <v>0</v>
      </c>
      <c r="BI804" s="31">
        <f t="shared" si="179"/>
        <v>0</v>
      </c>
      <c r="BJ804" s="33">
        <f t="shared" si="180"/>
        <v>0</v>
      </c>
      <c r="BK804" s="30"/>
      <c r="BL804" s="30"/>
      <c r="BM804" s="30"/>
      <c r="BN804" s="30"/>
      <c r="BO804" s="33">
        <f t="shared" si="171"/>
        <v>0</v>
      </c>
      <c r="BP804" s="30">
        <v>9</v>
      </c>
      <c r="BQ804" s="30">
        <v>0</v>
      </c>
      <c r="BR804" s="30"/>
      <c r="BS804" s="30"/>
      <c r="BT804" s="34">
        <f t="shared" si="172"/>
        <v>48</v>
      </c>
      <c r="BU804" s="34"/>
      <c r="BV804" s="34"/>
      <c r="BW804" s="34"/>
      <c r="BX804" s="34"/>
      <c r="BY804" s="30"/>
      <c r="BZ804" s="31">
        <f t="shared" si="173"/>
        <v>432</v>
      </c>
      <c r="CA804" s="31">
        <f t="shared" si="174"/>
        <v>0</v>
      </c>
    </row>
    <row r="805" spans="1:79" ht="63.75" x14ac:dyDescent="0.25">
      <c r="A805" s="17"/>
      <c r="B805" s="2">
        <v>791</v>
      </c>
      <c r="C805" s="18">
        <v>620</v>
      </c>
      <c r="D805" s="18">
        <v>983</v>
      </c>
      <c r="E805" s="19">
        <v>0.79513888888888884</v>
      </c>
      <c r="F805" s="19">
        <v>0.84027777777777779</v>
      </c>
      <c r="G805" s="18" t="s">
        <v>211</v>
      </c>
      <c r="H805" s="18" t="s">
        <v>92</v>
      </c>
      <c r="I805" s="20">
        <v>32.5</v>
      </c>
      <c r="J805" s="21" t="s">
        <v>104</v>
      </c>
      <c r="K805" s="22">
        <v>12</v>
      </c>
      <c r="L805" s="23">
        <f t="shared" si="182"/>
        <v>390</v>
      </c>
      <c r="M805" s="24" t="s">
        <v>195</v>
      </c>
      <c r="N805" s="25" t="s">
        <v>219</v>
      </c>
      <c r="O805" s="25">
        <v>31</v>
      </c>
      <c r="P805" s="25" t="s">
        <v>220</v>
      </c>
      <c r="Q805" s="25">
        <v>54</v>
      </c>
      <c r="R805" s="17"/>
      <c r="S805" s="25"/>
      <c r="T805" s="26">
        <v>6220</v>
      </c>
      <c r="U805" s="26" t="s">
        <v>216</v>
      </c>
      <c r="V805" s="26" t="s">
        <v>204</v>
      </c>
      <c r="W805" s="26" t="s">
        <v>205</v>
      </c>
      <c r="X805" s="27">
        <v>44562</v>
      </c>
      <c r="Y805" s="27">
        <v>44815</v>
      </c>
      <c r="Z805" s="27">
        <v>45101</v>
      </c>
      <c r="AA805" s="27">
        <v>45169</v>
      </c>
      <c r="AB805" s="26" t="s">
        <v>101</v>
      </c>
      <c r="AC805" s="26"/>
      <c r="AD805" s="28"/>
      <c r="AE805" s="28" t="s">
        <v>90</v>
      </c>
      <c r="AF805" s="28" t="s">
        <v>90</v>
      </c>
      <c r="AG805" s="28"/>
      <c r="AH805" s="28"/>
      <c r="AI805" s="28"/>
      <c r="AJ805" s="28"/>
      <c r="AK805" s="28"/>
      <c r="AL805" s="28"/>
      <c r="AM805" s="28" t="s">
        <v>90</v>
      </c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9">
        <v>97.5</v>
      </c>
      <c r="AY805" s="29"/>
      <c r="AZ805" s="30"/>
      <c r="BA805" s="30"/>
      <c r="BB805" s="30"/>
      <c r="BC805" s="30"/>
      <c r="BD805" s="31">
        <f t="shared" si="181"/>
        <v>1170</v>
      </c>
      <c r="BE805" s="31"/>
      <c r="BF805" s="30"/>
      <c r="BG805" s="36">
        <v>1</v>
      </c>
      <c r="BH805" s="31">
        <f t="shared" si="178"/>
        <v>0</v>
      </c>
      <c r="BI805" s="31">
        <f t="shared" si="179"/>
        <v>0</v>
      </c>
      <c r="BJ805" s="33">
        <f t="shared" si="180"/>
        <v>0</v>
      </c>
      <c r="BK805" s="30"/>
      <c r="BL805" s="30"/>
      <c r="BM805" s="30"/>
      <c r="BN805" s="30"/>
      <c r="BO805" s="33">
        <f t="shared" si="171"/>
        <v>0</v>
      </c>
      <c r="BP805" s="30">
        <v>2</v>
      </c>
      <c r="BQ805" s="30">
        <v>0</v>
      </c>
      <c r="BR805" s="30"/>
      <c r="BS805" s="30"/>
      <c r="BT805" s="34">
        <f t="shared" si="172"/>
        <v>97.5</v>
      </c>
      <c r="BU805" s="34"/>
      <c r="BV805" s="34"/>
      <c r="BW805" s="34"/>
      <c r="BX805" s="34"/>
      <c r="BY805" s="30"/>
      <c r="BZ805" s="31">
        <f t="shared" si="173"/>
        <v>195</v>
      </c>
      <c r="CA805" s="31">
        <f t="shared" si="174"/>
        <v>0</v>
      </c>
    </row>
    <row r="806" spans="1:79" ht="63.75" x14ac:dyDescent="0.25">
      <c r="A806" s="17"/>
      <c r="B806" s="2">
        <v>792</v>
      </c>
      <c r="C806" s="18">
        <v>620</v>
      </c>
      <c r="D806" s="18">
        <v>983</v>
      </c>
      <c r="E806" s="19">
        <v>0.79513888888888884</v>
      </c>
      <c r="F806" s="19">
        <v>0.84097222222222223</v>
      </c>
      <c r="G806" s="18" t="s">
        <v>211</v>
      </c>
      <c r="H806" s="18" t="s">
        <v>306</v>
      </c>
      <c r="I806" s="20">
        <v>32.5</v>
      </c>
      <c r="J806" s="21" t="s">
        <v>104</v>
      </c>
      <c r="K806" s="22">
        <v>208</v>
      </c>
      <c r="L806" s="23">
        <f t="shared" si="182"/>
        <v>6760</v>
      </c>
      <c r="M806" s="24" t="s">
        <v>195</v>
      </c>
      <c r="N806" s="25" t="s">
        <v>197</v>
      </c>
      <c r="O806" s="25">
        <v>21</v>
      </c>
      <c r="P806" s="25" t="s">
        <v>219</v>
      </c>
      <c r="Q806" s="25">
        <v>31</v>
      </c>
      <c r="R806" s="25" t="s">
        <v>198</v>
      </c>
      <c r="S806" s="25">
        <v>21</v>
      </c>
      <c r="T806" s="26">
        <v>6220</v>
      </c>
      <c r="U806" s="26" t="s">
        <v>216</v>
      </c>
      <c r="V806" s="26" t="s">
        <v>204</v>
      </c>
      <c r="W806" s="26" t="s">
        <v>205</v>
      </c>
      <c r="X806" s="66">
        <v>44816</v>
      </c>
      <c r="Y806" s="66">
        <v>45086</v>
      </c>
      <c r="Z806" s="66"/>
      <c r="AA806" s="66"/>
      <c r="AB806" s="26" t="s">
        <v>309</v>
      </c>
      <c r="AC806" s="26"/>
      <c r="AD806" s="28"/>
      <c r="AE806" s="28"/>
      <c r="AF806" s="28"/>
      <c r="AG806" s="28" t="s">
        <v>90</v>
      </c>
      <c r="AH806" s="28" t="s">
        <v>90</v>
      </c>
      <c r="AI806" s="28" t="s">
        <v>90</v>
      </c>
      <c r="AJ806" s="28" t="s">
        <v>90</v>
      </c>
      <c r="AK806" s="28" t="s">
        <v>90</v>
      </c>
      <c r="AL806" s="28" t="s">
        <v>90</v>
      </c>
      <c r="AM806" s="28" t="s">
        <v>90</v>
      </c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9">
        <v>97.5</v>
      </c>
      <c r="AY806" s="29"/>
      <c r="AZ806" s="30"/>
      <c r="BA806" s="30"/>
      <c r="BB806" s="30"/>
      <c r="BC806" s="30"/>
      <c r="BD806" s="31">
        <f t="shared" si="181"/>
        <v>20280</v>
      </c>
      <c r="BE806" s="31"/>
      <c r="BF806" s="30"/>
      <c r="BG806" s="36">
        <v>1</v>
      </c>
      <c r="BH806" s="31">
        <f t="shared" si="178"/>
        <v>0</v>
      </c>
      <c r="BI806" s="31">
        <f t="shared" si="179"/>
        <v>0</v>
      </c>
      <c r="BJ806" s="33">
        <f t="shared" si="180"/>
        <v>0</v>
      </c>
      <c r="BK806" s="30"/>
      <c r="BL806" s="30"/>
      <c r="BM806" s="30"/>
      <c r="BN806" s="30"/>
      <c r="BO806" s="33">
        <f t="shared" si="171"/>
        <v>0</v>
      </c>
      <c r="BP806" s="30">
        <v>17</v>
      </c>
      <c r="BQ806" s="30">
        <v>25</v>
      </c>
      <c r="BR806" s="30"/>
      <c r="BS806" s="30"/>
      <c r="BT806" s="34">
        <f t="shared" si="172"/>
        <v>97.5</v>
      </c>
      <c r="BU806" s="34"/>
      <c r="BV806" s="34"/>
      <c r="BW806" s="34"/>
      <c r="BX806" s="34"/>
      <c r="BY806" s="30"/>
      <c r="BZ806" s="31">
        <f t="shared" si="173"/>
        <v>1657.5</v>
      </c>
      <c r="CA806" s="31">
        <f t="shared" si="174"/>
        <v>2437.5</v>
      </c>
    </row>
    <row r="807" spans="1:79" ht="51" x14ac:dyDescent="0.25">
      <c r="A807" s="17"/>
      <c r="B807" s="2">
        <v>793</v>
      </c>
      <c r="C807" s="18">
        <v>620</v>
      </c>
      <c r="D807" s="18">
        <v>214</v>
      </c>
      <c r="E807" s="19">
        <v>0.87013888888888891</v>
      </c>
      <c r="F807" s="19">
        <v>0.90347222222222223</v>
      </c>
      <c r="G807" s="18" t="s">
        <v>217</v>
      </c>
      <c r="H807" s="18" t="s">
        <v>273</v>
      </c>
      <c r="I807" s="20">
        <v>29</v>
      </c>
      <c r="J807" s="21" t="s">
        <v>571</v>
      </c>
      <c r="K807" s="22">
        <v>174</v>
      </c>
      <c r="L807" s="23">
        <f t="shared" si="182"/>
        <v>5046</v>
      </c>
      <c r="M807" s="24" t="s">
        <v>195</v>
      </c>
      <c r="N807" s="25" t="s">
        <v>197</v>
      </c>
      <c r="O807" s="25">
        <v>21</v>
      </c>
      <c r="P807" s="25" t="s">
        <v>219</v>
      </c>
      <c r="Q807" s="25">
        <v>31</v>
      </c>
      <c r="R807" s="25" t="s">
        <v>198</v>
      </c>
      <c r="S807" s="25">
        <v>21</v>
      </c>
      <c r="T807" s="26" t="s">
        <v>204</v>
      </c>
      <c r="U807" s="26" t="s">
        <v>205</v>
      </c>
      <c r="V807" s="26">
        <v>6220</v>
      </c>
      <c r="W807" s="26" t="s">
        <v>216</v>
      </c>
      <c r="X807" s="66">
        <v>44816</v>
      </c>
      <c r="Y807" s="66">
        <v>45086</v>
      </c>
      <c r="Z807" s="66"/>
      <c r="AA807" s="66"/>
      <c r="AB807" s="26" t="s">
        <v>282</v>
      </c>
      <c r="AC807" s="26"/>
      <c r="AD807" s="28"/>
      <c r="AE807" s="28"/>
      <c r="AF807" s="28"/>
      <c r="AG807" s="28" t="s">
        <v>90</v>
      </c>
      <c r="AH807" s="28" t="s">
        <v>90</v>
      </c>
      <c r="AI807" s="28" t="s">
        <v>90</v>
      </c>
      <c r="AJ807" s="28" t="s">
        <v>90</v>
      </c>
      <c r="AK807" s="28" t="s">
        <v>90</v>
      </c>
      <c r="AL807" s="28" t="s">
        <v>90</v>
      </c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9">
        <v>87</v>
      </c>
      <c r="AY807" s="29"/>
      <c r="AZ807" s="30"/>
      <c r="BA807" s="30"/>
      <c r="BB807" s="30"/>
      <c r="BC807" s="30"/>
      <c r="BD807" s="31">
        <f t="shared" si="181"/>
        <v>15138</v>
      </c>
      <c r="BE807" s="31"/>
      <c r="BF807" s="30"/>
      <c r="BG807" s="36">
        <v>1</v>
      </c>
      <c r="BH807" s="31">
        <f t="shared" si="178"/>
        <v>0</v>
      </c>
      <c r="BI807" s="31">
        <f t="shared" si="179"/>
        <v>0</v>
      </c>
      <c r="BJ807" s="33">
        <f t="shared" si="180"/>
        <v>0</v>
      </c>
      <c r="BK807" s="30"/>
      <c r="BL807" s="30"/>
      <c r="BM807" s="30"/>
      <c r="BN807" s="30"/>
      <c r="BO807" s="33">
        <f t="shared" si="171"/>
        <v>0</v>
      </c>
      <c r="BP807" s="30">
        <v>15</v>
      </c>
      <c r="BQ807" s="30">
        <v>20</v>
      </c>
      <c r="BR807" s="30"/>
      <c r="BS807" s="30"/>
      <c r="BT807" s="34">
        <f t="shared" si="172"/>
        <v>87</v>
      </c>
      <c r="BU807" s="34"/>
      <c r="BV807" s="34"/>
      <c r="BW807" s="34"/>
      <c r="BX807" s="34"/>
      <c r="BY807" s="30"/>
      <c r="BZ807" s="31">
        <f t="shared" si="173"/>
        <v>1305</v>
      </c>
      <c r="CA807" s="31">
        <f t="shared" si="174"/>
        <v>1740</v>
      </c>
    </row>
    <row r="808" spans="1:79" ht="76.5" x14ac:dyDescent="0.25">
      <c r="A808" s="17"/>
      <c r="B808" s="2">
        <v>794</v>
      </c>
      <c r="C808" s="18">
        <v>621</v>
      </c>
      <c r="D808" s="58" t="s">
        <v>1651</v>
      </c>
      <c r="E808" s="19">
        <v>0.29930555555555555</v>
      </c>
      <c r="F808" s="19">
        <v>0.32083333333333336</v>
      </c>
      <c r="G808" s="51" t="s">
        <v>1652</v>
      </c>
      <c r="H808" s="18" t="s">
        <v>273</v>
      </c>
      <c r="I808" s="20">
        <v>15</v>
      </c>
      <c r="J808" s="21" t="s">
        <v>1653</v>
      </c>
      <c r="K808" s="22">
        <v>174</v>
      </c>
      <c r="L808" s="23">
        <f t="shared" si="182"/>
        <v>2610</v>
      </c>
      <c r="M808" s="24" t="s">
        <v>222</v>
      </c>
      <c r="N808" s="25" t="s">
        <v>1587</v>
      </c>
      <c r="O808" s="25">
        <v>57</v>
      </c>
      <c r="P808" s="125" t="s">
        <v>1654</v>
      </c>
      <c r="Q808" s="125" t="s">
        <v>1655</v>
      </c>
      <c r="R808" s="25" t="s">
        <v>224</v>
      </c>
      <c r="S808" s="25">
        <v>31</v>
      </c>
      <c r="T808" s="26">
        <v>6120</v>
      </c>
      <c r="U808" s="26" t="s">
        <v>98</v>
      </c>
      <c r="V808" s="26" t="s">
        <v>1656</v>
      </c>
      <c r="W808" s="26" t="s">
        <v>1657</v>
      </c>
      <c r="X808" s="66">
        <v>44816</v>
      </c>
      <c r="Y808" s="66">
        <v>45086</v>
      </c>
      <c r="Z808" s="66"/>
      <c r="AA808" s="66"/>
      <c r="AB808" s="26" t="s">
        <v>282</v>
      </c>
      <c r="AC808" s="26"/>
      <c r="AD808" s="28"/>
      <c r="AE808" s="28"/>
      <c r="AF808" s="28"/>
      <c r="AG808" s="28" t="s">
        <v>90</v>
      </c>
      <c r="AH808" s="28" t="s">
        <v>90</v>
      </c>
      <c r="AI808" s="28" t="s">
        <v>90</v>
      </c>
      <c r="AJ808" s="28" t="s">
        <v>90</v>
      </c>
      <c r="AK808" s="28" t="s">
        <v>90</v>
      </c>
      <c r="AL808" s="28" t="s">
        <v>90</v>
      </c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9">
        <v>218.07</v>
      </c>
      <c r="AY808" s="29"/>
      <c r="AZ808" s="30"/>
      <c r="BA808" s="42"/>
      <c r="BB808" s="42"/>
      <c r="BC808" s="30"/>
      <c r="BD808" s="31">
        <f t="shared" si="181"/>
        <v>37944.18</v>
      </c>
      <c r="BE808" s="31"/>
      <c r="BF808" s="30"/>
      <c r="BG808" s="32">
        <v>2</v>
      </c>
      <c r="BH808" s="31">
        <f t="shared" si="178"/>
        <v>0</v>
      </c>
      <c r="BI808" s="31">
        <f t="shared" si="179"/>
        <v>0</v>
      </c>
      <c r="BJ808" s="33">
        <f t="shared" si="180"/>
        <v>0</v>
      </c>
      <c r="BK808" s="30"/>
      <c r="BL808" s="30"/>
      <c r="BM808" s="30"/>
      <c r="BN808" s="30"/>
      <c r="BO808" s="33">
        <f t="shared" si="171"/>
        <v>0</v>
      </c>
      <c r="BP808" s="30">
        <v>15</v>
      </c>
      <c r="BQ808" s="30">
        <v>20</v>
      </c>
      <c r="BR808" s="30"/>
      <c r="BS808" s="30"/>
      <c r="BT808" s="34">
        <f t="shared" si="172"/>
        <v>218.07</v>
      </c>
      <c r="BU808" s="34"/>
      <c r="BV808" s="34"/>
      <c r="BW808" s="34"/>
      <c r="BX808" s="34"/>
      <c r="BY808" s="30"/>
      <c r="BZ808" s="31">
        <f t="shared" si="173"/>
        <v>3271.0499999999997</v>
      </c>
      <c r="CA808" s="31">
        <f t="shared" si="174"/>
        <v>4361.3999999999996</v>
      </c>
    </row>
    <row r="809" spans="1:79" ht="76.5" x14ac:dyDescent="0.25">
      <c r="A809" s="17"/>
      <c r="B809" s="2">
        <v>795</v>
      </c>
      <c r="C809" s="18">
        <v>621</v>
      </c>
      <c r="D809" s="18">
        <v>968</v>
      </c>
      <c r="E809" s="19">
        <v>0.41319444444444442</v>
      </c>
      <c r="F809" s="19">
        <v>0.42986111111111108</v>
      </c>
      <c r="G809" s="18" t="s">
        <v>432</v>
      </c>
      <c r="H809" s="18" t="s">
        <v>422</v>
      </c>
      <c r="I809" s="20">
        <v>13.2</v>
      </c>
      <c r="J809" s="21" t="s">
        <v>93</v>
      </c>
      <c r="K809" s="22">
        <v>240</v>
      </c>
      <c r="L809" s="23">
        <f t="shared" si="182"/>
        <v>3168</v>
      </c>
      <c r="M809" s="24" t="s">
        <v>94</v>
      </c>
      <c r="N809" s="25" t="s">
        <v>97</v>
      </c>
      <c r="O809" s="25">
        <v>21</v>
      </c>
      <c r="P809" s="25" t="s">
        <v>96</v>
      </c>
      <c r="Q809" s="25">
        <v>34</v>
      </c>
      <c r="R809" s="25" t="s">
        <v>95</v>
      </c>
      <c r="S809" s="35">
        <v>24</v>
      </c>
      <c r="T809" s="26" t="s">
        <v>433</v>
      </c>
      <c r="U809" s="26" t="s">
        <v>434</v>
      </c>
      <c r="V809" s="26">
        <v>6120</v>
      </c>
      <c r="W809" s="26" t="s">
        <v>98</v>
      </c>
      <c r="X809" s="27">
        <v>44816</v>
      </c>
      <c r="Y809" s="27">
        <v>45100</v>
      </c>
      <c r="Z809" s="27"/>
      <c r="AA809" s="27"/>
      <c r="AB809" s="26" t="s">
        <v>423</v>
      </c>
      <c r="AC809" s="26"/>
      <c r="AD809" s="28" t="s">
        <v>90</v>
      </c>
      <c r="AE809" s="28"/>
      <c r="AF809" s="28" t="s">
        <v>90</v>
      </c>
      <c r="AG809" s="28"/>
      <c r="AH809" s="28" t="s">
        <v>90</v>
      </c>
      <c r="AI809" s="28" t="s">
        <v>90</v>
      </c>
      <c r="AJ809" s="28" t="s">
        <v>90</v>
      </c>
      <c r="AK809" s="28" t="s">
        <v>90</v>
      </c>
      <c r="AL809" s="28" t="s">
        <v>90</v>
      </c>
      <c r="AM809" s="28" t="s">
        <v>90</v>
      </c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9">
        <v>39.6</v>
      </c>
      <c r="AY809" s="29"/>
      <c r="AZ809" s="30"/>
      <c r="BA809" s="30"/>
      <c r="BB809" s="30"/>
      <c r="BC809" s="30"/>
      <c r="BD809" s="31">
        <f t="shared" si="181"/>
        <v>9504</v>
      </c>
      <c r="BE809" s="31"/>
      <c r="BF809" s="30"/>
      <c r="BG809" s="36">
        <v>1</v>
      </c>
      <c r="BH809" s="31">
        <f t="shared" si="178"/>
        <v>0</v>
      </c>
      <c r="BI809" s="31">
        <f t="shared" si="179"/>
        <v>0</v>
      </c>
      <c r="BJ809" s="33">
        <f t="shared" si="180"/>
        <v>0</v>
      </c>
      <c r="BK809" s="30"/>
      <c r="BL809" s="30"/>
      <c r="BM809" s="30"/>
      <c r="BN809" s="30"/>
      <c r="BO809" s="33">
        <f t="shared" si="171"/>
        <v>0</v>
      </c>
      <c r="BP809" s="30">
        <v>17</v>
      </c>
      <c r="BQ809" s="30">
        <v>26</v>
      </c>
      <c r="BR809" s="30"/>
      <c r="BS809" s="30"/>
      <c r="BT809" s="34">
        <f t="shared" si="172"/>
        <v>39.6</v>
      </c>
      <c r="BU809" s="34"/>
      <c r="BV809" s="34"/>
      <c r="BW809" s="34"/>
      <c r="BX809" s="34"/>
      <c r="BY809" s="30"/>
      <c r="BZ809" s="31">
        <f t="shared" si="173"/>
        <v>673.2</v>
      </c>
      <c r="CA809" s="31">
        <f t="shared" si="174"/>
        <v>1029.6000000000001</v>
      </c>
    </row>
    <row r="810" spans="1:79" ht="76.5" x14ac:dyDescent="0.25">
      <c r="A810" s="17"/>
      <c r="B810" s="2">
        <v>796</v>
      </c>
      <c r="C810" s="18">
        <v>621</v>
      </c>
      <c r="D810" s="18">
        <v>989</v>
      </c>
      <c r="E810" s="19">
        <v>0.47916666666666669</v>
      </c>
      <c r="F810" s="19">
        <v>0.49236111111111108</v>
      </c>
      <c r="G810" s="18" t="s">
        <v>437</v>
      </c>
      <c r="H810" s="18" t="s">
        <v>422</v>
      </c>
      <c r="I810" s="20">
        <v>11.3</v>
      </c>
      <c r="J810" s="21" t="s">
        <v>93</v>
      </c>
      <c r="K810" s="22">
        <v>240</v>
      </c>
      <c r="L810" s="23">
        <f t="shared" si="182"/>
        <v>2712</v>
      </c>
      <c r="M810" s="24" t="s">
        <v>94</v>
      </c>
      <c r="N810" s="25" t="s">
        <v>97</v>
      </c>
      <c r="O810" s="25">
        <v>21</v>
      </c>
      <c r="P810" s="25" t="s">
        <v>96</v>
      </c>
      <c r="Q810" s="25">
        <v>34</v>
      </c>
      <c r="R810" s="25" t="s">
        <v>95</v>
      </c>
      <c r="S810" s="35">
        <v>24</v>
      </c>
      <c r="T810" s="26">
        <v>6120</v>
      </c>
      <c r="U810" s="26" t="s">
        <v>98</v>
      </c>
      <c r="V810" s="26" t="s">
        <v>433</v>
      </c>
      <c r="W810" s="26" t="s">
        <v>434</v>
      </c>
      <c r="X810" s="27">
        <v>44816</v>
      </c>
      <c r="Y810" s="27">
        <v>45100</v>
      </c>
      <c r="Z810" s="27"/>
      <c r="AA810" s="27"/>
      <c r="AB810" s="26" t="s">
        <v>423</v>
      </c>
      <c r="AC810" s="26"/>
      <c r="AD810" s="28" t="s">
        <v>90</v>
      </c>
      <c r="AE810" s="28"/>
      <c r="AF810" s="28" t="s">
        <v>90</v>
      </c>
      <c r="AG810" s="28"/>
      <c r="AH810" s="28" t="s">
        <v>90</v>
      </c>
      <c r="AI810" s="28" t="s">
        <v>90</v>
      </c>
      <c r="AJ810" s="28" t="s">
        <v>90</v>
      </c>
      <c r="AK810" s="28" t="s">
        <v>90</v>
      </c>
      <c r="AL810" s="28" t="s">
        <v>90</v>
      </c>
      <c r="AM810" s="28" t="s">
        <v>90</v>
      </c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9">
        <v>33.9</v>
      </c>
      <c r="AY810" s="29"/>
      <c r="AZ810" s="30"/>
      <c r="BA810" s="30"/>
      <c r="BB810" s="30"/>
      <c r="BC810" s="30"/>
      <c r="BD810" s="31">
        <f t="shared" si="181"/>
        <v>8136</v>
      </c>
      <c r="BE810" s="31"/>
      <c r="BF810" s="30"/>
      <c r="BG810" s="36">
        <v>1</v>
      </c>
      <c r="BH810" s="31">
        <f t="shared" si="178"/>
        <v>0</v>
      </c>
      <c r="BI810" s="31">
        <f t="shared" si="179"/>
        <v>0</v>
      </c>
      <c r="BJ810" s="33">
        <f t="shared" si="180"/>
        <v>0</v>
      </c>
      <c r="BK810" s="30"/>
      <c r="BL810" s="30"/>
      <c r="BM810" s="30"/>
      <c r="BN810" s="30"/>
      <c r="BO810" s="33">
        <f t="shared" si="171"/>
        <v>0</v>
      </c>
      <c r="BP810" s="30">
        <v>17</v>
      </c>
      <c r="BQ810" s="30">
        <v>26</v>
      </c>
      <c r="BR810" s="30"/>
      <c r="BS810" s="30"/>
      <c r="BT810" s="34">
        <f t="shared" si="172"/>
        <v>33.9</v>
      </c>
      <c r="BU810" s="34"/>
      <c r="BV810" s="34"/>
      <c r="BW810" s="34"/>
      <c r="BX810" s="34"/>
      <c r="BY810" s="30"/>
      <c r="BZ810" s="31">
        <f t="shared" si="173"/>
        <v>576.29999999999995</v>
      </c>
      <c r="CA810" s="31">
        <f t="shared" si="174"/>
        <v>881.4</v>
      </c>
    </row>
    <row r="811" spans="1:79" ht="76.5" x14ac:dyDescent="0.25">
      <c r="A811" s="17"/>
      <c r="B811" s="2">
        <v>797</v>
      </c>
      <c r="C811" s="18">
        <v>621</v>
      </c>
      <c r="D811" s="18">
        <v>991</v>
      </c>
      <c r="E811" s="19">
        <v>0.72569444444444453</v>
      </c>
      <c r="F811" s="19">
        <v>0.73888888888888893</v>
      </c>
      <c r="G811" s="18" t="s">
        <v>437</v>
      </c>
      <c r="H811" s="18" t="s">
        <v>327</v>
      </c>
      <c r="I811" s="20">
        <v>11.3</v>
      </c>
      <c r="J811" s="21" t="s">
        <v>93</v>
      </c>
      <c r="K811" s="22">
        <v>67</v>
      </c>
      <c r="L811" s="23">
        <f t="shared" si="182"/>
        <v>757.1</v>
      </c>
      <c r="M811" s="24" t="s">
        <v>94</v>
      </c>
      <c r="N811" s="25" t="s">
        <v>97</v>
      </c>
      <c r="O811" s="25">
        <v>21</v>
      </c>
      <c r="P811" s="25" t="s">
        <v>96</v>
      </c>
      <c r="Q811" s="25">
        <v>34</v>
      </c>
      <c r="R811" s="17"/>
      <c r="S811" s="25"/>
      <c r="T811" s="26">
        <v>6120</v>
      </c>
      <c r="U811" s="26" t="s">
        <v>98</v>
      </c>
      <c r="V811" s="26" t="s">
        <v>433</v>
      </c>
      <c r="W811" s="26" t="s">
        <v>434</v>
      </c>
      <c r="X811" s="27">
        <v>44562</v>
      </c>
      <c r="Y811" s="27">
        <v>44815</v>
      </c>
      <c r="Z811" s="27">
        <v>45101</v>
      </c>
      <c r="AA811" s="27">
        <v>45169</v>
      </c>
      <c r="AB811" s="28" t="s">
        <v>89</v>
      </c>
      <c r="AC811" s="28"/>
      <c r="AD811" s="28"/>
      <c r="AE811" s="28" t="s">
        <v>90</v>
      </c>
      <c r="AF811" s="28" t="s">
        <v>90</v>
      </c>
      <c r="AG811" s="28"/>
      <c r="AH811" s="28" t="s">
        <v>90</v>
      </c>
      <c r="AI811" s="28" t="s">
        <v>90</v>
      </c>
      <c r="AJ811" s="28" t="s">
        <v>90</v>
      </c>
      <c r="AK811" s="28" t="s">
        <v>90</v>
      </c>
      <c r="AL811" s="28" t="s">
        <v>90</v>
      </c>
      <c r="AM811" s="28" t="s">
        <v>90</v>
      </c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9">
        <v>33.9</v>
      </c>
      <c r="AY811" s="29"/>
      <c r="AZ811" s="30"/>
      <c r="BA811" s="30"/>
      <c r="BB811" s="30"/>
      <c r="BC811" s="30"/>
      <c r="BD811" s="31">
        <f t="shared" si="181"/>
        <v>2271.2999999999997</v>
      </c>
      <c r="BE811" s="31"/>
      <c r="BF811" s="30"/>
      <c r="BG811" s="36">
        <v>1</v>
      </c>
      <c r="BH811" s="31">
        <f t="shared" si="178"/>
        <v>0</v>
      </c>
      <c r="BI811" s="31">
        <f t="shared" si="179"/>
        <v>0</v>
      </c>
      <c r="BJ811" s="33">
        <f t="shared" si="180"/>
        <v>0</v>
      </c>
      <c r="BK811" s="30"/>
      <c r="BL811" s="30"/>
      <c r="BM811" s="30"/>
      <c r="BN811" s="30"/>
      <c r="BO811" s="33">
        <f t="shared" si="171"/>
        <v>0</v>
      </c>
      <c r="BP811" s="30">
        <v>9</v>
      </c>
      <c r="BQ811" s="30">
        <v>0</v>
      </c>
      <c r="BR811" s="30"/>
      <c r="BS811" s="30"/>
      <c r="BT811" s="34">
        <f t="shared" si="172"/>
        <v>33.9</v>
      </c>
      <c r="BU811" s="34"/>
      <c r="BV811" s="34"/>
      <c r="BW811" s="34"/>
      <c r="BX811" s="34"/>
      <c r="BY811" s="30"/>
      <c r="BZ811" s="31">
        <f t="shared" si="173"/>
        <v>305.09999999999997</v>
      </c>
      <c r="CA811" s="31">
        <f t="shared" si="174"/>
        <v>0</v>
      </c>
    </row>
    <row r="812" spans="1:79" ht="38.25" x14ac:dyDescent="0.25">
      <c r="A812" s="17"/>
      <c r="B812" s="2">
        <v>798</v>
      </c>
      <c r="C812" s="48">
        <v>623</v>
      </c>
      <c r="D812" s="48">
        <v>256</v>
      </c>
      <c r="E812" s="49">
        <v>0.72222222222222221</v>
      </c>
      <c r="F812" s="49">
        <v>0.74097222222222225</v>
      </c>
      <c r="G812" s="51" t="s">
        <v>1658</v>
      </c>
      <c r="H812" s="18" t="s">
        <v>422</v>
      </c>
      <c r="I812" s="48">
        <v>12</v>
      </c>
      <c r="J812" s="52">
        <v>19</v>
      </c>
      <c r="K812" s="22">
        <v>240</v>
      </c>
      <c r="L812" s="23">
        <f t="shared" si="182"/>
        <v>2880</v>
      </c>
      <c r="M812" s="24" t="s">
        <v>222</v>
      </c>
      <c r="N812" s="25" t="s">
        <v>223</v>
      </c>
      <c r="O812" s="25">
        <v>21</v>
      </c>
      <c r="P812" s="25" t="s">
        <v>224</v>
      </c>
      <c r="Q812" s="25">
        <v>31</v>
      </c>
      <c r="R812" s="17"/>
      <c r="S812" s="25"/>
      <c r="T812" s="26">
        <v>6220</v>
      </c>
      <c r="U812" s="26" t="s">
        <v>216</v>
      </c>
      <c r="V812" s="26">
        <v>6216</v>
      </c>
      <c r="W812" s="26" t="s">
        <v>225</v>
      </c>
      <c r="X812" s="27">
        <v>44816</v>
      </c>
      <c r="Y812" s="27">
        <v>45100</v>
      </c>
      <c r="Z812" s="27"/>
      <c r="AA812" s="27"/>
      <c r="AB812" s="26" t="s">
        <v>423</v>
      </c>
      <c r="AC812" s="26"/>
      <c r="AD812" s="28" t="s">
        <v>90</v>
      </c>
      <c r="AE812" s="28"/>
      <c r="AF812" s="28" t="s">
        <v>90</v>
      </c>
      <c r="AG812" s="28"/>
      <c r="AH812" s="28" t="s">
        <v>90</v>
      </c>
      <c r="AI812" s="28" t="s">
        <v>90</v>
      </c>
      <c r="AJ812" s="28" t="s">
        <v>90</v>
      </c>
      <c r="AK812" s="28" t="s">
        <v>90</v>
      </c>
      <c r="AL812" s="28" t="s">
        <v>90</v>
      </c>
      <c r="AM812" s="28" t="s">
        <v>90</v>
      </c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31"/>
      <c r="AY812" s="31"/>
      <c r="AZ812" s="30"/>
      <c r="BA812" s="64" t="s">
        <v>222</v>
      </c>
      <c r="BB812" s="64"/>
      <c r="BC812" s="30"/>
      <c r="BD812" s="31">
        <f t="shared" si="181"/>
        <v>0</v>
      </c>
      <c r="BE812" s="30"/>
      <c r="BF812" s="30"/>
      <c r="BG812" s="36">
        <v>1</v>
      </c>
      <c r="BH812" s="30"/>
      <c r="BI812" s="31"/>
      <c r="BJ812" s="30"/>
      <c r="BK812" s="30"/>
      <c r="BL812" s="30"/>
      <c r="BM812" s="30"/>
      <c r="BN812" s="30"/>
      <c r="BO812" s="33">
        <f t="shared" si="171"/>
        <v>0</v>
      </c>
      <c r="BP812" s="30">
        <v>17</v>
      </c>
      <c r="BQ812" s="30">
        <v>26</v>
      </c>
      <c r="BR812" s="30"/>
      <c r="BS812" s="30"/>
      <c r="BT812" s="34">
        <f t="shared" si="172"/>
        <v>0</v>
      </c>
      <c r="BU812" s="34" t="s">
        <v>446</v>
      </c>
      <c r="BV812" s="30">
        <v>1</v>
      </c>
      <c r="BW812" s="30">
        <v>1</v>
      </c>
      <c r="BX812" s="34">
        <v>2500</v>
      </c>
      <c r="BY812" s="30"/>
      <c r="BZ812" s="31">
        <f t="shared" si="173"/>
        <v>2500</v>
      </c>
      <c r="CA812" s="31">
        <f t="shared" si="174"/>
        <v>2500</v>
      </c>
    </row>
    <row r="813" spans="1:79" ht="38.25" x14ac:dyDescent="0.25">
      <c r="A813" s="17"/>
      <c r="B813" s="2">
        <v>799</v>
      </c>
      <c r="C813" s="48">
        <v>623</v>
      </c>
      <c r="D813" s="48">
        <v>264</v>
      </c>
      <c r="E813" s="49">
        <v>0.72916666666666663</v>
      </c>
      <c r="F813" s="49">
        <v>0.74791666666666667</v>
      </c>
      <c r="G813" s="51" t="s">
        <v>221</v>
      </c>
      <c r="H813" s="18" t="s">
        <v>80</v>
      </c>
      <c r="I813" s="48">
        <v>12</v>
      </c>
      <c r="J813" s="52">
        <v>19</v>
      </c>
      <c r="K813" s="22">
        <v>67</v>
      </c>
      <c r="L813" s="23">
        <f t="shared" si="182"/>
        <v>804</v>
      </c>
      <c r="M813" s="24" t="s">
        <v>222</v>
      </c>
      <c r="N813" s="25" t="s">
        <v>223</v>
      </c>
      <c r="O813" s="25">
        <v>21</v>
      </c>
      <c r="P813" s="25" t="s">
        <v>224</v>
      </c>
      <c r="Q813" s="25">
        <v>31</v>
      </c>
      <c r="R813" s="17"/>
      <c r="S813" s="25"/>
      <c r="T813" s="26">
        <v>6220</v>
      </c>
      <c r="U813" s="26" t="s">
        <v>216</v>
      </c>
      <c r="V813" s="26">
        <v>6216</v>
      </c>
      <c r="W813" s="26" t="s">
        <v>225</v>
      </c>
      <c r="X813" s="27">
        <v>44562</v>
      </c>
      <c r="Y813" s="27">
        <v>44815</v>
      </c>
      <c r="Z813" s="27">
        <v>45101</v>
      </c>
      <c r="AA813" s="27">
        <v>45169</v>
      </c>
      <c r="AB813" s="28" t="s">
        <v>89</v>
      </c>
      <c r="AC813" s="28"/>
      <c r="AD813" s="28"/>
      <c r="AE813" s="28" t="s">
        <v>90</v>
      </c>
      <c r="AF813" s="28" t="s">
        <v>90</v>
      </c>
      <c r="AG813" s="28"/>
      <c r="AH813" s="28" t="s">
        <v>90</v>
      </c>
      <c r="AI813" s="28" t="s">
        <v>90</v>
      </c>
      <c r="AJ813" s="28" t="s">
        <v>90</v>
      </c>
      <c r="AK813" s="28" t="s">
        <v>90</v>
      </c>
      <c r="AL813" s="28" t="s">
        <v>90</v>
      </c>
      <c r="AM813" s="28" t="s">
        <v>90</v>
      </c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31"/>
      <c r="AY813" s="31">
        <f>1.8*12</f>
        <v>21.6</v>
      </c>
      <c r="AZ813" s="30"/>
      <c r="BA813" s="42"/>
      <c r="BB813" s="42"/>
      <c r="BC813" s="30"/>
      <c r="BD813" s="31">
        <f t="shared" si="181"/>
        <v>0</v>
      </c>
      <c r="BE813" s="31">
        <f>AY813*K813</f>
        <v>1447.2</v>
      </c>
      <c r="BF813" s="30"/>
      <c r="BG813" s="36">
        <v>1</v>
      </c>
      <c r="BH813" s="30"/>
      <c r="BI813" s="31"/>
      <c r="BJ813" s="30"/>
      <c r="BK813" s="53"/>
      <c r="BL813" s="53"/>
      <c r="BM813" s="54"/>
      <c r="BN813" s="30"/>
      <c r="BO813" s="33">
        <f t="shared" si="171"/>
        <v>0</v>
      </c>
      <c r="BP813" s="30">
        <v>9</v>
      </c>
      <c r="BQ813" s="30">
        <v>0</v>
      </c>
      <c r="BR813" s="30"/>
      <c r="BS813" s="30"/>
      <c r="BT813" s="34">
        <f t="shared" si="172"/>
        <v>21.6</v>
      </c>
      <c r="BU813" s="34"/>
      <c r="BV813" s="34"/>
      <c r="BW813" s="34"/>
      <c r="BX813" s="34"/>
      <c r="BY813" s="30"/>
      <c r="BZ813" s="31">
        <f t="shared" si="173"/>
        <v>194.4</v>
      </c>
      <c r="CA813" s="31">
        <f t="shared" si="174"/>
        <v>0</v>
      </c>
    </row>
    <row r="814" spans="1:79" ht="38.25" x14ac:dyDescent="0.25">
      <c r="A814" s="17"/>
      <c r="B814" s="2">
        <v>800</v>
      </c>
      <c r="C814" s="48">
        <v>623</v>
      </c>
      <c r="D814" s="48">
        <v>261</v>
      </c>
      <c r="E814" s="49">
        <v>0.74444444444444446</v>
      </c>
      <c r="F814" s="49">
        <v>0.75486111111111109</v>
      </c>
      <c r="G814" s="51" t="s">
        <v>1659</v>
      </c>
      <c r="H814" s="18" t="s">
        <v>422</v>
      </c>
      <c r="I814" s="48">
        <v>10</v>
      </c>
      <c r="J814" s="52">
        <v>19</v>
      </c>
      <c r="K814" s="22">
        <v>240</v>
      </c>
      <c r="L814" s="23">
        <f t="shared" si="182"/>
        <v>2400</v>
      </c>
      <c r="M814" s="24" t="s">
        <v>222</v>
      </c>
      <c r="N814" s="25" t="s">
        <v>223</v>
      </c>
      <c r="O814" s="25">
        <v>21</v>
      </c>
      <c r="P814" s="25" t="s">
        <v>224</v>
      </c>
      <c r="Q814" s="25">
        <v>31</v>
      </c>
      <c r="R814" s="17"/>
      <c r="S814" s="25"/>
      <c r="T814" s="26">
        <v>6216</v>
      </c>
      <c r="U814" s="26" t="s">
        <v>225</v>
      </c>
      <c r="V814" s="26">
        <v>6220</v>
      </c>
      <c r="W814" s="26" t="s">
        <v>216</v>
      </c>
      <c r="X814" s="27">
        <v>44816</v>
      </c>
      <c r="Y814" s="27">
        <v>45100</v>
      </c>
      <c r="Z814" s="27"/>
      <c r="AA814" s="27"/>
      <c r="AB814" s="26" t="s">
        <v>423</v>
      </c>
      <c r="AC814" s="26"/>
      <c r="AD814" s="28" t="s">
        <v>90</v>
      </c>
      <c r="AE814" s="28"/>
      <c r="AF814" s="28" t="s">
        <v>90</v>
      </c>
      <c r="AG814" s="28"/>
      <c r="AH814" s="28" t="s">
        <v>90</v>
      </c>
      <c r="AI814" s="28" t="s">
        <v>90</v>
      </c>
      <c r="AJ814" s="28" t="s">
        <v>90</v>
      </c>
      <c r="AK814" s="28" t="s">
        <v>90</v>
      </c>
      <c r="AL814" s="28" t="s">
        <v>90</v>
      </c>
      <c r="AM814" s="28" t="s">
        <v>90</v>
      </c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31"/>
      <c r="AY814" s="31"/>
      <c r="AZ814" s="30"/>
      <c r="BA814" s="64" t="s">
        <v>222</v>
      </c>
      <c r="BB814" s="64"/>
      <c r="BC814" s="30"/>
      <c r="BD814" s="31">
        <f t="shared" si="181"/>
        <v>0</v>
      </c>
      <c r="BE814" s="30"/>
      <c r="BF814" s="30"/>
      <c r="BG814" s="36">
        <v>1</v>
      </c>
      <c r="BH814" s="30"/>
      <c r="BI814" s="31"/>
      <c r="BJ814" s="30"/>
      <c r="BK814" s="30"/>
      <c r="BL814" s="30"/>
      <c r="BM814" s="30"/>
      <c r="BN814" s="30"/>
      <c r="BO814" s="33">
        <f t="shared" si="171"/>
        <v>0</v>
      </c>
      <c r="BP814" s="30">
        <v>17</v>
      </c>
      <c r="BQ814" s="30">
        <v>26</v>
      </c>
      <c r="BR814" s="30"/>
      <c r="BS814" s="30"/>
      <c r="BT814" s="34">
        <f t="shared" si="172"/>
        <v>0</v>
      </c>
      <c r="BU814" s="34"/>
      <c r="BV814" s="34"/>
      <c r="BW814" s="34"/>
      <c r="BX814" s="34"/>
      <c r="BY814" s="30"/>
      <c r="BZ814" s="31">
        <f t="shared" si="173"/>
        <v>0</v>
      </c>
      <c r="CA814" s="31">
        <f t="shared" si="174"/>
        <v>0</v>
      </c>
    </row>
    <row r="815" spans="1:79" ht="38.25" x14ac:dyDescent="0.25">
      <c r="A815" s="17"/>
      <c r="B815" s="2">
        <v>801</v>
      </c>
      <c r="C815" s="48">
        <v>623</v>
      </c>
      <c r="D815" s="48">
        <v>261</v>
      </c>
      <c r="E815" s="50">
        <v>0.74305555555555547</v>
      </c>
      <c r="F815" s="50">
        <v>0.75347222222222221</v>
      </c>
      <c r="G815" s="51" t="s">
        <v>226</v>
      </c>
      <c r="H815" s="18" t="s">
        <v>80</v>
      </c>
      <c r="I815" s="48">
        <v>10</v>
      </c>
      <c r="J815" s="52">
        <v>19</v>
      </c>
      <c r="K815" s="22">
        <v>67</v>
      </c>
      <c r="L815" s="23">
        <f t="shared" si="182"/>
        <v>670</v>
      </c>
      <c r="M815" s="24" t="s">
        <v>222</v>
      </c>
      <c r="N815" s="25" t="s">
        <v>223</v>
      </c>
      <c r="O815" s="25">
        <v>21</v>
      </c>
      <c r="P815" s="25" t="s">
        <v>224</v>
      </c>
      <c r="Q815" s="25">
        <v>31</v>
      </c>
      <c r="R815" s="17"/>
      <c r="S815" s="25"/>
      <c r="T815" s="26">
        <v>6216</v>
      </c>
      <c r="U815" s="26" t="s">
        <v>225</v>
      </c>
      <c r="V815" s="26">
        <v>6220</v>
      </c>
      <c r="W815" s="26" t="s">
        <v>216</v>
      </c>
      <c r="X815" s="27">
        <v>44562</v>
      </c>
      <c r="Y815" s="27">
        <v>44815</v>
      </c>
      <c r="Z815" s="27">
        <v>45101</v>
      </c>
      <c r="AA815" s="27">
        <v>45169</v>
      </c>
      <c r="AB815" s="28" t="s">
        <v>89</v>
      </c>
      <c r="AC815" s="28"/>
      <c r="AD815" s="28"/>
      <c r="AE815" s="28" t="s">
        <v>90</v>
      </c>
      <c r="AF815" s="28" t="s">
        <v>90</v>
      </c>
      <c r="AG815" s="28"/>
      <c r="AH815" s="28" t="s">
        <v>90</v>
      </c>
      <c r="AI815" s="28" t="s">
        <v>90</v>
      </c>
      <c r="AJ815" s="28" t="s">
        <v>90</v>
      </c>
      <c r="AK815" s="28" t="s">
        <v>90</v>
      </c>
      <c r="AL815" s="28" t="s">
        <v>90</v>
      </c>
      <c r="AM815" s="28" t="s">
        <v>90</v>
      </c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31"/>
      <c r="AY815" s="31">
        <f>1.8*10</f>
        <v>18</v>
      </c>
      <c r="AZ815" s="30"/>
      <c r="BA815" s="42"/>
      <c r="BB815" s="42"/>
      <c r="BC815" s="30"/>
      <c r="BD815" s="31">
        <f t="shared" si="181"/>
        <v>0</v>
      </c>
      <c r="BE815" s="31">
        <f>AY815*K815</f>
        <v>1206</v>
      </c>
      <c r="BF815" s="30"/>
      <c r="BG815" s="36">
        <v>1</v>
      </c>
      <c r="BH815" s="30"/>
      <c r="BI815" s="31"/>
      <c r="BJ815" s="30"/>
      <c r="BK815" s="53"/>
      <c r="BL815" s="53"/>
      <c r="BM815" s="54"/>
      <c r="BN815" s="30"/>
      <c r="BO815" s="33">
        <f t="shared" si="171"/>
        <v>0</v>
      </c>
      <c r="BP815" s="30">
        <v>9</v>
      </c>
      <c r="BQ815" s="30">
        <v>0</v>
      </c>
      <c r="BR815" s="30"/>
      <c r="BS815" s="30"/>
      <c r="BT815" s="34">
        <f t="shared" si="172"/>
        <v>18</v>
      </c>
      <c r="BU815" s="34"/>
      <c r="BV815" s="34"/>
      <c r="BW815" s="34"/>
      <c r="BX815" s="34"/>
      <c r="BY815" s="30"/>
      <c r="BZ815" s="31">
        <f t="shared" si="173"/>
        <v>162</v>
      </c>
      <c r="CA815" s="31">
        <f t="shared" si="174"/>
        <v>0</v>
      </c>
    </row>
    <row r="816" spans="1:79" ht="51" x14ac:dyDescent="0.25">
      <c r="A816" s="17"/>
      <c r="B816" s="2">
        <v>802</v>
      </c>
      <c r="C816" s="18">
        <v>624</v>
      </c>
      <c r="D816" s="18">
        <v>272</v>
      </c>
      <c r="E816" s="19">
        <v>0.30625000000000002</v>
      </c>
      <c r="F816" s="19">
        <v>0.31041666666666667</v>
      </c>
      <c r="G816" s="18" t="s">
        <v>1660</v>
      </c>
      <c r="H816" s="58" t="s">
        <v>273</v>
      </c>
      <c r="I816" s="20">
        <v>4</v>
      </c>
      <c r="J816" s="21" t="s">
        <v>81</v>
      </c>
      <c r="K816" s="68">
        <f>208-K817</f>
        <v>174</v>
      </c>
      <c r="L816" s="23">
        <f t="shared" si="182"/>
        <v>696</v>
      </c>
      <c r="M816" s="24" t="s">
        <v>1661</v>
      </c>
      <c r="N816" s="25" t="s">
        <v>1662</v>
      </c>
      <c r="O816" s="25">
        <v>51</v>
      </c>
      <c r="P816" s="25" t="s">
        <v>1663</v>
      </c>
      <c r="Q816" s="25">
        <v>58</v>
      </c>
      <c r="R816" s="25"/>
      <c r="S816" s="25"/>
      <c r="T816" s="26" t="s">
        <v>1664</v>
      </c>
      <c r="U816" s="26" t="s">
        <v>1665</v>
      </c>
      <c r="V816" s="26">
        <v>6157</v>
      </c>
      <c r="W816" s="26" t="s">
        <v>229</v>
      </c>
      <c r="X816" s="66">
        <v>44816</v>
      </c>
      <c r="Y816" s="66">
        <v>45086</v>
      </c>
      <c r="Z816" s="66"/>
      <c r="AA816" s="66"/>
      <c r="AB816" s="78" t="s">
        <v>282</v>
      </c>
      <c r="AC816" s="26"/>
      <c r="AD816" s="28"/>
      <c r="AE816" s="28"/>
      <c r="AF816" s="28"/>
      <c r="AG816" s="28" t="s">
        <v>90</v>
      </c>
      <c r="AH816" s="28" t="s">
        <v>90</v>
      </c>
      <c r="AI816" s="28" t="s">
        <v>90</v>
      </c>
      <c r="AJ816" s="28" t="s">
        <v>90</v>
      </c>
      <c r="AK816" s="28" t="s">
        <v>90</v>
      </c>
      <c r="AL816" s="28" t="s">
        <v>90</v>
      </c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9">
        <v>30.77</v>
      </c>
      <c r="AY816" s="29"/>
      <c r="AZ816" s="30"/>
      <c r="BA816" s="30"/>
      <c r="BB816" s="30"/>
      <c r="BC816" s="30"/>
      <c r="BD816" s="31">
        <f t="shared" si="181"/>
        <v>5353.98</v>
      </c>
      <c r="BE816" s="31"/>
      <c r="BF816" s="30"/>
      <c r="BG816" s="32">
        <v>2</v>
      </c>
      <c r="BH816" s="31">
        <f>IF(AND((AX816/I816)&lt;2,BG816=1),(I816*2)-AX816,0)</f>
        <v>0</v>
      </c>
      <c r="BI816" s="31">
        <f>IF(AND((AX816/I816)&lt;3,BG816=2),(I816*3)-AX816,0)</f>
        <v>0</v>
      </c>
      <c r="BJ816" s="33">
        <f>(BH816+BI816)*K816</f>
        <v>0</v>
      </c>
      <c r="BK816" s="30"/>
      <c r="BL816" s="30"/>
      <c r="BM816" s="30"/>
      <c r="BN816" s="30"/>
      <c r="BO816" s="33">
        <f t="shared" si="171"/>
        <v>0</v>
      </c>
      <c r="BP816" s="30">
        <v>15</v>
      </c>
      <c r="BQ816" s="30">
        <v>20</v>
      </c>
      <c r="BR816" s="30"/>
      <c r="BS816" s="30"/>
      <c r="BT816" s="34">
        <f t="shared" si="172"/>
        <v>30.77</v>
      </c>
      <c r="BU816" s="34"/>
      <c r="BV816" s="34"/>
      <c r="BW816" s="34"/>
      <c r="BX816" s="34"/>
      <c r="BY816" s="30"/>
      <c r="BZ816" s="31">
        <f t="shared" si="173"/>
        <v>461.55</v>
      </c>
      <c r="CA816" s="31">
        <f t="shared" si="174"/>
        <v>615.4</v>
      </c>
    </row>
    <row r="817" spans="1:79" ht="90" x14ac:dyDescent="0.25">
      <c r="A817" s="17"/>
      <c r="B817" s="71" t="s">
        <v>1666</v>
      </c>
      <c r="C817" s="18">
        <v>624</v>
      </c>
      <c r="D817" s="18">
        <v>272</v>
      </c>
      <c r="E817" s="19">
        <v>0.30625000000000002</v>
      </c>
      <c r="F817" s="19">
        <v>0.31041666666666667</v>
      </c>
      <c r="G817" s="18" t="s">
        <v>1660</v>
      </c>
      <c r="H817" s="58" t="s">
        <v>1591</v>
      </c>
      <c r="I817" s="20">
        <v>4</v>
      </c>
      <c r="J817" s="21" t="s">
        <v>81</v>
      </c>
      <c r="K817" s="68">
        <v>34</v>
      </c>
      <c r="L817" s="23">
        <f t="shared" si="182"/>
        <v>136</v>
      </c>
      <c r="M817" s="24" t="s">
        <v>1667</v>
      </c>
      <c r="N817" s="25" t="s">
        <v>1668</v>
      </c>
      <c r="O817" s="25">
        <v>21</v>
      </c>
      <c r="P817" s="25" t="s">
        <v>1669</v>
      </c>
      <c r="Q817" s="25">
        <v>21</v>
      </c>
      <c r="R817" s="25" t="s">
        <v>1670</v>
      </c>
      <c r="S817" s="35">
        <v>24</v>
      </c>
      <c r="T817" s="26" t="s">
        <v>1664</v>
      </c>
      <c r="U817" s="26" t="s">
        <v>1665</v>
      </c>
      <c r="V817" s="26">
        <v>6157</v>
      </c>
      <c r="W817" s="26" t="s">
        <v>229</v>
      </c>
      <c r="X817" s="66">
        <v>44816</v>
      </c>
      <c r="Y817" s="66">
        <v>45086</v>
      </c>
      <c r="Z817" s="66"/>
      <c r="AA817" s="66"/>
      <c r="AB817" s="78" t="s">
        <v>382</v>
      </c>
      <c r="AC817" s="26"/>
      <c r="AD817" s="28"/>
      <c r="AE817" s="28"/>
      <c r="AF817" s="28"/>
      <c r="AG817" s="28" t="s">
        <v>90</v>
      </c>
      <c r="AH817" s="28"/>
      <c r="AI817" s="28"/>
      <c r="AJ817" s="28"/>
      <c r="AK817" s="28"/>
      <c r="AL817" s="28"/>
      <c r="AM817" s="28" t="s">
        <v>90</v>
      </c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9">
        <v>12.46</v>
      </c>
      <c r="AY817" s="29"/>
      <c r="AZ817" s="30"/>
      <c r="BA817" s="30"/>
      <c r="BB817" s="30"/>
      <c r="BC817" s="30"/>
      <c r="BD817" s="31">
        <f t="shared" si="181"/>
        <v>423.64000000000004</v>
      </c>
      <c r="BE817" s="31"/>
      <c r="BF817" s="30"/>
      <c r="BG817" s="32">
        <v>2</v>
      </c>
      <c r="BH817" s="31">
        <f>IF(AND((AX817/I817)&lt;2,BG817=1),(I817*2)-AX817,0)</f>
        <v>0</v>
      </c>
      <c r="BI817" s="31">
        <f>IF(AND((AX817/I817)&lt;3,BG817=2),(I817*3)-AX817,0)</f>
        <v>0</v>
      </c>
      <c r="BJ817" s="33">
        <f>(BH817+BI817)*K817</f>
        <v>0</v>
      </c>
      <c r="BK817" s="30"/>
      <c r="BL817" s="30"/>
      <c r="BM817" s="30"/>
      <c r="BN817" s="30"/>
      <c r="BO817" s="33">
        <f t="shared" si="171"/>
        <v>0</v>
      </c>
      <c r="BP817" s="30">
        <v>2</v>
      </c>
      <c r="BQ817" s="30">
        <v>5</v>
      </c>
      <c r="BR817" s="30"/>
      <c r="BS817" s="30"/>
      <c r="BT817" s="34">
        <f t="shared" si="172"/>
        <v>12.46</v>
      </c>
      <c r="BU817" s="34"/>
      <c r="BV817" s="34"/>
      <c r="BW817" s="34"/>
      <c r="BX817" s="34"/>
      <c r="BY817" s="30"/>
      <c r="BZ817" s="31">
        <f t="shared" si="173"/>
        <v>24.92</v>
      </c>
      <c r="CA817" s="31">
        <f t="shared" si="174"/>
        <v>62.300000000000004</v>
      </c>
    </row>
    <row r="818" spans="1:79" ht="51" x14ac:dyDescent="0.25">
      <c r="A818" s="17"/>
      <c r="B818" s="2">
        <v>803</v>
      </c>
      <c r="C818" s="18">
        <v>624</v>
      </c>
      <c r="D818" s="18">
        <v>271</v>
      </c>
      <c r="E818" s="19">
        <v>0.31111111111111112</v>
      </c>
      <c r="F818" s="59">
        <v>0.32013888888888892</v>
      </c>
      <c r="G818" s="18" t="s">
        <v>1671</v>
      </c>
      <c r="H818" s="58" t="s">
        <v>273</v>
      </c>
      <c r="I818" s="20">
        <v>3</v>
      </c>
      <c r="J818" s="21" t="s">
        <v>81</v>
      </c>
      <c r="K818" s="68">
        <f>208-K819</f>
        <v>174</v>
      </c>
      <c r="L818" s="23">
        <f t="shared" si="182"/>
        <v>522</v>
      </c>
      <c r="M818" s="24" t="s">
        <v>1661</v>
      </c>
      <c r="N818" s="25" t="s">
        <v>1662</v>
      </c>
      <c r="O818" s="25">
        <v>51</v>
      </c>
      <c r="P818" s="25" t="s">
        <v>1663</v>
      </c>
      <c r="Q818" s="25">
        <v>58</v>
      </c>
      <c r="R818" s="25"/>
      <c r="S818" s="25"/>
      <c r="T818" s="26">
        <v>6157</v>
      </c>
      <c r="U818" s="26" t="s">
        <v>229</v>
      </c>
      <c r="V818" s="26">
        <v>6220</v>
      </c>
      <c r="W818" s="26" t="s">
        <v>216</v>
      </c>
      <c r="X818" s="66">
        <v>44816</v>
      </c>
      <c r="Y818" s="66">
        <v>45086</v>
      </c>
      <c r="Z818" s="66"/>
      <c r="AA818" s="66"/>
      <c r="AB818" s="78" t="s">
        <v>282</v>
      </c>
      <c r="AC818" s="26"/>
      <c r="AD818" s="28"/>
      <c r="AE818" s="28"/>
      <c r="AF818" s="28"/>
      <c r="AG818" s="28" t="s">
        <v>90</v>
      </c>
      <c r="AH818" s="28" t="s">
        <v>90</v>
      </c>
      <c r="AI818" s="28" t="s">
        <v>90</v>
      </c>
      <c r="AJ818" s="28" t="s">
        <v>90</v>
      </c>
      <c r="AK818" s="28" t="s">
        <v>90</v>
      </c>
      <c r="AL818" s="28" t="s">
        <v>90</v>
      </c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9">
        <v>23.08</v>
      </c>
      <c r="AY818" s="29"/>
      <c r="AZ818" s="30"/>
      <c r="BA818" s="30"/>
      <c r="BB818" s="30"/>
      <c r="BC818" s="30"/>
      <c r="BD818" s="31">
        <f t="shared" si="181"/>
        <v>4015.9199999999996</v>
      </c>
      <c r="BE818" s="31"/>
      <c r="BF818" s="30"/>
      <c r="BG818" s="32">
        <v>2</v>
      </c>
      <c r="BH818" s="31">
        <f>IF(AND((AX818/I818)&lt;2,BG818=1),(I818*2)-AX818,0)</f>
        <v>0</v>
      </c>
      <c r="BI818" s="31">
        <f>IF(AND((AX818/I818)&lt;3,BG818=2),(I818*3)-AX818,0)</f>
        <v>0</v>
      </c>
      <c r="BJ818" s="33">
        <f>(BH818+BI818)*K818</f>
        <v>0</v>
      </c>
      <c r="BK818" s="30"/>
      <c r="BL818" s="30"/>
      <c r="BM818" s="30"/>
      <c r="BN818" s="30"/>
      <c r="BO818" s="33">
        <f t="shared" si="171"/>
        <v>0</v>
      </c>
      <c r="BP818" s="30">
        <v>15</v>
      </c>
      <c r="BQ818" s="30">
        <v>20</v>
      </c>
      <c r="BR818" s="30"/>
      <c r="BS818" s="30"/>
      <c r="BT818" s="34">
        <f t="shared" si="172"/>
        <v>23.08</v>
      </c>
      <c r="BU818" s="34"/>
      <c r="BV818" s="34"/>
      <c r="BW818" s="34"/>
      <c r="BX818" s="34"/>
      <c r="BY818" s="30"/>
      <c r="BZ818" s="31">
        <f t="shared" si="173"/>
        <v>346.2</v>
      </c>
      <c r="CA818" s="31">
        <f t="shared" si="174"/>
        <v>461.59999999999997</v>
      </c>
    </row>
    <row r="819" spans="1:79" ht="90" x14ac:dyDescent="0.25">
      <c r="A819" s="17"/>
      <c r="B819" s="71" t="s">
        <v>1672</v>
      </c>
      <c r="C819" s="18">
        <v>624</v>
      </c>
      <c r="D819" s="18">
        <v>271</v>
      </c>
      <c r="E819" s="19">
        <v>0.31111111111111112</v>
      </c>
      <c r="F819" s="59">
        <v>0.32013888888888892</v>
      </c>
      <c r="G819" s="18" t="s">
        <v>1671</v>
      </c>
      <c r="H819" s="58" t="s">
        <v>1591</v>
      </c>
      <c r="I819" s="20">
        <v>3</v>
      </c>
      <c r="J819" s="21" t="s">
        <v>81</v>
      </c>
      <c r="K819" s="68">
        <v>34</v>
      </c>
      <c r="L819" s="23">
        <f t="shared" si="182"/>
        <v>102</v>
      </c>
      <c r="M819" s="24" t="s">
        <v>1667</v>
      </c>
      <c r="N819" s="25" t="s">
        <v>1668</v>
      </c>
      <c r="O819" s="25">
        <v>21</v>
      </c>
      <c r="P819" s="25" t="s">
        <v>1669</v>
      </c>
      <c r="Q819" s="25">
        <v>21</v>
      </c>
      <c r="R819" s="25" t="s">
        <v>1670</v>
      </c>
      <c r="S819" s="35">
        <v>24</v>
      </c>
      <c r="T819" s="26">
        <v>6157</v>
      </c>
      <c r="U819" s="26" t="s">
        <v>229</v>
      </c>
      <c r="V819" s="26">
        <v>6220</v>
      </c>
      <c r="W819" s="26" t="s">
        <v>216</v>
      </c>
      <c r="X819" s="66">
        <v>44816</v>
      </c>
      <c r="Y819" s="66">
        <v>45086</v>
      </c>
      <c r="Z819" s="66"/>
      <c r="AA819" s="66"/>
      <c r="AB819" s="78" t="s">
        <v>382</v>
      </c>
      <c r="AC819" s="26"/>
      <c r="AD819" s="28"/>
      <c r="AE819" s="28"/>
      <c r="AF819" s="28"/>
      <c r="AG819" s="28" t="s">
        <v>90</v>
      </c>
      <c r="AH819" s="28"/>
      <c r="AI819" s="28"/>
      <c r="AJ819" s="28"/>
      <c r="AK819" s="28"/>
      <c r="AL819" s="28"/>
      <c r="AM819" s="28" t="s">
        <v>90</v>
      </c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9">
        <v>9.35</v>
      </c>
      <c r="AY819" s="29"/>
      <c r="AZ819" s="30"/>
      <c r="BA819" s="30"/>
      <c r="BB819" s="30"/>
      <c r="BC819" s="30"/>
      <c r="BD819" s="31">
        <f t="shared" si="181"/>
        <v>317.89999999999998</v>
      </c>
      <c r="BE819" s="31"/>
      <c r="BF819" s="30"/>
      <c r="BG819" s="32">
        <v>2</v>
      </c>
      <c r="BH819" s="31">
        <f>IF(AND((AX819/I819)&lt;2,BG819=1),(I819*2)-AX819,0)</f>
        <v>0</v>
      </c>
      <c r="BI819" s="31">
        <f>IF(AND((AX819/I819)&lt;3,BG819=2),(I819*3)-AX819,0)</f>
        <v>0</v>
      </c>
      <c r="BJ819" s="33">
        <f>(BH819+BI819)*K819</f>
        <v>0</v>
      </c>
      <c r="BK819" s="30"/>
      <c r="BL819" s="30"/>
      <c r="BM819" s="30"/>
      <c r="BN819" s="30"/>
      <c r="BO819" s="33">
        <f t="shared" si="171"/>
        <v>0</v>
      </c>
      <c r="BP819" s="30">
        <v>2</v>
      </c>
      <c r="BQ819" s="30">
        <v>5</v>
      </c>
      <c r="BR819" s="30"/>
      <c r="BS819" s="30"/>
      <c r="BT819" s="34">
        <f t="shared" si="172"/>
        <v>9.35</v>
      </c>
      <c r="BU819" s="34"/>
      <c r="BV819" s="34"/>
      <c r="BW819" s="34"/>
      <c r="BX819" s="34"/>
      <c r="BY819" s="30"/>
      <c r="BZ819" s="31">
        <f t="shared" si="173"/>
        <v>18.7</v>
      </c>
      <c r="CA819" s="31">
        <f t="shared" si="174"/>
        <v>46.75</v>
      </c>
    </row>
    <row r="820" spans="1:79" ht="38.25" x14ac:dyDescent="0.25">
      <c r="A820" s="17"/>
      <c r="B820" s="2">
        <v>804</v>
      </c>
      <c r="C820" s="48">
        <v>624</v>
      </c>
      <c r="D820" s="48">
        <v>276</v>
      </c>
      <c r="E820" s="49">
        <v>0.76388888888888884</v>
      </c>
      <c r="F820" s="49">
        <v>0.76874999999999993</v>
      </c>
      <c r="G820" s="51" t="s">
        <v>227</v>
      </c>
      <c r="H820" s="18" t="s">
        <v>80</v>
      </c>
      <c r="I820" s="48">
        <v>4</v>
      </c>
      <c r="J820" s="52">
        <v>19</v>
      </c>
      <c r="K820" s="22">
        <v>67</v>
      </c>
      <c r="L820" s="23">
        <f t="shared" si="182"/>
        <v>268</v>
      </c>
      <c r="M820" s="24" t="s">
        <v>212</v>
      </c>
      <c r="N820" s="25" t="s">
        <v>228</v>
      </c>
      <c r="O820" s="25">
        <v>21</v>
      </c>
      <c r="P820" s="25"/>
      <c r="Q820" s="25"/>
      <c r="R820" s="56"/>
      <c r="S820" s="25"/>
      <c r="T820" s="26">
        <v>6220</v>
      </c>
      <c r="U820" s="26" t="s">
        <v>216</v>
      </c>
      <c r="V820" s="26">
        <v>6157</v>
      </c>
      <c r="W820" s="26" t="s">
        <v>229</v>
      </c>
      <c r="X820" s="27">
        <v>44562</v>
      </c>
      <c r="Y820" s="27">
        <v>44815</v>
      </c>
      <c r="Z820" s="27">
        <v>45101</v>
      </c>
      <c r="AA820" s="27">
        <v>45169</v>
      </c>
      <c r="AB820" s="28" t="s">
        <v>89</v>
      </c>
      <c r="AC820" s="28"/>
      <c r="AD820" s="28"/>
      <c r="AE820" s="28" t="s">
        <v>90</v>
      </c>
      <c r="AF820" s="28" t="s">
        <v>90</v>
      </c>
      <c r="AG820" s="28"/>
      <c r="AH820" s="28" t="s">
        <v>90</v>
      </c>
      <c r="AI820" s="28" t="s">
        <v>90</v>
      </c>
      <c r="AJ820" s="28" t="s">
        <v>90</v>
      </c>
      <c r="AK820" s="28" t="s">
        <v>90</v>
      </c>
      <c r="AL820" s="28" t="s">
        <v>90</v>
      </c>
      <c r="AM820" s="28" t="s">
        <v>90</v>
      </c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31"/>
      <c r="AY820" s="31">
        <f>1.9*4</f>
        <v>7.6</v>
      </c>
      <c r="AZ820" s="30"/>
      <c r="BA820" s="30"/>
      <c r="BB820" s="30"/>
      <c r="BC820" s="30"/>
      <c r="BD820" s="31">
        <f t="shared" si="181"/>
        <v>0</v>
      </c>
      <c r="BE820" s="31">
        <f>AY820*K820</f>
        <v>509.2</v>
      </c>
      <c r="BF820" s="30"/>
      <c r="BG820" s="36">
        <v>1</v>
      </c>
      <c r="BH820" s="30"/>
      <c r="BI820" s="31"/>
      <c r="BJ820" s="30"/>
      <c r="BK820" s="31">
        <f>IF(AND((AY820/I820)&lt;2,BG820=1),(I820*2)-AY820,0)</f>
        <v>0.40000000000000036</v>
      </c>
      <c r="BL820" s="31">
        <f>IF(AND((AY820/I820)&lt;3,BG820=2),(I820*3)-AY820,0)</f>
        <v>0</v>
      </c>
      <c r="BM820" s="33">
        <f>(BK820+BL820)*K820</f>
        <v>26.800000000000026</v>
      </c>
      <c r="BN820" s="30"/>
      <c r="BO820" s="33">
        <f t="shared" si="171"/>
        <v>0</v>
      </c>
      <c r="BP820" s="30">
        <v>9</v>
      </c>
      <c r="BQ820" s="30">
        <v>0</v>
      </c>
      <c r="BR820" s="30"/>
      <c r="BS820" s="30"/>
      <c r="BT820" s="34">
        <f t="shared" si="172"/>
        <v>8</v>
      </c>
      <c r="BU820" s="34"/>
      <c r="BV820" s="34"/>
      <c r="BW820" s="34"/>
      <c r="BX820" s="34"/>
      <c r="BY820" s="30"/>
      <c r="BZ820" s="31">
        <f t="shared" si="173"/>
        <v>72</v>
      </c>
      <c r="CA820" s="31">
        <f t="shared" si="174"/>
        <v>0</v>
      </c>
    </row>
    <row r="821" spans="1:79" ht="38.25" x14ac:dyDescent="0.25">
      <c r="A821" s="17"/>
      <c r="B821" s="2">
        <v>805</v>
      </c>
      <c r="C821" s="48">
        <v>624</v>
      </c>
      <c r="D821" s="48">
        <v>276</v>
      </c>
      <c r="E821" s="49">
        <v>0.76527777777777783</v>
      </c>
      <c r="F821" s="49">
        <v>0.76944444444444438</v>
      </c>
      <c r="G821" s="51" t="s">
        <v>227</v>
      </c>
      <c r="H821" s="18" t="s">
        <v>422</v>
      </c>
      <c r="I821" s="48">
        <v>4</v>
      </c>
      <c r="J821" s="52">
        <v>19</v>
      </c>
      <c r="K821" s="22">
        <v>240</v>
      </c>
      <c r="L821" s="23">
        <f t="shared" si="182"/>
        <v>960</v>
      </c>
      <c r="M821" s="24" t="s">
        <v>222</v>
      </c>
      <c r="N821" s="25" t="s">
        <v>223</v>
      </c>
      <c r="O821" s="25">
        <v>21</v>
      </c>
      <c r="P821" s="25" t="s">
        <v>224</v>
      </c>
      <c r="Q821" s="25">
        <v>31</v>
      </c>
      <c r="R821" s="17"/>
      <c r="S821" s="25"/>
      <c r="T821" s="26">
        <v>6220</v>
      </c>
      <c r="U821" s="26" t="s">
        <v>216</v>
      </c>
      <c r="V821" s="26">
        <v>6157</v>
      </c>
      <c r="W821" s="26" t="s">
        <v>229</v>
      </c>
      <c r="X821" s="27">
        <v>44816</v>
      </c>
      <c r="Y821" s="27">
        <v>45100</v>
      </c>
      <c r="Z821" s="27"/>
      <c r="AA821" s="27"/>
      <c r="AB821" s="26" t="s">
        <v>423</v>
      </c>
      <c r="AC821" s="26"/>
      <c r="AD821" s="28" t="s">
        <v>90</v>
      </c>
      <c r="AE821" s="28"/>
      <c r="AF821" s="28" t="s">
        <v>90</v>
      </c>
      <c r="AG821" s="28"/>
      <c r="AH821" s="28" t="s">
        <v>90</v>
      </c>
      <c r="AI821" s="28" t="s">
        <v>90</v>
      </c>
      <c r="AJ821" s="28" t="s">
        <v>90</v>
      </c>
      <c r="AK821" s="28" t="s">
        <v>90</v>
      </c>
      <c r="AL821" s="28" t="s">
        <v>90</v>
      </c>
      <c r="AM821" s="28" t="s">
        <v>90</v>
      </c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31"/>
      <c r="AY821" s="31"/>
      <c r="AZ821" s="30"/>
      <c r="BA821" s="64" t="s">
        <v>222</v>
      </c>
      <c r="BB821" s="64"/>
      <c r="BC821" s="30"/>
      <c r="BD821" s="31">
        <f t="shared" si="181"/>
        <v>0</v>
      </c>
      <c r="BE821" s="30"/>
      <c r="BF821" s="30"/>
      <c r="BG821" s="36">
        <v>1</v>
      </c>
      <c r="BH821" s="30"/>
      <c r="BI821" s="31"/>
      <c r="BJ821" s="30"/>
      <c r="BK821" s="30"/>
      <c r="BL821" s="30"/>
      <c r="BM821" s="30"/>
      <c r="BN821" s="30"/>
      <c r="BO821" s="33">
        <f t="shared" si="171"/>
        <v>0</v>
      </c>
      <c r="BP821" s="30">
        <v>17</v>
      </c>
      <c r="BQ821" s="30">
        <v>26</v>
      </c>
      <c r="BR821" s="30"/>
      <c r="BS821" s="30"/>
      <c r="BT821" s="34">
        <f t="shared" si="172"/>
        <v>0</v>
      </c>
      <c r="BU821" s="34"/>
      <c r="BV821" s="34"/>
      <c r="BW821" s="34"/>
      <c r="BX821" s="34"/>
      <c r="BY821" s="30"/>
      <c r="BZ821" s="31">
        <f t="shared" si="173"/>
        <v>0</v>
      </c>
      <c r="CA821" s="31">
        <f t="shared" si="174"/>
        <v>0</v>
      </c>
    </row>
    <row r="822" spans="1:79" ht="38.25" x14ac:dyDescent="0.25">
      <c r="A822" s="17"/>
      <c r="B822" s="2">
        <v>806</v>
      </c>
      <c r="C822" s="48">
        <v>624</v>
      </c>
      <c r="D822" s="48">
        <v>275</v>
      </c>
      <c r="E822" s="49">
        <v>0.76944444444444438</v>
      </c>
      <c r="F822" s="49">
        <v>0.7729166666666667</v>
      </c>
      <c r="G822" s="51" t="s">
        <v>230</v>
      </c>
      <c r="H822" s="18" t="s">
        <v>422</v>
      </c>
      <c r="I822" s="48">
        <v>4</v>
      </c>
      <c r="J822" s="52">
        <v>19</v>
      </c>
      <c r="K822" s="22">
        <v>240</v>
      </c>
      <c r="L822" s="23">
        <f t="shared" si="182"/>
        <v>960</v>
      </c>
      <c r="M822" s="24" t="s">
        <v>222</v>
      </c>
      <c r="N822" s="25" t="s">
        <v>223</v>
      </c>
      <c r="O822" s="25">
        <v>21</v>
      </c>
      <c r="P822" s="25" t="s">
        <v>224</v>
      </c>
      <c r="Q822" s="25">
        <v>31</v>
      </c>
      <c r="R822" s="17"/>
      <c r="S822" s="25"/>
      <c r="T822" s="26">
        <v>6157</v>
      </c>
      <c r="U822" s="26" t="s">
        <v>229</v>
      </c>
      <c r="V822" s="26">
        <v>6220</v>
      </c>
      <c r="W822" s="26" t="s">
        <v>216</v>
      </c>
      <c r="X822" s="27">
        <v>44816</v>
      </c>
      <c r="Y822" s="27">
        <v>45100</v>
      </c>
      <c r="Z822" s="27"/>
      <c r="AA822" s="27"/>
      <c r="AB822" s="26" t="s">
        <v>423</v>
      </c>
      <c r="AC822" s="26"/>
      <c r="AD822" s="28" t="s">
        <v>90</v>
      </c>
      <c r="AE822" s="28"/>
      <c r="AF822" s="28" t="s">
        <v>90</v>
      </c>
      <c r="AG822" s="28"/>
      <c r="AH822" s="28" t="s">
        <v>90</v>
      </c>
      <c r="AI822" s="28" t="s">
        <v>90</v>
      </c>
      <c r="AJ822" s="28" t="s">
        <v>90</v>
      </c>
      <c r="AK822" s="28" t="s">
        <v>90</v>
      </c>
      <c r="AL822" s="28" t="s">
        <v>90</v>
      </c>
      <c r="AM822" s="28" t="s">
        <v>90</v>
      </c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31"/>
      <c r="AY822" s="31"/>
      <c r="AZ822" s="30"/>
      <c r="BA822" s="64" t="s">
        <v>222</v>
      </c>
      <c r="BB822" s="64"/>
      <c r="BC822" s="30"/>
      <c r="BD822" s="31">
        <f t="shared" si="181"/>
        <v>0</v>
      </c>
      <c r="BE822" s="30"/>
      <c r="BF822" s="30"/>
      <c r="BG822" s="36">
        <v>1</v>
      </c>
      <c r="BH822" s="30"/>
      <c r="BI822" s="31"/>
      <c r="BJ822" s="30"/>
      <c r="BK822" s="30"/>
      <c r="BL822" s="30"/>
      <c r="BM822" s="30"/>
      <c r="BN822" s="30"/>
      <c r="BO822" s="33">
        <f t="shared" ref="BO822:BO885" si="183">BN822*K822</f>
        <v>0</v>
      </c>
      <c r="BP822" s="30">
        <v>17</v>
      </c>
      <c r="BQ822" s="30">
        <v>26</v>
      </c>
      <c r="BR822" s="30"/>
      <c r="BS822" s="30"/>
      <c r="BT822" s="34">
        <f t="shared" ref="BT822:BT885" si="184">SUM(AX822:AZ822)+SUM(BH822:BI822)+SUM(BK822:BL822)+BN822</f>
        <v>0</v>
      </c>
      <c r="BU822" s="34"/>
      <c r="BV822" s="34"/>
      <c r="BW822" s="34"/>
      <c r="BX822" s="34"/>
      <c r="BY822" s="30"/>
      <c r="BZ822" s="31">
        <f t="shared" ref="BZ822:BZ885" si="185">(BT822*BP822)+(BV822*BX822)</f>
        <v>0</v>
      </c>
      <c r="CA822" s="31">
        <f t="shared" si="174"/>
        <v>0</v>
      </c>
    </row>
    <row r="823" spans="1:79" ht="38.25" x14ac:dyDescent="0.25">
      <c r="A823" s="17"/>
      <c r="B823" s="2">
        <v>807</v>
      </c>
      <c r="C823" s="48">
        <v>624</v>
      </c>
      <c r="D823" s="48">
        <v>275</v>
      </c>
      <c r="E823" s="49">
        <v>0.76944444444444438</v>
      </c>
      <c r="F823" s="49">
        <v>0.77430555555555547</v>
      </c>
      <c r="G823" s="51" t="s">
        <v>230</v>
      </c>
      <c r="H823" s="18" t="s">
        <v>80</v>
      </c>
      <c r="I823" s="48">
        <v>4</v>
      </c>
      <c r="J823" s="52">
        <v>19</v>
      </c>
      <c r="K823" s="22">
        <v>67</v>
      </c>
      <c r="L823" s="23">
        <f t="shared" si="182"/>
        <v>268</v>
      </c>
      <c r="M823" s="24" t="s">
        <v>212</v>
      </c>
      <c r="N823" s="25" t="s">
        <v>228</v>
      </c>
      <c r="O823" s="25">
        <v>21</v>
      </c>
      <c r="P823" s="25"/>
      <c r="Q823" s="25"/>
      <c r="R823" s="56"/>
      <c r="S823" s="25"/>
      <c r="T823" s="26">
        <v>6157</v>
      </c>
      <c r="U823" s="26" t="s">
        <v>229</v>
      </c>
      <c r="V823" s="26">
        <v>6220</v>
      </c>
      <c r="W823" s="26" t="s">
        <v>216</v>
      </c>
      <c r="X823" s="27">
        <v>44562</v>
      </c>
      <c r="Y823" s="27">
        <v>44815</v>
      </c>
      <c r="Z823" s="27">
        <v>45101</v>
      </c>
      <c r="AA823" s="27">
        <v>45169</v>
      </c>
      <c r="AB823" s="28" t="s">
        <v>89</v>
      </c>
      <c r="AC823" s="28"/>
      <c r="AD823" s="28"/>
      <c r="AE823" s="28" t="s">
        <v>90</v>
      </c>
      <c r="AF823" s="28" t="s">
        <v>90</v>
      </c>
      <c r="AG823" s="28"/>
      <c r="AH823" s="28" t="s">
        <v>90</v>
      </c>
      <c r="AI823" s="28" t="s">
        <v>90</v>
      </c>
      <c r="AJ823" s="28" t="s">
        <v>90</v>
      </c>
      <c r="AK823" s="28" t="s">
        <v>90</v>
      </c>
      <c r="AL823" s="28" t="s">
        <v>90</v>
      </c>
      <c r="AM823" s="28" t="s">
        <v>90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31"/>
      <c r="AY823" s="31">
        <f>1.9*4</f>
        <v>7.6</v>
      </c>
      <c r="AZ823" s="30"/>
      <c r="BA823" s="30"/>
      <c r="BB823" s="30"/>
      <c r="BC823" s="30"/>
      <c r="BD823" s="31">
        <f t="shared" si="181"/>
        <v>0</v>
      </c>
      <c r="BE823" s="31">
        <f>AY823*K823</f>
        <v>509.2</v>
      </c>
      <c r="BF823" s="30"/>
      <c r="BG823" s="36">
        <v>1</v>
      </c>
      <c r="BH823" s="30"/>
      <c r="BI823" s="31"/>
      <c r="BJ823" s="30"/>
      <c r="BK823" s="31">
        <f>IF(AND((AY823/I823)&lt;2,BG823=1),(I823*2)-AY823,0)</f>
        <v>0.40000000000000036</v>
      </c>
      <c r="BL823" s="31">
        <f>IF(AND((AY823/I823)&lt;3,BG823=2),(I823*3)-AY823,0)</f>
        <v>0</v>
      </c>
      <c r="BM823" s="33">
        <f>(BK823+BL823)*K823</f>
        <v>26.800000000000026</v>
      </c>
      <c r="BN823" s="30"/>
      <c r="BO823" s="33">
        <f t="shared" si="183"/>
        <v>0</v>
      </c>
      <c r="BP823" s="30">
        <v>9</v>
      </c>
      <c r="BQ823" s="30">
        <v>0</v>
      </c>
      <c r="BR823" s="30"/>
      <c r="BS823" s="30"/>
      <c r="BT823" s="34">
        <f t="shared" si="184"/>
        <v>8</v>
      </c>
      <c r="BU823" s="34"/>
      <c r="BV823" s="34"/>
      <c r="BW823" s="34"/>
      <c r="BX823" s="34"/>
      <c r="BY823" s="30"/>
      <c r="BZ823" s="31">
        <f t="shared" si="185"/>
        <v>72</v>
      </c>
      <c r="CA823" s="31">
        <f t="shared" si="174"/>
        <v>0</v>
      </c>
    </row>
    <row r="824" spans="1:79" ht="90" x14ac:dyDescent="0.25">
      <c r="A824" s="17"/>
      <c r="B824" s="2">
        <v>808</v>
      </c>
      <c r="C824" s="18">
        <v>625</v>
      </c>
      <c r="D824" s="18">
        <v>583</v>
      </c>
      <c r="E824" s="19">
        <v>0.28819444444444448</v>
      </c>
      <c r="F824" s="19">
        <v>0.2951388888888889</v>
      </c>
      <c r="G824" s="18" t="s">
        <v>1673</v>
      </c>
      <c r="H824" s="18" t="s">
        <v>306</v>
      </c>
      <c r="I824" s="20">
        <v>5</v>
      </c>
      <c r="J824" s="21" t="s">
        <v>807</v>
      </c>
      <c r="K824" s="22">
        <v>208</v>
      </c>
      <c r="L824" s="23">
        <f t="shared" si="182"/>
        <v>1040</v>
      </c>
      <c r="M824" s="24" t="s">
        <v>1667</v>
      </c>
      <c r="N824" s="25" t="s">
        <v>1674</v>
      </c>
      <c r="O824" s="25">
        <v>43</v>
      </c>
      <c r="P824" s="25" t="s">
        <v>1675</v>
      </c>
      <c r="Q824" s="25">
        <v>54</v>
      </c>
      <c r="R824" s="25" t="s">
        <v>1676</v>
      </c>
      <c r="S824" s="35" t="s">
        <v>1677</v>
      </c>
      <c r="T824" s="26" t="s">
        <v>1678</v>
      </c>
      <c r="U824" s="26" t="s">
        <v>1679</v>
      </c>
      <c r="V824" s="26" t="s">
        <v>1680</v>
      </c>
      <c r="W824" s="26" t="s">
        <v>1681</v>
      </c>
      <c r="X824" s="66">
        <v>44816</v>
      </c>
      <c r="Y824" s="66">
        <v>45086</v>
      </c>
      <c r="Z824" s="66"/>
      <c r="AA824" s="66"/>
      <c r="AB824" s="26" t="s">
        <v>309</v>
      </c>
      <c r="AC824" s="26"/>
      <c r="AD824" s="28"/>
      <c r="AE824" s="28"/>
      <c r="AF824" s="28"/>
      <c r="AG824" s="28" t="s">
        <v>90</v>
      </c>
      <c r="AH824" s="28" t="s">
        <v>90</v>
      </c>
      <c r="AI824" s="28" t="s">
        <v>90</v>
      </c>
      <c r="AJ824" s="28" t="s">
        <v>90</v>
      </c>
      <c r="AK824" s="28" t="s">
        <v>90</v>
      </c>
      <c r="AL824" s="28" t="s">
        <v>90</v>
      </c>
      <c r="AM824" s="28" t="s">
        <v>90</v>
      </c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9">
        <v>21.12</v>
      </c>
      <c r="AY824" s="29"/>
      <c r="AZ824" s="30"/>
      <c r="BA824" s="30"/>
      <c r="BB824" s="30"/>
      <c r="BC824" s="30"/>
      <c r="BD824" s="31">
        <f t="shared" si="181"/>
        <v>4392.96</v>
      </c>
      <c r="BE824" s="31"/>
      <c r="BF824" s="30"/>
      <c r="BG824" s="32">
        <v>2</v>
      </c>
      <c r="BH824" s="31">
        <f>IF(AND((AX824/I824)&lt;2,BG824=1),(I824*2)-AX824,0)</f>
        <v>0</v>
      </c>
      <c r="BI824" s="31">
        <f>IF(AND((AX824/I824)&lt;3,BG824=2),(I824*3)-AX824,0)</f>
        <v>0</v>
      </c>
      <c r="BJ824" s="33">
        <f>(BH824+BI824)*K824</f>
        <v>0</v>
      </c>
      <c r="BK824" s="30"/>
      <c r="BL824" s="30"/>
      <c r="BM824" s="30"/>
      <c r="BN824" s="31">
        <f>IF((AX824+AY824+AZ824)&lt;20,(20-(AX824+AY824+AZ824)),0)</f>
        <v>0</v>
      </c>
      <c r="BO824" s="33">
        <f t="shared" si="183"/>
        <v>0</v>
      </c>
      <c r="BP824" s="30">
        <v>17</v>
      </c>
      <c r="BQ824" s="30">
        <v>25</v>
      </c>
      <c r="BR824" s="30"/>
      <c r="BS824" s="30"/>
      <c r="BT824" s="34">
        <f t="shared" si="184"/>
        <v>21.12</v>
      </c>
      <c r="BU824" s="34"/>
      <c r="BV824" s="34"/>
      <c r="BW824" s="34"/>
      <c r="BX824" s="34"/>
      <c r="BY824" s="30"/>
      <c r="BZ824" s="31">
        <f t="shared" si="185"/>
        <v>359.04</v>
      </c>
      <c r="CA824" s="31">
        <f t="shared" si="174"/>
        <v>528</v>
      </c>
    </row>
    <row r="825" spans="1:79" ht="90" x14ac:dyDescent="0.25">
      <c r="A825" s="17"/>
      <c r="B825" s="2">
        <v>809</v>
      </c>
      <c r="C825" s="18">
        <v>625</v>
      </c>
      <c r="D825" s="18">
        <v>581</v>
      </c>
      <c r="E825" s="19">
        <v>0.3</v>
      </c>
      <c r="F825" s="19">
        <v>0.30694444444444441</v>
      </c>
      <c r="G825" s="18" t="s">
        <v>1682</v>
      </c>
      <c r="H825" s="18" t="s">
        <v>273</v>
      </c>
      <c r="I825" s="20">
        <f>4+1</f>
        <v>5</v>
      </c>
      <c r="J825" s="21" t="s">
        <v>807</v>
      </c>
      <c r="K825" s="22">
        <v>174</v>
      </c>
      <c r="L825" s="23">
        <f t="shared" si="182"/>
        <v>870</v>
      </c>
      <c r="M825" s="24" t="s">
        <v>1667</v>
      </c>
      <c r="N825" s="25" t="s">
        <v>1674</v>
      </c>
      <c r="O825" s="25">
        <v>43</v>
      </c>
      <c r="P825" s="25" t="s">
        <v>1675</v>
      </c>
      <c r="Q825" s="25">
        <v>54</v>
      </c>
      <c r="R825" s="25" t="s">
        <v>1683</v>
      </c>
      <c r="S825" s="35">
        <v>55</v>
      </c>
      <c r="T825" s="26" t="s">
        <v>1678</v>
      </c>
      <c r="U825" s="26" t="s">
        <v>1679</v>
      </c>
      <c r="V825" s="26" t="s">
        <v>1680</v>
      </c>
      <c r="W825" s="26" t="s">
        <v>1681</v>
      </c>
      <c r="X825" s="66">
        <v>44816</v>
      </c>
      <c r="Y825" s="66">
        <v>45086</v>
      </c>
      <c r="Z825" s="66"/>
      <c r="AA825" s="66"/>
      <c r="AB825" s="26" t="s">
        <v>282</v>
      </c>
      <c r="AC825" s="26"/>
      <c r="AD825" s="28"/>
      <c r="AE825" s="28"/>
      <c r="AF825" s="28"/>
      <c r="AG825" s="28" t="s">
        <v>90</v>
      </c>
      <c r="AH825" s="28" t="s">
        <v>90</v>
      </c>
      <c r="AI825" s="28" t="s">
        <v>90</v>
      </c>
      <c r="AJ825" s="28" t="s">
        <v>90</v>
      </c>
      <c r="AK825" s="28" t="s">
        <v>90</v>
      </c>
      <c r="AL825" s="28" t="s">
        <v>90</v>
      </c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9">
        <v>21.12</v>
      </c>
      <c r="AY825" s="29"/>
      <c r="AZ825" s="30"/>
      <c r="BA825" s="30"/>
      <c r="BB825" s="30"/>
      <c r="BC825" s="30"/>
      <c r="BD825" s="31">
        <f t="shared" si="181"/>
        <v>3674.88</v>
      </c>
      <c r="BE825" s="31"/>
      <c r="BF825" s="30"/>
      <c r="BG825" s="32">
        <v>2</v>
      </c>
      <c r="BH825" s="31">
        <f>IF(AND((AX825/I825)&lt;2,BG825=1),(I825*2)-AX825,0)</f>
        <v>0</v>
      </c>
      <c r="BI825" s="31">
        <f>IF(AND((AX825/I825)&lt;3,BG825=2),(I825*3)-AX825,0)</f>
        <v>0</v>
      </c>
      <c r="BJ825" s="33">
        <f>(BH825+BI825)*K825</f>
        <v>0</v>
      </c>
      <c r="BK825" s="30"/>
      <c r="BL825" s="30"/>
      <c r="BM825" s="30"/>
      <c r="BN825" s="30"/>
      <c r="BO825" s="33">
        <f t="shared" si="183"/>
        <v>0</v>
      </c>
      <c r="BP825" s="30">
        <v>15</v>
      </c>
      <c r="BQ825" s="30">
        <v>20</v>
      </c>
      <c r="BR825" s="30"/>
      <c r="BS825" s="30"/>
      <c r="BT825" s="34">
        <f t="shared" si="184"/>
        <v>21.12</v>
      </c>
      <c r="BU825" s="34"/>
      <c r="BV825" s="34"/>
      <c r="BW825" s="34"/>
      <c r="BX825" s="34"/>
      <c r="BY825" s="30"/>
      <c r="BZ825" s="31">
        <f t="shared" si="185"/>
        <v>316.8</v>
      </c>
      <c r="CA825" s="31">
        <f t="shared" si="174"/>
        <v>422.40000000000003</v>
      </c>
    </row>
    <row r="826" spans="1:79" ht="90" x14ac:dyDescent="0.25">
      <c r="A826" s="17"/>
      <c r="B826" s="2">
        <v>810</v>
      </c>
      <c r="C826" s="48">
        <v>625</v>
      </c>
      <c r="D826" s="48">
        <v>506</v>
      </c>
      <c r="E826" s="49">
        <v>0.72916666666666663</v>
      </c>
      <c r="F826" s="49">
        <v>0.75069444444444444</v>
      </c>
      <c r="G826" s="51" t="s">
        <v>1684</v>
      </c>
      <c r="H826" s="18" t="s">
        <v>422</v>
      </c>
      <c r="I826" s="48">
        <v>14</v>
      </c>
      <c r="J826" s="52">
        <v>19</v>
      </c>
      <c r="K826" s="22">
        <v>240</v>
      </c>
      <c r="L826" s="23">
        <f t="shared" si="182"/>
        <v>3360</v>
      </c>
      <c r="M826" s="24" t="s">
        <v>1667</v>
      </c>
      <c r="N826" s="25" t="s">
        <v>1685</v>
      </c>
      <c r="O826" s="25">
        <v>24</v>
      </c>
      <c r="P826" s="25" t="s">
        <v>1669</v>
      </c>
      <c r="Q826" s="25">
        <v>21</v>
      </c>
      <c r="R826" s="25" t="s">
        <v>1668</v>
      </c>
      <c r="S826" s="35">
        <v>21</v>
      </c>
      <c r="T826" s="26" t="s">
        <v>1686</v>
      </c>
      <c r="U826" s="26" t="s">
        <v>1687</v>
      </c>
      <c r="V826" s="26">
        <v>6191</v>
      </c>
      <c r="W826" s="26" t="s">
        <v>1688</v>
      </c>
      <c r="X826" s="27">
        <v>44816</v>
      </c>
      <c r="Y826" s="27">
        <v>45100</v>
      </c>
      <c r="Z826" s="27"/>
      <c r="AA826" s="27"/>
      <c r="AB826" s="26" t="s">
        <v>423</v>
      </c>
      <c r="AC826" s="26"/>
      <c r="AD826" s="28" t="s">
        <v>90</v>
      </c>
      <c r="AE826" s="28"/>
      <c r="AF826" s="28" t="s">
        <v>90</v>
      </c>
      <c r="AG826" s="28"/>
      <c r="AH826" s="28" t="s">
        <v>90</v>
      </c>
      <c r="AI826" s="28" t="s">
        <v>90</v>
      </c>
      <c r="AJ826" s="28" t="s">
        <v>90</v>
      </c>
      <c r="AK826" s="28" t="s">
        <v>90</v>
      </c>
      <c r="AL826" s="28" t="s">
        <v>90</v>
      </c>
      <c r="AM826" s="28" t="s">
        <v>90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31"/>
      <c r="AY826" s="31">
        <f>1.9*14</f>
        <v>26.599999999999998</v>
      </c>
      <c r="AZ826" s="30"/>
      <c r="BA826" s="30"/>
      <c r="BB826" s="30"/>
      <c r="BC826" s="30"/>
      <c r="BD826" s="31">
        <f t="shared" si="181"/>
        <v>0</v>
      </c>
      <c r="BE826" s="31">
        <f>AY826*K826</f>
        <v>6383.9999999999991</v>
      </c>
      <c r="BF826" s="30"/>
      <c r="BG826" s="36">
        <v>1</v>
      </c>
      <c r="BH826" s="30"/>
      <c r="BI826" s="31"/>
      <c r="BJ826" s="30"/>
      <c r="BK826" s="31">
        <f>IF(AND((AY826/I826)&lt;2,BG826=1),(I826*2)-AY826,0)</f>
        <v>1.4000000000000021</v>
      </c>
      <c r="BL826" s="31">
        <f>IF(AND((AY826/I826)&lt;3,BG826=2),(I826*3)-AY826,0)</f>
        <v>0</v>
      </c>
      <c r="BM826" s="33">
        <f>(BK826+BL826)*K826</f>
        <v>336.00000000000051</v>
      </c>
      <c r="BN826" s="30"/>
      <c r="BO826" s="33">
        <f t="shared" si="183"/>
        <v>0</v>
      </c>
      <c r="BP826" s="30">
        <v>17</v>
      </c>
      <c r="BQ826" s="30">
        <v>26</v>
      </c>
      <c r="BR826" s="30"/>
      <c r="BS826" s="30"/>
      <c r="BT826" s="34">
        <f t="shared" si="184"/>
        <v>28</v>
      </c>
      <c r="BU826" s="34"/>
      <c r="BV826" s="34"/>
      <c r="BW826" s="34"/>
      <c r="BX826" s="34"/>
      <c r="BY826" s="30"/>
      <c r="BZ826" s="31">
        <f t="shared" si="185"/>
        <v>476</v>
      </c>
      <c r="CA826" s="31">
        <f t="shared" si="174"/>
        <v>728</v>
      </c>
    </row>
    <row r="827" spans="1:79" ht="90" x14ac:dyDescent="0.25">
      <c r="A827" s="17"/>
      <c r="B827" s="2">
        <v>811</v>
      </c>
      <c r="C827" s="48">
        <v>625</v>
      </c>
      <c r="D827" s="48">
        <v>701</v>
      </c>
      <c r="E827" s="49">
        <v>0.75069444444444444</v>
      </c>
      <c r="F827" s="49">
        <v>0.76388888888888884</v>
      </c>
      <c r="G827" s="51" t="s">
        <v>1689</v>
      </c>
      <c r="H827" s="18" t="s">
        <v>422</v>
      </c>
      <c r="I827" s="48">
        <v>14</v>
      </c>
      <c r="J827" s="52">
        <v>19</v>
      </c>
      <c r="K827" s="22">
        <v>240</v>
      </c>
      <c r="L827" s="23">
        <f t="shared" si="182"/>
        <v>3360</v>
      </c>
      <c r="M827" s="24" t="s">
        <v>1667</v>
      </c>
      <c r="N827" s="25" t="s">
        <v>1685</v>
      </c>
      <c r="O827" s="25">
        <v>24</v>
      </c>
      <c r="P827" s="25" t="s">
        <v>1669</v>
      </c>
      <c r="Q827" s="25">
        <v>21</v>
      </c>
      <c r="R827" s="25" t="s">
        <v>1668</v>
      </c>
      <c r="S827" s="35">
        <v>21</v>
      </c>
      <c r="T827" s="26">
        <v>6191</v>
      </c>
      <c r="U827" s="26" t="s">
        <v>1688</v>
      </c>
      <c r="V827" s="26">
        <v>6220</v>
      </c>
      <c r="W827" s="26" t="s">
        <v>216</v>
      </c>
      <c r="X827" s="27">
        <v>44816</v>
      </c>
      <c r="Y827" s="27">
        <v>45100</v>
      </c>
      <c r="Z827" s="27"/>
      <c r="AA827" s="27"/>
      <c r="AB827" s="26" t="s">
        <v>423</v>
      </c>
      <c r="AC827" s="26"/>
      <c r="AD827" s="28" t="s">
        <v>90</v>
      </c>
      <c r="AE827" s="28"/>
      <c r="AF827" s="28" t="s">
        <v>90</v>
      </c>
      <c r="AG827" s="28"/>
      <c r="AH827" s="28" t="s">
        <v>90</v>
      </c>
      <c r="AI827" s="28" t="s">
        <v>90</v>
      </c>
      <c r="AJ827" s="28" t="s">
        <v>90</v>
      </c>
      <c r="AK827" s="28" t="s">
        <v>90</v>
      </c>
      <c r="AL827" s="28" t="s">
        <v>90</v>
      </c>
      <c r="AM827" s="28" t="s">
        <v>90</v>
      </c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31"/>
      <c r="AY827" s="31">
        <f>1.9*14</f>
        <v>26.599999999999998</v>
      </c>
      <c r="AZ827" s="30"/>
      <c r="BA827" s="30"/>
      <c r="BB827" s="30"/>
      <c r="BC827" s="30"/>
      <c r="BD827" s="31">
        <f t="shared" si="181"/>
        <v>0</v>
      </c>
      <c r="BE827" s="31">
        <f>AY827*K827</f>
        <v>6383.9999999999991</v>
      </c>
      <c r="BF827" s="30"/>
      <c r="BG827" s="36">
        <v>1</v>
      </c>
      <c r="BH827" s="30"/>
      <c r="BI827" s="31"/>
      <c r="BJ827" s="30"/>
      <c r="BK827" s="31">
        <f>IF(AND((AY827/I827)&lt;2,BG827=1),(I827*2)-AY827,0)</f>
        <v>1.4000000000000021</v>
      </c>
      <c r="BL827" s="31">
        <f>IF(AND((AY827/I827)&lt;3,BG827=2),(I827*3)-AY827,0)</f>
        <v>0</v>
      </c>
      <c r="BM827" s="33">
        <f>(BK827+BL827)*K827</f>
        <v>336.00000000000051</v>
      </c>
      <c r="BN827" s="30"/>
      <c r="BO827" s="33">
        <f t="shared" si="183"/>
        <v>0</v>
      </c>
      <c r="BP827" s="30">
        <v>17</v>
      </c>
      <c r="BQ827" s="30">
        <v>26</v>
      </c>
      <c r="BR827" s="30"/>
      <c r="BS827" s="30"/>
      <c r="BT827" s="34">
        <f t="shared" si="184"/>
        <v>28</v>
      </c>
      <c r="BU827" s="34"/>
      <c r="BV827" s="34"/>
      <c r="BW827" s="34"/>
      <c r="BX827" s="34"/>
      <c r="BY827" s="30"/>
      <c r="BZ827" s="31">
        <f t="shared" si="185"/>
        <v>476</v>
      </c>
      <c r="CA827" s="31">
        <f t="shared" si="174"/>
        <v>728</v>
      </c>
    </row>
    <row r="828" spans="1:79" ht="56.25" x14ac:dyDescent="0.25">
      <c r="A828" s="17"/>
      <c r="B828" s="2">
        <v>812</v>
      </c>
      <c r="C828" s="18">
        <v>627</v>
      </c>
      <c r="D828" s="18">
        <v>403</v>
      </c>
      <c r="E828" s="19">
        <v>0.25208333333333333</v>
      </c>
      <c r="F828" s="19">
        <v>0.27083333333333331</v>
      </c>
      <c r="G828" s="18" t="s">
        <v>1690</v>
      </c>
      <c r="H828" s="18" t="s">
        <v>273</v>
      </c>
      <c r="I828" s="20">
        <v>12</v>
      </c>
      <c r="J828" s="21" t="s">
        <v>93</v>
      </c>
      <c r="K828" s="22">
        <v>174</v>
      </c>
      <c r="L828" s="23">
        <f t="shared" si="182"/>
        <v>2088</v>
      </c>
      <c r="M828" s="24" t="s">
        <v>1691</v>
      </c>
      <c r="N828" s="25" t="s">
        <v>1692</v>
      </c>
      <c r="O828" s="25">
        <v>29</v>
      </c>
      <c r="P828" s="25" t="s">
        <v>1693</v>
      </c>
      <c r="Q828" s="25">
        <v>23</v>
      </c>
      <c r="R828" s="25" t="s">
        <v>1694</v>
      </c>
      <c r="S828" s="25" t="s">
        <v>1695</v>
      </c>
      <c r="T828" s="26" t="s">
        <v>1696</v>
      </c>
      <c r="U828" s="26" t="s">
        <v>1697</v>
      </c>
      <c r="V828" s="26">
        <v>6200</v>
      </c>
      <c r="W828" s="26" t="s">
        <v>1589</v>
      </c>
      <c r="X828" s="66">
        <v>44816</v>
      </c>
      <c r="Y828" s="66">
        <v>45086</v>
      </c>
      <c r="Z828" s="66"/>
      <c r="AA828" s="66"/>
      <c r="AB828" s="26" t="s">
        <v>282</v>
      </c>
      <c r="AC828" s="26"/>
      <c r="AD828" s="28"/>
      <c r="AE828" s="28"/>
      <c r="AF828" s="28"/>
      <c r="AG828" s="28" t="s">
        <v>90</v>
      </c>
      <c r="AH828" s="28" t="s">
        <v>90</v>
      </c>
      <c r="AI828" s="28" t="s">
        <v>90</v>
      </c>
      <c r="AJ828" s="28" t="s">
        <v>90</v>
      </c>
      <c r="AK828" s="28" t="s">
        <v>90</v>
      </c>
      <c r="AL828" s="28" t="s">
        <v>90</v>
      </c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9">
        <v>10</v>
      </c>
      <c r="AY828" s="126">
        <v>38</v>
      </c>
      <c r="AZ828" s="30"/>
      <c r="BA828" s="30"/>
      <c r="BB828" s="30"/>
      <c r="BC828" s="30"/>
      <c r="BD828" s="31">
        <f t="shared" si="181"/>
        <v>1740</v>
      </c>
      <c r="BE828" s="31"/>
      <c r="BF828" s="30"/>
      <c r="BG828" s="36">
        <v>1</v>
      </c>
      <c r="BH828" s="31">
        <f>IF(AND(((AX828+AY828)/I828)&lt;2,BG828=1),(I828*2)-(AX828+AY828),0)</f>
        <v>0</v>
      </c>
      <c r="BI828" s="31">
        <f>IF(AND((AX828/I828)&lt;3,BG828=2),(I828*3)-AX828,0)</f>
        <v>0</v>
      </c>
      <c r="BJ828" s="31">
        <f>(BH828+BI828)*K828</f>
        <v>0</v>
      </c>
      <c r="BK828" s="63"/>
      <c r="BL828" s="63"/>
      <c r="BM828" s="63"/>
      <c r="BN828" s="31">
        <f>IF((AX828+AY828+AZ828+BH828)&lt;20,(20-(AX828+AY828+AZ828)),0)</f>
        <v>0</v>
      </c>
      <c r="BO828" s="33">
        <f t="shared" si="183"/>
        <v>0</v>
      </c>
      <c r="BP828" s="30">
        <v>15</v>
      </c>
      <c r="BQ828" s="30">
        <v>20</v>
      </c>
      <c r="BR828" s="63"/>
      <c r="BS828" s="63"/>
      <c r="BT828" s="34">
        <f t="shared" si="184"/>
        <v>48</v>
      </c>
      <c r="BU828" s="34"/>
      <c r="BV828" s="34"/>
      <c r="BW828" s="34"/>
      <c r="BX828" s="34"/>
      <c r="BY828" s="63"/>
      <c r="BZ828" s="31">
        <f t="shared" si="185"/>
        <v>720</v>
      </c>
      <c r="CA828" s="31">
        <f t="shared" si="174"/>
        <v>960</v>
      </c>
    </row>
    <row r="829" spans="1:79" ht="56.25" x14ac:dyDescent="0.25">
      <c r="A829" s="17"/>
      <c r="B829" s="2">
        <v>813</v>
      </c>
      <c r="C829" s="48">
        <v>627</v>
      </c>
      <c r="D829" s="48">
        <v>403</v>
      </c>
      <c r="E829" s="50">
        <v>0.25347222222222221</v>
      </c>
      <c r="F829" s="50">
        <v>0.27083333333333331</v>
      </c>
      <c r="G829" s="51" t="s">
        <v>1698</v>
      </c>
      <c r="H829" s="18" t="s">
        <v>379</v>
      </c>
      <c r="I829" s="48">
        <v>11</v>
      </c>
      <c r="J829" s="52">
        <v>19</v>
      </c>
      <c r="K829" s="22">
        <v>34</v>
      </c>
      <c r="L829" s="23">
        <f t="shared" si="182"/>
        <v>374</v>
      </c>
      <c r="M829" s="24" t="s">
        <v>1691</v>
      </c>
      <c r="N829" s="25" t="s">
        <v>1692</v>
      </c>
      <c r="O829" s="25">
        <v>29</v>
      </c>
      <c r="P829" s="25" t="s">
        <v>1693</v>
      </c>
      <c r="Q829" s="25">
        <v>23</v>
      </c>
      <c r="R829" s="25" t="s">
        <v>1694</v>
      </c>
      <c r="S829" s="25" t="s">
        <v>1695</v>
      </c>
      <c r="T829" s="26">
        <v>6504</v>
      </c>
      <c r="U829" s="26" t="s">
        <v>1699</v>
      </c>
      <c r="V829" s="26">
        <v>6200</v>
      </c>
      <c r="W829" s="26" t="s">
        <v>1589</v>
      </c>
      <c r="X829" s="66">
        <v>44816</v>
      </c>
      <c r="Y829" s="66">
        <v>45086</v>
      </c>
      <c r="Z829" s="66"/>
      <c r="AA829" s="66"/>
      <c r="AB829" s="28" t="s">
        <v>382</v>
      </c>
      <c r="AC829" s="28"/>
      <c r="AD829" s="28"/>
      <c r="AE829" s="28"/>
      <c r="AF829" s="28"/>
      <c r="AG829" s="28" t="s">
        <v>90</v>
      </c>
      <c r="AH829" s="28"/>
      <c r="AI829" s="28"/>
      <c r="AJ829" s="28"/>
      <c r="AK829" s="28"/>
      <c r="AL829" s="28"/>
      <c r="AM829" s="28" t="s">
        <v>90</v>
      </c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31"/>
      <c r="AY829" s="126">
        <v>38</v>
      </c>
      <c r="AZ829" s="30"/>
      <c r="BA829" s="30"/>
      <c r="BB829" s="30"/>
      <c r="BC829" s="30"/>
      <c r="BD829" s="31">
        <f t="shared" si="181"/>
        <v>0</v>
      </c>
      <c r="BE829" s="31">
        <f>AY829*K829</f>
        <v>1292</v>
      </c>
      <c r="BF829" s="30"/>
      <c r="BG829" s="36">
        <v>1</v>
      </c>
      <c r="BH829" s="63"/>
      <c r="BI829" s="31"/>
      <c r="BJ829" s="63"/>
      <c r="BK829" s="31">
        <f>IF(AND((AY829/I829)&lt;2,BG829=1),(I829*2)-AY829,0)</f>
        <v>0</v>
      </c>
      <c r="BL829" s="31">
        <f>IF(AND((AY829/I829)&lt;3,BG829=2),(I829*3)-AY829,0)</f>
        <v>0</v>
      </c>
      <c r="BM829" s="33">
        <f>(BK829+BL829)*K829</f>
        <v>0</v>
      </c>
      <c r="BN829" s="31">
        <f>IF((AX829+AY829+AZ829)&lt;20,(20-(AX829+AY829+AZ829)),0)</f>
        <v>0</v>
      </c>
      <c r="BO829" s="33">
        <f t="shared" si="183"/>
        <v>0</v>
      </c>
      <c r="BP829" s="30">
        <v>2</v>
      </c>
      <c r="BQ829" s="30">
        <v>5</v>
      </c>
      <c r="BR829" s="63"/>
      <c r="BS829" s="63"/>
      <c r="BT829" s="34">
        <f t="shared" si="184"/>
        <v>38</v>
      </c>
      <c r="BU829" s="34"/>
      <c r="BV829" s="34"/>
      <c r="BW829" s="34"/>
      <c r="BX829" s="34"/>
      <c r="BY829" s="63"/>
      <c r="BZ829" s="31">
        <f t="shared" si="185"/>
        <v>76</v>
      </c>
      <c r="CA829" s="31">
        <f t="shared" si="174"/>
        <v>190</v>
      </c>
    </row>
    <row r="830" spans="1:79" ht="63.75" x14ac:dyDescent="0.25">
      <c r="A830" s="17"/>
      <c r="B830" s="2">
        <v>814</v>
      </c>
      <c r="C830" s="18">
        <v>627</v>
      </c>
      <c r="D830" s="18">
        <v>243</v>
      </c>
      <c r="E830" s="19">
        <v>0.28819444444444448</v>
      </c>
      <c r="F830" s="19">
        <v>0.30625000000000002</v>
      </c>
      <c r="G830" s="18" t="s">
        <v>1700</v>
      </c>
      <c r="H830" s="18" t="s">
        <v>273</v>
      </c>
      <c r="I830" s="20">
        <v>13</v>
      </c>
      <c r="J830" s="21" t="s">
        <v>1653</v>
      </c>
      <c r="K830" s="22">
        <v>174</v>
      </c>
      <c r="L830" s="23">
        <f t="shared" si="182"/>
        <v>2262</v>
      </c>
      <c r="M830" s="24" t="s">
        <v>445</v>
      </c>
      <c r="N830" s="25" t="s">
        <v>1662</v>
      </c>
      <c r="O830" s="25">
        <v>51</v>
      </c>
      <c r="P830" s="25" t="s">
        <v>1663</v>
      </c>
      <c r="Q830" s="25">
        <v>58</v>
      </c>
      <c r="R830" s="17"/>
      <c r="S830" s="25"/>
      <c r="T830" s="26">
        <v>6502</v>
      </c>
      <c r="U830" s="26" t="s">
        <v>1701</v>
      </c>
      <c r="V830" s="26" t="s">
        <v>1664</v>
      </c>
      <c r="W830" s="26" t="s">
        <v>1665</v>
      </c>
      <c r="X830" s="66">
        <v>44816</v>
      </c>
      <c r="Y830" s="66">
        <v>45086</v>
      </c>
      <c r="Z830" s="66"/>
      <c r="AA830" s="66"/>
      <c r="AB830" s="26" t="s">
        <v>282</v>
      </c>
      <c r="AC830" s="26"/>
      <c r="AD830" s="28"/>
      <c r="AE830" s="28"/>
      <c r="AF830" s="28"/>
      <c r="AG830" s="28" t="s">
        <v>90</v>
      </c>
      <c r="AH830" s="28" t="s">
        <v>90</v>
      </c>
      <c r="AI830" s="28" t="s">
        <v>90</v>
      </c>
      <c r="AJ830" s="28" t="s">
        <v>90</v>
      </c>
      <c r="AK830" s="28" t="s">
        <v>90</v>
      </c>
      <c r="AL830" s="28" t="s">
        <v>90</v>
      </c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9">
        <v>100</v>
      </c>
      <c r="AY830" s="29"/>
      <c r="AZ830" s="30"/>
      <c r="BA830" s="30"/>
      <c r="BB830" s="30"/>
      <c r="BC830" s="30"/>
      <c r="BD830" s="31">
        <f t="shared" si="181"/>
        <v>17400</v>
      </c>
      <c r="BE830" s="31"/>
      <c r="BF830" s="30"/>
      <c r="BG830" s="32">
        <v>2</v>
      </c>
      <c r="BH830" s="31">
        <f>IF(AND((AX830/I830)&lt;2,BG830=1),(I830*2)-AX830,0)</f>
        <v>0</v>
      </c>
      <c r="BI830" s="31">
        <f>IF(AND((AX830/I830)&lt;3,BG830=2),(I830*3)-AX830,0)</f>
        <v>0</v>
      </c>
      <c r="BJ830" s="33">
        <f>(BH830+BI830)*K830</f>
        <v>0</v>
      </c>
      <c r="BK830" s="63"/>
      <c r="BL830" s="63"/>
      <c r="BM830" s="63"/>
      <c r="BN830" s="31">
        <f>IF((AX830+AY830+AZ830)&lt;20,(20-(AX830+AY830+AZ830)),0)</f>
        <v>0</v>
      </c>
      <c r="BO830" s="33">
        <f t="shared" si="183"/>
        <v>0</v>
      </c>
      <c r="BP830" s="30">
        <v>15</v>
      </c>
      <c r="BQ830" s="30">
        <v>20</v>
      </c>
      <c r="BR830" s="63"/>
      <c r="BS830" s="63"/>
      <c r="BT830" s="34">
        <f t="shared" si="184"/>
        <v>100</v>
      </c>
      <c r="BU830" s="34"/>
      <c r="BV830" s="34"/>
      <c r="BW830" s="34"/>
      <c r="BX830" s="34"/>
      <c r="BY830" s="63"/>
      <c r="BZ830" s="31">
        <f t="shared" si="185"/>
        <v>1500</v>
      </c>
      <c r="CA830" s="31">
        <f t="shared" si="174"/>
        <v>2000</v>
      </c>
    </row>
    <row r="831" spans="1:79" ht="90" x14ac:dyDescent="0.25">
      <c r="A831" s="17"/>
      <c r="B831" s="2">
        <v>815</v>
      </c>
      <c r="C831" s="18">
        <v>627</v>
      </c>
      <c r="D831" s="18">
        <v>778</v>
      </c>
      <c r="E831" s="19">
        <v>0.54999999999999993</v>
      </c>
      <c r="F831" s="19">
        <v>0.56736111111111109</v>
      </c>
      <c r="G831" s="18" t="s">
        <v>1702</v>
      </c>
      <c r="H831" s="18" t="s">
        <v>1462</v>
      </c>
      <c r="I831" s="20">
        <v>14</v>
      </c>
      <c r="J831" s="21" t="s">
        <v>807</v>
      </c>
      <c r="K831" s="22">
        <v>34</v>
      </c>
      <c r="L831" s="23">
        <f t="shared" si="182"/>
        <v>476</v>
      </c>
      <c r="M831" s="24" t="s">
        <v>1667</v>
      </c>
      <c r="N831" s="25" t="s">
        <v>1703</v>
      </c>
      <c r="O831" s="25">
        <v>43</v>
      </c>
      <c r="P831" s="25" t="s">
        <v>1704</v>
      </c>
      <c r="Q831" s="25">
        <v>24</v>
      </c>
      <c r="R831" s="25" t="s">
        <v>1683</v>
      </c>
      <c r="S831" s="35">
        <v>55</v>
      </c>
      <c r="T831" s="26">
        <v>6200</v>
      </c>
      <c r="U831" s="26" t="s">
        <v>1589</v>
      </c>
      <c r="V831" s="26">
        <v>6504</v>
      </c>
      <c r="W831" s="26" t="s">
        <v>1699</v>
      </c>
      <c r="X831" s="66">
        <v>44816</v>
      </c>
      <c r="Y831" s="66">
        <v>45086</v>
      </c>
      <c r="Z831" s="66"/>
      <c r="AA831" s="66"/>
      <c r="AB831" s="26" t="s">
        <v>382</v>
      </c>
      <c r="AC831" s="26"/>
      <c r="AD831" s="28"/>
      <c r="AE831" s="28"/>
      <c r="AF831" s="28"/>
      <c r="AG831" s="28" t="s">
        <v>90</v>
      </c>
      <c r="AH831" s="28"/>
      <c r="AI831" s="28"/>
      <c r="AJ831" s="28"/>
      <c r="AK831" s="28"/>
      <c r="AL831" s="28"/>
      <c r="AM831" s="28" t="s">
        <v>90</v>
      </c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9">
        <v>25.2</v>
      </c>
      <c r="AY831" s="29"/>
      <c r="AZ831" s="30"/>
      <c r="BA831" s="30"/>
      <c r="BB831" s="30"/>
      <c r="BC831" s="30"/>
      <c r="BD831" s="31">
        <f t="shared" si="181"/>
        <v>856.8</v>
      </c>
      <c r="BE831" s="31"/>
      <c r="BF831" s="30"/>
      <c r="BG831" s="32">
        <v>2</v>
      </c>
      <c r="BH831" s="31">
        <f>IF(AND((AX831/I831)&lt;2,BG831=1),(I831*2)-AX831,0)</f>
        <v>0</v>
      </c>
      <c r="BI831" s="31">
        <f>IF(AND((AX831/I831)&lt;3,BG831=2),(I831*3)-AX831,0)</f>
        <v>16.8</v>
      </c>
      <c r="BJ831" s="33">
        <f>(BH831+BI831)*K831</f>
        <v>571.20000000000005</v>
      </c>
      <c r="BK831" s="63"/>
      <c r="BL831" s="63"/>
      <c r="BM831" s="63"/>
      <c r="BN831" s="63"/>
      <c r="BO831" s="33">
        <f t="shared" si="183"/>
        <v>0</v>
      </c>
      <c r="BP831" s="30">
        <v>2</v>
      </c>
      <c r="BQ831" s="30">
        <v>5</v>
      </c>
      <c r="BR831" s="63"/>
      <c r="BS831" s="63"/>
      <c r="BT831" s="34">
        <f t="shared" si="184"/>
        <v>42</v>
      </c>
      <c r="BU831" s="34"/>
      <c r="BV831" s="34"/>
      <c r="BW831" s="34"/>
      <c r="BX831" s="34"/>
      <c r="BY831" s="63"/>
      <c r="BZ831" s="31">
        <f t="shared" si="185"/>
        <v>84</v>
      </c>
      <c r="CA831" s="31">
        <f t="shared" si="174"/>
        <v>210</v>
      </c>
    </row>
    <row r="832" spans="1:79" ht="90" x14ac:dyDescent="0.25">
      <c r="A832" s="17"/>
      <c r="B832" s="2">
        <v>816</v>
      </c>
      <c r="C832" s="18">
        <v>627</v>
      </c>
      <c r="D832" s="18">
        <v>778</v>
      </c>
      <c r="E832" s="19">
        <v>0.55902777777777779</v>
      </c>
      <c r="F832" s="19">
        <v>0.57638888888888895</v>
      </c>
      <c r="G832" s="18" t="s">
        <v>1702</v>
      </c>
      <c r="H832" s="18" t="s">
        <v>273</v>
      </c>
      <c r="I832" s="20">
        <v>14</v>
      </c>
      <c r="J832" s="21" t="s">
        <v>807</v>
      </c>
      <c r="K832" s="22">
        <v>174</v>
      </c>
      <c r="L832" s="23">
        <f t="shared" si="182"/>
        <v>2436</v>
      </c>
      <c r="M832" s="24" t="s">
        <v>1667</v>
      </c>
      <c r="N832" s="25" t="s">
        <v>1703</v>
      </c>
      <c r="O832" s="25">
        <v>43</v>
      </c>
      <c r="P832" s="25" t="s">
        <v>1675</v>
      </c>
      <c r="Q832" s="25">
        <v>54</v>
      </c>
      <c r="R832" s="25" t="s">
        <v>1683</v>
      </c>
      <c r="S832" s="35">
        <v>55</v>
      </c>
      <c r="T832" s="26">
        <v>6200</v>
      </c>
      <c r="U832" s="26" t="s">
        <v>1589</v>
      </c>
      <c r="V832" s="26">
        <v>6504</v>
      </c>
      <c r="W832" s="26" t="s">
        <v>1699</v>
      </c>
      <c r="X832" s="66">
        <v>44816</v>
      </c>
      <c r="Y832" s="66">
        <v>45086</v>
      </c>
      <c r="Z832" s="66"/>
      <c r="AA832" s="66"/>
      <c r="AB832" s="26" t="s">
        <v>282</v>
      </c>
      <c r="AC832" s="26"/>
      <c r="AD832" s="28"/>
      <c r="AE832" s="28"/>
      <c r="AF832" s="28"/>
      <c r="AG832" s="28" t="s">
        <v>90</v>
      </c>
      <c r="AH832" s="28" t="s">
        <v>90</v>
      </c>
      <c r="AI832" s="28" t="s">
        <v>90</v>
      </c>
      <c r="AJ832" s="28" t="s">
        <v>90</v>
      </c>
      <c r="AK832" s="28" t="s">
        <v>90</v>
      </c>
      <c r="AL832" s="28" t="s">
        <v>90</v>
      </c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9">
        <v>25.2</v>
      </c>
      <c r="AY832" s="29"/>
      <c r="AZ832" s="30"/>
      <c r="BA832" s="30"/>
      <c r="BB832" s="30"/>
      <c r="BC832" s="30"/>
      <c r="BD832" s="31">
        <f t="shared" si="181"/>
        <v>4384.8</v>
      </c>
      <c r="BE832" s="31"/>
      <c r="BF832" s="30"/>
      <c r="BG832" s="32">
        <v>2</v>
      </c>
      <c r="BH832" s="31">
        <f>IF(AND((AX832/I832)&lt;2,BG832=1),(I832*2)-AX832,0)</f>
        <v>0</v>
      </c>
      <c r="BI832" s="31">
        <f>IF(AND((AX832/I832)&lt;3,BG832=2),(I832*3)-AX832,0)</f>
        <v>16.8</v>
      </c>
      <c r="BJ832" s="33">
        <f>(BH832+BI832)*K832</f>
        <v>2923.2000000000003</v>
      </c>
      <c r="BK832" s="63"/>
      <c r="BL832" s="63"/>
      <c r="BM832" s="63"/>
      <c r="BN832" s="63"/>
      <c r="BO832" s="33">
        <f t="shared" si="183"/>
        <v>0</v>
      </c>
      <c r="BP832" s="30">
        <v>15</v>
      </c>
      <c r="BQ832" s="30">
        <v>20</v>
      </c>
      <c r="BR832" s="63"/>
      <c r="BS832" s="63"/>
      <c r="BT832" s="34">
        <f t="shared" si="184"/>
        <v>42</v>
      </c>
      <c r="BU832" s="34"/>
      <c r="BV832" s="34"/>
      <c r="BW832" s="34"/>
      <c r="BX832" s="34"/>
      <c r="BY832" s="63"/>
      <c r="BZ832" s="31">
        <f t="shared" si="185"/>
        <v>630</v>
      </c>
      <c r="CA832" s="31">
        <f t="shared" si="174"/>
        <v>840</v>
      </c>
    </row>
    <row r="833" spans="1:79" ht="102" x14ac:dyDescent="0.25">
      <c r="A833" s="17"/>
      <c r="B833" s="2">
        <v>817</v>
      </c>
      <c r="C833" s="18">
        <v>627</v>
      </c>
      <c r="D833" s="18">
        <v>778</v>
      </c>
      <c r="E833" s="59">
        <v>0.57638888888888895</v>
      </c>
      <c r="F833" s="59">
        <v>0.57847222222222217</v>
      </c>
      <c r="G833" s="18" t="s">
        <v>1705</v>
      </c>
      <c r="H833" s="18" t="s">
        <v>1706</v>
      </c>
      <c r="I833" s="20">
        <v>1</v>
      </c>
      <c r="J833" s="21" t="s">
        <v>807</v>
      </c>
      <c r="K833" s="22">
        <f>34+36+36</f>
        <v>106</v>
      </c>
      <c r="L833" s="23">
        <f t="shared" si="182"/>
        <v>106</v>
      </c>
      <c r="M833" s="24" t="s">
        <v>1667</v>
      </c>
      <c r="N833" s="25" t="s">
        <v>1703</v>
      </c>
      <c r="O833" s="25">
        <v>43</v>
      </c>
      <c r="P833" s="25" t="s">
        <v>1675</v>
      </c>
      <c r="Q833" s="25">
        <v>54</v>
      </c>
      <c r="R833" s="25" t="s">
        <v>1683</v>
      </c>
      <c r="S833" s="35">
        <v>55</v>
      </c>
      <c r="T833" s="26">
        <v>6504</v>
      </c>
      <c r="U833" s="26" t="s">
        <v>1699</v>
      </c>
      <c r="V833" s="26" t="s">
        <v>1696</v>
      </c>
      <c r="W833" s="26" t="s">
        <v>1697</v>
      </c>
      <c r="X833" s="66">
        <v>44816</v>
      </c>
      <c r="Y833" s="66">
        <v>45086</v>
      </c>
      <c r="Z833" s="66"/>
      <c r="AA833" s="66"/>
      <c r="AB833" s="62" t="s">
        <v>1707</v>
      </c>
      <c r="AC833" s="62"/>
      <c r="AD833" s="28"/>
      <c r="AE833" s="28"/>
      <c r="AF833" s="28"/>
      <c r="AG833" s="28" t="s">
        <v>90</v>
      </c>
      <c r="AH833" s="28"/>
      <c r="AI833" s="28" t="s">
        <v>90</v>
      </c>
      <c r="AJ833" s="28" t="s">
        <v>90</v>
      </c>
      <c r="AK833" s="28"/>
      <c r="AL833" s="28" t="s">
        <v>90</v>
      </c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9">
        <v>3</v>
      </c>
      <c r="AY833" s="29"/>
      <c r="AZ833" s="30"/>
      <c r="BA833" s="30"/>
      <c r="BB833" s="30"/>
      <c r="BC833" s="30"/>
      <c r="BD833" s="31">
        <f t="shared" si="181"/>
        <v>318</v>
      </c>
      <c r="BE833" s="31"/>
      <c r="BF833" s="30"/>
      <c r="BG833" s="32">
        <v>2</v>
      </c>
      <c r="BH833" s="31">
        <f>IF(AND((AX833/I833)&lt;2,BG833=1),(I833*2)-AX833,0)</f>
        <v>0</v>
      </c>
      <c r="BI833" s="31">
        <f>IF(AND((AX833/I833)&lt;3,BG833=2),(I833*3)-AX833,0)</f>
        <v>0</v>
      </c>
      <c r="BJ833" s="33">
        <f>(BH833+BI833)*K833</f>
        <v>0</v>
      </c>
      <c r="BK833" s="63"/>
      <c r="BL833" s="63"/>
      <c r="BM833" s="63"/>
      <c r="BN833" s="63"/>
      <c r="BO833" s="33">
        <f t="shared" si="183"/>
        <v>0</v>
      </c>
      <c r="BP833" s="63">
        <v>9</v>
      </c>
      <c r="BQ833" s="63">
        <v>12</v>
      </c>
      <c r="BR833" s="63"/>
      <c r="BS833" s="63"/>
      <c r="BT833" s="34">
        <f t="shared" si="184"/>
        <v>3</v>
      </c>
      <c r="BU833" s="34"/>
      <c r="BV833" s="34"/>
      <c r="BW833" s="34"/>
      <c r="BX833" s="34"/>
      <c r="BY833" s="63"/>
      <c r="BZ833" s="31">
        <f t="shared" si="185"/>
        <v>27</v>
      </c>
      <c r="CA833" s="31">
        <f t="shared" si="174"/>
        <v>36</v>
      </c>
    </row>
    <row r="834" spans="1:79" ht="67.5" x14ac:dyDescent="0.25">
      <c r="A834" s="17"/>
      <c r="B834" s="2">
        <v>818</v>
      </c>
      <c r="C834" s="18">
        <v>627</v>
      </c>
      <c r="D834" s="18">
        <v>916</v>
      </c>
      <c r="E834" s="19">
        <v>0.61805555555555558</v>
      </c>
      <c r="F834" s="19">
        <v>0.63055555555555554</v>
      </c>
      <c r="G834" s="18" t="s">
        <v>1708</v>
      </c>
      <c r="H834" s="18" t="s">
        <v>273</v>
      </c>
      <c r="I834" s="20">
        <v>12</v>
      </c>
      <c r="J834" s="21" t="s">
        <v>104</v>
      </c>
      <c r="K834" s="22">
        <v>174</v>
      </c>
      <c r="L834" s="23">
        <f t="shared" si="182"/>
        <v>2088</v>
      </c>
      <c r="M834" s="24" t="s">
        <v>1691</v>
      </c>
      <c r="N834" s="25" t="s">
        <v>1692</v>
      </c>
      <c r="O834" s="25">
        <v>29</v>
      </c>
      <c r="P834" s="25" t="s">
        <v>1693</v>
      </c>
      <c r="Q834" s="25">
        <v>23</v>
      </c>
      <c r="R834" s="25" t="s">
        <v>1709</v>
      </c>
      <c r="S834" s="25" t="s">
        <v>1710</v>
      </c>
      <c r="T834" s="26">
        <v>6200</v>
      </c>
      <c r="U834" s="26" t="s">
        <v>1589</v>
      </c>
      <c r="V834" s="26">
        <v>6504</v>
      </c>
      <c r="W834" s="26" t="s">
        <v>1699</v>
      </c>
      <c r="X834" s="66">
        <v>44816</v>
      </c>
      <c r="Y834" s="66">
        <v>45086</v>
      </c>
      <c r="Z834" s="66"/>
      <c r="AA834" s="66"/>
      <c r="AB834" s="26" t="s">
        <v>282</v>
      </c>
      <c r="AC834" s="26"/>
      <c r="AD834" s="28"/>
      <c r="AE834" s="28"/>
      <c r="AF834" s="28"/>
      <c r="AG834" s="28" t="s">
        <v>90</v>
      </c>
      <c r="AH834" s="28" t="s">
        <v>90</v>
      </c>
      <c r="AI834" s="28" t="s">
        <v>90</v>
      </c>
      <c r="AJ834" s="28" t="s">
        <v>90</v>
      </c>
      <c r="AK834" s="28" t="s">
        <v>90</v>
      </c>
      <c r="AL834" s="28" t="s">
        <v>90</v>
      </c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9">
        <v>21.6</v>
      </c>
      <c r="AY834" s="29"/>
      <c r="AZ834" s="30"/>
      <c r="BA834" s="30"/>
      <c r="BB834" s="30"/>
      <c r="BC834" s="30"/>
      <c r="BD834" s="31">
        <f t="shared" si="181"/>
        <v>3758.4</v>
      </c>
      <c r="BE834" s="31"/>
      <c r="BF834" s="30"/>
      <c r="BG834" s="36">
        <v>1</v>
      </c>
      <c r="BH834" s="31">
        <f>IF(AND((AX834/I834)&lt;2,BG834=1),(I834*2)-AX834,0)</f>
        <v>2.3999999999999986</v>
      </c>
      <c r="BI834" s="31">
        <f>IF(AND((AX834/I834)&lt;3,BG834=2),(I834*3)-AX834,0)</f>
        <v>0</v>
      </c>
      <c r="BJ834" s="31">
        <f>(BH834+BI834)*K834</f>
        <v>417.59999999999974</v>
      </c>
      <c r="BK834" s="63"/>
      <c r="BL834" s="63"/>
      <c r="BM834" s="63"/>
      <c r="BN834" s="31">
        <f>IF((AX834+AY834+AZ834)&lt;20,(20-(AX834+AY834+AZ834)),0)</f>
        <v>0</v>
      </c>
      <c r="BO834" s="33">
        <f t="shared" si="183"/>
        <v>0</v>
      </c>
      <c r="BP834" s="30">
        <v>15</v>
      </c>
      <c r="BQ834" s="30">
        <v>20</v>
      </c>
      <c r="BR834" s="63"/>
      <c r="BS834" s="63"/>
      <c r="BT834" s="34">
        <f t="shared" si="184"/>
        <v>24</v>
      </c>
      <c r="BU834" s="34"/>
      <c r="BV834" s="34"/>
      <c r="BW834" s="34"/>
      <c r="BX834" s="34"/>
      <c r="BY834" s="63"/>
      <c r="BZ834" s="31">
        <f t="shared" si="185"/>
        <v>360</v>
      </c>
      <c r="CA834" s="31">
        <f t="shared" si="174"/>
        <v>480</v>
      </c>
    </row>
    <row r="835" spans="1:79" ht="51" x14ac:dyDescent="0.25">
      <c r="A835" s="17"/>
      <c r="B835" s="2">
        <v>819</v>
      </c>
      <c r="C835" s="48">
        <v>627</v>
      </c>
      <c r="D835" s="48">
        <v>246</v>
      </c>
      <c r="E835" s="49">
        <v>0.71388888888888891</v>
      </c>
      <c r="F835" s="49">
        <v>0.7402777777777777</v>
      </c>
      <c r="G835" s="51" t="s">
        <v>1711</v>
      </c>
      <c r="H835" s="18" t="s">
        <v>273</v>
      </c>
      <c r="I835" s="48">
        <v>14.5</v>
      </c>
      <c r="J835" s="52">
        <v>30</v>
      </c>
      <c r="K835" s="22">
        <v>174</v>
      </c>
      <c r="L835" s="23">
        <f t="shared" si="182"/>
        <v>2523</v>
      </c>
      <c r="M835" s="24" t="s">
        <v>222</v>
      </c>
      <c r="N835" s="25" t="s">
        <v>1587</v>
      </c>
      <c r="O835" s="25">
        <v>57</v>
      </c>
      <c r="P835" s="125" t="s">
        <v>1588</v>
      </c>
      <c r="Q835" s="125" t="s">
        <v>1655</v>
      </c>
      <c r="R835" s="25" t="s">
        <v>224</v>
      </c>
      <c r="S835" s="25">
        <v>31</v>
      </c>
      <c r="T835" s="26" t="s">
        <v>1664</v>
      </c>
      <c r="U835" s="26" t="s">
        <v>1665</v>
      </c>
      <c r="V835" s="26">
        <v>6504</v>
      </c>
      <c r="W835" s="26" t="s">
        <v>1699</v>
      </c>
      <c r="X835" s="66">
        <v>44816</v>
      </c>
      <c r="Y835" s="66">
        <v>45086</v>
      </c>
      <c r="Z835" s="66"/>
      <c r="AA835" s="66"/>
      <c r="AB835" s="26" t="s">
        <v>282</v>
      </c>
      <c r="AC835" s="26"/>
      <c r="AD835" s="28"/>
      <c r="AE835" s="28"/>
      <c r="AF835" s="28"/>
      <c r="AG835" s="28" t="s">
        <v>90</v>
      </c>
      <c r="AH835" s="28" t="s">
        <v>90</v>
      </c>
      <c r="AI835" s="28" t="s">
        <v>90</v>
      </c>
      <c r="AJ835" s="28" t="s">
        <v>90</v>
      </c>
      <c r="AK835" s="28" t="s">
        <v>90</v>
      </c>
      <c r="AL835" s="28" t="s">
        <v>90</v>
      </c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31"/>
      <c r="AY835" s="31">
        <f>2.2*13</f>
        <v>28.6</v>
      </c>
      <c r="AZ835" s="30"/>
      <c r="BA835" s="42"/>
      <c r="BB835" s="42"/>
      <c r="BC835" s="30"/>
      <c r="BD835" s="31">
        <f t="shared" si="181"/>
        <v>0</v>
      </c>
      <c r="BE835" s="31">
        <f>AY835*K835</f>
        <v>4976.4000000000005</v>
      </c>
      <c r="BF835" s="30"/>
      <c r="BG835" s="36">
        <v>1</v>
      </c>
      <c r="BH835" s="63"/>
      <c r="BI835" s="31"/>
      <c r="BJ835" s="63"/>
      <c r="BK835" s="53"/>
      <c r="BL835" s="53"/>
      <c r="BM835" s="54"/>
      <c r="BN835" s="63"/>
      <c r="BO835" s="33">
        <f t="shared" si="183"/>
        <v>0</v>
      </c>
      <c r="BP835" s="30">
        <v>15</v>
      </c>
      <c r="BQ835" s="30">
        <v>20</v>
      </c>
      <c r="BR835" s="63"/>
      <c r="BS835" s="63"/>
      <c r="BT835" s="34">
        <f t="shared" si="184"/>
        <v>28.6</v>
      </c>
      <c r="BU835" s="34"/>
      <c r="BV835" s="34"/>
      <c r="BW835" s="34"/>
      <c r="BX835" s="34"/>
      <c r="BY835" s="63"/>
      <c r="BZ835" s="31">
        <f t="shared" si="185"/>
        <v>429</v>
      </c>
      <c r="CA835" s="31">
        <f t="shared" ref="CA835:CA898" si="186">(BT835*BQ835)+(BW835*BX835)</f>
        <v>572</v>
      </c>
    </row>
    <row r="836" spans="1:79" ht="51" x14ac:dyDescent="0.25">
      <c r="A836" s="17"/>
      <c r="B836" s="2">
        <v>820</v>
      </c>
      <c r="C836" s="48">
        <v>627</v>
      </c>
      <c r="D836" s="48">
        <v>247</v>
      </c>
      <c r="E836" s="49">
        <v>0.74097222222222225</v>
      </c>
      <c r="F836" s="49">
        <v>0.76041666666666663</v>
      </c>
      <c r="G836" s="51" t="s">
        <v>1712</v>
      </c>
      <c r="H836" s="18" t="s">
        <v>273</v>
      </c>
      <c r="I836" s="48">
        <v>12</v>
      </c>
      <c r="J836" s="52">
        <v>30</v>
      </c>
      <c r="K836" s="22">
        <v>174</v>
      </c>
      <c r="L836" s="23">
        <f t="shared" si="182"/>
        <v>2088</v>
      </c>
      <c r="M836" s="24" t="s">
        <v>222</v>
      </c>
      <c r="N836" s="25" t="s">
        <v>1587</v>
      </c>
      <c r="O836" s="25">
        <v>57</v>
      </c>
      <c r="P836" s="125" t="s">
        <v>1588</v>
      </c>
      <c r="Q836" s="125" t="s">
        <v>1655</v>
      </c>
      <c r="R836" s="25" t="s">
        <v>224</v>
      </c>
      <c r="S836" s="25">
        <v>31</v>
      </c>
      <c r="T836" s="26">
        <v>6504</v>
      </c>
      <c r="U836" s="26" t="s">
        <v>1699</v>
      </c>
      <c r="V836" s="26">
        <v>6220</v>
      </c>
      <c r="W836" s="26" t="s">
        <v>216</v>
      </c>
      <c r="X836" s="66">
        <v>44816</v>
      </c>
      <c r="Y836" s="66">
        <v>45086</v>
      </c>
      <c r="Z836" s="66"/>
      <c r="AA836" s="66"/>
      <c r="AB836" s="26" t="s">
        <v>282</v>
      </c>
      <c r="AC836" s="26"/>
      <c r="AD836" s="28"/>
      <c r="AE836" s="28"/>
      <c r="AF836" s="28"/>
      <c r="AG836" s="28" t="s">
        <v>90</v>
      </c>
      <c r="AH836" s="28" t="s">
        <v>90</v>
      </c>
      <c r="AI836" s="28" t="s">
        <v>90</v>
      </c>
      <c r="AJ836" s="28" t="s">
        <v>90</v>
      </c>
      <c r="AK836" s="28" t="s">
        <v>90</v>
      </c>
      <c r="AL836" s="28" t="s">
        <v>90</v>
      </c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31"/>
      <c r="AY836" s="31">
        <f>2.2*12</f>
        <v>26.400000000000002</v>
      </c>
      <c r="AZ836" s="30"/>
      <c r="BA836" s="42"/>
      <c r="BB836" s="42"/>
      <c r="BC836" s="30"/>
      <c r="BD836" s="31">
        <f t="shared" si="181"/>
        <v>0</v>
      </c>
      <c r="BE836" s="31">
        <f>AY836*K836</f>
        <v>4593.6000000000004</v>
      </c>
      <c r="BF836" s="30"/>
      <c r="BG836" s="36">
        <v>1</v>
      </c>
      <c r="BH836" s="63"/>
      <c r="BI836" s="31"/>
      <c r="BJ836" s="63"/>
      <c r="BK836" s="31">
        <f>IF(AND((AY836/I836)&lt;2,BG836=1),(I836*2)-AY836,0)</f>
        <v>0</v>
      </c>
      <c r="BL836" s="31">
        <f>IF(AND((AY836/I836)&lt;3,BG836=2),(I836*3)-AY836,0)</f>
        <v>0</v>
      </c>
      <c r="BM836" s="33">
        <f>(BK836+BL836)*K836</f>
        <v>0</v>
      </c>
      <c r="BN836" s="63"/>
      <c r="BO836" s="33">
        <f t="shared" si="183"/>
        <v>0</v>
      </c>
      <c r="BP836" s="30">
        <v>15</v>
      </c>
      <c r="BQ836" s="30">
        <v>20</v>
      </c>
      <c r="BR836" s="63"/>
      <c r="BS836" s="63"/>
      <c r="BT836" s="34">
        <f t="shared" si="184"/>
        <v>26.400000000000002</v>
      </c>
      <c r="BU836" s="34"/>
      <c r="BV836" s="34"/>
      <c r="BW836" s="34"/>
      <c r="BX836" s="34"/>
      <c r="BY836" s="63"/>
      <c r="BZ836" s="31">
        <f t="shared" si="185"/>
        <v>396.00000000000006</v>
      </c>
      <c r="CA836" s="31">
        <f t="shared" si="186"/>
        <v>528</v>
      </c>
    </row>
    <row r="837" spans="1:79" ht="51" x14ac:dyDescent="0.25">
      <c r="A837" s="17"/>
      <c r="B837" s="2">
        <v>821</v>
      </c>
      <c r="C837" s="48">
        <v>627</v>
      </c>
      <c r="D837" s="48">
        <v>248</v>
      </c>
      <c r="E837" s="49">
        <v>0.77430555555555547</v>
      </c>
      <c r="F837" s="49">
        <v>0.7909722222222223</v>
      </c>
      <c r="G837" s="51" t="s">
        <v>1713</v>
      </c>
      <c r="H837" s="18" t="s">
        <v>306</v>
      </c>
      <c r="I837" s="48">
        <v>11</v>
      </c>
      <c r="J837" s="52">
        <v>19</v>
      </c>
      <c r="K837" s="22">
        <v>208</v>
      </c>
      <c r="L837" s="23">
        <f t="shared" si="182"/>
        <v>2288</v>
      </c>
      <c r="M837" s="24" t="s">
        <v>212</v>
      </c>
      <c r="N837" s="25" t="s">
        <v>213</v>
      </c>
      <c r="O837" s="25">
        <v>23</v>
      </c>
      <c r="P837" s="25" t="s">
        <v>215</v>
      </c>
      <c r="Q837" s="25">
        <v>21</v>
      </c>
      <c r="R837" s="25" t="s">
        <v>1714</v>
      </c>
      <c r="S837" s="35">
        <v>29</v>
      </c>
      <c r="T837" s="26">
        <v>6200</v>
      </c>
      <c r="U837" s="26" t="s">
        <v>1589</v>
      </c>
      <c r="V837" s="26">
        <v>6504</v>
      </c>
      <c r="W837" s="26" t="s">
        <v>1699</v>
      </c>
      <c r="X837" s="66">
        <v>44816</v>
      </c>
      <c r="Y837" s="66">
        <v>45086</v>
      </c>
      <c r="Z837" s="66"/>
      <c r="AA837" s="66"/>
      <c r="AB837" s="26" t="s">
        <v>309</v>
      </c>
      <c r="AC837" s="26"/>
      <c r="AD837" s="28"/>
      <c r="AE837" s="28"/>
      <c r="AF837" s="28"/>
      <c r="AG837" s="28" t="s">
        <v>90</v>
      </c>
      <c r="AH837" s="28" t="s">
        <v>90</v>
      </c>
      <c r="AI837" s="28" t="s">
        <v>90</v>
      </c>
      <c r="AJ837" s="28" t="s">
        <v>90</v>
      </c>
      <c r="AK837" s="28" t="s">
        <v>90</v>
      </c>
      <c r="AL837" s="28" t="s">
        <v>90</v>
      </c>
      <c r="AM837" s="28" t="s">
        <v>90</v>
      </c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31"/>
      <c r="AY837" s="31">
        <f>1.9*11</f>
        <v>20.9</v>
      </c>
      <c r="AZ837" s="30"/>
      <c r="BA837" s="30"/>
      <c r="BB837" s="30"/>
      <c r="BC837" s="30"/>
      <c r="BD837" s="31">
        <f t="shared" si="181"/>
        <v>0</v>
      </c>
      <c r="BE837" s="31">
        <f>AY837*K837</f>
        <v>4347.2</v>
      </c>
      <c r="BF837" s="30"/>
      <c r="BG837" s="36">
        <v>1</v>
      </c>
      <c r="BH837" s="63"/>
      <c r="BI837" s="31"/>
      <c r="BJ837" s="63"/>
      <c r="BK837" s="31">
        <f>IF(AND((AY837/I837)&lt;2,BG837=1),(I837*2)-AY837,0)</f>
        <v>1.1000000000000014</v>
      </c>
      <c r="BL837" s="31">
        <f>IF(AND((AY837/I837)&lt;3,BG837=2),(I837*3)-AY837,0)</f>
        <v>0</v>
      </c>
      <c r="BM837" s="33">
        <f>(BK837+BL837)*K837</f>
        <v>228.8000000000003</v>
      </c>
      <c r="BN837" s="63"/>
      <c r="BO837" s="33">
        <f t="shared" si="183"/>
        <v>0</v>
      </c>
      <c r="BP837" s="30">
        <v>17</v>
      </c>
      <c r="BQ837" s="30">
        <v>25</v>
      </c>
      <c r="BR837" s="63"/>
      <c r="BS837" s="63"/>
      <c r="BT837" s="34">
        <f t="shared" si="184"/>
        <v>22</v>
      </c>
      <c r="BU837" s="34"/>
      <c r="BV837" s="34"/>
      <c r="BW837" s="34"/>
      <c r="BX837" s="34"/>
      <c r="BY837" s="63"/>
      <c r="BZ837" s="31">
        <f t="shared" si="185"/>
        <v>374</v>
      </c>
      <c r="CA837" s="31">
        <f t="shared" si="186"/>
        <v>550</v>
      </c>
    </row>
    <row r="838" spans="1:79" ht="51" x14ac:dyDescent="0.25">
      <c r="A838" s="17"/>
      <c r="B838" s="2">
        <v>822</v>
      </c>
      <c r="C838" s="48">
        <v>627</v>
      </c>
      <c r="D838" s="48">
        <v>249</v>
      </c>
      <c r="E838" s="49">
        <v>0.79166666666666663</v>
      </c>
      <c r="F838" s="49">
        <v>0.80555555555555547</v>
      </c>
      <c r="G838" s="51" t="s">
        <v>1715</v>
      </c>
      <c r="H838" s="18" t="s">
        <v>306</v>
      </c>
      <c r="I838" s="48">
        <v>7</v>
      </c>
      <c r="J838" s="52">
        <v>19</v>
      </c>
      <c r="K838" s="22">
        <v>208</v>
      </c>
      <c r="L838" s="23">
        <f t="shared" si="182"/>
        <v>1456</v>
      </c>
      <c r="M838" s="24" t="s">
        <v>212</v>
      </c>
      <c r="N838" s="25" t="s">
        <v>213</v>
      </c>
      <c r="O838" s="25">
        <v>23</v>
      </c>
      <c r="P838" s="25" t="s">
        <v>215</v>
      </c>
      <c r="Q838" s="25">
        <v>21</v>
      </c>
      <c r="R838" s="25" t="s">
        <v>1714</v>
      </c>
      <c r="S838" s="35">
        <v>29</v>
      </c>
      <c r="T838" s="26">
        <v>6504</v>
      </c>
      <c r="U838" s="26" t="s">
        <v>1699</v>
      </c>
      <c r="V838" s="26">
        <v>6200</v>
      </c>
      <c r="W838" s="26" t="s">
        <v>1589</v>
      </c>
      <c r="X838" s="66">
        <v>44816</v>
      </c>
      <c r="Y838" s="66">
        <v>45086</v>
      </c>
      <c r="Z838" s="66"/>
      <c r="AA838" s="66"/>
      <c r="AB838" s="26" t="s">
        <v>309</v>
      </c>
      <c r="AC838" s="26"/>
      <c r="AD838" s="28"/>
      <c r="AE838" s="28"/>
      <c r="AF838" s="28"/>
      <c r="AG838" s="28" t="s">
        <v>90</v>
      </c>
      <c r="AH838" s="28" t="s">
        <v>90</v>
      </c>
      <c r="AI838" s="28" t="s">
        <v>90</v>
      </c>
      <c r="AJ838" s="28" t="s">
        <v>90</v>
      </c>
      <c r="AK838" s="28" t="s">
        <v>90</v>
      </c>
      <c r="AL838" s="28" t="s">
        <v>90</v>
      </c>
      <c r="AM838" s="28" t="s">
        <v>90</v>
      </c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31"/>
      <c r="AY838" s="31">
        <f>1.9*7</f>
        <v>13.299999999999999</v>
      </c>
      <c r="AZ838" s="30"/>
      <c r="BA838" s="30"/>
      <c r="BB838" s="30"/>
      <c r="BC838" s="30"/>
      <c r="BD838" s="31">
        <f t="shared" si="181"/>
        <v>0</v>
      </c>
      <c r="BE838" s="31">
        <f>AY838*K838</f>
        <v>2766.3999999999996</v>
      </c>
      <c r="BF838" s="30"/>
      <c r="BG838" s="36">
        <v>1</v>
      </c>
      <c r="BH838" s="63"/>
      <c r="BI838" s="31"/>
      <c r="BJ838" s="63"/>
      <c r="BK838" s="31">
        <f>IF(AND((AY838/I838)&lt;2,BG838=1),(I838*2)-AY838,0)</f>
        <v>0.70000000000000107</v>
      </c>
      <c r="BL838" s="31">
        <f>IF(AND((AY838/I838)&lt;3,BG838=2),(I838*3)-AY838,0)</f>
        <v>0</v>
      </c>
      <c r="BM838" s="33">
        <f>(BK838+BL838)*K838</f>
        <v>145.60000000000022</v>
      </c>
      <c r="BN838" s="63"/>
      <c r="BO838" s="33">
        <f t="shared" si="183"/>
        <v>0</v>
      </c>
      <c r="BP838" s="30">
        <v>17</v>
      </c>
      <c r="BQ838" s="30">
        <v>25</v>
      </c>
      <c r="BR838" s="63"/>
      <c r="BS838" s="63"/>
      <c r="BT838" s="34">
        <f t="shared" si="184"/>
        <v>14</v>
      </c>
      <c r="BU838" s="34"/>
      <c r="BV838" s="34"/>
      <c r="BW838" s="34"/>
      <c r="BX838" s="34"/>
      <c r="BY838" s="63"/>
      <c r="BZ838" s="31">
        <f t="shared" si="185"/>
        <v>238</v>
      </c>
      <c r="CA838" s="31">
        <f t="shared" si="186"/>
        <v>350</v>
      </c>
    </row>
    <row r="839" spans="1:79" ht="51" x14ac:dyDescent="0.25">
      <c r="A839" s="17"/>
      <c r="B839" s="2">
        <v>823</v>
      </c>
      <c r="C839" s="18">
        <v>630</v>
      </c>
      <c r="D839" s="18">
        <v>121</v>
      </c>
      <c r="E839" s="59">
        <v>0.65625</v>
      </c>
      <c r="F839" s="59">
        <v>0.68472222222222223</v>
      </c>
      <c r="G839" s="18" t="s">
        <v>1716</v>
      </c>
      <c r="H839" s="18" t="s">
        <v>1717</v>
      </c>
      <c r="I839" s="20">
        <v>23</v>
      </c>
      <c r="J839" s="21" t="s">
        <v>93</v>
      </c>
      <c r="K839" s="22">
        <v>36</v>
      </c>
      <c r="L839" s="23">
        <f t="shared" si="182"/>
        <v>828</v>
      </c>
      <c r="M839" s="24" t="s">
        <v>212</v>
      </c>
      <c r="N839" s="25" t="s">
        <v>228</v>
      </c>
      <c r="O839" s="25">
        <v>21</v>
      </c>
      <c r="P839" s="25" t="s">
        <v>215</v>
      </c>
      <c r="Q839" s="25">
        <v>21</v>
      </c>
      <c r="R839" s="61"/>
      <c r="S839" s="25"/>
      <c r="T839" s="26" t="s">
        <v>232</v>
      </c>
      <c r="U839" s="26" t="s">
        <v>233</v>
      </c>
      <c r="V839" s="26">
        <v>6220</v>
      </c>
      <c r="W839" s="26" t="s">
        <v>216</v>
      </c>
      <c r="X839" s="66">
        <v>44816</v>
      </c>
      <c r="Y839" s="66">
        <v>45086</v>
      </c>
      <c r="Z839" s="66"/>
      <c r="AA839" s="66"/>
      <c r="AB839" s="28" t="s">
        <v>687</v>
      </c>
      <c r="AC839" s="28"/>
      <c r="AD839" s="62"/>
      <c r="AE839" s="62"/>
      <c r="AF839" s="62"/>
      <c r="AG839" s="28" t="s">
        <v>90</v>
      </c>
      <c r="AH839" s="28"/>
      <c r="AI839" s="28"/>
      <c r="AJ839" s="28"/>
      <c r="AK839" s="28"/>
      <c r="AL839" s="28" t="s">
        <v>90</v>
      </c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29">
        <v>69</v>
      </c>
      <c r="AY839" s="29"/>
      <c r="AZ839" s="63"/>
      <c r="BA839" s="63"/>
      <c r="BB839" s="63"/>
      <c r="BC839" s="63"/>
      <c r="BD839" s="31">
        <f t="shared" si="181"/>
        <v>2484</v>
      </c>
      <c r="BE839" s="31"/>
      <c r="BF839" s="63"/>
      <c r="BG839" s="36">
        <v>1</v>
      </c>
      <c r="BH839" s="31">
        <f>IF(AND((AX839/I839)&lt;2,BG839=1),(I839*2)-AX839,0)</f>
        <v>0</v>
      </c>
      <c r="BI839" s="31">
        <f>IF(AND((AX839/I839)&lt;3,BG839=2),(I839*3)-AX839,0)</f>
        <v>0</v>
      </c>
      <c r="BJ839" s="33">
        <f>(BH839+BI839)*K839</f>
        <v>0</v>
      </c>
      <c r="BK839" s="63"/>
      <c r="BL839" s="63"/>
      <c r="BM839" s="63"/>
      <c r="BN839" s="63"/>
      <c r="BO839" s="33">
        <f t="shared" si="183"/>
        <v>0</v>
      </c>
      <c r="BP839" s="30">
        <v>3</v>
      </c>
      <c r="BQ839" s="30">
        <v>4</v>
      </c>
      <c r="BR839" s="63"/>
      <c r="BS839" s="63"/>
      <c r="BT839" s="34">
        <f t="shared" si="184"/>
        <v>69</v>
      </c>
      <c r="BU839" s="34"/>
      <c r="BV839" s="34"/>
      <c r="BW839" s="34"/>
      <c r="BX839" s="34"/>
      <c r="BY839" s="63"/>
      <c r="BZ839" s="31">
        <f t="shared" si="185"/>
        <v>207</v>
      </c>
      <c r="CA839" s="31">
        <f t="shared" si="186"/>
        <v>276</v>
      </c>
    </row>
    <row r="840" spans="1:79" ht="38.25" x14ac:dyDescent="0.25">
      <c r="A840" s="17"/>
      <c r="B840" s="2">
        <v>824</v>
      </c>
      <c r="C840" s="48">
        <v>630</v>
      </c>
      <c r="D840" s="48">
        <v>117</v>
      </c>
      <c r="E840" s="49">
        <v>0.72222222222222221</v>
      </c>
      <c r="F840" s="49">
        <v>0.74583333333333324</v>
      </c>
      <c r="G840" s="51" t="s">
        <v>1718</v>
      </c>
      <c r="H840" s="18" t="s">
        <v>422</v>
      </c>
      <c r="I840" s="48">
        <v>17</v>
      </c>
      <c r="J840" s="52">
        <v>19</v>
      </c>
      <c r="K840" s="22">
        <v>240</v>
      </c>
      <c r="L840" s="23">
        <f t="shared" si="182"/>
        <v>4080</v>
      </c>
      <c r="M840" s="24" t="s">
        <v>212</v>
      </c>
      <c r="N840" s="25" t="s">
        <v>215</v>
      </c>
      <c r="O840" s="25">
        <v>21</v>
      </c>
      <c r="P840" s="25" t="s">
        <v>1714</v>
      </c>
      <c r="Q840" s="25">
        <v>29</v>
      </c>
      <c r="R840" s="61"/>
      <c r="S840" s="25"/>
      <c r="T840" s="26" t="s">
        <v>232</v>
      </c>
      <c r="U840" s="26" t="s">
        <v>233</v>
      </c>
      <c r="V840" s="26">
        <v>6200</v>
      </c>
      <c r="W840" s="26" t="s">
        <v>1589</v>
      </c>
      <c r="X840" s="27">
        <v>44816</v>
      </c>
      <c r="Y840" s="27">
        <v>45100</v>
      </c>
      <c r="Z840" s="27"/>
      <c r="AA840" s="27"/>
      <c r="AB840" s="26" t="s">
        <v>423</v>
      </c>
      <c r="AC840" s="26"/>
      <c r="AD840" s="28" t="s">
        <v>90</v>
      </c>
      <c r="AE840" s="28"/>
      <c r="AF840" s="28" t="s">
        <v>90</v>
      </c>
      <c r="AG840" s="28"/>
      <c r="AH840" s="28" t="s">
        <v>90</v>
      </c>
      <c r="AI840" s="28" t="s">
        <v>90</v>
      </c>
      <c r="AJ840" s="28" t="s">
        <v>90</v>
      </c>
      <c r="AK840" s="28" t="s">
        <v>90</v>
      </c>
      <c r="AL840" s="28" t="s">
        <v>90</v>
      </c>
      <c r="AM840" s="28" t="s">
        <v>90</v>
      </c>
      <c r="AN840" s="62"/>
      <c r="AO840" s="62"/>
      <c r="AP840" s="62"/>
      <c r="AQ840" s="62"/>
      <c r="AR840" s="28"/>
      <c r="AS840" s="28"/>
      <c r="AT840" s="28"/>
      <c r="AU840" s="28"/>
      <c r="AV840" s="28"/>
      <c r="AW840" s="28"/>
      <c r="AX840" s="31"/>
      <c r="AY840" s="31">
        <f>1.9*17</f>
        <v>32.299999999999997</v>
      </c>
      <c r="AZ840" s="63"/>
      <c r="BA840" s="63"/>
      <c r="BB840" s="63"/>
      <c r="BC840" s="63"/>
      <c r="BD840" s="31">
        <f t="shared" si="181"/>
        <v>0</v>
      </c>
      <c r="BE840" s="31">
        <f>AY840*K840</f>
        <v>7751.9999999999991</v>
      </c>
      <c r="BF840" s="63"/>
      <c r="BG840" s="36">
        <v>1</v>
      </c>
      <c r="BH840" s="63"/>
      <c r="BI840" s="31"/>
      <c r="BJ840" s="63"/>
      <c r="BK840" s="31">
        <f>IF(AND((AY840/I840)&lt;2,BG840=1),(I840*2)-AY840,0)</f>
        <v>1.7000000000000028</v>
      </c>
      <c r="BL840" s="31">
        <f>IF(AND((AY840/I840)&lt;3,BG840=2),(I840*3)-AY840,0)</f>
        <v>0</v>
      </c>
      <c r="BM840" s="33">
        <f>(BK840+BL840)*K840</f>
        <v>408.00000000000068</v>
      </c>
      <c r="BN840" s="63"/>
      <c r="BO840" s="33">
        <f t="shared" si="183"/>
        <v>0</v>
      </c>
      <c r="BP840" s="30">
        <v>17</v>
      </c>
      <c r="BQ840" s="30">
        <v>26</v>
      </c>
      <c r="BR840" s="63"/>
      <c r="BS840" s="63"/>
      <c r="BT840" s="34">
        <f t="shared" si="184"/>
        <v>34</v>
      </c>
      <c r="BU840" s="34"/>
      <c r="BV840" s="34"/>
      <c r="BW840" s="34"/>
      <c r="BX840" s="34"/>
      <c r="BY840" s="63"/>
      <c r="BZ840" s="31">
        <f t="shared" si="185"/>
        <v>578</v>
      </c>
      <c r="CA840" s="31">
        <f t="shared" si="186"/>
        <v>884</v>
      </c>
    </row>
    <row r="841" spans="1:79" ht="90" x14ac:dyDescent="0.25">
      <c r="A841" s="35"/>
      <c r="B841" s="2">
        <v>825</v>
      </c>
      <c r="C841" s="18">
        <v>630</v>
      </c>
      <c r="D841" s="18">
        <v>578</v>
      </c>
      <c r="E841" s="19">
        <v>0.73749999999999993</v>
      </c>
      <c r="F841" s="19">
        <v>0.76666666666666661</v>
      </c>
      <c r="G841" s="18" t="s">
        <v>1719</v>
      </c>
      <c r="H841" s="18" t="s">
        <v>273</v>
      </c>
      <c r="I841" s="20">
        <v>25.5</v>
      </c>
      <c r="J841" s="21" t="s">
        <v>807</v>
      </c>
      <c r="K841" s="22">
        <v>174</v>
      </c>
      <c r="L841" s="23">
        <f t="shared" si="182"/>
        <v>4437</v>
      </c>
      <c r="M841" s="24" t="s">
        <v>1667</v>
      </c>
      <c r="N841" s="25" t="s">
        <v>1674</v>
      </c>
      <c r="O841" s="25">
        <v>43</v>
      </c>
      <c r="P841" s="25" t="s">
        <v>1675</v>
      </c>
      <c r="Q841" s="25">
        <v>54</v>
      </c>
      <c r="R841" s="25" t="s">
        <v>1683</v>
      </c>
      <c r="S841" s="35">
        <v>55</v>
      </c>
      <c r="T841" s="26">
        <v>6200</v>
      </c>
      <c r="U841" s="26" t="s">
        <v>1589</v>
      </c>
      <c r="V841" s="26" t="s">
        <v>232</v>
      </c>
      <c r="W841" s="26" t="s">
        <v>233</v>
      </c>
      <c r="X841" s="66">
        <v>44816</v>
      </c>
      <c r="Y841" s="66">
        <v>45086</v>
      </c>
      <c r="Z841" s="66"/>
      <c r="AA841" s="66"/>
      <c r="AB841" s="26" t="s">
        <v>282</v>
      </c>
      <c r="AC841" s="26"/>
      <c r="AD841" s="62"/>
      <c r="AE841" s="62"/>
      <c r="AF841" s="62"/>
      <c r="AG841" s="28" t="s">
        <v>90</v>
      </c>
      <c r="AH841" s="28" t="s">
        <v>90</v>
      </c>
      <c r="AI841" s="28" t="s">
        <v>90</v>
      </c>
      <c r="AJ841" s="28" t="s">
        <v>90</v>
      </c>
      <c r="AK841" s="28" t="s">
        <v>90</v>
      </c>
      <c r="AL841" s="28" t="s">
        <v>90</v>
      </c>
      <c r="AM841" s="62"/>
      <c r="AN841" s="62"/>
      <c r="AO841" s="62"/>
      <c r="AP841" s="62"/>
      <c r="AQ841" s="62"/>
      <c r="AR841" s="28"/>
      <c r="AS841" s="28"/>
      <c r="AT841" s="28"/>
      <c r="AU841" s="28"/>
      <c r="AV841" s="28"/>
      <c r="AW841" s="62"/>
      <c r="AX841" s="29">
        <f>68.64+13.5</f>
        <v>82.14</v>
      </c>
      <c r="AY841" s="29"/>
      <c r="AZ841" s="63"/>
      <c r="BA841" s="63"/>
      <c r="BB841" s="63"/>
      <c r="BC841" s="63"/>
      <c r="BD841" s="31">
        <f t="shared" si="181"/>
        <v>14292.36</v>
      </c>
      <c r="BE841" s="31"/>
      <c r="BF841" s="63"/>
      <c r="BG841" s="32">
        <v>2</v>
      </c>
      <c r="BH841" s="31">
        <f>IF(AND((AX841/I841)&lt;2,BG841=1),(I841*2)-AX841,0)</f>
        <v>0</v>
      </c>
      <c r="BI841" s="31">
        <f>IF(AND((AX841/I841)&lt;3,BG841=2),(I841*3)-AX841,0)</f>
        <v>0</v>
      </c>
      <c r="BJ841" s="33">
        <f>(BH841+BI841)*K841</f>
        <v>0</v>
      </c>
      <c r="BK841" s="63"/>
      <c r="BL841" s="63"/>
      <c r="BM841" s="63"/>
      <c r="BN841" s="63"/>
      <c r="BO841" s="33">
        <f t="shared" si="183"/>
        <v>0</v>
      </c>
      <c r="BP841" s="30">
        <v>15</v>
      </c>
      <c r="BQ841" s="30">
        <v>20</v>
      </c>
      <c r="BR841" s="63"/>
      <c r="BS841" s="63"/>
      <c r="BT841" s="34">
        <f t="shared" si="184"/>
        <v>82.14</v>
      </c>
      <c r="BU841" s="34"/>
      <c r="BV841" s="34"/>
      <c r="BW841" s="34"/>
      <c r="BX841" s="34"/>
      <c r="BY841" s="63"/>
      <c r="BZ841" s="31">
        <f t="shared" si="185"/>
        <v>1232.0999999999999</v>
      </c>
      <c r="CA841" s="31">
        <f t="shared" si="186"/>
        <v>1642.8</v>
      </c>
    </row>
    <row r="842" spans="1:79" ht="38.25" x14ac:dyDescent="0.25">
      <c r="A842" s="25"/>
      <c r="B842" s="2">
        <v>826</v>
      </c>
      <c r="C842" s="48">
        <v>630</v>
      </c>
      <c r="D842" s="48">
        <v>116</v>
      </c>
      <c r="E842" s="49">
        <v>0.76736111111111116</v>
      </c>
      <c r="F842" s="50">
        <v>0.81111111111111101</v>
      </c>
      <c r="G842" s="51" t="s">
        <v>1720</v>
      </c>
      <c r="H842" s="18" t="s">
        <v>422</v>
      </c>
      <c r="I842" s="48">
        <v>33</v>
      </c>
      <c r="J842" s="52">
        <v>30</v>
      </c>
      <c r="K842" s="22">
        <v>240</v>
      </c>
      <c r="L842" s="23">
        <f t="shared" si="182"/>
        <v>7920</v>
      </c>
      <c r="M842" s="24" t="s">
        <v>222</v>
      </c>
      <c r="N842" s="25" t="s">
        <v>1587</v>
      </c>
      <c r="O842" s="25">
        <v>57</v>
      </c>
      <c r="P842" s="125" t="s">
        <v>1588</v>
      </c>
      <c r="Q842" s="125" t="s">
        <v>1655</v>
      </c>
      <c r="R842" s="25" t="s">
        <v>224</v>
      </c>
      <c r="S842" s="25">
        <v>31</v>
      </c>
      <c r="T842" s="26">
        <v>6220</v>
      </c>
      <c r="U842" s="26" t="s">
        <v>216</v>
      </c>
      <c r="V842" s="26">
        <v>6630</v>
      </c>
      <c r="W842" s="26" t="s">
        <v>1721</v>
      </c>
      <c r="X842" s="27">
        <v>44816</v>
      </c>
      <c r="Y842" s="27">
        <v>45100</v>
      </c>
      <c r="Z842" s="27"/>
      <c r="AA842" s="27"/>
      <c r="AB842" s="26" t="s">
        <v>423</v>
      </c>
      <c r="AC842" s="26"/>
      <c r="AD842" s="28" t="s">
        <v>90</v>
      </c>
      <c r="AE842" s="28"/>
      <c r="AF842" s="28" t="s">
        <v>90</v>
      </c>
      <c r="AG842" s="28"/>
      <c r="AH842" s="28" t="s">
        <v>90</v>
      </c>
      <c r="AI842" s="28" t="s">
        <v>90</v>
      </c>
      <c r="AJ842" s="28" t="s">
        <v>90</v>
      </c>
      <c r="AK842" s="28" t="s">
        <v>90</v>
      </c>
      <c r="AL842" s="28" t="s">
        <v>90</v>
      </c>
      <c r="AM842" s="28" t="s">
        <v>90</v>
      </c>
      <c r="AN842" s="62"/>
      <c r="AO842" s="62"/>
      <c r="AP842" s="62"/>
      <c r="AQ842" s="62"/>
      <c r="AR842" s="28"/>
      <c r="AS842" s="28"/>
      <c r="AT842" s="28"/>
      <c r="AU842" s="28"/>
      <c r="AV842" s="28"/>
      <c r="AW842" s="28"/>
      <c r="AX842" s="31"/>
      <c r="AY842" s="31">
        <f>2.2*33</f>
        <v>72.600000000000009</v>
      </c>
      <c r="AZ842" s="63"/>
      <c r="BA842" s="64"/>
      <c r="BB842" s="63"/>
      <c r="BC842" s="63">
        <v>1</v>
      </c>
      <c r="BD842" s="31">
        <f t="shared" si="181"/>
        <v>0</v>
      </c>
      <c r="BE842" s="31">
        <f>AY842*K842</f>
        <v>17424.000000000004</v>
      </c>
      <c r="BF842" s="63"/>
      <c r="BG842" s="36">
        <v>1</v>
      </c>
      <c r="BH842" s="63"/>
      <c r="BI842" s="31"/>
      <c r="BJ842" s="63"/>
      <c r="BK842" s="31">
        <f>IF(AND((AY842/I842)&lt;2,BG842=1),(I842*2)-AY842,0)</f>
        <v>0</v>
      </c>
      <c r="BL842" s="31">
        <f>IF(AND((AY842/I842)&lt;3,BG842=2),(I842*3)-AY842,0)</f>
        <v>0</v>
      </c>
      <c r="BM842" s="33">
        <f>(BK842+BL842)*K842</f>
        <v>0</v>
      </c>
      <c r="BN842" s="63"/>
      <c r="BO842" s="33">
        <f t="shared" si="183"/>
        <v>0</v>
      </c>
      <c r="BP842" s="30">
        <v>17</v>
      </c>
      <c r="BQ842" s="30">
        <v>26</v>
      </c>
      <c r="BR842" s="63"/>
      <c r="BS842" s="63"/>
      <c r="BT842" s="34">
        <f t="shared" si="184"/>
        <v>72.600000000000009</v>
      </c>
      <c r="BU842" s="82" t="s">
        <v>771</v>
      </c>
      <c r="BV842" s="55">
        <v>2</v>
      </c>
      <c r="BW842" s="55">
        <v>5</v>
      </c>
      <c r="BX842" s="127">
        <v>103</v>
      </c>
      <c r="BY842" s="63"/>
      <c r="BZ842" s="31">
        <f t="shared" si="185"/>
        <v>1440.2</v>
      </c>
      <c r="CA842" s="31">
        <f t="shared" si="186"/>
        <v>2402.6000000000004</v>
      </c>
    </row>
    <row r="843" spans="1:79" ht="38.25" x14ac:dyDescent="0.25">
      <c r="A843" s="25"/>
      <c r="B843" s="2">
        <v>827</v>
      </c>
      <c r="C843" s="48">
        <v>630</v>
      </c>
      <c r="D843" s="48">
        <v>119</v>
      </c>
      <c r="E843" s="50">
        <v>0.8125</v>
      </c>
      <c r="F843" s="50">
        <v>0.8256944444444444</v>
      </c>
      <c r="G843" s="51" t="s">
        <v>1722</v>
      </c>
      <c r="H843" s="18" t="s">
        <v>422</v>
      </c>
      <c r="I843" s="48">
        <v>12</v>
      </c>
      <c r="J843" s="52">
        <v>30</v>
      </c>
      <c r="K843" s="22">
        <v>240</v>
      </c>
      <c r="L843" s="23">
        <f t="shared" si="182"/>
        <v>2880</v>
      </c>
      <c r="M843" s="24" t="s">
        <v>222</v>
      </c>
      <c r="N843" s="25" t="s">
        <v>1587</v>
      </c>
      <c r="O843" s="25">
        <v>57</v>
      </c>
      <c r="P843" s="125" t="s">
        <v>1588</v>
      </c>
      <c r="Q843" s="125" t="s">
        <v>1655</v>
      </c>
      <c r="R843" s="25" t="s">
        <v>224</v>
      </c>
      <c r="S843" s="25">
        <v>31</v>
      </c>
      <c r="T843" s="26">
        <v>6630</v>
      </c>
      <c r="U843" s="26" t="s">
        <v>1721</v>
      </c>
      <c r="V843" s="26" t="s">
        <v>232</v>
      </c>
      <c r="W843" s="26" t="s">
        <v>233</v>
      </c>
      <c r="X843" s="27">
        <v>44816</v>
      </c>
      <c r="Y843" s="27">
        <v>45100</v>
      </c>
      <c r="Z843" s="27"/>
      <c r="AA843" s="27"/>
      <c r="AB843" s="26" t="s">
        <v>423</v>
      </c>
      <c r="AC843" s="26"/>
      <c r="AD843" s="28" t="s">
        <v>90</v>
      </c>
      <c r="AE843" s="28"/>
      <c r="AF843" s="28" t="s">
        <v>90</v>
      </c>
      <c r="AG843" s="28"/>
      <c r="AH843" s="28" t="s">
        <v>90</v>
      </c>
      <c r="AI843" s="28" t="s">
        <v>90</v>
      </c>
      <c r="AJ843" s="28" t="s">
        <v>90</v>
      </c>
      <c r="AK843" s="28" t="s">
        <v>90</v>
      </c>
      <c r="AL843" s="28" t="s">
        <v>90</v>
      </c>
      <c r="AM843" s="28" t="s">
        <v>90</v>
      </c>
      <c r="AN843" s="62"/>
      <c r="AO843" s="62"/>
      <c r="AP843" s="62"/>
      <c r="AQ843" s="62"/>
      <c r="AR843" s="28"/>
      <c r="AS843" s="28"/>
      <c r="AT843" s="28"/>
      <c r="AU843" s="28"/>
      <c r="AV843" s="28"/>
      <c r="AW843" s="28"/>
      <c r="AX843" s="31"/>
      <c r="AY843" s="31">
        <f>2.2*12</f>
        <v>26.400000000000002</v>
      </c>
      <c r="AZ843" s="63"/>
      <c r="BA843" s="63"/>
      <c r="BB843" s="63"/>
      <c r="BC843" s="63">
        <v>2</v>
      </c>
      <c r="BD843" s="31">
        <f t="shared" si="181"/>
        <v>0</v>
      </c>
      <c r="BE843" s="31">
        <f>AY843*K843</f>
        <v>6336.0000000000009</v>
      </c>
      <c r="BF843" s="63"/>
      <c r="BG843" s="36">
        <v>1</v>
      </c>
      <c r="BH843" s="63"/>
      <c r="BI843" s="31"/>
      <c r="BJ843" s="63"/>
      <c r="BK843" s="31">
        <f>IF(AND((AY843/I843)&lt;2,BG843=1),(I843*2)-AY843,0)</f>
        <v>0</v>
      </c>
      <c r="BL843" s="31">
        <f>IF(AND((AY843/I843)&lt;3,BG843=2),(I843*3)-AY843,0)</f>
        <v>0</v>
      </c>
      <c r="BM843" s="33">
        <f>(BK843+BL843)*K843</f>
        <v>0</v>
      </c>
      <c r="BN843" s="63"/>
      <c r="BO843" s="33">
        <f t="shared" si="183"/>
        <v>0</v>
      </c>
      <c r="BP843" s="30">
        <v>17</v>
      </c>
      <c r="BQ843" s="30">
        <v>26</v>
      </c>
      <c r="BR843" s="63"/>
      <c r="BS843" s="63"/>
      <c r="BT843" s="34">
        <f t="shared" si="184"/>
        <v>26.400000000000002</v>
      </c>
      <c r="BU843" s="34"/>
      <c r="BV843" s="34"/>
      <c r="BW843" s="34"/>
      <c r="BX843" s="34"/>
      <c r="BY843" s="63"/>
      <c r="BZ843" s="31">
        <f t="shared" si="185"/>
        <v>448.8</v>
      </c>
      <c r="CA843" s="31">
        <f t="shared" si="186"/>
        <v>686.40000000000009</v>
      </c>
    </row>
    <row r="844" spans="1:79" ht="51" x14ac:dyDescent="0.25">
      <c r="A844" s="17"/>
      <c r="B844" s="2">
        <v>828</v>
      </c>
      <c r="C844" s="18">
        <v>630</v>
      </c>
      <c r="D844" s="18">
        <v>118</v>
      </c>
      <c r="E844" s="19">
        <v>0.81597222222222221</v>
      </c>
      <c r="F844" s="59">
        <v>0.85</v>
      </c>
      <c r="G844" s="18" t="s">
        <v>1723</v>
      </c>
      <c r="H844" s="18" t="s">
        <v>349</v>
      </c>
      <c r="I844" s="20">
        <v>24</v>
      </c>
      <c r="J844" s="21" t="s">
        <v>93</v>
      </c>
      <c r="K844" s="22">
        <v>202</v>
      </c>
      <c r="L844" s="23">
        <f t="shared" si="182"/>
        <v>4848</v>
      </c>
      <c r="M844" s="24" t="s">
        <v>212</v>
      </c>
      <c r="N844" s="25" t="s">
        <v>213</v>
      </c>
      <c r="O844" s="25">
        <v>23</v>
      </c>
      <c r="P844" s="25" t="s">
        <v>215</v>
      </c>
      <c r="Q844" s="25">
        <v>21</v>
      </c>
      <c r="R844" s="25" t="s">
        <v>1714</v>
      </c>
      <c r="S844" s="35">
        <v>29</v>
      </c>
      <c r="T844" s="26">
        <v>6220</v>
      </c>
      <c r="U844" s="26" t="s">
        <v>216</v>
      </c>
      <c r="V844" s="26" t="s">
        <v>232</v>
      </c>
      <c r="W844" s="26" t="s">
        <v>233</v>
      </c>
      <c r="X844" s="27">
        <v>44816</v>
      </c>
      <c r="Y844" s="27">
        <v>45100</v>
      </c>
      <c r="Z844" s="27"/>
      <c r="AA844" s="27"/>
      <c r="AB844" s="26" t="s">
        <v>351</v>
      </c>
      <c r="AC844" s="26"/>
      <c r="AD844" s="28" t="s">
        <v>90</v>
      </c>
      <c r="AE844" s="28"/>
      <c r="AF844" s="28" t="s">
        <v>90</v>
      </c>
      <c r="AG844" s="28"/>
      <c r="AH844" s="28" t="s">
        <v>90</v>
      </c>
      <c r="AI844" s="28" t="s">
        <v>90</v>
      </c>
      <c r="AJ844" s="28" t="s">
        <v>90</v>
      </c>
      <c r="AK844" s="28" t="s">
        <v>90</v>
      </c>
      <c r="AL844" s="28" t="s">
        <v>90</v>
      </c>
      <c r="AM844" s="62"/>
      <c r="AN844" s="62"/>
      <c r="AO844" s="62"/>
      <c r="AP844" s="62"/>
      <c r="AQ844" s="28"/>
      <c r="AR844" s="28"/>
      <c r="AS844" s="28"/>
      <c r="AT844" s="28"/>
      <c r="AU844" s="28"/>
      <c r="AV844" s="28"/>
      <c r="AW844" s="28"/>
      <c r="AX844" s="31"/>
      <c r="AY844" s="31">
        <f>1.9*23</f>
        <v>43.699999999999996</v>
      </c>
      <c r="AZ844" s="63"/>
      <c r="BA844" s="63"/>
      <c r="BB844" s="63"/>
      <c r="BC844" s="63"/>
      <c r="BD844" s="31">
        <f t="shared" si="181"/>
        <v>0</v>
      </c>
      <c r="BE844" s="31">
        <f>AY844*K844</f>
        <v>8827.4</v>
      </c>
      <c r="BF844" s="63"/>
      <c r="BG844" s="36">
        <v>1</v>
      </c>
      <c r="BH844" s="63"/>
      <c r="BI844" s="31"/>
      <c r="BJ844" s="63"/>
      <c r="BK844" s="31">
        <f>IF(AND((AY844/I844)&lt;2,BG844=1),(I844*2)-AY844,0)</f>
        <v>4.3000000000000043</v>
      </c>
      <c r="BL844" s="31">
        <f>IF(AND((AY844/I844)&lt;3,BG844=2),(I844*3)-AY844,0)</f>
        <v>0</v>
      </c>
      <c r="BM844" s="33">
        <f>(BK844+BL844)*K844</f>
        <v>868.60000000000082</v>
      </c>
      <c r="BN844" s="63"/>
      <c r="BO844" s="33">
        <f t="shared" si="183"/>
        <v>0</v>
      </c>
      <c r="BP844" s="30">
        <v>15</v>
      </c>
      <c r="BQ844" s="30">
        <v>21</v>
      </c>
      <c r="BR844" s="63"/>
      <c r="BS844" s="63"/>
      <c r="BT844" s="34">
        <f t="shared" si="184"/>
        <v>48</v>
      </c>
      <c r="BU844" s="34"/>
      <c r="BV844" s="34"/>
      <c r="BW844" s="34"/>
      <c r="BX844" s="34"/>
      <c r="BY844" s="63"/>
      <c r="BZ844" s="31">
        <f t="shared" si="185"/>
        <v>720</v>
      </c>
      <c r="CA844" s="31">
        <f t="shared" si="186"/>
        <v>1008</v>
      </c>
    </row>
    <row r="845" spans="1:79" ht="51" x14ac:dyDescent="0.25">
      <c r="A845" s="17"/>
      <c r="B845" s="2">
        <v>829</v>
      </c>
      <c r="C845" s="18">
        <v>632</v>
      </c>
      <c r="D845" s="18">
        <v>153</v>
      </c>
      <c r="E845" s="19">
        <v>0.27083333333333331</v>
      </c>
      <c r="F845" s="59">
        <v>0.2951388888888889</v>
      </c>
      <c r="G845" s="18" t="s">
        <v>1724</v>
      </c>
      <c r="H845" s="18" t="s">
        <v>306</v>
      </c>
      <c r="I845" s="18">
        <v>18.5</v>
      </c>
      <c r="J845" s="21" t="s">
        <v>285</v>
      </c>
      <c r="K845" s="22">
        <v>208</v>
      </c>
      <c r="L845" s="23">
        <f t="shared" si="182"/>
        <v>3848</v>
      </c>
      <c r="M845" s="24" t="s">
        <v>212</v>
      </c>
      <c r="N845" s="25" t="s">
        <v>1725</v>
      </c>
      <c r="O845" s="25">
        <v>23</v>
      </c>
      <c r="P845" s="25" t="s">
        <v>228</v>
      </c>
      <c r="Q845" s="25">
        <v>21</v>
      </c>
      <c r="R845" s="61"/>
      <c r="S845" s="25"/>
      <c r="T845" s="26">
        <v>6686</v>
      </c>
      <c r="U845" s="26" t="s">
        <v>1726</v>
      </c>
      <c r="V845" s="26">
        <v>6220</v>
      </c>
      <c r="W845" s="26" t="s">
        <v>216</v>
      </c>
      <c r="X845" s="66">
        <v>44816</v>
      </c>
      <c r="Y845" s="66">
        <v>45086</v>
      </c>
      <c r="Z845" s="66"/>
      <c r="AA845" s="66"/>
      <c r="AB845" s="26" t="s">
        <v>309</v>
      </c>
      <c r="AC845" s="26"/>
      <c r="AD845" s="62"/>
      <c r="AE845" s="62"/>
      <c r="AF845" s="62"/>
      <c r="AG845" s="28" t="s">
        <v>90</v>
      </c>
      <c r="AH845" s="28" t="s">
        <v>90</v>
      </c>
      <c r="AI845" s="28" t="s">
        <v>90</v>
      </c>
      <c r="AJ845" s="28" t="s">
        <v>90</v>
      </c>
      <c r="AK845" s="28" t="s">
        <v>90</v>
      </c>
      <c r="AL845" s="28" t="s">
        <v>90</v>
      </c>
      <c r="AM845" s="28" t="s">
        <v>90</v>
      </c>
      <c r="AN845" s="62"/>
      <c r="AO845" s="62"/>
      <c r="AP845" s="62"/>
      <c r="AQ845" s="62"/>
      <c r="AR845" s="28"/>
      <c r="AS845" s="28"/>
      <c r="AT845" s="28"/>
      <c r="AU845" s="28"/>
      <c r="AV845" s="28"/>
      <c r="AW845" s="28"/>
      <c r="AX845" s="29">
        <f>96.49+34.92</f>
        <v>131.41</v>
      </c>
      <c r="AY845" s="29"/>
      <c r="AZ845" s="63"/>
      <c r="BA845" s="63"/>
      <c r="BB845" s="63"/>
      <c r="BC845" s="63"/>
      <c r="BD845" s="31">
        <f t="shared" si="181"/>
        <v>27333.279999999999</v>
      </c>
      <c r="BE845" s="31"/>
      <c r="BF845" s="63"/>
      <c r="BG845" s="32">
        <v>2</v>
      </c>
      <c r="BH845" s="31">
        <f t="shared" ref="BH845:BH853" si="187">IF(AND((AX845/I845)&lt;2,BG845=1),(I845*2)-AX845,0)</f>
        <v>0</v>
      </c>
      <c r="BI845" s="31">
        <f t="shared" ref="BI845:BI853" si="188">IF(AND((AX845/I845)&lt;3,BG845=2),(I845*3)-AX845,0)</f>
        <v>0</v>
      </c>
      <c r="BJ845" s="33">
        <f t="shared" ref="BJ845:BJ853" si="189">(BH845+BI845)*K845</f>
        <v>0</v>
      </c>
      <c r="BK845" s="63"/>
      <c r="BL845" s="63"/>
      <c r="BM845" s="63"/>
      <c r="BN845" s="31">
        <f>IF((AX845+AY845+AZ845)&lt;20,(20-(AX845+AY845+AZ845)),0)</f>
        <v>0</v>
      </c>
      <c r="BO845" s="33">
        <f t="shared" si="183"/>
        <v>0</v>
      </c>
      <c r="BP845" s="30">
        <v>17</v>
      </c>
      <c r="BQ845" s="30">
        <v>25</v>
      </c>
      <c r="BR845" s="63"/>
      <c r="BS845" s="63"/>
      <c r="BT845" s="34">
        <f t="shared" si="184"/>
        <v>131.41</v>
      </c>
      <c r="BU845" s="34"/>
      <c r="BV845" s="34"/>
      <c r="BW845" s="34"/>
      <c r="BX845" s="34"/>
      <c r="BY845" s="63"/>
      <c r="BZ845" s="31">
        <f t="shared" si="185"/>
        <v>2233.9699999999998</v>
      </c>
      <c r="CA845" s="31">
        <f t="shared" si="186"/>
        <v>3285.25</v>
      </c>
    </row>
    <row r="846" spans="1:79" ht="51" x14ac:dyDescent="0.25">
      <c r="A846" s="17"/>
      <c r="B846" s="2">
        <v>830</v>
      </c>
      <c r="C846" s="18">
        <v>632</v>
      </c>
      <c r="D846" s="18">
        <v>776</v>
      </c>
      <c r="E846" s="19">
        <v>0.28333333333333333</v>
      </c>
      <c r="F846" s="19">
        <v>0.28680555555555554</v>
      </c>
      <c r="G846" s="18" t="s">
        <v>1727</v>
      </c>
      <c r="H846" s="18" t="s">
        <v>306</v>
      </c>
      <c r="I846" s="20">
        <v>2</v>
      </c>
      <c r="J846" s="21" t="s">
        <v>380</v>
      </c>
      <c r="K846" s="22">
        <v>208</v>
      </c>
      <c r="L846" s="23">
        <f t="shared" si="182"/>
        <v>416</v>
      </c>
      <c r="M846" s="24" t="s">
        <v>212</v>
      </c>
      <c r="N846" s="25" t="s">
        <v>1728</v>
      </c>
      <c r="O846" s="25">
        <v>9</v>
      </c>
      <c r="P846" s="25" t="s">
        <v>215</v>
      </c>
      <c r="Q846" s="25">
        <v>21</v>
      </c>
      <c r="R846" s="25"/>
      <c r="S846" s="25"/>
      <c r="T846" s="26">
        <v>6579</v>
      </c>
      <c r="U846" s="26" t="s">
        <v>1729</v>
      </c>
      <c r="V846" s="26" t="s">
        <v>232</v>
      </c>
      <c r="W846" s="26" t="s">
        <v>233</v>
      </c>
      <c r="X846" s="66">
        <v>44816</v>
      </c>
      <c r="Y846" s="66">
        <v>45086</v>
      </c>
      <c r="Z846" s="66"/>
      <c r="AA846" s="66"/>
      <c r="AB846" s="26" t="s">
        <v>309</v>
      </c>
      <c r="AC846" s="26"/>
      <c r="AD846" s="62"/>
      <c r="AE846" s="62"/>
      <c r="AF846" s="62"/>
      <c r="AG846" s="28" t="s">
        <v>90</v>
      </c>
      <c r="AH846" s="28" t="s">
        <v>90</v>
      </c>
      <c r="AI846" s="28" t="s">
        <v>90</v>
      </c>
      <c r="AJ846" s="28" t="s">
        <v>90</v>
      </c>
      <c r="AK846" s="28" t="s">
        <v>90</v>
      </c>
      <c r="AL846" s="28" t="s">
        <v>90</v>
      </c>
      <c r="AM846" s="28" t="s">
        <v>90</v>
      </c>
      <c r="AN846" s="62"/>
      <c r="AO846" s="62"/>
      <c r="AP846" s="62"/>
      <c r="AQ846" s="62"/>
      <c r="AR846" s="28"/>
      <c r="AS846" s="28"/>
      <c r="AT846" s="28"/>
      <c r="AU846" s="28"/>
      <c r="AV846" s="28"/>
      <c r="AW846" s="28"/>
      <c r="AX846" s="29">
        <v>6.88</v>
      </c>
      <c r="AY846" s="29"/>
      <c r="AZ846" s="63"/>
      <c r="BA846" s="63"/>
      <c r="BB846" s="63"/>
      <c r="BC846" s="63"/>
      <c r="BD846" s="31">
        <f t="shared" si="181"/>
        <v>1431.04</v>
      </c>
      <c r="BE846" s="31"/>
      <c r="BF846" s="63"/>
      <c r="BG846" s="36">
        <v>1</v>
      </c>
      <c r="BH846" s="31">
        <f t="shared" si="187"/>
        <v>0</v>
      </c>
      <c r="BI846" s="31">
        <f t="shared" si="188"/>
        <v>0</v>
      </c>
      <c r="BJ846" s="33">
        <f t="shared" si="189"/>
        <v>0</v>
      </c>
      <c r="BK846" s="63"/>
      <c r="BL846" s="63"/>
      <c r="BM846" s="63"/>
      <c r="BN846" s="31">
        <f>IF((AX846+AY846+AZ846)&lt;20,(20-(AX846+AY846+AZ846)),0)</f>
        <v>13.120000000000001</v>
      </c>
      <c r="BO846" s="33">
        <f t="shared" si="183"/>
        <v>2728.96</v>
      </c>
      <c r="BP846" s="30">
        <v>17</v>
      </c>
      <c r="BQ846" s="30">
        <v>25</v>
      </c>
      <c r="BR846" s="63"/>
      <c r="BS846" s="63"/>
      <c r="BT846" s="34">
        <f t="shared" si="184"/>
        <v>20</v>
      </c>
      <c r="BU846" s="34"/>
      <c r="BV846" s="34"/>
      <c r="BW846" s="34"/>
      <c r="BX846" s="34"/>
      <c r="BY846" s="63"/>
      <c r="BZ846" s="31">
        <f t="shared" si="185"/>
        <v>340</v>
      </c>
      <c r="CA846" s="31">
        <f t="shared" si="186"/>
        <v>500</v>
      </c>
    </row>
    <row r="847" spans="1:79" ht="51" x14ac:dyDescent="0.25">
      <c r="A847" s="35"/>
      <c r="B847" s="2">
        <v>831</v>
      </c>
      <c r="C847" s="18">
        <v>632</v>
      </c>
      <c r="D847" s="18">
        <v>737</v>
      </c>
      <c r="E847" s="19">
        <v>0.28333333333333333</v>
      </c>
      <c r="F847" s="19">
        <v>0.2951388888888889</v>
      </c>
      <c r="G847" s="18" t="s">
        <v>1730</v>
      </c>
      <c r="H847" s="18" t="s">
        <v>306</v>
      </c>
      <c r="I847" s="20">
        <v>4</v>
      </c>
      <c r="J847" s="21" t="s">
        <v>541</v>
      </c>
      <c r="K847" s="22">
        <v>208</v>
      </c>
      <c r="L847" s="23">
        <f t="shared" si="182"/>
        <v>832</v>
      </c>
      <c r="M847" s="24" t="s">
        <v>212</v>
      </c>
      <c r="N847" s="25" t="s">
        <v>214</v>
      </c>
      <c r="O847" s="25">
        <v>23</v>
      </c>
      <c r="P847" s="25" t="s">
        <v>1725</v>
      </c>
      <c r="Q847" s="25">
        <v>23</v>
      </c>
      <c r="R847" s="25" t="s">
        <v>228</v>
      </c>
      <c r="S847" s="35">
        <v>21</v>
      </c>
      <c r="T847" s="26" t="s">
        <v>1731</v>
      </c>
      <c r="U847" s="26" t="s">
        <v>1732</v>
      </c>
      <c r="V847" s="26">
        <v>6675</v>
      </c>
      <c r="W847" s="26" t="s">
        <v>1733</v>
      </c>
      <c r="X847" s="66">
        <v>44816</v>
      </c>
      <c r="Y847" s="66">
        <v>45086</v>
      </c>
      <c r="Z847" s="66"/>
      <c r="AA847" s="66"/>
      <c r="AB847" s="26" t="s">
        <v>309</v>
      </c>
      <c r="AC847" s="26"/>
      <c r="AD847" s="62"/>
      <c r="AE847" s="62"/>
      <c r="AF847" s="62"/>
      <c r="AG847" s="28" t="s">
        <v>90</v>
      </c>
      <c r="AH847" s="28" t="s">
        <v>90</v>
      </c>
      <c r="AI847" s="28" t="s">
        <v>90</v>
      </c>
      <c r="AJ847" s="28" t="s">
        <v>90</v>
      </c>
      <c r="AK847" s="28" t="s">
        <v>90</v>
      </c>
      <c r="AL847" s="28" t="s">
        <v>90</v>
      </c>
      <c r="AM847" s="28" t="s">
        <v>90</v>
      </c>
      <c r="AN847" s="62"/>
      <c r="AO847" s="62"/>
      <c r="AP847" s="62"/>
      <c r="AQ847" s="62"/>
      <c r="AR847" s="28"/>
      <c r="AS847" s="28"/>
      <c r="AT847" s="28"/>
      <c r="AU847" s="28"/>
      <c r="AV847" s="28"/>
      <c r="AW847" s="28"/>
      <c r="AX847" s="29">
        <v>48.25</v>
      </c>
      <c r="AY847" s="29"/>
      <c r="AZ847" s="63"/>
      <c r="BA847" s="63"/>
      <c r="BB847" s="63"/>
      <c r="BC847" s="63"/>
      <c r="BD847" s="31">
        <f t="shared" si="181"/>
        <v>10036</v>
      </c>
      <c r="BE847" s="31"/>
      <c r="BF847" s="63"/>
      <c r="BG847" s="36">
        <v>1</v>
      </c>
      <c r="BH847" s="31">
        <f t="shared" si="187"/>
        <v>0</v>
      </c>
      <c r="BI847" s="31">
        <f t="shared" si="188"/>
        <v>0</v>
      </c>
      <c r="BJ847" s="33">
        <f t="shared" si="189"/>
        <v>0</v>
      </c>
      <c r="BK847" s="63"/>
      <c r="BL847" s="63"/>
      <c r="BM847" s="63"/>
      <c r="BN847" s="31">
        <f>IF((AX847+AY847+AZ847)&lt;20,(20-(AX847+AY847+AZ847)),0)</f>
        <v>0</v>
      </c>
      <c r="BO847" s="33">
        <f t="shared" si="183"/>
        <v>0</v>
      </c>
      <c r="BP847" s="30">
        <v>17</v>
      </c>
      <c r="BQ847" s="30">
        <v>25</v>
      </c>
      <c r="BR847" s="63"/>
      <c r="BS847" s="63"/>
      <c r="BT847" s="34">
        <f t="shared" si="184"/>
        <v>48.25</v>
      </c>
      <c r="BU847" s="34"/>
      <c r="BV847" s="34"/>
      <c r="BW847" s="34"/>
      <c r="BX847" s="34"/>
      <c r="BY847" s="63"/>
      <c r="BZ847" s="31">
        <f t="shared" si="185"/>
        <v>820.25</v>
      </c>
      <c r="CA847" s="31">
        <f t="shared" si="186"/>
        <v>1206.25</v>
      </c>
    </row>
    <row r="848" spans="1:79" ht="51" x14ac:dyDescent="0.25">
      <c r="A848" s="17"/>
      <c r="B848" s="2">
        <v>832</v>
      </c>
      <c r="C848" s="58">
        <v>637</v>
      </c>
      <c r="D848" s="18">
        <v>747</v>
      </c>
      <c r="E848" s="19">
        <v>0.29166666666666669</v>
      </c>
      <c r="F848" s="19">
        <v>0.30208333333333331</v>
      </c>
      <c r="G848" s="18" t="s">
        <v>1734</v>
      </c>
      <c r="H848" s="18" t="s">
        <v>306</v>
      </c>
      <c r="I848" s="20">
        <v>9</v>
      </c>
      <c r="J848" s="21" t="s">
        <v>122</v>
      </c>
      <c r="K848" s="22">
        <v>208</v>
      </c>
      <c r="L848" s="23">
        <f t="shared" si="182"/>
        <v>1872</v>
      </c>
      <c r="M848" s="24" t="s">
        <v>212</v>
      </c>
      <c r="N848" s="25" t="s">
        <v>213</v>
      </c>
      <c r="O848" s="25">
        <v>23</v>
      </c>
      <c r="P848" s="25" t="s">
        <v>228</v>
      </c>
      <c r="Q848" s="25">
        <v>21</v>
      </c>
      <c r="R848" s="25"/>
      <c r="S848" s="25"/>
      <c r="T848" s="26">
        <v>6640</v>
      </c>
      <c r="U848" s="26" t="s">
        <v>1735</v>
      </c>
      <c r="V848" s="26">
        <v>6655</v>
      </c>
      <c r="W848" s="26" t="s">
        <v>1736</v>
      </c>
      <c r="X848" s="66">
        <v>44816</v>
      </c>
      <c r="Y848" s="66">
        <v>45086</v>
      </c>
      <c r="Z848" s="66"/>
      <c r="AA848" s="66"/>
      <c r="AB848" s="26" t="s">
        <v>309</v>
      </c>
      <c r="AC848" s="26"/>
      <c r="AD848" s="62"/>
      <c r="AE848" s="62"/>
      <c r="AF848" s="62"/>
      <c r="AG848" s="28" t="s">
        <v>90</v>
      </c>
      <c r="AH848" s="28" t="s">
        <v>90</v>
      </c>
      <c r="AI848" s="28" t="s">
        <v>90</v>
      </c>
      <c r="AJ848" s="28" t="s">
        <v>90</v>
      </c>
      <c r="AK848" s="28" t="s">
        <v>90</v>
      </c>
      <c r="AL848" s="28" t="s">
        <v>90</v>
      </c>
      <c r="AM848" s="28" t="s">
        <v>90</v>
      </c>
      <c r="AN848" s="62"/>
      <c r="AO848" s="62"/>
      <c r="AP848" s="62"/>
      <c r="AQ848" s="62"/>
      <c r="AR848" s="28"/>
      <c r="AS848" s="28"/>
      <c r="AT848" s="28"/>
      <c r="AU848" s="28"/>
      <c r="AV848" s="28"/>
      <c r="AW848" s="28"/>
      <c r="AX848" s="29">
        <v>16.739999999999998</v>
      </c>
      <c r="AY848" s="29"/>
      <c r="AZ848" s="63"/>
      <c r="BA848" s="63"/>
      <c r="BB848" s="63"/>
      <c r="BC848" s="63"/>
      <c r="BD848" s="31">
        <f t="shared" si="181"/>
        <v>3481.9199999999996</v>
      </c>
      <c r="BE848" s="31"/>
      <c r="BF848" s="63"/>
      <c r="BG848" s="36">
        <v>1</v>
      </c>
      <c r="BH848" s="31">
        <f t="shared" si="187"/>
        <v>1.2600000000000016</v>
      </c>
      <c r="BI848" s="31">
        <f t="shared" si="188"/>
        <v>0</v>
      </c>
      <c r="BJ848" s="31">
        <f t="shared" si="189"/>
        <v>262.08000000000033</v>
      </c>
      <c r="BK848" s="63"/>
      <c r="BL848" s="63"/>
      <c r="BM848" s="63"/>
      <c r="BN848" s="63"/>
      <c r="BO848" s="33">
        <f t="shared" si="183"/>
        <v>0</v>
      </c>
      <c r="BP848" s="30">
        <v>17</v>
      </c>
      <c r="BQ848" s="30">
        <v>25</v>
      </c>
      <c r="BR848" s="63"/>
      <c r="BS848" s="63"/>
      <c r="BT848" s="34">
        <f t="shared" si="184"/>
        <v>18</v>
      </c>
      <c r="BU848" s="34"/>
      <c r="BV848" s="34"/>
      <c r="BW848" s="34"/>
      <c r="BX848" s="34"/>
      <c r="BY848" s="63"/>
      <c r="BZ848" s="31">
        <f t="shared" si="185"/>
        <v>306</v>
      </c>
      <c r="CA848" s="31">
        <f t="shared" si="186"/>
        <v>450</v>
      </c>
    </row>
    <row r="849" spans="1:79" ht="38.25" x14ac:dyDescent="0.25">
      <c r="A849" s="25"/>
      <c r="B849" s="2">
        <v>833</v>
      </c>
      <c r="C849" s="58">
        <v>632</v>
      </c>
      <c r="D849" s="18">
        <v>135</v>
      </c>
      <c r="E849" s="19">
        <v>0.3034722222222222</v>
      </c>
      <c r="F849" s="19">
        <v>0.31388888888888888</v>
      </c>
      <c r="G849" s="18" t="s">
        <v>1737</v>
      </c>
      <c r="H849" s="18" t="s">
        <v>379</v>
      </c>
      <c r="I849" s="18">
        <v>7</v>
      </c>
      <c r="J849" s="21" t="s">
        <v>81</v>
      </c>
      <c r="K849" s="22">
        <v>34</v>
      </c>
      <c r="L849" s="23">
        <f t="shared" si="182"/>
        <v>238</v>
      </c>
      <c r="M849" s="24" t="s">
        <v>445</v>
      </c>
      <c r="N849" s="25" t="s">
        <v>1662</v>
      </c>
      <c r="O849" s="25">
        <v>51</v>
      </c>
      <c r="P849" s="25" t="s">
        <v>1663</v>
      </c>
      <c r="Q849" s="25">
        <v>58</v>
      </c>
      <c r="R849" s="25"/>
      <c r="S849" s="25"/>
      <c r="T849" s="26">
        <v>6660</v>
      </c>
      <c r="U849" s="26" t="s">
        <v>1738</v>
      </c>
      <c r="V849" s="26">
        <v>6220</v>
      </c>
      <c r="W849" s="26" t="s">
        <v>216</v>
      </c>
      <c r="X849" s="66">
        <v>44816</v>
      </c>
      <c r="Y849" s="66">
        <v>45086</v>
      </c>
      <c r="Z849" s="66"/>
      <c r="AA849" s="66"/>
      <c r="AB849" s="28" t="s">
        <v>382</v>
      </c>
      <c r="AC849" s="28"/>
      <c r="AD849" s="62"/>
      <c r="AE849" s="62"/>
      <c r="AF849" s="62"/>
      <c r="AG849" s="28" t="s">
        <v>90</v>
      </c>
      <c r="AH849" s="28"/>
      <c r="AI849" s="28"/>
      <c r="AJ849" s="28"/>
      <c r="AK849" s="28"/>
      <c r="AL849" s="28"/>
      <c r="AM849" s="28" t="s">
        <v>90</v>
      </c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29">
        <v>285.51</v>
      </c>
      <c r="AY849" s="29"/>
      <c r="AZ849" s="63"/>
      <c r="BA849" s="63"/>
      <c r="BB849" s="63"/>
      <c r="BC849" s="63"/>
      <c r="BD849" s="31">
        <f t="shared" si="181"/>
        <v>9707.34</v>
      </c>
      <c r="BE849" s="31"/>
      <c r="BF849" s="63"/>
      <c r="BG849" s="32">
        <v>2</v>
      </c>
      <c r="BH849" s="31">
        <f t="shared" si="187"/>
        <v>0</v>
      </c>
      <c r="BI849" s="31">
        <f t="shared" si="188"/>
        <v>0</v>
      </c>
      <c r="BJ849" s="33">
        <f t="shared" si="189"/>
        <v>0</v>
      </c>
      <c r="BK849" s="63"/>
      <c r="BL849" s="63"/>
      <c r="BM849" s="63"/>
      <c r="BN849" s="63"/>
      <c r="BO849" s="33">
        <f t="shared" si="183"/>
        <v>0</v>
      </c>
      <c r="BP849" s="30">
        <v>2</v>
      </c>
      <c r="BQ849" s="30">
        <v>5</v>
      </c>
      <c r="BR849" s="63"/>
      <c r="BS849" s="63"/>
      <c r="BT849" s="34">
        <f t="shared" si="184"/>
        <v>285.51</v>
      </c>
      <c r="BU849" s="34"/>
      <c r="BV849" s="34"/>
      <c r="BW849" s="34"/>
      <c r="BX849" s="34"/>
      <c r="BY849" s="63"/>
      <c r="BZ849" s="31">
        <f t="shared" si="185"/>
        <v>571.02</v>
      </c>
      <c r="CA849" s="31">
        <f t="shared" si="186"/>
        <v>1427.55</v>
      </c>
    </row>
    <row r="850" spans="1:79" ht="51" x14ac:dyDescent="0.25">
      <c r="A850" s="35"/>
      <c r="B850" s="2">
        <v>834</v>
      </c>
      <c r="C850" s="18">
        <v>632</v>
      </c>
      <c r="D850" s="18">
        <v>736</v>
      </c>
      <c r="E850" s="19">
        <v>0.53819444444444442</v>
      </c>
      <c r="F850" s="19">
        <v>0.55208333333333337</v>
      </c>
      <c r="G850" s="18" t="s">
        <v>1739</v>
      </c>
      <c r="H850" s="18" t="s">
        <v>306</v>
      </c>
      <c r="I850" s="20">
        <v>4</v>
      </c>
      <c r="J850" s="21" t="s">
        <v>541</v>
      </c>
      <c r="K850" s="22">
        <v>208</v>
      </c>
      <c r="L850" s="23">
        <f t="shared" si="182"/>
        <v>832</v>
      </c>
      <c r="M850" s="24" t="s">
        <v>212</v>
      </c>
      <c r="N850" s="25" t="s">
        <v>214</v>
      </c>
      <c r="O850" s="25">
        <v>23</v>
      </c>
      <c r="P850" s="25" t="s">
        <v>1725</v>
      </c>
      <c r="Q850" s="25">
        <v>23</v>
      </c>
      <c r="R850" s="25"/>
      <c r="S850" s="25"/>
      <c r="T850" s="26">
        <v>6675</v>
      </c>
      <c r="U850" s="26" t="s">
        <v>1733</v>
      </c>
      <c r="V850" s="26" t="s">
        <v>1731</v>
      </c>
      <c r="W850" s="26" t="s">
        <v>1732</v>
      </c>
      <c r="X850" s="66">
        <v>44816</v>
      </c>
      <c r="Y850" s="66">
        <v>45086</v>
      </c>
      <c r="Z850" s="66"/>
      <c r="AA850" s="66"/>
      <c r="AB850" s="26" t="s">
        <v>309</v>
      </c>
      <c r="AC850" s="26"/>
      <c r="AD850" s="62"/>
      <c r="AE850" s="62"/>
      <c r="AF850" s="62"/>
      <c r="AG850" s="28" t="s">
        <v>90</v>
      </c>
      <c r="AH850" s="28" t="s">
        <v>90</v>
      </c>
      <c r="AI850" s="28" t="s">
        <v>90</v>
      </c>
      <c r="AJ850" s="28" t="s">
        <v>90</v>
      </c>
      <c r="AK850" s="28" t="s">
        <v>90</v>
      </c>
      <c r="AL850" s="28" t="s">
        <v>90</v>
      </c>
      <c r="AM850" s="28" t="s">
        <v>90</v>
      </c>
      <c r="AN850" s="62"/>
      <c r="AO850" s="62"/>
      <c r="AP850" s="62"/>
      <c r="AQ850" s="62"/>
      <c r="AR850" s="28"/>
      <c r="AS850" s="28"/>
      <c r="AT850" s="28"/>
      <c r="AU850" s="28"/>
      <c r="AV850" s="28"/>
      <c r="AW850" s="28"/>
      <c r="AX850" s="29">
        <v>48.25</v>
      </c>
      <c r="AY850" s="29"/>
      <c r="AZ850" s="63"/>
      <c r="BA850" s="63"/>
      <c r="BB850" s="63"/>
      <c r="BC850" s="63"/>
      <c r="BD850" s="31">
        <f t="shared" si="181"/>
        <v>10036</v>
      </c>
      <c r="BE850" s="31"/>
      <c r="BF850" s="63"/>
      <c r="BG850" s="36">
        <v>1</v>
      </c>
      <c r="BH850" s="31">
        <f t="shared" si="187"/>
        <v>0</v>
      </c>
      <c r="BI850" s="31">
        <f t="shared" si="188"/>
        <v>0</v>
      </c>
      <c r="BJ850" s="33">
        <f t="shared" si="189"/>
        <v>0</v>
      </c>
      <c r="BK850" s="63"/>
      <c r="BL850" s="63"/>
      <c r="BM850" s="63"/>
      <c r="BN850" s="63"/>
      <c r="BO850" s="33">
        <f t="shared" si="183"/>
        <v>0</v>
      </c>
      <c r="BP850" s="30">
        <v>17</v>
      </c>
      <c r="BQ850" s="30">
        <v>25</v>
      </c>
      <c r="BR850" s="63"/>
      <c r="BS850" s="63"/>
      <c r="BT850" s="34">
        <f t="shared" si="184"/>
        <v>48.25</v>
      </c>
      <c r="BU850" s="34"/>
      <c r="BV850" s="34"/>
      <c r="BW850" s="34"/>
      <c r="BX850" s="34"/>
      <c r="BY850" s="63"/>
      <c r="BZ850" s="31">
        <f t="shared" si="185"/>
        <v>820.25</v>
      </c>
      <c r="CA850" s="31">
        <f t="shared" si="186"/>
        <v>1206.25</v>
      </c>
    </row>
    <row r="851" spans="1:79" ht="51" x14ac:dyDescent="0.25">
      <c r="A851" s="67" t="s">
        <v>322</v>
      </c>
      <c r="B851" s="2">
        <v>835</v>
      </c>
      <c r="C851" s="18">
        <v>632</v>
      </c>
      <c r="D851" s="18">
        <v>777</v>
      </c>
      <c r="E851" s="19">
        <v>0.54513888888888895</v>
      </c>
      <c r="F851" s="19">
        <v>0.55208333333333337</v>
      </c>
      <c r="G851" s="18" t="s">
        <v>1740</v>
      </c>
      <c r="H851" s="18" t="s">
        <v>1741</v>
      </c>
      <c r="I851" s="20">
        <v>2</v>
      </c>
      <c r="J851" s="21" t="s">
        <v>380</v>
      </c>
      <c r="K851" s="22">
        <v>34</v>
      </c>
      <c r="L851" s="23">
        <f t="shared" si="182"/>
        <v>68</v>
      </c>
      <c r="M851" s="24" t="s">
        <v>212</v>
      </c>
      <c r="N851" s="25" t="s">
        <v>215</v>
      </c>
      <c r="O851" s="25">
        <v>21</v>
      </c>
      <c r="P851" s="25" t="s">
        <v>213</v>
      </c>
      <c r="Q851" s="25">
        <v>23</v>
      </c>
      <c r="R851" s="25"/>
      <c r="S851" s="25"/>
      <c r="T851" s="26" t="s">
        <v>232</v>
      </c>
      <c r="U851" s="26" t="s">
        <v>233</v>
      </c>
      <c r="V851" s="26">
        <v>6579</v>
      </c>
      <c r="W851" s="26" t="s">
        <v>1729</v>
      </c>
      <c r="X851" s="66">
        <v>44816</v>
      </c>
      <c r="Y851" s="66">
        <v>45086</v>
      </c>
      <c r="Z851" s="66"/>
      <c r="AA851" s="66"/>
      <c r="AB851" s="62" t="s">
        <v>584</v>
      </c>
      <c r="AC851" s="62"/>
      <c r="AD851" s="62"/>
      <c r="AE851" s="62"/>
      <c r="AF851" s="62"/>
      <c r="AG851" s="62" t="s">
        <v>90</v>
      </c>
      <c r="AH851" s="62"/>
      <c r="AI851" s="62" t="s">
        <v>90</v>
      </c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29">
        <f>((6*34)+(12.6*34))/68</f>
        <v>9.2999999999999989</v>
      </c>
      <c r="AY851" s="29"/>
      <c r="AZ851" s="63"/>
      <c r="BA851" s="63"/>
      <c r="BB851" s="63"/>
      <c r="BC851" s="63"/>
      <c r="BD851" s="31">
        <f t="shared" ref="BD851:BD885" si="190">AX851*K851</f>
        <v>316.2</v>
      </c>
      <c r="BE851" s="31"/>
      <c r="BF851" s="63"/>
      <c r="BG851" s="36">
        <v>1</v>
      </c>
      <c r="BH851" s="31">
        <f t="shared" si="187"/>
        <v>0</v>
      </c>
      <c r="BI851" s="31">
        <f t="shared" si="188"/>
        <v>0</v>
      </c>
      <c r="BJ851" s="33">
        <f t="shared" si="189"/>
        <v>0</v>
      </c>
      <c r="BK851" s="63"/>
      <c r="BL851" s="63"/>
      <c r="BM851" s="63"/>
      <c r="BN851" s="63"/>
      <c r="BO851" s="33">
        <f t="shared" si="183"/>
        <v>0</v>
      </c>
      <c r="BP851" s="63">
        <v>3</v>
      </c>
      <c r="BQ851" s="63">
        <v>4</v>
      </c>
      <c r="BR851" s="63"/>
      <c r="BS851" s="63"/>
      <c r="BT851" s="34">
        <f t="shared" si="184"/>
        <v>9.2999999999999989</v>
      </c>
      <c r="BU851" s="34"/>
      <c r="BV851" s="34"/>
      <c r="BW851" s="34"/>
      <c r="BX851" s="34"/>
      <c r="BY851" s="63"/>
      <c r="BZ851" s="31">
        <f t="shared" si="185"/>
        <v>27.9</v>
      </c>
      <c r="CA851" s="31">
        <f t="shared" si="186"/>
        <v>37.199999999999996</v>
      </c>
    </row>
    <row r="852" spans="1:79" ht="51" x14ac:dyDescent="0.25">
      <c r="A852" s="35"/>
      <c r="B852" s="2">
        <v>836</v>
      </c>
      <c r="C852" s="18">
        <v>632</v>
      </c>
      <c r="D852" s="18">
        <v>712</v>
      </c>
      <c r="E852" s="19">
        <v>0.54861111111111105</v>
      </c>
      <c r="F852" s="19">
        <v>0.57291666666666663</v>
      </c>
      <c r="G852" s="18" t="s">
        <v>1742</v>
      </c>
      <c r="H852" s="18" t="s">
        <v>273</v>
      </c>
      <c r="I852" s="20">
        <v>19</v>
      </c>
      <c r="J852" s="21" t="s">
        <v>1653</v>
      </c>
      <c r="K852" s="22">
        <v>174</v>
      </c>
      <c r="L852" s="23">
        <f t="shared" si="182"/>
        <v>3306</v>
      </c>
      <c r="M852" s="24" t="s">
        <v>445</v>
      </c>
      <c r="N852" s="25" t="s">
        <v>1663</v>
      </c>
      <c r="O852" s="25">
        <v>58</v>
      </c>
      <c r="P852" s="25" t="s">
        <v>1662</v>
      </c>
      <c r="Q852" s="25">
        <v>51</v>
      </c>
      <c r="R852" s="25"/>
      <c r="S852" s="25"/>
      <c r="T852" s="26">
        <v>6220</v>
      </c>
      <c r="U852" s="26" t="s">
        <v>216</v>
      </c>
      <c r="V852" s="26">
        <v>6686</v>
      </c>
      <c r="W852" s="26" t="s">
        <v>1726</v>
      </c>
      <c r="X852" s="66">
        <v>44816</v>
      </c>
      <c r="Y852" s="66">
        <v>45086</v>
      </c>
      <c r="Z852" s="66"/>
      <c r="AA852" s="66"/>
      <c r="AB852" s="26" t="s">
        <v>282</v>
      </c>
      <c r="AC852" s="26"/>
      <c r="AD852" s="62"/>
      <c r="AE852" s="62"/>
      <c r="AF852" s="62"/>
      <c r="AG852" s="28" t="s">
        <v>90</v>
      </c>
      <c r="AH852" s="28" t="s">
        <v>90</v>
      </c>
      <c r="AI852" s="28" t="s">
        <v>90</v>
      </c>
      <c r="AJ852" s="28" t="s">
        <v>90</v>
      </c>
      <c r="AK852" s="28" t="s">
        <v>90</v>
      </c>
      <c r="AL852" s="28" t="s">
        <v>90</v>
      </c>
      <c r="AM852" s="62"/>
      <c r="AN852" s="62"/>
      <c r="AO852" s="62"/>
      <c r="AP852" s="62"/>
      <c r="AQ852" s="62"/>
      <c r="AR852" s="28"/>
      <c r="AS852" s="28"/>
      <c r="AT852" s="28"/>
      <c r="AU852" s="28"/>
      <c r="AV852" s="28"/>
      <c r="AW852" s="62"/>
      <c r="AX852" s="29">
        <v>146.15</v>
      </c>
      <c r="AY852" s="29"/>
      <c r="AZ852" s="63"/>
      <c r="BA852" s="63"/>
      <c r="BB852" s="63"/>
      <c r="BC852" s="63"/>
      <c r="BD852" s="31">
        <f t="shared" si="190"/>
        <v>25430.100000000002</v>
      </c>
      <c r="BE852" s="31"/>
      <c r="BF852" s="63"/>
      <c r="BG852" s="32">
        <v>2</v>
      </c>
      <c r="BH852" s="31">
        <f t="shared" si="187"/>
        <v>0</v>
      </c>
      <c r="BI852" s="31">
        <f t="shared" si="188"/>
        <v>0</v>
      </c>
      <c r="BJ852" s="33">
        <f t="shared" si="189"/>
        <v>0</v>
      </c>
      <c r="BK852" s="63"/>
      <c r="BL852" s="63"/>
      <c r="BM852" s="63"/>
      <c r="BN852" s="63"/>
      <c r="BO852" s="33">
        <f t="shared" si="183"/>
        <v>0</v>
      </c>
      <c r="BP852" s="30">
        <v>15</v>
      </c>
      <c r="BQ852" s="30">
        <v>20</v>
      </c>
      <c r="BR852" s="63"/>
      <c r="BS852" s="63"/>
      <c r="BT852" s="34">
        <f t="shared" si="184"/>
        <v>146.15</v>
      </c>
      <c r="BU852" s="34"/>
      <c r="BV852" s="34"/>
      <c r="BW852" s="34"/>
      <c r="BX852" s="34"/>
      <c r="BY852" s="63"/>
      <c r="BZ852" s="31">
        <f t="shared" si="185"/>
        <v>2192.25</v>
      </c>
      <c r="CA852" s="31">
        <f t="shared" si="186"/>
        <v>2923</v>
      </c>
    </row>
    <row r="853" spans="1:79" ht="51" x14ac:dyDescent="0.25">
      <c r="A853" s="67" t="s">
        <v>322</v>
      </c>
      <c r="B853" s="2">
        <v>837</v>
      </c>
      <c r="C853" s="18">
        <v>632</v>
      </c>
      <c r="D853" s="18">
        <v>780</v>
      </c>
      <c r="E853" s="19">
        <v>0.55208333333333337</v>
      </c>
      <c r="F853" s="19">
        <v>0.55902777777777779</v>
      </c>
      <c r="G853" s="58" t="s">
        <v>1740</v>
      </c>
      <c r="H853" s="58" t="s">
        <v>1743</v>
      </c>
      <c r="I853" s="20">
        <v>5</v>
      </c>
      <c r="J853" s="21" t="s">
        <v>380</v>
      </c>
      <c r="K853" s="22">
        <v>34</v>
      </c>
      <c r="L853" s="23">
        <f t="shared" si="182"/>
        <v>170</v>
      </c>
      <c r="M853" s="24" t="s">
        <v>212</v>
      </c>
      <c r="N853" s="25" t="s">
        <v>215</v>
      </c>
      <c r="O853" s="25">
        <v>21</v>
      </c>
      <c r="P853" s="25" t="s">
        <v>213</v>
      </c>
      <c r="Q853" s="25">
        <v>23</v>
      </c>
      <c r="R853" s="25"/>
      <c r="S853" s="25"/>
      <c r="T853" s="26" t="s">
        <v>232</v>
      </c>
      <c r="U853" s="26" t="s">
        <v>233</v>
      </c>
      <c r="V853" s="26">
        <v>6579</v>
      </c>
      <c r="W853" s="26" t="s">
        <v>1729</v>
      </c>
      <c r="X853" s="66">
        <v>44816</v>
      </c>
      <c r="Y853" s="66">
        <v>45086</v>
      </c>
      <c r="Z853" s="66"/>
      <c r="AA853" s="66"/>
      <c r="AB853" s="62" t="s">
        <v>1744</v>
      </c>
      <c r="AC853" s="62"/>
      <c r="AD853" s="62"/>
      <c r="AE853" s="62"/>
      <c r="AF853" s="62"/>
      <c r="AG853" s="62" t="s">
        <v>90</v>
      </c>
      <c r="AH853" s="62"/>
      <c r="AI853" s="62"/>
      <c r="AJ853" s="62"/>
      <c r="AK853" s="62" t="s">
        <v>90</v>
      </c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29">
        <f>((6*34)+(12.6*34))/68</f>
        <v>9.2999999999999989</v>
      </c>
      <c r="AY853" s="29"/>
      <c r="AZ853" s="63"/>
      <c r="BA853" s="63"/>
      <c r="BB853" s="63"/>
      <c r="BC853" s="63"/>
      <c r="BD853" s="31">
        <f t="shared" si="190"/>
        <v>316.2</v>
      </c>
      <c r="BE853" s="31"/>
      <c r="BF853" s="63"/>
      <c r="BG853" s="36">
        <v>1</v>
      </c>
      <c r="BH853" s="31">
        <f t="shared" si="187"/>
        <v>0.70000000000000107</v>
      </c>
      <c r="BI853" s="31">
        <f t="shared" si="188"/>
        <v>0</v>
      </c>
      <c r="BJ853" s="31">
        <f t="shared" si="189"/>
        <v>23.800000000000036</v>
      </c>
      <c r="BK853" s="63"/>
      <c r="BL853" s="63"/>
      <c r="BM853" s="63"/>
      <c r="BN853" s="63"/>
      <c r="BO853" s="33">
        <f t="shared" si="183"/>
        <v>0</v>
      </c>
      <c r="BP853" s="63">
        <v>3</v>
      </c>
      <c r="BQ853" s="63">
        <v>4</v>
      </c>
      <c r="BR853" s="63"/>
      <c r="BS853" s="63"/>
      <c r="BT853" s="34">
        <f t="shared" si="184"/>
        <v>10</v>
      </c>
      <c r="BU853" s="34"/>
      <c r="BV853" s="34"/>
      <c r="BW853" s="34"/>
      <c r="BX853" s="34"/>
      <c r="BY853" s="63"/>
      <c r="BZ853" s="31">
        <f t="shared" si="185"/>
        <v>30</v>
      </c>
      <c r="CA853" s="31">
        <f t="shared" si="186"/>
        <v>40</v>
      </c>
    </row>
    <row r="854" spans="1:79" ht="51" x14ac:dyDescent="0.25">
      <c r="A854" s="17" t="s">
        <v>147</v>
      </c>
      <c r="B854" s="2">
        <v>838</v>
      </c>
      <c r="C854" s="18">
        <v>632</v>
      </c>
      <c r="D854" s="58">
        <v>730</v>
      </c>
      <c r="E854" s="59">
        <v>0.57638888888888895</v>
      </c>
      <c r="F854" s="59">
        <v>0.58333333333333337</v>
      </c>
      <c r="G854" s="18" t="s">
        <v>1739</v>
      </c>
      <c r="H854" s="18" t="s">
        <v>273</v>
      </c>
      <c r="I854" s="20">
        <v>4</v>
      </c>
      <c r="J854" s="21" t="s">
        <v>93</v>
      </c>
      <c r="K854" s="22">
        <v>174</v>
      </c>
      <c r="L854" s="23">
        <f t="shared" si="182"/>
        <v>696</v>
      </c>
      <c r="M854" s="24" t="s">
        <v>212</v>
      </c>
      <c r="N854" s="25" t="s">
        <v>213</v>
      </c>
      <c r="O854" s="25">
        <v>23</v>
      </c>
      <c r="P854" s="25" t="s">
        <v>214</v>
      </c>
      <c r="Q854" s="25">
        <v>23</v>
      </c>
      <c r="R854" s="25" t="s">
        <v>1745</v>
      </c>
      <c r="S854" s="35">
        <v>9</v>
      </c>
      <c r="T854" s="26">
        <v>6675</v>
      </c>
      <c r="U854" s="26" t="s">
        <v>1733</v>
      </c>
      <c r="V854" s="26" t="s">
        <v>1746</v>
      </c>
      <c r="W854" s="26" t="s">
        <v>1747</v>
      </c>
      <c r="X854" s="66">
        <v>44816</v>
      </c>
      <c r="Y854" s="66">
        <v>45086</v>
      </c>
      <c r="Z854" s="66"/>
      <c r="AA854" s="66"/>
      <c r="AB854" s="26" t="s">
        <v>282</v>
      </c>
      <c r="AC854" s="26"/>
      <c r="AD854" s="62"/>
      <c r="AE854" s="62"/>
      <c r="AF854" s="62"/>
      <c r="AG854" s="28" t="s">
        <v>90</v>
      </c>
      <c r="AH854" s="28" t="s">
        <v>90</v>
      </c>
      <c r="AI854" s="28" t="s">
        <v>90</v>
      </c>
      <c r="AJ854" s="28" t="s">
        <v>90</v>
      </c>
      <c r="AK854" s="28" t="s">
        <v>90</v>
      </c>
      <c r="AL854" s="28" t="s">
        <v>90</v>
      </c>
      <c r="AM854" s="62"/>
      <c r="AN854" s="62"/>
      <c r="AO854" s="62"/>
      <c r="AP854" s="62"/>
      <c r="AQ854" s="62"/>
      <c r="AR854" s="28"/>
      <c r="AS854" s="28"/>
      <c r="AT854" s="28"/>
      <c r="AU854" s="28"/>
      <c r="AV854" s="28"/>
      <c r="AW854" s="62"/>
      <c r="AX854" s="29"/>
      <c r="AY854" s="31"/>
      <c r="AZ854" s="31">
        <f>3*I854</f>
        <v>12</v>
      </c>
      <c r="BA854" s="29"/>
      <c r="BB854" s="29"/>
      <c r="BC854" s="30"/>
      <c r="BD854" s="30"/>
      <c r="BE854" s="30"/>
      <c r="BF854" s="31">
        <f>AZ854*K854</f>
        <v>2088</v>
      </c>
      <c r="BG854" s="36">
        <v>1</v>
      </c>
      <c r="BH854" s="128"/>
      <c r="BI854" s="47"/>
      <c r="BJ854" s="128"/>
      <c r="BK854" s="128"/>
      <c r="BL854" s="128"/>
      <c r="BM854" s="128"/>
      <c r="BN854" s="63"/>
      <c r="BO854" s="33">
        <f t="shared" si="183"/>
        <v>0</v>
      </c>
      <c r="BP854" s="30">
        <v>15</v>
      </c>
      <c r="BQ854" s="30">
        <v>20</v>
      </c>
      <c r="BR854" s="63"/>
      <c r="BS854" s="63"/>
      <c r="BT854" s="34">
        <f t="shared" si="184"/>
        <v>12</v>
      </c>
      <c r="BU854" s="34"/>
      <c r="BV854" s="34"/>
      <c r="BW854" s="34"/>
      <c r="BX854" s="34"/>
      <c r="BY854" s="63"/>
      <c r="BZ854" s="31">
        <f t="shared" si="185"/>
        <v>180</v>
      </c>
      <c r="CA854" s="31">
        <f t="shared" si="186"/>
        <v>240</v>
      </c>
    </row>
    <row r="855" spans="1:79" ht="45.75" x14ac:dyDescent="0.25">
      <c r="A855" s="35"/>
      <c r="B855" s="2">
        <v>839</v>
      </c>
      <c r="C855" s="48">
        <v>632</v>
      </c>
      <c r="D855" s="48">
        <v>151</v>
      </c>
      <c r="E855" s="49">
        <v>0.68541666666666667</v>
      </c>
      <c r="F855" s="49">
        <v>0.69444444444444453</v>
      </c>
      <c r="G855" s="51" t="s">
        <v>1737</v>
      </c>
      <c r="H855" s="48" t="s">
        <v>1748</v>
      </c>
      <c r="I855" s="48">
        <v>7</v>
      </c>
      <c r="J855" s="52">
        <v>19</v>
      </c>
      <c r="K855" s="22">
        <f>174-36</f>
        <v>138</v>
      </c>
      <c r="L855" s="23">
        <f t="shared" si="182"/>
        <v>966</v>
      </c>
      <c r="M855" s="24" t="s">
        <v>236</v>
      </c>
      <c r="N855" s="25" t="s">
        <v>237</v>
      </c>
      <c r="O855" s="25" t="s">
        <v>238</v>
      </c>
      <c r="P855" s="25" t="s">
        <v>239</v>
      </c>
      <c r="Q855" s="25">
        <v>21</v>
      </c>
      <c r="R855" s="25" t="s">
        <v>240</v>
      </c>
      <c r="S855" s="35">
        <v>17</v>
      </c>
      <c r="T855" s="26">
        <v>6660</v>
      </c>
      <c r="U855" s="26" t="s">
        <v>1738</v>
      </c>
      <c r="V855" s="26">
        <v>6220</v>
      </c>
      <c r="W855" s="26" t="s">
        <v>216</v>
      </c>
      <c r="X855" s="66">
        <v>44816</v>
      </c>
      <c r="Y855" s="66">
        <v>45086</v>
      </c>
      <c r="Z855" s="66"/>
      <c r="AA855" s="66"/>
      <c r="AB855" s="62" t="s">
        <v>298</v>
      </c>
      <c r="AC855" s="62"/>
      <c r="AD855" s="62"/>
      <c r="AE855" s="62"/>
      <c r="AF855" s="62"/>
      <c r="AG855" s="62" t="s">
        <v>90</v>
      </c>
      <c r="AH855" s="62" t="s">
        <v>90</v>
      </c>
      <c r="AI855" s="62" t="s">
        <v>90</v>
      </c>
      <c r="AJ855" s="62" t="s">
        <v>90</v>
      </c>
      <c r="AK855" s="62" t="s">
        <v>90</v>
      </c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29"/>
      <c r="AY855" s="29"/>
      <c r="AZ855" s="63"/>
      <c r="BA855" s="55" t="s">
        <v>236</v>
      </c>
      <c r="BB855" s="55"/>
      <c r="BC855" s="63"/>
      <c r="BD855" s="31">
        <f t="shared" ref="BD855:BD918" si="191">AX855*K855</f>
        <v>0</v>
      </c>
      <c r="BE855" s="63"/>
      <c r="BF855" s="63"/>
      <c r="BG855" s="36">
        <v>1</v>
      </c>
      <c r="BH855" s="63"/>
      <c r="BI855" s="31"/>
      <c r="BJ855" s="63"/>
      <c r="BK855" s="63"/>
      <c r="BL855" s="63"/>
      <c r="BM855" s="63"/>
      <c r="BN855" s="63"/>
      <c r="BO855" s="33">
        <f t="shared" si="183"/>
        <v>0</v>
      </c>
      <c r="BP855" s="30">
        <v>12</v>
      </c>
      <c r="BQ855" s="30">
        <v>16</v>
      </c>
      <c r="BR855" s="63"/>
      <c r="BS855" s="63"/>
      <c r="BT855" s="34">
        <f t="shared" si="184"/>
        <v>0</v>
      </c>
      <c r="BU855" s="34" t="s">
        <v>446</v>
      </c>
      <c r="BV855" s="129">
        <v>1</v>
      </c>
      <c r="BW855" s="30">
        <v>1</v>
      </c>
      <c r="BX855" s="34">
        <v>3750</v>
      </c>
      <c r="BY855" s="63"/>
      <c r="BZ855" s="31">
        <f t="shared" si="185"/>
        <v>3750</v>
      </c>
      <c r="CA855" s="31">
        <f t="shared" si="186"/>
        <v>3750</v>
      </c>
    </row>
    <row r="856" spans="1:79" ht="38.25" x14ac:dyDescent="0.25">
      <c r="A856" s="35"/>
      <c r="B856" s="2">
        <v>840</v>
      </c>
      <c r="C856" s="48">
        <v>632</v>
      </c>
      <c r="D856" s="48">
        <v>152</v>
      </c>
      <c r="E856" s="49">
        <v>0.6875</v>
      </c>
      <c r="F856" s="49">
        <v>0.7006944444444444</v>
      </c>
      <c r="G856" s="51" t="s">
        <v>1749</v>
      </c>
      <c r="H856" s="18" t="s">
        <v>1169</v>
      </c>
      <c r="I856" s="48">
        <v>7</v>
      </c>
      <c r="J856" s="52">
        <v>19</v>
      </c>
      <c r="K856" s="22">
        <v>44</v>
      </c>
      <c r="L856" s="23">
        <f t="shared" ref="L856:L919" si="192">+K856*I856</f>
        <v>308</v>
      </c>
      <c r="M856" s="24" t="s">
        <v>222</v>
      </c>
      <c r="N856" s="25" t="s">
        <v>223</v>
      </c>
      <c r="O856" s="25">
        <v>21</v>
      </c>
      <c r="P856" s="25" t="s">
        <v>224</v>
      </c>
      <c r="Q856" s="25">
        <v>31</v>
      </c>
      <c r="R856" s="25"/>
      <c r="S856" s="25"/>
      <c r="T856" s="26">
        <v>6220</v>
      </c>
      <c r="U856" s="26" t="s">
        <v>216</v>
      </c>
      <c r="V856" s="26">
        <v>6660</v>
      </c>
      <c r="W856" s="26" t="s">
        <v>1738</v>
      </c>
      <c r="X856" s="27">
        <v>44562</v>
      </c>
      <c r="Y856" s="27">
        <v>44815</v>
      </c>
      <c r="Z856" s="27">
        <v>45101</v>
      </c>
      <c r="AA856" s="27">
        <v>45169</v>
      </c>
      <c r="AB856" s="62" t="s">
        <v>1170</v>
      </c>
      <c r="AC856" s="62"/>
      <c r="AD856" s="62"/>
      <c r="AE856" s="28" t="s">
        <v>90</v>
      </c>
      <c r="AF856" s="28" t="s">
        <v>90</v>
      </c>
      <c r="AG856" s="28"/>
      <c r="AH856" s="28" t="s">
        <v>90</v>
      </c>
      <c r="AI856" s="28" t="s">
        <v>90</v>
      </c>
      <c r="AJ856" s="28" t="s">
        <v>90</v>
      </c>
      <c r="AK856" s="28" t="s">
        <v>90</v>
      </c>
      <c r="AL856" s="62"/>
      <c r="AM856" s="62"/>
      <c r="AN856" s="62"/>
      <c r="AO856" s="62"/>
      <c r="AP856" s="62"/>
      <c r="AQ856" s="62"/>
      <c r="AR856" s="28"/>
      <c r="AS856" s="28"/>
      <c r="AT856" s="28"/>
      <c r="AU856" s="28"/>
      <c r="AV856" s="62"/>
      <c r="AW856" s="62"/>
      <c r="AX856" s="31"/>
      <c r="AY856" s="31"/>
      <c r="AZ856" s="63"/>
      <c r="BA856" s="64" t="s">
        <v>222</v>
      </c>
      <c r="BB856" s="64"/>
      <c r="BC856" s="63"/>
      <c r="BD856" s="31">
        <f t="shared" si="191"/>
        <v>0</v>
      </c>
      <c r="BE856" s="63"/>
      <c r="BF856" s="63"/>
      <c r="BG856" s="36">
        <v>1</v>
      </c>
      <c r="BH856" s="63"/>
      <c r="BI856" s="31"/>
      <c r="BJ856" s="63"/>
      <c r="BK856" s="63"/>
      <c r="BL856" s="63"/>
      <c r="BM856" s="63"/>
      <c r="BN856" s="63"/>
      <c r="BO856" s="33">
        <f t="shared" si="183"/>
        <v>0</v>
      </c>
      <c r="BP856" s="30">
        <v>5</v>
      </c>
      <c r="BQ856" s="30">
        <v>0</v>
      </c>
      <c r="BR856" s="63"/>
      <c r="BS856" s="63"/>
      <c r="BT856" s="34">
        <f t="shared" si="184"/>
        <v>0</v>
      </c>
      <c r="BU856" s="34"/>
      <c r="BV856" s="34"/>
      <c r="BW856" s="34"/>
      <c r="BX856" s="34"/>
      <c r="BY856" s="63"/>
      <c r="BZ856" s="31">
        <f t="shared" si="185"/>
        <v>0</v>
      </c>
      <c r="CA856" s="31">
        <f t="shared" si="186"/>
        <v>0</v>
      </c>
    </row>
    <row r="857" spans="1:79" ht="38.25" x14ac:dyDescent="0.25">
      <c r="A857" s="35"/>
      <c r="B857" s="2">
        <v>841</v>
      </c>
      <c r="C857" s="48">
        <v>632</v>
      </c>
      <c r="D857" s="60">
        <v>147</v>
      </c>
      <c r="E857" s="49">
        <v>0.69791666666666663</v>
      </c>
      <c r="F857" s="49">
        <v>0.70833333333333337</v>
      </c>
      <c r="G857" s="51" t="s">
        <v>1737</v>
      </c>
      <c r="H857" s="18" t="s">
        <v>1169</v>
      </c>
      <c r="I857" s="48">
        <v>6</v>
      </c>
      <c r="J857" s="52">
        <v>19</v>
      </c>
      <c r="K857" s="22">
        <v>44</v>
      </c>
      <c r="L857" s="23">
        <f t="shared" si="192"/>
        <v>264</v>
      </c>
      <c r="M857" s="24" t="s">
        <v>222</v>
      </c>
      <c r="N857" s="25" t="s">
        <v>223</v>
      </c>
      <c r="O857" s="25">
        <v>21</v>
      </c>
      <c r="P857" s="25" t="s">
        <v>224</v>
      </c>
      <c r="Q857" s="25">
        <v>31</v>
      </c>
      <c r="R857" s="25"/>
      <c r="S857" s="25"/>
      <c r="T857" s="26">
        <v>6660</v>
      </c>
      <c r="U857" s="26" t="s">
        <v>1738</v>
      </c>
      <c r="V857" s="26">
        <v>6220</v>
      </c>
      <c r="W857" s="26" t="s">
        <v>216</v>
      </c>
      <c r="X857" s="27">
        <v>44562</v>
      </c>
      <c r="Y857" s="27">
        <v>44815</v>
      </c>
      <c r="Z857" s="27">
        <v>45101</v>
      </c>
      <c r="AA857" s="27">
        <v>45169</v>
      </c>
      <c r="AB857" s="62" t="s">
        <v>1170</v>
      </c>
      <c r="AC857" s="62"/>
      <c r="AD857" s="62"/>
      <c r="AE857" s="28" t="s">
        <v>90</v>
      </c>
      <c r="AF857" s="28" t="s">
        <v>90</v>
      </c>
      <c r="AG857" s="28"/>
      <c r="AH857" s="28" t="s">
        <v>90</v>
      </c>
      <c r="AI857" s="28" t="s">
        <v>90</v>
      </c>
      <c r="AJ857" s="28" t="s">
        <v>90</v>
      </c>
      <c r="AK857" s="28" t="s">
        <v>90</v>
      </c>
      <c r="AL857" s="62"/>
      <c r="AM857" s="62"/>
      <c r="AN857" s="62"/>
      <c r="AO857" s="62"/>
      <c r="AP857" s="62"/>
      <c r="AQ857" s="62"/>
      <c r="AR857" s="28"/>
      <c r="AS857" s="28"/>
      <c r="AT857" s="28"/>
      <c r="AU857" s="28"/>
      <c r="AV857" s="62"/>
      <c r="AW857" s="62"/>
      <c r="AX857" s="31"/>
      <c r="AY857" s="31"/>
      <c r="AZ857" s="63"/>
      <c r="BA857" s="64" t="s">
        <v>222</v>
      </c>
      <c r="BB857" s="64"/>
      <c r="BC857" s="63"/>
      <c r="BD857" s="31">
        <f t="shared" si="191"/>
        <v>0</v>
      </c>
      <c r="BE857" s="63"/>
      <c r="BF857" s="63"/>
      <c r="BG857" s="36">
        <v>1</v>
      </c>
      <c r="BH857" s="63"/>
      <c r="BI857" s="31"/>
      <c r="BJ857" s="63"/>
      <c r="BK857" s="63"/>
      <c r="BL857" s="63"/>
      <c r="BM857" s="63"/>
      <c r="BN857" s="63"/>
      <c r="BO857" s="33">
        <f t="shared" si="183"/>
        <v>0</v>
      </c>
      <c r="BP857" s="30">
        <v>5</v>
      </c>
      <c r="BQ857" s="30">
        <v>0</v>
      </c>
      <c r="BR857" s="63"/>
      <c r="BS857" s="63"/>
      <c r="BT857" s="34">
        <f t="shared" si="184"/>
        <v>0</v>
      </c>
      <c r="BU857" s="34"/>
      <c r="BV857" s="34"/>
      <c r="BW857" s="34"/>
      <c r="BX857" s="34"/>
      <c r="BY857" s="63"/>
      <c r="BZ857" s="31">
        <f t="shared" si="185"/>
        <v>0</v>
      </c>
      <c r="CA857" s="31">
        <f t="shared" si="186"/>
        <v>0</v>
      </c>
    </row>
    <row r="858" spans="1:79" ht="34.5" x14ac:dyDescent="0.25">
      <c r="A858" s="67" t="s">
        <v>322</v>
      </c>
      <c r="B858" s="2">
        <v>842</v>
      </c>
      <c r="C858" s="48">
        <v>632</v>
      </c>
      <c r="D858" s="48">
        <v>147</v>
      </c>
      <c r="E858" s="49">
        <v>0.70833333333333337</v>
      </c>
      <c r="F858" s="50">
        <v>0.74097222222222225</v>
      </c>
      <c r="G858" s="51" t="s">
        <v>231</v>
      </c>
      <c r="H858" s="60" t="s">
        <v>1750</v>
      </c>
      <c r="I858" s="48">
        <v>23</v>
      </c>
      <c r="J858" s="52">
        <v>19</v>
      </c>
      <c r="K858" s="68">
        <v>240</v>
      </c>
      <c r="L858" s="23">
        <f t="shared" si="192"/>
        <v>5520</v>
      </c>
      <c r="M858" s="24" t="s">
        <v>212</v>
      </c>
      <c r="N858" s="25" t="s">
        <v>228</v>
      </c>
      <c r="O858" s="25">
        <v>21</v>
      </c>
      <c r="P858" s="25" t="s">
        <v>214</v>
      </c>
      <c r="Q858" s="25">
        <v>23</v>
      </c>
      <c r="R858" s="61"/>
      <c r="S858" s="25"/>
      <c r="T858" s="26" t="s">
        <v>232</v>
      </c>
      <c r="U858" s="26" t="s">
        <v>233</v>
      </c>
      <c r="V858" s="26">
        <v>6220</v>
      </c>
      <c r="W858" s="26" t="s">
        <v>216</v>
      </c>
      <c r="X858" s="27">
        <v>44816</v>
      </c>
      <c r="Y858" s="27">
        <v>45100</v>
      </c>
      <c r="Z858" s="27"/>
      <c r="AA858" s="27"/>
      <c r="AB858" s="130" t="s">
        <v>423</v>
      </c>
      <c r="AC858" s="130"/>
      <c r="AD858" s="28" t="s">
        <v>90</v>
      </c>
      <c r="AE858" s="28"/>
      <c r="AF858" s="28" t="s">
        <v>90</v>
      </c>
      <c r="AG858" s="28"/>
      <c r="AH858" s="28" t="s">
        <v>90</v>
      </c>
      <c r="AI858" s="28" t="s">
        <v>90</v>
      </c>
      <c r="AJ858" s="28" t="s">
        <v>90</v>
      </c>
      <c r="AK858" s="28" t="s">
        <v>90</v>
      </c>
      <c r="AL858" s="28" t="s">
        <v>90</v>
      </c>
      <c r="AM858" s="28" t="s">
        <v>90</v>
      </c>
      <c r="AN858" s="62"/>
      <c r="AO858" s="62"/>
      <c r="AP858" s="62"/>
      <c r="AQ858" s="28"/>
      <c r="AR858" s="28"/>
      <c r="AS858" s="28"/>
      <c r="AT858" s="28"/>
      <c r="AU858" s="28"/>
      <c r="AV858" s="28"/>
      <c r="AW858" s="28"/>
      <c r="AX858" s="31"/>
      <c r="AY858" s="31">
        <f>1.9*23</f>
        <v>43.699999999999996</v>
      </c>
      <c r="AZ858" s="63"/>
      <c r="BA858" s="63"/>
      <c r="BB858" s="63"/>
      <c r="BC858" s="63"/>
      <c r="BD858" s="31">
        <f t="shared" si="191"/>
        <v>0</v>
      </c>
      <c r="BE858" s="31">
        <f>AY858*K858</f>
        <v>10487.999999999998</v>
      </c>
      <c r="BF858" s="63"/>
      <c r="BG858" s="36">
        <v>1</v>
      </c>
      <c r="BH858" s="63"/>
      <c r="BI858" s="31"/>
      <c r="BJ858" s="63"/>
      <c r="BK858" s="31">
        <f>IF(AND((AY858/I858)&lt;2,BG858=1),(I858*2)-AY858,0)</f>
        <v>2.3000000000000043</v>
      </c>
      <c r="BL858" s="31">
        <f>IF(AND((AY858/I858)&lt;3,BG858=2),(I858*3)-AY858,0)</f>
        <v>0</v>
      </c>
      <c r="BM858" s="33">
        <f>(BK858+BL858)*K858</f>
        <v>552.00000000000102</v>
      </c>
      <c r="BN858" s="63"/>
      <c r="BO858" s="33">
        <f t="shared" si="183"/>
        <v>0</v>
      </c>
      <c r="BP858" s="30">
        <v>17</v>
      </c>
      <c r="BQ858" s="30">
        <v>26</v>
      </c>
      <c r="BR858" s="63"/>
      <c r="BS858" s="63"/>
      <c r="BT858" s="34">
        <f t="shared" si="184"/>
        <v>46</v>
      </c>
      <c r="BU858" s="34"/>
      <c r="BV858" s="34"/>
      <c r="BW858" s="34"/>
      <c r="BX858" s="34"/>
      <c r="BY858" s="63"/>
      <c r="BZ858" s="31">
        <f t="shared" si="185"/>
        <v>782</v>
      </c>
      <c r="CA858" s="31">
        <f t="shared" si="186"/>
        <v>1196</v>
      </c>
    </row>
    <row r="859" spans="1:79" ht="34.5" x14ac:dyDescent="0.25">
      <c r="A859" s="35"/>
      <c r="B859" s="2">
        <v>843</v>
      </c>
      <c r="C859" s="48">
        <v>632</v>
      </c>
      <c r="D859" s="60">
        <v>143</v>
      </c>
      <c r="E859" s="49">
        <v>0.72222222222222221</v>
      </c>
      <c r="F859" s="49">
        <v>0.75486111111111109</v>
      </c>
      <c r="G859" s="51" t="s">
        <v>231</v>
      </c>
      <c r="H859" s="51" t="s">
        <v>121</v>
      </c>
      <c r="I859" s="48">
        <v>23</v>
      </c>
      <c r="J859" s="52">
        <v>40</v>
      </c>
      <c r="K859" s="22">
        <v>67</v>
      </c>
      <c r="L859" s="23">
        <f t="shared" si="192"/>
        <v>1541</v>
      </c>
      <c r="M859" s="24" t="s">
        <v>212</v>
      </c>
      <c r="N859" s="25" t="s">
        <v>228</v>
      </c>
      <c r="O859" s="25">
        <v>21</v>
      </c>
      <c r="P859" s="25"/>
      <c r="Q859" s="25"/>
      <c r="R859" s="61"/>
      <c r="S859" s="25"/>
      <c r="T859" s="26" t="s">
        <v>232</v>
      </c>
      <c r="U859" s="26" t="s">
        <v>233</v>
      </c>
      <c r="V859" s="26">
        <v>6220</v>
      </c>
      <c r="W859" s="26" t="s">
        <v>216</v>
      </c>
      <c r="X859" s="27">
        <v>44562</v>
      </c>
      <c r="Y859" s="27">
        <v>44815</v>
      </c>
      <c r="Z859" s="27">
        <v>45101</v>
      </c>
      <c r="AA859" s="27">
        <v>45169</v>
      </c>
      <c r="AB859" s="28" t="s">
        <v>89</v>
      </c>
      <c r="AC859" s="28"/>
      <c r="AD859" s="62"/>
      <c r="AE859" s="28" t="s">
        <v>90</v>
      </c>
      <c r="AF859" s="28" t="s">
        <v>90</v>
      </c>
      <c r="AG859" s="28"/>
      <c r="AH859" s="28" t="s">
        <v>90</v>
      </c>
      <c r="AI859" s="28" t="s">
        <v>90</v>
      </c>
      <c r="AJ859" s="28" t="s">
        <v>90</v>
      </c>
      <c r="AK859" s="28" t="s">
        <v>90</v>
      </c>
      <c r="AL859" s="28" t="s">
        <v>90</v>
      </c>
      <c r="AM859" s="28" t="s">
        <v>90</v>
      </c>
      <c r="AN859" s="62"/>
      <c r="AO859" s="62"/>
      <c r="AP859" s="62"/>
      <c r="AQ859" s="62"/>
      <c r="AR859" s="28"/>
      <c r="AS859" s="28"/>
      <c r="AT859" s="28"/>
      <c r="AU859" s="28"/>
      <c r="AV859" s="28"/>
      <c r="AW859" s="28"/>
      <c r="AX859" s="31"/>
      <c r="AY859" s="31">
        <f>1.9*23</f>
        <v>43.699999999999996</v>
      </c>
      <c r="AZ859" s="63"/>
      <c r="BA859" s="63"/>
      <c r="BB859" s="63"/>
      <c r="BC859" s="63"/>
      <c r="BD859" s="31">
        <f t="shared" si="191"/>
        <v>0</v>
      </c>
      <c r="BE859" s="31">
        <f>AY859*K859</f>
        <v>2927.8999999999996</v>
      </c>
      <c r="BF859" s="63"/>
      <c r="BG859" s="32">
        <v>2</v>
      </c>
      <c r="BH859" s="63"/>
      <c r="BI859" s="31"/>
      <c r="BJ859" s="63"/>
      <c r="BK859" s="31">
        <f>IF(AND((AY859/I859)&lt;2,BG859=1),(I859*2)-AY859,0)</f>
        <v>0</v>
      </c>
      <c r="BL859" s="31">
        <f>IF(AND((AY859/I859)&lt;3,BG859=2),(I859*3)-AY859,0)</f>
        <v>25.300000000000004</v>
      </c>
      <c r="BM859" s="33">
        <f>(BK859+BL859)*K859</f>
        <v>1695.1000000000004</v>
      </c>
      <c r="BN859" s="63"/>
      <c r="BO859" s="33">
        <f t="shared" si="183"/>
        <v>0</v>
      </c>
      <c r="BP859" s="30">
        <v>9</v>
      </c>
      <c r="BQ859" s="30">
        <v>0</v>
      </c>
      <c r="BR859" s="63"/>
      <c r="BS859" s="63"/>
      <c r="BT859" s="34">
        <f t="shared" si="184"/>
        <v>69</v>
      </c>
      <c r="BU859" s="34"/>
      <c r="BV859" s="34"/>
      <c r="BW859" s="34"/>
      <c r="BX859" s="34"/>
      <c r="BY859" s="63"/>
      <c r="BZ859" s="31">
        <f t="shared" si="185"/>
        <v>621</v>
      </c>
      <c r="CA859" s="31">
        <f t="shared" si="186"/>
        <v>0</v>
      </c>
    </row>
    <row r="860" spans="1:79" ht="38.25" x14ac:dyDescent="0.25">
      <c r="A860" s="25"/>
      <c r="B860" s="2">
        <v>844</v>
      </c>
      <c r="C860" s="18">
        <v>632</v>
      </c>
      <c r="D860" s="18">
        <v>152</v>
      </c>
      <c r="E860" s="19">
        <v>0.77916666666666667</v>
      </c>
      <c r="F860" s="19">
        <v>0.80347222222222225</v>
      </c>
      <c r="G860" s="18" t="s">
        <v>1742</v>
      </c>
      <c r="H860" s="18" t="s">
        <v>422</v>
      </c>
      <c r="I860" s="18">
        <v>18.5</v>
      </c>
      <c r="J860" s="21" t="s">
        <v>81</v>
      </c>
      <c r="K860" s="22">
        <v>240</v>
      </c>
      <c r="L860" s="23">
        <f t="shared" si="192"/>
        <v>4440</v>
      </c>
      <c r="M860" s="24" t="s">
        <v>212</v>
      </c>
      <c r="N860" s="25" t="s">
        <v>228</v>
      </c>
      <c r="O860" s="25">
        <v>21</v>
      </c>
      <c r="P860" s="25"/>
      <c r="Q860" s="25"/>
      <c r="R860" s="61"/>
      <c r="S860" s="25"/>
      <c r="T860" s="26">
        <v>6220</v>
      </c>
      <c r="U860" s="26" t="s">
        <v>216</v>
      </c>
      <c r="V860" s="26">
        <v>6686</v>
      </c>
      <c r="W860" s="26" t="s">
        <v>1726</v>
      </c>
      <c r="X860" s="27">
        <v>44816</v>
      </c>
      <c r="Y860" s="27">
        <v>45100</v>
      </c>
      <c r="Z860" s="27"/>
      <c r="AA860" s="27"/>
      <c r="AB860" s="26" t="s">
        <v>423</v>
      </c>
      <c r="AC860" s="26"/>
      <c r="AD860" s="28" t="s">
        <v>90</v>
      </c>
      <c r="AE860" s="28"/>
      <c r="AF860" s="28" t="s">
        <v>90</v>
      </c>
      <c r="AG860" s="28"/>
      <c r="AH860" s="28" t="s">
        <v>90</v>
      </c>
      <c r="AI860" s="28" t="s">
        <v>90</v>
      </c>
      <c r="AJ860" s="28" t="s">
        <v>90</v>
      </c>
      <c r="AK860" s="28" t="s">
        <v>90</v>
      </c>
      <c r="AL860" s="28" t="s">
        <v>90</v>
      </c>
      <c r="AM860" s="28" t="s">
        <v>90</v>
      </c>
      <c r="AN860" s="62"/>
      <c r="AO860" s="62"/>
      <c r="AP860" s="62"/>
      <c r="AQ860" s="62"/>
      <c r="AR860" s="28"/>
      <c r="AS860" s="28"/>
      <c r="AT860" s="28"/>
      <c r="AU860" s="28"/>
      <c r="AV860" s="28"/>
      <c r="AW860" s="28"/>
      <c r="AX860" s="29">
        <v>94.01</v>
      </c>
      <c r="AY860" s="29"/>
      <c r="AZ860" s="63"/>
      <c r="BA860" s="63"/>
      <c r="BB860" s="63"/>
      <c r="BC860" s="63"/>
      <c r="BD860" s="31">
        <f t="shared" si="191"/>
        <v>22562.400000000001</v>
      </c>
      <c r="BE860" s="31"/>
      <c r="BF860" s="63"/>
      <c r="BG860" s="32">
        <v>2</v>
      </c>
      <c r="BH860" s="31">
        <f>IF(AND((AX860/I860)&lt;2,BG860=1),(I860*2)-AX860,0)</f>
        <v>0</v>
      </c>
      <c r="BI860" s="31">
        <f>IF(AND((AX860/I860)&lt;3,BG860=2),(I860*3)-AX860,0)</f>
        <v>0</v>
      </c>
      <c r="BJ860" s="33">
        <f>(BH860+BI860)*K860</f>
        <v>0</v>
      </c>
      <c r="BK860" s="63"/>
      <c r="BL860" s="63"/>
      <c r="BM860" s="63"/>
      <c r="BN860" s="63"/>
      <c r="BO860" s="33">
        <f t="shared" si="183"/>
        <v>0</v>
      </c>
      <c r="BP860" s="30">
        <v>17</v>
      </c>
      <c r="BQ860" s="30">
        <v>26</v>
      </c>
      <c r="BR860" s="63"/>
      <c r="BS860" s="63"/>
      <c r="BT860" s="34">
        <f t="shared" si="184"/>
        <v>94.01</v>
      </c>
      <c r="BU860" s="34"/>
      <c r="BV860" s="34"/>
      <c r="BW860" s="34"/>
      <c r="BX860" s="34"/>
      <c r="BY860" s="63"/>
      <c r="BZ860" s="31">
        <f t="shared" si="185"/>
        <v>1598.17</v>
      </c>
      <c r="CA860" s="31">
        <f t="shared" si="186"/>
        <v>2444.2600000000002</v>
      </c>
    </row>
    <row r="861" spans="1:79" ht="34.5" x14ac:dyDescent="0.25">
      <c r="A861" s="35"/>
      <c r="B861" s="2">
        <v>845</v>
      </c>
      <c r="C861" s="48">
        <v>632</v>
      </c>
      <c r="D861" s="48">
        <v>148</v>
      </c>
      <c r="E861" s="49">
        <v>0.8125</v>
      </c>
      <c r="F861" s="50">
        <v>0.84375</v>
      </c>
      <c r="G861" s="51" t="s">
        <v>234</v>
      </c>
      <c r="H861" s="51" t="s">
        <v>121</v>
      </c>
      <c r="I861" s="48">
        <v>23</v>
      </c>
      <c r="J861" s="52">
        <v>19</v>
      </c>
      <c r="K861" s="22">
        <v>67</v>
      </c>
      <c r="L861" s="23">
        <f t="shared" si="192"/>
        <v>1541</v>
      </c>
      <c r="M861" s="24" t="s">
        <v>212</v>
      </c>
      <c r="N861" s="25" t="s">
        <v>228</v>
      </c>
      <c r="O861" s="25">
        <v>21</v>
      </c>
      <c r="P861" s="25"/>
      <c r="Q861" s="25"/>
      <c r="R861" s="61"/>
      <c r="S861" s="25"/>
      <c r="T861" s="26">
        <v>6220</v>
      </c>
      <c r="U861" s="26" t="s">
        <v>216</v>
      </c>
      <c r="V861" s="26" t="s">
        <v>232</v>
      </c>
      <c r="W861" s="26" t="s">
        <v>233</v>
      </c>
      <c r="X861" s="27">
        <v>44562</v>
      </c>
      <c r="Y861" s="27">
        <v>44815</v>
      </c>
      <c r="Z861" s="27">
        <v>45101</v>
      </c>
      <c r="AA861" s="27">
        <v>45169</v>
      </c>
      <c r="AB861" s="28" t="s">
        <v>89</v>
      </c>
      <c r="AC861" s="28"/>
      <c r="AD861" s="62"/>
      <c r="AE861" s="28" t="s">
        <v>90</v>
      </c>
      <c r="AF861" s="28" t="s">
        <v>90</v>
      </c>
      <c r="AG861" s="28"/>
      <c r="AH861" s="28" t="s">
        <v>90</v>
      </c>
      <c r="AI861" s="28" t="s">
        <v>90</v>
      </c>
      <c r="AJ861" s="28" t="s">
        <v>90</v>
      </c>
      <c r="AK861" s="28" t="s">
        <v>90</v>
      </c>
      <c r="AL861" s="28" t="s">
        <v>90</v>
      </c>
      <c r="AM861" s="28" t="s">
        <v>90</v>
      </c>
      <c r="AN861" s="62"/>
      <c r="AO861" s="62"/>
      <c r="AP861" s="62"/>
      <c r="AQ861" s="62"/>
      <c r="AR861" s="28"/>
      <c r="AS861" s="28"/>
      <c r="AT861" s="28"/>
      <c r="AU861" s="28"/>
      <c r="AV861" s="28"/>
      <c r="AW861" s="28"/>
      <c r="AX861" s="31"/>
      <c r="AY861" s="31">
        <f>1.9*23</f>
        <v>43.699999999999996</v>
      </c>
      <c r="AZ861" s="63"/>
      <c r="BA861" s="63"/>
      <c r="BB861" s="63"/>
      <c r="BC861" s="63"/>
      <c r="BD861" s="31">
        <f t="shared" si="191"/>
        <v>0</v>
      </c>
      <c r="BE861" s="31">
        <f>AY861*K861</f>
        <v>2927.8999999999996</v>
      </c>
      <c r="BF861" s="63"/>
      <c r="BG861" s="36">
        <v>1</v>
      </c>
      <c r="BH861" s="63"/>
      <c r="BI861" s="31"/>
      <c r="BJ861" s="63"/>
      <c r="BK861" s="31">
        <f>IF(AND((AY861/I861)&lt;2,BG861=1),(I861*2)-AY861,0)</f>
        <v>2.3000000000000043</v>
      </c>
      <c r="BL861" s="31">
        <f>IF(AND((AY861/I861)&lt;3,BG861=2),(I861*3)-AY861,0)</f>
        <v>0</v>
      </c>
      <c r="BM861" s="33">
        <f>(BK861+BL861)*K861</f>
        <v>154.10000000000028</v>
      </c>
      <c r="BN861" s="63"/>
      <c r="BO861" s="33">
        <f t="shared" si="183"/>
        <v>0</v>
      </c>
      <c r="BP861" s="30">
        <v>9</v>
      </c>
      <c r="BQ861" s="30">
        <v>0</v>
      </c>
      <c r="BR861" s="63"/>
      <c r="BS861" s="63"/>
      <c r="BT861" s="34">
        <f t="shared" si="184"/>
        <v>46</v>
      </c>
      <c r="BU861" s="34"/>
      <c r="BV861" s="34"/>
      <c r="BW861" s="34"/>
      <c r="BX861" s="34"/>
      <c r="BY861" s="63"/>
      <c r="BZ861" s="31">
        <f t="shared" si="185"/>
        <v>414</v>
      </c>
      <c r="CA861" s="31">
        <f t="shared" si="186"/>
        <v>0</v>
      </c>
    </row>
    <row r="862" spans="1:79" ht="34.5" x14ac:dyDescent="0.25">
      <c r="A862" s="67" t="s">
        <v>322</v>
      </c>
      <c r="B862" s="2">
        <v>846</v>
      </c>
      <c r="C862" s="48">
        <v>632</v>
      </c>
      <c r="D862" s="48">
        <v>148</v>
      </c>
      <c r="E862" s="49">
        <v>0.82777777777777783</v>
      </c>
      <c r="F862" s="49">
        <v>0.85902777777777783</v>
      </c>
      <c r="G862" s="51" t="s">
        <v>234</v>
      </c>
      <c r="H862" s="60" t="s">
        <v>1750</v>
      </c>
      <c r="I862" s="48">
        <v>23</v>
      </c>
      <c r="J862" s="52">
        <v>19</v>
      </c>
      <c r="K862" s="68">
        <v>240</v>
      </c>
      <c r="L862" s="23">
        <f t="shared" si="192"/>
        <v>5520</v>
      </c>
      <c r="M862" s="24" t="s">
        <v>212</v>
      </c>
      <c r="N862" s="25" t="s">
        <v>228</v>
      </c>
      <c r="O862" s="25">
        <v>21</v>
      </c>
      <c r="P862" s="25" t="s">
        <v>214</v>
      </c>
      <c r="Q862" s="25">
        <v>23</v>
      </c>
      <c r="R862" s="61"/>
      <c r="S862" s="25"/>
      <c r="T862" s="26">
        <v>6220</v>
      </c>
      <c r="U862" s="26" t="s">
        <v>216</v>
      </c>
      <c r="V862" s="26" t="s">
        <v>232</v>
      </c>
      <c r="W862" s="26" t="s">
        <v>233</v>
      </c>
      <c r="X862" s="27">
        <v>44816</v>
      </c>
      <c r="Y862" s="27">
        <v>45100</v>
      </c>
      <c r="Z862" s="27"/>
      <c r="AA862" s="27"/>
      <c r="AB862" s="130" t="s">
        <v>423</v>
      </c>
      <c r="AC862" s="130"/>
      <c r="AD862" s="28" t="s">
        <v>90</v>
      </c>
      <c r="AE862" s="28"/>
      <c r="AF862" s="28" t="s">
        <v>90</v>
      </c>
      <c r="AG862" s="28"/>
      <c r="AH862" s="28" t="s">
        <v>90</v>
      </c>
      <c r="AI862" s="28" t="s">
        <v>90</v>
      </c>
      <c r="AJ862" s="28" t="s">
        <v>90</v>
      </c>
      <c r="AK862" s="28" t="s">
        <v>90</v>
      </c>
      <c r="AL862" s="28" t="s">
        <v>90</v>
      </c>
      <c r="AM862" s="28" t="s">
        <v>90</v>
      </c>
      <c r="AN862" s="62"/>
      <c r="AO862" s="62"/>
      <c r="AP862" s="62"/>
      <c r="AQ862" s="28"/>
      <c r="AR862" s="28"/>
      <c r="AS862" s="28"/>
      <c r="AT862" s="28"/>
      <c r="AU862" s="28"/>
      <c r="AV862" s="28"/>
      <c r="AW862" s="28"/>
      <c r="AX862" s="31">
        <f>10.8+58.11</f>
        <v>68.91</v>
      </c>
      <c r="AY862" s="31"/>
      <c r="AZ862" s="63"/>
      <c r="BA862" s="63"/>
      <c r="BB862" s="63"/>
      <c r="BC862" s="63"/>
      <c r="BD862" s="31">
        <f t="shared" si="191"/>
        <v>16538.399999999998</v>
      </c>
      <c r="BE862" s="31"/>
      <c r="BF862" s="63"/>
      <c r="BG862" s="36">
        <v>1</v>
      </c>
      <c r="BH862" s="31">
        <f t="shared" ref="BH862:BH867" si="193">IF(AND((AX862/I862)&lt;2,BG862=1),(I862*2)-AX862,0)</f>
        <v>0</v>
      </c>
      <c r="BI862" s="31">
        <f t="shared" ref="BI862:BI867" si="194">IF(AND((AX862/I862)&lt;3,BG862=2),(I862*3)-AX862,0)</f>
        <v>0</v>
      </c>
      <c r="BJ862" s="33">
        <f t="shared" ref="BJ862:BJ867" si="195">(BH862+BI862)*K862</f>
        <v>0</v>
      </c>
      <c r="BK862" s="63"/>
      <c r="BL862" s="63"/>
      <c r="BM862" s="63"/>
      <c r="BN862" s="63"/>
      <c r="BO862" s="33">
        <f t="shared" si="183"/>
        <v>0</v>
      </c>
      <c r="BP862" s="30">
        <v>17</v>
      </c>
      <c r="BQ862" s="30">
        <v>26</v>
      </c>
      <c r="BR862" s="63"/>
      <c r="BS862" s="63"/>
      <c r="BT862" s="34">
        <f t="shared" si="184"/>
        <v>68.91</v>
      </c>
      <c r="BU862" s="34"/>
      <c r="BV862" s="34"/>
      <c r="BW862" s="34"/>
      <c r="BX862" s="34"/>
      <c r="BY862" s="63"/>
      <c r="BZ862" s="31">
        <f t="shared" si="185"/>
        <v>1171.47</v>
      </c>
      <c r="CA862" s="31">
        <f t="shared" si="186"/>
        <v>1791.6599999999999</v>
      </c>
    </row>
    <row r="863" spans="1:79" ht="90" x14ac:dyDescent="0.25">
      <c r="A863" s="35"/>
      <c r="B863" s="2">
        <v>847</v>
      </c>
      <c r="C863" s="18">
        <v>633</v>
      </c>
      <c r="D863" s="18">
        <v>170</v>
      </c>
      <c r="E863" s="19">
        <v>0.29305555555555557</v>
      </c>
      <c r="F863" s="19">
        <v>0.3034722222222222</v>
      </c>
      <c r="G863" s="18" t="s">
        <v>1751</v>
      </c>
      <c r="H863" s="18" t="s">
        <v>273</v>
      </c>
      <c r="I863" s="20">
        <v>7.5</v>
      </c>
      <c r="J863" s="21" t="s">
        <v>285</v>
      </c>
      <c r="K863" s="22">
        <v>174</v>
      </c>
      <c r="L863" s="23">
        <f t="shared" si="192"/>
        <v>1305</v>
      </c>
      <c r="M863" s="24" t="s">
        <v>1667</v>
      </c>
      <c r="N863" s="25" t="s">
        <v>1668</v>
      </c>
      <c r="O863" s="25">
        <v>21</v>
      </c>
      <c r="P863" s="25" t="s">
        <v>1669</v>
      </c>
      <c r="Q863" s="25">
        <v>21</v>
      </c>
      <c r="R863" s="25" t="s">
        <v>1685</v>
      </c>
      <c r="S863" s="35">
        <v>24</v>
      </c>
      <c r="T863" s="26">
        <v>6220</v>
      </c>
      <c r="U863" s="26" t="s">
        <v>216</v>
      </c>
      <c r="V863" s="26">
        <v>6700</v>
      </c>
      <c r="W863" s="26" t="s">
        <v>1752</v>
      </c>
      <c r="X863" s="66">
        <v>44816</v>
      </c>
      <c r="Y863" s="66">
        <v>45086</v>
      </c>
      <c r="Z863" s="66"/>
      <c r="AA863" s="66"/>
      <c r="AB863" s="26" t="s">
        <v>282</v>
      </c>
      <c r="AC863" s="26"/>
      <c r="AD863" s="62"/>
      <c r="AE863" s="62"/>
      <c r="AF863" s="62"/>
      <c r="AG863" s="28" t="s">
        <v>90</v>
      </c>
      <c r="AH863" s="28" t="s">
        <v>90</v>
      </c>
      <c r="AI863" s="28" t="s">
        <v>90</v>
      </c>
      <c r="AJ863" s="28" t="s">
        <v>90</v>
      </c>
      <c r="AK863" s="28" t="s">
        <v>90</v>
      </c>
      <c r="AL863" s="28" t="s">
        <v>90</v>
      </c>
      <c r="AM863" s="62"/>
      <c r="AN863" s="62"/>
      <c r="AO863" s="62"/>
      <c r="AP863" s="62"/>
      <c r="AQ863" s="62"/>
      <c r="AR863" s="28"/>
      <c r="AS863" s="28"/>
      <c r="AT863" s="28"/>
      <c r="AU863" s="28"/>
      <c r="AV863" s="28"/>
      <c r="AW863" s="62"/>
      <c r="AX863" s="29">
        <v>10.57</v>
      </c>
      <c r="AY863" s="29"/>
      <c r="AZ863" s="63"/>
      <c r="BA863" s="63"/>
      <c r="BB863" s="63"/>
      <c r="BC863" s="63"/>
      <c r="BD863" s="31">
        <f t="shared" si="191"/>
        <v>1839.18</v>
      </c>
      <c r="BE863" s="31"/>
      <c r="BF863" s="63"/>
      <c r="BG863" s="32">
        <v>2</v>
      </c>
      <c r="BH863" s="31">
        <f t="shared" si="193"/>
        <v>0</v>
      </c>
      <c r="BI863" s="31">
        <f t="shared" si="194"/>
        <v>11.93</v>
      </c>
      <c r="BJ863" s="33">
        <f t="shared" si="195"/>
        <v>2075.8200000000002</v>
      </c>
      <c r="BK863" s="63"/>
      <c r="BL863" s="63"/>
      <c r="BM863" s="63"/>
      <c r="BN863" s="63"/>
      <c r="BO863" s="33">
        <f t="shared" si="183"/>
        <v>0</v>
      </c>
      <c r="BP863" s="30">
        <v>15</v>
      </c>
      <c r="BQ863" s="30">
        <v>20</v>
      </c>
      <c r="BR863" s="63"/>
      <c r="BS863" s="63"/>
      <c r="BT863" s="34">
        <f t="shared" si="184"/>
        <v>22.5</v>
      </c>
      <c r="BU863" s="34"/>
      <c r="BV863" s="34"/>
      <c r="BW863" s="34"/>
      <c r="BX863" s="34"/>
      <c r="BY863" s="63"/>
      <c r="BZ863" s="31">
        <f t="shared" si="185"/>
        <v>337.5</v>
      </c>
      <c r="CA863" s="31">
        <f t="shared" si="186"/>
        <v>450</v>
      </c>
    </row>
    <row r="864" spans="1:79" ht="90" x14ac:dyDescent="0.25">
      <c r="A864" s="25"/>
      <c r="B864" s="2">
        <v>848</v>
      </c>
      <c r="C864" s="18">
        <v>633</v>
      </c>
      <c r="D864" s="18">
        <v>171</v>
      </c>
      <c r="E864" s="19">
        <v>0.30416666666666664</v>
      </c>
      <c r="F864" s="19">
        <v>0.31458333333333333</v>
      </c>
      <c r="G864" s="18" t="s">
        <v>1753</v>
      </c>
      <c r="H864" s="18" t="s">
        <v>1462</v>
      </c>
      <c r="I864" s="20">
        <v>7.5</v>
      </c>
      <c r="J864" s="21" t="s">
        <v>93</v>
      </c>
      <c r="K864" s="22">
        <v>34</v>
      </c>
      <c r="L864" s="23">
        <f t="shared" si="192"/>
        <v>255</v>
      </c>
      <c r="M864" s="24" t="s">
        <v>1667</v>
      </c>
      <c r="N864" s="25" t="s">
        <v>1685</v>
      </c>
      <c r="O864" s="25">
        <v>24</v>
      </c>
      <c r="P864" s="25" t="s">
        <v>1668</v>
      </c>
      <c r="Q864" s="25">
        <v>21</v>
      </c>
      <c r="R864" s="25" t="s">
        <v>1669</v>
      </c>
      <c r="S864" s="35">
        <v>21</v>
      </c>
      <c r="T864" s="26">
        <v>6700</v>
      </c>
      <c r="U864" s="26" t="s">
        <v>1752</v>
      </c>
      <c r="V864" s="26">
        <v>6220</v>
      </c>
      <c r="W864" s="26" t="s">
        <v>216</v>
      </c>
      <c r="X864" s="66">
        <v>44816</v>
      </c>
      <c r="Y864" s="66">
        <v>45086</v>
      </c>
      <c r="Z864" s="66"/>
      <c r="AA864" s="66"/>
      <c r="AB864" s="26" t="s">
        <v>382</v>
      </c>
      <c r="AC864" s="26"/>
      <c r="AD864" s="62"/>
      <c r="AE864" s="62"/>
      <c r="AF864" s="62"/>
      <c r="AG864" s="28" t="s">
        <v>90</v>
      </c>
      <c r="AH864" s="28"/>
      <c r="AI864" s="28"/>
      <c r="AJ864" s="28"/>
      <c r="AK864" s="28"/>
      <c r="AL864" s="28"/>
      <c r="AM864" s="28" t="s">
        <v>90</v>
      </c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29">
        <v>10.57</v>
      </c>
      <c r="AY864" s="29"/>
      <c r="AZ864" s="63"/>
      <c r="BA864" s="63"/>
      <c r="BB864" s="63"/>
      <c r="BC864" s="63"/>
      <c r="BD864" s="31">
        <f t="shared" si="191"/>
        <v>359.38</v>
      </c>
      <c r="BE864" s="31"/>
      <c r="BF864" s="63"/>
      <c r="BG864" s="36">
        <v>1</v>
      </c>
      <c r="BH864" s="31">
        <f t="shared" si="193"/>
        <v>4.43</v>
      </c>
      <c r="BI864" s="31">
        <f t="shared" si="194"/>
        <v>0</v>
      </c>
      <c r="BJ864" s="31">
        <f t="shared" si="195"/>
        <v>150.62</v>
      </c>
      <c r="BK864" s="63"/>
      <c r="BL864" s="63"/>
      <c r="BM864" s="63"/>
      <c r="BN864" s="63"/>
      <c r="BO864" s="33">
        <f t="shared" si="183"/>
        <v>0</v>
      </c>
      <c r="BP864" s="30">
        <v>2</v>
      </c>
      <c r="BQ864" s="30">
        <v>5</v>
      </c>
      <c r="BR864" s="63"/>
      <c r="BS864" s="63"/>
      <c r="BT864" s="34">
        <f t="shared" si="184"/>
        <v>15</v>
      </c>
      <c r="BU864" s="34"/>
      <c r="BV864" s="34"/>
      <c r="BW864" s="34"/>
      <c r="BX864" s="34"/>
      <c r="BY864" s="63"/>
      <c r="BZ864" s="31">
        <f t="shared" si="185"/>
        <v>30</v>
      </c>
      <c r="CA864" s="31">
        <f t="shared" si="186"/>
        <v>75</v>
      </c>
    </row>
    <row r="865" spans="1:79" ht="114.75" x14ac:dyDescent="0.25">
      <c r="A865" s="25" t="s">
        <v>1754</v>
      </c>
      <c r="B865" s="2">
        <v>849</v>
      </c>
      <c r="C865" s="18">
        <v>633</v>
      </c>
      <c r="D865" s="18">
        <v>171</v>
      </c>
      <c r="E865" s="19">
        <v>0.30416666666666664</v>
      </c>
      <c r="F865" s="19">
        <v>0.31458333333333333</v>
      </c>
      <c r="G865" s="58" t="s">
        <v>1755</v>
      </c>
      <c r="H865" s="18" t="s">
        <v>273</v>
      </c>
      <c r="I865" s="20">
        <v>8.5</v>
      </c>
      <c r="J865" s="21" t="s">
        <v>285</v>
      </c>
      <c r="K865" s="22">
        <v>174</v>
      </c>
      <c r="L865" s="23">
        <f t="shared" si="192"/>
        <v>1479</v>
      </c>
      <c r="M865" s="24" t="s">
        <v>1667</v>
      </c>
      <c r="N865" s="25" t="s">
        <v>1756</v>
      </c>
      <c r="O865" s="25" t="s">
        <v>1757</v>
      </c>
      <c r="P865" s="25" t="s">
        <v>1669</v>
      </c>
      <c r="Q865" s="25">
        <v>21</v>
      </c>
      <c r="R865" s="25"/>
      <c r="S865" s="25"/>
      <c r="T865" s="26">
        <v>6700</v>
      </c>
      <c r="U865" s="26" t="s">
        <v>1752</v>
      </c>
      <c r="V865" s="78" t="s">
        <v>1758</v>
      </c>
      <c r="W865" s="26" t="s">
        <v>1759</v>
      </c>
      <c r="X865" s="66">
        <v>44816</v>
      </c>
      <c r="Y865" s="66">
        <v>45086</v>
      </c>
      <c r="Z865" s="66"/>
      <c r="AA865" s="66"/>
      <c r="AB865" s="26" t="s">
        <v>282</v>
      </c>
      <c r="AC865" s="26"/>
      <c r="AD865" s="62"/>
      <c r="AE865" s="62"/>
      <c r="AF865" s="62"/>
      <c r="AG865" s="28" t="s">
        <v>90</v>
      </c>
      <c r="AH865" s="28" t="s">
        <v>90</v>
      </c>
      <c r="AI865" s="28" t="s">
        <v>90</v>
      </c>
      <c r="AJ865" s="28" t="s">
        <v>90</v>
      </c>
      <c r="AK865" s="28" t="s">
        <v>90</v>
      </c>
      <c r="AL865" s="28" t="s">
        <v>90</v>
      </c>
      <c r="AM865" s="62"/>
      <c r="AN865" s="62"/>
      <c r="AO865" s="62"/>
      <c r="AP865" s="62"/>
      <c r="AQ865" s="62"/>
      <c r="AR865" s="28"/>
      <c r="AS865" s="28"/>
      <c r="AT865" s="28"/>
      <c r="AU865" s="28"/>
      <c r="AV865" s="28"/>
      <c r="AW865" s="62"/>
      <c r="AX865" s="29">
        <f>21.81+10.57</f>
        <v>32.379999999999995</v>
      </c>
      <c r="AY865" s="29"/>
      <c r="AZ865" s="63"/>
      <c r="BA865" s="63"/>
      <c r="BB865" s="63"/>
      <c r="BC865" s="63"/>
      <c r="BD865" s="31">
        <f t="shared" si="191"/>
        <v>5634.119999999999</v>
      </c>
      <c r="BE865" s="31"/>
      <c r="BF865" s="63"/>
      <c r="BG865" s="32">
        <v>2</v>
      </c>
      <c r="BH865" s="31">
        <f t="shared" si="193"/>
        <v>0</v>
      </c>
      <c r="BI865" s="31">
        <f t="shared" si="194"/>
        <v>0</v>
      </c>
      <c r="BJ865" s="33">
        <f t="shared" si="195"/>
        <v>0</v>
      </c>
      <c r="BK865" s="63"/>
      <c r="BL865" s="63"/>
      <c r="BM865" s="63"/>
      <c r="BN865" s="63"/>
      <c r="BO865" s="33">
        <f t="shared" si="183"/>
        <v>0</v>
      </c>
      <c r="BP865" s="30">
        <v>15</v>
      </c>
      <c r="BQ865" s="30">
        <v>20</v>
      </c>
      <c r="BR865" s="63"/>
      <c r="BS865" s="63"/>
      <c r="BT865" s="34">
        <f t="shared" si="184"/>
        <v>32.379999999999995</v>
      </c>
      <c r="BU865" s="34"/>
      <c r="BV865" s="34"/>
      <c r="BW865" s="34"/>
      <c r="BX865" s="34"/>
      <c r="BY865" s="63"/>
      <c r="BZ865" s="31">
        <f t="shared" si="185"/>
        <v>485.69999999999993</v>
      </c>
      <c r="CA865" s="31">
        <f t="shared" si="186"/>
        <v>647.59999999999991</v>
      </c>
    </row>
    <row r="866" spans="1:79" ht="51" x14ac:dyDescent="0.25">
      <c r="A866" s="35"/>
      <c r="B866" s="2">
        <v>850</v>
      </c>
      <c r="C866" s="18">
        <v>633</v>
      </c>
      <c r="D866" s="18">
        <v>172</v>
      </c>
      <c r="E866" s="19">
        <v>0.54861111111111105</v>
      </c>
      <c r="F866" s="19">
        <v>0.55902777777777779</v>
      </c>
      <c r="G866" s="18" t="s">
        <v>1760</v>
      </c>
      <c r="H866" s="18" t="s">
        <v>273</v>
      </c>
      <c r="I866" s="20">
        <v>7</v>
      </c>
      <c r="J866" s="21" t="s">
        <v>93</v>
      </c>
      <c r="K866" s="22">
        <v>174</v>
      </c>
      <c r="L866" s="23">
        <f t="shared" si="192"/>
        <v>1218</v>
      </c>
      <c r="M866" s="24" t="s">
        <v>236</v>
      </c>
      <c r="N866" s="25" t="s">
        <v>239</v>
      </c>
      <c r="O866" s="25">
        <v>21</v>
      </c>
      <c r="P866" s="25" t="s">
        <v>237</v>
      </c>
      <c r="Q866" s="25" t="s">
        <v>238</v>
      </c>
      <c r="R866" s="25" t="s">
        <v>240</v>
      </c>
      <c r="S866" s="35">
        <v>17</v>
      </c>
      <c r="T866" s="26">
        <v>6220</v>
      </c>
      <c r="U866" s="26" t="s">
        <v>216</v>
      </c>
      <c r="V866" s="26">
        <v>6700</v>
      </c>
      <c r="W866" s="26" t="s">
        <v>1752</v>
      </c>
      <c r="X866" s="66">
        <v>44816</v>
      </c>
      <c r="Y866" s="66">
        <v>45086</v>
      </c>
      <c r="Z866" s="66"/>
      <c r="AA866" s="66"/>
      <c r="AB866" s="26" t="s">
        <v>282</v>
      </c>
      <c r="AC866" s="26"/>
      <c r="AD866" s="62"/>
      <c r="AE866" s="62"/>
      <c r="AF866" s="62"/>
      <c r="AG866" s="28" t="s">
        <v>90</v>
      </c>
      <c r="AH866" s="28" t="s">
        <v>90</v>
      </c>
      <c r="AI866" s="28" t="s">
        <v>90</v>
      </c>
      <c r="AJ866" s="28" t="s">
        <v>90</v>
      </c>
      <c r="AK866" s="28" t="s">
        <v>90</v>
      </c>
      <c r="AL866" s="28" t="s">
        <v>90</v>
      </c>
      <c r="AM866" s="62"/>
      <c r="AN866" s="62"/>
      <c r="AO866" s="62"/>
      <c r="AP866" s="62"/>
      <c r="AQ866" s="62"/>
      <c r="AR866" s="28"/>
      <c r="AS866" s="28"/>
      <c r="AT866" s="28"/>
      <c r="AU866" s="28"/>
      <c r="AV866" s="28"/>
      <c r="AW866" s="62"/>
      <c r="AX866" s="29">
        <v>21</v>
      </c>
      <c r="AY866" s="29"/>
      <c r="AZ866" s="63"/>
      <c r="BA866" s="55"/>
      <c r="BB866" s="55"/>
      <c r="BC866" s="63"/>
      <c r="BD866" s="31">
        <f t="shared" si="191"/>
        <v>3654</v>
      </c>
      <c r="BE866" s="31"/>
      <c r="BF866" s="63"/>
      <c r="BG866" s="36">
        <v>1</v>
      </c>
      <c r="BH866" s="31">
        <f t="shared" si="193"/>
        <v>0</v>
      </c>
      <c r="BI866" s="31">
        <f t="shared" si="194"/>
        <v>0</v>
      </c>
      <c r="BJ866" s="33">
        <f t="shared" si="195"/>
        <v>0</v>
      </c>
      <c r="BK866" s="63"/>
      <c r="BL866" s="63"/>
      <c r="BM866" s="63"/>
      <c r="BN866" s="63"/>
      <c r="BO866" s="33">
        <f t="shared" si="183"/>
        <v>0</v>
      </c>
      <c r="BP866" s="30">
        <v>15</v>
      </c>
      <c r="BQ866" s="30">
        <v>20</v>
      </c>
      <c r="BR866" s="63"/>
      <c r="BS866" s="63"/>
      <c r="BT866" s="34">
        <f t="shared" si="184"/>
        <v>21</v>
      </c>
      <c r="BU866" s="34"/>
      <c r="BV866" s="34"/>
      <c r="BW866" s="34"/>
      <c r="BX866" s="34"/>
      <c r="BY866" s="63"/>
      <c r="BZ866" s="31">
        <f t="shared" si="185"/>
        <v>315</v>
      </c>
      <c r="CA866" s="31">
        <f t="shared" si="186"/>
        <v>420</v>
      </c>
    </row>
    <row r="867" spans="1:79" ht="51" x14ac:dyDescent="0.25">
      <c r="A867" s="35"/>
      <c r="B867" s="2">
        <v>851</v>
      </c>
      <c r="C867" s="18">
        <v>633</v>
      </c>
      <c r="D867" s="18">
        <v>173</v>
      </c>
      <c r="E867" s="19">
        <v>0.55902777777777779</v>
      </c>
      <c r="F867" s="19">
        <v>0.56944444444444442</v>
      </c>
      <c r="G867" s="18" t="s">
        <v>1761</v>
      </c>
      <c r="H867" s="18" t="s">
        <v>273</v>
      </c>
      <c r="I867" s="20">
        <v>7</v>
      </c>
      <c r="J867" s="21" t="s">
        <v>93</v>
      </c>
      <c r="K867" s="22">
        <v>174</v>
      </c>
      <c r="L867" s="23">
        <f t="shared" si="192"/>
        <v>1218</v>
      </c>
      <c r="M867" s="24" t="s">
        <v>236</v>
      </c>
      <c r="N867" s="25" t="s">
        <v>239</v>
      </c>
      <c r="O867" s="25">
        <v>21</v>
      </c>
      <c r="P867" s="25" t="s">
        <v>237</v>
      </c>
      <c r="Q867" s="25" t="s">
        <v>238</v>
      </c>
      <c r="R867" s="25" t="s">
        <v>240</v>
      </c>
      <c r="S867" s="35">
        <v>17</v>
      </c>
      <c r="T867" s="26">
        <v>6700</v>
      </c>
      <c r="U867" s="26" t="s">
        <v>1752</v>
      </c>
      <c r="V867" s="26">
        <v>6220</v>
      </c>
      <c r="W867" s="26" t="s">
        <v>216</v>
      </c>
      <c r="X867" s="66">
        <v>44816</v>
      </c>
      <c r="Y867" s="66">
        <v>45086</v>
      </c>
      <c r="Z867" s="66"/>
      <c r="AA867" s="66"/>
      <c r="AB867" s="26" t="s">
        <v>282</v>
      </c>
      <c r="AC867" s="26"/>
      <c r="AD867" s="62"/>
      <c r="AE867" s="62"/>
      <c r="AF867" s="62"/>
      <c r="AG867" s="28" t="s">
        <v>90</v>
      </c>
      <c r="AH867" s="28" t="s">
        <v>90</v>
      </c>
      <c r="AI867" s="28" t="s">
        <v>90</v>
      </c>
      <c r="AJ867" s="28" t="s">
        <v>90</v>
      </c>
      <c r="AK867" s="28" t="s">
        <v>90</v>
      </c>
      <c r="AL867" s="28" t="s">
        <v>90</v>
      </c>
      <c r="AM867" s="62"/>
      <c r="AN867" s="62"/>
      <c r="AO867" s="62"/>
      <c r="AP867" s="62"/>
      <c r="AQ867" s="62"/>
      <c r="AR867" s="28"/>
      <c r="AS867" s="28"/>
      <c r="AT867" s="28"/>
      <c r="AU867" s="28"/>
      <c r="AV867" s="28"/>
      <c r="AW867" s="62"/>
      <c r="AX867" s="29">
        <v>21</v>
      </c>
      <c r="AY867" s="29"/>
      <c r="AZ867" s="63"/>
      <c r="BA867" s="55"/>
      <c r="BB867" s="55"/>
      <c r="BC867" s="63"/>
      <c r="BD867" s="31">
        <f t="shared" si="191"/>
        <v>3654</v>
      </c>
      <c r="BE867" s="31"/>
      <c r="BF867" s="63"/>
      <c r="BG867" s="36">
        <v>1</v>
      </c>
      <c r="BH867" s="31">
        <f t="shared" si="193"/>
        <v>0</v>
      </c>
      <c r="BI867" s="31">
        <f t="shared" si="194"/>
        <v>0</v>
      </c>
      <c r="BJ867" s="33">
        <f t="shared" si="195"/>
        <v>0</v>
      </c>
      <c r="BK867" s="63"/>
      <c r="BL867" s="63"/>
      <c r="BM867" s="63"/>
      <c r="BN867" s="63"/>
      <c r="BO867" s="33">
        <f t="shared" si="183"/>
        <v>0</v>
      </c>
      <c r="BP867" s="30">
        <v>15</v>
      </c>
      <c r="BQ867" s="30">
        <v>20</v>
      </c>
      <c r="BR867" s="63"/>
      <c r="BS867" s="63"/>
      <c r="BT867" s="34">
        <f t="shared" si="184"/>
        <v>21</v>
      </c>
      <c r="BU867" s="34"/>
      <c r="BV867" s="34"/>
      <c r="BW867" s="34"/>
      <c r="BX867" s="34"/>
      <c r="BY867" s="63"/>
      <c r="BZ867" s="31">
        <f t="shared" si="185"/>
        <v>315</v>
      </c>
      <c r="CA867" s="31">
        <f t="shared" si="186"/>
        <v>420</v>
      </c>
    </row>
    <row r="868" spans="1:79" ht="45.75" x14ac:dyDescent="0.25">
      <c r="A868" s="35"/>
      <c r="B868" s="2">
        <v>852</v>
      </c>
      <c r="C868" s="48">
        <v>633</v>
      </c>
      <c r="D868" s="48">
        <v>174</v>
      </c>
      <c r="E868" s="49">
        <v>0.68402777777777779</v>
      </c>
      <c r="F868" s="49">
        <v>0.69444444444444453</v>
      </c>
      <c r="G868" s="51" t="s">
        <v>1762</v>
      </c>
      <c r="H868" s="48" t="s">
        <v>1763</v>
      </c>
      <c r="I868" s="48">
        <v>7</v>
      </c>
      <c r="J868" s="52">
        <v>19</v>
      </c>
      <c r="K868" s="22">
        <v>55</v>
      </c>
      <c r="L868" s="23">
        <f t="shared" si="192"/>
        <v>385</v>
      </c>
      <c r="M868" s="24" t="s">
        <v>236</v>
      </c>
      <c r="N868" s="25" t="s">
        <v>237</v>
      </c>
      <c r="O868" s="25" t="s">
        <v>238</v>
      </c>
      <c r="P868" s="25" t="s">
        <v>239</v>
      </c>
      <c r="Q868" s="25">
        <v>21</v>
      </c>
      <c r="R868" s="25" t="s">
        <v>240</v>
      </c>
      <c r="S868" s="35">
        <v>17</v>
      </c>
      <c r="T868" s="26">
        <v>6220</v>
      </c>
      <c r="U868" s="26" t="s">
        <v>216</v>
      </c>
      <c r="V868" s="26">
        <v>6700</v>
      </c>
      <c r="W868" s="26" t="s">
        <v>1752</v>
      </c>
      <c r="X868" s="27">
        <v>44562</v>
      </c>
      <c r="Y868" s="27">
        <v>44815</v>
      </c>
      <c r="Z868" s="27">
        <v>45101</v>
      </c>
      <c r="AA868" s="27">
        <v>45169</v>
      </c>
      <c r="AB868" s="62" t="s">
        <v>353</v>
      </c>
      <c r="AC868" s="62"/>
      <c r="AD868" s="62"/>
      <c r="AE868" s="62" t="s">
        <v>90</v>
      </c>
      <c r="AF868" s="62" t="s">
        <v>90</v>
      </c>
      <c r="AG868" s="62"/>
      <c r="AH868" s="62" t="s">
        <v>90</v>
      </c>
      <c r="AI868" s="62" t="s">
        <v>90</v>
      </c>
      <c r="AJ868" s="62" t="s">
        <v>90</v>
      </c>
      <c r="AK868" s="62" t="s">
        <v>90</v>
      </c>
      <c r="AL868" s="62" t="s">
        <v>90</v>
      </c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29"/>
      <c r="AY868" s="29"/>
      <c r="AZ868" s="63"/>
      <c r="BA868" s="55" t="s">
        <v>236</v>
      </c>
      <c r="BB868" s="55"/>
      <c r="BC868" s="63"/>
      <c r="BD868" s="31">
        <f t="shared" si="191"/>
        <v>0</v>
      </c>
      <c r="BE868" s="63"/>
      <c r="BF868" s="63"/>
      <c r="BG868" s="36">
        <v>1</v>
      </c>
      <c r="BH868" s="63"/>
      <c r="BI868" s="31"/>
      <c r="BJ868" s="63"/>
      <c r="BK868" s="63"/>
      <c r="BL868" s="63"/>
      <c r="BM868" s="63"/>
      <c r="BN868" s="63"/>
      <c r="BO868" s="33">
        <f t="shared" si="183"/>
        <v>0</v>
      </c>
      <c r="BP868" s="30">
        <v>7</v>
      </c>
      <c r="BQ868" s="30">
        <v>0</v>
      </c>
      <c r="BR868" s="63"/>
      <c r="BS868" s="63"/>
      <c r="BT868" s="34">
        <f t="shared" si="184"/>
        <v>0</v>
      </c>
      <c r="BU868" s="34"/>
      <c r="BV868" s="34"/>
      <c r="BW868" s="34"/>
      <c r="BX868" s="34"/>
      <c r="BY868" s="63"/>
      <c r="BZ868" s="31">
        <f t="shared" si="185"/>
        <v>0</v>
      </c>
      <c r="CA868" s="31">
        <f t="shared" si="186"/>
        <v>0</v>
      </c>
    </row>
    <row r="869" spans="1:79" ht="45.75" x14ac:dyDescent="0.25">
      <c r="A869" s="35"/>
      <c r="B869" s="2">
        <v>853</v>
      </c>
      <c r="C869" s="48">
        <v>633</v>
      </c>
      <c r="D869" s="48">
        <v>175</v>
      </c>
      <c r="E869" s="49">
        <v>0.69791666666666663</v>
      </c>
      <c r="F869" s="49">
        <v>0.70763888888888893</v>
      </c>
      <c r="G869" s="51" t="s">
        <v>1764</v>
      </c>
      <c r="H869" s="48" t="s">
        <v>1763</v>
      </c>
      <c r="I869" s="48">
        <v>7</v>
      </c>
      <c r="J869" s="52">
        <v>19</v>
      </c>
      <c r="K869" s="22">
        <v>55</v>
      </c>
      <c r="L869" s="23">
        <f t="shared" si="192"/>
        <v>385</v>
      </c>
      <c r="M869" s="24" t="s">
        <v>236</v>
      </c>
      <c r="N869" s="25" t="s">
        <v>237</v>
      </c>
      <c r="O869" s="25" t="s">
        <v>238</v>
      </c>
      <c r="P869" s="25" t="s">
        <v>239</v>
      </c>
      <c r="Q869" s="25">
        <v>21</v>
      </c>
      <c r="R869" s="25" t="s">
        <v>240</v>
      </c>
      <c r="S869" s="35">
        <v>17</v>
      </c>
      <c r="T869" s="26">
        <v>6700</v>
      </c>
      <c r="U869" s="26" t="s">
        <v>1752</v>
      </c>
      <c r="V869" s="26">
        <v>6220</v>
      </c>
      <c r="W869" s="26" t="s">
        <v>216</v>
      </c>
      <c r="X869" s="27">
        <v>44562</v>
      </c>
      <c r="Y869" s="27">
        <v>44815</v>
      </c>
      <c r="Z869" s="27">
        <v>45101</v>
      </c>
      <c r="AA869" s="27">
        <v>45169</v>
      </c>
      <c r="AB869" s="62" t="s">
        <v>353</v>
      </c>
      <c r="AC869" s="62"/>
      <c r="AD869" s="62"/>
      <c r="AE869" s="62" t="s">
        <v>90</v>
      </c>
      <c r="AF869" s="62" t="s">
        <v>90</v>
      </c>
      <c r="AG869" s="62"/>
      <c r="AH869" s="62" t="s">
        <v>90</v>
      </c>
      <c r="AI869" s="62" t="s">
        <v>90</v>
      </c>
      <c r="AJ869" s="62" t="s">
        <v>90</v>
      </c>
      <c r="AK869" s="62" t="s">
        <v>90</v>
      </c>
      <c r="AL869" s="62" t="s">
        <v>90</v>
      </c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29"/>
      <c r="AY869" s="29"/>
      <c r="AZ869" s="63"/>
      <c r="BA869" s="55" t="s">
        <v>236</v>
      </c>
      <c r="BB869" s="55"/>
      <c r="BC869" s="63"/>
      <c r="BD869" s="31">
        <f t="shared" si="191"/>
        <v>0</v>
      </c>
      <c r="BE869" s="63"/>
      <c r="BF869" s="63"/>
      <c r="BG869" s="36">
        <v>1</v>
      </c>
      <c r="BH869" s="63"/>
      <c r="BI869" s="31"/>
      <c r="BJ869" s="63"/>
      <c r="BK869" s="63"/>
      <c r="BL869" s="63"/>
      <c r="BM869" s="63"/>
      <c r="BN869" s="63"/>
      <c r="BO869" s="33">
        <f t="shared" si="183"/>
        <v>0</v>
      </c>
      <c r="BP869" s="30">
        <v>7</v>
      </c>
      <c r="BQ869" s="30">
        <v>0</v>
      </c>
      <c r="BR869" s="63"/>
      <c r="BS869" s="63"/>
      <c r="BT869" s="34">
        <f t="shared" si="184"/>
        <v>0</v>
      </c>
      <c r="BU869" s="34"/>
      <c r="BV869" s="34"/>
      <c r="BW869" s="34"/>
      <c r="BX869" s="34"/>
      <c r="BY869" s="63"/>
      <c r="BZ869" s="31">
        <f t="shared" si="185"/>
        <v>0</v>
      </c>
      <c r="CA869" s="31">
        <f t="shared" si="186"/>
        <v>0</v>
      </c>
    </row>
    <row r="870" spans="1:79" ht="51" x14ac:dyDescent="0.25">
      <c r="A870" s="35"/>
      <c r="B870" s="2">
        <v>854</v>
      </c>
      <c r="C870" s="48">
        <v>633</v>
      </c>
      <c r="D870" s="48">
        <v>174</v>
      </c>
      <c r="E870" s="49">
        <v>0.71527777777777779</v>
      </c>
      <c r="F870" s="50">
        <v>0.72569444444444453</v>
      </c>
      <c r="G870" s="51" t="s">
        <v>1762</v>
      </c>
      <c r="H870" s="18" t="s">
        <v>306</v>
      </c>
      <c r="I870" s="48">
        <v>7</v>
      </c>
      <c r="J870" s="52">
        <v>19</v>
      </c>
      <c r="K870" s="22">
        <v>208</v>
      </c>
      <c r="L870" s="23">
        <f t="shared" si="192"/>
        <v>1456</v>
      </c>
      <c r="M870" s="24" t="s">
        <v>236</v>
      </c>
      <c r="N870" s="25" t="s">
        <v>239</v>
      </c>
      <c r="O870" s="25">
        <v>21</v>
      </c>
      <c r="P870" s="25" t="s">
        <v>237</v>
      </c>
      <c r="Q870" s="25" t="s">
        <v>238</v>
      </c>
      <c r="R870" s="25" t="s">
        <v>240</v>
      </c>
      <c r="S870" s="35">
        <v>17</v>
      </c>
      <c r="T870" s="26">
        <v>6220</v>
      </c>
      <c r="U870" s="26" t="s">
        <v>216</v>
      </c>
      <c r="V870" s="26">
        <v>6700</v>
      </c>
      <c r="W870" s="26" t="s">
        <v>1752</v>
      </c>
      <c r="X870" s="66">
        <v>44816</v>
      </c>
      <c r="Y870" s="66">
        <v>45086</v>
      </c>
      <c r="Z870" s="66"/>
      <c r="AA870" s="66"/>
      <c r="AB870" s="26" t="s">
        <v>309</v>
      </c>
      <c r="AC870" s="26"/>
      <c r="AD870" s="62"/>
      <c r="AE870" s="62"/>
      <c r="AF870" s="62"/>
      <c r="AG870" s="28" t="s">
        <v>90</v>
      </c>
      <c r="AH870" s="28" t="s">
        <v>90</v>
      </c>
      <c r="AI870" s="28" t="s">
        <v>90</v>
      </c>
      <c r="AJ870" s="28" t="s">
        <v>90</v>
      </c>
      <c r="AK870" s="28" t="s">
        <v>90</v>
      </c>
      <c r="AL870" s="28" t="s">
        <v>90</v>
      </c>
      <c r="AM870" s="28" t="s">
        <v>90</v>
      </c>
      <c r="AN870" s="62"/>
      <c r="AO870" s="62"/>
      <c r="AP870" s="62"/>
      <c r="AQ870" s="62"/>
      <c r="AR870" s="28"/>
      <c r="AS870" s="28"/>
      <c r="AT870" s="28"/>
      <c r="AU870" s="28"/>
      <c r="AV870" s="28"/>
      <c r="AW870" s="28"/>
      <c r="AX870" s="29"/>
      <c r="AY870" s="29"/>
      <c r="AZ870" s="63"/>
      <c r="BA870" s="55" t="s">
        <v>236</v>
      </c>
      <c r="BB870" s="55"/>
      <c r="BC870" s="63"/>
      <c r="BD870" s="31">
        <f t="shared" si="191"/>
        <v>0</v>
      </c>
      <c r="BE870" s="63"/>
      <c r="BF870" s="63"/>
      <c r="BG870" s="36">
        <v>1</v>
      </c>
      <c r="BH870" s="63"/>
      <c r="BI870" s="31"/>
      <c r="BJ870" s="63"/>
      <c r="BK870" s="63"/>
      <c r="BL870" s="63"/>
      <c r="BM870" s="63"/>
      <c r="BN870" s="63"/>
      <c r="BO870" s="33">
        <f t="shared" si="183"/>
        <v>0</v>
      </c>
      <c r="BP870" s="30">
        <v>17</v>
      </c>
      <c r="BQ870" s="30">
        <v>25</v>
      </c>
      <c r="BR870" s="63"/>
      <c r="BS870" s="63"/>
      <c r="BT870" s="34">
        <f t="shared" si="184"/>
        <v>0</v>
      </c>
      <c r="BU870" s="34"/>
      <c r="BV870" s="34"/>
      <c r="BW870" s="34"/>
      <c r="BX870" s="34"/>
      <c r="BY870" s="63"/>
      <c r="BZ870" s="31">
        <f t="shared" si="185"/>
        <v>0</v>
      </c>
      <c r="CA870" s="31">
        <f t="shared" si="186"/>
        <v>0</v>
      </c>
    </row>
    <row r="871" spans="1:79" ht="51" x14ac:dyDescent="0.25">
      <c r="A871" s="35"/>
      <c r="B871" s="2">
        <v>855</v>
      </c>
      <c r="C871" s="48">
        <v>633</v>
      </c>
      <c r="D871" s="48">
        <v>175</v>
      </c>
      <c r="E871" s="49">
        <v>0.72638888888888886</v>
      </c>
      <c r="F871" s="49">
        <v>0.7368055555555556</v>
      </c>
      <c r="G871" s="51" t="s">
        <v>1764</v>
      </c>
      <c r="H871" s="18" t="s">
        <v>306</v>
      </c>
      <c r="I871" s="48">
        <v>7</v>
      </c>
      <c r="J871" s="52">
        <v>19</v>
      </c>
      <c r="K871" s="22">
        <v>208</v>
      </c>
      <c r="L871" s="23">
        <f t="shared" si="192"/>
        <v>1456</v>
      </c>
      <c r="M871" s="24" t="s">
        <v>236</v>
      </c>
      <c r="N871" s="25" t="s">
        <v>239</v>
      </c>
      <c r="O871" s="25">
        <v>21</v>
      </c>
      <c r="P871" s="25" t="s">
        <v>237</v>
      </c>
      <c r="Q871" s="25" t="s">
        <v>238</v>
      </c>
      <c r="R871" s="25" t="s">
        <v>240</v>
      </c>
      <c r="S871" s="35">
        <v>17</v>
      </c>
      <c r="T871" s="26">
        <v>6700</v>
      </c>
      <c r="U871" s="26" t="s">
        <v>1752</v>
      </c>
      <c r="V871" s="26">
        <v>6220</v>
      </c>
      <c r="W871" s="26" t="s">
        <v>216</v>
      </c>
      <c r="X871" s="66">
        <v>44816</v>
      </c>
      <c r="Y871" s="66">
        <v>45086</v>
      </c>
      <c r="Z871" s="66"/>
      <c r="AA871" s="66"/>
      <c r="AB871" s="26" t="s">
        <v>309</v>
      </c>
      <c r="AC871" s="26"/>
      <c r="AD871" s="62"/>
      <c r="AE871" s="62"/>
      <c r="AF871" s="62"/>
      <c r="AG871" s="28" t="s">
        <v>90</v>
      </c>
      <c r="AH871" s="28" t="s">
        <v>90</v>
      </c>
      <c r="AI871" s="28" t="s">
        <v>90</v>
      </c>
      <c r="AJ871" s="28" t="s">
        <v>90</v>
      </c>
      <c r="AK871" s="28" t="s">
        <v>90</v>
      </c>
      <c r="AL871" s="28" t="s">
        <v>90</v>
      </c>
      <c r="AM871" s="28" t="s">
        <v>90</v>
      </c>
      <c r="AN871" s="62"/>
      <c r="AO871" s="62"/>
      <c r="AP871" s="62"/>
      <c r="AQ871" s="62"/>
      <c r="AR871" s="28"/>
      <c r="AS871" s="28"/>
      <c r="AT871" s="28"/>
      <c r="AU871" s="28"/>
      <c r="AV871" s="28"/>
      <c r="AW871" s="28"/>
      <c r="AX871" s="29"/>
      <c r="AY871" s="29"/>
      <c r="AZ871" s="63"/>
      <c r="BA871" s="55" t="s">
        <v>236</v>
      </c>
      <c r="BB871" s="55"/>
      <c r="BC871" s="63"/>
      <c r="BD871" s="31">
        <f t="shared" si="191"/>
        <v>0</v>
      </c>
      <c r="BE871" s="63"/>
      <c r="BF871" s="63"/>
      <c r="BG871" s="36">
        <v>1</v>
      </c>
      <c r="BH871" s="63"/>
      <c r="BI871" s="31"/>
      <c r="BJ871" s="63"/>
      <c r="BK871" s="63"/>
      <c r="BL871" s="63"/>
      <c r="BM871" s="63"/>
      <c r="BN871" s="63"/>
      <c r="BO871" s="33">
        <f t="shared" si="183"/>
        <v>0</v>
      </c>
      <c r="BP871" s="30">
        <v>17</v>
      </c>
      <c r="BQ871" s="30">
        <v>25</v>
      </c>
      <c r="BR871" s="63"/>
      <c r="BS871" s="63"/>
      <c r="BT871" s="34">
        <f t="shared" si="184"/>
        <v>0</v>
      </c>
      <c r="BU871" s="34"/>
      <c r="BV871" s="34"/>
      <c r="BW871" s="34"/>
      <c r="BX871" s="34"/>
      <c r="BY871" s="63"/>
      <c r="BZ871" s="31">
        <f t="shared" si="185"/>
        <v>0</v>
      </c>
      <c r="CA871" s="31">
        <f t="shared" si="186"/>
        <v>0</v>
      </c>
    </row>
    <row r="872" spans="1:79" ht="45.75" x14ac:dyDescent="0.25">
      <c r="A872" s="35"/>
      <c r="B872" s="2">
        <v>856</v>
      </c>
      <c r="C872" s="48">
        <v>634</v>
      </c>
      <c r="D872" s="48">
        <v>533</v>
      </c>
      <c r="E872" s="50">
        <v>0.25208333333333333</v>
      </c>
      <c r="F872" s="50">
        <v>0.2722222222222222</v>
      </c>
      <c r="G872" s="51" t="s">
        <v>245</v>
      </c>
      <c r="H872" s="18" t="s">
        <v>422</v>
      </c>
      <c r="I872" s="48">
        <v>20</v>
      </c>
      <c r="J872" s="52">
        <v>19</v>
      </c>
      <c r="K872" s="22">
        <v>240</v>
      </c>
      <c r="L872" s="23">
        <f t="shared" si="192"/>
        <v>4800</v>
      </c>
      <c r="M872" s="24" t="s">
        <v>236</v>
      </c>
      <c r="N872" s="25" t="s">
        <v>239</v>
      </c>
      <c r="O872" s="25">
        <v>21</v>
      </c>
      <c r="P872" s="25" t="s">
        <v>237</v>
      </c>
      <c r="Q872" s="25" t="s">
        <v>238</v>
      </c>
      <c r="R872" s="25" t="s">
        <v>240</v>
      </c>
      <c r="S872" s="35">
        <v>17</v>
      </c>
      <c r="T872" s="26">
        <v>6765</v>
      </c>
      <c r="U872" s="26" t="s">
        <v>243</v>
      </c>
      <c r="V872" s="26">
        <v>6220</v>
      </c>
      <c r="W872" s="26" t="s">
        <v>216</v>
      </c>
      <c r="X872" s="27">
        <v>44816</v>
      </c>
      <c r="Y872" s="27">
        <v>45100</v>
      </c>
      <c r="Z872" s="27"/>
      <c r="AA872" s="27"/>
      <c r="AB872" s="26" t="s">
        <v>423</v>
      </c>
      <c r="AC872" s="26"/>
      <c r="AD872" s="28" t="s">
        <v>90</v>
      </c>
      <c r="AE872" s="28"/>
      <c r="AF872" s="28" t="s">
        <v>90</v>
      </c>
      <c r="AG872" s="28"/>
      <c r="AH872" s="28" t="s">
        <v>90</v>
      </c>
      <c r="AI872" s="28" t="s">
        <v>90</v>
      </c>
      <c r="AJ872" s="28" t="s">
        <v>90</v>
      </c>
      <c r="AK872" s="28" t="s">
        <v>90</v>
      </c>
      <c r="AL872" s="28" t="s">
        <v>90</v>
      </c>
      <c r="AM872" s="28" t="s">
        <v>90</v>
      </c>
      <c r="AN872" s="62"/>
      <c r="AO872" s="62"/>
      <c r="AP872" s="62"/>
      <c r="AQ872" s="62"/>
      <c r="AR872" s="28"/>
      <c r="AS872" s="28"/>
      <c r="AT872" s="28"/>
      <c r="AU872" s="28"/>
      <c r="AV872" s="28"/>
      <c r="AW872" s="28"/>
      <c r="AX872" s="29"/>
      <c r="AY872" s="29"/>
      <c r="AZ872" s="63"/>
      <c r="BA872" s="55" t="s">
        <v>236</v>
      </c>
      <c r="BB872" s="55"/>
      <c r="BC872" s="63"/>
      <c r="BD872" s="31">
        <f t="shared" si="191"/>
        <v>0</v>
      </c>
      <c r="BE872" s="63"/>
      <c r="BF872" s="63"/>
      <c r="BG872" s="36">
        <v>1</v>
      </c>
      <c r="BH872" s="63"/>
      <c r="BI872" s="31"/>
      <c r="BJ872" s="63"/>
      <c r="BK872" s="63"/>
      <c r="BL872" s="63"/>
      <c r="BM872" s="63"/>
      <c r="BN872" s="31"/>
      <c r="BO872" s="33">
        <f t="shared" si="183"/>
        <v>0</v>
      </c>
      <c r="BP872" s="30">
        <v>17</v>
      </c>
      <c r="BQ872" s="30">
        <v>26</v>
      </c>
      <c r="BR872" s="63"/>
      <c r="BS872" s="63"/>
      <c r="BT872" s="34">
        <f t="shared" si="184"/>
        <v>0</v>
      </c>
      <c r="BU872" s="34"/>
      <c r="BV872" s="34"/>
      <c r="BW872" s="34"/>
      <c r="BX872" s="34"/>
      <c r="BY872" s="63"/>
      <c r="BZ872" s="31">
        <f t="shared" si="185"/>
        <v>0</v>
      </c>
      <c r="CA872" s="31">
        <f t="shared" si="186"/>
        <v>0</v>
      </c>
    </row>
    <row r="873" spans="1:79" ht="45.75" x14ac:dyDescent="0.25">
      <c r="A873" s="35"/>
      <c r="B873" s="2">
        <v>857</v>
      </c>
      <c r="C873" s="48">
        <v>634</v>
      </c>
      <c r="D873" s="48">
        <v>533</v>
      </c>
      <c r="E873" s="49">
        <v>0.29444444444444445</v>
      </c>
      <c r="F873" s="49">
        <v>0.30555555555555552</v>
      </c>
      <c r="G873" s="51" t="s">
        <v>1765</v>
      </c>
      <c r="H873" s="48" t="s">
        <v>316</v>
      </c>
      <c r="I873" s="48">
        <v>9</v>
      </c>
      <c r="J873" s="52">
        <v>19</v>
      </c>
      <c r="K873" s="22">
        <v>67</v>
      </c>
      <c r="L873" s="23">
        <f t="shared" si="192"/>
        <v>603</v>
      </c>
      <c r="M873" s="24" t="s">
        <v>236</v>
      </c>
      <c r="N873" s="25" t="s">
        <v>239</v>
      </c>
      <c r="O873" s="25">
        <v>21</v>
      </c>
      <c r="P873" s="25" t="s">
        <v>237</v>
      </c>
      <c r="Q873" s="25" t="s">
        <v>238</v>
      </c>
      <c r="R873" s="25" t="s">
        <v>240</v>
      </c>
      <c r="S873" s="35">
        <v>17</v>
      </c>
      <c r="T873" s="26">
        <v>6755</v>
      </c>
      <c r="U873" s="26" t="s">
        <v>241</v>
      </c>
      <c r="V873" s="26">
        <v>6715</v>
      </c>
      <c r="W873" s="26" t="s">
        <v>1766</v>
      </c>
      <c r="X873" s="27">
        <v>44562</v>
      </c>
      <c r="Y873" s="27">
        <v>44815</v>
      </c>
      <c r="Z873" s="27">
        <v>45101</v>
      </c>
      <c r="AA873" s="27">
        <v>45169</v>
      </c>
      <c r="AB873" s="28" t="s">
        <v>89</v>
      </c>
      <c r="AC873" s="28"/>
      <c r="AD873" s="62"/>
      <c r="AE873" s="28" t="s">
        <v>90</v>
      </c>
      <c r="AF873" s="28" t="s">
        <v>90</v>
      </c>
      <c r="AG873" s="28"/>
      <c r="AH873" s="28" t="s">
        <v>90</v>
      </c>
      <c r="AI873" s="28" t="s">
        <v>90</v>
      </c>
      <c r="AJ873" s="28" t="s">
        <v>90</v>
      </c>
      <c r="AK873" s="28" t="s">
        <v>90</v>
      </c>
      <c r="AL873" s="28" t="s">
        <v>90</v>
      </c>
      <c r="AM873" s="28" t="s">
        <v>90</v>
      </c>
      <c r="AN873" s="62"/>
      <c r="AO873" s="62"/>
      <c r="AP873" s="62"/>
      <c r="AQ873" s="28"/>
      <c r="AR873" s="28"/>
      <c r="AS873" s="28"/>
      <c r="AT873" s="28"/>
      <c r="AU873" s="28"/>
      <c r="AV873" s="28"/>
      <c r="AW873" s="28"/>
      <c r="AX873" s="29"/>
      <c r="AY873" s="29"/>
      <c r="AZ873" s="63"/>
      <c r="BA873" s="55" t="s">
        <v>236</v>
      </c>
      <c r="BB873" s="55"/>
      <c r="BC873" s="63"/>
      <c r="BD873" s="31">
        <f t="shared" si="191"/>
        <v>0</v>
      </c>
      <c r="BE873" s="63"/>
      <c r="BF873" s="63"/>
      <c r="BG873" s="36">
        <v>1</v>
      </c>
      <c r="BH873" s="63"/>
      <c r="BI873" s="31"/>
      <c r="BJ873" s="63"/>
      <c r="BK873" s="63"/>
      <c r="BL873" s="63"/>
      <c r="BM873" s="63"/>
      <c r="BN873" s="63"/>
      <c r="BO873" s="33">
        <f t="shared" si="183"/>
        <v>0</v>
      </c>
      <c r="BP873" s="30">
        <v>9</v>
      </c>
      <c r="BQ873" s="30">
        <v>0</v>
      </c>
      <c r="BR873" s="63"/>
      <c r="BS873" s="63"/>
      <c r="BT873" s="34">
        <f t="shared" si="184"/>
        <v>0</v>
      </c>
      <c r="BU873" s="34"/>
      <c r="BV873" s="34"/>
      <c r="BW873" s="34"/>
      <c r="BX873" s="34"/>
      <c r="BY873" s="63"/>
      <c r="BZ873" s="31">
        <f t="shared" si="185"/>
        <v>0</v>
      </c>
      <c r="CA873" s="31">
        <f t="shared" si="186"/>
        <v>0</v>
      </c>
    </row>
    <row r="874" spans="1:79" ht="45.75" x14ac:dyDescent="0.25">
      <c r="A874" s="35"/>
      <c r="B874" s="2">
        <v>858</v>
      </c>
      <c r="C874" s="60">
        <v>634</v>
      </c>
      <c r="D874" s="48">
        <v>541</v>
      </c>
      <c r="E874" s="49">
        <v>0.56597222222222221</v>
      </c>
      <c r="F874" s="49">
        <v>0.58819444444444446</v>
      </c>
      <c r="G874" s="51" t="s">
        <v>245</v>
      </c>
      <c r="H874" s="48" t="s">
        <v>316</v>
      </c>
      <c r="I874" s="48">
        <v>28</v>
      </c>
      <c r="J874" s="52">
        <v>19</v>
      </c>
      <c r="K874" s="22">
        <v>67</v>
      </c>
      <c r="L874" s="23">
        <f t="shared" si="192"/>
        <v>1876</v>
      </c>
      <c r="M874" s="24" t="s">
        <v>236</v>
      </c>
      <c r="N874" s="25" t="s">
        <v>239</v>
      </c>
      <c r="O874" s="25">
        <v>21</v>
      </c>
      <c r="P874" s="25" t="s">
        <v>237</v>
      </c>
      <c r="Q874" s="25" t="s">
        <v>238</v>
      </c>
      <c r="R874" s="25" t="s">
        <v>240</v>
      </c>
      <c r="S874" s="35">
        <v>17</v>
      </c>
      <c r="T874" s="26">
        <v>6765</v>
      </c>
      <c r="U874" s="26" t="s">
        <v>243</v>
      </c>
      <c r="V874" s="26">
        <v>6220</v>
      </c>
      <c r="W874" s="26" t="s">
        <v>216</v>
      </c>
      <c r="X874" s="27">
        <v>44562</v>
      </c>
      <c r="Y874" s="27">
        <v>44815</v>
      </c>
      <c r="Z874" s="27">
        <v>45101</v>
      </c>
      <c r="AA874" s="27">
        <v>45169</v>
      </c>
      <c r="AB874" s="28" t="s">
        <v>89</v>
      </c>
      <c r="AC874" s="28"/>
      <c r="AD874" s="62"/>
      <c r="AE874" s="28" t="s">
        <v>90</v>
      </c>
      <c r="AF874" s="28" t="s">
        <v>90</v>
      </c>
      <c r="AG874" s="28"/>
      <c r="AH874" s="28" t="s">
        <v>90</v>
      </c>
      <c r="AI874" s="28" t="s">
        <v>90</v>
      </c>
      <c r="AJ874" s="28" t="s">
        <v>90</v>
      </c>
      <c r="AK874" s="28" t="s">
        <v>90</v>
      </c>
      <c r="AL874" s="28" t="s">
        <v>90</v>
      </c>
      <c r="AM874" s="28" t="s">
        <v>90</v>
      </c>
      <c r="AN874" s="62"/>
      <c r="AO874" s="62"/>
      <c r="AP874" s="62"/>
      <c r="AQ874" s="28"/>
      <c r="AR874" s="28"/>
      <c r="AS874" s="28"/>
      <c r="AT874" s="28"/>
      <c r="AU874" s="28"/>
      <c r="AV874" s="28"/>
      <c r="AW874" s="28"/>
      <c r="AX874" s="29"/>
      <c r="AY874" s="29"/>
      <c r="AZ874" s="63"/>
      <c r="BA874" s="55" t="s">
        <v>236</v>
      </c>
      <c r="BB874" s="55"/>
      <c r="BC874" s="63"/>
      <c r="BD874" s="31">
        <f t="shared" si="191"/>
        <v>0</v>
      </c>
      <c r="BE874" s="63"/>
      <c r="BF874" s="63"/>
      <c r="BG874" s="36">
        <v>1</v>
      </c>
      <c r="BH874" s="63"/>
      <c r="BI874" s="31"/>
      <c r="BJ874" s="63"/>
      <c r="BK874" s="63"/>
      <c r="BL874" s="63"/>
      <c r="BM874" s="63"/>
      <c r="BN874" s="63"/>
      <c r="BO874" s="33">
        <f t="shared" si="183"/>
        <v>0</v>
      </c>
      <c r="BP874" s="30">
        <v>9</v>
      </c>
      <c r="BQ874" s="30">
        <v>0</v>
      </c>
      <c r="BR874" s="63"/>
      <c r="BS874" s="63"/>
      <c r="BT874" s="34">
        <f t="shared" si="184"/>
        <v>0</v>
      </c>
      <c r="BU874" s="34"/>
      <c r="BV874" s="34"/>
      <c r="BW874" s="34"/>
      <c r="BX874" s="34"/>
      <c r="BY874" s="63"/>
      <c r="BZ874" s="31">
        <f t="shared" si="185"/>
        <v>0</v>
      </c>
      <c r="CA874" s="31">
        <f t="shared" si="186"/>
        <v>0</v>
      </c>
    </row>
    <row r="875" spans="1:79" ht="45.75" x14ac:dyDescent="0.25">
      <c r="A875" s="35"/>
      <c r="B875" s="2">
        <v>859</v>
      </c>
      <c r="C875" s="48">
        <v>634</v>
      </c>
      <c r="D875" s="48">
        <v>540</v>
      </c>
      <c r="E875" s="49">
        <v>0.72569444444444453</v>
      </c>
      <c r="F875" s="49">
        <v>0.74791666666666667</v>
      </c>
      <c r="G875" s="51" t="s">
        <v>235</v>
      </c>
      <c r="H875" s="51" t="s">
        <v>121</v>
      </c>
      <c r="I875" s="48">
        <v>20</v>
      </c>
      <c r="J875" s="52">
        <v>19</v>
      </c>
      <c r="K875" s="22">
        <v>67</v>
      </c>
      <c r="L875" s="23">
        <f t="shared" si="192"/>
        <v>1340</v>
      </c>
      <c r="M875" s="24" t="s">
        <v>236</v>
      </c>
      <c r="N875" s="25" t="s">
        <v>237</v>
      </c>
      <c r="O875" s="25" t="s">
        <v>238</v>
      </c>
      <c r="P875" s="25" t="s">
        <v>239</v>
      </c>
      <c r="Q875" s="25">
        <v>21</v>
      </c>
      <c r="R875" s="25" t="s">
        <v>240</v>
      </c>
      <c r="S875" s="35">
        <v>17</v>
      </c>
      <c r="T875" s="26">
        <v>6220</v>
      </c>
      <c r="U875" s="26" t="s">
        <v>216</v>
      </c>
      <c r="V875" s="26">
        <v>6755</v>
      </c>
      <c r="W875" s="26" t="s">
        <v>241</v>
      </c>
      <c r="X875" s="27">
        <v>44562</v>
      </c>
      <c r="Y875" s="27">
        <v>44815</v>
      </c>
      <c r="Z875" s="27">
        <v>45101</v>
      </c>
      <c r="AA875" s="27">
        <v>45169</v>
      </c>
      <c r="AB875" s="28" t="s">
        <v>89</v>
      </c>
      <c r="AC875" s="28"/>
      <c r="AD875" s="62"/>
      <c r="AE875" s="28" t="s">
        <v>90</v>
      </c>
      <c r="AF875" s="28" t="s">
        <v>90</v>
      </c>
      <c r="AG875" s="28"/>
      <c r="AH875" s="28" t="s">
        <v>90</v>
      </c>
      <c r="AI875" s="28" t="s">
        <v>90</v>
      </c>
      <c r="AJ875" s="28" t="s">
        <v>90</v>
      </c>
      <c r="AK875" s="28" t="s">
        <v>90</v>
      </c>
      <c r="AL875" s="28" t="s">
        <v>90</v>
      </c>
      <c r="AM875" s="28" t="s">
        <v>90</v>
      </c>
      <c r="AN875" s="62"/>
      <c r="AO875" s="62"/>
      <c r="AP875" s="62"/>
      <c r="AQ875" s="62"/>
      <c r="AR875" s="28"/>
      <c r="AS875" s="28"/>
      <c r="AT875" s="28"/>
      <c r="AU875" s="28"/>
      <c r="AV875" s="28"/>
      <c r="AW875" s="28"/>
      <c r="AX875" s="29"/>
      <c r="AY875" s="29"/>
      <c r="AZ875" s="63"/>
      <c r="BA875" s="55" t="s">
        <v>236</v>
      </c>
      <c r="BB875" s="55"/>
      <c r="BC875" s="63"/>
      <c r="BD875" s="31">
        <f t="shared" si="191"/>
        <v>0</v>
      </c>
      <c r="BE875" s="63"/>
      <c r="BF875" s="63"/>
      <c r="BG875" s="36">
        <v>1</v>
      </c>
      <c r="BH875" s="63"/>
      <c r="BI875" s="31"/>
      <c r="BJ875" s="63"/>
      <c r="BK875" s="63"/>
      <c r="BL875" s="63"/>
      <c r="BM875" s="63"/>
      <c r="BN875" s="63"/>
      <c r="BO875" s="33">
        <f t="shared" si="183"/>
        <v>0</v>
      </c>
      <c r="BP875" s="30">
        <v>9</v>
      </c>
      <c r="BQ875" s="30">
        <v>0</v>
      </c>
      <c r="BR875" s="63"/>
      <c r="BS875" s="63"/>
      <c r="BT875" s="34">
        <f t="shared" si="184"/>
        <v>0</v>
      </c>
      <c r="BU875" s="34"/>
      <c r="BV875" s="34"/>
      <c r="BW875" s="34"/>
      <c r="BX875" s="34"/>
      <c r="BY875" s="63"/>
      <c r="BZ875" s="31">
        <f t="shared" si="185"/>
        <v>0</v>
      </c>
      <c r="CA875" s="31">
        <f t="shared" si="186"/>
        <v>0</v>
      </c>
    </row>
    <row r="876" spans="1:79" ht="45.75" x14ac:dyDescent="0.25">
      <c r="A876" s="35"/>
      <c r="B876" s="2">
        <v>860</v>
      </c>
      <c r="C876" s="48">
        <v>634</v>
      </c>
      <c r="D876" s="48">
        <v>540</v>
      </c>
      <c r="E876" s="49">
        <v>0.74305555555555547</v>
      </c>
      <c r="F876" s="50">
        <v>0.76666666666666661</v>
      </c>
      <c r="G876" s="51" t="s">
        <v>235</v>
      </c>
      <c r="H876" s="18" t="s">
        <v>422</v>
      </c>
      <c r="I876" s="48">
        <v>20</v>
      </c>
      <c r="J876" s="52">
        <v>19</v>
      </c>
      <c r="K876" s="22">
        <v>240</v>
      </c>
      <c r="L876" s="23">
        <f t="shared" si="192"/>
        <v>4800</v>
      </c>
      <c r="M876" s="24" t="s">
        <v>236</v>
      </c>
      <c r="N876" s="25" t="s">
        <v>239</v>
      </c>
      <c r="O876" s="25">
        <v>21</v>
      </c>
      <c r="P876" s="25" t="s">
        <v>237</v>
      </c>
      <c r="Q876" s="25" t="s">
        <v>238</v>
      </c>
      <c r="R876" s="25" t="s">
        <v>240</v>
      </c>
      <c r="S876" s="35">
        <v>17</v>
      </c>
      <c r="T876" s="26">
        <v>6220</v>
      </c>
      <c r="U876" s="26" t="s">
        <v>216</v>
      </c>
      <c r="V876" s="26">
        <v>6755</v>
      </c>
      <c r="W876" s="26" t="s">
        <v>241</v>
      </c>
      <c r="X876" s="27">
        <v>44816</v>
      </c>
      <c r="Y876" s="27">
        <v>45100</v>
      </c>
      <c r="Z876" s="27"/>
      <c r="AA876" s="27"/>
      <c r="AB876" s="26" t="s">
        <v>423</v>
      </c>
      <c r="AC876" s="26"/>
      <c r="AD876" s="28" t="s">
        <v>90</v>
      </c>
      <c r="AE876" s="28"/>
      <c r="AF876" s="28" t="s">
        <v>90</v>
      </c>
      <c r="AG876" s="28"/>
      <c r="AH876" s="28" t="s">
        <v>90</v>
      </c>
      <c r="AI876" s="28" t="s">
        <v>90</v>
      </c>
      <c r="AJ876" s="28" t="s">
        <v>90</v>
      </c>
      <c r="AK876" s="28" t="s">
        <v>90</v>
      </c>
      <c r="AL876" s="28" t="s">
        <v>90</v>
      </c>
      <c r="AM876" s="28" t="s">
        <v>90</v>
      </c>
      <c r="AN876" s="62"/>
      <c r="AO876" s="62"/>
      <c r="AP876" s="62"/>
      <c r="AQ876" s="62"/>
      <c r="AR876" s="28"/>
      <c r="AS876" s="28"/>
      <c r="AT876" s="28"/>
      <c r="AU876" s="28"/>
      <c r="AV876" s="28"/>
      <c r="AW876" s="28"/>
      <c r="AX876" s="29"/>
      <c r="AY876" s="29"/>
      <c r="AZ876" s="63"/>
      <c r="BA876" s="55" t="s">
        <v>236</v>
      </c>
      <c r="BB876" s="55"/>
      <c r="BC876" s="63"/>
      <c r="BD876" s="31">
        <f t="shared" si="191"/>
        <v>0</v>
      </c>
      <c r="BE876" s="63"/>
      <c r="BF876" s="63"/>
      <c r="BG876" s="36">
        <v>1</v>
      </c>
      <c r="BH876" s="63"/>
      <c r="BI876" s="31"/>
      <c r="BJ876" s="63"/>
      <c r="BK876" s="63"/>
      <c r="BL876" s="63"/>
      <c r="BM876" s="63"/>
      <c r="BN876" s="63"/>
      <c r="BO876" s="33">
        <f t="shared" si="183"/>
        <v>0</v>
      </c>
      <c r="BP876" s="30">
        <v>17</v>
      </c>
      <c r="BQ876" s="30">
        <v>26</v>
      </c>
      <c r="BR876" s="63"/>
      <c r="BS876" s="63"/>
      <c r="BT876" s="34">
        <f t="shared" si="184"/>
        <v>0</v>
      </c>
      <c r="BU876" s="34"/>
      <c r="BV876" s="34"/>
      <c r="BW876" s="34"/>
      <c r="BX876" s="34"/>
      <c r="BY876" s="63"/>
      <c r="BZ876" s="31">
        <f t="shared" si="185"/>
        <v>0</v>
      </c>
      <c r="CA876" s="31">
        <f t="shared" si="186"/>
        <v>0</v>
      </c>
    </row>
    <row r="877" spans="1:79" ht="33.75" x14ac:dyDescent="0.25">
      <c r="A877" s="25"/>
      <c r="B877" s="2">
        <v>861</v>
      </c>
      <c r="C877" s="48">
        <v>634</v>
      </c>
      <c r="D877" s="48">
        <v>538</v>
      </c>
      <c r="E877" s="50">
        <v>0.76388888888888884</v>
      </c>
      <c r="F877" s="50">
        <v>0.78333333333333333</v>
      </c>
      <c r="G877" s="51" t="s">
        <v>242</v>
      </c>
      <c r="H877" s="51" t="s">
        <v>121</v>
      </c>
      <c r="I877" s="48">
        <v>15</v>
      </c>
      <c r="J877" s="52">
        <v>19</v>
      </c>
      <c r="K877" s="22">
        <v>67</v>
      </c>
      <c r="L877" s="23">
        <f t="shared" si="192"/>
        <v>1005</v>
      </c>
      <c r="M877" s="24" t="s">
        <v>222</v>
      </c>
      <c r="N877" s="25" t="s">
        <v>223</v>
      </c>
      <c r="O877" s="25">
        <v>21</v>
      </c>
      <c r="P877" s="25" t="s">
        <v>224</v>
      </c>
      <c r="Q877" s="25">
        <v>31</v>
      </c>
      <c r="R877" s="25"/>
      <c r="S877" s="25"/>
      <c r="T877" s="26">
        <v>6220</v>
      </c>
      <c r="U877" s="26" t="s">
        <v>216</v>
      </c>
      <c r="V877" s="26">
        <v>6765</v>
      </c>
      <c r="W877" s="26" t="s">
        <v>243</v>
      </c>
      <c r="X877" s="27">
        <v>44562</v>
      </c>
      <c r="Y877" s="27">
        <v>44815</v>
      </c>
      <c r="Z877" s="27">
        <v>45101</v>
      </c>
      <c r="AA877" s="27">
        <v>45169</v>
      </c>
      <c r="AB877" s="28" t="s">
        <v>89</v>
      </c>
      <c r="AC877" s="28"/>
      <c r="AD877" s="62"/>
      <c r="AE877" s="28" t="s">
        <v>90</v>
      </c>
      <c r="AF877" s="28" t="s">
        <v>90</v>
      </c>
      <c r="AG877" s="28"/>
      <c r="AH877" s="28" t="s">
        <v>90</v>
      </c>
      <c r="AI877" s="28" t="s">
        <v>90</v>
      </c>
      <c r="AJ877" s="28" t="s">
        <v>90</v>
      </c>
      <c r="AK877" s="28" t="s">
        <v>90</v>
      </c>
      <c r="AL877" s="28" t="s">
        <v>90</v>
      </c>
      <c r="AM877" s="28" t="s">
        <v>90</v>
      </c>
      <c r="AN877" s="62"/>
      <c r="AO877" s="62"/>
      <c r="AP877" s="62"/>
      <c r="AQ877" s="62"/>
      <c r="AR877" s="28"/>
      <c r="AS877" s="28"/>
      <c r="AT877" s="28"/>
      <c r="AU877" s="28"/>
      <c r="AV877" s="28"/>
      <c r="AW877" s="28"/>
      <c r="AX877" s="31"/>
      <c r="AY877" s="31"/>
      <c r="AZ877" s="63"/>
      <c r="BA877" s="64" t="s">
        <v>222</v>
      </c>
      <c r="BB877" s="64"/>
      <c r="BC877" s="63"/>
      <c r="BD877" s="31">
        <f t="shared" si="191"/>
        <v>0</v>
      </c>
      <c r="BE877" s="63"/>
      <c r="BF877" s="63"/>
      <c r="BG877" s="36">
        <v>1</v>
      </c>
      <c r="BH877" s="63"/>
      <c r="BI877" s="31"/>
      <c r="BJ877" s="63"/>
      <c r="BK877" s="63"/>
      <c r="BL877" s="63"/>
      <c r="BM877" s="63"/>
      <c r="BN877" s="63"/>
      <c r="BO877" s="33">
        <f t="shared" si="183"/>
        <v>0</v>
      </c>
      <c r="BP877" s="30">
        <v>9</v>
      </c>
      <c r="BQ877" s="30">
        <v>0</v>
      </c>
      <c r="BR877" s="63"/>
      <c r="BS877" s="63"/>
      <c r="BT877" s="34">
        <f t="shared" si="184"/>
        <v>0</v>
      </c>
      <c r="BU877" s="34"/>
      <c r="BV877" s="34"/>
      <c r="BW877" s="34"/>
      <c r="BX877" s="34"/>
      <c r="BY877" s="63"/>
      <c r="BZ877" s="31">
        <f t="shared" si="185"/>
        <v>0</v>
      </c>
      <c r="CA877" s="31">
        <f t="shared" si="186"/>
        <v>0</v>
      </c>
    </row>
    <row r="878" spans="1:79" ht="45.75" x14ac:dyDescent="0.25">
      <c r="A878" s="35"/>
      <c r="B878" s="2">
        <v>862</v>
      </c>
      <c r="C878" s="48">
        <v>634</v>
      </c>
      <c r="D878" s="48">
        <v>545</v>
      </c>
      <c r="E878" s="49">
        <v>0.77430555555555547</v>
      </c>
      <c r="F878" s="50">
        <v>0.79791666666666661</v>
      </c>
      <c r="G878" s="51" t="s">
        <v>244</v>
      </c>
      <c r="H878" s="18" t="s">
        <v>422</v>
      </c>
      <c r="I878" s="48">
        <v>20</v>
      </c>
      <c r="J878" s="52">
        <v>19</v>
      </c>
      <c r="K878" s="22">
        <v>240</v>
      </c>
      <c r="L878" s="23">
        <f t="shared" si="192"/>
        <v>4800</v>
      </c>
      <c r="M878" s="24" t="s">
        <v>236</v>
      </c>
      <c r="N878" s="25" t="s">
        <v>239</v>
      </c>
      <c r="O878" s="25">
        <v>21</v>
      </c>
      <c r="P878" s="25" t="s">
        <v>237</v>
      </c>
      <c r="Q878" s="25" t="s">
        <v>238</v>
      </c>
      <c r="R878" s="25" t="s">
        <v>240</v>
      </c>
      <c r="S878" s="35">
        <v>17</v>
      </c>
      <c r="T878" s="26">
        <v>6755</v>
      </c>
      <c r="U878" s="26" t="s">
        <v>241</v>
      </c>
      <c r="V878" s="26">
        <v>6220</v>
      </c>
      <c r="W878" s="26" t="s">
        <v>216</v>
      </c>
      <c r="X878" s="27">
        <v>44816</v>
      </c>
      <c r="Y878" s="27">
        <v>45100</v>
      </c>
      <c r="Z878" s="27"/>
      <c r="AA878" s="27"/>
      <c r="AB878" s="26" t="s">
        <v>423</v>
      </c>
      <c r="AC878" s="26"/>
      <c r="AD878" s="28" t="s">
        <v>90</v>
      </c>
      <c r="AE878" s="28"/>
      <c r="AF878" s="28" t="s">
        <v>90</v>
      </c>
      <c r="AG878" s="28"/>
      <c r="AH878" s="28" t="s">
        <v>90</v>
      </c>
      <c r="AI878" s="28" t="s">
        <v>90</v>
      </c>
      <c r="AJ878" s="28" t="s">
        <v>90</v>
      </c>
      <c r="AK878" s="28" t="s">
        <v>90</v>
      </c>
      <c r="AL878" s="28" t="s">
        <v>90</v>
      </c>
      <c r="AM878" s="28" t="s">
        <v>90</v>
      </c>
      <c r="AN878" s="62"/>
      <c r="AO878" s="62"/>
      <c r="AP878" s="62"/>
      <c r="AQ878" s="62"/>
      <c r="AR878" s="28"/>
      <c r="AS878" s="28"/>
      <c r="AT878" s="28"/>
      <c r="AU878" s="28"/>
      <c r="AV878" s="28"/>
      <c r="AW878" s="28"/>
      <c r="AX878" s="29"/>
      <c r="AY878" s="29"/>
      <c r="AZ878" s="63"/>
      <c r="BA878" s="55" t="s">
        <v>236</v>
      </c>
      <c r="BB878" s="55"/>
      <c r="BC878" s="63"/>
      <c r="BD878" s="31">
        <f t="shared" si="191"/>
        <v>0</v>
      </c>
      <c r="BE878" s="63"/>
      <c r="BF878" s="63"/>
      <c r="BG878" s="36">
        <v>1</v>
      </c>
      <c r="BH878" s="63"/>
      <c r="BI878" s="31"/>
      <c r="BJ878" s="63"/>
      <c r="BK878" s="63"/>
      <c r="BL878" s="63"/>
      <c r="BM878" s="63"/>
      <c r="BN878" s="63"/>
      <c r="BO878" s="33">
        <f t="shared" si="183"/>
        <v>0</v>
      </c>
      <c r="BP878" s="30">
        <v>17</v>
      </c>
      <c r="BQ878" s="30">
        <v>26</v>
      </c>
      <c r="BR878" s="63"/>
      <c r="BS878" s="63"/>
      <c r="BT878" s="34">
        <f t="shared" si="184"/>
        <v>0</v>
      </c>
      <c r="BU878" s="34"/>
      <c r="BV878" s="34"/>
      <c r="BW878" s="34"/>
      <c r="BX878" s="34"/>
      <c r="BY878" s="63"/>
      <c r="BZ878" s="31">
        <f t="shared" si="185"/>
        <v>0</v>
      </c>
      <c r="CA878" s="31">
        <f t="shared" si="186"/>
        <v>0</v>
      </c>
    </row>
    <row r="879" spans="1:79" ht="38.25" x14ac:dyDescent="0.25">
      <c r="A879" s="35"/>
      <c r="B879" s="2">
        <v>863</v>
      </c>
      <c r="C879" s="48">
        <v>634</v>
      </c>
      <c r="D879" s="48">
        <v>542</v>
      </c>
      <c r="E879" s="49">
        <v>0.77569444444444446</v>
      </c>
      <c r="F879" s="49">
        <v>0.79513888888888884</v>
      </c>
      <c r="G879" s="51" t="s">
        <v>242</v>
      </c>
      <c r="H879" s="18" t="s">
        <v>422</v>
      </c>
      <c r="I879" s="48">
        <v>15</v>
      </c>
      <c r="J879" s="52">
        <v>19</v>
      </c>
      <c r="K879" s="22">
        <v>240</v>
      </c>
      <c r="L879" s="23">
        <f t="shared" si="192"/>
        <v>3600</v>
      </c>
      <c r="M879" s="24" t="s">
        <v>222</v>
      </c>
      <c r="N879" s="25" t="s">
        <v>223</v>
      </c>
      <c r="O879" s="25">
        <v>21</v>
      </c>
      <c r="P879" s="25" t="s">
        <v>224</v>
      </c>
      <c r="Q879" s="25">
        <v>31</v>
      </c>
      <c r="R879" s="25"/>
      <c r="S879" s="25"/>
      <c r="T879" s="26">
        <v>6220</v>
      </c>
      <c r="U879" s="26" t="s">
        <v>216</v>
      </c>
      <c r="V879" s="26">
        <v>6765</v>
      </c>
      <c r="W879" s="26" t="s">
        <v>243</v>
      </c>
      <c r="X879" s="27">
        <v>44816</v>
      </c>
      <c r="Y879" s="27">
        <v>45100</v>
      </c>
      <c r="Z879" s="27"/>
      <c r="AA879" s="27"/>
      <c r="AB879" s="26" t="s">
        <v>423</v>
      </c>
      <c r="AC879" s="26"/>
      <c r="AD879" s="28" t="s">
        <v>90</v>
      </c>
      <c r="AE879" s="28"/>
      <c r="AF879" s="28" t="s">
        <v>90</v>
      </c>
      <c r="AG879" s="28"/>
      <c r="AH879" s="28" t="s">
        <v>90</v>
      </c>
      <c r="AI879" s="28" t="s">
        <v>90</v>
      </c>
      <c r="AJ879" s="28" t="s">
        <v>90</v>
      </c>
      <c r="AK879" s="28" t="s">
        <v>90</v>
      </c>
      <c r="AL879" s="28" t="s">
        <v>90</v>
      </c>
      <c r="AM879" s="28" t="s">
        <v>90</v>
      </c>
      <c r="AN879" s="62"/>
      <c r="AO879" s="62"/>
      <c r="AP879" s="62"/>
      <c r="AQ879" s="62"/>
      <c r="AR879" s="28"/>
      <c r="AS879" s="28"/>
      <c r="AT879" s="28"/>
      <c r="AU879" s="28"/>
      <c r="AV879" s="28"/>
      <c r="AW879" s="28"/>
      <c r="AX879" s="31"/>
      <c r="AY879" s="31"/>
      <c r="AZ879" s="63"/>
      <c r="BA879" s="64" t="s">
        <v>222</v>
      </c>
      <c r="BB879" s="64"/>
      <c r="BC879" s="63"/>
      <c r="BD879" s="31">
        <f t="shared" si="191"/>
        <v>0</v>
      </c>
      <c r="BE879" s="63"/>
      <c r="BF879" s="63"/>
      <c r="BG879" s="36">
        <v>1</v>
      </c>
      <c r="BH879" s="63"/>
      <c r="BI879" s="31"/>
      <c r="BJ879" s="63"/>
      <c r="BK879" s="63"/>
      <c r="BL879" s="63"/>
      <c r="BM879" s="63"/>
      <c r="BN879" s="63"/>
      <c r="BO879" s="33">
        <f t="shared" si="183"/>
        <v>0</v>
      </c>
      <c r="BP879" s="30">
        <v>17</v>
      </c>
      <c r="BQ879" s="30">
        <v>26</v>
      </c>
      <c r="BR879" s="63"/>
      <c r="BS879" s="63"/>
      <c r="BT879" s="34">
        <f t="shared" si="184"/>
        <v>0</v>
      </c>
      <c r="BU879" s="34"/>
      <c r="BV879" s="34"/>
      <c r="BW879" s="34"/>
      <c r="BX879" s="34"/>
      <c r="BY879" s="63"/>
      <c r="BZ879" s="31">
        <f t="shared" si="185"/>
        <v>0</v>
      </c>
      <c r="CA879" s="31">
        <f t="shared" si="186"/>
        <v>0</v>
      </c>
    </row>
    <row r="880" spans="1:79" ht="45.75" x14ac:dyDescent="0.25">
      <c r="A880" s="35"/>
      <c r="B880" s="2">
        <v>864</v>
      </c>
      <c r="C880" s="48">
        <v>634</v>
      </c>
      <c r="D880" s="48">
        <v>545</v>
      </c>
      <c r="E880" s="49">
        <v>0.78125</v>
      </c>
      <c r="F880" s="49">
        <v>0.80208333333333337</v>
      </c>
      <c r="G880" s="51" t="s">
        <v>244</v>
      </c>
      <c r="H880" s="51" t="s">
        <v>121</v>
      </c>
      <c r="I880" s="48">
        <v>20</v>
      </c>
      <c r="J880" s="52">
        <v>19</v>
      </c>
      <c r="K880" s="22">
        <v>67</v>
      </c>
      <c r="L880" s="23">
        <f t="shared" si="192"/>
        <v>1340</v>
      </c>
      <c r="M880" s="24" t="s">
        <v>236</v>
      </c>
      <c r="N880" s="25" t="s">
        <v>237</v>
      </c>
      <c r="O880" s="25" t="s">
        <v>238</v>
      </c>
      <c r="P880" s="25" t="s">
        <v>239</v>
      </c>
      <c r="Q880" s="25">
        <v>21</v>
      </c>
      <c r="R880" s="25" t="s">
        <v>240</v>
      </c>
      <c r="S880" s="35">
        <v>17</v>
      </c>
      <c r="T880" s="26">
        <v>6755</v>
      </c>
      <c r="U880" s="26" t="s">
        <v>241</v>
      </c>
      <c r="V880" s="26">
        <v>6220</v>
      </c>
      <c r="W880" s="26" t="s">
        <v>216</v>
      </c>
      <c r="X880" s="27">
        <v>44562</v>
      </c>
      <c r="Y880" s="27">
        <v>44815</v>
      </c>
      <c r="Z880" s="27">
        <v>45101</v>
      </c>
      <c r="AA880" s="27">
        <v>45169</v>
      </c>
      <c r="AB880" s="28" t="s">
        <v>89</v>
      </c>
      <c r="AC880" s="28"/>
      <c r="AD880" s="62"/>
      <c r="AE880" s="28" t="s">
        <v>90</v>
      </c>
      <c r="AF880" s="28" t="s">
        <v>90</v>
      </c>
      <c r="AG880" s="28"/>
      <c r="AH880" s="28" t="s">
        <v>90</v>
      </c>
      <c r="AI880" s="28" t="s">
        <v>90</v>
      </c>
      <c r="AJ880" s="28" t="s">
        <v>90</v>
      </c>
      <c r="AK880" s="28" t="s">
        <v>90</v>
      </c>
      <c r="AL880" s="28" t="s">
        <v>90</v>
      </c>
      <c r="AM880" s="28" t="s">
        <v>90</v>
      </c>
      <c r="AN880" s="62"/>
      <c r="AO880" s="62"/>
      <c r="AP880" s="62"/>
      <c r="AQ880" s="62"/>
      <c r="AR880" s="28"/>
      <c r="AS880" s="28"/>
      <c r="AT880" s="28"/>
      <c r="AU880" s="28"/>
      <c r="AV880" s="28"/>
      <c r="AW880" s="28"/>
      <c r="AX880" s="29"/>
      <c r="AY880" s="29"/>
      <c r="AZ880" s="63"/>
      <c r="BA880" s="55" t="s">
        <v>236</v>
      </c>
      <c r="BB880" s="55"/>
      <c r="BC880" s="63"/>
      <c r="BD880" s="31">
        <f t="shared" si="191"/>
        <v>0</v>
      </c>
      <c r="BE880" s="63"/>
      <c r="BF880" s="63"/>
      <c r="BG880" s="36">
        <v>1</v>
      </c>
      <c r="BH880" s="63"/>
      <c r="BI880" s="31"/>
      <c r="BJ880" s="63"/>
      <c r="BK880" s="63"/>
      <c r="BL880" s="63"/>
      <c r="BM880" s="63"/>
      <c r="BN880" s="63"/>
      <c r="BO880" s="33">
        <f t="shared" si="183"/>
        <v>0</v>
      </c>
      <c r="BP880" s="30">
        <v>9</v>
      </c>
      <c r="BQ880" s="30">
        <v>0</v>
      </c>
      <c r="BR880" s="63"/>
      <c r="BS880" s="63"/>
      <c r="BT880" s="34">
        <f t="shared" si="184"/>
        <v>0</v>
      </c>
      <c r="BU880" s="34"/>
      <c r="BV880" s="34"/>
      <c r="BW880" s="34"/>
      <c r="BX880" s="34"/>
      <c r="BY880" s="63"/>
      <c r="BZ880" s="31">
        <f t="shared" si="185"/>
        <v>0</v>
      </c>
      <c r="CA880" s="31">
        <f t="shared" si="186"/>
        <v>0</v>
      </c>
    </row>
    <row r="881" spans="1:79" ht="38.25" x14ac:dyDescent="0.25">
      <c r="A881" s="35"/>
      <c r="B881" s="2">
        <v>865</v>
      </c>
      <c r="C881" s="48">
        <v>634</v>
      </c>
      <c r="D881" s="48">
        <v>547</v>
      </c>
      <c r="E881" s="49">
        <v>0.79652777777777783</v>
      </c>
      <c r="F881" s="50">
        <v>0.81666666666666676</v>
      </c>
      <c r="G881" s="51" t="s">
        <v>245</v>
      </c>
      <c r="H881" s="18" t="s">
        <v>422</v>
      </c>
      <c r="I881" s="48">
        <v>15</v>
      </c>
      <c r="J881" s="52">
        <v>19</v>
      </c>
      <c r="K881" s="22">
        <v>240</v>
      </c>
      <c r="L881" s="23">
        <f t="shared" si="192"/>
        <v>3600</v>
      </c>
      <c r="M881" s="24" t="s">
        <v>222</v>
      </c>
      <c r="N881" s="25" t="s">
        <v>223</v>
      </c>
      <c r="O881" s="25">
        <v>21</v>
      </c>
      <c r="P881" s="25" t="s">
        <v>224</v>
      </c>
      <c r="Q881" s="25">
        <v>31</v>
      </c>
      <c r="R881" s="25"/>
      <c r="S881" s="25"/>
      <c r="T881" s="26">
        <v>6765</v>
      </c>
      <c r="U881" s="26" t="s">
        <v>243</v>
      </c>
      <c r="V881" s="26">
        <v>6220</v>
      </c>
      <c r="W881" s="26" t="s">
        <v>216</v>
      </c>
      <c r="X881" s="27">
        <v>44816</v>
      </c>
      <c r="Y881" s="27">
        <v>45100</v>
      </c>
      <c r="Z881" s="27"/>
      <c r="AA881" s="27"/>
      <c r="AB881" s="26" t="s">
        <v>423</v>
      </c>
      <c r="AC881" s="26"/>
      <c r="AD881" s="28" t="s">
        <v>90</v>
      </c>
      <c r="AE881" s="28"/>
      <c r="AF881" s="28" t="s">
        <v>90</v>
      </c>
      <c r="AG881" s="28"/>
      <c r="AH881" s="28" t="s">
        <v>90</v>
      </c>
      <c r="AI881" s="28" t="s">
        <v>90</v>
      </c>
      <c r="AJ881" s="28" t="s">
        <v>90</v>
      </c>
      <c r="AK881" s="28" t="s">
        <v>90</v>
      </c>
      <c r="AL881" s="28" t="s">
        <v>90</v>
      </c>
      <c r="AM881" s="28" t="s">
        <v>90</v>
      </c>
      <c r="AN881" s="62"/>
      <c r="AO881" s="62"/>
      <c r="AP881" s="62"/>
      <c r="AQ881" s="62"/>
      <c r="AR881" s="28"/>
      <c r="AS881" s="28"/>
      <c r="AT881" s="28"/>
      <c r="AU881" s="28"/>
      <c r="AV881" s="28"/>
      <c r="AW881" s="28"/>
      <c r="AX881" s="31"/>
      <c r="AY881" s="31"/>
      <c r="AZ881" s="63"/>
      <c r="BA881" s="64" t="s">
        <v>222</v>
      </c>
      <c r="BB881" s="64"/>
      <c r="BC881" s="63"/>
      <c r="BD881" s="31">
        <f t="shared" si="191"/>
        <v>0</v>
      </c>
      <c r="BE881" s="63"/>
      <c r="BF881" s="63"/>
      <c r="BG881" s="36">
        <v>1</v>
      </c>
      <c r="BH881" s="63"/>
      <c r="BI881" s="31"/>
      <c r="BJ881" s="63"/>
      <c r="BK881" s="63"/>
      <c r="BL881" s="63"/>
      <c r="BM881" s="63"/>
      <c r="BN881" s="63"/>
      <c r="BO881" s="33">
        <f t="shared" si="183"/>
        <v>0</v>
      </c>
      <c r="BP881" s="30">
        <v>17</v>
      </c>
      <c r="BQ881" s="30">
        <v>26</v>
      </c>
      <c r="BR881" s="63"/>
      <c r="BS881" s="63"/>
      <c r="BT881" s="34">
        <f t="shared" si="184"/>
        <v>0</v>
      </c>
      <c r="BU881" s="34"/>
      <c r="BV881" s="34"/>
      <c r="BW881" s="34"/>
      <c r="BX881" s="34"/>
      <c r="BY881" s="63"/>
      <c r="BZ881" s="31">
        <f t="shared" si="185"/>
        <v>0</v>
      </c>
      <c r="CA881" s="31">
        <f t="shared" si="186"/>
        <v>0</v>
      </c>
    </row>
    <row r="882" spans="1:79" ht="33.75" x14ac:dyDescent="0.25">
      <c r="A882" s="35"/>
      <c r="B882" s="2">
        <v>866</v>
      </c>
      <c r="C882" s="48">
        <v>634</v>
      </c>
      <c r="D882" s="48">
        <v>547</v>
      </c>
      <c r="E882" s="49">
        <v>0.79999999999999993</v>
      </c>
      <c r="F882" s="49">
        <v>0.82013888888888886</v>
      </c>
      <c r="G882" s="51" t="s">
        <v>245</v>
      </c>
      <c r="H882" s="51" t="s">
        <v>121</v>
      </c>
      <c r="I882" s="48">
        <v>15</v>
      </c>
      <c r="J882" s="52">
        <v>19</v>
      </c>
      <c r="K882" s="22">
        <v>67</v>
      </c>
      <c r="L882" s="23">
        <f t="shared" si="192"/>
        <v>1005</v>
      </c>
      <c r="M882" s="24" t="s">
        <v>222</v>
      </c>
      <c r="N882" s="25" t="s">
        <v>223</v>
      </c>
      <c r="O882" s="25">
        <v>21</v>
      </c>
      <c r="P882" s="25" t="s">
        <v>224</v>
      </c>
      <c r="Q882" s="25">
        <v>31</v>
      </c>
      <c r="R882" s="25"/>
      <c r="S882" s="25"/>
      <c r="T882" s="26">
        <v>6765</v>
      </c>
      <c r="U882" s="26" t="s">
        <v>243</v>
      </c>
      <c r="V882" s="26">
        <v>6220</v>
      </c>
      <c r="W882" s="26" t="s">
        <v>216</v>
      </c>
      <c r="X882" s="27">
        <v>44562</v>
      </c>
      <c r="Y882" s="27">
        <v>44815</v>
      </c>
      <c r="Z882" s="27">
        <v>45101</v>
      </c>
      <c r="AA882" s="27">
        <v>45169</v>
      </c>
      <c r="AB882" s="28" t="s">
        <v>89</v>
      </c>
      <c r="AC882" s="28"/>
      <c r="AD882" s="62"/>
      <c r="AE882" s="28" t="s">
        <v>90</v>
      </c>
      <c r="AF882" s="28" t="s">
        <v>90</v>
      </c>
      <c r="AG882" s="28"/>
      <c r="AH882" s="28" t="s">
        <v>90</v>
      </c>
      <c r="AI882" s="28" t="s">
        <v>90</v>
      </c>
      <c r="AJ882" s="28" t="s">
        <v>90</v>
      </c>
      <c r="AK882" s="28" t="s">
        <v>90</v>
      </c>
      <c r="AL882" s="28" t="s">
        <v>90</v>
      </c>
      <c r="AM882" s="28" t="s">
        <v>90</v>
      </c>
      <c r="AN882" s="62"/>
      <c r="AO882" s="62"/>
      <c r="AP882" s="62"/>
      <c r="AQ882" s="62"/>
      <c r="AR882" s="28"/>
      <c r="AS882" s="28"/>
      <c r="AT882" s="28"/>
      <c r="AU882" s="28"/>
      <c r="AV882" s="28"/>
      <c r="AW882" s="28"/>
      <c r="AX882" s="31"/>
      <c r="AY882" s="31"/>
      <c r="AZ882" s="63"/>
      <c r="BA882" s="64" t="s">
        <v>222</v>
      </c>
      <c r="BB882" s="64"/>
      <c r="BC882" s="63"/>
      <c r="BD882" s="31">
        <f t="shared" si="191"/>
        <v>0</v>
      </c>
      <c r="BE882" s="63"/>
      <c r="BF882" s="63"/>
      <c r="BG882" s="36">
        <v>1</v>
      </c>
      <c r="BH882" s="63"/>
      <c r="BI882" s="31"/>
      <c r="BJ882" s="63"/>
      <c r="BK882" s="63"/>
      <c r="BL882" s="63"/>
      <c r="BM882" s="63"/>
      <c r="BN882" s="63"/>
      <c r="BO882" s="33">
        <f t="shared" si="183"/>
        <v>0</v>
      </c>
      <c r="BP882" s="30">
        <v>9</v>
      </c>
      <c r="BQ882" s="30">
        <v>0</v>
      </c>
      <c r="BR882" s="63"/>
      <c r="BS882" s="63"/>
      <c r="BT882" s="34">
        <f t="shared" si="184"/>
        <v>0</v>
      </c>
      <c r="BU882" s="34"/>
      <c r="BV882" s="34"/>
      <c r="BW882" s="34"/>
      <c r="BX882" s="34"/>
      <c r="BY882" s="63"/>
      <c r="BZ882" s="31">
        <f t="shared" si="185"/>
        <v>0</v>
      </c>
      <c r="CA882" s="31">
        <f t="shared" si="186"/>
        <v>0</v>
      </c>
    </row>
    <row r="883" spans="1:79" ht="45.75" x14ac:dyDescent="0.25">
      <c r="A883" s="35"/>
      <c r="B883" s="2">
        <v>867</v>
      </c>
      <c r="C883" s="48">
        <v>634</v>
      </c>
      <c r="D883" s="48">
        <v>540</v>
      </c>
      <c r="E883" s="49">
        <v>0.80902777777777779</v>
      </c>
      <c r="F883" s="49">
        <v>0.83333333333333337</v>
      </c>
      <c r="G883" s="51" t="s">
        <v>235</v>
      </c>
      <c r="H883" s="51" t="s">
        <v>121</v>
      </c>
      <c r="I883" s="48">
        <v>20</v>
      </c>
      <c r="J883" s="52">
        <v>19</v>
      </c>
      <c r="K883" s="22">
        <v>67</v>
      </c>
      <c r="L883" s="23">
        <f t="shared" si="192"/>
        <v>1340</v>
      </c>
      <c r="M883" s="24" t="s">
        <v>236</v>
      </c>
      <c r="N883" s="25" t="s">
        <v>237</v>
      </c>
      <c r="O883" s="25" t="s">
        <v>238</v>
      </c>
      <c r="P883" s="25" t="s">
        <v>239</v>
      </c>
      <c r="Q883" s="25">
        <v>21</v>
      </c>
      <c r="R883" s="25" t="s">
        <v>240</v>
      </c>
      <c r="S883" s="35">
        <v>17</v>
      </c>
      <c r="T883" s="26">
        <v>6220</v>
      </c>
      <c r="U883" s="26" t="s">
        <v>216</v>
      </c>
      <c r="V883" s="26">
        <v>6755</v>
      </c>
      <c r="W883" s="26" t="s">
        <v>241</v>
      </c>
      <c r="X883" s="27">
        <v>44562</v>
      </c>
      <c r="Y883" s="27">
        <v>44815</v>
      </c>
      <c r="Z883" s="27">
        <v>45101</v>
      </c>
      <c r="AA883" s="27">
        <v>45169</v>
      </c>
      <c r="AB883" s="28" t="s">
        <v>89</v>
      </c>
      <c r="AC883" s="28"/>
      <c r="AD883" s="62"/>
      <c r="AE883" s="28" t="s">
        <v>90</v>
      </c>
      <c r="AF883" s="28" t="s">
        <v>90</v>
      </c>
      <c r="AG883" s="28"/>
      <c r="AH883" s="28" t="s">
        <v>90</v>
      </c>
      <c r="AI883" s="28" t="s">
        <v>90</v>
      </c>
      <c r="AJ883" s="28" t="s">
        <v>90</v>
      </c>
      <c r="AK883" s="28" t="s">
        <v>90</v>
      </c>
      <c r="AL883" s="28" t="s">
        <v>90</v>
      </c>
      <c r="AM883" s="28" t="s">
        <v>90</v>
      </c>
      <c r="AN883" s="62"/>
      <c r="AO883" s="62"/>
      <c r="AP883" s="62"/>
      <c r="AQ883" s="62"/>
      <c r="AR883" s="28"/>
      <c r="AS883" s="28"/>
      <c r="AT883" s="28"/>
      <c r="AU883" s="28"/>
      <c r="AV883" s="28"/>
      <c r="AW883" s="28"/>
      <c r="AX883" s="29"/>
      <c r="AY883" s="29"/>
      <c r="AZ883" s="63"/>
      <c r="BA883" s="55" t="s">
        <v>236</v>
      </c>
      <c r="BB883" s="55"/>
      <c r="BC883" s="63"/>
      <c r="BD883" s="31">
        <f t="shared" si="191"/>
        <v>0</v>
      </c>
      <c r="BE883" s="63"/>
      <c r="BF883" s="63"/>
      <c r="BG883" s="36">
        <v>1</v>
      </c>
      <c r="BH883" s="63"/>
      <c r="BI883" s="31"/>
      <c r="BJ883" s="63"/>
      <c r="BK883" s="63"/>
      <c r="BL883" s="63"/>
      <c r="BM883" s="63"/>
      <c r="BN883" s="63"/>
      <c r="BO883" s="33">
        <f t="shared" si="183"/>
        <v>0</v>
      </c>
      <c r="BP883" s="30">
        <v>9</v>
      </c>
      <c r="BQ883" s="30">
        <v>0</v>
      </c>
      <c r="BR883" s="63"/>
      <c r="BS883" s="63"/>
      <c r="BT883" s="34">
        <f t="shared" si="184"/>
        <v>0</v>
      </c>
      <c r="BU883" s="34"/>
      <c r="BV883" s="34"/>
      <c r="BW883" s="34"/>
      <c r="BX883" s="34"/>
      <c r="BY883" s="63"/>
      <c r="BZ883" s="31">
        <f t="shared" si="185"/>
        <v>0</v>
      </c>
      <c r="CA883" s="31">
        <f t="shared" si="186"/>
        <v>0</v>
      </c>
    </row>
    <row r="884" spans="1:79" ht="45.75" x14ac:dyDescent="0.25">
      <c r="A884" s="35"/>
      <c r="B884" s="2">
        <v>868</v>
      </c>
      <c r="C884" s="48">
        <v>634</v>
      </c>
      <c r="D884" s="48">
        <v>546</v>
      </c>
      <c r="E884" s="49">
        <v>0.82777777777777783</v>
      </c>
      <c r="F884" s="49">
        <v>0.85138888888888886</v>
      </c>
      <c r="G884" s="51" t="s">
        <v>235</v>
      </c>
      <c r="H884" s="18" t="s">
        <v>422</v>
      </c>
      <c r="I884" s="48">
        <v>20</v>
      </c>
      <c r="J884" s="52">
        <v>19</v>
      </c>
      <c r="K884" s="22">
        <v>240</v>
      </c>
      <c r="L884" s="23">
        <f t="shared" si="192"/>
        <v>4800</v>
      </c>
      <c r="M884" s="24" t="s">
        <v>236</v>
      </c>
      <c r="N884" s="25" t="s">
        <v>239</v>
      </c>
      <c r="O884" s="25">
        <v>21</v>
      </c>
      <c r="P884" s="25" t="s">
        <v>237</v>
      </c>
      <c r="Q884" s="25" t="s">
        <v>238</v>
      </c>
      <c r="R884" s="25" t="s">
        <v>240</v>
      </c>
      <c r="S884" s="35">
        <v>17</v>
      </c>
      <c r="T884" s="26">
        <v>6220</v>
      </c>
      <c r="U884" s="26" t="s">
        <v>216</v>
      </c>
      <c r="V884" s="26">
        <v>6755</v>
      </c>
      <c r="W884" s="26" t="s">
        <v>241</v>
      </c>
      <c r="X884" s="27">
        <v>44816</v>
      </c>
      <c r="Y884" s="27">
        <v>45100</v>
      </c>
      <c r="Z884" s="27"/>
      <c r="AA884" s="27"/>
      <c r="AB884" s="26" t="s">
        <v>423</v>
      </c>
      <c r="AC884" s="26"/>
      <c r="AD884" s="28" t="s">
        <v>90</v>
      </c>
      <c r="AE884" s="28"/>
      <c r="AF884" s="28" t="s">
        <v>90</v>
      </c>
      <c r="AG884" s="28"/>
      <c r="AH884" s="28" t="s">
        <v>90</v>
      </c>
      <c r="AI884" s="28" t="s">
        <v>90</v>
      </c>
      <c r="AJ884" s="28" t="s">
        <v>90</v>
      </c>
      <c r="AK884" s="28" t="s">
        <v>90</v>
      </c>
      <c r="AL884" s="28" t="s">
        <v>90</v>
      </c>
      <c r="AM884" s="28" t="s">
        <v>90</v>
      </c>
      <c r="AN884" s="62"/>
      <c r="AO884" s="62"/>
      <c r="AP884" s="62"/>
      <c r="AQ884" s="62"/>
      <c r="AR884" s="28"/>
      <c r="AS884" s="28"/>
      <c r="AT884" s="28"/>
      <c r="AU884" s="28"/>
      <c r="AV884" s="28"/>
      <c r="AW884" s="28"/>
      <c r="AX884" s="29"/>
      <c r="AY884" s="29"/>
      <c r="AZ884" s="63"/>
      <c r="BA884" s="55" t="s">
        <v>236</v>
      </c>
      <c r="BB884" s="55"/>
      <c r="BC884" s="63"/>
      <c r="BD884" s="31">
        <f t="shared" si="191"/>
        <v>0</v>
      </c>
      <c r="BE884" s="63"/>
      <c r="BF884" s="63"/>
      <c r="BG884" s="36">
        <v>1</v>
      </c>
      <c r="BH884" s="63"/>
      <c r="BI884" s="31"/>
      <c r="BJ884" s="63"/>
      <c r="BK884" s="63"/>
      <c r="BL884" s="63"/>
      <c r="BM884" s="63"/>
      <c r="BN884" s="63"/>
      <c r="BO884" s="33">
        <f t="shared" si="183"/>
        <v>0</v>
      </c>
      <c r="BP884" s="30">
        <v>17</v>
      </c>
      <c r="BQ884" s="30">
        <v>26</v>
      </c>
      <c r="BR884" s="63"/>
      <c r="BS884" s="63"/>
      <c r="BT884" s="34">
        <f t="shared" si="184"/>
        <v>0</v>
      </c>
      <c r="BU884" s="34"/>
      <c r="BV884" s="34"/>
      <c r="BW884" s="34"/>
      <c r="BX884" s="34"/>
      <c r="BY884" s="63"/>
      <c r="BZ884" s="31">
        <f t="shared" si="185"/>
        <v>0</v>
      </c>
      <c r="CA884" s="31">
        <f t="shared" si="186"/>
        <v>0</v>
      </c>
    </row>
    <row r="885" spans="1:79" ht="114.75" x14ac:dyDescent="0.25">
      <c r="A885" s="17"/>
      <c r="B885" s="2">
        <v>869</v>
      </c>
      <c r="C885" s="18">
        <v>637</v>
      </c>
      <c r="D885" s="58">
        <v>745</v>
      </c>
      <c r="E885" s="59">
        <v>0.21527777777777779</v>
      </c>
      <c r="F885" s="59">
        <v>0.23194444444444443</v>
      </c>
      <c r="G885" s="58" t="s">
        <v>1767</v>
      </c>
      <c r="H885" s="18" t="s">
        <v>1768</v>
      </c>
      <c r="I885" s="20">
        <v>17</v>
      </c>
      <c r="J885" s="21" t="s">
        <v>122</v>
      </c>
      <c r="K885" s="22">
        <v>152</v>
      </c>
      <c r="L885" s="23">
        <f t="shared" si="192"/>
        <v>2584</v>
      </c>
      <c r="M885" s="24" t="s">
        <v>1667</v>
      </c>
      <c r="N885" s="25" t="s">
        <v>1669</v>
      </c>
      <c r="O885" s="25">
        <v>21</v>
      </c>
      <c r="P885" s="25" t="s">
        <v>1685</v>
      </c>
      <c r="Q885" s="25">
        <v>24</v>
      </c>
      <c r="R885" s="25" t="s">
        <v>1668</v>
      </c>
      <c r="S885" s="35">
        <v>21</v>
      </c>
      <c r="T885" s="26">
        <v>6290</v>
      </c>
      <c r="U885" s="26" t="s">
        <v>1769</v>
      </c>
      <c r="V885" s="26" t="s">
        <v>1770</v>
      </c>
      <c r="W885" s="26" t="s">
        <v>1771</v>
      </c>
      <c r="X885" s="27">
        <v>44816</v>
      </c>
      <c r="Y885" s="27">
        <v>45100</v>
      </c>
      <c r="Z885" s="27"/>
      <c r="AA885" s="27"/>
      <c r="AB885" s="26" t="s">
        <v>1772</v>
      </c>
      <c r="AC885" s="28" t="s">
        <v>628</v>
      </c>
      <c r="AD885" s="62" t="s">
        <v>90</v>
      </c>
      <c r="AE885" s="62"/>
      <c r="AF885" s="62" t="s">
        <v>90</v>
      </c>
      <c r="AG885" s="62"/>
      <c r="AH885" s="62" t="s">
        <v>90</v>
      </c>
      <c r="AI885" s="62" t="s">
        <v>90</v>
      </c>
      <c r="AJ885" s="62" t="s">
        <v>90</v>
      </c>
      <c r="AK885" s="62" t="s">
        <v>90</v>
      </c>
      <c r="AL885" s="62" t="s">
        <v>90</v>
      </c>
      <c r="AM885" s="62" t="s">
        <v>90</v>
      </c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29">
        <v>70.430000000000007</v>
      </c>
      <c r="AY885" s="29"/>
      <c r="AZ885" s="63"/>
      <c r="BA885" s="63"/>
      <c r="BB885" s="63"/>
      <c r="BC885" s="63"/>
      <c r="BD885" s="31">
        <f t="shared" si="191"/>
        <v>10705.36</v>
      </c>
      <c r="BE885" s="31"/>
      <c r="BF885" s="63"/>
      <c r="BG885" s="36">
        <v>1</v>
      </c>
      <c r="BH885" s="31">
        <f t="shared" ref="BH885:BH905" si="196">IF(AND((AX885/I885)&lt;2,BG885=1),(I885*2)-AX885,0)</f>
        <v>0</v>
      </c>
      <c r="BI885" s="31">
        <f t="shared" ref="BI885:BI905" si="197">IF(AND((AX885/I885)&lt;3,BG885=2),(I885*3)-AX885,0)</f>
        <v>0</v>
      </c>
      <c r="BJ885" s="33">
        <f t="shared" ref="BJ885:BJ905" si="198">(BH885+BI885)*K885</f>
        <v>0</v>
      </c>
      <c r="BK885" s="63"/>
      <c r="BL885" s="63"/>
      <c r="BM885" s="63"/>
      <c r="BN885" s="31">
        <f>IF((AX885+AY885+AZ885)&lt;20,(20-(AX885+AY885+AZ885)),0)</f>
        <v>0</v>
      </c>
      <c r="BO885" s="33">
        <f t="shared" si="183"/>
        <v>0</v>
      </c>
      <c r="BP885" s="105">
        <v>0</v>
      </c>
      <c r="BQ885" s="105">
        <v>0</v>
      </c>
      <c r="BR885" s="63"/>
      <c r="BS885" s="63"/>
      <c r="BT885" s="34">
        <f t="shared" si="184"/>
        <v>70.430000000000007</v>
      </c>
      <c r="BU885" s="34"/>
      <c r="BV885" s="34"/>
      <c r="BW885" s="34"/>
      <c r="BX885" s="34"/>
      <c r="BY885" s="63"/>
      <c r="BZ885" s="31">
        <f t="shared" si="185"/>
        <v>0</v>
      </c>
      <c r="CA885" s="31">
        <f t="shared" si="186"/>
        <v>0</v>
      </c>
    </row>
    <row r="886" spans="1:79" ht="102" x14ac:dyDescent="0.25">
      <c r="A886" s="17"/>
      <c r="B886" s="2">
        <v>870</v>
      </c>
      <c r="C886" s="18">
        <v>637</v>
      </c>
      <c r="D886" s="18">
        <v>629</v>
      </c>
      <c r="E886" s="59">
        <v>0.21527777777777779</v>
      </c>
      <c r="F886" s="59">
        <v>0.23194444444444443</v>
      </c>
      <c r="G886" s="18" t="s">
        <v>1773</v>
      </c>
      <c r="H886" s="18" t="s">
        <v>1774</v>
      </c>
      <c r="I886" s="20">
        <v>17</v>
      </c>
      <c r="J886" s="21" t="s">
        <v>122</v>
      </c>
      <c r="K886" s="22">
        <v>67</v>
      </c>
      <c r="L886" s="23">
        <f t="shared" si="192"/>
        <v>1139</v>
      </c>
      <c r="M886" s="24" t="s">
        <v>1667</v>
      </c>
      <c r="N886" s="25" t="s">
        <v>1669</v>
      </c>
      <c r="O886" s="25">
        <v>21</v>
      </c>
      <c r="P886" s="25" t="s">
        <v>1685</v>
      </c>
      <c r="Q886" s="25">
        <v>24</v>
      </c>
      <c r="R886" s="25" t="s">
        <v>1668</v>
      </c>
      <c r="S886" s="35">
        <v>21</v>
      </c>
      <c r="T886" s="26">
        <v>6290</v>
      </c>
      <c r="U886" s="26" t="s">
        <v>1769</v>
      </c>
      <c r="V886" s="26" t="s">
        <v>1770</v>
      </c>
      <c r="W886" s="26" t="s">
        <v>1771</v>
      </c>
      <c r="X886" s="27">
        <v>44562</v>
      </c>
      <c r="Y886" s="27">
        <v>44815</v>
      </c>
      <c r="Z886" s="27">
        <v>45101</v>
      </c>
      <c r="AA886" s="27">
        <v>45169</v>
      </c>
      <c r="AB886" s="62" t="s">
        <v>1775</v>
      </c>
      <c r="AC886" s="28" t="s">
        <v>628</v>
      </c>
      <c r="AD886" s="62"/>
      <c r="AE886" s="62" t="s">
        <v>90</v>
      </c>
      <c r="AF886" s="62" t="s">
        <v>90</v>
      </c>
      <c r="AG886" s="62"/>
      <c r="AH886" s="62" t="s">
        <v>90</v>
      </c>
      <c r="AI886" s="62" t="s">
        <v>90</v>
      </c>
      <c r="AJ886" s="62" t="s">
        <v>90</v>
      </c>
      <c r="AK886" s="62" t="s">
        <v>90</v>
      </c>
      <c r="AL886" s="62" t="s">
        <v>90</v>
      </c>
      <c r="AM886" s="62" t="s">
        <v>90</v>
      </c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29">
        <v>70.430000000000007</v>
      </c>
      <c r="AY886" s="29"/>
      <c r="AZ886" s="63"/>
      <c r="BA886" s="63"/>
      <c r="BB886" s="63"/>
      <c r="BC886" s="63"/>
      <c r="BD886" s="31">
        <f t="shared" si="191"/>
        <v>4718.8100000000004</v>
      </c>
      <c r="BE886" s="31"/>
      <c r="BF886" s="63"/>
      <c r="BG886" s="36">
        <v>1</v>
      </c>
      <c r="BH886" s="31">
        <f t="shared" si="196"/>
        <v>0</v>
      </c>
      <c r="BI886" s="31">
        <f t="shared" si="197"/>
        <v>0</v>
      </c>
      <c r="BJ886" s="33">
        <f t="shared" si="198"/>
        <v>0</v>
      </c>
      <c r="BK886" s="63"/>
      <c r="BL886" s="63"/>
      <c r="BM886" s="63"/>
      <c r="BN886" s="31">
        <f>IF((AX886+AY886+AZ886)&lt;20,(20-(AX886+AY886+AZ886)),0)</f>
        <v>0</v>
      </c>
      <c r="BO886" s="33">
        <f t="shared" ref="BO886:BO944" si="199">BN886*K886</f>
        <v>0</v>
      </c>
      <c r="BP886" s="105">
        <v>9</v>
      </c>
      <c r="BQ886" s="30">
        <v>0</v>
      </c>
      <c r="BR886" s="63"/>
      <c r="BS886" s="63"/>
      <c r="BT886" s="34">
        <f t="shared" ref="BT886:BT944" si="200">SUM(AX886:AZ886)+SUM(BH886:BI886)+SUM(BK886:BL886)+BN886</f>
        <v>70.430000000000007</v>
      </c>
      <c r="BU886" s="34"/>
      <c r="BV886" s="34"/>
      <c r="BW886" s="34"/>
      <c r="BX886" s="34"/>
      <c r="BY886" s="63"/>
      <c r="BZ886" s="31">
        <f t="shared" ref="BZ886:BZ949" si="201">(BT886*BP886)+(BV886*BX886)</f>
        <v>633.87000000000012</v>
      </c>
      <c r="CA886" s="31">
        <f t="shared" si="186"/>
        <v>0</v>
      </c>
    </row>
    <row r="887" spans="1:79" ht="140.25" x14ac:dyDescent="0.25">
      <c r="A887" s="35"/>
      <c r="B887" s="2">
        <v>871</v>
      </c>
      <c r="C887" s="18">
        <v>637</v>
      </c>
      <c r="D887" s="58">
        <v>639</v>
      </c>
      <c r="E887" s="19">
        <v>0.2986111111111111</v>
      </c>
      <c r="F887" s="19">
        <v>0.31944444444444448</v>
      </c>
      <c r="G887" s="18" t="s">
        <v>1776</v>
      </c>
      <c r="H887" s="18" t="s">
        <v>1777</v>
      </c>
      <c r="I887" s="20">
        <v>17</v>
      </c>
      <c r="J887" s="21" t="s">
        <v>122</v>
      </c>
      <c r="K887" s="131">
        <v>0</v>
      </c>
      <c r="L887" s="23">
        <f t="shared" si="192"/>
        <v>0</v>
      </c>
      <c r="M887" s="24" t="s">
        <v>1667</v>
      </c>
      <c r="N887" s="25" t="s">
        <v>1669</v>
      </c>
      <c r="O887" s="25">
        <v>21</v>
      </c>
      <c r="P887" s="25" t="s">
        <v>1685</v>
      </c>
      <c r="Q887" s="25">
        <v>24</v>
      </c>
      <c r="R887" s="25" t="s">
        <v>1668</v>
      </c>
      <c r="S887" s="35">
        <v>21</v>
      </c>
      <c r="T887" s="26">
        <v>6290</v>
      </c>
      <c r="U887" s="26" t="s">
        <v>1769</v>
      </c>
      <c r="V887" s="26" t="s">
        <v>1770</v>
      </c>
      <c r="W887" s="26" t="s">
        <v>1771</v>
      </c>
      <c r="X887" s="27">
        <v>44562</v>
      </c>
      <c r="Y887" s="27">
        <v>44815</v>
      </c>
      <c r="Z887" s="27">
        <v>45101</v>
      </c>
      <c r="AA887" s="27">
        <v>45169</v>
      </c>
      <c r="AB887" s="62" t="s">
        <v>1778</v>
      </c>
      <c r="AC887" s="28" t="s">
        <v>628</v>
      </c>
      <c r="AD887" s="62"/>
      <c r="AE887" s="62" t="s">
        <v>90</v>
      </c>
      <c r="AF887" s="62" t="s">
        <v>90</v>
      </c>
      <c r="AG887" s="62"/>
      <c r="AH887" s="62" t="s">
        <v>90</v>
      </c>
      <c r="AI887" s="62" t="s">
        <v>90</v>
      </c>
      <c r="AJ887" s="62" t="s">
        <v>90</v>
      </c>
      <c r="AK887" s="62" t="s">
        <v>90</v>
      </c>
      <c r="AL887" s="62" t="s">
        <v>90</v>
      </c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29">
        <v>70.430000000000007</v>
      </c>
      <c r="AY887" s="29"/>
      <c r="AZ887" s="63"/>
      <c r="BA887" s="63"/>
      <c r="BB887" s="63"/>
      <c r="BC887" s="63"/>
      <c r="BD887" s="31">
        <f t="shared" si="191"/>
        <v>0</v>
      </c>
      <c r="BE887" s="31"/>
      <c r="BF887" s="63"/>
      <c r="BG887" s="36">
        <v>1</v>
      </c>
      <c r="BH887" s="31">
        <f t="shared" si="196"/>
        <v>0</v>
      </c>
      <c r="BI887" s="31">
        <f t="shared" si="197"/>
        <v>0</v>
      </c>
      <c r="BJ887" s="33">
        <f t="shared" si="198"/>
        <v>0</v>
      </c>
      <c r="BK887" s="63"/>
      <c r="BL887" s="63"/>
      <c r="BM887" s="63"/>
      <c r="BN887" s="63"/>
      <c r="BO887" s="33">
        <f t="shared" si="199"/>
        <v>0</v>
      </c>
      <c r="BP887" s="36">
        <v>0</v>
      </c>
      <c r="BQ887" s="30">
        <v>0</v>
      </c>
      <c r="BR887" s="63"/>
      <c r="BS887" s="63"/>
      <c r="BT887" s="34">
        <f t="shared" si="200"/>
        <v>70.430000000000007</v>
      </c>
      <c r="BU887" s="34"/>
      <c r="BV887" s="34"/>
      <c r="BW887" s="34"/>
      <c r="BX887" s="34"/>
      <c r="BY887" s="63"/>
      <c r="BZ887" s="31">
        <f t="shared" si="201"/>
        <v>0</v>
      </c>
      <c r="CA887" s="31">
        <f t="shared" si="186"/>
        <v>0</v>
      </c>
    </row>
    <row r="888" spans="1:79" ht="114.75" x14ac:dyDescent="0.25">
      <c r="A888" s="17"/>
      <c r="B888" s="2">
        <v>872</v>
      </c>
      <c r="C888" s="18">
        <v>637</v>
      </c>
      <c r="D888" s="18">
        <v>629</v>
      </c>
      <c r="E888" s="59">
        <v>0.29166666666666669</v>
      </c>
      <c r="F888" s="59">
        <v>0.30833333333333335</v>
      </c>
      <c r="G888" s="18" t="s">
        <v>1779</v>
      </c>
      <c r="H888" s="18" t="s">
        <v>1780</v>
      </c>
      <c r="I888" s="20">
        <v>17</v>
      </c>
      <c r="J888" s="21" t="s">
        <v>122</v>
      </c>
      <c r="K888" s="22">
        <v>73</v>
      </c>
      <c r="L888" s="23">
        <f t="shared" si="192"/>
        <v>1241</v>
      </c>
      <c r="M888" s="24" t="s">
        <v>1667</v>
      </c>
      <c r="N888" s="25" t="s">
        <v>1669</v>
      </c>
      <c r="O888" s="25">
        <v>21</v>
      </c>
      <c r="P888" s="25" t="s">
        <v>1685</v>
      </c>
      <c r="Q888" s="25">
        <v>24</v>
      </c>
      <c r="R888" s="25" t="s">
        <v>1668</v>
      </c>
      <c r="S888" s="35">
        <v>21</v>
      </c>
      <c r="T888" s="26">
        <v>6290</v>
      </c>
      <c r="U888" s="26" t="s">
        <v>1769</v>
      </c>
      <c r="V888" s="26" t="s">
        <v>1770</v>
      </c>
      <c r="W888" s="26" t="s">
        <v>1771</v>
      </c>
      <c r="X888" s="27">
        <v>44816</v>
      </c>
      <c r="Y888" s="27">
        <v>45100</v>
      </c>
      <c r="Z888" s="27"/>
      <c r="AA888" s="27"/>
      <c r="AB888" s="62" t="s">
        <v>1781</v>
      </c>
      <c r="AC888" s="28" t="s">
        <v>628</v>
      </c>
      <c r="AD888" s="62" t="s">
        <v>90</v>
      </c>
      <c r="AE888" s="62"/>
      <c r="AF888" s="62" t="s">
        <v>90</v>
      </c>
      <c r="AG888" s="62"/>
      <c r="AH888" s="62" t="s">
        <v>90</v>
      </c>
      <c r="AI888" s="62" t="s">
        <v>90</v>
      </c>
      <c r="AJ888" s="62" t="s">
        <v>90</v>
      </c>
      <c r="AK888" s="62" t="s">
        <v>90</v>
      </c>
      <c r="AL888" s="62" t="s">
        <v>90</v>
      </c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29">
        <v>70.430000000000007</v>
      </c>
      <c r="AY888" s="29"/>
      <c r="AZ888" s="63"/>
      <c r="BA888" s="63"/>
      <c r="BB888" s="63"/>
      <c r="BC888" s="63"/>
      <c r="BD888" s="31">
        <f t="shared" si="191"/>
        <v>5141.3900000000003</v>
      </c>
      <c r="BE888" s="31"/>
      <c r="BF888" s="63"/>
      <c r="BG888" s="36">
        <v>1</v>
      </c>
      <c r="BH888" s="31">
        <f t="shared" si="196"/>
        <v>0</v>
      </c>
      <c r="BI888" s="31">
        <f t="shared" si="197"/>
        <v>0</v>
      </c>
      <c r="BJ888" s="33">
        <f t="shared" si="198"/>
        <v>0</v>
      </c>
      <c r="BK888" s="63"/>
      <c r="BL888" s="63"/>
      <c r="BM888" s="63"/>
      <c r="BN888" s="63"/>
      <c r="BO888" s="33">
        <f t="shared" si="199"/>
        <v>0</v>
      </c>
      <c r="BP888" s="105">
        <v>15</v>
      </c>
      <c r="BQ888" s="55">
        <v>21</v>
      </c>
      <c r="BR888" s="63"/>
      <c r="BS888" s="63"/>
      <c r="BT888" s="34">
        <f t="shared" si="200"/>
        <v>70.430000000000007</v>
      </c>
      <c r="BU888" s="34"/>
      <c r="BV888" s="34"/>
      <c r="BW888" s="34"/>
      <c r="BX888" s="34"/>
      <c r="BY888" s="63"/>
      <c r="BZ888" s="31">
        <f t="shared" si="201"/>
        <v>1056.45</v>
      </c>
      <c r="CA888" s="31">
        <f t="shared" si="186"/>
        <v>1479.0300000000002</v>
      </c>
    </row>
    <row r="889" spans="1:79" ht="56.25" x14ac:dyDescent="0.25">
      <c r="A889" s="17"/>
      <c r="B889" s="2">
        <v>873</v>
      </c>
      <c r="C889" s="18">
        <v>637</v>
      </c>
      <c r="D889" s="18">
        <v>746</v>
      </c>
      <c r="E889" s="19">
        <v>0.53125</v>
      </c>
      <c r="F889" s="19">
        <v>0.54166666666666663</v>
      </c>
      <c r="G889" s="18" t="s">
        <v>1782</v>
      </c>
      <c r="H889" s="18" t="s">
        <v>1783</v>
      </c>
      <c r="I889" s="20">
        <v>9</v>
      </c>
      <c r="J889" s="21" t="s">
        <v>380</v>
      </c>
      <c r="K889" s="22">
        <f>34+34+36+34</f>
        <v>138</v>
      </c>
      <c r="L889" s="23">
        <f t="shared" si="192"/>
        <v>1242</v>
      </c>
      <c r="M889" s="24" t="s">
        <v>1784</v>
      </c>
      <c r="N889" s="25" t="s">
        <v>1785</v>
      </c>
      <c r="O889" s="25">
        <v>9</v>
      </c>
      <c r="P889" s="25" t="s">
        <v>1786</v>
      </c>
      <c r="Q889" s="25">
        <v>9</v>
      </c>
      <c r="R889" s="25"/>
      <c r="S889" s="25"/>
      <c r="T889" s="26">
        <v>6655</v>
      </c>
      <c r="U889" s="26" t="s">
        <v>1736</v>
      </c>
      <c r="V889" s="26">
        <v>6640</v>
      </c>
      <c r="W889" s="26" t="s">
        <v>1735</v>
      </c>
      <c r="X889" s="66">
        <v>44816</v>
      </c>
      <c r="Y889" s="66">
        <v>45086</v>
      </c>
      <c r="Z889" s="66"/>
      <c r="AA889" s="66"/>
      <c r="AB889" s="62" t="s">
        <v>1787</v>
      </c>
      <c r="AC889" s="62"/>
      <c r="AD889" s="62"/>
      <c r="AE889" s="62"/>
      <c r="AF889" s="62"/>
      <c r="AG889" s="62" t="s">
        <v>90</v>
      </c>
      <c r="AH889" s="62"/>
      <c r="AI889" s="62" t="s">
        <v>90</v>
      </c>
      <c r="AJ889" s="62"/>
      <c r="AK889" s="62" t="s">
        <v>90</v>
      </c>
      <c r="AL889" s="62" t="s">
        <v>90</v>
      </c>
      <c r="AM889" s="62" t="s">
        <v>90</v>
      </c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29">
        <v>27</v>
      </c>
      <c r="AY889" s="29"/>
      <c r="AZ889" s="63"/>
      <c r="BA889" s="63"/>
      <c r="BB889" s="63"/>
      <c r="BC889" s="63"/>
      <c r="BD889" s="31">
        <f t="shared" si="191"/>
        <v>3726</v>
      </c>
      <c r="BE889" s="31"/>
      <c r="BF889" s="63"/>
      <c r="BG889" s="36">
        <v>1</v>
      </c>
      <c r="BH889" s="31">
        <f t="shared" si="196"/>
        <v>0</v>
      </c>
      <c r="BI889" s="31">
        <f t="shared" si="197"/>
        <v>0</v>
      </c>
      <c r="BJ889" s="33">
        <f t="shared" si="198"/>
        <v>0</v>
      </c>
      <c r="BK889" s="63"/>
      <c r="BL889" s="63"/>
      <c r="BM889" s="63"/>
      <c r="BN889" s="63"/>
      <c r="BO889" s="33">
        <f t="shared" si="199"/>
        <v>0</v>
      </c>
      <c r="BP889" s="63">
        <v>11</v>
      </c>
      <c r="BQ889" s="63">
        <v>17</v>
      </c>
      <c r="BR889" s="63"/>
      <c r="BS889" s="63"/>
      <c r="BT889" s="34">
        <f t="shared" si="200"/>
        <v>27</v>
      </c>
      <c r="BU889" s="34"/>
      <c r="BV889" s="34"/>
      <c r="BW889" s="34"/>
      <c r="BX889" s="34"/>
      <c r="BY889" s="63"/>
      <c r="BZ889" s="31">
        <f t="shared" si="201"/>
        <v>297</v>
      </c>
      <c r="CA889" s="31">
        <f t="shared" si="186"/>
        <v>459</v>
      </c>
    </row>
    <row r="890" spans="1:79" ht="114.75" x14ac:dyDescent="0.25">
      <c r="A890" s="17"/>
      <c r="B890" s="2">
        <v>874</v>
      </c>
      <c r="C890" s="18">
        <v>637</v>
      </c>
      <c r="D890" s="18">
        <v>742</v>
      </c>
      <c r="E890" s="59">
        <v>0.53125</v>
      </c>
      <c r="F890" s="59">
        <v>0.5444444444444444</v>
      </c>
      <c r="G890" s="18" t="s">
        <v>1788</v>
      </c>
      <c r="H890" s="18" t="s">
        <v>1768</v>
      </c>
      <c r="I890" s="20">
        <v>17</v>
      </c>
      <c r="J890" s="21" t="s">
        <v>122</v>
      </c>
      <c r="K890" s="22">
        <v>152</v>
      </c>
      <c r="L890" s="23">
        <f t="shared" si="192"/>
        <v>2584</v>
      </c>
      <c r="M890" s="24" t="s">
        <v>1667</v>
      </c>
      <c r="N890" s="25" t="s">
        <v>1669</v>
      </c>
      <c r="O890" s="25">
        <v>21</v>
      </c>
      <c r="P890" s="25" t="s">
        <v>1685</v>
      </c>
      <c r="Q890" s="25">
        <v>24</v>
      </c>
      <c r="R890" s="25" t="s">
        <v>1668</v>
      </c>
      <c r="S890" s="35">
        <v>21</v>
      </c>
      <c r="T890" s="26" t="s">
        <v>1770</v>
      </c>
      <c r="U890" s="26" t="s">
        <v>1771</v>
      </c>
      <c r="V890" s="26">
        <v>6290</v>
      </c>
      <c r="W890" s="26" t="s">
        <v>1769</v>
      </c>
      <c r="X890" s="27">
        <v>44816</v>
      </c>
      <c r="Y890" s="27">
        <v>45100</v>
      </c>
      <c r="Z890" s="27"/>
      <c r="AA890" s="27"/>
      <c r="AB890" s="26" t="s">
        <v>1772</v>
      </c>
      <c r="AC890" s="28" t="s">
        <v>628</v>
      </c>
      <c r="AD890" s="62" t="s">
        <v>90</v>
      </c>
      <c r="AE890" s="62"/>
      <c r="AF890" s="62" t="s">
        <v>90</v>
      </c>
      <c r="AG890" s="62"/>
      <c r="AH890" s="62" t="s">
        <v>90</v>
      </c>
      <c r="AI890" s="62" t="s">
        <v>90</v>
      </c>
      <c r="AJ890" s="62" t="s">
        <v>90</v>
      </c>
      <c r="AK890" s="62" t="s">
        <v>90</v>
      </c>
      <c r="AL890" s="62" t="s">
        <v>90</v>
      </c>
      <c r="AM890" s="62" t="s">
        <v>90</v>
      </c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29">
        <v>70.430000000000007</v>
      </c>
      <c r="AY890" s="29"/>
      <c r="AZ890" s="63"/>
      <c r="BA890" s="63"/>
      <c r="BB890" s="63"/>
      <c r="BC890" s="63"/>
      <c r="BD890" s="31">
        <f t="shared" si="191"/>
        <v>10705.36</v>
      </c>
      <c r="BE890" s="31"/>
      <c r="BF890" s="63"/>
      <c r="BG890" s="36">
        <v>1</v>
      </c>
      <c r="BH890" s="31">
        <f t="shared" si="196"/>
        <v>0</v>
      </c>
      <c r="BI890" s="31">
        <f t="shared" si="197"/>
        <v>0</v>
      </c>
      <c r="BJ890" s="33">
        <f t="shared" si="198"/>
        <v>0</v>
      </c>
      <c r="BK890" s="63"/>
      <c r="BL890" s="63"/>
      <c r="BM890" s="63"/>
      <c r="BN890" s="63"/>
      <c r="BO890" s="33">
        <f t="shared" si="199"/>
        <v>0</v>
      </c>
      <c r="BP890" s="105">
        <v>0</v>
      </c>
      <c r="BQ890" s="105">
        <v>0</v>
      </c>
      <c r="BR890" s="63"/>
      <c r="BS890" s="63"/>
      <c r="BT890" s="34">
        <f t="shared" si="200"/>
        <v>70.430000000000007</v>
      </c>
      <c r="BU890" s="34"/>
      <c r="BV890" s="34"/>
      <c r="BW890" s="34"/>
      <c r="BX890" s="34"/>
      <c r="BY890" s="63"/>
      <c r="BZ890" s="31">
        <f t="shared" si="201"/>
        <v>0</v>
      </c>
      <c r="CA890" s="31">
        <f t="shared" si="186"/>
        <v>0</v>
      </c>
    </row>
    <row r="891" spans="1:79" ht="102" x14ac:dyDescent="0.25">
      <c r="A891" s="17"/>
      <c r="B891" s="2">
        <v>875</v>
      </c>
      <c r="C891" s="18">
        <v>637</v>
      </c>
      <c r="D891" s="58">
        <v>748</v>
      </c>
      <c r="E891" s="59">
        <v>0.53125</v>
      </c>
      <c r="F891" s="59">
        <v>0.5444444444444444</v>
      </c>
      <c r="G891" s="18" t="s">
        <v>1788</v>
      </c>
      <c r="H891" s="18" t="s">
        <v>1774</v>
      </c>
      <c r="I891" s="20">
        <v>17</v>
      </c>
      <c r="J891" s="21" t="s">
        <v>122</v>
      </c>
      <c r="K891" s="22">
        <v>67</v>
      </c>
      <c r="L891" s="23">
        <f t="shared" si="192"/>
        <v>1139</v>
      </c>
      <c r="M891" s="24" t="s">
        <v>1667</v>
      </c>
      <c r="N891" s="25" t="s">
        <v>1669</v>
      </c>
      <c r="O891" s="25">
        <v>21</v>
      </c>
      <c r="P891" s="25" t="s">
        <v>1685</v>
      </c>
      <c r="Q891" s="25">
        <v>24</v>
      </c>
      <c r="R891" s="25" t="s">
        <v>1668</v>
      </c>
      <c r="S891" s="35">
        <v>21</v>
      </c>
      <c r="T891" s="26" t="s">
        <v>1770</v>
      </c>
      <c r="U891" s="26" t="s">
        <v>1771</v>
      </c>
      <c r="V891" s="26">
        <v>6290</v>
      </c>
      <c r="W891" s="26" t="s">
        <v>1769</v>
      </c>
      <c r="X891" s="27">
        <v>44562</v>
      </c>
      <c r="Y891" s="27">
        <v>44815</v>
      </c>
      <c r="Z891" s="27">
        <v>45101</v>
      </c>
      <c r="AA891" s="27">
        <v>45169</v>
      </c>
      <c r="AB891" s="62" t="s">
        <v>1775</v>
      </c>
      <c r="AC891" s="28" t="s">
        <v>628</v>
      </c>
      <c r="AD891" s="62"/>
      <c r="AE891" s="62" t="s">
        <v>90</v>
      </c>
      <c r="AF891" s="62" t="s">
        <v>90</v>
      </c>
      <c r="AG891" s="62"/>
      <c r="AH891" s="62" t="s">
        <v>90</v>
      </c>
      <c r="AI891" s="62" t="s">
        <v>90</v>
      </c>
      <c r="AJ891" s="62" t="s">
        <v>90</v>
      </c>
      <c r="AK891" s="62" t="s">
        <v>90</v>
      </c>
      <c r="AL891" s="62" t="s">
        <v>90</v>
      </c>
      <c r="AM891" s="62" t="s">
        <v>90</v>
      </c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29">
        <v>70.430000000000007</v>
      </c>
      <c r="AY891" s="29"/>
      <c r="AZ891" s="63"/>
      <c r="BA891" s="63"/>
      <c r="BB891" s="63"/>
      <c r="BC891" s="63"/>
      <c r="BD891" s="31">
        <f t="shared" si="191"/>
        <v>4718.8100000000004</v>
      </c>
      <c r="BE891" s="31"/>
      <c r="BF891" s="63"/>
      <c r="BG891" s="36">
        <v>1</v>
      </c>
      <c r="BH891" s="31">
        <f t="shared" si="196"/>
        <v>0</v>
      </c>
      <c r="BI891" s="31">
        <f t="shared" si="197"/>
        <v>0</v>
      </c>
      <c r="BJ891" s="33">
        <f t="shared" si="198"/>
        <v>0</v>
      </c>
      <c r="BK891" s="63"/>
      <c r="BL891" s="63"/>
      <c r="BM891" s="63"/>
      <c r="BN891" s="63"/>
      <c r="BO891" s="33">
        <f t="shared" si="199"/>
        <v>0</v>
      </c>
      <c r="BP891" s="105">
        <v>9</v>
      </c>
      <c r="BQ891" s="30">
        <v>0</v>
      </c>
      <c r="BR891" s="63"/>
      <c r="BS891" s="63"/>
      <c r="BT891" s="34">
        <f t="shared" si="200"/>
        <v>70.430000000000007</v>
      </c>
      <c r="BU891" s="34"/>
      <c r="BV891" s="34"/>
      <c r="BW891" s="34"/>
      <c r="BX891" s="34"/>
      <c r="BY891" s="63"/>
      <c r="BZ891" s="31">
        <f t="shared" si="201"/>
        <v>633.87000000000012</v>
      </c>
      <c r="CA891" s="31">
        <f t="shared" si="186"/>
        <v>0</v>
      </c>
    </row>
    <row r="892" spans="1:79" ht="51" x14ac:dyDescent="0.25">
      <c r="A892" s="17"/>
      <c r="B892" s="2">
        <v>876</v>
      </c>
      <c r="C892" s="18">
        <v>637</v>
      </c>
      <c r="D892" s="18">
        <v>738</v>
      </c>
      <c r="E892" s="19">
        <v>0.55902777777777779</v>
      </c>
      <c r="F892" s="19">
        <v>0.56944444444444442</v>
      </c>
      <c r="G892" s="18" t="s">
        <v>1789</v>
      </c>
      <c r="H892" s="18" t="s">
        <v>273</v>
      </c>
      <c r="I892" s="20">
        <v>9</v>
      </c>
      <c r="J892" s="21" t="s">
        <v>122</v>
      </c>
      <c r="K892" s="22">
        <v>174</v>
      </c>
      <c r="L892" s="23">
        <f t="shared" si="192"/>
        <v>1566</v>
      </c>
      <c r="M892" s="24" t="s">
        <v>212</v>
      </c>
      <c r="N892" s="25" t="s">
        <v>213</v>
      </c>
      <c r="O892" s="25">
        <v>23</v>
      </c>
      <c r="P892" s="25" t="s">
        <v>228</v>
      </c>
      <c r="Q892" s="25">
        <v>21</v>
      </c>
      <c r="R892" s="25" t="s">
        <v>214</v>
      </c>
      <c r="S892" s="35">
        <v>23</v>
      </c>
      <c r="T892" s="26">
        <v>6655</v>
      </c>
      <c r="U892" s="26" t="s">
        <v>1736</v>
      </c>
      <c r="V892" s="26">
        <v>6640</v>
      </c>
      <c r="W892" s="26" t="s">
        <v>1735</v>
      </c>
      <c r="X892" s="66">
        <v>44816</v>
      </c>
      <c r="Y892" s="66">
        <v>45086</v>
      </c>
      <c r="Z892" s="66"/>
      <c r="AA892" s="66"/>
      <c r="AB892" s="26" t="s">
        <v>282</v>
      </c>
      <c r="AC892" s="26"/>
      <c r="AD892" s="62"/>
      <c r="AE892" s="62"/>
      <c r="AF892" s="62"/>
      <c r="AG892" s="28" t="s">
        <v>90</v>
      </c>
      <c r="AH892" s="28" t="s">
        <v>90</v>
      </c>
      <c r="AI892" s="28" t="s">
        <v>90</v>
      </c>
      <c r="AJ892" s="28" t="s">
        <v>90</v>
      </c>
      <c r="AK892" s="28" t="s">
        <v>90</v>
      </c>
      <c r="AL892" s="28" t="s">
        <v>90</v>
      </c>
      <c r="AM892" s="62"/>
      <c r="AN892" s="62"/>
      <c r="AO892" s="62"/>
      <c r="AP892" s="62"/>
      <c r="AQ892" s="62"/>
      <c r="AR892" s="28"/>
      <c r="AS892" s="28"/>
      <c r="AT892" s="28"/>
      <c r="AU892" s="28"/>
      <c r="AV892" s="28"/>
      <c r="AW892" s="62"/>
      <c r="AX892" s="29">
        <v>16.2</v>
      </c>
      <c r="AY892" s="29"/>
      <c r="AZ892" s="63"/>
      <c r="BA892" s="63"/>
      <c r="BB892" s="63"/>
      <c r="BC892" s="63"/>
      <c r="BD892" s="31">
        <f t="shared" si="191"/>
        <v>2818.7999999999997</v>
      </c>
      <c r="BE892" s="31"/>
      <c r="BF892" s="63"/>
      <c r="BG892" s="36">
        <v>1</v>
      </c>
      <c r="BH892" s="31">
        <f t="shared" si="196"/>
        <v>1.8000000000000007</v>
      </c>
      <c r="BI892" s="31">
        <f t="shared" si="197"/>
        <v>0</v>
      </c>
      <c r="BJ892" s="31">
        <f t="shared" si="198"/>
        <v>313.2000000000001</v>
      </c>
      <c r="BK892" s="63"/>
      <c r="BL892" s="63"/>
      <c r="BM892" s="63"/>
      <c r="BN892" s="63"/>
      <c r="BO892" s="33">
        <f t="shared" si="199"/>
        <v>0</v>
      </c>
      <c r="BP892" s="30">
        <v>15</v>
      </c>
      <c r="BQ892" s="30">
        <v>20</v>
      </c>
      <c r="BR892" s="63"/>
      <c r="BS892" s="63"/>
      <c r="BT892" s="34">
        <f t="shared" si="200"/>
        <v>18</v>
      </c>
      <c r="BU892" s="34"/>
      <c r="BV892" s="34"/>
      <c r="BW892" s="34"/>
      <c r="BX892" s="34"/>
      <c r="BY892" s="63"/>
      <c r="BZ892" s="31">
        <f t="shared" si="201"/>
        <v>270</v>
      </c>
      <c r="CA892" s="31">
        <f t="shared" si="186"/>
        <v>360</v>
      </c>
    </row>
    <row r="893" spans="1:79" ht="51" x14ac:dyDescent="0.25">
      <c r="A893" s="17"/>
      <c r="B893" s="2">
        <v>877</v>
      </c>
      <c r="C893" s="18">
        <v>637</v>
      </c>
      <c r="D893" s="18">
        <v>748</v>
      </c>
      <c r="E893" s="19">
        <v>0.72916666666666663</v>
      </c>
      <c r="F893" s="19">
        <v>0.73958333333333337</v>
      </c>
      <c r="G893" s="18" t="s">
        <v>1789</v>
      </c>
      <c r="H893" s="18" t="s">
        <v>273</v>
      </c>
      <c r="I893" s="20">
        <v>9</v>
      </c>
      <c r="J893" s="21" t="s">
        <v>122</v>
      </c>
      <c r="K893" s="22">
        <v>174</v>
      </c>
      <c r="L893" s="23">
        <f t="shared" si="192"/>
        <v>1566</v>
      </c>
      <c r="M893" s="24" t="s">
        <v>212</v>
      </c>
      <c r="N893" s="25" t="s">
        <v>213</v>
      </c>
      <c r="O893" s="25">
        <v>23</v>
      </c>
      <c r="P893" s="25" t="s">
        <v>1725</v>
      </c>
      <c r="Q893" s="25">
        <v>23</v>
      </c>
      <c r="R893" s="25" t="s">
        <v>228</v>
      </c>
      <c r="S893" s="35">
        <v>21</v>
      </c>
      <c r="T893" s="26">
        <v>6655</v>
      </c>
      <c r="U893" s="26" t="s">
        <v>1736</v>
      </c>
      <c r="V893" s="26">
        <v>6640</v>
      </c>
      <c r="W893" s="26" t="s">
        <v>1735</v>
      </c>
      <c r="X893" s="66">
        <v>44816</v>
      </c>
      <c r="Y893" s="66">
        <v>45086</v>
      </c>
      <c r="Z893" s="66"/>
      <c r="AA893" s="66"/>
      <c r="AB893" s="26" t="s">
        <v>282</v>
      </c>
      <c r="AC893" s="26"/>
      <c r="AD893" s="62"/>
      <c r="AE893" s="62"/>
      <c r="AF893" s="62"/>
      <c r="AG893" s="28" t="s">
        <v>90</v>
      </c>
      <c r="AH893" s="28" t="s">
        <v>90</v>
      </c>
      <c r="AI893" s="28" t="s">
        <v>90</v>
      </c>
      <c r="AJ893" s="28" t="s">
        <v>90</v>
      </c>
      <c r="AK893" s="28" t="s">
        <v>90</v>
      </c>
      <c r="AL893" s="28" t="s">
        <v>90</v>
      </c>
      <c r="AM893" s="62"/>
      <c r="AN893" s="62"/>
      <c r="AO893" s="62"/>
      <c r="AP893" s="62"/>
      <c r="AQ893" s="62"/>
      <c r="AR893" s="28"/>
      <c r="AS893" s="28"/>
      <c r="AT893" s="28"/>
      <c r="AU893" s="28"/>
      <c r="AV893" s="28"/>
      <c r="AW893" s="62"/>
      <c r="AX893" s="29">
        <v>53.22</v>
      </c>
      <c r="AY893" s="29"/>
      <c r="AZ893" s="63"/>
      <c r="BA893" s="63"/>
      <c r="BB893" s="63"/>
      <c r="BC893" s="63"/>
      <c r="BD893" s="31">
        <f t="shared" si="191"/>
        <v>9260.2800000000007</v>
      </c>
      <c r="BE893" s="31"/>
      <c r="BF893" s="63"/>
      <c r="BG893" s="36">
        <v>1</v>
      </c>
      <c r="BH893" s="31">
        <f t="shared" si="196"/>
        <v>0</v>
      </c>
      <c r="BI893" s="31">
        <f t="shared" si="197"/>
        <v>0</v>
      </c>
      <c r="BJ893" s="33">
        <f t="shared" si="198"/>
        <v>0</v>
      </c>
      <c r="BK893" s="63"/>
      <c r="BL893" s="63"/>
      <c r="BM893" s="63"/>
      <c r="BN893" s="63"/>
      <c r="BO893" s="33">
        <f t="shared" si="199"/>
        <v>0</v>
      </c>
      <c r="BP893" s="30">
        <v>15</v>
      </c>
      <c r="BQ893" s="30">
        <v>20</v>
      </c>
      <c r="BR893" s="63"/>
      <c r="BS893" s="63"/>
      <c r="BT893" s="34">
        <f t="shared" si="200"/>
        <v>53.22</v>
      </c>
      <c r="BU893" s="34"/>
      <c r="BV893" s="34"/>
      <c r="BW893" s="34"/>
      <c r="BX893" s="34"/>
      <c r="BY893" s="63"/>
      <c r="BZ893" s="31">
        <f t="shared" si="201"/>
        <v>798.3</v>
      </c>
      <c r="CA893" s="31">
        <f t="shared" si="186"/>
        <v>1064.4000000000001</v>
      </c>
    </row>
    <row r="894" spans="1:79" ht="51" x14ac:dyDescent="0.25">
      <c r="A894" s="17"/>
      <c r="B894" s="2">
        <v>878</v>
      </c>
      <c r="C894" s="18">
        <v>637</v>
      </c>
      <c r="D894" s="18">
        <v>751</v>
      </c>
      <c r="E894" s="19">
        <v>0.7402777777777777</v>
      </c>
      <c r="F894" s="19">
        <v>0.75</v>
      </c>
      <c r="G894" s="18" t="s">
        <v>1734</v>
      </c>
      <c r="H894" s="18" t="s">
        <v>273</v>
      </c>
      <c r="I894" s="20">
        <v>9</v>
      </c>
      <c r="J894" s="21" t="s">
        <v>122</v>
      </c>
      <c r="K894" s="22">
        <v>174</v>
      </c>
      <c r="L894" s="23">
        <f t="shared" si="192"/>
        <v>1566</v>
      </c>
      <c r="M894" s="24" t="s">
        <v>212</v>
      </c>
      <c r="N894" s="25" t="s">
        <v>213</v>
      </c>
      <c r="O894" s="25">
        <v>23</v>
      </c>
      <c r="P894" s="25" t="s">
        <v>228</v>
      </c>
      <c r="Q894" s="25">
        <v>21</v>
      </c>
      <c r="R894" s="25"/>
      <c r="S894" s="25"/>
      <c r="T894" s="26">
        <v>6640</v>
      </c>
      <c r="U894" s="26" t="s">
        <v>1735</v>
      </c>
      <c r="V894" s="26">
        <v>6655</v>
      </c>
      <c r="W894" s="26" t="s">
        <v>1736</v>
      </c>
      <c r="X894" s="66">
        <v>44816</v>
      </c>
      <c r="Y894" s="66">
        <v>45086</v>
      </c>
      <c r="Z894" s="66"/>
      <c r="AA894" s="66"/>
      <c r="AB894" s="26" t="s">
        <v>282</v>
      </c>
      <c r="AC894" s="26"/>
      <c r="AD894" s="62"/>
      <c r="AE894" s="62"/>
      <c r="AF894" s="62"/>
      <c r="AG894" s="28" t="s">
        <v>90</v>
      </c>
      <c r="AH894" s="28" t="s">
        <v>90</v>
      </c>
      <c r="AI894" s="28" t="s">
        <v>90</v>
      </c>
      <c r="AJ894" s="28" t="s">
        <v>90</v>
      </c>
      <c r="AK894" s="28" t="s">
        <v>90</v>
      </c>
      <c r="AL894" s="28" t="s">
        <v>90</v>
      </c>
      <c r="AM894" s="62"/>
      <c r="AN894" s="62"/>
      <c r="AO894" s="62"/>
      <c r="AP894" s="62"/>
      <c r="AQ894" s="62"/>
      <c r="AR894" s="28"/>
      <c r="AS894" s="28"/>
      <c r="AT894" s="28"/>
      <c r="AU894" s="28"/>
      <c r="AV894" s="28"/>
      <c r="AW894" s="62"/>
      <c r="AX894" s="29">
        <v>16.739999999999998</v>
      </c>
      <c r="AY894" s="29"/>
      <c r="AZ894" s="63"/>
      <c r="BA894" s="63"/>
      <c r="BB894" s="63"/>
      <c r="BC894" s="63"/>
      <c r="BD894" s="31">
        <f t="shared" si="191"/>
        <v>2912.7599999999998</v>
      </c>
      <c r="BE894" s="31"/>
      <c r="BF894" s="63"/>
      <c r="BG894" s="36">
        <v>1</v>
      </c>
      <c r="BH894" s="31">
        <f t="shared" si="196"/>
        <v>1.2600000000000016</v>
      </c>
      <c r="BI894" s="31">
        <f t="shared" si="197"/>
        <v>0</v>
      </c>
      <c r="BJ894" s="31">
        <f t="shared" si="198"/>
        <v>219.24000000000026</v>
      </c>
      <c r="BK894" s="63"/>
      <c r="BL894" s="63"/>
      <c r="BM894" s="63"/>
      <c r="BN894" s="63"/>
      <c r="BO894" s="33">
        <f t="shared" si="199"/>
        <v>0</v>
      </c>
      <c r="BP894" s="30">
        <v>15</v>
      </c>
      <c r="BQ894" s="30">
        <v>20</v>
      </c>
      <c r="BR894" s="63"/>
      <c r="BS894" s="63"/>
      <c r="BT894" s="34">
        <f t="shared" si="200"/>
        <v>18</v>
      </c>
      <c r="BU894" s="34"/>
      <c r="BV894" s="34"/>
      <c r="BW894" s="34"/>
      <c r="BX894" s="34"/>
      <c r="BY894" s="63"/>
      <c r="BZ894" s="31">
        <f t="shared" si="201"/>
        <v>270</v>
      </c>
      <c r="CA894" s="31">
        <f t="shared" si="186"/>
        <v>360</v>
      </c>
    </row>
    <row r="895" spans="1:79" ht="140.25" x14ac:dyDescent="0.25">
      <c r="A895" s="35"/>
      <c r="B895" s="2">
        <v>879</v>
      </c>
      <c r="C895" s="18">
        <v>637</v>
      </c>
      <c r="D895" s="18">
        <v>645</v>
      </c>
      <c r="E895" s="19">
        <v>0.75347222222222221</v>
      </c>
      <c r="F895" s="19">
        <v>0.76666666666666661</v>
      </c>
      <c r="G895" s="18" t="s">
        <v>1790</v>
      </c>
      <c r="H895" s="18" t="s">
        <v>1791</v>
      </c>
      <c r="I895" s="20">
        <v>17</v>
      </c>
      <c r="J895" s="21" t="s">
        <v>122</v>
      </c>
      <c r="K895" s="22">
        <v>73</v>
      </c>
      <c r="L895" s="23">
        <f t="shared" si="192"/>
        <v>1241</v>
      </c>
      <c r="M895" s="24" t="s">
        <v>1667</v>
      </c>
      <c r="N895" s="25" t="s">
        <v>1669</v>
      </c>
      <c r="O895" s="25">
        <v>21</v>
      </c>
      <c r="P895" s="25" t="s">
        <v>1685</v>
      </c>
      <c r="Q895" s="25">
        <v>24</v>
      </c>
      <c r="R895" s="25" t="s">
        <v>1668</v>
      </c>
      <c r="S895" s="35">
        <v>21</v>
      </c>
      <c r="T895" s="26" t="s">
        <v>1770</v>
      </c>
      <c r="U895" s="26" t="s">
        <v>1771</v>
      </c>
      <c r="V895" s="26">
        <v>6290</v>
      </c>
      <c r="W895" s="26" t="s">
        <v>1769</v>
      </c>
      <c r="X895" s="66">
        <v>44805</v>
      </c>
      <c r="Y895" s="66">
        <v>45169</v>
      </c>
      <c r="Z895" s="66"/>
      <c r="AA895" s="66"/>
      <c r="AB895" s="26" t="s">
        <v>1792</v>
      </c>
      <c r="AC895" s="28" t="s">
        <v>628</v>
      </c>
      <c r="AD895" s="62" t="s">
        <v>90</v>
      </c>
      <c r="AE895" s="62" t="s">
        <v>90</v>
      </c>
      <c r="AF895" s="62" t="s">
        <v>90</v>
      </c>
      <c r="AG895" s="62"/>
      <c r="AH895" s="62" t="s">
        <v>90</v>
      </c>
      <c r="AI895" s="62" t="s">
        <v>90</v>
      </c>
      <c r="AJ895" s="62" t="s">
        <v>90</v>
      </c>
      <c r="AK895" s="62" t="s">
        <v>90</v>
      </c>
      <c r="AL895" s="62" t="s">
        <v>90</v>
      </c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29">
        <v>70.430000000000007</v>
      </c>
      <c r="AY895" s="29"/>
      <c r="AZ895" s="63"/>
      <c r="BA895" s="63"/>
      <c r="BB895" s="63"/>
      <c r="BC895" s="63"/>
      <c r="BD895" s="31">
        <f t="shared" si="191"/>
        <v>5141.3900000000003</v>
      </c>
      <c r="BE895" s="31"/>
      <c r="BF895" s="63"/>
      <c r="BG895" s="36">
        <v>1</v>
      </c>
      <c r="BH895" s="31">
        <f t="shared" si="196"/>
        <v>0</v>
      </c>
      <c r="BI895" s="31">
        <f t="shared" si="197"/>
        <v>0</v>
      </c>
      <c r="BJ895" s="33">
        <f t="shared" si="198"/>
        <v>0</v>
      </c>
      <c r="BK895" s="63"/>
      <c r="BL895" s="63"/>
      <c r="BM895" s="63"/>
      <c r="BN895" s="63"/>
      <c r="BO895" s="33">
        <f t="shared" si="199"/>
        <v>0</v>
      </c>
      <c r="BP895" s="105">
        <v>15</v>
      </c>
      <c r="BQ895" s="43">
        <v>21</v>
      </c>
      <c r="BR895" s="63"/>
      <c r="BS895" s="63"/>
      <c r="BT895" s="34">
        <f t="shared" si="200"/>
        <v>70.430000000000007</v>
      </c>
      <c r="BU895" s="34"/>
      <c r="BV895" s="34"/>
      <c r="BW895" s="34"/>
      <c r="BX895" s="34"/>
      <c r="BY895" s="63"/>
      <c r="BZ895" s="31">
        <f t="shared" si="201"/>
        <v>1056.45</v>
      </c>
      <c r="CA895" s="31">
        <f t="shared" si="186"/>
        <v>1479.0300000000002</v>
      </c>
    </row>
    <row r="896" spans="1:79" ht="90" x14ac:dyDescent="0.25">
      <c r="A896" s="17" t="s">
        <v>206</v>
      </c>
      <c r="B896" s="2">
        <v>880</v>
      </c>
      <c r="C896" s="18">
        <v>640</v>
      </c>
      <c r="D896" s="18">
        <v>630</v>
      </c>
      <c r="E896" s="19">
        <v>0.58333333333333337</v>
      </c>
      <c r="F896" s="19">
        <v>0.60763888888888895</v>
      </c>
      <c r="G896" s="18" t="s">
        <v>449</v>
      </c>
      <c r="H896" s="18" t="s">
        <v>684</v>
      </c>
      <c r="I896" s="57">
        <v>18.5</v>
      </c>
      <c r="J896" s="21" t="s">
        <v>463</v>
      </c>
      <c r="K896" s="22">
        <v>36</v>
      </c>
      <c r="L896" s="23">
        <f t="shared" si="192"/>
        <v>666</v>
      </c>
      <c r="M896" s="24" t="s">
        <v>1667</v>
      </c>
      <c r="N896" s="25" t="s">
        <v>1685</v>
      </c>
      <c r="O896" s="25">
        <v>24</v>
      </c>
      <c r="P896" s="25" t="s">
        <v>1669</v>
      </c>
      <c r="Q896" s="25">
        <v>21</v>
      </c>
      <c r="R896" s="25" t="s">
        <v>1668</v>
      </c>
      <c r="S896" s="35">
        <v>21</v>
      </c>
      <c r="T896" s="26">
        <v>6300</v>
      </c>
      <c r="U896" s="26" t="s">
        <v>250</v>
      </c>
      <c r="V896" s="26">
        <v>6328</v>
      </c>
      <c r="W896" s="26" t="s">
        <v>453</v>
      </c>
      <c r="X896" s="66">
        <v>44816</v>
      </c>
      <c r="Y896" s="66">
        <v>45086</v>
      </c>
      <c r="Z896" s="66"/>
      <c r="AA896" s="66"/>
      <c r="AB896" s="28" t="s">
        <v>687</v>
      </c>
      <c r="AC896" s="28"/>
      <c r="AD896" s="62"/>
      <c r="AE896" s="62"/>
      <c r="AF896" s="62"/>
      <c r="AG896" s="28" t="s">
        <v>90</v>
      </c>
      <c r="AH896" s="28"/>
      <c r="AI896" s="28"/>
      <c r="AJ896" s="28"/>
      <c r="AK896" s="28"/>
      <c r="AL896" s="28" t="s">
        <v>90</v>
      </c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29">
        <v>31.5</v>
      </c>
      <c r="AY896" s="29"/>
      <c r="AZ896" s="63"/>
      <c r="BA896" s="63"/>
      <c r="BB896" s="63"/>
      <c r="BC896" s="63"/>
      <c r="BD896" s="31">
        <f t="shared" si="191"/>
        <v>1134</v>
      </c>
      <c r="BE896" s="31"/>
      <c r="BF896" s="63"/>
      <c r="BG896" s="36">
        <v>1</v>
      </c>
      <c r="BH896" s="31">
        <f t="shared" si="196"/>
        <v>5.5</v>
      </c>
      <c r="BI896" s="31">
        <f t="shared" si="197"/>
        <v>0</v>
      </c>
      <c r="BJ896" s="31">
        <f t="shared" si="198"/>
        <v>198</v>
      </c>
      <c r="BK896" s="63"/>
      <c r="BL896" s="63"/>
      <c r="BM896" s="63"/>
      <c r="BN896" s="63"/>
      <c r="BO896" s="33">
        <f t="shared" si="199"/>
        <v>0</v>
      </c>
      <c r="BP896" s="30">
        <v>3</v>
      </c>
      <c r="BQ896" s="30">
        <v>4</v>
      </c>
      <c r="BR896" s="63"/>
      <c r="BS896" s="63"/>
      <c r="BT896" s="34">
        <f t="shared" si="200"/>
        <v>37</v>
      </c>
      <c r="BU896" s="34"/>
      <c r="BV896" s="34"/>
      <c r="BW896" s="34"/>
      <c r="BX896" s="34"/>
      <c r="BY896" s="63"/>
      <c r="BZ896" s="31">
        <f t="shared" si="201"/>
        <v>111</v>
      </c>
      <c r="CA896" s="31">
        <f t="shared" si="186"/>
        <v>148</v>
      </c>
    </row>
    <row r="897" spans="1:79" ht="90" x14ac:dyDescent="0.25">
      <c r="A897" s="35"/>
      <c r="B897" s="2">
        <v>881</v>
      </c>
      <c r="C897" s="18">
        <v>641</v>
      </c>
      <c r="D897" s="18">
        <v>385</v>
      </c>
      <c r="E897" s="19">
        <v>0.28125</v>
      </c>
      <c r="F897" s="19">
        <v>0.2951388888888889</v>
      </c>
      <c r="G897" s="18" t="s">
        <v>1793</v>
      </c>
      <c r="H897" s="18" t="s">
        <v>429</v>
      </c>
      <c r="I897" s="20">
        <v>7.5</v>
      </c>
      <c r="J897" s="21" t="s">
        <v>380</v>
      </c>
      <c r="K897" s="22">
        <v>34</v>
      </c>
      <c r="L897" s="23">
        <f t="shared" si="192"/>
        <v>255</v>
      </c>
      <c r="M897" s="24" t="s">
        <v>1667</v>
      </c>
      <c r="N897" s="25" t="s">
        <v>1794</v>
      </c>
      <c r="O897" s="25">
        <v>9</v>
      </c>
      <c r="P897" s="25" t="s">
        <v>1669</v>
      </c>
      <c r="Q897" s="25">
        <v>21</v>
      </c>
      <c r="R897" s="25" t="s">
        <v>1685</v>
      </c>
      <c r="S897" s="35">
        <v>24</v>
      </c>
      <c r="T897" s="26">
        <v>6302</v>
      </c>
      <c r="U897" s="26" t="s">
        <v>1795</v>
      </c>
      <c r="V897" s="26">
        <v>6300</v>
      </c>
      <c r="W897" s="26" t="s">
        <v>250</v>
      </c>
      <c r="X897" s="66">
        <v>44816</v>
      </c>
      <c r="Y897" s="66">
        <v>45086</v>
      </c>
      <c r="Z897" s="66"/>
      <c r="AA897" s="66"/>
      <c r="AB897" s="26" t="s">
        <v>382</v>
      </c>
      <c r="AC897" s="26"/>
      <c r="AD897" s="62"/>
      <c r="AE897" s="62"/>
      <c r="AF897" s="62"/>
      <c r="AG897" s="28" t="s">
        <v>90</v>
      </c>
      <c r="AH897" s="28"/>
      <c r="AI897" s="28"/>
      <c r="AJ897" s="28"/>
      <c r="AK897" s="28"/>
      <c r="AL897" s="28"/>
      <c r="AM897" s="28" t="s">
        <v>90</v>
      </c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29">
        <v>15</v>
      </c>
      <c r="AY897" s="29"/>
      <c r="AZ897" s="63"/>
      <c r="BA897" s="63"/>
      <c r="BB897" s="63"/>
      <c r="BC897" s="63"/>
      <c r="BD897" s="31">
        <f t="shared" si="191"/>
        <v>510</v>
      </c>
      <c r="BE897" s="31"/>
      <c r="BF897" s="63"/>
      <c r="BG897" s="36">
        <v>1</v>
      </c>
      <c r="BH897" s="31">
        <f t="shared" si="196"/>
        <v>0</v>
      </c>
      <c r="BI897" s="31">
        <f t="shared" si="197"/>
        <v>0</v>
      </c>
      <c r="BJ897" s="33">
        <f t="shared" si="198"/>
        <v>0</v>
      </c>
      <c r="BK897" s="63"/>
      <c r="BL897" s="63"/>
      <c r="BM897" s="63"/>
      <c r="BN897" s="31">
        <f>IF((AX897+AY897+AZ897)&lt;20,(20-(AX897+AY897+AZ897)),0)</f>
        <v>5</v>
      </c>
      <c r="BO897" s="33">
        <f t="shared" si="199"/>
        <v>170</v>
      </c>
      <c r="BP897" s="30">
        <v>2</v>
      </c>
      <c r="BQ897" s="30">
        <v>5</v>
      </c>
      <c r="BR897" s="63"/>
      <c r="BS897" s="63"/>
      <c r="BT897" s="34">
        <f t="shared" si="200"/>
        <v>20</v>
      </c>
      <c r="BU897" s="34"/>
      <c r="BV897" s="34"/>
      <c r="BW897" s="34"/>
      <c r="BX897" s="34"/>
      <c r="BY897" s="63"/>
      <c r="BZ897" s="31">
        <f t="shared" si="201"/>
        <v>40</v>
      </c>
      <c r="CA897" s="31">
        <f t="shared" si="186"/>
        <v>100</v>
      </c>
    </row>
    <row r="898" spans="1:79" ht="90" x14ac:dyDescent="0.25">
      <c r="A898" s="35"/>
      <c r="B898" s="2">
        <v>882</v>
      </c>
      <c r="C898" s="18">
        <v>641</v>
      </c>
      <c r="D898" s="18">
        <v>382</v>
      </c>
      <c r="E898" s="19">
        <v>0.53125</v>
      </c>
      <c r="F898" s="19">
        <v>0.54166666666666663</v>
      </c>
      <c r="G898" s="18" t="s">
        <v>1796</v>
      </c>
      <c r="H898" s="18" t="s">
        <v>306</v>
      </c>
      <c r="I898" s="20">
        <v>7</v>
      </c>
      <c r="J898" s="21" t="s">
        <v>380</v>
      </c>
      <c r="K898" s="22">
        <v>208</v>
      </c>
      <c r="L898" s="23">
        <f t="shared" si="192"/>
        <v>1456</v>
      </c>
      <c r="M898" s="24" t="s">
        <v>1667</v>
      </c>
      <c r="N898" s="25" t="s">
        <v>1794</v>
      </c>
      <c r="O898" s="25">
        <v>9</v>
      </c>
      <c r="P898" s="25" t="s">
        <v>1669</v>
      </c>
      <c r="Q898" s="25">
        <v>21</v>
      </c>
      <c r="R898" s="25" t="s">
        <v>1685</v>
      </c>
      <c r="S898" s="35">
        <v>24</v>
      </c>
      <c r="T898" s="26">
        <v>6300</v>
      </c>
      <c r="U898" s="26" t="s">
        <v>250</v>
      </c>
      <c r="V898" s="26">
        <v>6302</v>
      </c>
      <c r="W898" s="26" t="s">
        <v>1795</v>
      </c>
      <c r="X898" s="66">
        <v>44816</v>
      </c>
      <c r="Y898" s="66">
        <v>45086</v>
      </c>
      <c r="Z898" s="66"/>
      <c r="AA898" s="66"/>
      <c r="AB898" s="26" t="s">
        <v>309</v>
      </c>
      <c r="AC898" s="26"/>
      <c r="AD898" s="62"/>
      <c r="AE898" s="62"/>
      <c r="AF898" s="62"/>
      <c r="AG898" s="28" t="s">
        <v>90</v>
      </c>
      <c r="AH898" s="28" t="s">
        <v>90</v>
      </c>
      <c r="AI898" s="28" t="s">
        <v>90</v>
      </c>
      <c r="AJ898" s="28" t="s">
        <v>90</v>
      </c>
      <c r="AK898" s="28" t="s">
        <v>90</v>
      </c>
      <c r="AL898" s="28" t="s">
        <v>90</v>
      </c>
      <c r="AM898" s="28" t="s">
        <v>90</v>
      </c>
      <c r="AN898" s="62"/>
      <c r="AO898" s="62"/>
      <c r="AP898" s="62"/>
      <c r="AQ898" s="62"/>
      <c r="AR898" s="28"/>
      <c r="AS898" s="28"/>
      <c r="AT898" s="28"/>
      <c r="AU898" s="28"/>
      <c r="AV898" s="28"/>
      <c r="AW898" s="28"/>
      <c r="AX898" s="29">
        <v>17.739999999999998</v>
      </c>
      <c r="AY898" s="29"/>
      <c r="AZ898" s="63"/>
      <c r="BA898" s="63"/>
      <c r="BB898" s="63"/>
      <c r="BC898" s="63"/>
      <c r="BD898" s="31">
        <f t="shared" si="191"/>
        <v>3689.9199999999996</v>
      </c>
      <c r="BE898" s="31"/>
      <c r="BF898" s="63"/>
      <c r="BG898" s="36">
        <v>1</v>
      </c>
      <c r="BH898" s="31">
        <f t="shared" si="196"/>
        <v>0</v>
      </c>
      <c r="BI898" s="31">
        <f t="shared" si="197"/>
        <v>0</v>
      </c>
      <c r="BJ898" s="33">
        <f t="shared" si="198"/>
        <v>0</v>
      </c>
      <c r="BK898" s="63"/>
      <c r="BL898" s="63"/>
      <c r="BM898" s="63"/>
      <c r="BN898" s="63"/>
      <c r="BO898" s="33">
        <f t="shared" si="199"/>
        <v>0</v>
      </c>
      <c r="BP898" s="30">
        <v>17</v>
      </c>
      <c r="BQ898" s="30">
        <v>25</v>
      </c>
      <c r="BR898" s="63"/>
      <c r="BS898" s="63"/>
      <c r="BT898" s="34">
        <f t="shared" si="200"/>
        <v>17.739999999999998</v>
      </c>
      <c r="BU898" s="34"/>
      <c r="BV898" s="34"/>
      <c r="BW898" s="34"/>
      <c r="BX898" s="34"/>
      <c r="BY898" s="63"/>
      <c r="BZ898" s="31">
        <f t="shared" si="201"/>
        <v>301.58</v>
      </c>
      <c r="CA898" s="31">
        <f t="shared" si="186"/>
        <v>443.49999999999994</v>
      </c>
    </row>
    <row r="899" spans="1:79" ht="90" x14ac:dyDescent="0.25">
      <c r="A899" s="17"/>
      <c r="B899" s="2">
        <v>883</v>
      </c>
      <c r="C899" s="18">
        <v>641</v>
      </c>
      <c r="D899" s="18">
        <v>383</v>
      </c>
      <c r="E899" s="19">
        <v>0.54166666666666663</v>
      </c>
      <c r="F899" s="59">
        <v>0.55555555555555558</v>
      </c>
      <c r="G899" s="18" t="s">
        <v>1797</v>
      </c>
      <c r="H899" s="18" t="s">
        <v>306</v>
      </c>
      <c r="I899" s="20">
        <v>7</v>
      </c>
      <c r="J899" s="21" t="s">
        <v>380</v>
      </c>
      <c r="K899" s="22">
        <v>208</v>
      </c>
      <c r="L899" s="23">
        <f t="shared" si="192"/>
        <v>1456</v>
      </c>
      <c r="M899" s="24" t="s">
        <v>1667</v>
      </c>
      <c r="N899" s="25" t="s">
        <v>1794</v>
      </c>
      <c r="O899" s="25">
        <v>9</v>
      </c>
      <c r="P899" s="25" t="s">
        <v>1669</v>
      </c>
      <c r="Q899" s="25">
        <v>21</v>
      </c>
      <c r="R899" s="25" t="s">
        <v>1685</v>
      </c>
      <c r="S899" s="35">
        <v>24</v>
      </c>
      <c r="T899" s="26">
        <v>6302</v>
      </c>
      <c r="U899" s="26" t="s">
        <v>1795</v>
      </c>
      <c r="V899" s="26">
        <v>6300</v>
      </c>
      <c r="W899" s="26" t="s">
        <v>250</v>
      </c>
      <c r="X899" s="66">
        <v>44816</v>
      </c>
      <c r="Y899" s="66">
        <v>45086</v>
      </c>
      <c r="Z899" s="66"/>
      <c r="AA899" s="66"/>
      <c r="AB899" s="26" t="s">
        <v>309</v>
      </c>
      <c r="AC899" s="26"/>
      <c r="AD899" s="62"/>
      <c r="AE899" s="62"/>
      <c r="AF899" s="62"/>
      <c r="AG899" s="28" t="s">
        <v>90</v>
      </c>
      <c r="AH899" s="28" t="s">
        <v>90</v>
      </c>
      <c r="AI899" s="28" t="s">
        <v>90</v>
      </c>
      <c r="AJ899" s="28" t="s">
        <v>90</v>
      </c>
      <c r="AK899" s="28" t="s">
        <v>90</v>
      </c>
      <c r="AL899" s="28" t="s">
        <v>90</v>
      </c>
      <c r="AM899" s="28" t="s">
        <v>90</v>
      </c>
      <c r="AN899" s="62"/>
      <c r="AO899" s="62"/>
      <c r="AP899" s="62"/>
      <c r="AQ899" s="62"/>
      <c r="AR899" s="28"/>
      <c r="AS899" s="28"/>
      <c r="AT899" s="28"/>
      <c r="AU899" s="28"/>
      <c r="AV899" s="28"/>
      <c r="AW899" s="28"/>
      <c r="AX899" s="29">
        <v>17.739999999999998</v>
      </c>
      <c r="AY899" s="29"/>
      <c r="AZ899" s="63"/>
      <c r="BA899" s="63"/>
      <c r="BB899" s="63"/>
      <c r="BC899" s="63"/>
      <c r="BD899" s="31">
        <f t="shared" si="191"/>
        <v>3689.9199999999996</v>
      </c>
      <c r="BE899" s="31"/>
      <c r="BF899" s="63"/>
      <c r="BG899" s="36">
        <v>1</v>
      </c>
      <c r="BH899" s="31">
        <f t="shared" si="196"/>
        <v>0</v>
      </c>
      <c r="BI899" s="31">
        <f t="shared" si="197"/>
        <v>0</v>
      </c>
      <c r="BJ899" s="33">
        <f t="shared" si="198"/>
        <v>0</v>
      </c>
      <c r="BK899" s="63"/>
      <c r="BL899" s="63"/>
      <c r="BM899" s="63"/>
      <c r="BN899" s="63"/>
      <c r="BO899" s="33">
        <f t="shared" si="199"/>
        <v>0</v>
      </c>
      <c r="BP899" s="30">
        <v>17</v>
      </c>
      <c r="BQ899" s="30">
        <v>25</v>
      </c>
      <c r="BR899" s="63"/>
      <c r="BS899" s="63"/>
      <c r="BT899" s="34">
        <f t="shared" si="200"/>
        <v>17.739999999999998</v>
      </c>
      <c r="BU899" s="34"/>
      <c r="BV899" s="34"/>
      <c r="BW899" s="34"/>
      <c r="BX899" s="34"/>
      <c r="BY899" s="63"/>
      <c r="BZ899" s="31">
        <f t="shared" si="201"/>
        <v>301.58</v>
      </c>
      <c r="CA899" s="31">
        <f t="shared" ref="CA899:CA958" si="202">(BT899*BQ899)+(BW899*BX899)</f>
        <v>443.49999999999994</v>
      </c>
    </row>
    <row r="900" spans="1:79" ht="76.5" x14ac:dyDescent="0.25">
      <c r="A900" s="35"/>
      <c r="B900" s="2">
        <v>884</v>
      </c>
      <c r="C900" s="18">
        <v>642</v>
      </c>
      <c r="D900" s="18">
        <v>349</v>
      </c>
      <c r="E900" s="19">
        <v>0.2638888888888889</v>
      </c>
      <c r="F900" s="19">
        <v>0.29166666666666669</v>
      </c>
      <c r="G900" s="117" t="s">
        <v>1798</v>
      </c>
      <c r="H900" s="18" t="s">
        <v>306</v>
      </c>
      <c r="I900" s="20">
        <v>25</v>
      </c>
      <c r="J900" s="21" t="s">
        <v>93</v>
      </c>
      <c r="K900" s="22">
        <v>208</v>
      </c>
      <c r="L900" s="23">
        <f t="shared" si="192"/>
        <v>5200</v>
      </c>
      <c r="M900" s="24" t="s">
        <v>1799</v>
      </c>
      <c r="N900" s="25" t="s">
        <v>1800</v>
      </c>
      <c r="O900" s="25">
        <v>23</v>
      </c>
      <c r="P900" s="25" t="s">
        <v>1801</v>
      </c>
      <c r="Q900" s="25">
        <v>9</v>
      </c>
      <c r="R900" s="25" t="s">
        <v>1802</v>
      </c>
      <c r="S900" s="25">
        <v>8</v>
      </c>
      <c r="T900" s="26">
        <v>2470</v>
      </c>
      <c r="U900" s="26" t="s">
        <v>1803</v>
      </c>
      <c r="V900" s="26" t="s">
        <v>1804</v>
      </c>
      <c r="W900" s="26" t="s">
        <v>1805</v>
      </c>
      <c r="X900" s="66">
        <v>44816</v>
      </c>
      <c r="Y900" s="66">
        <v>45086</v>
      </c>
      <c r="Z900" s="66"/>
      <c r="AA900" s="66"/>
      <c r="AB900" s="26" t="s">
        <v>309</v>
      </c>
      <c r="AC900" s="26"/>
      <c r="AD900" s="62"/>
      <c r="AE900" s="62"/>
      <c r="AF900" s="62"/>
      <c r="AG900" s="28" t="s">
        <v>90</v>
      </c>
      <c r="AH900" s="28" t="s">
        <v>90</v>
      </c>
      <c r="AI900" s="28" t="s">
        <v>90</v>
      </c>
      <c r="AJ900" s="28" t="s">
        <v>90</v>
      </c>
      <c r="AK900" s="28" t="s">
        <v>90</v>
      </c>
      <c r="AL900" s="28" t="s">
        <v>90</v>
      </c>
      <c r="AM900" s="28" t="s">
        <v>90</v>
      </c>
      <c r="AN900" s="62"/>
      <c r="AO900" s="62"/>
      <c r="AP900" s="62"/>
      <c r="AQ900" s="62"/>
      <c r="AR900" s="28"/>
      <c r="AS900" s="28"/>
      <c r="AT900" s="28"/>
      <c r="AU900" s="28"/>
      <c r="AV900" s="28"/>
      <c r="AW900" s="28"/>
      <c r="AX900" s="29">
        <v>75</v>
      </c>
      <c r="AY900" s="29"/>
      <c r="AZ900" s="63"/>
      <c r="BA900" s="63"/>
      <c r="BB900" s="63"/>
      <c r="BC900" s="63"/>
      <c r="BD900" s="31">
        <f t="shared" si="191"/>
        <v>15600</v>
      </c>
      <c r="BE900" s="31"/>
      <c r="BF900" s="63"/>
      <c r="BG900" s="36">
        <v>1</v>
      </c>
      <c r="BH900" s="31">
        <f t="shared" si="196"/>
        <v>0</v>
      </c>
      <c r="BI900" s="31">
        <f t="shared" si="197"/>
        <v>0</v>
      </c>
      <c r="BJ900" s="33">
        <f t="shared" si="198"/>
        <v>0</v>
      </c>
      <c r="BK900" s="63"/>
      <c r="BL900" s="63"/>
      <c r="BM900" s="63"/>
      <c r="BN900" s="31">
        <f>IF((AX900+AY900+AZ900)&lt;20,(20-(AX900+AY900+AZ900)),0)</f>
        <v>0</v>
      </c>
      <c r="BO900" s="33">
        <f t="shared" si="199"/>
        <v>0</v>
      </c>
      <c r="BP900" s="30">
        <v>17</v>
      </c>
      <c r="BQ900" s="30">
        <v>25</v>
      </c>
      <c r="BR900" s="63"/>
      <c r="BS900" s="63"/>
      <c r="BT900" s="34">
        <f t="shared" si="200"/>
        <v>75</v>
      </c>
      <c r="BU900" s="34"/>
      <c r="BV900" s="34"/>
      <c r="BW900" s="34"/>
      <c r="BX900" s="34"/>
      <c r="BY900" s="63"/>
      <c r="BZ900" s="31">
        <f t="shared" si="201"/>
        <v>1275</v>
      </c>
      <c r="CA900" s="31">
        <f t="shared" si="202"/>
        <v>1875</v>
      </c>
    </row>
    <row r="901" spans="1:79" ht="67.5" x14ac:dyDescent="0.25">
      <c r="A901" s="25"/>
      <c r="B901" s="2">
        <v>885</v>
      </c>
      <c r="C901" s="18">
        <v>642</v>
      </c>
      <c r="D901" s="18">
        <v>348</v>
      </c>
      <c r="E901" s="19">
        <v>0.58472222222222225</v>
      </c>
      <c r="F901" s="19">
        <v>0.61249999999999993</v>
      </c>
      <c r="G901" s="18" t="s">
        <v>1806</v>
      </c>
      <c r="H901" s="18" t="s">
        <v>273</v>
      </c>
      <c r="I901" s="20">
        <v>25</v>
      </c>
      <c r="J901" s="21" t="s">
        <v>93</v>
      </c>
      <c r="K901" s="22">
        <v>174</v>
      </c>
      <c r="L901" s="23">
        <f t="shared" si="192"/>
        <v>4350</v>
      </c>
      <c r="M901" s="24" t="s">
        <v>442</v>
      </c>
      <c r="N901" s="25" t="s">
        <v>443</v>
      </c>
      <c r="O901" s="25">
        <v>21</v>
      </c>
      <c r="P901" s="25" t="s">
        <v>1807</v>
      </c>
      <c r="Q901" s="25">
        <v>17</v>
      </c>
      <c r="R901" s="25"/>
      <c r="S901" s="25"/>
      <c r="T901" s="26" t="s">
        <v>1804</v>
      </c>
      <c r="U901" s="26" t="s">
        <v>1805</v>
      </c>
      <c r="V901" s="26" t="s">
        <v>1808</v>
      </c>
      <c r="W901" s="26" t="s">
        <v>1809</v>
      </c>
      <c r="X901" s="66">
        <v>44816</v>
      </c>
      <c r="Y901" s="66">
        <v>45086</v>
      </c>
      <c r="Z901" s="66"/>
      <c r="AA901" s="66"/>
      <c r="AB901" s="26" t="s">
        <v>282</v>
      </c>
      <c r="AC901" s="26"/>
      <c r="AD901" s="62"/>
      <c r="AE901" s="62"/>
      <c r="AF901" s="62"/>
      <c r="AG901" s="28" t="s">
        <v>90</v>
      </c>
      <c r="AH901" s="28" t="s">
        <v>90</v>
      </c>
      <c r="AI901" s="28" t="s">
        <v>90</v>
      </c>
      <c r="AJ901" s="28" t="s">
        <v>90</v>
      </c>
      <c r="AK901" s="28" t="s">
        <v>90</v>
      </c>
      <c r="AL901" s="28" t="s">
        <v>90</v>
      </c>
      <c r="AM901" s="62"/>
      <c r="AN901" s="62"/>
      <c r="AO901" s="62"/>
      <c r="AP901" s="62"/>
      <c r="AQ901" s="62"/>
      <c r="AR901" s="28"/>
      <c r="AS901" s="28"/>
      <c r="AT901" s="28"/>
      <c r="AU901" s="28"/>
      <c r="AV901" s="28"/>
      <c r="AW901" s="62"/>
      <c r="AX901" s="29">
        <v>75</v>
      </c>
      <c r="AY901" s="29"/>
      <c r="AZ901" s="63"/>
      <c r="BA901" s="63"/>
      <c r="BB901" s="63"/>
      <c r="BC901" s="63"/>
      <c r="BD901" s="31">
        <f t="shared" si="191"/>
        <v>13050</v>
      </c>
      <c r="BE901" s="31"/>
      <c r="BF901" s="63"/>
      <c r="BG901" s="36">
        <v>1</v>
      </c>
      <c r="BH901" s="31">
        <f t="shared" si="196"/>
        <v>0</v>
      </c>
      <c r="BI901" s="31">
        <f t="shared" si="197"/>
        <v>0</v>
      </c>
      <c r="BJ901" s="33">
        <f t="shared" si="198"/>
        <v>0</v>
      </c>
      <c r="BK901" s="63"/>
      <c r="BL901" s="63"/>
      <c r="BM901" s="63"/>
      <c r="BN901" s="63"/>
      <c r="BO901" s="33">
        <f t="shared" si="199"/>
        <v>0</v>
      </c>
      <c r="BP901" s="30">
        <v>15</v>
      </c>
      <c r="BQ901" s="30">
        <v>20</v>
      </c>
      <c r="BR901" s="63"/>
      <c r="BS901" s="63"/>
      <c r="BT901" s="34">
        <f t="shared" si="200"/>
        <v>75</v>
      </c>
      <c r="BU901" s="34"/>
      <c r="BV901" s="34"/>
      <c r="BW901" s="34"/>
      <c r="BX901" s="34"/>
      <c r="BY901" s="63"/>
      <c r="BZ901" s="31">
        <f t="shared" si="201"/>
        <v>1125</v>
      </c>
      <c r="CA901" s="31">
        <f t="shared" si="202"/>
        <v>1500</v>
      </c>
    </row>
    <row r="902" spans="1:79" ht="67.5" x14ac:dyDescent="0.25">
      <c r="A902" s="35"/>
      <c r="B902" s="2">
        <v>886</v>
      </c>
      <c r="C902" s="18">
        <v>643</v>
      </c>
      <c r="D902" s="18">
        <v>395</v>
      </c>
      <c r="E902" s="19">
        <v>0.27430555555555552</v>
      </c>
      <c r="F902" s="19">
        <v>0.28611111111111115</v>
      </c>
      <c r="G902" s="18" t="s">
        <v>1810</v>
      </c>
      <c r="H902" s="18" t="s">
        <v>306</v>
      </c>
      <c r="I902" s="20">
        <v>9.5</v>
      </c>
      <c r="J902" s="21" t="s">
        <v>380</v>
      </c>
      <c r="K902" s="22">
        <v>208</v>
      </c>
      <c r="L902" s="23">
        <f t="shared" si="192"/>
        <v>1976</v>
      </c>
      <c r="M902" s="24" t="s">
        <v>1811</v>
      </c>
      <c r="N902" s="25" t="s">
        <v>1812</v>
      </c>
      <c r="O902" s="25">
        <v>8</v>
      </c>
      <c r="P902" s="25" t="s">
        <v>1813</v>
      </c>
      <c r="Q902" s="25">
        <v>5</v>
      </c>
      <c r="R902" s="61"/>
      <c r="S902" s="25"/>
      <c r="T902" s="26" t="s">
        <v>1814</v>
      </c>
      <c r="U902" s="26" t="s">
        <v>1815</v>
      </c>
      <c r="V902" s="26">
        <v>6381</v>
      </c>
      <c r="W902" s="26" t="s">
        <v>1816</v>
      </c>
      <c r="X902" s="66">
        <v>44816</v>
      </c>
      <c r="Y902" s="66">
        <v>45086</v>
      </c>
      <c r="Z902" s="66"/>
      <c r="AA902" s="66"/>
      <c r="AB902" s="26" t="s">
        <v>309</v>
      </c>
      <c r="AC902" s="26"/>
      <c r="AD902" s="62"/>
      <c r="AE902" s="62"/>
      <c r="AF902" s="62"/>
      <c r="AG902" s="28" t="s">
        <v>90</v>
      </c>
      <c r="AH902" s="28" t="s">
        <v>90</v>
      </c>
      <c r="AI902" s="28" t="s">
        <v>90</v>
      </c>
      <c r="AJ902" s="28" t="s">
        <v>90</v>
      </c>
      <c r="AK902" s="28" t="s">
        <v>90</v>
      </c>
      <c r="AL902" s="28" t="s">
        <v>90</v>
      </c>
      <c r="AM902" s="28" t="s">
        <v>90</v>
      </c>
      <c r="AN902" s="62"/>
      <c r="AO902" s="62"/>
      <c r="AP902" s="62"/>
      <c r="AQ902" s="62"/>
      <c r="AR902" s="28"/>
      <c r="AS902" s="28"/>
      <c r="AT902" s="28"/>
      <c r="AU902" s="28"/>
      <c r="AV902" s="28"/>
      <c r="AW902" s="28"/>
      <c r="AX902" s="29">
        <v>31.95</v>
      </c>
      <c r="AY902" s="29"/>
      <c r="AZ902" s="63"/>
      <c r="BA902" s="63"/>
      <c r="BB902" s="63"/>
      <c r="BC902" s="63"/>
      <c r="BD902" s="31">
        <f t="shared" si="191"/>
        <v>6645.5999999999995</v>
      </c>
      <c r="BE902" s="31"/>
      <c r="BF902" s="63"/>
      <c r="BG902" s="36">
        <v>1</v>
      </c>
      <c r="BH902" s="31">
        <f t="shared" si="196"/>
        <v>0</v>
      </c>
      <c r="BI902" s="31">
        <f t="shared" si="197"/>
        <v>0</v>
      </c>
      <c r="BJ902" s="33">
        <f t="shared" si="198"/>
        <v>0</v>
      </c>
      <c r="BK902" s="63"/>
      <c r="BL902" s="63"/>
      <c r="BM902" s="63"/>
      <c r="BN902" s="31">
        <f>IF((AX902+AY902+AZ902)&lt;20,(20-(AX902+AY902+AZ902)),0)</f>
        <v>0</v>
      </c>
      <c r="BO902" s="33">
        <f t="shared" si="199"/>
        <v>0</v>
      </c>
      <c r="BP902" s="30">
        <v>17</v>
      </c>
      <c r="BQ902" s="30">
        <v>25</v>
      </c>
      <c r="BR902" s="63"/>
      <c r="BS902" s="63"/>
      <c r="BT902" s="34">
        <f t="shared" si="200"/>
        <v>31.95</v>
      </c>
      <c r="BU902" s="34"/>
      <c r="BV902" s="34"/>
      <c r="BW902" s="34"/>
      <c r="BX902" s="34"/>
      <c r="BY902" s="63"/>
      <c r="BZ902" s="31">
        <f t="shared" si="201"/>
        <v>543.15</v>
      </c>
      <c r="CA902" s="31">
        <f t="shared" si="202"/>
        <v>798.75</v>
      </c>
    </row>
    <row r="903" spans="1:79" ht="45" x14ac:dyDescent="0.25">
      <c r="A903" s="17"/>
      <c r="B903" s="2">
        <v>887</v>
      </c>
      <c r="C903" s="18">
        <v>643</v>
      </c>
      <c r="D903" s="18">
        <v>390</v>
      </c>
      <c r="E903" s="19">
        <v>0.36805555555555558</v>
      </c>
      <c r="F903" s="19">
        <v>0.39930555555555558</v>
      </c>
      <c r="G903" s="18" t="s">
        <v>246</v>
      </c>
      <c r="H903" s="18" t="s">
        <v>80</v>
      </c>
      <c r="I903" s="20">
        <v>22</v>
      </c>
      <c r="J903" s="21" t="s">
        <v>122</v>
      </c>
      <c r="K903" s="22">
        <v>67</v>
      </c>
      <c r="L903" s="23">
        <f t="shared" si="192"/>
        <v>1474</v>
      </c>
      <c r="M903" s="24" t="s">
        <v>247</v>
      </c>
      <c r="N903" s="25" t="s">
        <v>248</v>
      </c>
      <c r="O903" s="25">
        <v>24</v>
      </c>
      <c r="P903" s="25" t="s">
        <v>249</v>
      </c>
      <c r="Q903" s="25">
        <v>20</v>
      </c>
      <c r="R903" s="25"/>
      <c r="S903" s="25"/>
      <c r="T903" s="26">
        <v>6300</v>
      </c>
      <c r="U903" s="26" t="s">
        <v>250</v>
      </c>
      <c r="V903" s="26" t="s">
        <v>251</v>
      </c>
      <c r="W903" s="26" t="s">
        <v>252</v>
      </c>
      <c r="X903" s="27">
        <v>44562</v>
      </c>
      <c r="Y903" s="27">
        <v>44815</v>
      </c>
      <c r="Z903" s="27">
        <v>45101</v>
      </c>
      <c r="AA903" s="27">
        <v>45169</v>
      </c>
      <c r="AB903" s="28" t="s">
        <v>89</v>
      </c>
      <c r="AC903" s="28"/>
      <c r="AD903" s="62"/>
      <c r="AE903" s="28" t="s">
        <v>90</v>
      </c>
      <c r="AF903" s="28" t="s">
        <v>90</v>
      </c>
      <c r="AG903" s="28"/>
      <c r="AH903" s="28" t="s">
        <v>90</v>
      </c>
      <c r="AI903" s="28" t="s">
        <v>90</v>
      </c>
      <c r="AJ903" s="28" t="s">
        <v>90</v>
      </c>
      <c r="AK903" s="28" t="s">
        <v>90</v>
      </c>
      <c r="AL903" s="28" t="s">
        <v>90</v>
      </c>
      <c r="AM903" s="28" t="s">
        <v>90</v>
      </c>
      <c r="AN903" s="62"/>
      <c r="AO903" s="62"/>
      <c r="AP903" s="62"/>
      <c r="AQ903" s="28"/>
      <c r="AR903" s="28"/>
      <c r="AS903" s="28"/>
      <c r="AT903" s="28"/>
      <c r="AU903" s="28"/>
      <c r="AV903" s="28"/>
      <c r="AW903" s="28"/>
      <c r="AX903" s="29">
        <f>30+36</f>
        <v>66</v>
      </c>
      <c r="AY903" s="29"/>
      <c r="AZ903" s="63"/>
      <c r="BA903" s="63"/>
      <c r="BB903" s="63"/>
      <c r="BC903" s="63"/>
      <c r="BD903" s="31">
        <f t="shared" si="191"/>
        <v>4422</v>
      </c>
      <c r="BE903" s="31"/>
      <c r="BF903" s="63"/>
      <c r="BG903" s="36">
        <v>1</v>
      </c>
      <c r="BH903" s="31">
        <f t="shared" si="196"/>
        <v>0</v>
      </c>
      <c r="BI903" s="31">
        <f t="shared" si="197"/>
        <v>0</v>
      </c>
      <c r="BJ903" s="33">
        <f t="shared" si="198"/>
        <v>0</v>
      </c>
      <c r="BK903" s="63"/>
      <c r="BL903" s="63"/>
      <c r="BM903" s="63"/>
      <c r="BN903" s="63"/>
      <c r="BO903" s="33">
        <f t="shared" si="199"/>
        <v>0</v>
      </c>
      <c r="BP903" s="30">
        <v>9</v>
      </c>
      <c r="BQ903" s="30">
        <v>0</v>
      </c>
      <c r="BR903" s="63"/>
      <c r="BS903" s="63"/>
      <c r="BT903" s="34">
        <f t="shared" si="200"/>
        <v>66</v>
      </c>
      <c r="BU903" s="34"/>
      <c r="BV903" s="34"/>
      <c r="BW903" s="34"/>
      <c r="BX903" s="34"/>
      <c r="BY903" s="63"/>
      <c r="BZ903" s="31">
        <f t="shared" si="201"/>
        <v>594</v>
      </c>
      <c r="CA903" s="31">
        <f t="shared" si="202"/>
        <v>0</v>
      </c>
    </row>
    <row r="904" spans="1:79" ht="45" x14ac:dyDescent="0.25">
      <c r="A904" s="17"/>
      <c r="B904" s="2">
        <v>888</v>
      </c>
      <c r="C904" s="18">
        <v>643</v>
      </c>
      <c r="D904" s="18">
        <v>391</v>
      </c>
      <c r="E904" s="19">
        <v>0.42222222222222222</v>
      </c>
      <c r="F904" s="19">
        <v>0.45347222222222222</v>
      </c>
      <c r="G904" s="18" t="s">
        <v>253</v>
      </c>
      <c r="H904" s="18" t="s">
        <v>80</v>
      </c>
      <c r="I904" s="20">
        <v>22</v>
      </c>
      <c r="J904" s="21" t="s">
        <v>122</v>
      </c>
      <c r="K904" s="22">
        <v>67</v>
      </c>
      <c r="L904" s="23">
        <f t="shared" si="192"/>
        <v>1474</v>
      </c>
      <c r="M904" s="24" t="s">
        <v>247</v>
      </c>
      <c r="N904" s="25" t="s">
        <v>248</v>
      </c>
      <c r="O904" s="25">
        <v>24</v>
      </c>
      <c r="P904" s="25" t="s">
        <v>249</v>
      </c>
      <c r="Q904" s="25">
        <v>20</v>
      </c>
      <c r="R904" s="25"/>
      <c r="S904" s="25"/>
      <c r="T904" s="26" t="s">
        <v>251</v>
      </c>
      <c r="U904" s="26" t="s">
        <v>252</v>
      </c>
      <c r="V904" s="26">
        <v>6300</v>
      </c>
      <c r="W904" s="26" t="s">
        <v>250</v>
      </c>
      <c r="X904" s="27">
        <v>44562</v>
      </c>
      <c r="Y904" s="27">
        <v>44815</v>
      </c>
      <c r="Z904" s="27">
        <v>45101</v>
      </c>
      <c r="AA904" s="27">
        <v>45169</v>
      </c>
      <c r="AB904" s="28" t="s">
        <v>89</v>
      </c>
      <c r="AC904" s="28"/>
      <c r="AD904" s="62"/>
      <c r="AE904" s="28" t="s">
        <v>90</v>
      </c>
      <c r="AF904" s="28" t="s">
        <v>90</v>
      </c>
      <c r="AG904" s="28"/>
      <c r="AH904" s="28" t="s">
        <v>90</v>
      </c>
      <c r="AI904" s="28" t="s">
        <v>90</v>
      </c>
      <c r="AJ904" s="28" t="s">
        <v>90</v>
      </c>
      <c r="AK904" s="28" t="s">
        <v>90</v>
      </c>
      <c r="AL904" s="28" t="s">
        <v>90</v>
      </c>
      <c r="AM904" s="28" t="s">
        <v>90</v>
      </c>
      <c r="AN904" s="62"/>
      <c r="AO904" s="62"/>
      <c r="AP904" s="62"/>
      <c r="AQ904" s="28"/>
      <c r="AR904" s="28"/>
      <c r="AS904" s="28"/>
      <c r="AT904" s="28"/>
      <c r="AU904" s="28"/>
      <c r="AV904" s="28"/>
      <c r="AW904" s="28"/>
      <c r="AX904" s="29">
        <f>30+36</f>
        <v>66</v>
      </c>
      <c r="AY904" s="29"/>
      <c r="AZ904" s="63"/>
      <c r="BA904" s="63"/>
      <c r="BB904" s="63"/>
      <c r="BC904" s="63"/>
      <c r="BD904" s="31">
        <f t="shared" si="191"/>
        <v>4422</v>
      </c>
      <c r="BE904" s="31"/>
      <c r="BF904" s="63"/>
      <c r="BG904" s="36">
        <v>1</v>
      </c>
      <c r="BH904" s="31">
        <f t="shared" si="196"/>
        <v>0</v>
      </c>
      <c r="BI904" s="31">
        <f t="shared" si="197"/>
        <v>0</v>
      </c>
      <c r="BJ904" s="33">
        <f t="shared" si="198"/>
        <v>0</v>
      </c>
      <c r="BK904" s="63"/>
      <c r="BL904" s="63"/>
      <c r="BM904" s="63"/>
      <c r="BN904" s="63"/>
      <c r="BO904" s="33">
        <f t="shared" si="199"/>
        <v>0</v>
      </c>
      <c r="BP904" s="30">
        <v>9</v>
      </c>
      <c r="BQ904" s="30">
        <v>0</v>
      </c>
      <c r="BR904" s="63"/>
      <c r="BS904" s="63"/>
      <c r="BT904" s="34">
        <f t="shared" si="200"/>
        <v>66</v>
      </c>
      <c r="BU904" s="34"/>
      <c r="BV904" s="34"/>
      <c r="BW904" s="34"/>
      <c r="BX904" s="34"/>
      <c r="BY904" s="63"/>
      <c r="BZ904" s="31">
        <f t="shared" si="201"/>
        <v>594</v>
      </c>
      <c r="CA904" s="31">
        <f t="shared" si="202"/>
        <v>0</v>
      </c>
    </row>
    <row r="905" spans="1:79" ht="78.75" x14ac:dyDescent="0.25">
      <c r="A905" s="35"/>
      <c r="B905" s="2">
        <v>889</v>
      </c>
      <c r="C905" s="18">
        <v>644</v>
      </c>
      <c r="D905" s="21">
        <v>311</v>
      </c>
      <c r="E905" s="19">
        <v>0.2673611111111111</v>
      </c>
      <c r="F905" s="19">
        <v>0.27986111111111112</v>
      </c>
      <c r="G905" s="18" t="s">
        <v>1817</v>
      </c>
      <c r="H905" s="18" t="s">
        <v>306</v>
      </c>
      <c r="I905" s="20">
        <v>9</v>
      </c>
      <c r="J905" s="21">
        <v>16</v>
      </c>
      <c r="K905" s="22">
        <v>208</v>
      </c>
      <c r="L905" s="23">
        <f t="shared" si="192"/>
        <v>1872</v>
      </c>
      <c r="M905" s="24" t="s">
        <v>1818</v>
      </c>
      <c r="N905" s="25" t="s">
        <v>1819</v>
      </c>
      <c r="O905" s="25">
        <v>17</v>
      </c>
      <c r="P905" s="25" t="s">
        <v>1820</v>
      </c>
      <c r="Q905" s="25">
        <v>17</v>
      </c>
      <c r="R905" s="25" t="s">
        <v>1821</v>
      </c>
      <c r="S905" s="25">
        <v>23</v>
      </c>
      <c r="T905" s="26">
        <v>6391</v>
      </c>
      <c r="U905" s="26" t="s">
        <v>1822</v>
      </c>
      <c r="V905" s="26">
        <v>6386</v>
      </c>
      <c r="W905" s="26" t="s">
        <v>1823</v>
      </c>
      <c r="X905" s="66">
        <v>44816</v>
      </c>
      <c r="Y905" s="66">
        <v>45086</v>
      </c>
      <c r="Z905" s="66"/>
      <c r="AA905" s="66"/>
      <c r="AB905" s="26" t="s">
        <v>309</v>
      </c>
      <c r="AC905" s="26"/>
      <c r="AD905" s="62"/>
      <c r="AE905" s="62"/>
      <c r="AF905" s="62"/>
      <c r="AG905" s="28" t="s">
        <v>90</v>
      </c>
      <c r="AH905" s="28" t="s">
        <v>90</v>
      </c>
      <c r="AI905" s="28" t="s">
        <v>90</v>
      </c>
      <c r="AJ905" s="28" t="s">
        <v>90</v>
      </c>
      <c r="AK905" s="28" t="s">
        <v>90</v>
      </c>
      <c r="AL905" s="28" t="s">
        <v>90</v>
      </c>
      <c r="AM905" s="28" t="s">
        <v>90</v>
      </c>
      <c r="AN905" s="62"/>
      <c r="AO905" s="62"/>
      <c r="AP905" s="62"/>
      <c r="AQ905" s="62"/>
      <c r="AR905" s="28"/>
      <c r="AS905" s="28"/>
      <c r="AT905" s="28"/>
      <c r="AU905" s="28"/>
      <c r="AV905" s="28"/>
      <c r="AW905" s="28"/>
      <c r="AX905" s="29">
        <v>47</v>
      </c>
      <c r="AY905" s="29"/>
      <c r="AZ905" s="63"/>
      <c r="BA905" s="63"/>
      <c r="BB905" s="63"/>
      <c r="BC905" s="63">
        <v>13</v>
      </c>
      <c r="BD905" s="31">
        <f t="shared" si="191"/>
        <v>9776</v>
      </c>
      <c r="BE905" s="31"/>
      <c r="BF905" s="63"/>
      <c r="BG905" s="36">
        <v>1</v>
      </c>
      <c r="BH905" s="31">
        <f t="shared" si="196"/>
        <v>0</v>
      </c>
      <c r="BI905" s="31">
        <f t="shared" si="197"/>
        <v>0</v>
      </c>
      <c r="BJ905" s="33">
        <f t="shared" si="198"/>
        <v>0</v>
      </c>
      <c r="BK905" s="63"/>
      <c r="BL905" s="63"/>
      <c r="BM905" s="63"/>
      <c r="BN905" s="31">
        <f>IF((AX905+AY905+AZ905)&lt;20,(20-(AX905+AY905+AZ905)),0)</f>
        <v>0</v>
      </c>
      <c r="BO905" s="33">
        <f t="shared" si="199"/>
        <v>0</v>
      </c>
      <c r="BP905" s="30">
        <v>17</v>
      </c>
      <c r="BQ905" s="30">
        <v>25</v>
      </c>
      <c r="BR905" s="63"/>
      <c r="BS905" s="63"/>
      <c r="BT905" s="34">
        <f t="shared" si="200"/>
        <v>47</v>
      </c>
      <c r="BU905" s="34" t="s">
        <v>446</v>
      </c>
      <c r="BV905" s="30">
        <v>1</v>
      </c>
      <c r="BW905" s="30">
        <v>1</v>
      </c>
      <c r="BX905" s="34">
        <v>1049.96</v>
      </c>
      <c r="BY905" s="63"/>
      <c r="BZ905" s="31">
        <f t="shared" si="201"/>
        <v>1848.96</v>
      </c>
      <c r="CA905" s="31">
        <f t="shared" si="202"/>
        <v>2224.96</v>
      </c>
    </row>
    <row r="906" spans="1:79" ht="78.75" x14ac:dyDescent="0.25">
      <c r="A906" s="35"/>
      <c r="B906" s="2">
        <v>890</v>
      </c>
      <c r="C906" s="48">
        <v>644</v>
      </c>
      <c r="D906" s="48">
        <v>370</v>
      </c>
      <c r="E906" s="49">
        <v>0.34722222222222227</v>
      </c>
      <c r="F906" s="49">
        <v>0.35972222222222222</v>
      </c>
      <c r="G906" s="51" t="s">
        <v>1824</v>
      </c>
      <c r="H906" s="48" t="s">
        <v>1763</v>
      </c>
      <c r="I906" s="48">
        <v>8</v>
      </c>
      <c r="J906" s="52">
        <v>19</v>
      </c>
      <c r="K906" s="22">
        <v>55</v>
      </c>
      <c r="L906" s="23">
        <f t="shared" si="192"/>
        <v>440</v>
      </c>
      <c r="M906" s="24" t="s">
        <v>1818</v>
      </c>
      <c r="N906" s="25" t="s">
        <v>1819</v>
      </c>
      <c r="O906" s="25">
        <v>17</v>
      </c>
      <c r="P906" s="25" t="s">
        <v>1820</v>
      </c>
      <c r="Q906" s="25">
        <v>17</v>
      </c>
      <c r="R906" s="25"/>
      <c r="S906" s="25"/>
      <c r="T906" s="26">
        <v>6386</v>
      </c>
      <c r="U906" s="26" t="s">
        <v>1823</v>
      </c>
      <c r="V906" s="26">
        <v>6391</v>
      </c>
      <c r="W906" s="26" t="s">
        <v>1822</v>
      </c>
      <c r="X906" s="27">
        <v>44562</v>
      </c>
      <c r="Y906" s="27">
        <v>44815</v>
      </c>
      <c r="Z906" s="27">
        <v>45101</v>
      </c>
      <c r="AA906" s="27">
        <v>45169</v>
      </c>
      <c r="AB906" s="62" t="s">
        <v>353</v>
      </c>
      <c r="AC906" s="62"/>
      <c r="AD906" s="62"/>
      <c r="AE906" s="62" t="s">
        <v>90</v>
      </c>
      <c r="AF906" s="62" t="s">
        <v>90</v>
      </c>
      <c r="AG906" s="62"/>
      <c r="AH906" s="62" t="s">
        <v>90</v>
      </c>
      <c r="AI906" s="62" t="s">
        <v>90</v>
      </c>
      <c r="AJ906" s="62" t="s">
        <v>90</v>
      </c>
      <c r="AK906" s="62" t="s">
        <v>90</v>
      </c>
      <c r="AL906" s="62" t="s">
        <v>90</v>
      </c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31"/>
      <c r="AY906" s="31">
        <f>3*8+3*2.05</f>
        <v>30.15</v>
      </c>
      <c r="AZ906" s="63"/>
      <c r="BA906" s="63"/>
      <c r="BB906" s="63"/>
      <c r="BC906" s="63"/>
      <c r="BD906" s="31">
        <f t="shared" si="191"/>
        <v>0</v>
      </c>
      <c r="BE906" s="31">
        <f>AY906*K906</f>
        <v>1658.25</v>
      </c>
      <c r="BF906" s="63"/>
      <c r="BG906" s="36">
        <v>1</v>
      </c>
      <c r="BH906" s="63"/>
      <c r="BI906" s="31"/>
      <c r="BJ906" s="63"/>
      <c r="BK906" s="31">
        <f>IF(AND((AY906/I906)&lt;2,BG906=1),(I906*2)-AY906,0)</f>
        <v>0</v>
      </c>
      <c r="BL906" s="31">
        <f>IF(AND((AY906/I906)&lt;3,BG906=2),(I906*3)-AY906,0)</f>
        <v>0</v>
      </c>
      <c r="BM906" s="33">
        <f>(BK906+BL906)*K906</f>
        <v>0</v>
      </c>
      <c r="BN906" s="63"/>
      <c r="BO906" s="33">
        <f t="shared" si="199"/>
        <v>0</v>
      </c>
      <c r="BP906" s="30">
        <v>7</v>
      </c>
      <c r="BQ906" s="30">
        <v>0</v>
      </c>
      <c r="BR906" s="63"/>
      <c r="BS906" s="63"/>
      <c r="BT906" s="34">
        <f t="shared" si="200"/>
        <v>30.15</v>
      </c>
      <c r="BU906" s="34"/>
      <c r="BV906" s="34"/>
      <c r="BW906" s="34"/>
      <c r="BX906" s="34"/>
      <c r="BY906" s="63"/>
      <c r="BZ906" s="31">
        <f t="shared" si="201"/>
        <v>211.04999999999998</v>
      </c>
      <c r="CA906" s="31">
        <f t="shared" si="202"/>
        <v>0</v>
      </c>
    </row>
    <row r="907" spans="1:79" ht="78.75" x14ac:dyDescent="0.25">
      <c r="A907" s="17"/>
      <c r="B907" s="2">
        <v>891</v>
      </c>
      <c r="C907" s="48">
        <v>644</v>
      </c>
      <c r="D907" s="48">
        <v>371</v>
      </c>
      <c r="E907" s="49">
        <v>0.36319444444444443</v>
      </c>
      <c r="F907" s="49">
        <v>0.3756944444444445</v>
      </c>
      <c r="G907" s="51" t="s">
        <v>1825</v>
      </c>
      <c r="H907" s="48" t="s">
        <v>1763</v>
      </c>
      <c r="I907" s="48">
        <v>8</v>
      </c>
      <c r="J907" s="52">
        <v>19</v>
      </c>
      <c r="K907" s="22">
        <v>55</v>
      </c>
      <c r="L907" s="23">
        <f t="shared" si="192"/>
        <v>440</v>
      </c>
      <c r="M907" s="24" t="s">
        <v>1818</v>
      </c>
      <c r="N907" s="25" t="s">
        <v>1819</v>
      </c>
      <c r="O907" s="25">
        <v>17</v>
      </c>
      <c r="P907" s="25" t="s">
        <v>1820</v>
      </c>
      <c r="Q907" s="25">
        <v>17</v>
      </c>
      <c r="R907" s="25"/>
      <c r="S907" s="25"/>
      <c r="T907" s="26">
        <v>6391</v>
      </c>
      <c r="U907" s="26" t="s">
        <v>1822</v>
      </c>
      <c r="V907" s="26">
        <v>6386</v>
      </c>
      <c r="W907" s="26" t="s">
        <v>1823</v>
      </c>
      <c r="X907" s="27">
        <v>44562</v>
      </c>
      <c r="Y907" s="27">
        <v>44815</v>
      </c>
      <c r="Z907" s="27">
        <v>45101</v>
      </c>
      <c r="AA907" s="27">
        <v>45169</v>
      </c>
      <c r="AB907" s="62" t="s">
        <v>353</v>
      </c>
      <c r="AC907" s="62"/>
      <c r="AD907" s="62"/>
      <c r="AE907" s="62" t="s">
        <v>90</v>
      </c>
      <c r="AF907" s="62" t="s">
        <v>90</v>
      </c>
      <c r="AG907" s="62"/>
      <c r="AH907" s="62" t="s">
        <v>90</v>
      </c>
      <c r="AI907" s="62" t="s">
        <v>90</v>
      </c>
      <c r="AJ907" s="62" t="s">
        <v>90</v>
      </c>
      <c r="AK907" s="62" t="s">
        <v>90</v>
      </c>
      <c r="AL907" s="62" t="s">
        <v>90</v>
      </c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31"/>
      <c r="AY907" s="31">
        <f>3*8+3*2.05</f>
        <v>30.15</v>
      </c>
      <c r="AZ907" s="63"/>
      <c r="BA907" s="63"/>
      <c r="BB907" s="63"/>
      <c r="BC907" s="63"/>
      <c r="BD907" s="31">
        <f t="shared" si="191"/>
        <v>0</v>
      </c>
      <c r="BE907" s="31">
        <f>AY907*K907</f>
        <v>1658.25</v>
      </c>
      <c r="BF907" s="63"/>
      <c r="BG907" s="36">
        <v>1</v>
      </c>
      <c r="BH907" s="63"/>
      <c r="BI907" s="31"/>
      <c r="BJ907" s="63"/>
      <c r="BK907" s="31">
        <f>IF(AND((AY907/I907)&lt;2,BG907=1),(I907*2)-AY907,0)</f>
        <v>0</v>
      </c>
      <c r="BL907" s="31">
        <f>IF(AND((AY907/I907)&lt;3,BG907=2),(I907*3)-AY907,0)</f>
        <v>0</v>
      </c>
      <c r="BM907" s="33">
        <f>(BK907+BL907)*K907</f>
        <v>0</v>
      </c>
      <c r="BN907" s="63"/>
      <c r="BO907" s="33">
        <f t="shared" si="199"/>
        <v>0</v>
      </c>
      <c r="BP907" s="30">
        <v>7</v>
      </c>
      <c r="BQ907" s="30">
        <v>0</v>
      </c>
      <c r="BR907" s="63"/>
      <c r="BS907" s="63"/>
      <c r="BT907" s="34">
        <f t="shared" si="200"/>
        <v>30.15</v>
      </c>
      <c r="BU907" s="34"/>
      <c r="BV907" s="34"/>
      <c r="BW907" s="34"/>
      <c r="BX907" s="34"/>
      <c r="BY907" s="63"/>
      <c r="BZ907" s="31">
        <f t="shared" si="201"/>
        <v>211.04999999999998</v>
      </c>
      <c r="CA907" s="31">
        <f t="shared" si="202"/>
        <v>0</v>
      </c>
    </row>
    <row r="908" spans="1:79" ht="78.75" x14ac:dyDescent="0.25">
      <c r="A908" s="17"/>
      <c r="B908" s="2">
        <v>892</v>
      </c>
      <c r="C908" s="18">
        <v>644</v>
      </c>
      <c r="D908" s="21">
        <v>374</v>
      </c>
      <c r="E908" s="19">
        <v>0.46180555555555558</v>
      </c>
      <c r="F908" s="19">
        <v>0.47430555555555554</v>
      </c>
      <c r="G908" s="18" t="s">
        <v>1826</v>
      </c>
      <c r="H908" s="18" t="s">
        <v>1827</v>
      </c>
      <c r="I908" s="20">
        <v>8.1999999999999993</v>
      </c>
      <c r="J908" s="21" t="s">
        <v>463</v>
      </c>
      <c r="K908" s="22">
        <v>39</v>
      </c>
      <c r="L908" s="23">
        <f t="shared" si="192"/>
        <v>319.79999999999995</v>
      </c>
      <c r="M908" s="24" t="s">
        <v>1818</v>
      </c>
      <c r="N908" s="25" t="s">
        <v>1828</v>
      </c>
      <c r="O908" s="25">
        <v>9</v>
      </c>
      <c r="P908" s="25" t="s">
        <v>1829</v>
      </c>
      <c r="Q908" s="25">
        <v>9</v>
      </c>
      <c r="R908" s="25" t="s">
        <v>1821</v>
      </c>
      <c r="S908" s="25">
        <v>23</v>
      </c>
      <c r="T908" s="26">
        <v>6386</v>
      </c>
      <c r="U908" s="26" t="s">
        <v>1823</v>
      </c>
      <c r="V908" s="26">
        <v>6391</v>
      </c>
      <c r="W908" s="26" t="s">
        <v>1822</v>
      </c>
      <c r="X908" s="27">
        <v>44816</v>
      </c>
      <c r="Y908" s="27">
        <v>45100</v>
      </c>
      <c r="Z908" s="27"/>
      <c r="AA908" s="27"/>
      <c r="AB908" s="26" t="s">
        <v>1226</v>
      </c>
      <c r="AC908" s="26"/>
      <c r="AD908" s="28" t="s">
        <v>90</v>
      </c>
      <c r="AE908" s="28"/>
      <c r="AF908" s="28" t="s">
        <v>90</v>
      </c>
      <c r="AG908" s="28"/>
      <c r="AH908" s="28"/>
      <c r="AI908" s="28"/>
      <c r="AJ908" s="28"/>
      <c r="AK908" s="28" t="s">
        <v>90</v>
      </c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9">
        <f>9+9.6</f>
        <v>18.600000000000001</v>
      </c>
      <c r="AY908" s="29"/>
      <c r="AZ908" s="30"/>
      <c r="BA908" s="30"/>
      <c r="BB908" s="30"/>
      <c r="BC908" s="30">
        <v>14</v>
      </c>
      <c r="BD908" s="31">
        <f t="shared" si="191"/>
        <v>725.40000000000009</v>
      </c>
      <c r="BE908" s="31"/>
      <c r="BF908" s="30"/>
      <c r="BG908" s="36">
        <v>1</v>
      </c>
      <c r="BH908" s="31">
        <f>IF(AND((AX908/I908)&lt;2,BG908=1),(I908*2)-AX908,0)</f>
        <v>0</v>
      </c>
      <c r="BI908" s="31">
        <f>IF(AND((AX908/I908)&lt;3,BG908=2),(I908*3)-AX908,0)</f>
        <v>0</v>
      </c>
      <c r="BJ908" s="33">
        <f>(BH908+BI908)*K908</f>
        <v>0</v>
      </c>
      <c r="BK908" s="30"/>
      <c r="BL908" s="30"/>
      <c r="BM908" s="30"/>
      <c r="BN908" s="30"/>
      <c r="BO908" s="33">
        <f t="shared" si="199"/>
        <v>0</v>
      </c>
      <c r="BP908" s="30">
        <v>3</v>
      </c>
      <c r="BQ908" s="30">
        <v>4</v>
      </c>
      <c r="BR908" s="30"/>
      <c r="BS908" s="30"/>
      <c r="BT908" s="34">
        <f t="shared" si="200"/>
        <v>18.600000000000001</v>
      </c>
      <c r="BU908" s="34"/>
      <c r="BV908" s="34"/>
      <c r="BW908" s="34"/>
      <c r="BX908" s="34"/>
      <c r="BY908" s="30"/>
      <c r="BZ908" s="31">
        <f t="shared" si="201"/>
        <v>55.800000000000004</v>
      </c>
      <c r="CA908" s="31">
        <f t="shared" si="202"/>
        <v>74.400000000000006</v>
      </c>
    </row>
    <row r="909" spans="1:79" ht="63.75" x14ac:dyDescent="0.25">
      <c r="A909" s="17"/>
      <c r="B909" s="2">
        <v>893</v>
      </c>
      <c r="C909" s="48">
        <v>644</v>
      </c>
      <c r="D909" s="48">
        <v>372</v>
      </c>
      <c r="E909" s="49">
        <v>0.47222222222222227</v>
      </c>
      <c r="F909" s="49">
        <v>0.48472222222222222</v>
      </c>
      <c r="G909" s="51" t="s">
        <v>1824</v>
      </c>
      <c r="H909" s="18" t="s">
        <v>1155</v>
      </c>
      <c r="I909" s="48">
        <v>8</v>
      </c>
      <c r="J909" s="52">
        <v>19</v>
      </c>
      <c r="K909" s="22">
        <v>11</v>
      </c>
      <c r="L909" s="23">
        <f t="shared" si="192"/>
        <v>88</v>
      </c>
      <c r="M909" s="24" t="s">
        <v>247</v>
      </c>
      <c r="N909" s="25" t="s">
        <v>248</v>
      </c>
      <c r="O909" s="25">
        <v>24</v>
      </c>
      <c r="P909" s="25" t="s">
        <v>249</v>
      </c>
      <c r="Q909" s="25">
        <v>20</v>
      </c>
      <c r="R909" s="17"/>
      <c r="S909" s="25"/>
      <c r="T909" s="26">
        <v>6386</v>
      </c>
      <c r="U909" s="26" t="s">
        <v>1823</v>
      </c>
      <c r="V909" s="26">
        <v>6391</v>
      </c>
      <c r="W909" s="26" t="s">
        <v>1822</v>
      </c>
      <c r="X909" s="27">
        <v>44562</v>
      </c>
      <c r="Y909" s="27">
        <v>44815</v>
      </c>
      <c r="Z909" s="27">
        <v>45101</v>
      </c>
      <c r="AA909" s="27">
        <v>45169</v>
      </c>
      <c r="AB909" s="62" t="s">
        <v>1156</v>
      </c>
      <c r="AC909" s="62"/>
      <c r="AD909" s="28"/>
      <c r="AE909" s="28" t="s">
        <v>90</v>
      </c>
      <c r="AF909" s="28" t="s">
        <v>90</v>
      </c>
      <c r="AG909" s="28"/>
      <c r="AH909" s="28"/>
      <c r="AI909" s="28"/>
      <c r="AJ909" s="28"/>
      <c r="AK909" s="28" t="s">
        <v>90</v>
      </c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31"/>
      <c r="AY909" s="29">
        <f>1.9*8</f>
        <v>15.2</v>
      </c>
      <c r="AZ909" s="30"/>
      <c r="BA909" s="30"/>
      <c r="BB909" s="30"/>
      <c r="BC909" s="30"/>
      <c r="BD909" s="31">
        <f t="shared" si="191"/>
        <v>0</v>
      </c>
      <c r="BE909" s="31">
        <f>AY909*K909</f>
        <v>167.2</v>
      </c>
      <c r="BF909" s="30"/>
      <c r="BG909" s="36">
        <v>1</v>
      </c>
      <c r="BH909" s="30"/>
      <c r="BI909" s="31"/>
      <c r="BJ909" s="30"/>
      <c r="BK909" s="31">
        <f>IF(AND((AY909/I909)&lt;2,BG909=1),(I909*2)-AY909,0)</f>
        <v>0.80000000000000071</v>
      </c>
      <c r="BL909" s="31">
        <f>IF(AND((AY909/I909)&lt;3,BG909=2),(I909*3)-AY909,0)</f>
        <v>0</v>
      </c>
      <c r="BM909" s="33">
        <f>(BK909+BL909)*K909</f>
        <v>8.8000000000000078</v>
      </c>
      <c r="BN909" s="30"/>
      <c r="BO909" s="33">
        <f t="shared" si="199"/>
        <v>0</v>
      </c>
      <c r="BP909" s="30">
        <v>2</v>
      </c>
      <c r="BQ909" s="30">
        <v>0</v>
      </c>
      <c r="BR909" s="30"/>
      <c r="BS909" s="30"/>
      <c r="BT909" s="34">
        <f t="shared" si="200"/>
        <v>16</v>
      </c>
      <c r="BU909" s="34"/>
      <c r="BV909" s="34"/>
      <c r="BW909" s="34"/>
      <c r="BX909" s="34"/>
      <c r="BY909" s="30"/>
      <c r="BZ909" s="31">
        <f t="shared" si="201"/>
        <v>32</v>
      </c>
      <c r="CA909" s="31">
        <f t="shared" si="202"/>
        <v>0</v>
      </c>
    </row>
    <row r="910" spans="1:79" ht="78.75" x14ac:dyDescent="0.25">
      <c r="A910" s="17"/>
      <c r="B910" s="2">
        <v>894</v>
      </c>
      <c r="C910" s="18">
        <v>644</v>
      </c>
      <c r="D910" s="21">
        <v>375</v>
      </c>
      <c r="E910" s="19">
        <v>0.47430555555555554</v>
      </c>
      <c r="F910" s="19">
        <v>0.48680555555555555</v>
      </c>
      <c r="G910" s="18" t="s">
        <v>1830</v>
      </c>
      <c r="H910" s="18" t="s">
        <v>1827</v>
      </c>
      <c r="I910" s="20">
        <v>8.1999999999999993</v>
      </c>
      <c r="J910" s="21" t="s">
        <v>463</v>
      </c>
      <c r="K910" s="22">
        <v>39</v>
      </c>
      <c r="L910" s="23">
        <f t="shared" si="192"/>
        <v>319.79999999999995</v>
      </c>
      <c r="M910" s="24" t="s">
        <v>1818</v>
      </c>
      <c r="N910" s="25" t="s">
        <v>1828</v>
      </c>
      <c r="O910" s="25">
        <v>9</v>
      </c>
      <c r="P910" s="25" t="s">
        <v>1829</v>
      </c>
      <c r="Q910" s="25">
        <v>9</v>
      </c>
      <c r="R910" s="25" t="s">
        <v>1821</v>
      </c>
      <c r="S910" s="25">
        <v>23</v>
      </c>
      <c r="T910" s="26">
        <v>6391</v>
      </c>
      <c r="U910" s="26" t="s">
        <v>1822</v>
      </c>
      <c r="V910" s="26">
        <v>6386</v>
      </c>
      <c r="W910" s="26" t="s">
        <v>1823</v>
      </c>
      <c r="X910" s="27">
        <v>44816</v>
      </c>
      <c r="Y910" s="27">
        <v>45100</v>
      </c>
      <c r="Z910" s="27"/>
      <c r="AA910" s="27"/>
      <c r="AB910" s="26" t="s">
        <v>1226</v>
      </c>
      <c r="AC910" s="26"/>
      <c r="AD910" s="28" t="s">
        <v>90</v>
      </c>
      <c r="AE910" s="28"/>
      <c r="AF910" s="28" t="s">
        <v>90</v>
      </c>
      <c r="AG910" s="28"/>
      <c r="AH910" s="28"/>
      <c r="AI910" s="28"/>
      <c r="AJ910" s="28"/>
      <c r="AK910" s="28" t="s">
        <v>90</v>
      </c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9">
        <f>9.6+9</f>
        <v>18.600000000000001</v>
      </c>
      <c r="AY910" s="29"/>
      <c r="AZ910" s="30"/>
      <c r="BA910" s="30"/>
      <c r="BB910" s="30"/>
      <c r="BC910" s="30">
        <v>15</v>
      </c>
      <c r="BD910" s="31">
        <f t="shared" si="191"/>
        <v>725.40000000000009</v>
      </c>
      <c r="BE910" s="31"/>
      <c r="BF910" s="30"/>
      <c r="BG910" s="36">
        <v>1</v>
      </c>
      <c r="BH910" s="31">
        <f>IF(AND((AX910/I910)&lt;2,BG910=1),(I910*2)-AX910,0)</f>
        <v>0</v>
      </c>
      <c r="BI910" s="31">
        <f>IF(AND((AX910/I910)&lt;3,BG910=2),(I910*3)-AX910,0)</f>
        <v>0</v>
      </c>
      <c r="BJ910" s="33">
        <f>(BH910+BI910)*K910</f>
        <v>0</v>
      </c>
      <c r="BK910" s="30"/>
      <c r="BL910" s="30"/>
      <c r="BM910" s="30"/>
      <c r="BN910" s="30"/>
      <c r="BO910" s="33">
        <f t="shared" si="199"/>
        <v>0</v>
      </c>
      <c r="BP910" s="30">
        <v>3</v>
      </c>
      <c r="BQ910" s="30">
        <v>4</v>
      </c>
      <c r="BR910" s="30"/>
      <c r="BS910" s="30"/>
      <c r="BT910" s="34">
        <f t="shared" si="200"/>
        <v>18.600000000000001</v>
      </c>
      <c r="BU910" s="34"/>
      <c r="BV910" s="34"/>
      <c r="BW910" s="34"/>
      <c r="BX910" s="34"/>
      <c r="BY910" s="30"/>
      <c r="BZ910" s="31">
        <f t="shared" si="201"/>
        <v>55.800000000000004</v>
      </c>
      <c r="CA910" s="31">
        <f t="shared" si="202"/>
        <v>74.400000000000006</v>
      </c>
    </row>
    <row r="911" spans="1:79" ht="63.75" x14ac:dyDescent="0.25">
      <c r="A911" s="17"/>
      <c r="B911" s="2">
        <v>895</v>
      </c>
      <c r="C911" s="48">
        <v>644</v>
      </c>
      <c r="D911" s="48">
        <v>373</v>
      </c>
      <c r="E911" s="49">
        <v>0.48819444444444443</v>
      </c>
      <c r="F911" s="49">
        <v>0.50069444444444444</v>
      </c>
      <c r="G911" s="51" t="s">
        <v>1825</v>
      </c>
      <c r="H911" s="18" t="s">
        <v>1155</v>
      </c>
      <c r="I911" s="48">
        <v>8</v>
      </c>
      <c r="J911" s="52">
        <v>19</v>
      </c>
      <c r="K911" s="22">
        <v>11</v>
      </c>
      <c r="L911" s="23">
        <f t="shared" si="192"/>
        <v>88</v>
      </c>
      <c r="M911" s="24" t="s">
        <v>247</v>
      </c>
      <c r="N911" s="25" t="s">
        <v>248</v>
      </c>
      <c r="O911" s="25">
        <v>24</v>
      </c>
      <c r="P911" s="25" t="s">
        <v>249</v>
      </c>
      <c r="Q911" s="25">
        <v>20</v>
      </c>
      <c r="R911" s="17"/>
      <c r="S911" s="25"/>
      <c r="T911" s="26">
        <v>6391</v>
      </c>
      <c r="U911" s="26" t="s">
        <v>1822</v>
      </c>
      <c r="V911" s="26">
        <v>6386</v>
      </c>
      <c r="W911" s="26" t="s">
        <v>1823</v>
      </c>
      <c r="X911" s="27">
        <v>44562</v>
      </c>
      <c r="Y911" s="27">
        <v>44815</v>
      </c>
      <c r="Z911" s="27">
        <v>45101</v>
      </c>
      <c r="AA911" s="27">
        <v>45169</v>
      </c>
      <c r="AB911" s="62" t="s">
        <v>1156</v>
      </c>
      <c r="AC911" s="62"/>
      <c r="AD911" s="28"/>
      <c r="AE911" s="28" t="s">
        <v>90</v>
      </c>
      <c r="AF911" s="28" t="s">
        <v>90</v>
      </c>
      <c r="AG911" s="28"/>
      <c r="AH911" s="28"/>
      <c r="AI911" s="28"/>
      <c r="AJ911" s="28"/>
      <c r="AK911" s="28" t="s">
        <v>90</v>
      </c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31"/>
      <c r="AY911" s="29">
        <f>1.9*8</f>
        <v>15.2</v>
      </c>
      <c r="AZ911" s="30"/>
      <c r="BA911" s="30"/>
      <c r="BB911" s="30"/>
      <c r="BC911" s="30"/>
      <c r="BD911" s="31">
        <f t="shared" si="191"/>
        <v>0</v>
      </c>
      <c r="BE911" s="31">
        <f>AY911*K911</f>
        <v>167.2</v>
      </c>
      <c r="BF911" s="30"/>
      <c r="BG911" s="36">
        <v>1</v>
      </c>
      <c r="BH911" s="30"/>
      <c r="BI911" s="31"/>
      <c r="BJ911" s="30"/>
      <c r="BK911" s="31">
        <f>IF(AND((AY911/I911)&lt;2,BG911=1),(I911*2)-AY911,0)</f>
        <v>0.80000000000000071</v>
      </c>
      <c r="BL911" s="31">
        <f>IF(AND((AY911/I911)&lt;3,BG911=2),(I911*3)-AY911,0)</f>
        <v>0</v>
      </c>
      <c r="BM911" s="33">
        <f>(BK911+BL911)*K911</f>
        <v>8.8000000000000078</v>
      </c>
      <c r="BN911" s="30"/>
      <c r="BO911" s="33">
        <f t="shared" si="199"/>
        <v>0</v>
      </c>
      <c r="BP911" s="30">
        <v>2</v>
      </c>
      <c r="BQ911" s="30">
        <v>0</v>
      </c>
      <c r="BR911" s="30"/>
      <c r="BS911" s="30"/>
      <c r="BT911" s="34">
        <f t="shared" si="200"/>
        <v>16</v>
      </c>
      <c r="BU911" s="34"/>
      <c r="BV911" s="34"/>
      <c r="BW911" s="34"/>
      <c r="BX911" s="34"/>
      <c r="BY911" s="30"/>
      <c r="BZ911" s="31">
        <f t="shared" si="201"/>
        <v>32</v>
      </c>
      <c r="CA911" s="31">
        <f t="shared" si="202"/>
        <v>0</v>
      </c>
    </row>
    <row r="912" spans="1:79" ht="45" x14ac:dyDescent="0.25">
      <c r="A912" s="17"/>
      <c r="B912" s="2">
        <v>896</v>
      </c>
      <c r="C912" s="48">
        <v>644</v>
      </c>
      <c r="D912" s="18">
        <v>374</v>
      </c>
      <c r="E912" s="19">
        <v>0.51388888888888895</v>
      </c>
      <c r="F912" s="19">
        <v>0.52638888888888891</v>
      </c>
      <c r="G912" s="18" t="s">
        <v>1824</v>
      </c>
      <c r="H912" s="18" t="s">
        <v>352</v>
      </c>
      <c r="I912" s="48">
        <v>8</v>
      </c>
      <c r="J912" s="52">
        <v>19</v>
      </c>
      <c r="K912" s="22">
        <v>55</v>
      </c>
      <c r="L912" s="23">
        <f t="shared" si="192"/>
        <v>440</v>
      </c>
      <c r="M912" s="24" t="s">
        <v>247</v>
      </c>
      <c r="N912" s="25" t="s">
        <v>248</v>
      </c>
      <c r="O912" s="25">
        <v>24</v>
      </c>
      <c r="P912" s="25" t="s">
        <v>249</v>
      </c>
      <c r="Q912" s="25">
        <v>20</v>
      </c>
      <c r="R912" s="17"/>
      <c r="S912" s="25"/>
      <c r="T912" s="26">
        <v>6386</v>
      </c>
      <c r="U912" s="26" t="s">
        <v>1823</v>
      </c>
      <c r="V912" s="26">
        <v>6391</v>
      </c>
      <c r="W912" s="26" t="s">
        <v>1822</v>
      </c>
      <c r="X912" s="27">
        <v>44562</v>
      </c>
      <c r="Y912" s="27">
        <v>44815</v>
      </c>
      <c r="Z912" s="27">
        <v>45101</v>
      </c>
      <c r="AA912" s="27">
        <v>45169</v>
      </c>
      <c r="AB912" s="26" t="s">
        <v>353</v>
      </c>
      <c r="AC912" s="26"/>
      <c r="AD912" s="28"/>
      <c r="AE912" s="28" t="s">
        <v>90</v>
      </c>
      <c r="AF912" s="28" t="s">
        <v>90</v>
      </c>
      <c r="AG912" s="28"/>
      <c r="AH912" s="28" t="s">
        <v>90</v>
      </c>
      <c r="AI912" s="28" t="s">
        <v>90</v>
      </c>
      <c r="AJ912" s="28" t="s">
        <v>90</v>
      </c>
      <c r="AK912" s="28" t="s">
        <v>90</v>
      </c>
      <c r="AL912" s="28" t="s">
        <v>90</v>
      </c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31"/>
      <c r="AY912" s="29">
        <f>1.9*8</f>
        <v>15.2</v>
      </c>
      <c r="AZ912" s="30"/>
      <c r="BA912" s="30"/>
      <c r="BB912" s="30"/>
      <c r="BC912" s="30"/>
      <c r="BD912" s="31">
        <f t="shared" si="191"/>
        <v>0</v>
      </c>
      <c r="BE912" s="31">
        <f>AY912*K912</f>
        <v>836</v>
      </c>
      <c r="BF912" s="30"/>
      <c r="BG912" s="36">
        <v>1</v>
      </c>
      <c r="BH912" s="30"/>
      <c r="BI912" s="31"/>
      <c r="BJ912" s="30"/>
      <c r="BK912" s="31">
        <f>IF(AND((AY912/I912)&lt;2,BG912=1),(I912*2)-AY912,0)</f>
        <v>0.80000000000000071</v>
      </c>
      <c r="BL912" s="31">
        <f>IF(AND((AY912/I912)&lt;3,BG912=2),(I912*3)-AY912,0)</f>
        <v>0</v>
      </c>
      <c r="BM912" s="33">
        <f>(BK912+BL912)*K912</f>
        <v>44.000000000000043</v>
      </c>
      <c r="BN912" s="30"/>
      <c r="BO912" s="33">
        <f t="shared" si="199"/>
        <v>0</v>
      </c>
      <c r="BP912" s="30">
        <v>7</v>
      </c>
      <c r="BQ912" s="30">
        <v>0</v>
      </c>
      <c r="BR912" s="30"/>
      <c r="BS912" s="30"/>
      <c r="BT912" s="34">
        <f t="shared" si="200"/>
        <v>16</v>
      </c>
      <c r="BU912" s="34"/>
      <c r="BV912" s="34"/>
      <c r="BW912" s="34"/>
      <c r="BX912" s="34"/>
      <c r="BY912" s="30"/>
      <c r="BZ912" s="31">
        <f t="shared" si="201"/>
        <v>112</v>
      </c>
      <c r="CA912" s="31">
        <f t="shared" si="202"/>
        <v>0</v>
      </c>
    </row>
    <row r="913" spans="1:79" ht="45" x14ac:dyDescent="0.25">
      <c r="A913" s="17"/>
      <c r="B913" s="2">
        <v>897</v>
      </c>
      <c r="C913" s="48">
        <v>644</v>
      </c>
      <c r="D913" s="18">
        <v>375</v>
      </c>
      <c r="E913" s="19">
        <v>0.52986111111111112</v>
      </c>
      <c r="F913" s="19">
        <v>0.54236111111111118</v>
      </c>
      <c r="G913" s="18" t="s">
        <v>1825</v>
      </c>
      <c r="H913" s="18" t="s">
        <v>352</v>
      </c>
      <c r="I913" s="48">
        <v>8</v>
      </c>
      <c r="J913" s="52">
        <v>19</v>
      </c>
      <c r="K913" s="22">
        <v>55</v>
      </c>
      <c r="L913" s="23">
        <f t="shared" si="192"/>
        <v>440</v>
      </c>
      <c r="M913" s="24" t="s">
        <v>247</v>
      </c>
      <c r="N913" s="25" t="s">
        <v>248</v>
      </c>
      <c r="O913" s="25">
        <v>24</v>
      </c>
      <c r="P913" s="25" t="s">
        <v>249</v>
      </c>
      <c r="Q913" s="25">
        <v>20</v>
      </c>
      <c r="R913" s="17"/>
      <c r="S913" s="25"/>
      <c r="T913" s="26">
        <v>6391</v>
      </c>
      <c r="U913" s="26" t="s">
        <v>1822</v>
      </c>
      <c r="V913" s="26">
        <v>6386</v>
      </c>
      <c r="W913" s="26" t="s">
        <v>1823</v>
      </c>
      <c r="X913" s="27">
        <v>44562</v>
      </c>
      <c r="Y913" s="27">
        <v>44815</v>
      </c>
      <c r="Z913" s="27">
        <v>45101</v>
      </c>
      <c r="AA913" s="27">
        <v>45169</v>
      </c>
      <c r="AB913" s="26" t="s">
        <v>353</v>
      </c>
      <c r="AC913" s="26"/>
      <c r="AD913" s="28"/>
      <c r="AE913" s="28" t="s">
        <v>90</v>
      </c>
      <c r="AF913" s="28" t="s">
        <v>90</v>
      </c>
      <c r="AG913" s="28"/>
      <c r="AH913" s="28" t="s">
        <v>90</v>
      </c>
      <c r="AI913" s="28" t="s">
        <v>90</v>
      </c>
      <c r="AJ913" s="28" t="s">
        <v>90</v>
      </c>
      <c r="AK913" s="28" t="s">
        <v>90</v>
      </c>
      <c r="AL913" s="28" t="s">
        <v>90</v>
      </c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31"/>
      <c r="AY913" s="29">
        <f>1.9*8</f>
        <v>15.2</v>
      </c>
      <c r="AZ913" s="30"/>
      <c r="BA913" s="30"/>
      <c r="BB913" s="30"/>
      <c r="BC913" s="30"/>
      <c r="BD913" s="31">
        <f t="shared" si="191"/>
        <v>0</v>
      </c>
      <c r="BE913" s="31">
        <f>AY913*K913</f>
        <v>836</v>
      </c>
      <c r="BF913" s="30"/>
      <c r="BG913" s="36">
        <v>1</v>
      </c>
      <c r="BH913" s="30"/>
      <c r="BI913" s="31"/>
      <c r="BJ913" s="30"/>
      <c r="BK913" s="31">
        <f>IF(AND((AY913/I913)&lt;2,BG913=1),(I913*2)-AY913,0)</f>
        <v>0.80000000000000071</v>
      </c>
      <c r="BL913" s="31">
        <f>IF(AND((AY913/I913)&lt;3,BG913=2),(I913*3)-AY913,0)</f>
        <v>0</v>
      </c>
      <c r="BM913" s="33">
        <f>(BK913+BL913)*K913</f>
        <v>44.000000000000043</v>
      </c>
      <c r="BN913" s="30"/>
      <c r="BO913" s="33">
        <f t="shared" si="199"/>
        <v>0</v>
      </c>
      <c r="BP913" s="30">
        <v>7</v>
      </c>
      <c r="BQ913" s="30">
        <v>0</v>
      </c>
      <c r="BR913" s="30"/>
      <c r="BS913" s="30"/>
      <c r="BT913" s="34">
        <f t="shared" si="200"/>
        <v>16</v>
      </c>
      <c r="BU913" s="34"/>
      <c r="BV913" s="34"/>
      <c r="BW913" s="34"/>
      <c r="BX913" s="34"/>
      <c r="BY913" s="30"/>
      <c r="BZ913" s="31">
        <f t="shared" si="201"/>
        <v>112</v>
      </c>
      <c r="CA913" s="31">
        <f t="shared" si="202"/>
        <v>0</v>
      </c>
    </row>
    <row r="914" spans="1:79" ht="78.75" x14ac:dyDescent="0.25">
      <c r="A914" s="17"/>
      <c r="B914" s="2">
        <v>898</v>
      </c>
      <c r="C914" s="18">
        <v>644</v>
      </c>
      <c r="D914" s="21">
        <v>378</v>
      </c>
      <c r="E914" s="19">
        <v>0.57986111111111105</v>
      </c>
      <c r="F914" s="19">
        <v>0.59236111111111112</v>
      </c>
      <c r="G914" s="18" t="s">
        <v>1831</v>
      </c>
      <c r="H914" s="18" t="s">
        <v>349</v>
      </c>
      <c r="I914" s="20">
        <v>8</v>
      </c>
      <c r="J914" s="21" t="s">
        <v>463</v>
      </c>
      <c r="K914" s="22">
        <v>202</v>
      </c>
      <c r="L914" s="23">
        <f t="shared" si="192"/>
        <v>1616</v>
      </c>
      <c r="M914" s="24" t="s">
        <v>1818</v>
      </c>
      <c r="N914" s="25" t="s">
        <v>1819</v>
      </c>
      <c r="O914" s="25">
        <v>17</v>
      </c>
      <c r="P914" s="25" t="s">
        <v>1820</v>
      </c>
      <c r="Q914" s="25">
        <v>17</v>
      </c>
      <c r="R914" s="17"/>
      <c r="S914" s="25"/>
      <c r="T914" s="26">
        <v>6386</v>
      </c>
      <c r="U914" s="26" t="s">
        <v>1823</v>
      </c>
      <c r="V914" s="26">
        <v>6391</v>
      </c>
      <c r="W914" s="26" t="s">
        <v>1822</v>
      </c>
      <c r="X914" s="27">
        <v>44816</v>
      </c>
      <c r="Y914" s="27">
        <v>45100</v>
      </c>
      <c r="Z914" s="27"/>
      <c r="AA914" s="27"/>
      <c r="AB914" s="26" t="s">
        <v>351</v>
      </c>
      <c r="AC914" s="26"/>
      <c r="AD914" s="28" t="s">
        <v>90</v>
      </c>
      <c r="AE914" s="28"/>
      <c r="AF914" s="28" t="s">
        <v>90</v>
      </c>
      <c r="AG914" s="28"/>
      <c r="AH914" s="28" t="s">
        <v>90</v>
      </c>
      <c r="AI914" s="28" t="s">
        <v>90</v>
      </c>
      <c r="AJ914" s="28" t="s">
        <v>90</v>
      </c>
      <c r="AK914" s="28" t="s">
        <v>90</v>
      </c>
      <c r="AL914" s="28" t="s">
        <v>90</v>
      </c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9">
        <v>15.45</v>
      </c>
      <c r="AY914" s="29"/>
      <c r="AZ914" s="30"/>
      <c r="BA914" s="30"/>
      <c r="BB914" s="30"/>
      <c r="BC914" s="30">
        <v>16</v>
      </c>
      <c r="BD914" s="31">
        <f t="shared" si="191"/>
        <v>3120.8999999999996</v>
      </c>
      <c r="BE914" s="31"/>
      <c r="BF914" s="30"/>
      <c r="BG914" s="36">
        <v>1</v>
      </c>
      <c r="BH914" s="53"/>
      <c r="BI914" s="53"/>
      <c r="BJ914" s="53"/>
      <c r="BK914" s="30"/>
      <c r="BL914" s="30"/>
      <c r="BM914" s="30"/>
      <c r="BN914" s="30"/>
      <c r="BO914" s="33">
        <f t="shared" si="199"/>
        <v>0</v>
      </c>
      <c r="BP914" s="30">
        <v>15</v>
      </c>
      <c r="BQ914" s="30">
        <v>21</v>
      </c>
      <c r="BR914" s="30"/>
      <c r="BS914" s="30"/>
      <c r="BT914" s="34">
        <f t="shared" si="200"/>
        <v>15.45</v>
      </c>
      <c r="BU914" s="34"/>
      <c r="BV914" s="34"/>
      <c r="BW914" s="34"/>
      <c r="BX914" s="34"/>
      <c r="BY914" s="30"/>
      <c r="BZ914" s="31">
        <f t="shared" si="201"/>
        <v>231.75</v>
      </c>
      <c r="CA914" s="31">
        <f t="shared" si="202"/>
        <v>324.45</v>
      </c>
    </row>
    <row r="915" spans="1:79" ht="78.75" x14ac:dyDescent="0.25">
      <c r="A915" s="17"/>
      <c r="B915" s="2">
        <v>899</v>
      </c>
      <c r="C915" s="18">
        <v>644</v>
      </c>
      <c r="D915" s="21">
        <v>660</v>
      </c>
      <c r="E915" s="19">
        <v>0.76388888888888884</v>
      </c>
      <c r="F915" s="59">
        <v>0.77500000000000002</v>
      </c>
      <c r="G915" s="18" t="s">
        <v>1832</v>
      </c>
      <c r="H915" s="18" t="s">
        <v>1833</v>
      </c>
      <c r="I915" s="20">
        <v>6.5</v>
      </c>
      <c r="J915" s="21" t="s">
        <v>516</v>
      </c>
      <c r="K915" s="22">
        <f>174-34</f>
        <v>140</v>
      </c>
      <c r="L915" s="23">
        <f t="shared" si="192"/>
        <v>910</v>
      </c>
      <c r="M915" s="24" t="s">
        <v>1818</v>
      </c>
      <c r="N915" s="25" t="s">
        <v>1819</v>
      </c>
      <c r="O915" s="25">
        <v>17</v>
      </c>
      <c r="P915" s="25" t="s">
        <v>1820</v>
      </c>
      <c r="Q915" s="25">
        <v>17</v>
      </c>
      <c r="R915" s="17"/>
      <c r="S915" s="25"/>
      <c r="T915" s="26">
        <v>6387</v>
      </c>
      <c r="U915" s="26" t="s">
        <v>1834</v>
      </c>
      <c r="V915" s="26">
        <v>6391</v>
      </c>
      <c r="W915" s="26" t="s">
        <v>1822</v>
      </c>
      <c r="X915" s="66">
        <v>44816</v>
      </c>
      <c r="Y915" s="66">
        <v>45086</v>
      </c>
      <c r="Z915" s="66"/>
      <c r="AA915" s="66"/>
      <c r="AB915" s="28" t="s">
        <v>1835</v>
      </c>
      <c r="AC915" s="28"/>
      <c r="AD915" s="28"/>
      <c r="AE915" s="28"/>
      <c r="AF915" s="28"/>
      <c r="AG915" s="28" t="s">
        <v>90</v>
      </c>
      <c r="AH915" s="28" t="s">
        <v>90</v>
      </c>
      <c r="AI915" s="28"/>
      <c r="AJ915" s="28" t="s">
        <v>90</v>
      </c>
      <c r="AK915" s="28" t="s">
        <v>90</v>
      </c>
      <c r="AL915" s="28" t="s">
        <v>90</v>
      </c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9">
        <v>31.28</v>
      </c>
      <c r="AY915" s="29"/>
      <c r="AZ915" s="30"/>
      <c r="BA915" s="30"/>
      <c r="BB915" s="30"/>
      <c r="BC915" s="30">
        <v>17</v>
      </c>
      <c r="BD915" s="31">
        <f t="shared" si="191"/>
        <v>4379.2</v>
      </c>
      <c r="BE915" s="31"/>
      <c r="BF915" s="30"/>
      <c r="BG915" s="36">
        <v>1</v>
      </c>
      <c r="BH915" s="31">
        <f t="shared" ref="BH915:BH929" si="203">IF(AND((AX915/I915)&lt;2,BG915=1),(I915*2)-AX915,0)</f>
        <v>0</v>
      </c>
      <c r="BI915" s="31">
        <f t="shared" ref="BI915:BI929" si="204">IF(AND((AX915/I915)&lt;3,BG915=2),(I915*3)-AX915,0)</f>
        <v>0</v>
      </c>
      <c r="BJ915" s="33">
        <f t="shared" ref="BJ915:BJ929" si="205">(BH915+BI915)*K915</f>
        <v>0</v>
      </c>
      <c r="BK915" s="30"/>
      <c r="BL915" s="30"/>
      <c r="BM915" s="30"/>
      <c r="BN915" s="30"/>
      <c r="BO915" s="33">
        <f t="shared" si="199"/>
        <v>0</v>
      </c>
      <c r="BP915" s="30">
        <v>12</v>
      </c>
      <c r="BQ915" s="30">
        <v>16</v>
      </c>
      <c r="BR915" s="30"/>
      <c r="BS915" s="30"/>
      <c r="BT915" s="34">
        <f t="shared" si="200"/>
        <v>31.28</v>
      </c>
      <c r="BU915" s="34"/>
      <c r="BV915" s="34"/>
      <c r="BW915" s="34"/>
      <c r="BX915" s="34"/>
      <c r="BY915" s="30"/>
      <c r="BZ915" s="31">
        <f t="shared" si="201"/>
        <v>375.36</v>
      </c>
      <c r="CA915" s="31">
        <f t="shared" si="202"/>
        <v>500.48</v>
      </c>
    </row>
    <row r="916" spans="1:79" ht="76.5" x14ac:dyDescent="0.25">
      <c r="A916" s="17"/>
      <c r="B916" s="2">
        <v>900</v>
      </c>
      <c r="C916" s="18">
        <v>645</v>
      </c>
      <c r="D916" s="21">
        <v>784</v>
      </c>
      <c r="E916" s="19">
        <v>0.2638888888888889</v>
      </c>
      <c r="F916" s="19">
        <v>0.2673611111111111</v>
      </c>
      <c r="G916" s="18" t="s">
        <v>1836</v>
      </c>
      <c r="H916" s="18" t="s">
        <v>1393</v>
      </c>
      <c r="I916" s="20">
        <v>2.5</v>
      </c>
      <c r="J916" s="21" t="s">
        <v>380</v>
      </c>
      <c r="K916" s="22">
        <v>34</v>
      </c>
      <c r="L916" s="23">
        <f t="shared" si="192"/>
        <v>85</v>
      </c>
      <c r="M916" s="24" t="s">
        <v>1837</v>
      </c>
      <c r="N916" s="25" t="s">
        <v>1838</v>
      </c>
      <c r="O916" s="25">
        <v>9</v>
      </c>
      <c r="P916" s="25" t="s">
        <v>1839</v>
      </c>
      <c r="Q916" s="25">
        <v>8</v>
      </c>
      <c r="R916" s="17"/>
      <c r="S916" s="25"/>
      <c r="T916" s="26">
        <v>6402</v>
      </c>
      <c r="U916" s="26" t="s">
        <v>1840</v>
      </c>
      <c r="V916" s="26" t="s">
        <v>1841</v>
      </c>
      <c r="W916" s="26" t="s">
        <v>1842</v>
      </c>
      <c r="X916" s="66">
        <v>44816</v>
      </c>
      <c r="Y916" s="66">
        <v>45086</v>
      </c>
      <c r="Z916" s="66"/>
      <c r="AA916" s="66"/>
      <c r="AB916" s="28" t="s">
        <v>382</v>
      </c>
      <c r="AC916" s="28"/>
      <c r="AD916" s="28"/>
      <c r="AE916" s="28"/>
      <c r="AF916" s="28"/>
      <c r="AG916" s="28" t="s">
        <v>90</v>
      </c>
      <c r="AH916" s="28"/>
      <c r="AI916" s="28"/>
      <c r="AJ916" s="28"/>
      <c r="AK916" s="28"/>
      <c r="AL916" s="28"/>
      <c r="AM916" s="28" t="s">
        <v>90</v>
      </c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9">
        <v>8.1999999999999993</v>
      </c>
      <c r="AY916" s="29"/>
      <c r="AZ916" s="30"/>
      <c r="BA916" s="30"/>
      <c r="BB916" s="30"/>
      <c r="BC916" s="30"/>
      <c r="BD916" s="31">
        <f t="shared" si="191"/>
        <v>278.79999999999995</v>
      </c>
      <c r="BE916" s="31"/>
      <c r="BF916" s="30"/>
      <c r="BG916" s="36">
        <v>1</v>
      </c>
      <c r="BH916" s="31">
        <f t="shared" si="203"/>
        <v>0</v>
      </c>
      <c r="BI916" s="31">
        <f t="shared" si="204"/>
        <v>0</v>
      </c>
      <c r="BJ916" s="33">
        <f t="shared" si="205"/>
        <v>0</v>
      </c>
      <c r="BK916" s="30"/>
      <c r="BL916" s="30"/>
      <c r="BM916" s="30"/>
      <c r="BN916" s="31">
        <f t="shared" ref="BN916:BN921" si="206">IF((AX916+AY916+AZ916)&lt;20,(20-(AX916+AY916+AZ916)),0)</f>
        <v>11.8</v>
      </c>
      <c r="BO916" s="33">
        <f t="shared" si="199"/>
        <v>401.20000000000005</v>
      </c>
      <c r="BP916" s="30">
        <v>2</v>
      </c>
      <c r="BQ916" s="30">
        <v>5</v>
      </c>
      <c r="BR916" s="30"/>
      <c r="BS916" s="30"/>
      <c r="BT916" s="34">
        <f t="shared" si="200"/>
        <v>20</v>
      </c>
      <c r="BU916" s="34"/>
      <c r="BV916" s="34"/>
      <c r="BW916" s="34"/>
      <c r="BX916" s="34"/>
      <c r="BY916" s="30"/>
      <c r="BZ916" s="31">
        <f t="shared" si="201"/>
        <v>40</v>
      </c>
      <c r="CA916" s="31">
        <f t="shared" si="202"/>
        <v>100</v>
      </c>
    </row>
    <row r="917" spans="1:79" ht="51" x14ac:dyDescent="0.25">
      <c r="A917" s="17"/>
      <c r="B917" s="2">
        <v>901</v>
      </c>
      <c r="C917" s="18">
        <v>645</v>
      </c>
      <c r="D917" s="21">
        <v>639</v>
      </c>
      <c r="E917" s="19">
        <v>0.26805555555555555</v>
      </c>
      <c r="F917" s="19">
        <v>0.27083333333333331</v>
      </c>
      <c r="G917" s="18" t="s">
        <v>1843</v>
      </c>
      <c r="H917" s="18" t="s">
        <v>1393</v>
      </c>
      <c r="I917" s="20">
        <v>2.5</v>
      </c>
      <c r="J917" s="21" t="s">
        <v>380</v>
      </c>
      <c r="K917" s="22">
        <v>34</v>
      </c>
      <c r="L917" s="23">
        <f t="shared" si="192"/>
        <v>85</v>
      </c>
      <c r="M917" s="24" t="s">
        <v>1837</v>
      </c>
      <c r="N917" s="25" t="s">
        <v>1838</v>
      </c>
      <c r="O917" s="25">
        <v>9</v>
      </c>
      <c r="P917" s="25" t="s">
        <v>1839</v>
      </c>
      <c r="Q917" s="25">
        <v>8</v>
      </c>
      <c r="R917" s="17"/>
      <c r="S917" s="25"/>
      <c r="T917" s="26" t="s">
        <v>1841</v>
      </c>
      <c r="U917" s="26" t="s">
        <v>1842</v>
      </c>
      <c r="V917" s="26">
        <v>6402</v>
      </c>
      <c r="W917" s="26" t="s">
        <v>1840</v>
      </c>
      <c r="X917" s="66">
        <v>44816</v>
      </c>
      <c r="Y917" s="66">
        <v>45086</v>
      </c>
      <c r="Z917" s="66"/>
      <c r="AA917" s="66"/>
      <c r="AB917" s="28" t="s">
        <v>382</v>
      </c>
      <c r="AC917" s="28"/>
      <c r="AD917" s="28"/>
      <c r="AE917" s="28"/>
      <c r="AF917" s="28"/>
      <c r="AG917" s="28" t="s">
        <v>90</v>
      </c>
      <c r="AH917" s="28"/>
      <c r="AI917" s="28"/>
      <c r="AJ917" s="28"/>
      <c r="AK917" s="28"/>
      <c r="AL917" s="28"/>
      <c r="AM917" s="28" t="s">
        <v>90</v>
      </c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9">
        <v>8.1999999999999993</v>
      </c>
      <c r="AY917" s="29"/>
      <c r="AZ917" s="30"/>
      <c r="BA917" s="30"/>
      <c r="BB917" s="30"/>
      <c r="BC917" s="30"/>
      <c r="BD917" s="31">
        <f t="shared" si="191"/>
        <v>278.79999999999995</v>
      </c>
      <c r="BE917" s="31"/>
      <c r="BF917" s="30"/>
      <c r="BG917" s="36">
        <v>1</v>
      </c>
      <c r="BH917" s="31">
        <f t="shared" si="203"/>
        <v>0</v>
      </c>
      <c r="BI917" s="31">
        <f t="shared" si="204"/>
        <v>0</v>
      </c>
      <c r="BJ917" s="33">
        <f t="shared" si="205"/>
        <v>0</v>
      </c>
      <c r="BK917" s="30"/>
      <c r="BL917" s="30"/>
      <c r="BM917" s="30"/>
      <c r="BN917" s="31">
        <f t="shared" si="206"/>
        <v>11.8</v>
      </c>
      <c r="BO917" s="33">
        <f t="shared" si="199"/>
        <v>401.20000000000005</v>
      </c>
      <c r="BP917" s="30">
        <v>2</v>
      </c>
      <c r="BQ917" s="30">
        <v>5</v>
      </c>
      <c r="BR917" s="30"/>
      <c r="BS917" s="30"/>
      <c r="BT917" s="34">
        <f t="shared" si="200"/>
        <v>20</v>
      </c>
      <c r="BU917" s="34"/>
      <c r="BV917" s="34"/>
      <c r="BW917" s="34"/>
      <c r="BX917" s="34"/>
      <c r="BY917" s="30"/>
      <c r="BZ917" s="31">
        <f t="shared" si="201"/>
        <v>40</v>
      </c>
      <c r="CA917" s="31">
        <f t="shared" si="202"/>
        <v>100</v>
      </c>
    </row>
    <row r="918" spans="1:79" ht="76.5" x14ac:dyDescent="0.25">
      <c r="A918" s="17"/>
      <c r="B918" s="2">
        <v>902</v>
      </c>
      <c r="C918" s="18">
        <v>645</v>
      </c>
      <c r="D918" s="21">
        <v>784</v>
      </c>
      <c r="E918" s="19">
        <v>0.27083333333333331</v>
      </c>
      <c r="F918" s="19">
        <v>0.27430555555555552</v>
      </c>
      <c r="G918" s="18" t="s">
        <v>1836</v>
      </c>
      <c r="H918" s="18" t="s">
        <v>273</v>
      </c>
      <c r="I918" s="20">
        <v>2.5</v>
      </c>
      <c r="J918" s="21" t="s">
        <v>380</v>
      </c>
      <c r="K918" s="22">
        <v>174</v>
      </c>
      <c r="L918" s="23">
        <f t="shared" si="192"/>
        <v>435</v>
      </c>
      <c r="M918" s="24" t="s">
        <v>1837</v>
      </c>
      <c r="N918" s="25" t="s">
        <v>1838</v>
      </c>
      <c r="O918" s="25">
        <v>9</v>
      </c>
      <c r="P918" s="25" t="s">
        <v>1839</v>
      </c>
      <c r="Q918" s="25">
        <v>8</v>
      </c>
      <c r="R918" s="17"/>
      <c r="S918" s="25"/>
      <c r="T918" s="26">
        <v>6402</v>
      </c>
      <c r="U918" s="26" t="s">
        <v>1840</v>
      </c>
      <c r="V918" s="26" t="s">
        <v>1841</v>
      </c>
      <c r="W918" s="26" t="s">
        <v>1842</v>
      </c>
      <c r="X918" s="66">
        <v>44816</v>
      </c>
      <c r="Y918" s="66">
        <v>45086</v>
      </c>
      <c r="Z918" s="66"/>
      <c r="AA918" s="66"/>
      <c r="AB918" s="26" t="s">
        <v>282</v>
      </c>
      <c r="AC918" s="26"/>
      <c r="AD918" s="28"/>
      <c r="AE918" s="28"/>
      <c r="AF918" s="28"/>
      <c r="AG918" s="28" t="s">
        <v>90</v>
      </c>
      <c r="AH918" s="28" t="s">
        <v>90</v>
      </c>
      <c r="AI918" s="28" t="s">
        <v>90</v>
      </c>
      <c r="AJ918" s="28" t="s">
        <v>90</v>
      </c>
      <c r="AK918" s="28" t="s">
        <v>90</v>
      </c>
      <c r="AL918" s="28" t="s">
        <v>90</v>
      </c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9">
        <v>8.1999999999999993</v>
      </c>
      <c r="AY918" s="29"/>
      <c r="AZ918" s="30"/>
      <c r="BA918" s="30"/>
      <c r="BB918" s="30"/>
      <c r="BC918" s="30"/>
      <c r="BD918" s="31">
        <f t="shared" si="191"/>
        <v>1426.8</v>
      </c>
      <c r="BE918" s="31"/>
      <c r="BF918" s="30"/>
      <c r="BG918" s="36">
        <v>1</v>
      </c>
      <c r="BH918" s="31">
        <f t="shared" si="203"/>
        <v>0</v>
      </c>
      <c r="BI918" s="31">
        <f t="shared" si="204"/>
        <v>0</v>
      </c>
      <c r="BJ918" s="33">
        <f t="shared" si="205"/>
        <v>0</v>
      </c>
      <c r="BK918" s="30"/>
      <c r="BL918" s="30"/>
      <c r="BM918" s="30"/>
      <c r="BN918" s="31">
        <f t="shared" si="206"/>
        <v>11.8</v>
      </c>
      <c r="BO918" s="33">
        <f t="shared" si="199"/>
        <v>2053.2000000000003</v>
      </c>
      <c r="BP918" s="30">
        <v>15</v>
      </c>
      <c r="BQ918" s="30">
        <v>20</v>
      </c>
      <c r="BR918" s="30"/>
      <c r="BS918" s="30"/>
      <c r="BT918" s="34">
        <f t="shared" si="200"/>
        <v>20</v>
      </c>
      <c r="BU918" s="34"/>
      <c r="BV918" s="34"/>
      <c r="BW918" s="34"/>
      <c r="BX918" s="34"/>
      <c r="BY918" s="30"/>
      <c r="BZ918" s="31">
        <f t="shared" si="201"/>
        <v>300</v>
      </c>
      <c r="CA918" s="31">
        <f t="shared" si="202"/>
        <v>400</v>
      </c>
    </row>
    <row r="919" spans="1:79" ht="51" x14ac:dyDescent="0.25">
      <c r="A919" s="17"/>
      <c r="B919" s="2">
        <v>903</v>
      </c>
      <c r="C919" s="18">
        <v>645</v>
      </c>
      <c r="D919" s="21">
        <v>639</v>
      </c>
      <c r="E919" s="19">
        <v>0.27430555555555552</v>
      </c>
      <c r="F919" s="19">
        <v>0.27777777777777779</v>
      </c>
      <c r="G919" s="18" t="s">
        <v>1843</v>
      </c>
      <c r="H919" s="18" t="s">
        <v>273</v>
      </c>
      <c r="I919" s="20">
        <v>2.5</v>
      </c>
      <c r="J919" s="21" t="s">
        <v>380</v>
      </c>
      <c r="K919" s="22">
        <v>174</v>
      </c>
      <c r="L919" s="23">
        <f t="shared" si="192"/>
        <v>435</v>
      </c>
      <c r="M919" s="24" t="s">
        <v>1837</v>
      </c>
      <c r="N919" s="25" t="s">
        <v>1838</v>
      </c>
      <c r="O919" s="25">
        <v>9</v>
      </c>
      <c r="P919" s="25" t="s">
        <v>1839</v>
      </c>
      <c r="Q919" s="25">
        <v>8</v>
      </c>
      <c r="R919" s="17"/>
      <c r="S919" s="25"/>
      <c r="T919" s="26" t="s">
        <v>1841</v>
      </c>
      <c r="U919" s="26" t="s">
        <v>1842</v>
      </c>
      <c r="V919" s="26">
        <v>6402</v>
      </c>
      <c r="W919" s="26" t="s">
        <v>1840</v>
      </c>
      <c r="X919" s="66">
        <v>44816</v>
      </c>
      <c r="Y919" s="66">
        <v>45086</v>
      </c>
      <c r="Z919" s="66"/>
      <c r="AA919" s="66"/>
      <c r="AB919" s="26" t="s">
        <v>282</v>
      </c>
      <c r="AC919" s="26"/>
      <c r="AD919" s="28"/>
      <c r="AE919" s="28"/>
      <c r="AF919" s="28"/>
      <c r="AG919" s="28" t="s">
        <v>90</v>
      </c>
      <c r="AH919" s="28" t="s">
        <v>90</v>
      </c>
      <c r="AI919" s="28" t="s">
        <v>90</v>
      </c>
      <c r="AJ919" s="28" t="s">
        <v>90</v>
      </c>
      <c r="AK919" s="28" t="s">
        <v>90</v>
      </c>
      <c r="AL919" s="28" t="s">
        <v>90</v>
      </c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9">
        <v>8.1999999999999993</v>
      </c>
      <c r="AY919" s="29"/>
      <c r="AZ919" s="30"/>
      <c r="BA919" s="30"/>
      <c r="BB919" s="30"/>
      <c r="BC919" s="30"/>
      <c r="BD919" s="31">
        <f t="shared" ref="BD919:BD944" si="207">AX919*K919</f>
        <v>1426.8</v>
      </c>
      <c r="BE919" s="31"/>
      <c r="BF919" s="30"/>
      <c r="BG919" s="36">
        <v>1</v>
      </c>
      <c r="BH919" s="31">
        <f t="shared" si="203"/>
        <v>0</v>
      </c>
      <c r="BI919" s="31">
        <f t="shared" si="204"/>
        <v>0</v>
      </c>
      <c r="BJ919" s="33">
        <f t="shared" si="205"/>
        <v>0</v>
      </c>
      <c r="BK919" s="30"/>
      <c r="BL919" s="30"/>
      <c r="BM919" s="30"/>
      <c r="BN919" s="31">
        <f t="shared" si="206"/>
        <v>11.8</v>
      </c>
      <c r="BO919" s="33">
        <f t="shared" si="199"/>
        <v>2053.2000000000003</v>
      </c>
      <c r="BP919" s="30">
        <v>15</v>
      </c>
      <c r="BQ919" s="30">
        <v>20</v>
      </c>
      <c r="BR919" s="30"/>
      <c r="BS919" s="30"/>
      <c r="BT919" s="34">
        <f t="shared" si="200"/>
        <v>20</v>
      </c>
      <c r="BU919" s="34"/>
      <c r="BV919" s="34"/>
      <c r="BW919" s="34"/>
      <c r="BX919" s="34"/>
      <c r="BY919" s="30"/>
      <c r="BZ919" s="31">
        <f t="shared" si="201"/>
        <v>300</v>
      </c>
      <c r="CA919" s="31">
        <f t="shared" si="202"/>
        <v>400</v>
      </c>
    </row>
    <row r="920" spans="1:79" ht="51" x14ac:dyDescent="0.25">
      <c r="A920" s="17"/>
      <c r="B920" s="2">
        <v>904</v>
      </c>
      <c r="C920" s="18">
        <v>645</v>
      </c>
      <c r="D920" s="21">
        <v>639</v>
      </c>
      <c r="E920" s="19">
        <v>0.27430555555555552</v>
      </c>
      <c r="F920" s="19">
        <v>0.27638888888888885</v>
      </c>
      <c r="G920" s="18" t="s">
        <v>1844</v>
      </c>
      <c r="H920" s="18" t="s">
        <v>1393</v>
      </c>
      <c r="I920" s="20">
        <v>1.5</v>
      </c>
      <c r="J920" s="21" t="s">
        <v>380</v>
      </c>
      <c r="K920" s="22">
        <v>34</v>
      </c>
      <c r="L920" s="23">
        <f t="shared" ref="L920:L958" si="208">+K920*I920</f>
        <v>51</v>
      </c>
      <c r="M920" s="24" t="s">
        <v>1837</v>
      </c>
      <c r="N920" s="25" t="s">
        <v>1838</v>
      </c>
      <c r="O920" s="25">
        <v>9</v>
      </c>
      <c r="P920" s="25" t="s">
        <v>1839</v>
      </c>
      <c r="Q920" s="25">
        <v>8</v>
      </c>
      <c r="R920" s="17"/>
      <c r="S920" s="25"/>
      <c r="T920" s="26" t="s">
        <v>1845</v>
      </c>
      <c r="U920" s="26" t="s">
        <v>1846</v>
      </c>
      <c r="V920" s="26">
        <v>6402</v>
      </c>
      <c r="W920" s="26" t="s">
        <v>1840</v>
      </c>
      <c r="X920" s="66">
        <v>44816</v>
      </c>
      <c r="Y920" s="66">
        <v>45086</v>
      </c>
      <c r="Z920" s="66"/>
      <c r="AA920" s="66"/>
      <c r="AB920" s="28" t="s">
        <v>382</v>
      </c>
      <c r="AC920" s="28"/>
      <c r="AD920" s="28"/>
      <c r="AE920" s="28"/>
      <c r="AF920" s="28"/>
      <c r="AG920" s="28" t="s">
        <v>90</v>
      </c>
      <c r="AH920" s="28"/>
      <c r="AI920" s="28"/>
      <c r="AJ920" s="28"/>
      <c r="AK920" s="28"/>
      <c r="AL920" s="28"/>
      <c r="AM920" s="28" t="s">
        <v>90</v>
      </c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9">
        <v>10</v>
      </c>
      <c r="AY920" s="29"/>
      <c r="AZ920" s="30"/>
      <c r="BA920" s="30"/>
      <c r="BB920" s="30"/>
      <c r="BC920" s="30"/>
      <c r="BD920" s="31">
        <f t="shared" si="207"/>
        <v>340</v>
      </c>
      <c r="BE920" s="31"/>
      <c r="BF920" s="30"/>
      <c r="BG920" s="36">
        <v>1</v>
      </c>
      <c r="BH920" s="31">
        <f t="shared" si="203"/>
        <v>0</v>
      </c>
      <c r="BI920" s="31">
        <f t="shared" si="204"/>
        <v>0</v>
      </c>
      <c r="BJ920" s="33">
        <f t="shared" si="205"/>
        <v>0</v>
      </c>
      <c r="BK920" s="30"/>
      <c r="BL920" s="30"/>
      <c r="BM920" s="30"/>
      <c r="BN920" s="31">
        <f t="shared" si="206"/>
        <v>10</v>
      </c>
      <c r="BO920" s="33">
        <f t="shared" si="199"/>
        <v>340</v>
      </c>
      <c r="BP920" s="30">
        <v>2</v>
      </c>
      <c r="BQ920" s="30">
        <v>5</v>
      </c>
      <c r="BR920" s="30"/>
      <c r="BS920" s="30"/>
      <c r="BT920" s="34">
        <f t="shared" si="200"/>
        <v>20</v>
      </c>
      <c r="BU920" s="34"/>
      <c r="BV920" s="34"/>
      <c r="BW920" s="34"/>
      <c r="BX920" s="34"/>
      <c r="BY920" s="30"/>
      <c r="BZ920" s="31">
        <f t="shared" si="201"/>
        <v>40</v>
      </c>
      <c r="CA920" s="31">
        <f t="shared" si="202"/>
        <v>100</v>
      </c>
    </row>
    <row r="921" spans="1:79" ht="67.5" x14ac:dyDescent="0.25">
      <c r="A921" s="17"/>
      <c r="B921" s="2">
        <v>905</v>
      </c>
      <c r="C921" s="18">
        <v>645</v>
      </c>
      <c r="D921" s="18">
        <v>418</v>
      </c>
      <c r="E921" s="19">
        <v>0.28819444444444448</v>
      </c>
      <c r="F921" s="19">
        <v>0.2902777777777778</v>
      </c>
      <c r="G921" s="18" t="s">
        <v>1847</v>
      </c>
      <c r="H921" s="18" t="s">
        <v>306</v>
      </c>
      <c r="I921" s="20">
        <v>2</v>
      </c>
      <c r="J921" s="21" t="s">
        <v>516</v>
      </c>
      <c r="K921" s="22">
        <v>208</v>
      </c>
      <c r="L921" s="23">
        <f t="shared" si="208"/>
        <v>416</v>
      </c>
      <c r="M921" s="24" t="s">
        <v>442</v>
      </c>
      <c r="N921" s="25" t="s">
        <v>1848</v>
      </c>
      <c r="O921" s="25">
        <v>9</v>
      </c>
      <c r="P921" s="25" t="s">
        <v>1807</v>
      </c>
      <c r="Q921" s="25">
        <v>17</v>
      </c>
      <c r="R921" s="25" t="s">
        <v>1849</v>
      </c>
      <c r="S921" s="35">
        <v>7</v>
      </c>
      <c r="T921" s="26" t="s">
        <v>1850</v>
      </c>
      <c r="U921" s="26" t="s">
        <v>1851</v>
      </c>
      <c r="V921" s="26">
        <v>6350</v>
      </c>
      <c r="W921" s="26" t="s">
        <v>1852</v>
      </c>
      <c r="X921" s="66">
        <v>44816</v>
      </c>
      <c r="Y921" s="66">
        <v>45086</v>
      </c>
      <c r="Z921" s="66"/>
      <c r="AA921" s="66"/>
      <c r="AB921" s="26" t="s">
        <v>309</v>
      </c>
      <c r="AC921" s="26"/>
      <c r="AD921" s="28"/>
      <c r="AE921" s="28"/>
      <c r="AF921" s="28"/>
      <c r="AG921" s="28" t="s">
        <v>90</v>
      </c>
      <c r="AH921" s="28" t="s">
        <v>90</v>
      </c>
      <c r="AI921" s="28" t="s">
        <v>90</v>
      </c>
      <c r="AJ921" s="28" t="s">
        <v>90</v>
      </c>
      <c r="AK921" s="28" t="s">
        <v>90</v>
      </c>
      <c r="AL921" s="28" t="s">
        <v>90</v>
      </c>
      <c r="AM921" s="28" t="s">
        <v>90</v>
      </c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9">
        <v>10</v>
      </c>
      <c r="AY921" s="29"/>
      <c r="AZ921" s="30"/>
      <c r="BA921" s="30"/>
      <c r="BB921" s="30"/>
      <c r="BC921" s="30"/>
      <c r="BD921" s="31">
        <f t="shared" si="207"/>
        <v>2080</v>
      </c>
      <c r="BE921" s="31"/>
      <c r="BF921" s="30"/>
      <c r="BG921" s="36">
        <v>1</v>
      </c>
      <c r="BH921" s="31">
        <f t="shared" si="203"/>
        <v>0</v>
      </c>
      <c r="BI921" s="31">
        <f t="shared" si="204"/>
        <v>0</v>
      </c>
      <c r="BJ921" s="33">
        <f t="shared" si="205"/>
        <v>0</v>
      </c>
      <c r="BK921" s="30"/>
      <c r="BL921" s="30"/>
      <c r="BM921" s="30"/>
      <c r="BN921" s="31">
        <f t="shared" si="206"/>
        <v>10</v>
      </c>
      <c r="BO921" s="33">
        <f t="shared" si="199"/>
        <v>2080</v>
      </c>
      <c r="BP921" s="30">
        <v>17</v>
      </c>
      <c r="BQ921" s="30">
        <v>25</v>
      </c>
      <c r="BR921" s="30"/>
      <c r="BS921" s="30"/>
      <c r="BT921" s="34">
        <f t="shared" si="200"/>
        <v>20</v>
      </c>
      <c r="BU921" s="34"/>
      <c r="BV921" s="34"/>
      <c r="BW921" s="34"/>
      <c r="BX921" s="34"/>
      <c r="BY921" s="30"/>
      <c r="BZ921" s="31">
        <f t="shared" si="201"/>
        <v>340</v>
      </c>
      <c r="CA921" s="31">
        <f t="shared" si="202"/>
        <v>500</v>
      </c>
    </row>
    <row r="922" spans="1:79" ht="90" x14ac:dyDescent="0.25">
      <c r="A922" s="17"/>
      <c r="B922" s="2">
        <v>906</v>
      </c>
      <c r="C922" s="18">
        <v>645</v>
      </c>
      <c r="D922" s="18">
        <v>43</v>
      </c>
      <c r="E922" s="19">
        <v>0.3611111111111111</v>
      </c>
      <c r="F922" s="19">
        <v>0.36805555555555558</v>
      </c>
      <c r="G922" s="18" t="s">
        <v>1853</v>
      </c>
      <c r="H922" s="18" t="s">
        <v>1854</v>
      </c>
      <c r="I922" s="20">
        <v>6</v>
      </c>
      <c r="J922" s="40">
        <v>23</v>
      </c>
      <c r="K922" s="22">
        <v>4</v>
      </c>
      <c r="L922" s="23">
        <f t="shared" si="208"/>
        <v>24</v>
      </c>
      <c r="M922" s="24" t="s">
        <v>1667</v>
      </c>
      <c r="N922" s="25" t="s">
        <v>1685</v>
      </c>
      <c r="O922" s="25">
        <v>24</v>
      </c>
      <c r="P922" s="25" t="s">
        <v>1668</v>
      </c>
      <c r="Q922" s="25">
        <v>21</v>
      </c>
      <c r="R922" s="17"/>
      <c r="S922" s="25"/>
      <c r="T922" s="26" t="s">
        <v>1855</v>
      </c>
      <c r="U922" s="26" t="s">
        <v>1856</v>
      </c>
      <c r="V922" s="26">
        <v>6300</v>
      </c>
      <c r="W922" s="26" t="s">
        <v>250</v>
      </c>
      <c r="X922" s="27">
        <v>44562</v>
      </c>
      <c r="Y922" s="27">
        <v>44815</v>
      </c>
      <c r="Z922" s="27">
        <v>45101</v>
      </c>
      <c r="AA922" s="27">
        <v>45169</v>
      </c>
      <c r="AB922" s="28" t="s">
        <v>1857</v>
      </c>
      <c r="AC922" s="28" t="s">
        <v>628</v>
      </c>
      <c r="AD922" s="28"/>
      <c r="AE922" s="28" t="s">
        <v>90</v>
      </c>
      <c r="AF922" s="28" t="s">
        <v>90</v>
      </c>
      <c r="AG922" s="28"/>
      <c r="AH922" s="28"/>
      <c r="AI922" s="28"/>
      <c r="AJ922" s="28" t="s">
        <v>90</v>
      </c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9">
        <v>18</v>
      </c>
      <c r="AY922" s="29"/>
      <c r="AZ922" s="30"/>
      <c r="BA922" s="30"/>
      <c r="BB922" s="30"/>
      <c r="BC922" s="30"/>
      <c r="BD922" s="31">
        <f t="shared" si="207"/>
        <v>72</v>
      </c>
      <c r="BE922" s="31"/>
      <c r="BF922" s="30"/>
      <c r="BG922" s="36">
        <v>1</v>
      </c>
      <c r="BH922" s="31">
        <f t="shared" si="203"/>
        <v>0</v>
      </c>
      <c r="BI922" s="31">
        <f t="shared" si="204"/>
        <v>0</v>
      </c>
      <c r="BJ922" s="33">
        <f t="shared" si="205"/>
        <v>0</v>
      </c>
      <c r="BK922" s="30"/>
      <c r="BL922" s="30"/>
      <c r="BM922" s="30"/>
      <c r="BN922" s="30"/>
      <c r="BO922" s="33">
        <f t="shared" si="199"/>
        <v>0</v>
      </c>
      <c r="BP922" s="30">
        <v>0</v>
      </c>
      <c r="BQ922" s="30">
        <v>0</v>
      </c>
      <c r="BR922" s="30"/>
      <c r="BS922" s="30"/>
      <c r="BT922" s="34">
        <f t="shared" si="200"/>
        <v>18</v>
      </c>
      <c r="BU922" s="34"/>
      <c r="BV922" s="34"/>
      <c r="BW922" s="34"/>
      <c r="BX922" s="34"/>
      <c r="BY922" s="30"/>
      <c r="BZ922" s="31">
        <f t="shared" si="201"/>
        <v>0</v>
      </c>
      <c r="CA922" s="31">
        <f t="shared" si="202"/>
        <v>0</v>
      </c>
    </row>
    <row r="923" spans="1:79" ht="51" x14ac:dyDescent="0.25">
      <c r="A923" s="17"/>
      <c r="B923" s="2">
        <v>907</v>
      </c>
      <c r="C923" s="18">
        <v>645</v>
      </c>
      <c r="D923" s="21">
        <v>739</v>
      </c>
      <c r="E923" s="19">
        <v>0.3611111111111111</v>
      </c>
      <c r="F923" s="19">
        <v>0.375</v>
      </c>
      <c r="G923" s="18" t="s">
        <v>1858</v>
      </c>
      <c r="H923" s="18" t="s">
        <v>1859</v>
      </c>
      <c r="I923" s="20">
        <v>9</v>
      </c>
      <c r="J923" s="21" t="s">
        <v>93</v>
      </c>
      <c r="K923" s="22">
        <v>104</v>
      </c>
      <c r="L923" s="23">
        <f t="shared" si="208"/>
        <v>936</v>
      </c>
      <c r="M923" s="24" t="s">
        <v>1837</v>
      </c>
      <c r="N923" s="25" t="s">
        <v>1860</v>
      </c>
      <c r="O923" s="25">
        <v>23</v>
      </c>
      <c r="P923" s="25" t="s">
        <v>1861</v>
      </c>
      <c r="Q923" s="25">
        <v>21</v>
      </c>
      <c r="R923" s="25"/>
      <c r="S923" s="25"/>
      <c r="T923" s="26" t="s">
        <v>1862</v>
      </c>
      <c r="U923" s="26" t="s">
        <v>1863</v>
      </c>
      <c r="V923" s="26">
        <v>6405</v>
      </c>
      <c r="W923" s="26" t="s">
        <v>1864</v>
      </c>
      <c r="X923" s="66">
        <v>44805</v>
      </c>
      <c r="Y923" s="66">
        <v>45169</v>
      </c>
      <c r="Z923" s="66"/>
      <c r="AA923" s="66"/>
      <c r="AB923" s="62" t="s">
        <v>1865</v>
      </c>
      <c r="AC923" s="62"/>
      <c r="AD923" s="28" t="s">
        <v>90</v>
      </c>
      <c r="AE923" s="28" t="s">
        <v>90</v>
      </c>
      <c r="AF923" s="28" t="s">
        <v>90</v>
      </c>
      <c r="AG923" s="28"/>
      <c r="AH923" s="28"/>
      <c r="AI923" s="28" t="s">
        <v>90</v>
      </c>
      <c r="AJ923" s="28"/>
      <c r="AK923" s="28"/>
      <c r="AL923" s="28" t="s">
        <v>90</v>
      </c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9">
        <v>50.17</v>
      </c>
      <c r="AY923" s="29"/>
      <c r="AZ923" s="30"/>
      <c r="BA923" s="30"/>
      <c r="BB923" s="30"/>
      <c r="BC923" s="30"/>
      <c r="BD923" s="31">
        <f t="shared" si="207"/>
        <v>5217.68</v>
      </c>
      <c r="BE923" s="31"/>
      <c r="BF923" s="30"/>
      <c r="BG923" s="36">
        <v>1</v>
      </c>
      <c r="BH923" s="31">
        <f t="shared" si="203"/>
        <v>0</v>
      </c>
      <c r="BI923" s="31">
        <f t="shared" si="204"/>
        <v>0</v>
      </c>
      <c r="BJ923" s="33">
        <f t="shared" si="205"/>
        <v>0</v>
      </c>
      <c r="BK923" s="30"/>
      <c r="BL923" s="30"/>
      <c r="BM923" s="30"/>
      <c r="BN923" s="30"/>
      <c r="BO923" s="33">
        <f t="shared" si="199"/>
        <v>0</v>
      </c>
      <c r="BP923" s="30">
        <v>9</v>
      </c>
      <c r="BQ923" s="30">
        <v>8</v>
      </c>
      <c r="BR923" s="30"/>
      <c r="BS923" s="30"/>
      <c r="BT923" s="34">
        <f t="shared" si="200"/>
        <v>50.17</v>
      </c>
      <c r="BU923" s="34"/>
      <c r="BV923" s="34"/>
      <c r="BW923" s="34"/>
      <c r="BX923" s="34"/>
      <c r="BY923" s="30"/>
      <c r="BZ923" s="31">
        <f t="shared" si="201"/>
        <v>451.53000000000003</v>
      </c>
      <c r="CA923" s="31">
        <f t="shared" si="202"/>
        <v>401.36</v>
      </c>
    </row>
    <row r="924" spans="1:79" ht="51" x14ac:dyDescent="0.25">
      <c r="A924" s="17"/>
      <c r="B924" s="2">
        <v>908</v>
      </c>
      <c r="C924" s="18">
        <v>645</v>
      </c>
      <c r="D924" s="18">
        <v>741</v>
      </c>
      <c r="E924" s="19">
        <v>0.45833333333333331</v>
      </c>
      <c r="F924" s="19">
        <v>0.47222222222222227</v>
      </c>
      <c r="G924" s="18" t="s">
        <v>1866</v>
      </c>
      <c r="H924" s="18" t="s">
        <v>1859</v>
      </c>
      <c r="I924" s="20">
        <v>9</v>
      </c>
      <c r="J924" s="21" t="s">
        <v>93</v>
      </c>
      <c r="K924" s="22">
        <v>104</v>
      </c>
      <c r="L924" s="23">
        <f t="shared" si="208"/>
        <v>936</v>
      </c>
      <c r="M924" s="24" t="s">
        <v>1837</v>
      </c>
      <c r="N924" s="25" t="s">
        <v>1860</v>
      </c>
      <c r="O924" s="25">
        <v>23</v>
      </c>
      <c r="P924" s="25" t="s">
        <v>1861</v>
      </c>
      <c r="Q924" s="25">
        <v>21</v>
      </c>
      <c r="R924" s="25"/>
      <c r="S924" s="25"/>
      <c r="T924" s="26">
        <v>6405</v>
      </c>
      <c r="U924" s="26" t="s">
        <v>1864</v>
      </c>
      <c r="V924" s="26" t="s">
        <v>1841</v>
      </c>
      <c r="W924" s="26" t="s">
        <v>1842</v>
      </c>
      <c r="X924" s="66">
        <v>44805</v>
      </c>
      <c r="Y924" s="66">
        <v>45169</v>
      </c>
      <c r="Z924" s="66"/>
      <c r="AA924" s="66"/>
      <c r="AB924" s="62" t="s">
        <v>1865</v>
      </c>
      <c r="AC924" s="62"/>
      <c r="AD924" s="28" t="s">
        <v>90</v>
      </c>
      <c r="AE924" s="28" t="s">
        <v>90</v>
      </c>
      <c r="AF924" s="28" t="s">
        <v>90</v>
      </c>
      <c r="AG924" s="28"/>
      <c r="AH924" s="28"/>
      <c r="AI924" s="28" t="s">
        <v>90</v>
      </c>
      <c r="AJ924" s="28"/>
      <c r="AK924" s="28"/>
      <c r="AL924" s="28" t="s">
        <v>90</v>
      </c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9">
        <v>50.17</v>
      </c>
      <c r="AY924" s="29"/>
      <c r="AZ924" s="30"/>
      <c r="BA924" s="30"/>
      <c r="BB924" s="30"/>
      <c r="BC924" s="30"/>
      <c r="BD924" s="31">
        <f t="shared" si="207"/>
        <v>5217.68</v>
      </c>
      <c r="BE924" s="31"/>
      <c r="BF924" s="30"/>
      <c r="BG924" s="36">
        <v>1</v>
      </c>
      <c r="BH924" s="31">
        <f t="shared" si="203"/>
        <v>0</v>
      </c>
      <c r="BI924" s="31">
        <f t="shared" si="204"/>
        <v>0</v>
      </c>
      <c r="BJ924" s="33">
        <f t="shared" si="205"/>
        <v>0</v>
      </c>
      <c r="BK924" s="30"/>
      <c r="BL924" s="30"/>
      <c r="BM924" s="30"/>
      <c r="BN924" s="30"/>
      <c r="BO924" s="33">
        <f t="shared" si="199"/>
        <v>0</v>
      </c>
      <c r="BP924" s="30">
        <v>9</v>
      </c>
      <c r="BQ924" s="30">
        <v>8</v>
      </c>
      <c r="BR924" s="30"/>
      <c r="BS924" s="30"/>
      <c r="BT924" s="34">
        <f t="shared" si="200"/>
        <v>50.17</v>
      </c>
      <c r="BU924" s="34"/>
      <c r="BV924" s="34"/>
      <c r="BW924" s="34"/>
      <c r="BX924" s="34"/>
      <c r="BY924" s="30"/>
      <c r="BZ924" s="31">
        <f t="shared" si="201"/>
        <v>451.53000000000003</v>
      </c>
      <c r="CA924" s="31">
        <f t="shared" si="202"/>
        <v>401.36</v>
      </c>
    </row>
    <row r="925" spans="1:79" ht="90" x14ac:dyDescent="0.25">
      <c r="A925" s="17"/>
      <c r="B925" s="2">
        <v>909</v>
      </c>
      <c r="C925" s="18">
        <v>645</v>
      </c>
      <c r="D925" s="18">
        <v>44</v>
      </c>
      <c r="E925" s="59">
        <v>0.51388888888888895</v>
      </c>
      <c r="F925" s="59">
        <v>0.52083333333333337</v>
      </c>
      <c r="G925" s="18" t="s">
        <v>1867</v>
      </c>
      <c r="H925" s="18" t="s">
        <v>1854</v>
      </c>
      <c r="I925" s="20">
        <v>6</v>
      </c>
      <c r="J925" s="40">
        <v>23</v>
      </c>
      <c r="K925" s="22">
        <v>4</v>
      </c>
      <c r="L925" s="23">
        <f t="shared" si="208"/>
        <v>24</v>
      </c>
      <c r="M925" s="24" t="s">
        <v>1667</v>
      </c>
      <c r="N925" s="25" t="s">
        <v>1685</v>
      </c>
      <c r="O925" s="25">
        <v>24</v>
      </c>
      <c r="P925" s="25" t="s">
        <v>1668</v>
      </c>
      <c r="Q925" s="25">
        <v>21</v>
      </c>
      <c r="R925" s="17"/>
      <c r="S925" s="25"/>
      <c r="T925" s="26">
        <v>6300</v>
      </c>
      <c r="U925" s="26" t="s">
        <v>250</v>
      </c>
      <c r="V925" s="26" t="s">
        <v>1855</v>
      </c>
      <c r="W925" s="26" t="s">
        <v>1856</v>
      </c>
      <c r="X925" s="27">
        <v>44562</v>
      </c>
      <c r="Y925" s="27">
        <v>44815</v>
      </c>
      <c r="Z925" s="27">
        <v>45101</v>
      </c>
      <c r="AA925" s="27">
        <v>45169</v>
      </c>
      <c r="AB925" s="28" t="s">
        <v>1857</v>
      </c>
      <c r="AC925" s="28" t="s">
        <v>628</v>
      </c>
      <c r="AD925" s="28"/>
      <c r="AE925" s="28" t="s">
        <v>90</v>
      </c>
      <c r="AF925" s="28" t="s">
        <v>90</v>
      </c>
      <c r="AG925" s="28"/>
      <c r="AH925" s="28"/>
      <c r="AI925" s="28"/>
      <c r="AJ925" s="28" t="s">
        <v>90</v>
      </c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9">
        <v>18</v>
      </c>
      <c r="AY925" s="29"/>
      <c r="AZ925" s="30"/>
      <c r="BA925" s="30"/>
      <c r="BB925" s="30"/>
      <c r="BC925" s="30"/>
      <c r="BD925" s="31">
        <f t="shared" si="207"/>
        <v>72</v>
      </c>
      <c r="BE925" s="31"/>
      <c r="BF925" s="30"/>
      <c r="BG925" s="36">
        <v>1</v>
      </c>
      <c r="BH925" s="31">
        <f t="shared" si="203"/>
        <v>0</v>
      </c>
      <c r="BI925" s="31">
        <f t="shared" si="204"/>
        <v>0</v>
      </c>
      <c r="BJ925" s="33">
        <f t="shared" si="205"/>
        <v>0</v>
      </c>
      <c r="BK925" s="30"/>
      <c r="BL925" s="30"/>
      <c r="BM925" s="30"/>
      <c r="BN925" s="30"/>
      <c r="BO925" s="33">
        <f t="shared" si="199"/>
        <v>0</v>
      </c>
      <c r="BP925" s="30">
        <v>0</v>
      </c>
      <c r="BQ925" s="30">
        <v>0</v>
      </c>
      <c r="BR925" s="30"/>
      <c r="BS925" s="30"/>
      <c r="BT925" s="34">
        <f t="shared" si="200"/>
        <v>18</v>
      </c>
      <c r="BU925" s="34"/>
      <c r="BV925" s="34"/>
      <c r="BW925" s="34"/>
      <c r="BX925" s="34"/>
      <c r="BY925" s="30"/>
      <c r="BZ925" s="31">
        <f t="shared" si="201"/>
        <v>0</v>
      </c>
      <c r="CA925" s="31">
        <f t="shared" si="202"/>
        <v>0</v>
      </c>
    </row>
    <row r="926" spans="1:79" ht="76.5" x14ac:dyDescent="0.25">
      <c r="A926" s="17"/>
      <c r="B926" s="2">
        <v>910</v>
      </c>
      <c r="C926" s="18">
        <v>645</v>
      </c>
      <c r="D926" s="18">
        <v>786</v>
      </c>
      <c r="E926" s="19">
        <v>0.54583333333333328</v>
      </c>
      <c r="F926" s="19">
        <v>0.54722222222222217</v>
      </c>
      <c r="G926" s="18" t="s">
        <v>1868</v>
      </c>
      <c r="H926" s="18" t="s">
        <v>306</v>
      </c>
      <c r="I926" s="20">
        <v>3</v>
      </c>
      <c r="J926" s="21" t="s">
        <v>93</v>
      </c>
      <c r="K926" s="22">
        <v>208</v>
      </c>
      <c r="L926" s="23">
        <f t="shared" si="208"/>
        <v>624</v>
      </c>
      <c r="M926" s="24" t="s">
        <v>1837</v>
      </c>
      <c r="N926" s="25" t="s">
        <v>1869</v>
      </c>
      <c r="O926" s="25">
        <v>21</v>
      </c>
      <c r="P926" s="25" t="s">
        <v>1870</v>
      </c>
      <c r="Q926" s="25">
        <v>23</v>
      </c>
      <c r="R926" s="25"/>
      <c r="S926" s="25"/>
      <c r="T926" s="26">
        <v>6403</v>
      </c>
      <c r="U926" s="26" t="s">
        <v>1871</v>
      </c>
      <c r="V926" s="26">
        <v>6403</v>
      </c>
      <c r="W926" s="26" t="s">
        <v>1871</v>
      </c>
      <c r="X926" s="66">
        <v>44816</v>
      </c>
      <c r="Y926" s="66">
        <v>45086</v>
      </c>
      <c r="Z926" s="66"/>
      <c r="AA926" s="66"/>
      <c r="AB926" s="26" t="s">
        <v>309</v>
      </c>
      <c r="AC926" s="26"/>
      <c r="AD926" s="28"/>
      <c r="AE926" s="28"/>
      <c r="AF926" s="28"/>
      <c r="AG926" s="28" t="s">
        <v>90</v>
      </c>
      <c r="AH926" s="28" t="s">
        <v>90</v>
      </c>
      <c r="AI926" s="28" t="s">
        <v>90</v>
      </c>
      <c r="AJ926" s="28" t="s">
        <v>90</v>
      </c>
      <c r="AK926" s="28" t="s">
        <v>90</v>
      </c>
      <c r="AL926" s="28" t="s">
        <v>90</v>
      </c>
      <c r="AM926" s="28" t="s">
        <v>90</v>
      </c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9">
        <v>9</v>
      </c>
      <c r="AY926" s="29"/>
      <c r="AZ926" s="30"/>
      <c r="BA926" s="30"/>
      <c r="BB926" s="30"/>
      <c r="BC926" s="30"/>
      <c r="BD926" s="31">
        <f t="shared" si="207"/>
        <v>1872</v>
      </c>
      <c r="BE926" s="31"/>
      <c r="BF926" s="30"/>
      <c r="BG926" s="36">
        <v>1</v>
      </c>
      <c r="BH926" s="31">
        <f t="shared" si="203"/>
        <v>0</v>
      </c>
      <c r="BI926" s="31">
        <f t="shared" si="204"/>
        <v>0</v>
      </c>
      <c r="BJ926" s="33">
        <f t="shared" si="205"/>
        <v>0</v>
      </c>
      <c r="BK926" s="30"/>
      <c r="BL926" s="30"/>
      <c r="BM926" s="30"/>
      <c r="BN926" s="30"/>
      <c r="BO926" s="33">
        <f t="shared" si="199"/>
        <v>0</v>
      </c>
      <c r="BP926" s="30">
        <v>17</v>
      </c>
      <c r="BQ926" s="30">
        <v>25</v>
      </c>
      <c r="BR926" s="30"/>
      <c r="BS926" s="30"/>
      <c r="BT926" s="34">
        <f t="shared" si="200"/>
        <v>9</v>
      </c>
      <c r="BU926" s="34"/>
      <c r="BV926" s="34"/>
      <c r="BW926" s="34"/>
      <c r="BX926" s="34"/>
      <c r="BY926" s="30"/>
      <c r="BZ926" s="31">
        <f t="shared" si="201"/>
        <v>153</v>
      </c>
      <c r="CA926" s="31">
        <f t="shared" si="202"/>
        <v>225</v>
      </c>
    </row>
    <row r="927" spans="1:79" ht="63.75" x14ac:dyDescent="0.25">
      <c r="A927" s="17"/>
      <c r="B927" s="2">
        <v>911</v>
      </c>
      <c r="C927" s="18">
        <v>645</v>
      </c>
      <c r="D927" s="18">
        <v>786</v>
      </c>
      <c r="E927" s="19">
        <v>0.54722222222222217</v>
      </c>
      <c r="F927" s="19">
        <v>0.55277777777777781</v>
      </c>
      <c r="G927" s="18" t="s">
        <v>1872</v>
      </c>
      <c r="H927" s="18" t="s">
        <v>1873</v>
      </c>
      <c r="I927" s="20">
        <v>3.1</v>
      </c>
      <c r="J927" s="21" t="s">
        <v>463</v>
      </c>
      <c r="K927" s="22">
        <f>174-33-34</f>
        <v>107</v>
      </c>
      <c r="L927" s="23">
        <f t="shared" si="208"/>
        <v>331.7</v>
      </c>
      <c r="M927" s="24" t="s">
        <v>1837</v>
      </c>
      <c r="N927" s="25" t="s">
        <v>1861</v>
      </c>
      <c r="O927" s="25">
        <v>21</v>
      </c>
      <c r="P927" s="25" t="s">
        <v>1860</v>
      </c>
      <c r="Q927" s="25">
        <v>23</v>
      </c>
      <c r="R927" s="25" t="s">
        <v>1838</v>
      </c>
      <c r="S927" s="35">
        <v>9</v>
      </c>
      <c r="T927" s="26">
        <v>6403</v>
      </c>
      <c r="U927" s="26" t="s">
        <v>1871</v>
      </c>
      <c r="V927" s="26" t="s">
        <v>1841</v>
      </c>
      <c r="W927" s="26" t="s">
        <v>1842</v>
      </c>
      <c r="X927" s="66">
        <v>44816</v>
      </c>
      <c r="Y927" s="66">
        <v>45086</v>
      </c>
      <c r="Z927" s="66"/>
      <c r="AA927" s="66"/>
      <c r="AB927" s="62" t="s">
        <v>1707</v>
      </c>
      <c r="AC927" s="62"/>
      <c r="AD927" s="28"/>
      <c r="AE927" s="28"/>
      <c r="AF927" s="28"/>
      <c r="AG927" s="28" t="s">
        <v>90</v>
      </c>
      <c r="AH927" s="28"/>
      <c r="AI927" s="28" t="s">
        <v>90</v>
      </c>
      <c r="AJ927" s="28" t="s">
        <v>90</v>
      </c>
      <c r="AK927" s="28"/>
      <c r="AL927" s="28" t="s">
        <v>90</v>
      </c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9">
        <v>5.58</v>
      </c>
      <c r="AY927" s="29"/>
      <c r="AZ927" s="30"/>
      <c r="BA927" s="30"/>
      <c r="BB927" s="30"/>
      <c r="BC927" s="30"/>
      <c r="BD927" s="31">
        <f t="shared" si="207"/>
        <v>597.06000000000006</v>
      </c>
      <c r="BE927" s="31"/>
      <c r="BF927" s="30"/>
      <c r="BG927" s="36">
        <v>1</v>
      </c>
      <c r="BH927" s="31">
        <f t="shared" si="203"/>
        <v>0.62000000000000011</v>
      </c>
      <c r="BI927" s="31">
        <f t="shared" si="204"/>
        <v>0</v>
      </c>
      <c r="BJ927" s="31">
        <f t="shared" si="205"/>
        <v>66.340000000000018</v>
      </c>
      <c r="BK927" s="30"/>
      <c r="BL927" s="30"/>
      <c r="BM927" s="30"/>
      <c r="BN927" s="30"/>
      <c r="BO927" s="33">
        <f t="shared" si="199"/>
        <v>0</v>
      </c>
      <c r="BP927" s="30">
        <v>9</v>
      </c>
      <c r="BQ927" s="30">
        <v>12</v>
      </c>
      <c r="BR927" s="30"/>
      <c r="BS927" s="30"/>
      <c r="BT927" s="34">
        <f t="shared" si="200"/>
        <v>6.2</v>
      </c>
      <c r="BU927" s="34"/>
      <c r="BV927" s="34"/>
      <c r="BW927" s="34"/>
      <c r="BX927" s="34"/>
      <c r="BY927" s="30"/>
      <c r="BZ927" s="31">
        <f t="shared" si="201"/>
        <v>55.800000000000004</v>
      </c>
      <c r="CA927" s="31">
        <f t="shared" si="202"/>
        <v>74.400000000000006</v>
      </c>
    </row>
    <row r="928" spans="1:79" ht="51" x14ac:dyDescent="0.25">
      <c r="A928" s="17"/>
      <c r="B928" s="2">
        <v>912</v>
      </c>
      <c r="C928" s="18">
        <v>645</v>
      </c>
      <c r="D928" s="18">
        <v>682</v>
      </c>
      <c r="E928" s="19">
        <v>0.5541666666666667</v>
      </c>
      <c r="F928" s="19">
        <v>0.59861111111111109</v>
      </c>
      <c r="G928" s="18" t="s">
        <v>1874</v>
      </c>
      <c r="H928" s="18" t="s">
        <v>273</v>
      </c>
      <c r="I928" s="20">
        <f>41.5+3.2</f>
        <v>44.7</v>
      </c>
      <c r="J928" s="21" t="s">
        <v>1653</v>
      </c>
      <c r="K928" s="22">
        <v>174</v>
      </c>
      <c r="L928" s="23">
        <f t="shared" si="208"/>
        <v>7777.8</v>
      </c>
      <c r="M928" s="24" t="s">
        <v>1837</v>
      </c>
      <c r="N928" s="25" t="s">
        <v>1875</v>
      </c>
      <c r="O928" s="25">
        <v>61</v>
      </c>
      <c r="P928" s="25" t="s">
        <v>1876</v>
      </c>
      <c r="Q928" s="25">
        <v>45</v>
      </c>
      <c r="R928" s="25" t="s">
        <v>1877</v>
      </c>
      <c r="S928" s="35">
        <v>58</v>
      </c>
      <c r="T928" s="26" t="s">
        <v>1878</v>
      </c>
      <c r="U928" s="26" t="s">
        <v>1879</v>
      </c>
      <c r="V928" s="26">
        <v>6407</v>
      </c>
      <c r="W928" s="26" t="s">
        <v>257</v>
      </c>
      <c r="X928" s="66">
        <v>44816</v>
      </c>
      <c r="Y928" s="66">
        <v>45086</v>
      </c>
      <c r="Z928" s="66"/>
      <c r="AA928" s="66"/>
      <c r="AB928" s="26" t="s">
        <v>282</v>
      </c>
      <c r="AC928" s="26"/>
      <c r="AD928" s="28"/>
      <c r="AE928" s="28"/>
      <c r="AF928" s="28"/>
      <c r="AG928" s="28" t="s">
        <v>90</v>
      </c>
      <c r="AH928" s="28" t="s">
        <v>90</v>
      </c>
      <c r="AI928" s="28" t="s">
        <v>90</v>
      </c>
      <c r="AJ928" s="28" t="s">
        <v>90</v>
      </c>
      <c r="AK928" s="28" t="s">
        <v>90</v>
      </c>
      <c r="AL928" s="28" t="s">
        <v>90</v>
      </c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9">
        <v>134.1</v>
      </c>
      <c r="AY928" s="29"/>
      <c r="AZ928" s="30"/>
      <c r="BA928" s="30"/>
      <c r="BB928" s="30"/>
      <c r="BC928" s="30"/>
      <c r="BD928" s="31">
        <f t="shared" si="207"/>
        <v>23333.399999999998</v>
      </c>
      <c r="BE928" s="31"/>
      <c r="BF928" s="30"/>
      <c r="BG928" s="32">
        <v>2</v>
      </c>
      <c r="BH928" s="31">
        <f t="shared" si="203"/>
        <v>0</v>
      </c>
      <c r="BI928" s="31">
        <f t="shared" si="204"/>
        <v>0</v>
      </c>
      <c r="BJ928" s="33">
        <f t="shared" si="205"/>
        <v>0</v>
      </c>
      <c r="BK928" s="30"/>
      <c r="BL928" s="30"/>
      <c r="BM928" s="30"/>
      <c r="BN928" s="30"/>
      <c r="BO928" s="33">
        <f t="shared" si="199"/>
        <v>0</v>
      </c>
      <c r="BP928" s="30">
        <v>15</v>
      </c>
      <c r="BQ928" s="30">
        <v>20</v>
      </c>
      <c r="BR928" s="30"/>
      <c r="BS928" s="30"/>
      <c r="BT928" s="34">
        <f t="shared" si="200"/>
        <v>134.1</v>
      </c>
      <c r="BU928" s="34"/>
      <c r="BV928" s="34"/>
      <c r="BW928" s="34"/>
      <c r="BX928" s="34"/>
      <c r="BY928" s="30"/>
      <c r="BZ928" s="31">
        <f t="shared" si="201"/>
        <v>2011.5</v>
      </c>
      <c r="CA928" s="31">
        <f t="shared" si="202"/>
        <v>2682</v>
      </c>
    </row>
    <row r="929" spans="1:79" ht="67.5" x14ac:dyDescent="0.25">
      <c r="A929" s="17"/>
      <c r="B929" s="2">
        <v>913</v>
      </c>
      <c r="C929" s="18">
        <v>645</v>
      </c>
      <c r="D929" s="18">
        <v>314</v>
      </c>
      <c r="E929" s="19">
        <v>0.7631944444444444</v>
      </c>
      <c r="F929" s="19">
        <v>0.77986111111111101</v>
      </c>
      <c r="G929" s="18" t="s">
        <v>1880</v>
      </c>
      <c r="H929" s="18" t="s">
        <v>422</v>
      </c>
      <c r="I929" s="20">
        <v>12.4</v>
      </c>
      <c r="J929" s="21" t="s">
        <v>571</v>
      </c>
      <c r="K929" s="22">
        <v>240</v>
      </c>
      <c r="L929" s="23">
        <f t="shared" si="208"/>
        <v>2976</v>
      </c>
      <c r="M929" s="24" t="s">
        <v>442</v>
      </c>
      <c r="N929" s="25" t="s">
        <v>1807</v>
      </c>
      <c r="O929" s="25">
        <v>17</v>
      </c>
      <c r="P929" s="25" t="s">
        <v>443</v>
      </c>
      <c r="Q929" s="25">
        <v>21</v>
      </c>
      <c r="R929" s="25"/>
      <c r="S929" s="25"/>
      <c r="T929" s="26">
        <v>6401</v>
      </c>
      <c r="U929" s="26" t="s">
        <v>259</v>
      </c>
      <c r="V929" s="26">
        <v>6407</v>
      </c>
      <c r="W929" s="26" t="s">
        <v>257</v>
      </c>
      <c r="X929" s="27">
        <v>44816</v>
      </c>
      <c r="Y929" s="27">
        <v>45100</v>
      </c>
      <c r="Z929" s="27"/>
      <c r="AA929" s="27"/>
      <c r="AB929" s="26" t="s">
        <v>423</v>
      </c>
      <c r="AC929" s="26"/>
      <c r="AD929" s="28" t="s">
        <v>90</v>
      </c>
      <c r="AE929" s="28"/>
      <c r="AF929" s="28" t="s">
        <v>90</v>
      </c>
      <c r="AG929" s="28"/>
      <c r="AH929" s="28" t="s">
        <v>90</v>
      </c>
      <c r="AI929" s="28" t="s">
        <v>90</v>
      </c>
      <c r="AJ929" s="28" t="s">
        <v>90</v>
      </c>
      <c r="AK929" s="28" t="s">
        <v>90</v>
      </c>
      <c r="AL929" s="28" t="s">
        <v>90</v>
      </c>
      <c r="AM929" s="28" t="s">
        <v>90</v>
      </c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9">
        <v>31</v>
      </c>
      <c r="AY929" s="29"/>
      <c r="AZ929" s="30"/>
      <c r="BA929" s="30"/>
      <c r="BB929" s="30"/>
      <c r="BC929" s="30"/>
      <c r="BD929" s="31">
        <f t="shared" si="207"/>
        <v>7440</v>
      </c>
      <c r="BE929" s="31"/>
      <c r="BF929" s="30"/>
      <c r="BG929" s="36">
        <v>1</v>
      </c>
      <c r="BH929" s="31">
        <f t="shared" si="203"/>
        <v>0</v>
      </c>
      <c r="BI929" s="31">
        <f t="shared" si="204"/>
        <v>0</v>
      </c>
      <c r="BJ929" s="33">
        <f t="shared" si="205"/>
        <v>0</v>
      </c>
      <c r="BK929" s="30"/>
      <c r="BL929" s="30"/>
      <c r="BM929" s="30"/>
      <c r="BN929" s="30"/>
      <c r="BO929" s="33">
        <f t="shared" si="199"/>
        <v>0</v>
      </c>
      <c r="BP929" s="30">
        <v>17</v>
      </c>
      <c r="BQ929" s="30">
        <v>26</v>
      </c>
      <c r="BR929" s="30"/>
      <c r="BS929" s="30"/>
      <c r="BT929" s="34">
        <f t="shared" si="200"/>
        <v>31</v>
      </c>
      <c r="BU929" s="34"/>
      <c r="BV929" s="34"/>
      <c r="BW929" s="34"/>
      <c r="BX929" s="34"/>
      <c r="BY929" s="30"/>
      <c r="BZ929" s="31">
        <f t="shared" si="201"/>
        <v>527</v>
      </c>
      <c r="CA929" s="31">
        <f t="shared" si="202"/>
        <v>806</v>
      </c>
    </row>
    <row r="930" spans="1:79" ht="45" x14ac:dyDescent="0.25">
      <c r="A930" s="17"/>
      <c r="B930" s="2">
        <v>914</v>
      </c>
      <c r="C930" s="18">
        <v>645</v>
      </c>
      <c r="D930" s="18">
        <v>312</v>
      </c>
      <c r="E930" s="19">
        <v>0.78819444444444453</v>
      </c>
      <c r="F930" s="19">
        <v>0.81458333333333333</v>
      </c>
      <c r="G930" s="18" t="s">
        <v>254</v>
      </c>
      <c r="H930" s="18" t="s">
        <v>80</v>
      </c>
      <c r="I930" s="20">
        <v>19</v>
      </c>
      <c r="J930" s="21" t="s">
        <v>93</v>
      </c>
      <c r="K930" s="22">
        <v>67</v>
      </c>
      <c r="L930" s="23">
        <f t="shared" si="208"/>
        <v>1273</v>
      </c>
      <c r="M930" s="24" t="s">
        <v>247</v>
      </c>
      <c r="N930" s="25" t="s">
        <v>248</v>
      </c>
      <c r="O930" s="25">
        <v>24</v>
      </c>
      <c r="P930" s="25" t="s">
        <v>249</v>
      </c>
      <c r="Q930" s="25">
        <v>20</v>
      </c>
      <c r="R930" s="17"/>
      <c r="S930" s="25"/>
      <c r="T930" s="26" t="s">
        <v>255</v>
      </c>
      <c r="U930" s="26" t="s">
        <v>256</v>
      </c>
      <c r="V930" s="26">
        <v>6407</v>
      </c>
      <c r="W930" s="26" t="s">
        <v>257</v>
      </c>
      <c r="X930" s="27">
        <v>44562</v>
      </c>
      <c r="Y930" s="27">
        <v>44815</v>
      </c>
      <c r="Z930" s="27">
        <v>45101</v>
      </c>
      <c r="AA930" s="27">
        <v>45169</v>
      </c>
      <c r="AB930" s="28" t="s">
        <v>89</v>
      </c>
      <c r="AC930" s="28"/>
      <c r="AD930" s="28"/>
      <c r="AE930" s="28" t="s">
        <v>90</v>
      </c>
      <c r="AF930" s="28" t="s">
        <v>90</v>
      </c>
      <c r="AG930" s="28"/>
      <c r="AH930" s="28" t="s">
        <v>90</v>
      </c>
      <c r="AI930" s="28" t="s">
        <v>90</v>
      </c>
      <c r="AJ930" s="28" t="s">
        <v>90</v>
      </c>
      <c r="AK930" s="28" t="s">
        <v>90</v>
      </c>
      <c r="AL930" s="28" t="s">
        <v>90</v>
      </c>
      <c r="AM930" s="28" t="s">
        <v>90</v>
      </c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31"/>
      <c r="AY930" s="31">
        <f>1.9*19</f>
        <v>36.1</v>
      </c>
      <c r="AZ930" s="30"/>
      <c r="BA930" s="30"/>
      <c r="BB930" s="30"/>
      <c r="BC930" s="30"/>
      <c r="BD930" s="31">
        <f t="shared" si="207"/>
        <v>0</v>
      </c>
      <c r="BE930" s="31">
        <f>AY930*K930</f>
        <v>2418.7000000000003</v>
      </c>
      <c r="BF930" s="30"/>
      <c r="BG930" s="36">
        <v>1</v>
      </c>
      <c r="BH930" s="30"/>
      <c r="BI930" s="31"/>
      <c r="BJ930" s="30"/>
      <c r="BK930" s="31">
        <f>IF(AND((AY930/I930)&lt;2,BG930=1),(I930*2)-AY930,0)</f>
        <v>1.8999999999999986</v>
      </c>
      <c r="BL930" s="31">
        <f>IF(AND((AY930/I930)&lt;3,BG930=2),(I930*3)-AY930,0)</f>
        <v>0</v>
      </c>
      <c r="BM930" s="33">
        <f>(BK930+BL930)*K930</f>
        <v>127.2999999999999</v>
      </c>
      <c r="BN930" s="30"/>
      <c r="BO930" s="33">
        <f t="shared" si="199"/>
        <v>0</v>
      </c>
      <c r="BP930" s="30">
        <v>9</v>
      </c>
      <c r="BQ930" s="30">
        <v>0</v>
      </c>
      <c r="BR930" s="30"/>
      <c r="BS930" s="30"/>
      <c r="BT930" s="34">
        <f t="shared" si="200"/>
        <v>38</v>
      </c>
      <c r="BU930" s="34"/>
      <c r="BV930" s="34"/>
      <c r="BW930" s="34"/>
      <c r="BX930" s="34"/>
      <c r="BY930" s="30"/>
      <c r="BZ930" s="31">
        <f t="shared" si="201"/>
        <v>342</v>
      </c>
      <c r="CA930" s="31">
        <f t="shared" si="202"/>
        <v>0</v>
      </c>
    </row>
    <row r="931" spans="1:79" ht="45" x14ac:dyDescent="0.25">
      <c r="A931" s="17"/>
      <c r="B931" s="2">
        <v>915</v>
      </c>
      <c r="C931" s="18">
        <v>645</v>
      </c>
      <c r="D931" s="18">
        <v>418</v>
      </c>
      <c r="E931" s="19">
        <v>0.79861111111111116</v>
      </c>
      <c r="F931" s="19">
        <v>0.83263888888888893</v>
      </c>
      <c r="G931" s="18" t="s">
        <v>1881</v>
      </c>
      <c r="H931" s="18" t="s">
        <v>422</v>
      </c>
      <c r="I931" s="20">
        <v>25.7</v>
      </c>
      <c r="J931" s="21" t="s">
        <v>463</v>
      </c>
      <c r="K931" s="22">
        <v>240</v>
      </c>
      <c r="L931" s="23">
        <f t="shared" si="208"/>
        <v>6168</v>
      </c>
      <c r="M931" s="24" t="s">
        <v>247</v>
      </c>
      <c r="N931" s="25" t="s">
        <v>249</v>
      </c>
      <c r="O931" s="25">
        <v>20</v>
      </c>
      <c r="P931" s="25" t="s">
        <v>1882</v>
      </c>
      <c r="Q931" s="25">
        <v>56</v>
      </c>
      <c r="R931" s="25" t="s">
        <v>249</v>
      </c>
      <c r="S931" s="35">
        <v>20</v>
      </c>
      <c r="T931" s="26">
        <v>6300</v>
      </c>
      <c r="U931" s="26" t="s">
        <v>250</v>
      </c>
      <c r="V931" s="26">
        <v>6405</v>
      </c>
      <c r="W931" s="26" t="s">
        <v>1864</v>
      </c>
      <c r="X931" s="27">
        <v>44816</v>
      </c>
      <c r="Y931" s="27">
        <v>45100</v>
      </c>
      <c r="Z931" s="27"/>
      <c r="AA931" s="27"/>
      <c r="AB931" s="26" t="s">
        <v>423</v>
      </c>
      <c r="AC931" s="26"/>
      <c r="AD931" s="28" t="s">
        <v>90</v>
      </c>
      <c r="AE931" s="28"/>
      <c r="AF931" s="28" t="s">
        <v>90</v>
      </c>
      <c r="AG931" s="28"/>
      <c r="AH931" s="28" t="s">
        <v>90</v>
      </c>
      <c r="AI931" s="28" t="s">
        <v>90</v>
      </c>
      <c r="AJ931" s="28" t="s">
        <v>90</v>
      </c>
      <c r="AK931" s="28" t="s">
        <v>90</v>
      </c>
      <c r="AL931" s="28" t="s">
        <v>90</v>
      </c>
      <c r="AM931" s="28" t="s">
        <v>90</v>
      </c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31">
        <v>64.25</v>
      </c>
      <c r="AY931" s="29"/>
      <c r="AZ931" s="30"/>
      <c r="BA931" s="30"/>
      <c r="BB931" s="30"/>
      <c r="BC931" s="30"/>
      <c r="BD931" s="31">
        <f t="shared" si="207"/>
        <v>15420</v>
      </c>
      <c r="BE931" s="31"/>
      <c r="BF931" s="30"/>
      <c r="BG931" s="36">
        <v>1</v>
      </c>
      <c r="BH931" s="31">
        <f>IF(AND((AX931/I931)&lt;2,BG931=1),(I931*2)-AX931,0)</f>
        <v>0</v>
      </c>
      <c r="BI931" s="31">
        <f>IF(AND((AX931/I931)&lt;3,BG931=2),(I931*3)-AX931,0)</f>
        <v>0</v>
      </c>
      <c r="BJ931" s="33">
        <f>(BH931+BI931)*K931</f>
        <v>0</v>
      </c>
      <c r="BK931" s="30"/>
      <c r="BL931" s="30"/>
      <c r="BM931" s="30"/>
      <c r="BN931" s="30"/>
      <c r="BO931" s="33">
        <f t="shared" si="199"/>
        <v>0</v>
      </c>
      <c r="BP931" s="30">
        <v>17</v>
      </c>
      <c r="BQ931" s="30">
        <v>26</v>
      </c>
      <c r="BR931" s="30"/>
      <c r="BS931" s="30"/>
      <c r="BT931" s="34">
        <f t="shared" si="200"/>
        <v>64.25</v>
      </c>
      <c r="BU931" s="34"/>
      <c r="BV931" s="34"/>
      <c r="BW931" s="34"/>
      <c r="BX931" s="34"/>
      <c r="BY931" s="30"/>
      <c r="BZ931" s="31">
        <f t="shared" si="201"/>
        <v>1092.25</v>
      </c>
      <c r="CA931" s="31">
        <f t="shared" si="202"/>
        <v>1670.5</v>
      </c>
    </row>
    <row r="932" spans="1:79" ht="45" x14ac:dyDescent="0.25">
      <c r="A932" s="17"/>
      <c r="B932" s="2">
        <v>916</v>
      </c>
      <c r="C932" s="18">
        <v>645</v>
      </c>
      <c r="D932" s="18">
        <v>419</v>
      </c>
      <c r="E932" s="19">
        <v>0.81944444444444453</v>
      </c>
      <c r="F932" s="19">
        <v>0.83611111111111114</v>
      </c>
      <c r="G932" s="18" t="s">
        <v>258</v>
      </c>
      <c r="H932" s="18" t="s">
        <v>80</v>
      </c>
      <c r="I932" s="20">
        <v>12</v>
      </c>
      <c r="J932" s="21" t="s">
        <v>93</v>
      </c>
      <c r="K932" s="22">
        <v>67</v>
      </c>
      <c r="L932" s="23">
        <f t="shared" si="208"/>
        <v>804</v>
      </c>
      <c r="M932" s="24" t="s">
        <v>247</v>
      </c>
      <c r="N932" s="25" t="s">
        <v>248</v>
      </c>
      <c r="O932" s="25">
        <v>24</v>
      </c>
      <c r="P932" s="25" t="s">
        <v>249</v>
      </c>
      <c r="Q932" s="25">
        <v>20</v>
      </c>
      <c r="R932" s="17"/>
      <c r="S932" s="25"/>
      <c r="T932" s="26">
        <v>6407</v>
      </c>
      <c r="U932" s="26" t="s">
        <v>257</v>
      </c>
      <c r="V932" s="26">
        <v>6401</v>
      </c>
      <c r="W932" s="26" t="s">
        <v>259</v>
      </c>
      <c r="X932" s="27">
        <v>44562</v>
      </c>
      <c r="Y932" s="27">
        <v>44815</v>
      </c>
      <c r="Z932" s="27">
        <v>45101</v>
      </c>
      <c r="AA932" s="27">
        <v>45169</v>
      </c>
      <c r="AB932" s="28" t="s">
        <v>89</v>
      </c>
      <c r="AC932" s="28"/>
      <c r="AD932" s="28"/>
      <c r="AE932" s="28" t="s">
        <v>90</v>
      </c>
      <c r="AF932" s="28" t="s">
        <v>90</v>
      </c>
      <c r="AG932" s="28"/>
      <c r="AH932" s="28" t="s">
        <v>90</v>
      </c>
      <c r="AI932" s="28" t="s">
        <v>90</v>
      </c>
      <c r="AJ932" s="28" t="s">
        <v>90</v>
      </c>
      <c r="AK932" s="28" t="s">
        <v>90</v>
      </c>
      <c r="AL932" s="28" t="s">
        <v>90</v>
      </c>
      <c r="AM932" s="28" t="s">
        <v>90</v>
      </c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31"/>
      <c r="AY932" s="31">
        <f>1.9*12</f>
        <v>22.799999999999997</v>
      </c>
      <c r="AZ932" s="30"/>
      <c r="BA932" s="30"/>
      <c r="BB932" s="30"/>
      <c r="BC932" s="30"/>
      <c r="BD932" s="31">
        <f t="shared" si="207"/>
        <v>0</v>
      </c>
      <c r="BE932" s="31">
        <f>AY932*K932</f>
        <v>1527.6</v>
      </c>
      <c r="BF932" s="30"/>
      <c r="BG932" s="36">
        <v>1</v>
      </c>
      <c r="BH932" s="30"/>
      <c r="BI932" s="31"/>
      <c r="BJ932" s="30"/>
      <c r="BK932" s="31">
        <f>IF(AND((AY932/I932)&lt;2,BG932=1),(I932*2)-AY932,0)</f>
        <v>1.2000000000000028</v>
      </c>
      <c r="BL932" s="31">
        <f>IF(AND((AY932/I932)&lt;3,BG932=2),(I932*3)-AY932,0)</f>
        <v>0</v>
      </c>
      <c r="BM932" s="33">
        <f>(BK932+BL932)*K932</f>
        <v>80.40000000000019</v>
      </c>
      <c r="BN932" s="30"/>
      <c r="BO932" s="33">
        <f t="shared" si="199"/>
        <v>0</v>
      </c>
      <c r="BP932" s="30">
        <v>9</v>
      </c>
      <c r="BQ932" s="30">
        <v>0</v>
      </c>
      <c r="BR932" s="30"/>
      <c r="BS932" s="30"/>
      <c r="BT932" s="34">
        <f t="shared" si="200"/>
        <v>24</v>
      </c>
      <c r="BU932" s="34"/>
      <c r="BV932" s="34"/>
      <c r="BW932" s="34"/>
      <c r="BX932" s="34"/>
      <c r="BY932" s="30"/>
      <c r="BZ932" s="31">
        <f t="shared" si="201"/>
        <v>216</v>
      </c>
      <c r="CA932" s="31">
        <f t="shared" si="202"/>
        <v>0</v>
      </c>
    </row>
    <row r="933" spans="1:79" ht="78.75" x14ac:dyDescent="0.25">
      <c r="A933" s="17"/>
      <c r="B933" s="2">
        <v>917</v>
      </c>
      <c r="C933" s="18">
        <v>646</v>
      </c>
      <c r="D933" s="21">
        <v>653</v>
      </c>
      <c r="E933" s="19">
        <v>0.25694444444444448</v>
      </c>
      <c r="F933" s="19">
        <v>0.2673611111111111</v>
      </c>
      <c r="G933" s="18" t="s">
        <v>1883</v>
      </c>
      <c r="H933" s="18" t="s">
        <v>306</v>
      </c>
      <c r="I933" s="20">
        <v>14</v>
      </c>
      <c r="J933" s="21" t="s">
        <v>571</v>
      </c>
      <c r="K933" s="22">
        <v>208</v>
      </c>
      <c r="L933" s="23">
        <f t="shared" si="208"/>
        <v>2912</v>
      </c>
      <c r="M933" s="24" t="s">
        <v>1818</v>
      </c>
      <c r="N933" s="25" t="s">
        <v>1819</v>
      </c>
      <c r="O933" s="25">
        <v>17</v>
      </c>
      <c r="P933" s="25" t="s">
        <v>1820</v>
      </c>
      <c r="Q933" s="25">
        <v>17</v>
      </c>
      <c r="R933" s="25" t="s">
        <v>1821</v>
      </c>
      <c r="S933" s="25">
        <v>23</v>
      </c>
      <c r="T933" s="26">
        <v>6410</v>
      </c>
      <c r="U933" s="26" t="s">
        <v>1884</v>
      </c>
      <c r="V933" s="26">
        <v>6408</v>
      </c>
      <c r="W933" s="26" t="s">
        <v>1885</v>
      </c>
      <c r="X933" s="66">
        <v>44816</v>
      </c>
      <c r="Y933" s="66">
        <v>45086</v>
      </c>
      <c r="Z933" s="66"/>
      <c r="AA933" s="66"/>
      <c r="AB933" s="26" t="s">
        <v>309</v>
      </c>
      <c r="AC933" s="26"/>
      <c r="AD933" s="28"/>
      <c r="AE933" s="28"/>
      <c r="AF933" s="28"/>
      <c r="AG933" s="28" t="s">
        <v>90</v>
      </c>
      <c r="AH933" s="28" t="s">
        <v>90</v>
      </c>
      <c r="AI933" s="28" t="s">
        <v>90</v>
      </c>
      <c r="AJ933" s="28" t="s">
        <v>90</v>
      </c>
      <c r="AK933" s="28" t="s">
        <v>90</v>
      </c>
      <c r="AL933" s="28" t="s">
        <v>90</v>
      </c>
      <c r="AM933" s="28" t="s">
        <v>90</v>
      </c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9">
        <v>47</v>
      </c>
      <c r="AY933" s="29"/>
      <c r="AZ933" s="30"/>
      <c r="BA933" s="30"/>
      <c r="BB933" s="30"/>
      <c r="BC933" s="30">
        <v>18</v>
      </c>
      <c r="BD933" s="31">
        <f t="shared" si="207"/>
        <v>9776</v>
      </c>
      <c r="BE933" s="31"/>
      <c r="BF933" s="30"/>
      <c r="BG933" s="36">
        <v>1</v>
      </c>
      <c r="BH933" s="31">
        <f t="shared" ref="BH933:BH944" si="209">IF(AND((AX933/I933)&lt;2,BG933=1),(I933*2)-AX933,0)</f>
        <v>0</v>
      </c>
      <c r="BI933" s="31">
        <f t="shared" ref="BI933:BI944" si="210">IF(AND((AX933/I933)&lt;3,BG933=2),(I933*3)-AX933,0)</f>
        <v>0</v>
      </c>
      <c r="BJ933" s="33">
        <f t="shared" ref="BJ933:BJ944" si="211">(BH933+BI933)*K933</f>
        <v>0</v>
      </c>
      <c r="BK933" s="30"/>
      <c r="BL933" s="30"/>
      <c r="BM933" s="30"/>
      <c r="BN933" s="31">
        <f>IF((AX933+AY933+AZ933)&lt;20,(20-(AX933+AY933+AZ933)),0)</f>
        <v>0</v>
      </c>
      <c r="BO933" s="33">
        <f t="shared" si="199"/>
        <v>0</v>
      </c>
      <c r="BP933" s="30">
        <v>17</v>
      </c>
      <c r="BQ933" s="30">
        <v>25</v>
      </c>
      <c r="BR933" s="30"/>
      <c r="BS933" s="30"/>
      <c r="BT933" s="34">
        <f t="shared" si="200"/>
        <v>47</v>
      </c>
      <c r="BU933" s="34"/>
      <c r="BV933" s="34"/>
      <c r="BW933" s="34"/>
      <c r="BX933" s="34"/>
      <c r="BY933" s="30"/>
      <c r="BZ933" s="31">
        <f t="shared" si="201"/>
        <v>799</v>
      </c>
      <c r="CA933" s="31">
        <f t="shared" si="202"/>
        <v>1175</v>
      </c>
    </row>
    <row r="934" spans="1:79" ht="78.75" x14ac:dyDescent="0.25">
      <c r="A934" s="17"/>
      <c r="B934" s="2">
        <v>918</v>
      </c>
      <c r="C934" s="18">
        <v>646</v>
      </c>
      <c r="D934" s="21">
        <v>682</v>
      </c>
      <c r="E934" s="19">
        <v>0.59027777777777779</v>
      </c>
      <c r="F934" s="59">
        <v>0.60486111111111118</v>
      </c>
      <c r="G934" s="18" t="s">
        <v>1886</v>
      </c>
      <c r="H934" s="18" t="s">
        <v>273</v>
      </c>
      <c r="I934" s="20">
        <v>15</v>
      </c>
      <c r="J934" s="21">
        <v>16</v>
      </c>
      <c r="K934" s="22">
        <v>174</v>
      </c>
      <c r="L934" s="23">
        <f t="shared" si="208"/>
        <v>2610</v>
      </c>
      <c r="M934" s="24" t="s">
        <v>1818</v>
      </c>
      <c r="N934" s="25" t="s">
        <v>1828</v>
      </c>
      <c r="O934" s="25">
        <v>9</v>
      </c>
      <c r="P934" s="25" t="s">
        <v>1820</v>
      </c>
      <c r="Q934" s="25">
        <v>17</v>
      </c>
      <c r="R934" s="25" t="s">
        <v>1829</v>
      </c>
      <c r="S934" s="35">
        <v>9</v>
      </c>
      <c r="T934" s="26" t="s">
        <v>1887</v>
      </c>
      <c r="U934" s="26" t="s">
        <v>1888</v>
      </c>
      <c r="V934" s="26">
        <v>6410</v>
      </c>
      <c r="W934" s="26" t="s">
        <v>1884</v>
      </c>
      <c r="X934" s="66">
        <v>44816</v>
      </c>
      <c r="Y934" s="66">
        <v>45086</v>
      </c>
      <c r="Z934" s="66"/>
      <c r="AA934" s="66"/>
      <c r="AB934" s="26" t="s">
        <v>282</v>
      </c>
      <c r="AC934" s="26"/>
      <c r="AD934" s="28"/>
      <c r="AE934" s="28"/>
      <c r="AF934" s="28"/>
      <c r="AG934" s="28" t="s">
        <v>90</v>
      </c>
      <c r="AH934" s="28" t="s">
        <v>90</v>
      </c>
      <c r="AI934" s="28" t="s">
        <v>90</v>
      </c>
      <c r="AJ934" s="28" t="s">
        <v>90</v>
      </c>
      <c r="AK934" s="28" t="s">
        <v>90</v>
      </c>
      <c r="AL934" s="28" t="s">
        <v>90</v>
      </c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9">
        <f>31.5+13.5</f>
        <v>45</v>
      </c>
      <c r="AY934" s="29"/>
      <c r="AZ934" s="30"/>
      <c r="BA934" s="30"/>
      <c r="BB934" s="30"/>
      <c r="BC934" s="30">
        <v>19</v>
      </c>
      <c r="BD934" s="31">
        <f t="shared" si="207"/>
        <v>7830</v>
      </c>
      <c r="BE934" s="31"/>
      <c r="BF934" s="30"/>
      <c r="BG934" s="36">
        <v>1</v>
      </c>
      <c r="BH934" s="31">
        <f t="shared" si="209"/>
        <v>0</v>
      </c>
      <c r="BI934" s="31">
        <f t="shared" si="210"/>
        <v>0</v>
      </c>
      <c r="BJ934" s="33">
        <f t="shared" si="211"/>
        <v>0</v>
      </c>
      <c r="BK934" s="30"/>
      <c r="BL934" s="30"/>
      <c r="BM934" s="30"/>
      <c r="BN934" s="30"/>
      <c r="BO934" s="33">
        <f t="shared" si="199"/>
        <v>0</v>
      </c>
      <c r="BP934" s="30">
        <v>15</v>
      </c>
      <c r="BQ934" s="30">
        <v>20</v>
      </c>
      <c r="BR934" s="30"/>
      <c r="BS934" s="30"/>
      <c r="BT934" s="34">
        <f t="shared" si="200"/>
        <v>45</v>
      </c>
      <c r="BU934" s="34"/>
      <c r="BV934" s="34"/>
      <c r="BW934" s="34"/>
      <c r="BX934" s="34"/>
      <c r="BY934" s="30"/>
      <c r="BZ934" s="31">
        <f t="shared" si="201"/>
        <v>675</v>
      </c>
      <c r="CA934" s="31">
        <f t="shared" si="202"/>
        <v>900</v>
      </c>
    </row>
    <row r="935" spans="1:79" ht="78.75" x14ac:dyDescent="0.25">
      <c r="A935" s="17"/>
      <c r="B935" s="2">
        <v>919</v>
      </c>
      <c r="C935" s="18">
        <v>646</v>
      </c>
      <c r="D935" s="79">
        <v>445</v>
      </c>
      <c r="E935" s="19">
        <v>0.60763888888888895</v>
      </c>
      <c r="F935" s="19">
        <v>0.62222222222222223</v>
      </c>
      <c r="G935" s="18" t="s">
        <v>1889</v>
      </c>
      <c r="H935" s="18" t="s">
        <v>273</v>
      </c>
      <c r="I935" s="20">
        <v>11</v>
      </c>
      <c r="J935" s="21">
        <v>16</v>
      </c>
      <c r="K935" s="22">
        <v>174</v>
      </c>
      <c r="L935" s="23">
        <f t="shared" si="208"/>
        <v>1914</v>
      </c>
      <c r="M935" s="24" t="s">
        <v>1818</v>
      </c>
      <c r="N935" s="25" t="s">
        <v>1828</v>
      </c>
      <c r="O935" s="25">
        <v>9</v>
      </c>
      <c r="P935" s="25" t="s">
        <v>1820</v>
      </c>
      <c r="Q935" s="25">
        <v>17</v>
      </c>
      <c r="R935" s="25" t="s">
        <v>1829</v>
      </c>
      <c r="S935" s="35">
        <v>9</v>
      </c>
      <c r="T935" s="26">
        <v>6410</v>
      </c>
      <c r="U935" s="26" t="s">
        <v>1884</v>
      </c>
      <c r="V935" s="26">
        <v>6408</v>
      </c>
      <c r="W935" s="26" t="s">
        <v>1885</v>
      </c>
      <c r="X935" s="66">
        <v>44816</v>
      </c>
      <c r="Y935" s="66">
        <v>45086</v>
      </c>
      <c r="Z935" s="66"/>
      <c r="AA935" s="66"/>
      <c r="AB935" s="26" t="s">
        <v>282</v>
      </c>
      <c r="AC935" s="26"/>
      <c r="AD935" s="28"/>
      <c r="AE935" s="28"/>
      <c r="AF935" s="28"/>
      <c r="AG935" s="28" t="s">
        <v>90</v>
      </c>
      <c r="AH935" s="28" t="s">
        <v>90</v>
      </c>
      <c r="AI935" s="28" t="s">
        <v>90</v>
      </c>
      <c r="AJ935" s="28" t="s">
        <v>90</v>
      </c>
      <c r="AK935" s="28" t="s">
        <v>90</v>
      </c>
      <c r="AL935" s="28" t="s">
        <v>90</v>
      </c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9">
        <v>33</v>
      </c>
      <c r="AY935" s="29"/>
      <c r="AZ935" s="30"/>
      <c r="BA935" s="30"/>
      <c r="BB935" s="30"/>
      <c r="BC935" s="30">
        <v>20</v>
      </c>
      <c r="BD935" s="31">
        <f t="shared" si="207"/>
        <v>5742</v>
      </c>
      <c r="BE935" s="31"/>
      <c r="BF935" s="30"/>
      <c r="BG935" s="36">
        <v>1</v>
      </c>
      <c r="BH935" s="31">
        <f t="shared" si="209"/>
        <v>0</v>
      </c>
      <c r="BI935" s="31">
        <f t="shared" si="210"/>
        <v>0</v>
      </c>
      <c r="BJ935" s="33">
        <f t="shared" si="211"/>
        <v>0</v>
      </c>
      <c r="BK935" s="30"/>
      <c r="BL935" s="30"/>
      <c r="BM935" s="30"/>
      <c r="BN935" s="30"/>
      <c r="BO935" s="33">
        <f t="shared" si="199"/>
        <v>0</v>
      </c>
      <c r="BP935" s="30">
        <v>15</v>
      </c>
      <c r="BQ935" s="30">
        <v>20</v>
      </c>
      <c r="BR935" s="30"/>
      <c r="BS935" s="30"/>
      <c r="BT935" s="34">
        <f t="shared" si="200"/>
        <v>33</v>
      </c>
      <c r="BU935" s="34"/>
      <c r="BV935" s="34"/>
      <c r="BW935" s="34"/>
      <c r="BX935" s="34"/>
      <c r="BY935" s="30"/>
      <c r="BZ935" s="31">
        <f t="shared" si="201"/>
        <v>495</v>
      </c>
      <c r="CA935" s="31">
        <f t="shared" si="202"/>
        <v>660</v>
      </c>
    </row>
    <row r="936" spans="1:79" ht="102" x14ac:dyDescent="0.25">
      <c r="A936" s="17"/>
      <c r="B936" s="2">
        <v>920</v>
      </c>
      <c r="C936" s="18">
        <v>646</v>
      </c>
      <c r="D936" s="21">
        <v>655</v>
      </c>
      <c r="E936" s="19">
        <v>0.64027777777777783</v>
      </c>
      <c r="F936" s="19">
        <v>0.68263888888888891</v>
      </c>
      <c r="G936" s="18" t="s">
        <v>1890</v>
      </c>
      <c r="H936" s="18" t="s">
        <v>273</v>
      </c>
      <c r="I936" s="20">
        <v>27</v>
      </c>
      <c r="J936" s="21">
        <v>16</v>
      </c>
      <c r="K936" s="22">
        <v>174</v>
      </c>
      <c r="L936" s="23">
        <f t="shared" si="208"/>
        <v>4698</v>
      </c>
      <c r="M936" s="24" t="s">
        <v>1818</v>
      </c>
      <c r="N936" s="25" t="s">
        <v>1828</v>
      </c>
      <c r="O936" s="25">
        <v>9</v>
      </c>
      <c r="P936" s="25" t="s">
        <v>1820</v>
      </c>
      <c r="Q936" s="25">
        <v>17</v>
      </c>
      <c r="R936" s="17"/>
      <c r="S936" s="25"/>
      <c r="T936" s="26">
        <v>6410</v>
      </c>
      <c r="U936" s="26" t="s">
        <v>1884</v>
      </c>
      <c r="V936" s="26" t="s">
        <v>1891</v>
      </c>
      <c r="W936" s="26" t="s">
        <v>1892</v>
      </c>
      <c r="X936" s="66">
        <v>44816</v>
      </c>
      <c r="Y936" s="66">
        <v>45086</v>
      </c>
      <c r="Z936" s="66"/>
      <c r="AA936" s="66"/>
      <c r="AB936" s="26" t="s">
        <v>282</v>
      </c>
      <c r="AC936" s="26"/>
      <c r="AD936" s="28"/>
      <c r="AE936" s="28"/>
      <c r="AF936" s="28"/>
      <c r="AG936" s="28" t="s">
        <v>90</v>
      </c>
      <c r="AH936" s="28" t="s">
        <v>90</v>
      </c>
      <c r="AI936" s="28" t="s">
        <v>90</v>
      </c>
      <c r="AJ936" s="28" t="s">
        <v>90</v>
      </c>
      <c r="AK936" s="28" t="s">
        <v>90</v>
      </c>
      <c r="AL936" s="28" t="s">
        <v>90</v>
      </c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9">
        <v>130.35</v>
      </c>
      <c r="AY936" s="29"/>
      <c r="AZ936" s="30"/>
      <c r="BA936" s="30"/>
      <c r="BB936" s="30"/>
      <c r="BC936" s="30">
        <v>21</v>
      </c>
      <c r="BD936" s="31">
        <f t="shared" si="207"/>
        <v>22680.899999999998</v>
      </c>
      <c r="BE936" s="31"/>
      <c r="BF936" s="30"/>
      <c r="BG936" s="36">
        <v>1</v>
      </c>
      <c r="BH936" s="31">
        <f t="shared" si="209"/>
        <v>0</v>
      </c>
      <c r="BI936" s="31">
        <f t="shared" si="210"/>
        <v>0</v>
      </c>
      <c r="BJ936" s="33">
        <f t="shared" si="211"/>
        <v>0</v>
      </c>
      <c r="BK936" s="30"/>
      <c r="BL936" s="30"/>
      <c r="BM936" s="30"/>
      <c r="BN936" s="30"/>
      <c r="BO936" s="33">
        <f t="shared" si="199"/>
        <v>0</v>
      </c>
      <c r="BP936" s="30">
        <v>15</v>
      </c>
      <c r="BQ936" s="30">
        <v>20</v>
      </c>
      <c r="BR936" s="30"/>
      <c r="BS936" s="30"/>
      <c r="BT936" s="34">
        <f t="shared" si="200"/>
        <v>130.35</v>
      </c>
      <c r="BU936" s="34"/>
      <c r="BV936" s="34"/>
      <c r="BW936" s="34"/>
      <c r="BX936" s="34"/>
      <c r="BY936" s="30"/>
      <c r="BZ936" s="31">
        <f t="shared" si="201"/>
        <v>1955.25</v>
      </c>
      <c r="CA936" s="31">
        <f t="shared" si="202"/>
        <v>2607</v>
      </c>
    </row>
    <row r="937" spans="1:79" ht="78.75" x14ac:dyDescent="0.25">
      <c r="A937" s="17"/>
      <c r="B937" s="2">
        <v>921</v>
      </c>
      <c r="C937" s="18">
        <v>646</v>
      </c>
      <c r="D937" s="21">
        <v>650</v>
      </c>
      <c r="E937" s="19">
        <v>0.67013888888888884</v>
      </c>
      <c r="F937" s="19">
        <v>0.69097222222222221</v>
      </c>
      <c r="G937" s="18" t="s">
        <v>1893</v>
      </c>
      <c r="H937" s="18" t="s">
        <v>294</v>
      </c>
      <c r="I937" s="20">
        <v>17</v>
      </c>
      <c r="J937" s="21" t="s">
        <v>463</v>
      </c>
      <c r="K937" s="22">
        <f>34+34+36+33</f>
        <v>137</v>
      </c>
      <c r="L937" s="23">
        <f t="shared" si="208"/>
        <v>2329</v>
      </c>
      <c r="M937" s="24" t="s">
        <v>1818</v>
      </c>
      <c r="N937" s="25" t="s">
        <v>1819</v>
      </c>
      <c r="O937" s="25">
        <v>17</v>
      </c>
      <c r="P937" s="25" t="s">
        <v>1820</v>
      </c>
      <c r="Q937" s="25">
        <v>17</v>
      </c>
      <c r="R937" s="17"/>
      <c r="S937" s="25"/>
      <c r="T937" s="26">
        <v>6395</v>
      </c>
      <c r="U937" s="26" t="s">
        <v>1894</v>
      </c>
      <c r="V937" s="26">
        <v>6410</v>
      </c>
      <c r="W937" s="26" t="s">
        <v>1884</v>
      </c>
      <c r="X937" s="66">
        <v>44816</v>
      </c>
      <c r="Y937" s="66">
        <v>45086</v>
      </c>
      <c r="Z937" s="66"/>
      <c r="AA937" s="66"/>
      <c r="AB937" s="62" t="s">
        <v>298</v>
      </c>
      <c r="AC937" s="62"/>
      <c r="AD937" s="28"/>
      <c r="AE937" s="28"/>
      <c r="AF937" s="28"/>
      <c r="AG937" s="28" t="s">
        <v>90</v>
      </c>
      <c r="AH937" s="28" t="s">
        <v>90</v>
      </c>
      <c r="AI937" s="28" t="s">
        <v>90</v>
      </c>
      <c r="AJ937" s="28" t="s">
        <v>90</v>
      </c>
      <c r="AK937" s="28" t="s">
        <v>90</v>
      </c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9">
        <v>51.52</v>
      </c>
      <c r="AY937" s="29"/>
      <c r="AZ937" s="30"/>
      <c r="BA937" s="30"/>
      <c r="BB937" s="30"/>
      <c r="BC937" s="30">
        <v>22</v>
      </c>
      <c r="BD937" s="31">
        <f t="shared" si="207"/>
        <v>7058.2400000000007</v>
      </c>
      <c r="BE937" s="31"/>
      <c r="BF937" s="30"/>
      <c r="BG937" s="36">
        <v>1</v>
      </c>
      <c r="BH937" s="31">
        <f t="shared" si="209"/>
        <v>0</v>
      </c>
      <c r="BI937" s="31">
        <f t="shared" si="210"/>
        <v>0</v>
      </c>
      <c r="BJ937" s="33">
        <f t="shared" si="211"/>
        <v>0</v>
      </c>
      <c r="BK937" s="30"/>
      <c r="BL937" s="30"/>
      <c r="BM937" s="30"/>
      <c r="BN937" s="30"/>
      <c r="BO937" s="33">
        <f t="shared" si="199"/>
        <v>0</v>
      </c>
      <c r="BP937" s="30">
        <v>12</v>
      </c>
      <c r="BQ937" s="30">
        <v>16</v>
      </c>
      <c r="BR937" s="30"/>
      <c r="BS937" s="30"/>
      <c r="BT937" s="34">
        <f t="shared" si="200"/>
        <v>51.52</v>
      </c>
      <c r="BU937" s="34"/>
      <c r="BV937" s="34"/>
      <c r="BW937" s="34"/>
      <c r="BX937" s="34"/>
      <c r="BY937" s="30"/>
      <c r="BZ937" s="31">
        <f t="shared" si="201"/>
        <v>618.24</v>
      </c>
      <c r="CA937" s="31">
        <f t="shared" si="202"/>
        <v>824.32</v>
      </c>
    </row>
    <row r="938" spans="1:79" ht="153" x14ac:dyDescent="0.25">
      <c r="A938" s="17"/>
      <c r="B938" s="2">
        <v>922</v>
      </c>
      <c r="C938" s="18">
        <v>646</v>
      </c>
      <c r="D938" s="18">
        <v>319</v>
      </c>
      <c r="E938" s="59">
        <v>0.73263888888888884</v>
      </c>
      <c r="F938" s="59">
        <v>0.74791666666666667</v>
      </c>
      <c r="G938" s="18" t="s">
        <v>1895</v>
      </c>
      <c r="H938" s="18" t="s">
        <v>422</v>
      </c>
      <c r="I938" s="20">
        <v>11.5</v>
      </c>
      <c r="J938" s="21" t="s">
        <v>571</v>
      </c>
      <c r="K938" s="22">
        <v>240</v>
      </c>
      <c r="L938" s="23">
        <f t="shared" si="208"/>
        <v>2760</v>
      </c>
      <c r="M938" s="24" t="s">
        <v>442</v>
      </c>
      <c r="N938" s="25" t="s">
        <v>1807</v>
      </c>
      <c r="O938" s="25">
        <v>17</v>
      </c>
      <c r="P938" s="25" t="s">
        <v>443</v>
      </c>
      <c r="Q938" s="25">
        <v>21</v>
      </c>
      <c r="R938" s="25"/>
      <c r="S938" s="25"/>
      <c r="T938" s="26" t="s">
        <v>1887</v>
      </c>
      <c r="U938" s="26" t="s">
        <v>1888</v>
      </c>
      <c r="V938" s="26" t="s">
        <v>255</v>
      </c>
      <c r="W938" s="26" t="s">
        <v>256</v>
      </c>
      <c r="X938" s="27">
        <v>44816</v>
      </c>
      <c r="Y938" s="27">
        <v>44902</v>
      </c>
      <c r="Z938" s="27">
        <v>45005</v>
      </c>
      <c r="AA938" s="27">
        <v>45100</v>
      </c>
      <c r="AB938" s="26" t="s">
        <v>1896</v>
      </c>
      <c r="AC938" s="26" t="s">
        <v>628</v>
      </c>
      <c r="AD938" s="28" t="s">
        <v>90</v>
      </c>
      <c r="AE938" s="28"/>
      <c r="AF938" s="28" t="s">
        <v>90</v>
      </c>
      <c r="AG938" s="28"/>
      <c r="AH938" s="28" t="s">
        <v>90</v>
      </c>
      <c r="AI938" s="28" t="s">
        <v>90</v>
      </c>
      <c r="AJ938" s="28" t="s">
        <v>90</v>
      </c>
      <c r="AK938" s="28" t="s">
        <v>90</v>
      </c>
      <c r="AL938" s="28" t="s">
        <v>90</v>
      </c>
      <c r="AM938" s="28" t="s">
        <v>90</v>
      </c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9">
        <v>28.75</v>
      </c>
      <c r="AY938" s="29"/>
      <c r="AZ938" s="30"/>
      <c r="BA938" s="30"/>
      <c r="BB938" s="30"/>
      <c r="BC938" s="30"/>
      <c r="BD938" s="31">
        <f t="shared" si="207"/>
        <v>6900</v>
      </c>
      <c r="BE938" s="31"/>
      <c r="BF938" s="30"/>
      <c r="BG938" s="36">
        <v>1</v>
      </c>
      <c r="BH938" s="31">
        <f t="shared" si="209"/>
        <v>0</v>
      </c>
      <c r="BI938" s="31">
        <f t="shared" si="210"/>
        <v>0</v>
      </c>
      <c r="BJ938" s="33">
        <f t="shared" si="211"/>
        <v>0</v>
      </c>
      <c r="BK938" s="30"/>
      <c r="BL938" s="30"/>
      <c r="BM938" s="30"/>
      <c r="BN938" s="30"/>
      <c r="BO938" s="33">
        <f t="shared" si="199"/>
        <v>0</v>
      </c>
      <c r="BP938" s="30">
        <v>17</v>
      </c>
      <c r="BQ938" s="30">
        <v>26</v>
      </c>
      <c r="BR938" s="30"/>
      <c r="BS938" s="30"/>
      <c r="BT938" s="34">
        <f t="shared" si="200"/>
        <v>28.75</v>
      </c>
      <c r="BU938" s="34"/>
      <c r="BV938" s="34"/>
      <c r="BW938" s="34"/>
      <c r="BX938" s="34"/>
      <c r="BY938" s="30"/>
      <c r="BZ938" s="31">
        <f t="shared" si="201"/>
        <v>488.75</v>
      </c>
      <c r="CA938" s="31">
        <f t="shared" si="202"/>
        <v>747.5</v>
      </c>
    </row>
    <row r="939" spans="1:79" ht="51" x14ac:dyDescent="0.25">
      <c r="A939" s="17"/>
      <c r="B939" s="2">
        <v>923</v>
      </c>
      <c r="C939" s="18">
        <v>646</v>
      </c>
      <c r="D939" s="18">
        <v>406</v>
      </c>
      <c r="E939" s="19">
        <v>0.73611111111111116</v>
      </c>
      <c r="F939" s="19">
        <v>0.79513888888888884</v>
      </c>
      <c r="G939" s="18" t="s">
        <v>1897</v>
      </c>
      <c r="H939" s="18" t="s">
        <v>273</v>
      </c>
      <c r="I939" s="20">
        <v>43</v>
      </c>
      <c r="J939" s="21" t="s">
        <v>93</v>
      </c>
      <c r="K939" s="22">
        <v>174</v>
      </c>
      <c r="L939" s="23">
        <f t="shared" si="208"/>
        <v>7482</v>
      </c>
      <c r="M939" s="24" t="s">
        <v>247</v>
      </c>
      <c r="N939" s="25" t="s">
        <v>248</v>
      </c>
      <c r="O939" s="25">
        <v>24</v>
      </c>
      <c r="P939" s="25" t="s">
        <v>1882</v>
      </c>
      <c r="Q939" s="25">
        <v>56</v>
      </c>
      <c r="R939" s="25" t="s">
        <v>249</v>
      </c>
      <c r="S939" s="35">
        <v>20</v>
      </c>
      <c r="T939" s="26">
        <v>6418</v>
      </c>
      <c r="U939" s="26" t="s">
        <v>1898</v>
      </c>
      <c r="V939" s="26">
        <v>6300</v>
      </c>
      <c r="W939" s="26" t="s">
        <v>250</v>
      </c>
      <c r="X939" s="66">
        <v>44816</v>
      </c>
      <c r="Y939" s="66">
        <v>45086</v>
      </c>
      <c r="Z939" s="66"/>
      <c r="AA939" s="66"/>
      <c r="AB939" s="26" t="s">
        <v>282</v>
      </c>
      <c r="AC939" s="26"/>
      <c r="AD939" s="28"/>
      <c r="AE939" s="28"/>
      <c r="AF939" s="28"/>
      <c r="AG939" s="28" t="s">
        <v>90</v>
      </c>
      <c r="AH939" s="28" t="s">
        <v>90</v>
      </c>
      <c r="AI939" s="28" t="s">
        <v>90</v>
      </c>
      <c r="AJ939" s="28" t="s">
        <v>90</v>
      </c>
      <c r="AK939" s="28" t="s">
        <v>90</v>
      </c>
      <c r="AL939" s="28" t="s">
        <v>90</v>
      </c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9">
        <v>135.59</v>
      </c>
      <c r="AY939" s="29"/>
      <c r="AZ939" s="30"/>
      <c r="BA939" s="30"/>
      <c r="BB939" s="30"/>
      <c r="BC939" s="30"/>
      <c r="BD939" s="31">
        <f t="shared" si="207"/>
        <v>23592.66</v>
      </c>
      <c r="BE939" s="31"/>
      <c r="BF939" s="30"/>
      <c r="BG939" s="36">
        <v>1</v>
      </c>
      <c r="BH939" s="31">
        <f t="shared" si="209"/>
        <v>0</v>
      </c>
      <c r="BI939" s="31">
        <f t="shared" si="210"/>
        <v>0</v>
      </c>
      <c r="BJ939" s="33">
        <f t="shared" si="211"/>
        <v>0</v>
      </c>
      <c r="BK939" s="30"/>
      <c r="BL939" s="30"/>
      <c r="BM939" s="30"/>
      <c r="BN939" s="30"/>
      <c r="BO939" s="33">
        <f t="shared" si="199"/>
        <v>0</v>
      </c>
      <c r="BP939" s="30">
        <v>15</v>
      </c>
      <c r="BQ939" s="30">
        <v>20</v>
      </c>
      <c r="BR939" s="30"/>
      <c r="BS939" s="30"/>
      <c r="BT939" s="34">
        <f t="shared" si="200"/>
        <v>135.59</v>
      </c>
      <c r="BU939" s="34"/>
      <c r="BV939" s="34"/>
      <c r="BW939" s="34"/>
      <c r="BX939" s="34"/>
      <c r="BY939" s="30"/>
      <c r="BZ939" s="31">
        <f t="shared" si="201"/>
        <v>2033.8500000000001</v>
      </c>
      <c r="CA939" s="31">
        <f t="shared" si="202"/>
        <v>2711.8</v>
      </c>
    </row>
    <row r="940" spans="1:79" ht="114.75" x14ac:dyDescent="0.25">
      <c r="A940" s="67" t="s">
        <v>322</v>
      </c>
      <c r="B940" s="2">
        <v>924</v>
      </c>
      <c r="C940" s="18">
        <v>646</v>
      </c>
      <c r="D940" s="18">
        <v>319</v>
      </c>
      <c r="E940" s="19">
        <v>0.73958333333333337</v>
      </c>
      <c r="F940" s="19">
        <v>0.74791666666666667</v>
      </c>
      <c r="G940" s="18" t="s">
        <v>1899</v>
      </c>
      <c r="H940" s="58" t="s">
        <v>1145</v>
      </c>
      <c r="I940" s="20">
        <v>6</v>
      </c>
      <c r="J940" s="21" t="s">
        <v>571</v>
      </c>
      <c r="K940" s="68">
        <v>225</v>
      </c>
      <c r="L940" s="23">
        <f t="shared" si="208"/>
        <v>1350</v>
      </c>
      <c r="M940" s="24" t="s">
        <v>442</v>
      </c>
      <c r="N940" s="25" t="s">
        <v>1807</v>
      </c>
      <c r="O940" s="25">
        <v>17</v>
      </c>
      <c r="P940" s="25" t="s">
        <v>443</v>
      </c>
      <c r="Q940" s="25">
        <v>21</v>
      </c>
      <c r="R940" s="25"/>
      <c r="S940" s="25"/>
      <c r="T940" s="26">
        <v>6401</v>
      </c>
      <c r="U940" s="26" t="s">
        <v>259</v>
      </c>
      <c r="V940" s="26" t="s">
        <v>255</v>
      </c>
      <c r="W940" s="26" t="s">
        <v>256</v>
      </c>
      <c r="X940" s="27">
        <v>44903</v>
      </c>
      <c r="Y940" s="27">
        <v>45004</v>
      </c>
      <c r="Z940" s="27"/>
      <c r="AA940" s="27"/>
      <c r="AB940" s="28" t="s">
        <v>1900</v>
      </c>
      <c r="AC940" s="28" t="s">
        <v>628</v>
      </c>
      <c r="AD940" s="28" t="s">
        <v>90</v>
      </c>
      <c r="AE940" s="28"/>
      <c r="AF940" s="28" t="s">
        <v>90</v>
      </c>
      <c r="AG940" s="28"/>
      <c r="AH940" s="28" t="s">
        <v>90</v>
      </c>
      <c r="AI940" s="28" t="s">
        <v>90</v>
      </c>
      <c r="AJ940" s="28" t="s">
        <v>90</v>
      </c>
      <c r="AK940" s="28" t="s">
        <v>90</v>
      </c>
      <c r="AL940" s="28" t="s">
        <v>90</v>
      </c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9">
        <v>28.75</v>
      </c>
      <c r="AY940" s="29"/>
      <c r="AZ940" s="30"/>
      <c r="BA940" s="30"/>
      <c r="BB940" s="30"/>
      <c r="BC940" s="30"/>
      <c r="BD940" s="31">
        <f t="shared" si="207"/>
        <v>6468.75</v>
      </c>
      <c r="BE940" s="31"/>
      <c r="BF940" s="30"/>
      <c r="BG940" s="36">
        <v>1</v>
      </c>
      <c r="BH940" s="31">
        <f t="shared" si="209"/>
        <v>0</v>
      </c>
      <c r="BI940" s="31">
        <f t="shared" si="210"/>
        <v>0</v>
      </c>
      <c r="BJ940" s="33">
        <f t="shared" si="211"/>
        <v>0</v>
      </c>
      <c r="BK940" s="30"/>
      <c r="BL940" s="30"/>
      <c r="BM940" s="30"/>
      <c r="BN940" s="30"/>
      <c r="BO940" s="33">
        <f t="shared" si="199"/>
        <v>0</v>
      </c>
      <c r="BP940" s="30">
        <v>0</v>
      </c>
      <c r="BQ940" s="30">
        <v>21</v>
      </c>
      <c r="BR940" s="30"/>
      <c r="BS940" s="30"/>
      <c r="BT940" s="34">
        <f t="shared" si="200"/>
        <v>28.75</v>
      </c>
      <c r="BU940" s="34"/>
      <c r="BV940" s="34"/>
      <c r="BW940" s="34"/>
      <c r="BX940" s="34"/>
      <c r="BY940" s="30"/>
      <c r="BZ940" s="31">
        <f t="shared" si="201"/>
        <v>0</v>
      </c>
      <c r="CA940" s="31">
        <f t="shared" si="202"/>
        <v>603.75</v>
      </c>
    </row>
    <row r="941" spans="1:79" ht="78.75" x14ac:dyDescent="0.25">
      <c r="A941" s="17"/>
      <c r="B941" s="2">
        <v>925</v>
      </c>
      <c r="C941" s="18">
        <v>646</v>
      </c>
      <c r="D941" s="21">
        <v>314</v>
      </c>
      <c r="E941" s="19">
        <v>0.76874999999999993</v>
      </c>
      <c r="F941" s="59">
        <v>0.78819444444444453</v>
      </c>
      <c r="G941" s="18" t="s">
        <v>1886</v>
      </c>
      <c r="H941" s="18" t="s">
        <v>1901</v>
      </c>
      <c r="I941" s="20">
        <v>15</v>
      </c>
      <c r="J941" s="21">
        <v>16</v>
      </c>
      <c r="K941" s="22">
        <f>174-33</f>
        <v>141</v>
      </c>
      <c r="L941" s="23">
        <f t="shared" si="208"/>
        <v>2115</v>
      </c>
      <c r="M941" s="24" t="s">
        <v>1818</v>
      </c>
      <c r="N941" s="25" t="s">
        <v>1828</v>
      </c>
      <c r="O941" s="25">
        <v>9</v>
      </c>
      <c r="P941" s="25" t="s">
        <v>1829</v>
      </c>
      <c r="Q941" s="25">
        <v>9</v>
      </c>
      <c r="R941" s="17"/>
      <c r="S941" s="25"/>
      <c r="T941" s="26" t="s">
        <v>1887</v>
      </c>
      <c r="U941" s="26" t="s">
        <v>1888</v>
      </c>
      <c r="V941" s="26">
        <v>6410</v>
      </c>
      <c r="W941" s="26" t="s">
        <v>1884</v>
      </c>
      <c r="X941" s="66">
        <v>44816</v>
      </c>
      <c r="Y941" s="66">
        <v>45086</v>
      </c>
      <c r="Z941" s="66"/>
      <c r="AA941" s="66"/>
      <c r="AB941" s="28" t="s">
        <v>1902</v>
      </c>
      <c r="AC941" s="28"/>
      <c r="AD941" s="28"/>
      <c r="AE941" s="28"/>
      <c r="AF941" s="28"/>
      <c r="AG941" s="28" t="s">
        <v>90</v>
      </c>
      <c r="AH941" s="28"/>
      <c r="AI941" s="28" t="s">
        <v>90</v>
      </c>
      <c r="AJ941" s="28" t="s">
        <v>90</v>
      </c>
      <c r="AK941" s="28" t="s">
        <v>90</v>
      </c>
      <c r="AL941" s="28" t="s">
        <v>90</v>
      </c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9">
        <v>45</v>
      </c>
      <c r="AY941" s="29"/>
      <c r="AZ941" s="30"/>
      <c r="BA941" s="30"/>
      <c r="BB941" s="30"/>
      <c r="BC941" s="30">
        <v>23</v>
      </c>
      <c r="BD941" s="31">
        <f t="shared" si="207"/>
        <v>6345</v>
      </c>
      <c r="BE941" s="31"/>
      <c r="BF941" s="30"/>
      <c r="BG941" s="36">
        <v>1</v>
      </c>
      <c r="BH941" s="31">
        <f t="shared" si="209"/>
        <v>0</v>
      </c>
      <c r="BI941" s="31">
        <f t="shared" si="210"/>
        <v>0</v>
      </c>
      <c r="BJ941" s="33">
        <f t="shared" si="211"/>
        <v>0</v>
      </c>
      <c r="BK941" s="30"/>
      <c r="BL941" s="30"/>
      <c r="BM941" s="30"/>
      <c r="BN941" s="30"/>
      <c r="BO941" s="33">
        <f t="shared" si="199"/>
        <v>0</v>
      </c>
      <c r="BP941" s="30">
        <v>12</v>
      </c>
      <c r="BQ941" s="30">
        <v>16</v>
      </c>
      <c r="BR941" s="30"/>
      <c r="BS941" s="30"/>
      <c r="BT941" s="34">
        <f t="shared" si="200"/>
        <v>45</v>
      </c>
      <c r="BU941" s="34"/>
      <c r="BV941" s="34"/>
      <c r="BW941" s="34"/>
      <c r="BX941" s="34"/>
      <c r="BY941" s="30"/>
      <c r="BZ941" s="31">
        <f t="shared" si="201"/>
        <v>540</v>
      </c>
      <c r="CA941" s="31">
        <f t="shared" si="202"/>
        <v>720</v>
      </c>
    </row>
    <row r="942" spans="1:79" ht="140.25" x14ac:dyDescent="0.25">
      <c r="A942" s="17"/>
      <c r="B942" s="2">
        <v>926</v>
      </c>
      <c r="C942" s="18">
        <v>646</v>
      </c>
      <c r="D942" s="18">
        <v>314</v>
      </c>
      <c r="E942" s="19">
        <v>0.77638888888888891</v>
      </c>
      <c r="F942" s="59">
        <v>0.78194444444444444</v>
      </c>
      <c r="G942" s="18" t="s">
        <v>1903</v>
      </c>
      <c r="H942" s="18" t="s">
        <v>1904</v>
      </c>
      <c r="I942" s="20">
        <v>7</v>
      </c>
      <c r="J942" s="21" t="s">
        <v>380</v>
      </c>
      <c r="K942" s="22">
        <v>30</v>
      </c>
      <c r="L942" s="23">
        <f t="shared" si="208"/>
        <v>210</v>
      </c>
      <c r="M942" s="24" t="s">
        <v>247</v>
      </c>
      <c r="N942" s="25" t="s">
        <v>248</v>
      </c>
      <c r="O942" s="25">
        <v>24</v>
      </c>
      <c r="P942" s="25" t="s">
        <v>1882</v>
      </c>
      <c r="Q942" s="25">
        <v>56</v>
      </c>
      <c r="R942" s="25" t="s">
        <v>249</v>
      </c>
      <c r="S942" s="35">
        <v>20</v>
      </c>
      <c r="T942" s="26">
        <v>6401</v>
      </c>
      <c r="U942" s="26" t="s">
        <v>259</v>
      </c>
      <c r="V942" s="26" t="s">
        <v>1887</v>
      </c>
      <c r="W942" s="26" t="s">
        <v>1888</v>
      </c>
      <c r="X942" s="27">
        <v>44816</v>
      </c>
      <c r="Y942" s="27">
        <v>44902</v>
      </c>
      <c r="Z942" s="27">
        <v>45005</v>
      </c>
      <c r="AA942" s="27">
        <v>45100</v>
      </c>
      <c r="AB942" s="26" t="s">
        <v>1905</v>
      </c>
      <c r="AC942" s="28" t="s">
        <v>628</v>
      </c>
      <c r="AD942" s="28" t="s">
        <v>90</v>
      </c>
      <c r="AE942" s="28"/>
      <c r="AF942" s="28"/>
      <c r="AG942" s="28"/>
      <c r="AH942" s="28"/>
      <c r="AI942" s="28"/>
      <c r="AJ942" s="28"/>
      <c r="AK942" s="28"/>
      <c r="AL942" s="28"/>
      <c r="AM942" s="28"/>
      <c r="AN942" s="28" t="s">
        <v>90</v>
      </c>
      <c r="AO942" s="28"/>
      <c r="AP942" s="28"/>
      <c r="AQ942" s="28"/>
      <c r="AR942" s="28"/>
      <c r="AS942" s="28"/>
      <c r="AT942" s="28"/>
      <c r="AU942" s="28"/>
      <c r="AV942" s="28"/>
      <c r="AW942" s="28"/>
      <c r="AX942" s="29">
        <v>27.46</v>
      </c>
      <c r="AY942" s="29"/>
      <c r="AZ942" s="30"/>
      <c r="BA942" s="30"/>
      <c r="BB942" s="30"/>
      <c r="BC942" s="30"/>
      <c r="BD942" s="31">
        <f t="shared" si="207"/>
        <v>823.80000000000007</v>
      </c>
      <c r="BE942" s="31"/>
      <c r="BF942" s="30"/>
      <c r="BG942" s="36">
        <v>1</v>
      </c>
      <c r="BH942" s="31">
        <f t="shared" si="209"/>
        <v>0</v>
      </c>
      <c r="BI942" s="31">
        <f t="shared" si="210"/>
        <v>0</v>
      </c>
      <c r="BJ942" s="33">
        <f t="shared" si="211"/>
        <v>0</v>
      </c>
      <c r="BK942" s="30"/>
      <c r="BL942" s="30"/>
      <c r="BM942" s="30"/>
      <c r="BN942" s="30"/>
      <c r="BO942" s="33">
        <f t="shared" si="199"/>
        <v>0</v>
      </c>
      <c r="BP942" s="30">
        <v>2</v>
      </c>
      <c r="BQ942" s="30">
        <v>5</v>
      </c>
      <c r="BR942" s="30"/>
      <c r="BS942" s="30"/>
      <c r="BT942" s="34">
        <f t="shared" si="200"/>
        <v>27.46</v>
      </c>
      <c r="BU942" s="34"/>
      <c r="BV942" s="34"/>
      <c r="BW942" s="34"/>
      <c r="BX942" s="34"/>
      <c r="BY942" s="30"/>
      <c r="BZ942" s="31">
        <f t="shared" si="201"/>
        <v>54.92</v>
      </c>
      <c r="CA942" s="31">
        <f t="shared" si="202"/>
        <v>137.30000000000001</v>
      </c>
    </row>
    <row r="943" spans="1:79" ht="67.5" x14ac:dyDescent="0.25">
      <c r="A943" s="17"/>
      <c r="B943" s="2">
        <v>927</v>
      </c>
      <c r="C943" s="18">
        <v>646</v>
      </c>
      <c r="D943" s="18">
        <v>418</v>
      </c>
      <c r="E943" s="19">
        <v>0.8256944444444444</v>
      </c>
      <c r="F943" s="19">
        <v>0.83124999999999993</v>
      </c>
      <c r="G943" s="18" t="s">
        <v>1903</v>
      </c>
      <c r="H943" s="18" t="s">
        <v>422</v>
      </c>
      <c r="I943" s="20">
        <v>4.5</v>
      </c>
      <c r="J943" s="21" t="s">
        <v>571</v>
      </c>
      <c r="K943" s="22">
        <v>240</v>
      </c>
      <c r="L943" s="23">
        <f t="shared" si="208"/>
        <v>1080</v>
      </c>
      <c r="M943" s="24" t="s">
        <v>442</v>
      </c>
      <c r="N943" s="25" t="s">
        <v>1807</v>
      </c>
      <c r="O943" s="25">
        <v>17</v>
      </c>
      <c r="P943" s="25" t="s">
        <v>443</v>
      </c>
      <c r="Q943" s="25">
        <v>21</v>
      </c>
      <c r="R943" s="25"/>
      <c r="S943" s="25"/>
      <c r="T943" s="26">
        <v>6401</v>
      </c>
      <c r="U943" s="26" t="s">
        <v>259</v>
      </c>
      <c r="V943" s="26" t="s">
        <v>1887</v>
      </c>
      <c r="W943" s="26" t="s">
        <v>1888</v>
      </c>
      <c r="X943" s="27">
        <v>44816</v>
      </c>
      <c r="Y943" s="27">
        <v>45100</v>
      </c>
      <c r="Z943" s="27"/>
      <c r="AA943" s="27"/>
      <c r="AB943" s="26" t="s">
        <v>423</v>
      </c>
      <c r="AC943" s="26"/>
      <c r="AD943" s="28" t="s">
        <v>90</v>
      </c>
      <c r="AE943" s="28"/>
      <c r="AF943" s="28" t="s">
        <v>90</v>
      </c>
      <c r="AG943" s="28"/>
      <c r="AH943" s="28" t="s">
        <v>90</v>
      </c>
      <c r="AI943" s="28" t="s">
        <v>90</v>
      </c>
      <c r="AJ943" s="28" t="s">
        <v>90</v>
      </c>
      <c r="AK943" s="28" t="s">
        <v>90</v>
      </c>
      <c r="AL943" s="28" t="s">
        <v>90</v>
      </c>
      <c r="AM943" s="28" t="s">
        <v>90</v>
      </c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9">
        <v>11.25</v>
      </c>
      <c r="AY943" s="29"/>
      <c r="AZ943" s="30"/>
      <c r="BA943" s="30"/>
      <c r="BB943" s="30"/>
      <c r="BC943" s="30"/>
      <c r="BD943" s="31">
        <f t="shared" si="207"/>
        <v>2700</v>
      </c>
      <c r="BE943" s="31"/>
      <c r="BF943" s="30"/>
      <c r="BG943" s="36">
        <v>1</v>
      </c>
      <c r="BH943" s="31">
        <f t="shared" si="209"/>
        <v>0</v>
      </c>
      <c r="BI943" s="31">
        <f t="shared" si="210"/>
        <v>0</v>
      </c>
      <c r="BJ943" s="33">
        <f t="shared" si="211"/>
        <v>0</v>
      </c>
      <c r="BK943" s="30"/>
      <c r="BL943" s="30"/>
      <c r="BM943" s="30"/>
      <c r="BN943" s="30"/>
      <c r="BO943" s="33">
        <f t="shared" si="199"/>
        <v>0</v>
      </c>
      <c r="BP943" s="30">
        <v>17</v>
      </c>
      <c r="BQ943" s="30">
        <v>26</v>
      </c>
      <c r="BR943" s="30"/>
      <c r="BS943" s="30"/>
      <c r="BT943" s="34">
        <f t="shared" si="200"/>
        <v>11.25</v>
      </c>
      <c r="BU943" s="34"/>
      <c r="BV943" s="34"/>
      <c r="BW943" s="34"/>
      <c r="BX943" s="34"/>
      <c r="BY943" s="30"/>
      <c r="BZ943" s="31">
        <f t="shared" si="201"/>
        <v>191.25</v>
      </c>
      <c r="CA943" s="31">
        <f t="shared" si="202"/>
        <v>292.5</v>
      </c>
    </row>
    <row r="944" spans="1:79" ht="102" x14ac:dyDescent="0.25">
      <c r="A944" s="17"/>
      <c r="B944" s="2">
        <v>928</v>
      </c>
      <c r="C944" s="58">
        <v>401</v>
      </c>
      <c r="D944" s="18">
        <v>124</v>
      </c>
      <c r="E944" s="59">
        <v>0.30277777777777776</v>
      </c>
      <c r="F944" s="59">
        <v>0.32777777777777778</v>
      </c>
      <c r="G944" s="18" t="s">
        <v>1906</v>
      </c>
      <c r="H944" s="18" t="s">
        <v>306</v>
      </c>
      <c r="I944" s="20">
        <f>20+2.5</f>
        <v>22.5</v>
      </c>
      <c r="J944" s="21" t="s">
        <v>81</v>
      </c>
      <c r="K944" s="22">
        <v>208</v>
      </c>
      <c r="L944" s="23">
        <f t="shared" si="208"/>
        <v>4680</v>
      </c>
      <c r="M944" s="24" t="s">
        <v>1257</v>
      </c>
      <c r="N944" s="25" t="s">
        <v>1258</v>
      </c>
      <c r="O944" s="25">
        <v>57</v>
      </c>
      <c r="P944" s="25" t="s">
        <v>1445</v>
      </c>
      <c r="Q944" s="25">
        <v>57</v>
      </c>
      <c r="R944" s="17"/>
      <c r="S944" s="25"/>
      <c r="T944" s="26" t="s">
        <v>1907</v>
      </c>
      <c r="U944" s="26" t="s">
        <v>1908</v>
      </c>
      <c r="V944" s="26">
        <v>4400</v>
      </c>
      <c r="W944" s="26" t="s">
        <v>186</v>
      </c>
      <c r="X944" s="66">
        <v>44816</v>
      </c>
      <c r="Y944" s="66">
        <v>45086</v>
      </c>
      <c r="Z944" s="66"/>
      <c r="AA944" s="66"/>
      <c r="AB944" s="26" t="s">
        <v>309</v>
      </c>
      <c r="AC944" s="26"/>
      <c r="AD944" s="28"/>
      <c r="AE944" s="28"/>
      <c r="AF944" s="28"/>
      <c r="AG944" s="28" t="s">
        <v>90</v>
      </c>
      <c r="AH944" s="28" t="s">
        <v>90</v>
      </c>
      <c r="AI944" s="28" t="s">
        <v>90</v>
      </c>
      <c r="AJ944" s="28" t="s">
        <v>90</v>
      </c>
      <c r="AK944" s="28" t="s">
        <v>90</v>
      </c>
      <c r="AL944" s="28" t="s">
        <v>90</v>
      </c>
      <c r="AM944" s="28" t="s">
        <v>90</v>
      </c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9">
        <v>182.5</v>
      </c>
      <c r="AY944" s="29"/>
      <c r="AZ944" s="30"/>
      <c r="BA944" s="30"/>
      <c r="BB944" s="30"/>
      <c r="BC944" s="30"/>
      <c r="BD944" s="31">
        <f t="shared" si="207"/>
        <v>37960</v>
      </c>
      <c r="BE944" s="31"/>
      <c r="BF944" s="30"/>
      <c r="BG944" s="32">
        <v>2</v>
      </c>
      <c r="BH944" s="31">
        <f t="shared" si="209"/>
        <v>0</v>
      </c>
      <c r="BI944" s="31">
        <f t="shared" si="210"/>
        <v>0</v>
      </c>
      <c r="BJ944" s="33">
        <f t="shared" si="211"/>
        <v>0</v>
      </c>
      <c r="BK944" s="30"/>
      <c r="BL944" s="30"/>
      <c r="BM944" s="30"/>
      <c r="BN944" s="30"/>
      <c r="BO944" s="33">
        <f t="shared" si="199"/>
        <v>0</v>
      </c>
      <c r="BP944" s="30">
        <v>17</v>
      </c>
      <c r="BQ944" s="30">
        <v>25</v>
      </c>
      <c r="BR944" s="30"/>
      <c r="BS944" s="30"/>
      <c r="BT944" s="34">
        <f t="shared" si="200"/>
        <v>182.5</v>
      </c>
      <c r="BU944" s="34"/>
      <c r="BV944" s="34"/>
      <c r="BW944" s="34"/>
      <c r="BX944" s="34"/>
      <c r="BY944" s="30"/>
      <c r="BZ944" s="31">
        <f t="shared" si="201"/>
        <v>3102.5</v>
      </c>
      <c r="CA944" s="31">
        <f t="shared" si="202"/>
        <v>4562.5</v>
      </c>
    </row>
    <row r="945" spans="1:79" ht="67.5" x14ac:dyDescent="0.25">
      <c r="A945" s="17" t="s">
        <v>1909</v>
      </c>
      <c r="B945" s="2" t="s">
        <v>1910</v>
      </c>
      <c r="C945" s="18">
        <v>645</v>
      </c>
      <c r="D945" s="18">
        <v>307</v>
      </c>
      <c r="E945" s="19">
        <v>0.28333333333333333</v>
      </c>
      <c r="F945" s="19">
        <v>0.28819444444444448</v>
      </c>
      <c r="G945" s="18" t="s">
        <v>1911</v>
      </c>
      <c r="H945" s="18" t="s">
        <v>306</v>
      </c>
      <c r="I945" s="20">
        <v>2.8</v>
      </c>
      <c r="J945" s="21">
        <v>8</v>
      </c>
      <c r="K945" s="22">
        <v>208</v>
      </c>
      <c r="L945" s="23">
        <f t="shared" si="208"/>
        <v>582.4</v>
      </c>
      <c r="M945" s="24" t="s">
        <v>442</v>
      </c>
      <c r="N945" s="25" t="s">
        <v>1849</v>
      </c>
      <c r="O945" s="25">
        <v>7</v>
      </c>
      <c r="P945" s="25" t="s">
        <v>1848</v>
      </c>
      <c r="Q945" s="25">
        <v>9</v>
      </c>
      <c r="R945" s="25"/>
      <c r="S945" s="17"/>
      <c r="T945" s="26" t="s">
        <v>1912</v>
      </c>
      <c r="U945" s="26" t="s">
        <v>1913</v>
      </c>
      <c r="V945" s="26" t="s">
        <v>1914</v>
      </c>
      <c r="W945" s="26" t="s">
        <v>1915</v>
      </c>
      <c r="X945" s="66">
        <v>44816</v>
      </c>
      <c r="Y945" s="66">
        <v>45086</v>
      </c>
      <c r="Z945" s="66"/>
      <c r="AA945" s="66"/>
      <c r="AB945" s="26" t="s">
        <v>309</v>
      </c>
      <c r="AC945" s="62"/>
      <c r="AD945" s="28"/>
      <c r="AE945" s="28"/>
      <c r="AF945" s="28"/>
      <c r="AG945" s="28" t="s">
        <v>90</v>
      </c>
      <c r="AH945" s="28" t="s">
        <v>90</v>
      </c>
      <c r="AI945" s="28" t="s">
        <v>90</v>
      </c>
      <c r="AJ945" s="28" t="s">
        <v>90</v>
      </c>
      <c r="AK945" s="28" t="s">
        <v>90</v>
      </c>
      <c r="AL945" s="28" t="s">
        <v>90</v>
      </c>
      <c r="AM945" s="28" t="s">
        <v>90</v>
      </c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9"/>
      <c r="AY945" s="31"/>
      <c r="AZ945" s="31">
        <f>25/1.1</f>
        <v>22.727272727272727</v>
      </c>
      <c r="BA945" s="29"/>
      <c r="BB945" s="29"/>
      <c r="BC945" s="30"/>
      <c r="BD945" s="30"/>
      <c r="BE945" s="30"/>
      <c r="BF945" s="31">
        <f t="shared" ref="BF945:BF957" si="212">AZ945*K945</f>
        <v>4727.272727272727</v>
      </c>
      <c r="BG945" s="36">
        <v>1</v>
      </c>
      <c r="BH945" s="36"/>
      <c r="BI945" s="36"/>
      <c r="BJ945" s="47"/>
      <c r="BK945" s="36"/>
      <c r="BL945" s="36"/>
      <c r="BM945" s="36"/>
      <c r="BN945" s="47"/>
      <c r="BO945" s="132"/>
      <c r="BP945" s="30">
        <v>17</v>
      </c>
      <c r="BQ945" s="30">
        <v>25</v>
      </c>
      <c r="BR945" s="30"/>
      <c r="BS945" s="30"/>
      <c r="BT945" s="34">
        <f t="shared" ref="BT945:BT957" si="213">SUM(AX945:AZ945)+SUM(BH945:BI945)+SUM(BK945:BL945)+BN945</f>
        <v>22.727272727272727</v>
      </c>
      <c r="BU945" s="34"/>
      <c r="BV945" s="34"/>
      <c r="BW945" s="34"/>
      <c r="BX945" s="34"/>
      <c r="BY945" s="30"/>
      <c r="BZ945" s="31">
        <f t="shared" si="201"/>
        <v>386.36363636363637</v>
      </c>
      <c r="CA945" s="31">
        <f t="shared" si="202"/>
        <v>568.18181818181813</v>
      </c>
    </row>
    <row r="946" spans="1:79" ht="67.5" x14ac:dyDescent="0.25">
      <c r="A946" s="17" t="s">
        <v>1916</v>
      </c>
      <c r="B946" s="2" t="s">
        <v>1910</v>
      </c>
      <c r="C946" s="18">
        <v>101</v>
      </c>
      <c r="D946" s="18">
        <v>57</v>
      </c>
      <c r="E946" s="19">
        <v>0.70833333333333337</v>
      </c>
      <c r="F946" s="19">
        <v>0.79166666666666663</v>
      </c>
      <c r="G946" s="18" t="s">
        <v>1917</v>
      </c>
      <c r="H946" s="18" t="s">
        <v>1918</v>
      </c>
      <c r="I946" s="20">
        <v>92</v>
      </c>
      <c r="J946" s="21">
        <v>19</v>
      </c>
      <c r="K946" s="22">
        <v>18</v>
      </c>
      <c r="L946" s="23">
        <f t="shared" si="208"/>
        <v>1656</v>
      </c>
      <c r="M946" s="24" t="s">
        <v>695</v>
      </c>
      <c r="N946" s="25" t="s">
        <v>697</v>
      </c>
      <c r="O946" s="25">
        <v>21</v>
      </c>
      <c r="P946" s="25" t="s">
        <v>696</v>
      </c>
      <c r="Q946" s="25">
        <v>24</v>
      </c>
      <c r="R946" s="17"/>
      <c r="S946" s="17"/>
      <c r="T946" s="26" t="s">
        <v>1919</v>
      </c>
      <c r="U946" s="26" t="s">
        <v>1920</v>
      </c>
      <c r="V946" s="26">
        <v>1</v>
      </c>
      <c r="W946" s="26" t="s">
        <v>587</v>
      </c>
      <c r="X946" s="66">
        <v>44816</v>
      </c>
      <c r="Y946" s="66">
        <v>45086</v>
      </c>
      <c r="Z946" s="66"/>
      <c r="AA946" s="66"/>
      <c r="AB946" s="28" t="s">
        <v>1921</v>
      </c>
      <c r="AC946" s="28" t="s">
        <v>628</v>
      </c>
      <c r="AD946" s="28"/>
      <c r="AE946" s="28"/>
      <c r="AF946" s="28"/>
      <c r="AG946" s="28" t="s">
        <v>90</v>
      </c>
      <c r="AH946" s="28"/>
      <c r="AI946" s="28"/>
      <c r="AJ946" s="28"/>
      <c r="AK946" s="28"/>
      <c r="AL946" s="28" t="s">
        <v>90</v>
      </c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9"/>
      <c r="AY946" s="31"/>
      <c r="AZ946" s="31">
        <f t="shared" ref="AZ946:AZ954" si="214">3*I946</f>
        <v>276</v>
      </c>
      <c r="BA946" s="29"/>
      <c r="BB946" s="29"/>
      <c r="BC946" s="30"/>
      <c r="BD946" s="30"/>
      <c r="BE946" s="30"/>
      <c r="BF946" s="31">
        <f t="shared" si="212"/>
        <v>4968</v>
      </c>
      <c r="BG946" s="36">
        <v>1</v>
      </c>
      <c r="BH946" s="36"/>
      <c r="BI946" s="36"/>
      <c r="BJ946" s="47"/>
      <c r="BK946" s="36"/>
      <c r="BL946" s="36"/>
      <c r="BM946" s="36"/>
      <c r="BN946" s="36"/>
      <c r="BO946" s="132"/>
      <c r="BP946" s="30">
        <v>1</v>
      </c>
      <c r="BQ946" s="30">
        <v>2</v>
      </c>
      <c r="BR946" s="30"/>
      <c r="BS946" s="30"/>
      <c r="BT946" s="34">
        <f t="shared" si="213"/>
        <v>276</v>
      </c>
      <c r="BU946" s="34"/>
      <c r="BV946" s="34"/>
      <c r="BW946" s="34"/>
      <c r="BX946" s="34"/>
      <c r="BY946" s="30"/>
      <c r="BZ946" s="31">
        <f t="shared" si="201"/>
        <v>276</v>
      </c>
      <c r="CA946" s="31">
        <f t="shared" si="202"/>
        <v>552</v>
      </c>
    </row>
    <row r="947" spans="1:79" ht="63.75" x14ac:dyDescent="0.25">
      <c r="A947" s="17" t="s">
        <v>1916</v>
      </c>
      <c r="B947" s="2" t="s">
        <v>1910</v>
      </c>
      <c r="C947" s="18">
        <v>101</v>
      </c>
      <c r="D947" s="18">
        <v>57</v>
      </c>
      <c r="E947" s="19">
        <v>0.70833333333333337</v>
      </c>
      <c r="F947" s="19">
        <v>0.79166666666666663</v>
      </c>
      <c r="G947" s="18" t="s">
        <v>1917</v>
      </c>
      <c r="H947" s="18" t="s">
        <v>1918</v>
      </c>
      <c r="I947" s="20">
        <v>92</v>
      </c>
      <c r="J947" s="21">
        <v>19</v>
      </c>
      <c r="K947" s="22">
        <v>18</v>
      </c>
      <c r="L947" s="23">
        <f t="shared" si="208"/>
        <v>1656</v>
      </c>
      <c r="M947" s="24" t="s">
        <v>1922</v>
      </c>
      <c r="N947" s="25" t="s">
        <v>1923</v>
      </c>
      <c r="O947" s="25">
        <v>21</v>
      </c>
      <c r="P947" s="25" t="s">
        <v>1924</v>
      </c>
      <c r="Q947" s="25">
        <v>23</v>
      </c>
      <c r="R947" s="25" t="s">
        <v>1925</v>
      </c>
      <c r="S947" s="35">
        <v>16</v>
      </c>
      <c r="T947" s="26" t="s">
        <v>1919</v>
      </c>
      <c r="U947" s="26" t="s">
        <v>1920</v>
      </c>
      <c r="V947" s="26">
        <v>1</v>
      </c>
      <c r="W947" s="26" t="s">
        <v>587</v>
      </c>
      <c r="X947" s="66">
        <v>44816</v>
      </c>
      <c r="Y947" s="66">
        <v>45086</v>
      </c>
      <c r="Z947" s="66"/>
      <c r="AA947" s="66"/>
      <c r="AB947" s="28" t="s">
        <v>1921</v>
      </c>
      <c r="AC947" s="28" t="s">
        <v>628</v>
      </c>
      <c r="AD947" s="28"/>
      <c r="AE947" s="28"/>
      <c r="AF947" s="28"/>
      <c r="AG947" s="28" t="s">
        <v>90</v>
      </c>
      <c r="AH947" s="28"/>
      <c r="AI947" s="28"/>
      <c r="AJ947" s="28"/>
      <c r="AK947" s="28"/>
      <c r="AL947" s="28" t="s">
        <v>90</v>
      </c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9"/>
      <c r="AY947" s="31"/>
      <c r="AZ947" s="31">
        <f t="shared" si="214"/>
        <v>276</v>
      </c>
      <c r="BA947" s="29"/>
      <c r="BB947" s="29"/>
      <c r="BC947" s="30"/>
      <c r="BD947" s="30"/>
      <c r="BE947" s="30"/>
      <c r="BF947" s="31">
        <f t="shared" si="212"/>
        <v>4968</v>
      </c>
      <c r="BG947" s="36">
        <v>1</v>
      </c>
      <c r="BH947" s="36"/>
      <c r="BI947" s="36"/>
      <c r="BJ947" s="47"/>
      <c r="BK947" s="36"/>
      <c r="BL947" s="36"/>
      <c r="BM947" s="36"/>
      <c r="BN947" s="36"/>
      <c r="BO947" s="132"/>
      <c r="BP947" s="30">
        <v>1</v>
      </c>
      <c r="BQ947" s="30">
        <v>2</v>
      </c>
      <c r="BR947" s="30"/>
      <c r="BS947" s="30"/>
      <c r="BT947" s="34">
        <f t="shared" si="213"/>
        <v>276</v>
      </c>
      <c r="BU947" s="34"/>
      <c r="BV947" s="34"/>
      <c r="BW947" s="34"/>
      <c r="BX947" s="34"/>
      <c r="BY947" s="30"/>
      <c r="BZ947" s="31">
        <f t="shared" si="201"/>
        <v>276</v>
      </c>
      <c r="CA947" s="31">
        <f t="shared" si="202"/>
        <v>552</v>
      </c>
    </row>
    <row r="948" spans="1:79" ht="102" x14ac:dyDescent="0.25">
      <c r="A948" s="17" t="s">
        <v>1916</v>
      </c>
      <c r="B948" s="2" t="s">
        <v>1910</v>
      </c>
      <c r="C948" s="18">
        <v>101</v>
      </c>
      <c r="D948" s="18">
        <v>50</v>
      </c>
      <c r="E948" s="19">
        <v>0.76250000000000007</v>
      </c>
      <c r="F948" s="19">
        <v>0.84583333333333333</v>
      </c>
      <c r="G948" s="18" t="s">
        <v>1926</v>
      </c>
      <c r="H948" s="18" t="s">
        <v>1927</v>
      </c>
      <c r="I948" s="20">
        <v>92</v>
      </c>
      <c r="J948" s="21">
        <v>19</v>
      </c>
      <c r="K948" s="22">
        <v>18</v>
      </c>
      <c r="L948" s="23">
        <f t="shared" si="208"/>
        <v>1656</v>
      </c>
      <c r="M948" s="24" t="s">
        <v>695</v>
      </c>
      <c r="N948" s="25" t="s">
        <v>697</v>
      </c>
      <c r="O948" s="25">
        <v>21</v>
      </c>
      <c r="P948" s="25" t="s">
        <v>696</v>
      </c>
      <c r="Q948" s="25">
        <v>24</v>
      </c>
      <c r="R948" s="17"/>
      <c r="S948" s="17"/>
      <c r="T948" s="26">
        <v>1</v>
      </c>
      <c r="U948" s="26" t="s">
        <v>587</v>
      </c>
      <c r="V948" s="26" t="s">
        <v>1928</v>
      </c>
      <c r="W948" s="26" t="s">
        <v>1929</v>
      </c>
      <c r="X948" s="66">
        <v>44816</v>
      </c>
      <c r="Y948" s="66">
        <v>45086</v>
      </c>
      <c r="Z948" s="66"/>
      <c r="AA948" s="66"/>
      <c r="AB948" s="28" t="s">
        <v>1930</v>
      </c>
      <c r="AC948" s="28" t="s">
        <v>628</v>
      </c>
      <c r="AD948" s="28"/>
      <c r="AE948" s="28"/>
      <c r="AF948" s="28"/>
      <c r="AG948" s="28" t="s">
        <v>90</v>
      </c>
      <c r="AH948" s="28"/>
      <c r="AI948" s="28"/>
      <c r="AJ948" s="28"/>
      <c r="AK948" s="28"/>
      <c r="AL948" s="28"/>
      <c r="AM948" s="28"/>
      <c r="AN948" s="28" t="s">
        <v>90</v>
      </c>
      <c r="AO948" s="28"/>
      <c r="AP948" s="28"/>
      <c r="AQ948" s="28"/>
      <c r="AR948" s="28"/>
      <c r="AS948" s="28"/>
      <c r="AT948" s="28"/>
      <c r="AU948" s="28"/>
      <c r="AV948" s="28"/>
      <c r="AW948" s="28"/>
      <c r="AX948" s="29"/>
      <c r="AY948" s="31"/>
      <c r="AZ948" s="31">
        <f t="shared" si="214"/>
        <v>276</v>
      </c>
      <c r="BA948" s="29"/>
      <c r="BB948" s="29"/>
      <c r="BC948" s="30"/>
      <c r="BD948" s="30"/>
      <c r="BE948" s="30"/>
      <c r="BF948" s="31">
        <f t="shared" si="212"/>
        <v>4968</v>
      </c>
      <c r="BG948" s="36">
        <v>1</v>
      </c>
      <c r="BH948" s="36"/>
      <c r="BI948" s="36"/>
      <c r="BJ948" s="47"/>
      <c r="BK948" s="36"/>
      <c r="BL948" s="36"/>
      <c r="BM948" s="36"/>
      <c r="BN948" s="36"/>
      <c r="BO948" s="132"/>
      <c r="BP948" s="30">
        <v>1</v>
      </c>
      <c r="BQ948" s="30">
        <v>2</v>
      </c>
      <c r="BR948" s="30"/>
      <c r="BS948" s="30"/>
      <c r="BT948" s="34">
        <f t="shared" si="213"/>
        <v>276</v>
      </c>
      <c r="BU948" s="34"/>
      <c r="BV948" s="34"/>
      <c r="BW948" s="34"/>
      <c r="BX948" s="34"/>
      <c r="BY948" s="30"/>
      <c r="BZ948" s="31">
        <f t="shared" si="201"/>
        <v>276</v>
      </c>
      <c r="CA948" s="31">
        <f t="shared" si="202"/>
        <v>552</v>
      </c>
    </row>
    <row r="949" spans="1:79" ht="102" x14ac:dyDescent="0.25">
      <c r="A949" s="17" t="s">
        <v>1916</v>
      </c>
      <c r="B949" s="2" t="s">
        <v>1910</v>
      </c>
      <c r="C949" s="18">
        <v>101</v>
      </c>
      <c r="D949" s="18">
        <v>50</v>
      </c>
      <c r="E949" s="19">
        <v>0.76250000000000007</v>
      </c>
      <c r="F949" s="19">
        <v>0.84583333333333333</v>
      </c>
      <c r="G949" s="18" t="s">
        <v>1926</v>
      </c>
      <c r="H949" s="18" t="s">
        <v>1927</v>
      </c>
      <c r="I949" s="20">
        <v>92</v>
      </c>
      <c r="J949" s="21">
        <v>19</v>
      </c>
      <c r="K949" s="22">
        <v>18</v>
      </c>
      <c r="L949" s="23">
        <f t="shared" si="208"/>
        <v>1656</v>
      </c>
      <c r="M949" s="24" t="s">
        <v>1922</v>
      </c>
      <c r="N949" s="25" t="s">
        <v>1923</v>
      </c>
      <c r="O949" s="25">
        <v>21</v>
      </c>
      <c r="P949" s="25" t="s">
        <v>1924</v>
      </c>
      <c r="Q949" s="25">
        <v>23</v>
      </c>
      <c r="R949" s="25" t="s">
        <v>1925</v>
      </c>
      <c r="S949" s="35">
        <v>16</v>
      </c>
      <c r="T949" s="26">
        <v>1</v>
      </c>
      <c r="U949" s="26" t="s">
        <v>587</v>
      </c>
      <c r="V949" s="26" t="s">
        <v>1928</v>
      </c>
      <c r="W949" s="26" t="s">
        <v>1929</v>
      </c>
      <c r="X949" s="66">
        <v>44816</v>
      </c>
      <c r="Y949" s="66">
        <v>45086</v>
      </c>
      <c r="Z949" s="66"/>
      <c r="AA949" s="66"/>
      <c r="AB949" s="28" t="s">
        <v>1930</v>
      </c>
      <c r="AC949" s="28" t="s">
        <v>628</v>
      </c>
      <c r="AD949" s="28"/>
      <c r="AE949" s="28"/>
      <c r="AF949" s="28"/>
      <c r="AG949" s="28" t="s">
        <v>90</v>
      </c>
      <c r="AH949" s="28"/>
      <c r="AI949" s="28"/>
      <c r="AJ949" s="28"/>
      <c r="AK949" s="28"/>
      <c r="AL949" s="28"/>
      <c r="AM949" s="28"/>
      <c r="AN949" s="28" t="s">
        <v>90</v>
      </c>
      <c r="AO949" s="28"/>
      <c r="AP949" s="28"/>
      <c r="AQ949" s="28"/>
      <c r="AR949" s="28"/>
      <c r="AS949" s="28"/>
      <c r="AT949" s="28"/>
      <c r="AU949" s="28"/>
      <c r="AV949" s="28"/>
      <c r="AW949" s="28"/>
      <c r="AX949" s="29"/>
      <c r="AY949" s="31"/>
      <c r="AZ949" s="31">
        <f t="shared" si="214"/>
        <v>276</v>
      </c>
      <c r="BA949" s="29"/>
      <c r="BB949" s="29"/>
      <c r="BC949" s="30"/>
      <c r="BD949" s="30"/>
      <c r="BE949" s="30"/>
      <c r="BF949" s="31">
        <f t="shared" si="212"/>
        <v>4968</v>
      </c>
      <c r="BG949" s="36">
        <v>1</v>
      </c>
      <c r="BH949" s="36"/>
      <c r="BI949" s="36"/>
      <c r="BJ949" s="47"/>
      <c r="BK949" s="36"/>
      <c r="BL949" s="36"/>
      <c r="BM949" s="36"/>
      <c r="BN949" s="36"/>
      <c r="BO949" s="132"/>
      <c r="BP949" s="30">
        <v>1</v>
      </c>
      <c r="BQ949" s="30">
        <v>2</v>
      </c>
      <c r="BR949" s="30"/>
      <c r="BS949" s="30"/>
      <c r="BT949" s="34">
        <f t="shared" si="213"/>
        <v>276</v>
      </c>
      <c r="BU949" s="34"/>
      <c r="BV949" s="34"/>
      <c r="BW949" s="34"/>
      <c r="BX949" s="34"/>
      <c r="BY949" s="30"/>
      <c r="BZ949" s="31">
        <f t="shared" si="201"/>
        <v>276</v>
      </c>
      <c r="CA949" s="31">
        <f t="shared" si="202"/>
        <v>552</v>
      </c>
    </row>
    <row r="950" spans="1:79" ht="90" x14ac:dyDescent="0.25">
      <c r="A950" s="17" t="s">
        <v>1931</v>
      </c>
      <c r="B950" s="2" t="s">
        <v>1910</v>
      </c>
      <c r="C950" s="18">
        <v>211</v>
      </c>
      <c r="D950" s="18">
        <v>8</v>
      </c>
      <c r="E950" s="19">
        <v>0.26944444444444443</v>
      </c>
      <c r="F950" s="19">
        <v>0.28472222222222221</v>
      </c>
      <c r="G950" s="18" t="s">
        <v>1932</v>
      </c>
      <c r="H950" s="18" t="s">
        <v>273</v>
      </c>
      <c r="I950" s="18">
        <v>1.3</v>
      </c>
      <c r="J950" s="21" t="s">
        <v>122</v>
      </c>
      <c r="K950" s="41">
        <v>15</v>
      </c>
      <c r="L950" s="23">
        <f t="shared" si="208"/>
        <v>19.5</v>
      </c>
      <c r="M950" s="24" t="s">
        <v>935</v>
      </c>
      <c r="N950" s="25" t="s">
        <v>937</v>
      </c>
      <c r="O950" s="25">
        <v>23</v>
      </c>
      <c r="P950" s="25" t="s">
        <v>944</v>
      </c>
      <c r="Q950" s="25">
        <v>9</v>
      </c>
      <c r="R950" s="17"/>
      <c r="S950" s="17"/>
      <c r="T950" s="26" t="s">
        <v>1933</v>
      </c>
      <c r="U950" s="26" t="s">
        <v>1934</v>
      </c>
      <c r="V950" s="26" t="s">
        <v>1935</v>
      </c>
      <c r="W950" s="26" t="s">
        <v>1936</v>
      </c>
      <c r="X950" s="66">
        <v>44816</v>
      </c>
      <c r="Y950" s="66">
        <v>44834</v>
      </c>
      <c r="Z950" s="66"/>
      <c r="AA950" s="66"/>
      <c r="AB950" s="26" t="s">
        <v>282</v>
      </c>
      <c r="AC950" s="62"/>
      <c r="AD950" s="28"/>
      <c r="AE950" s="28"/>
      <c r="AF950" s="28"/>
      <c r="AG950" s="28" t="s">
        <v>90</v>
      </c>
      <c r="AH950" s="28" t="s">
        <v>90</v>
      </c>
      <c r="AI950" s="28" t="s">
        <v>90</v>
      </c>
      <c r="AJ950" s="28" t="s">
        <v>90</v>
      </c>
      <c r="AK950" s="28" t="s">
        <v>90</v>
      </c>
      <c r="AL950" s="28" t="s">
        <v>90</v>
      </c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9"/>
      <c r="AY950" s="31"/>
      <c r="AZ950" s="31">
        <f t="shared" si="214"/>
        <v>3.9000000000000004</v>
      </c>
      <c r="BA950" s="29"/>
      <c r="BB950" s="29"/>
      <c r="BC950" s="30"/>
      <c r="BD950" s="30"/>
      <c r="BE950" s="30"/>
      <c r="BF950" s="31">
        <f t="shared" si="212"/>
        <v>58.500000000000007</v>
      </c>
      <c r="BG950" s="36">
        <v>1</v>
      </c>
      <c r="BH950" s="36"/>
      <c r="BI950" s="36"/>
      <c r="BJ950" s="47"/>
      <c r="BK950" s="36"/>
      <c r="BL950" s="36"/>
      <c r="BM950" s="36"/>
      <c r="BN950" s="47"/>
      <c r="BO950" s="132"/>
      <c r="BP950" s="30">
        <v>15</v>
      </c>
      <c r="BQ950" s="36">
        <v>0</v>
      </c>
      <c r="BR950" s="30"/>
      <c r="BS950" s="30"/>
      <c r="BT950" s="34">
        <f t="shared" si="213"/>
        <v>3.9000000000000004</v>
      </c>
      <c r="BU950" s="34"/>
      <c r="BV950" s="34"/>
      <c r="BW950" s="34"/>
      <c r="BX950" s="34"/>
      <c r="BY950" s="30"/>
      <c r="BZ950" s="31">
        <f t="shared" ref="BZ950:BZ957" si="215">(BT950*BP950)+(BV950*BX950)</f>
        <v>58.500000000000007</v>
      </c>
      <c r="CA950" s="31">
        <f t="shared" si="202"/>
        <v>0</v>
      </c>
    </row>
    <row r="951" spans="1:79" ht="114.75" x14ac:dyDescent="0.25">
      <c r="A951" s="17" t="s">
        <v>1937</v>
      </c>
      <c r="B951" s="2" t="s">
        <v>1910</v>
      </c>
      <c r="C951" s="18">
        <v>336</v>
      </c>
      <c r="D951" s="21">
        <v>794</v>
      </c>
      <c r="E951" s="19">
        <v>0.59027777777777779</v>
      </c>
      <c r="F951" s="19">
        <v>0.60416666666666663</v>
      </c>
      <c r="G951" s="18" t="s">
        <v>1938</v>
      </c>
      <c r="H951" s="18" t="s">
        <v>306</v>
      </c>
      <c r="I951" s="20">
        <v>1.8</v>
      </c>
      <c r="J951" s="21" t="s">
        <v>380</v>
      </c>
      <c r="K951" s="22">
        <v>208</v>
      </c>
      <c r="L951" s="23">
        <f t="shared" si="208"/>
        <v>374.40000000000003</v>
      </c>
      <c r="M951" s="24" t="s">
        <v>1405</v>
      </c>
      <c r="N951" s="25" t="s">
        <v>1406</v>
      </c>
      <c r="O951" s="25">
        <v>9</v>
      </c>
      <c r="P951" s="25" t="s">
        <v>1407</v>
      </c>
      <c r="Q951" s="25">
        <v>9</v>
      </c>
      <c r="R951" s="25" t="s">
        <v>1408</v>
      </c>
      <c r="S951" s="35">
        <v>9</v>
      </c>
      <c r="T951" s="26" t="s">
        <v>1380</v>
      </c>
      <c r="U951" s="26" t="s">
        <v>1381</v>
      </c>
      <c r="V951" s="26" t="s">
        <v>1409</v>
      </c>
      <c r="W951" s="26" t="s">
        <v>1410</v>
      </c>
      <c r="X951" s="66">
        <v>44816</v>
      </c>
      <c r="Y951" s="66">
        <v>45086</v>
      </c>
      <c r="Z951" s="66"/>
      <c r="AA951" s="66"/>
      <c r="AB951" s="26" t="s">
        <v>309</v>
      </c>
      <c r="AC951" s="62"/>
      <c r="AD951" s="28"/>
      <c r="AE951" s="28"/>
      <c r="AF951" s="28"/>
      <c r="AG951" s="28" t="s">
        <v>90</v>
      </c>
      <c r="AH951" s="28" t="s">
        <v>90</v>
      </c>
      <c r="AI951" s="28" t="s">
        <v>90</v>
      </c>
      <c r="AJ951" s="28" t="s">
        <v>90</v>
      </c>
      <c r="AK951" s="28" t="s">
        <v>90</v>
      </c>
      <c r="AL951" s="28" t="s">
        <v>90</v>
      </c>
      <c r="AM951" s="28" t="s">
        <v>90</v>
      </c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9"/>
      <c r="AY951" s="31"/>
      <c r="AZ951" s="31">
        <f t="shared" si="214"/>
        <v>5.4</v>
      </c>
      <c r="BA951" s="29"/>
      <c r="BB951" s="29"/>
      <c r="BC951" s="30"/>
      <c r="BD951" s="30"/>
      <c r="BE951" s="30"/>
      <c r="BF951" s="31">
        <f t="shared" si="212"/>
        <v>1123.2</v>
      </c>
      <c r="BG951" s="36">
        <v>1</v>
      </c>
      <c r="BH951" s="36"/>
      <c r="BI951" s="36"/>
      <c r="BJ951" s="47"/>
      <c r="BK951" s="36"/>
      <c r="BL951" s="36"/>
      <c r="BM951" s="36"/>
      <c r="BN951" s="36"/>
      <c r="BO951" s="132"/>
      <c r="BP951" s="30">
        <v>17</v>
      </c>
      <c r="BQ951" s="30">
        <v>25</v>
      </c>
      <c r="BR951" s="30"/>
      <c r="BS951" s="30"/>
      <c r="BT951" s="34">
        <f t="shared" si="213"/>
        <v>5.4</v>
      </c>
      <c r="BU951" s="34"/>
      <c r="BV951" s="34"/>
      <c r="BW951" s="34"/>
      <c r="BX951" s="34"/>
      <c r="BY951" s="30"/>
      <c r="BZ951" s="31">
        <f t="shared" si="215"/>
        <v>91.800000000000011</v>
      </c>
      <c r="CA951" s="31">
        <f t="shared" si="202"/>
        <v>135</v>
      </c>
    </row>
    <row r="952" spans="1:79" ht="89.25" x14ac:dyDescent="0.25">
      <c r="A952" s="17" t="s">
        <v>1939</v>
      </c>
      <c r="B952" s="2" t="s">
        <v>1910</v>
      </c>
      <c r="C952" s="18">
        <v>215</v>
      </c>
      <c r="D952" s="18">
        <v>127</v>
      </c>
      <c r="E952" s="117">
        <v>0.28541666666666665</v>
      </c>
      <c r="F952" s="117">
        <v>0.29166666666666669</v>
      </c>
      <c r="G952" s="39" t="s">
        <v>1940</v>
      </c>
      <c r="H952" s="114" t="s">
        <v>273</v>
      </c>
      <c r="I952" s="37">
        <f>29.7-26.5</f>
        <v>3.1999999999999993</v>
      </c>
      <c r="J952" s="21" t="s">
        <v>81</v>
      </c>
      <c r="K952" s="22">
        <v>174</v>
      </c>
      <c r="L952" s="23">
        <f t="shared" si="208"/>
        <v>556.79999999999984</v>
      </c>
      <c r="M952" s="24" t="s">
        <v>136</v>
      </c>
      <c r="N952" s="25" t="s">
        <v>150</v>
      </c>
      <c r="O952" s="25">
        <v>57</v>
      </c>
      <c r="P952" s="25" t="s">
        <v>1052</v>
      </c>
      <c r="Q952" s="25">
        <v>60</v>
      </c>
      <c r="R952" s="25" t="s">
        <v>763</v>
      </c>
      <c r="S952" s="25">
        <v>57</v>
      </c>
      <c r="T952" s="26" t="s">
        <v>1941</v>
      </c>
      <c r="U952" s="26" t="s">
        <v>1942</v>
      </c>
      <c r="V952" s="26" t="s">
        <v>1053</v>
      </c>
      <c r="W952" s="26" t="s">
        <v>1054</v>
      </c>
      <c r="X952" s="66">
        <v>44816</v>
      </c>
      <c r="Y952" s="66">
        <v>45086</v>
      </c>
      <c r="Z952" s="66"/>
      <c r="AA952" s="66"/>
      <c r="AB952" s="26" t="s">
        <v>282</v>
      </c>
      <c r="AC952" s="62"/>
      <c r="AD952" s="28"/>
      <c r="AE952" s="28"/>
      <c r="AF952" s="28"/>
      <c r="AG952" s="28" t="s">
        <v>90</v>
      </c>
      <c r="AH952" s="28" t="s">
        <v>90</v>
      </c>
      <c r="AI952" s="28" t="s">
        <v>90</v>
      </c>
      <c r="AJ952" s="28" t="s">
        <v>90</v>
      </c>
      <c r="AK952" s="28" t="s">
        <v>90</v>
      </c>
      <c r="AL952" s="28" t="s">
        <v>90</v>
      </c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9"/>
      <c r="AY952" s="31"/>
      <c r="AZ952" s="31">
        <f t="shared" si="214"/>
        <v>9.5999999999999979</v>
      </c>
      <c r="BA952" s="29"/>
      <c r="BB952" s="29"/>
      <c r="BC952" s="30"/>
      <c r="BD952" s="30"/>
      <c r="BE952" s="30"/>
      <c r="BF952" s="31">
        <f t="shared" si="212"/>
        <v>1670.3999999999996</v>
      </c>
      <c r="BG952" s="32">
        <v>2</v>
      </c>
      <c r="BH952" s="36"/>
      <c r="BI952" s="36"/>
      <c r="BJ952" s="47"/>
      <c r="BK952" s="36"/>
      <c r="BL952" s="36"/>
      <c r="BM952" s="36"/>
      <c r="BN952" s="47"/>
      <c r="BO952" s="132"/>
      <c r="BP952" s="30">
        <v>15</v>
      </c>
      <c r="BQ952" s="30">
        <v>20</v>
      </c>
      <c r="BR952" s="30"/>
      <c r="BS952" s="30"/>
      <c r="BT952" s="34">
        <f t="shared" si="213"/>
        <v>9.5999999999999979</v>
      </c>
      <c r="BU952" s="34"/>
      <c r="BV952" s="34"/>
      <c r="BW952" s="34"/>
      <c r="BX952" s="34"/>
      <c r="BY952" s="30"/>
      <c r="BZ952" s="31">
        <f t="shared" si="215"/>
        <v>143.99999999999997</v>
      </c>
      <c r="CA952" s="31">
        <f t="shared" si="202"/>
        <v>191.99999999999994</v>
      </c>
    </row>
    <row r="953" spans="1:79" ht="101.25" x14ac:dyDescent="0.25">
      <c r="A953" s="17" t="s">
        <v>1943</v>
      </c>
      <c r="B953" s="2" t="s">
        <v>1910</v>
      </c>
      <c r="C953" s="18">
        <v>102</v>
      </c>
      <c r="D953" s="18">
        <v>145</v>
      </c>
      <c r="E953" s="19">
        <v>0.59097222222222223</v>
      </c>
      <c r="F953" s="19">
        <v>0.60277777777777775</v>
      </c>
      <c r="G953" s="18" t="s">
        <v>514</v>
      </c>
      <c r="H953" s="18" t="s">
        <v>1944</v>
      </c>
      <c r="I953" s="20">
        <v>8</v>
      </c>
      <c r="J953" s="21" t="s">
        <v>516</v>
      </c>
      <c r="K953" s="22">
        <f>103-6</f>
        <v>97</v>
      </c>
      <c r="L953" s="23">
        <f>+K953*I953</f>
        <v>776</v>
      </c>
      <c r="M953" s="24" t="s">
        <v>517</v>
      </c>
      <c r="N953" s="25" t="s">
        <v>518</v>
      </c>
      <c r="O953" s="25">
        <v>9</v>
      </c>
      <c r="P953" s="25" t="s">
        <v>519</v>
      </c>
      <c r="Q953" s="25">
        <v>9</v>
      </c>
      <c r="R953" s="25"/>
      <c r="S953" s="25"/>
      <c r="T953" s="26">
        <v>1084</v>
      </c>
      <c r="U953" s="26" t="s">
        <v>1945</v>
      </c>
      <c r="V953" s="26">
        <v>1082</v>
      </c>
      <c r="W953" s="26" t="s">
        <v>1946</v>
      </c>
      <c r="X953" s="66">
        <v>44830</v>
      </c>
      <c r="Y953" s="66">
        <v>45086</v>
      </c>
      <c r="Z953" s="66"/>
      <c r="AA953" s="66"/>
      <c r="AB953" s="26" t="s">
        <v>1947</v>
      </c>
      <c r="AC953" s="26"/>
      <c r="AD953" s="28"/>
      <c r="AE953" s="28"/>
      <c r="AF953" s="28"/>
      <c r="AG953" s="28" t="s">
        <v>90</v>
      </c>
      <c r="AH953" s="28" t="s">
        <v>90</v>
      </c>
      <c r="AI953" s="28"/>
      <c r="AJ953" s="28"/>
      <c r="AK953" s="28" t="s">
        <v>90</v>
      </c>
      <c r="AL953" s="28" t="s">
        <v>90</v>
      </c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9"/>
      <c r="AY953" s="31"/>
      <c r="AZ953" s="31">
        <v>45</v>
      </c>
      <c r="BA953" s="29"/>
      <c r="BB953" s="29"/>
      <c r="BC953" s="30"/>
      <c r="BD953" s="30"/>
      <c r="BE953" s="30"/>
      <c r="BF953" s="31">
        <f>AZ953*K953</f>
        <v>4365</v>
      </c>
      <c r="BG953" s="36">
        <v>1</v>
      </c>
      <c r="BH953" s="47"/>
      <c r="BI953" s="47"/>
      <c r="BJ953" s="132"/>
      <c r="BK953" s="36"/>
      <c r="BL953" s="36"/>
      <c r="BM953" s="36"/>
      <c r="BN953" s="36"/>
      <c r="BO953" s="132"/>
      <c r="BP953" s="30">
        <v>9</v>
      </c>
      <c r="BQ953" s="30">
        <v>12</v>
      </c>
      <c r="BR953" s="30"/>
      <c r="BS953" s="30"/>
      <c r="BT953" s="34">
        <f>SUM(AX953:AZ953)+SUM(BH953:BI953)+SUM(BK953:BL953)+BN953</f>
        <v>45</v>
      </c>
      <c r="BU953" s="34"/>
      <c r="BV953" s="34"/>
      <c r="BW953" s="34"/>
      <c r="BX953" s="34"/>
      <c r="BY953" s="30"/>
      <c r="BZ953" s="31">
        <f>(BT953*BP953)+(BV953*BX953)</f>
        <v>405</v>
      </c>
      <c r="CA953" s="31">
        <f t="shared" si="202"/>
        <v>540</v>
      </c>
    </row>
    <row r="954" spans="1:79" ht="90" x14ac:dyDescent="0.25">
      <c r="A954" s="17" t="s">
        <v>1948</v>
      </c>
      <c r="B954" s="2" t="s">
        <v>1910</v>
      </c>
      <c r="C954" s="18">
        <v>625</v>
      </c>
      <c r="D954" s="18">
        <v>581</v>
      </c>
      <c r="E954" s="19">
        <v>0.2986111111111111</v>
      </c>
      <c r="F954" s="19">
        <v>0.3</v>
      </c>
      <c r="G954" s="18" t="s">
        <v>1949</v>
      </c>
      <c r="H954" s="18" t="s">
        <v>273</v>
      </c>
      <c r="I954" s="20">
        <v>1</v>
      </c>
      <c r="J954" s="21" t="s">
        <v>807</v>
      </c>
      <c r="K954" s="22">
        <v>174</v>
      </c>
      <c r="L954" s="23">
        <f t="shared" si="208"/>
        <v>174</v>
      </c>
      <c r="M954" s="24" t="s">
        <v>1667</v>
      </c>
      <c r="N954" s="25" t="s">
        <v>1674</v>
      </c>
      <c r="O954" s="25">
        <v>43</v>
      </c>
      <c r="P954" s="25" t="s">
        <v>1675</v>
      </c>
      <c r="Q954" s="25">
        <v>54</v>
      </c>
      <c r="R954" s="25" t="s">
        <v>1683</v>
      </c>
      <c r="S954" s="35">
        <v>55</v>
      </c>
      <c r="T954" s="26" t="s">
        <v>1678</v>
      </c>
      <c r="U954" s="26" t="s">
        <v>1679</v>
      </c>
      <c r="V954" s="26" t="s">
        <v>1678</v>
      </c>
      <c r="W954" s="26" t="s">
        <v>1679</v>
      </c>
      <c r="X954" s="66">
        <v>44831</v>
      </c>
      <c r="Y954" s="66">
        <v>45086</v>
      </c>
      <c r="Z954" s="66"/>
      <c r="AA954" s="66"/>
      <c r="AB954" s="26" t="s">
        <v>282</v>
      </c>
      <c r="AC954" s="26"/>
      <c r="AD954" s="28"/>
      <c r="AE954" s="28"/>
      <c r="AF954" s="28"/>
      <c r="AG954" s="28" t="s">
        <v>90</v>
      </c>
      <c r="AH954" s="28" t="s">
        <v>90</v>
      </c>
      <c r="AI954" s="28" t="s">
        <v>90</v>
      </c>
      <c r="AJ954" s="28" t="s">
        <v>90</v>
      </c>
      <c r="AK954" s="28" t="s">
        <v>90</v>
      </c>
      <c r="AL954" s="28" t="s">
        <v>90</v>
      </c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9"/>
      <c r="AY954" s="29"/>
      <c r="AZ954" s="31">
        <f t="shared" si="214"/>
        <v>3</v>
      </c>
      <c r="BA954" s="30"/>
      <c r="BB954" s="30"/>
      <c r="BC954" s="30"/>
      <c r="BD954" s="31"/>
      <c r="BE954" s="31"/>
      <c r="BF954" s="31">
        <f t="shared" si="212"/>
        <v>522</v>
      </c>
      <c r="BG954" s="32">
        <v>2</v>
      </c>
      <c r="BH954" s="36"/>
      <c r="BI954" s="36"/>
      <c r="BJ954" s="47"/>
      <c r="BK954" s="36"/>
      <c r="BL954" s="36"/>
      <c r="BM954" s="36"/>
      <c r="BN954" s="47"/>
      <c r="BO954" s="132"/>
      <c r="BP954" s="30">
        <v>15</v>
      </c>
      <c r="BQ954" s="30">
        <v>20</v>
      </c>
      <c r="BR954" s="30"/>
      <c r="BS954" s="30"/>
      <c r="BT954" s="34">
        <f t="shared" si="213"/>
        <v>3</v>
      </c>
      <c r="BU954" s="34"/>
      <c r="BV954" s="34"/>
      <c r="BW954" s="34"/>
      <c r="BX954" s="34"/>
      <c r="BY954" s="30"/>
      <c r="BZ954" s="31">
        <f t="shared" si="215"/>
        <v>45</v>
      </c>
      <c r="CA954" s="31">
        <f t="shared" si="202"/>
        <v>60</v>
      </c>
    </row>
    <row r="955" spans="1:79" ht="51" x14ac:dyDescent="0.25">
      <c r="A955" s="17" t="s">
        <v>1950</v>
      </c>
      <c r="B955" s="2" t="s">
        <v>1910</v>
      </c>
      <c r="C955" s="18">
        <v>210</v>
      </c>
      <c r="D955" s="21">
        <v>458</v>
      </c>
      <c r="E955" s="19">
        <v>0.6875</v>
      </c>
      <c r="F955" s="19">
        <v>0.70763888888888893</v>
      </c>
      <c r="G955" s="18" t="s">
        <v>941</v>
      </c>
      <c r="H955" s="18" t="s">
        <v>1951</v>
      </c>
      <c r="I955" s="20">
        <v>11</v>
      </c>
      <c r="J955" s="21">
        <v>44</v>
      </c>
      <c r="K955" s="22">
        <f>36-2</f>
        <v>34</v>
      </c>
      <c r="L955" s="23">
        <f>+K955*I955</f>
        <v>374</v>
      </c>
      <c r="M955" s="24" t="s">
        <v>114</v>
      </c>
      <c r="N955" s="25" t="s">
        <v>916</v>
      </c>
      <c r="O955" s="25">
        <v>29</v>
      </c>
      <c r="P955" s="25" t="s">
        <v>117</v>
      </c>
      <c r="Q955" s="25">
        <v>29</v>
      </c>
      <c r="R955" s="25" t="s">
        <v>887</v>
      </c>
      <c r="S955" s="35">
        <v>25</v>
      </c>
      <c r="T955" s="26">
        <v>2180</v>
      </c>
      <c r="U955" s="26" t="s">
        <v>119</v>
      </c>
      <c r="V955" s="26">
        <v>2208</v>
      </c>
      <c r="W955" s="26" t="s">
        <v>143</v>
      </c>
      <c r="X955" s="66">
        <v>44832</v>
      </c>
      <c r="Y955" s="66">
        <v>45086</v>
      </c>
      <c r="Z955" s="66"/>
      <c r="AA955" s="66"/>
      <c r="AB955" s="26" t="s">
        <v>1952</v>
      </c>
      <c r="AC955" s="26"/>
      <c r="AD955" s="28"/>
      <c r="AE955" s="28"/>
      <c r="AF955" s="28"/>
      <c r="AG955" s="28" t="s">
        <v>90</v>
      </c>
      <c r="AH955" s="28"/>
      <c r="AI955" s="28"/>
      <c r="AJ955" s="28" t="s">
        <v>90</v>
      </c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9"/>
      <c r="AY955" s="31"/>
      <c r="AZ955" s="31">
        <f>3*I955</f>
        <v>33</v>
      </c>
      <c r="BA955" s="29"/>
      <c r="BB955" s="29"/>
      <c r="BC955" s="30"/>
      <c r="BD955" s="30"/>
      <c r="BE955" s="30"/>
      <c r="BF955" s="31">
        <f>AZ955*K955</f>
        <v>1122</v>
      </c>
      <c r="BG955" s="32">
        <v>2</v>
      </c>
      <c r="BH955" s="36"/>
      <c r="BI955" s="36"/>
      <c r="BJ955" s="47"/>
      <c r="BK955" s="36"/>
      <c r="BL955" s="36"/>
      <c r="BM955" s="36"/>
      <c r="BN955" s="36"/>
      <c r="BO955" s="132"/>
      <c r="BP955" s="30">
        <v>3</v>
      </c>
      <c r="BQ955" s="30">
        <v>4</v>
      </c>
      <c r="BR955" s="30"/>
      <c r="BS955" s="30"/>
      <c r="BT955" s="34">
        <f>SUM(AX955:AZ955)+SUM(BH955:BI955)+SUM(BK955:BL955)+BN955</f>
        <v>33</v>
      </c>
      <c r="BU955" s="34"/>
      <c r="BV955" s="34"/>
      <c r="BW955" s="34"/>
      <c r="BX955" s="34"/>
      <c r="BY955" s="30"/>
      <c r="BZ955" s="31">
        <f>(BT955*BP955)+(BV955*BX955)</f>
        <v>99</v>
      </c>
      <c r="CA955" s="31">
        <f t="shared" si="202"/>
        <v>132</v>
      </c>
    </row>
    <row r="956" spans="1:79" ht="102" x14ac:dyDescent="0.25">
      <c r="A956" s="17" t="s">
        <v>1953</v>
      </c>
      <c r="B956" s="2" t="s">
        <v>1910</v>
      </c>
      <c r="C956" s="18">
        <v>102</v>
      </c>
      <c r="D956" s="21">
        <v>185</v>
      </c>
      <c r="E956" s="19">
        <v>0.65972222222222221</v>
      </c>
      <c r="F956" s="19">
        <v>0.72291666666666676</v>
      </c>
      <c r="G956" s="18" t="s">
        <v>1954</v>
      </c>
      <c r="H956" s="18" t="s">
        <v>294</v>
      </c>
      <c r="I956" s="20">
        <v>3.5</v>
      </c>
      <c r="J956" s="21" t="s">
        <v>494</v>
      </c>
      <c r="K956" s="22">
        <f>34+34+36+33-12</f>
        <v>125</v>
      </c>
      <c r="L956" s="23">
        <f>+K956*I956</f>
        <v>437.5</v>
      </c>
      <c r="M956" s="24" t="s">
        <v>486</v>
      </c>
      <c r="N956" s="25" t="s">
        <v>495</v>
      </c>
      <c r="O956" s="45">
        <v>46</v>
      </c>
      <c r="P956" s="25" t="s">
        <v>501</v>
      </c>
      <c r="Q956" s="45">
        <v>47</v>
      </c>
      <c r="R956" s="17"/>
      <c r="S956" s="17"/>
      <c r="T956" s="26" t="s">
        <v>1955</v>
      </c>
      <c r="U956" s="26" t="s">
        <v>1956</v>
      </c>
      <c r="V956" s="26" t="s">
        <v>1955</v>
      </c>
      <c r="W956" s="26" t="s">
        <v>1956</v>
      </c>
      <c r="X956" s="66">
        <v>44837</v>
      </c>
      <c r="Y956" s="66">
        <v>45086</v>
      </c>
      <c r="Z956" s="66"/>
      <c r="AA956" s="66"/>
      <c r="AB956" s="62" t="s">
        <v>298</v>
      </c>
      <c r="AC956" s="62"/>
      <c r="AD956" s="28"/>
      <c r="AE956" s="28"/>
      <c r="AF956" s="28"/>
      <c r="AG956" s="28" t="s">
        <v>90</v>
      </c>
      <c r="AH956" s="28" t="s">
        <v>90</v>
      </c>
      <c r="AI956" s="28" t="s">
        <v>90</v>
      </c>
      <c r="AJ956" s="28" t="s">
        <v>90</v>
      </c>
      <c r="AK956" s="28" t="s">
        <v>90</v>
      </c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9"/>
      <c r="AY956" s="30"/>
      <c r="AZ956" s="31">
        <f>3*I956</f>
        <v>10.5</v>
      </c>
      <c r="BA956" s="29"/>
      <c r="BB956" s="29"/>
      <c r="BC956" s="30"/>
      <c r="BD956" s="31"/>
      <c r="BE956" s="31"/>
      <c r="BF956" s="31">
        <f>AZ956*K956</f>
        <v>1312.5</v>
      </c>
      <c r="BG956" s="32">
        <v>2</v>
      </c>
      <c r="BH956" s="36"/>
      <c r="BI956" s="36"/>
      <c r="BJ956" s="47"/>
      <c r="BK956" s="36"/>
      <c r="BL956" s="36"/>
      <c r="BM956" s="36"/>
      <c r="BN956" s="47"/>
      <c r="BO956" s="132"/>
      <c r="BP956" s="30">
        <v>0</v>
      </c>
      <c r="BQ956" s="30">
        <v>16</v>
      </c>
      <c r="BR956" s="30"/>
      <c r="BS956" s="30"/>
      <c r="BT956" s="34">
        <f>SUM(AX956:AZ956)+SUM(BH956:BI956)+SUM(BK956:BL956)+BN956</f>
        <v>10.5</v>
      </c>
      <c r="BU956" s="34"/>
      <c r="BV956" s="34"/>
      <c r="BW956" s="34"/>
      <c r="BX956" s="34"/>
      <c r="BY956" s="30"/>
      <c r="BZ956" s="31">
        <f>(BT956*BP956)+(BV956*BX956)</f>
        <v>0</v>
      </c>
      <c r="CA956" s="31">
        <f t="shared" si="202"/>
        <v>168</v>
      </c>
    </row>
    <row r="957" spans="1:79" ht="67.5" x14ac:dyDescent="0.25">
      <c r="A957" s="17" t="s">
        <v>1957</v>
      </c>
      <c r="B957" s="2" t="s">
        <v>1910</v>
      </c>
      <c r="C957" s="18">
        <v>645</v>
      </c>
      <c r="D957" s="18">
        <v>682</v>
      </c>
      <c r="E957" s="19">
        <v>0.5541666666666667</v>
      </c>
      <c r="F957" s="19">
        <v>0.58333333333333337</v>
      </c>
      <c r="G957" s="18" t="s">
        <v>1958</v>
      </c>
      <c r="H957" s="18" t="s">
        <v>391</v>
      </c>
      <c r="I957" s="20">
        <v>31.5</v>
      </c>
      <c r="J957" s="21" t="s">
        <v>1653</v>
      </c>
      <c r="K957" s="22">
        <v>54</v>
      </c>
      <c r="L957" s="23">
        <f t="shared" si="208"/>
        <v>1701</v>
      </c>
      <c r="M957" s="24" t="s">
        <v>1811</v>
      </c>
      <c r="N957" s="17" t="s">
        <v>1959</v>
      </c>
      <c r="O957" s="17">
        <v>21</v>
      </c>
      <c r="P957" s="17" t="s">
        <v>1960</v>
      </c>
      <c r="Q957" s="17">
        <v>31</v>
      </c>
      <c r="R957" s="17" t="s">
        <v>1961</v>
      </c>
      <c r="S957" s="17">
        <v>57</v>
      </c>
      <c r="T957" s="26" t="s">
        <v>1878</v>
      </c>
      <c r="U957" s="26" t="s">
        <v>1879</v>
      </c>
      <c r="V957" s="26">
        <v>6401</v>
      </c>
      <c r="W957" s="26" t="s">
        <v>1962</v>
      </c>
      <c r="X957" s="66">
        <v>44845</v>
      </c>
      <c r="Y957" s="66">
        <v>45086</v>
      </c>
      <c r="Z957" s="66"/>
      <c r="AA957" s="66"/>
      <c r="AB957" s="26" t="s">
        <v>394</v>
      </c>
      <c r="AC957" s="26"/>
      <c r="AD957" s="28"/>
      <c r="AE957" s="28"/>
      <c r="AF957" s="28"/>
      <c r="AG957" s="28" t="s">
        <v>90</v>
      </c>
      <c r="AH957" s="28"/>
      <c r="AI957" s="28" t="s">
        <v>90</v>
      </c>
      <c r="AJ957" s="28"/>
      <c r="AK957" s="28" t="s">
        <v>90</v>
      </c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9"/>
      <c r="AY957" s="29"/>
      <c r="AZ957" s="31">
        <f>3*I957</f>
        <v>94.5</v>
      </c>
      <c r="BA957" s="30"/>
      <c r="BB957" s="30"/>
      <c r="BC957" s="30"/>
      <c r="BD957" s="31"/>
      <c r="BE957" s="31"/>
      <c r="BF957" s="31">
        <f t="shared" si="212"/>
        <v>5103</v>
      </c>
      <c r="BG957" s="32"/>
      <c r="BH957" s="36"/>
      <c r="BI957" s="36"/>
      <c r="BJ957" s="47"/>
      <c r="BK957" s="36"/>
      <c r="BL957" s="36"/>
      <c r="BM957" s="36"/>
      <c r="BN957" s="47"/>
      <c r="BO957" s="132"/>
      <c r="BP957" s="30">
        <v>0</v>
      </c>
      <c r="BQ957" s="30">
        <v>8</v>
      </c>
      <c r="BR957" s="30"/>
      <c r="BS957" s="30"/>
      <c r="BT957" s="34">
        <f t="shared" si="213"/>
        <v>94.5</v>
      </c>
      <c r="BU957" s="34"/>
      <c r="BV957" s="34"/>
      <c r="BW957" s="34"/>
      <c r="BX957" s="34"/>
      <c r="BY957" s="30"/>
      <c r="BZ957" s="31">
        <f t="shared" si="215"/>
        <v>0</v>
      </c>
      <c r="CA957" s="31">
        <f t="shared" si="202"/>
        <v>756</v>
      </c>
    </row>
    <row r="958" spans="1:79" ht="51" x14ac:dyDescent="0.25">
      <c r="A958" s="17" t="s">
        <v>1963</v>
      </c>
      <c r="B958" s="2" t="s">
        <v>1910</v>
      </c>
      <c r="C958" s="18">
        <v>101</v>
      </c>
      <c r="D958" s="18">
        <v>656</v>
      </c>
      <c r="E958" s="19">
        <v>0.29375000000000001</v>
      </c>
      <c r="F958" s="19">
        <v>0.2986111111111111</v>
      </c>
      <c r="G958" s="18" t="s">
        <v>1964</v>
      </c>
      <c r="H958" s="18" t="s">
        <v>306</v>
      </c>
      <c r="I958" s="20">
        <v>2.1</v>
      </c>
      <c r="J958" s="21" t="s">
        <v>463</v>
      </c>
      <c r="K958" s="22">
        <f>208-17-9</f>
        <v>182</v>
      </c>
      <c r="L958" s="23">
        <f t="shared" si="208"/>
        <v>382.2</v>
      </c>
      <c r="M958" s="24" t="s">
        <v>464</v>
      </c>
      <c r="N958" s="25" t="s">
        <v>465</v>
      </c>
      <c r="O958" s="25">
        <v>17</v>
      </c>
      <c r="P958" s="25" t="s">
        <v>466</v>
      </c>
      <c r="Q958" s="25">
        <v>24</v>
      </c>
      <c r="R958" s="25" t="s">
        <v>467</v>
      </c>
      <c r="S958" s="35">
        <v>9</v>
      </c>
      <c r="T958" s="36"/>
      <c r="U958" s="26" t="s">
        <v>469</v>
      </c>
      <c r="V958" s="26" t="s">
        <v>474</v>
      </c>
      <c r="W958" s="26" t="s">
        <v>475</v>
      </c>
      <c r="X958" s="66">
        <v>44846</v>
      </c>
      <c r="Y958" s="66">
        <v>45086</v>
      </c>
      <c r="Z958" s="30"/>
      <c r="AA958" s="30"/>
      <c r="AB958" s="26" t="s">
        <v>309</v>
      </c>
      <c r="AC958" s="26"/>
      <c r="AD958" s="28"/>
      <c r="AE958" s="28"/>
      <c r="AF958" s="28"/>
      <c r="AG958" s="28" t="s">
        <v>90</v>
      </c>
      <c r="AH958" s="28" t="s">
        <v>90</v>
      </c>
      <c r="AI958" s="28" t="s">
        <v>90</v>
      </c>
      <c r="AJ958" s="28" t="s">
        <v>90</v>
      </c>
      <c r="AK958" s="28" t="s">
        <v>90</v>
      </c>
      <c r="AL958" s="28" t="s">
        <v>90</v>
      </c>
      <c r="AM958" s="28" t="s">
        <v>90</v>
      </c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1"/>
      <c r="AY958" s="31"/>
      <c r="AZ958" s="31">
        <f>3*I958</f>
        <v>6.3000000000000007</v>
      </c>
      <c r="BA958" s="30"/>
      <c r="BB958" s="30"/>
      <c r="BC958" s="30"/>
      <c r="BD958" s="31"/>
      <c r="BE958" s="31"/>
      <c r="BF958" s="31">
        <f>AZ958*K958</f>
        <v>1146.6000000000001</v>
      </c>
      <c r="BG958" s="36">
        <v>1</v>
      </c>
      <c r="BH958" s="47"/>
      <c r="BI958" s="47"/>
      <c r="BJ958" s="132"/>
      <c r="BK958" s="36"/>
      <c r="BL958" s="36"/>
      <c r="BM958" s="36"/>
      <c r="BN958" s="36"/>
      <c r="BO958" s="132"/>
      <c r="BP958" s="30">
        <v>0</v>
      </c>
      <c r="BQ958" s="30">
        <v>16</v>
      </c>
      <c r="BR958" s="30"/>
      <c r="BS958" s="30"/>
      <c r="BT958" s="34">
        <f>SUM(AX958:AZ958)+SUM(BH958:BI958)+SUM(BK958:BL958)+BN958</f>
        <v>6.3000000000000007</v>
      </c>
      <c r="BU958" s="34"/>
      <c r="BV958" s="34"/>
      <c r="BW958" s="34"/>
      <c r="BX958" s="34"/>
      <c r="BY958" s="30"/>
      <c r="BZ958" s="31">
        <f>(BT958*BP958)+(BV958*BX958)</f>
        <v>0</v>
      </c>
      <c r="CA958" s="31">
        <f t="shared" si="202"/>
        <v>100.80000000000001</v>
      </c>
    </row>
  </sheetData>
  <conditionalFormatting sqref="AB784:AC785">
    <cfRule type="cellIs" dxfId="261" priority="261" operator="equal">
      <formula>#REF!</formula>
    </cfRule>
  </conditionalFormatting>
  <conditionalFormatting sqref="AB895 AC945 A901 A419 A486 A415 A468 A452 A428 AB348:AC348 AB531:AC531 AB615:AC615 AB677:AC677 AB775:AC775 AB754:AC755 AB434:AC434 AB229:AC230 AB764:AC764 AB908:AC908 AB244:AC244 AB82:AC82 AB620:AC620 AB606:AC607 AB562:AC562 AB955:AC955 AB53:AC53 AB218:AC219 AB629:AC629 AB631:AC631 AB685:AC685 AB744:AC747 AB246:AC247 AB424:AC425 AB707:AC708 AB910:AC910 AB2:AC8 AB15:AC16 AB377:AC378 AB98:AC99 AB101:AC102 AB104:AC104 AB474:AC474 AB543:AC543 AB547:AC547 AB550:AC550 AB556:AC556 AB575:AC575 AB581:AC581 AB611:AC612 AB313:AC313 AB519:AC528 AB86:AC86 AB88:AC88 AB92:AC92 AB94:AC95 AB126:AC126 AB162:AC163 AB171:AC172 AB177:AC177 AB183:AC184 AB186:AC186 AB188:AC188 AB190:AC190 AB193:AC194 AB197:AC197 AB199:AC199 AB201:AC201 AB203:AC203 AB208:AC208 AB221:AC221 AB224:AC224 AB226:AC226 AB255:AC264 AB266:AC270 AB279:AC280 AB307:AC307 AB324:AC324 AB336:AC336 AB340:AC340 AB345:AC345 AB358:AC360 AB363:AC363 AB489:AC489 AB540:AC541 AB448:AC448 AB452:AC452 AB459:AC459 AB471:AC471 AB479:AC481 AB500:AC500 AB502:AC502 AB285:AC286 AB299:AC299 AB303:AC303 AB305:AC305 AB464:AC464 AB571:AC571 AB682:AC682 AB859:AC859 AB861:AC861 AB875:AC875 AB877:AC877 AB880:AC880 AB882:AC883 AB282:AC283 AB295:AC296 AB644:AC645 AB329:AC329 AB511:AC511 AB851:AC851 AB513:AC513 AB72:AC75 AB467:AC468 AB483:AC483 AB319:AC320 AB12:AC12 AB123:AC123 AB135:AC135 AB232:AC232 AB385:AC385 AB399:AC399 AB410:AC410 AB413:AC413 AB491:AC492 AB495:AC496 AB855:AC855 AB937:AC937 AB565:AC565 AB505:AC506 AB498:AC498 AB322:AC322 AB288:AC293">
    <cfRule type="expression" dxfId="260" priority="262">
      <formula>A2=#REF!</formula>
    </cfRule>
  </conditionalFormatting>
  <conditionalFormatting sqref="AB9:AC9 AB58:AC58 AB156:AC159 AB192:AC192 AB195:AC195 AB216:AC217 AB683:AC683 AB55:AC55 AB60:AC60 AB81:AC81 AB105:AC105 AB113:AC115 AB120:AC122 AB125:AC125 AB127:AC128 AB134:AC134 AB140:AC141 AB144:AC144 AB146:AC147 AB165:AC166 AB181:AC181 AB200:AC200 AB206:AC206 AB210:AC212 AB234:AC234 AB251:AC253 AB317:AC317 AB330:AC330 AB332:AC332 AB339:AC339 AB342:AC343 AB346:AC346 AB365:AC365 AB367:AC367 AB369:AC369 AB371:AC372 AB381:AC381 AB383:AC384 AB386:AC387 AB392:AC392 AB395:AC397 AB401:AC401 AB409:AC409 AB412:AC412 AB415:AC416 AB419:AC419 AB437:AC437 AB460:AC460 AB475:AC475 AB486:AC487 AB490:AC490 AB503:AC504 AB512:AC512 AB529:AC530 AB551:AC552 AB567:AC570 AB592:AC593 AB597:AC597 AB602:AC603 AB605:AC605 AB608:AC608 AB616:AC616 AB618:AC618 AB628:AC628 AB655:AC655 AB657:AC657 AB659:AC660 AB662:AC662 AB687:AC688 AB691:AC691 AB697:AC698 AB713:AC716 AB722:AC722 AB734:AC736 AB738:AC738 AB742:AC743 AB749:AC750 AB752:AC752 AB756:AC756 AB768:AC769 AB771:AC773 AB776:AC776 AB780:AC780 AB782:AC782 AB787:AC787 AB800:AC800 AB807:AC808 AB825:AC825 AB828:AC828 AB830:AC830 AB832:AC832 AB834:AC836 AB841:AC841 AB852:AC852 AB854:AC854 AB863:AC863 AB865:AC867 AB892:AC894 AB901:AC901 AB918:AC919 AB928:AC928 AB934:AC936 AB939:AC939 AB66:AC71 AB563:AC564 AB954:AC954 X944:AA955">
    <cfRule type="expression" dxfId="259" priority="260">
      <formula>X9=#REF!</formula>
    </cfRule>
  </conditionalFormatting>
  <conditionalFormatting sqref="AC951 N831:O840 N826:Q827 N828:O829 R828:S828 R829">
    <cfRule type="expression" dxfId="258" priority="259">
      <formula>N826=#REF!</formula>
    </cfRule>
  </conditionalFormatting>
  <conditionalFormatting sqref="AC952">
    <cfRule type="expression" dxfId="257" priority="258">
      <formula>AC952=#REF!</formula>
    </cfRule>
  </conditionalFormatting>
  <conditionalFormatting sqref="AC950">
    <cfRule type="expression" dxfId="256" priority="257">
      <formula>AC950=#REF!</formula>
    </cfRule>
  </conditionalFormatting>
  <conditionalFormatting sqref="AC957">
    <cfRule type="expression" dxfId="255" priority="256">
      <formula>AC957=#REF!</formula>
    </cfRule>
  </conditionalFormatting>
  <conditionalFormatting sqref="G693 G597">
    <cfRule type="containsText" dxfId="254" priority="254" operator="containsText" text="esti">
      <formula>NOT(ISERROR(SEARCH("esti",G597)))</formula>
    </cfRule>
  </conditionalFormatting>
  <conditionalFormatting sqref="A432 A435 A439 A442 A447 A450 A475 A498 A511 A517">
    <cfRule type="expression" dxfId="253" priority="255">
      <formula>A432=#REF!</formula>
    </cfRule>
  </conditionalFormatting>
  <conditionalFormatting sqref="N945:R945 N955:R955 N952:O952 Q952">
    <cfRule type="expression" dxfId="252" priority="253">
      <formula>N945=#REF!</formula>
    </cfRule>
  </conditionalFormatting>
  <conditionalFormatting sqref="N946 R949 R947">
    <cfRule type="expression" dxfId="251" priority="252">
      <formula>N946=#REF!</formula>
    </cfRule>
  </conditionalFormatting>
  <conditionalFormatting sqref="O946 N949 P949">
    <cfRule type="expression" dxfId="250" priority="251">
      <formula>N946=#REF!</formula>
    </cfRule>
  </conditionalFormatting>
  <conditionalFormatting sqref="P946">
    <cfRule type="expression" dxfId="249" priority="250">
      <formula>P946=#REF!</formula>
    </cfRule>
  </conditionalFormatting>
  <conditionalFormatting sqref="Q946">
    <cfRule type="expression" dxfId="248" priority="249">
      <formula>Q946=#REF!</formula>
    </cfRule>
  </conditionalFormatting>
  <conditionalFormatting sqref="N948">
    <cfRule type="expression" dxfId="247" priority="248">
      <formula>N948=#REF!</formula>
    </cfRule>
  </conditionalFormatting>
  <conditionalFormatting sqref="O948">
    <cfRule type="expression" dxfId="246" priority="247">
      <formula>O948=#REF!</formula>
    </cfRule>
  </conditionalFormatting>
  <conditionalFormatting sqref="P948">
    <cfRule type="expression" dxfId="245" priority="246">
      <formula>P948=#REF!</formula>
    </cfRule>
  </conditionalFormatting>
  <conditionalFormatting sqref="Q948">
    <cfRule type="expression" dxfId="244" priority="245">
      <formula>Q948=#REF!</formula>
    </cfRule>
  </conditionalFormatting>
  <conditionalFormatting sqref="O949">
    <cfRule type="expression" dxfId="243" priority="244">
      <formula>O949=#REF!</formula>
    </cfRule>
  </conditionalFormatting>
  <conditionalFormatting sqref="Q949">
    <cfRule type="expression" dxfId="242" priority="243">
      <formula>Q949=#REF!</formula>
    </cfRule>
  </conditionalFormatting>
  <conditionalFormatting sqref="N947 P947">
    <cfRule type="expression" dxfId="241" priority="242">
      <formula>N947=#REF!</formula>
    </cfRule>
  </conditionalFormatting>
  <conditionalFormatting sqref="O947">
    <cfRule type="expression" dxfId="240" priority="241">
      <formula>O947=#REF!</formula>
    </cfRule>
  </conditionalFormatting>
  <conditionalFormatting sqref="Q947">
    <cfRule type="expression" dxfId="239" priority="240">
      <formula>Q947=#REF!</formula>
    </cfRule>
  </conditionalFormatting>
  <conditionalFormatting sqref="N953:Q953">
    <cfRule type="expression" dxfId="238" priority="239">
      <formula>N953=#REF!</formula>
    </cfRule>
  </conditionalFormatting>
  <conditionalFormatting sqref="N950:Q950">
    <cfRule type="expression" dxfId="237" priority="238">
      <formula>N950=#REF!</formula>
    </cfRule>
  </conditionalFormatting>
  <conditionalFormatting sqref="N951:Q951">
    <cfRule type="expression" dxfId="236" priority="237">
      <formula>N951=#REF!</formula>
    </cfRule>
  </conditionalFormatting>
  <conditionalFormatting sqref="N954:O954">
    <cfRule type="expression" dxfId="235" priority="236">
      <formula>N954=#REF!</formula>
    </cfRule>
  </conditionalFormatting>
  <conditionalFormatting sqref="X2:AA8 X15:AA16 X53:AA53 X72:AA75 X106:AA107 X117:AA117 X139:AA139 X218:AA220 X225:AA225 X228:AA228 X233:AA233 X246:AA247 X297:AA298 X347:AA351 X353:AA353 X356:AA358 X366:AA366 X379:AA380 X424:AA425 X459:AA459 X467:AA467 X520:AA528 X609:AA609 X612:AA612 X615:AA615 X620:AA627 X629:AA629 X631:AA631 X634:AA641 X670:AA672 X685:AA685 X707:AA708 X721:AA721 X724:AA725 X729:AA729 X731:AA731 X737:AA737 X739:AA740 X744:AA747 X755:AA755 X895:AA895 X923:AA924">
    <cfRule type="expression" dxfId="234" priority="235">
      <formula>X2=#REF!</formula>
    </cfRule>
  </conditionalFormatting>
  <conditionalFormatting sqref="X9:AA9 X12:AA12 X17:AA18 X52:AA52 X54:AA55 X60:AA60 X62:AA71 X76:AA81 X83:AA84 X105:AA105 X108:AA116 X119:AA121 X125:AA125 X127:AA129 X131:AA136 X140:AA144 X146:AA147 X155:AA155 X166:AA166 X178:AA182 X200:AA200 X205:AA206 X209:AA211 X223:AA223 X229:AA232 X234:AA239 X244:AA245 X248:AA256 X275:AA275 X278:AA278 X312:AA317 X328:AA328 X330:AA330 X332:AA332 X334:AA334 X338:AA339 X342:AA343 X346:AA346 X352:AA352 X355:AA355 X365:AA365 X367:AA367 X369:AA369 X371:AA372 X375:AA376 X381:AA387 X389:AA390 X392:AA392 X395:AA399 X401:AA402 X405:AA407 X409:AA410 X412:AA413 X415:AA419 X422:AA423 X434:AA434 X437:AA438 X453:AA454 X457:AA458 X460:AA461 X475:AA477 X480:AA482 X484:AA487 X489:AA492 X496:AA496 X503:AA505 X507:AA510 X512:AA512 X529:AA530 X532:AA533 X536:AA536 X545:AA545 X548:AA548 X551:AA552 X561:AA561 X563:AA564 X566:AA570 X583:AA583 X585:AA586 X588:AA588 X592:AA593 X597:AA597 X600:AA605 X608:AA608 X613:AA613 X616:AA616 X618:AA619 X628:AA628 X630:AA630 X643:AA643 X649:AA649 X652:AA668 X673:AA677 X687:AA688 X691:AA691 X694:AA698 X703:AA703 X705:AA705 X713:AA718 X722:AA723 X728:AA728 X730:AA730 X732:AA736 X738:AA738 X741:AA743 X748:AA752 X756:AA760 X762:AA762 X765:AA765 X767:AA769 X771:AA773 X776:AA776 X780:AA782 X787:AA787 X789:AA791 X793:AA794 X800:AA800 X806:AA808 X816:AA819 X824:AA825 X828:AA839 X841:AA841 X845:AA855 X863:AA867 X870:AA871 X889:AA889 X892:AA894 X896:AA902 X905:AA905 X915:AA921 X926:AA928 X933:AA937 X939:AA939 X941:AA941 X123:AA123 X957:AA957">
    <cfRule type="expression" dxfId="233" priority="234">
      <formula>X9=#REF!</formula>
    </cfRule>
  </conditionalFormatting>
  <conditionalFormatting sqref="BU608">
    <cfRule type="expression" dxfId="232" priority="233">
      <formula>BU608=#REF!</formula>
    </cfRule>
  </conditionalFormatting>
  <conditionalFormatting sqref="BU346">
    <cfRule type="expression" dxfId="231" priority="232">
      <formula>BU346=#REF!</formula>
    </cfRule>
  </conditionalFormatting>
  <conditionalFormatting sqref="AX565:BN565">
    <cfRule type="expression" dxfId="230" priority="231">
      <formula>AX565=#REF!</formula>
    </cfRule>
  </conditionalFormatting>
  <conditionalFormatting sqref="X565:AA565">
    <cfRule type="expression" dxfId="229" priority="230">
      <formula>X565=#REF!</formula>
    </cfRule>
  </conditionalFormatting>
  <conditionalFormatting sqref="AX506:BN506">
    <cfRule type="expression" dxfId="228" priority="229">
      <formula>AX506=#REF!</formula>
    </cfRule>
  </conditionalFormatting>
  <conditionalFormatting sqref="X506:AA506">
    <cfRule type="expression" dxfId="227" priority="228">
      <formula>X506=#REF!</formula>
    </cfRule>
  </conditionalFormatting>
  <conditionalFormatting sqref="AX498:BN498">
    <cfRule type="expression" dxfId="226" priority="227">
      <formula>AX498=#REF!</formula>
    </cfRule>
  </conditionalFormatting>
  <conditionalFormatting sqref="X498:AA498">
    <cfRule type="expression" dxfId="225" priority="226">
      <formula>X498=#REF!</formula>
    </cfRule>
  </conditionalFormatting>
  <conditionalFormatting sqref="AX322:BN322">
    <cfRule type="expression" dxfId="224" priority="225">
      <formula>AX322=#REF!</formula>
    </cfRule>
  </conditionalFormatting>
  <conditionalFormatting sqref="X322:AA322">
    <cfRule type="expression" dxfId="223" priority="224">
      <formula>X322=#REF!</formula>
    </cfRule>
  </conditionalFormatting>
  <conditionalFormatting sqref="AX293:BN293">
    <cfRule type="expression" dxfId="222" priority="223">
      <formula>AX293=#REF!</formula>
    </cfRule>
  </conditionalFormatting>
  <conditionalFormatting sqref="X293:AA293">
    <cfRule type="expression" dxfId="221" priority="222">
      <formula>X293=#REF!</formula>
    </cfRule>
  </conditionalFormatting>
  <conditionalFormatting sqref="S954">
    <cfRule type="expression" dxfId="220" priority="221">
      <formula>S954=#REF!</formula>
    </cfRule>
  </conditionalFormatting>
  <conditionalFormatting sqref="S949 S947">
    <cfRule type="expression" dxfId="219" priority="220">
      <formula>S947=#REF!</formula>
    </cfRule>
  </conditionalFormatting>
  <conditionalFormatting sqref="S951">
    <cfRule type="expression" dxfId="218" priority="219">
      <formula>S951=#REF!</formula>
    </cfRule>
  </conditionalFormatting>
  <conditionalFormatting sqref="S955">
    <cfRule type="expression" dxfId="217" priority="218">
      <formula>S955=#REF!</formula>
    </cfRule>
  </conditionalFormatting>
  <conditionalFormatting sqref="S952">
    <cfRule type="expression" dxfId="216" priority="217">
      <formula>S952=#REF!</formula>
    </cfRule>
  </conditionalFormatting>
  <conditionalFormatting sqref="N956:Q956">
    <cfRule type="expression" dxfId="215" priority="216">
      <formula>N956=#REF!</formula>
    </cfRule>
  </conditionalFormatting>
  <conditionalFormatting sqref="AB956:AC956">
    <cfRule type="expression" dxfId="214" priority="215">
      <formula>AB956=#REF!</formula>
    </cfRule>
  </conditionalFormatting>
  <conditionalFormatting sqref="X956:AA956">
    <cfRule type="expression" dxfId="213" priority="214">
      <formula>X956=#REF!</formula>
    </cfRule>
  </conditionalFormatting>
  <conditionalFormatting sqref="N958:O958">
    <cfRule type="expression" dxfId="212" priority="212">
      <formula>N958=#REF!</formula>
    </cfRule>
  </conditionalFormatting>
  <conditionalFormatting sqref="Q958">
    <cfRule type="expression" dxfId="211" priority="213">
      <formula>Q958=#REF!</formula>
    </cfRule>
  </conditionalFormatting>
  <conditionalFormatting sqref="S958">
    <cfRule type="expression" dxfId="210" priority="211">
      <formula>S958=#REF!</formula>
    </cfRule>
  </conditionalFormatting>
  <conditionalFormatting sqref="Y958">
    <cfRule type="expression" dxfId="209" priority="210">
      <formula>Y958=#REF!</formula>
    </cfRule>
  </conditionalFormatting>
  <conditionalFormatting sqref="X958">
    <cfRule type="expression" dxfId="208" priority="209">
      <formula>X958=#REF!</formula>
    </cfRule>
  </conditionalFormatting>
  <conditionalFormatting sqref="S432:S433 S442:S443 S446:S451 N901:O901 N419:Q419 N486 N415:R415 N468:R468 N452:R452 N428:R428 S439 S435:S436 R79 R81">
    <cfRule type="expression" dxfId="207" priority="208">
      <formula>N79=#REF!</formula>
    </cfRule>
  </conditionalFormatting>
  <conditionalFormatting sqref="S944 S116:S117 S372 S925 S932 S941 S930 S218 S22:S49 S208 S212 S619:S627 S109:S114 S646 S632:S641 S222 S225 S679 S716:S721 S598 S858:S862 S735:S742 S845:S846 S865 S589:S590 S138 S203 S465 S349 S243 S877 S424:S426 S83 S123 S228:S234 S313 S375:S376 S477 S744:S750 S758 S889 S63:S65 S76:S81 S175 S177 S428:S429 S457 S820:S822 S507:S510 S324:S329 S295:S296 S901:S904 S475 S521:S522 S689:S690 S472 S595:S596 S879 S881 S162:S164 S166 S699:S714 S316 S936:S937 S795:S796 S584 S769 S359 S529 S454:S455 S459 S379 S381:S382 S318:S319 S249:S250 S253:S254 S301:S303 S305:S309 S682:S683 S409 S412:S413 S246:S247 S782:S788 S502 S582 S393 S395 S401 S652:S667 S894 S839:S840 S333:S334 S92 S119:S120 S126 S922 S723:S733 S271 S512 S514:S515 S403:S404 S149:S153 S140:S145 S488 S331 S669:S672 S675:S677 S417:S418 S848:S853 S180:S201 S685:S686 S388 S397 S804:S805 S776 S361 S798:S802 S600:S603 S692 S906:S907 S909 S911:S920 S94:S104 S752:S756 S128 S299 S169:S173 S461">
    <cfRule type="expression" dxfId="206" priority="206">
      <formula>S22=#REF!</formula>
    </cfRule>
  </conditionalFormatting>
  <conditionalFormatting sqref="S823">
    <cfRule type="expression" dxfId="205" priority="205">
      <formula>S823=#REF!</formula>
    </cfRule>
  </conditionalFormatting>
  <conditionalFormatting sqref="S71">
    <cfRule type="expression" dxfId="204" priority="202">
      <formula>S71=#REF!</formula>
    </cfRule>
  </conditionalFormatting>
  <conditionalFormatting sqref="N108:O108">
    <cfRule type="expression" dxfId="203" priority="184">
      <formula>N108=#REF!</formula>
    </cfRule>
  </conditionalFormatting>
  <conditionalFormatting sqref="O68">
    <cfRule type="expression" dxfId="202" priority="168">
      <formula>O68=#REF!</formula>
    </cfRule>
  </conditionalFormatting>
  <conditionalFormatting sqref="S176">
    <cfRule type="expression" dxfId="201" priority="200">
      <formula>S176=#REF!</formula>
    </cfRule>
  </conditionalFormatting>
  <conditionalFormatting sqref="S427">
    <cfRule type="expression" dxfId="200" priority="199">
      <formula>S427=#REF!</formula>
    </cfRule>
  </conditionalFormatting>
  <conditionalFormatting sqref="O70">
    <cfRule type="expression" dxfId="199" priority="164">
      <formula>O70=#REF!</formula>
    </cfRule>
  </conditionalFormatting>
  <conditionalFormatting sqref="S57 S115 S364:S365 S367:S370 S538:S539 S546:S547 S549:S550 S555:S560 S629:S630 S61 S542:S543">
    <cfRule type="expression" dxfId="198" priority="207">
      <formula>S57=#REF!</formula>
    </cfRule>
  </conditionalFormatting>
  <conditionalFormatting sqref="S67">
    <cfRule type="expression" dxfId="197" priority="204">
      <formula>S67=#REF!</formula>
    </cfRule>
  </conditionalFormatting>
  <conditionalFormatting sqref="S69">
    <cfRule type="expression" dxfId="196" priority="203">
      <formula>S69=#REF!</formula>
    </cfRule>
  </conditionalFormatting>
  <conditionalFormatting sqref="N430:O430">
    <cfRule type="expression" dxfId="195" priority="156">
      <formula>N430=#REF!</formula>
    </cfRule>
  </conditionalFormatting>
  <conditionalFormatting sqref="N431:O431">
    <cfRule type="expression" dxfId="194" priority="155">
      <formula>N431=#REF!</formula>
    </cfRule>
  </conditionalFormatting>
  <conditionalFormatting sqref="N455:O455">
    <cfRule type="expression" dxfId="193" priority="150">
      <formula>N455=#REF!</formula>
    </cfRule>
  </conditionalFormatting>
  <conditionalFormatting sqref="N456:O456">
    <cfRule type="expression" dxfId="192" priority="149">
      <formula>N456=#REF!</formula>
    </cfRule>
  </conditionalFormatting>
  <conditionalFormatting sqref="S174">
    <cfRule type="expression" dxfId="191" priority="201">
      <formula>S174=#REF!</formula>
    </cfRule>
  </conditionalFormatting>
  <conditionalFormatting sqref="S431">
    <cfRule type="expression" dxfId="190" priority="197">
      <formula>S431=#REF!</formula>
    </cfRule>
  </conditionalFormatting>
  <conditionalFormatting sqref="S430">
    <cfRule type="expression" dxfId="189" priority="198">
      <formula>S430=#REF!</formula>
    </cfRule>
  </conditionalFormatting>
  <conditionalFormatting sqref="S441">
    <cfRule type="expression" dxfId="188" priority="195">
      <formula>S441=#REF!</formula>
    </cfRule>
  </conditionalFormatting>
  <conditionalFormatting sqref="S440">
    <cfRule type="expression" dxfId="187" priority="196">
      <formula>S440=#REF!</formula>
    </cfRule>
  </conditionalFormatting>
  <conditionalFormatting sqref="S445">
    <cfRule type="expression" dxfId="186" priority="193">
      <formula>S445=#REF!</formula>
    </cfRule>
  </conditionalFormatting>
  <conditionalFormatting sqref="S444">
    <cfRule type="expression" dxfId="185" priority="194">
      <formula>S444=#REF!</formula>
    </cfRule>
  </conditionalFormatting>
  <conditionalFormatting sqref="S456">
    <cfRule type="expression" dxfId="184" priority="192">
      <formula>S456=#REF!</formula>
    </cfRule>
  </conditionalFormatting>
  <conditionalFormatting sqref="P466:Q466">
    <cfRule type="expression" dxfId="183" priority="134">
      <formula>P466=#REF!</formula>
    </cfRule>
  </conditionalFormatting>
  <conditionalFormatting sqref="S564">
    <cfRule type="expression" dxfId="182" priority="191">
      <formula>S564=#REF!</formula>
    </cfRule>
  </conditionalFormatting>
  <conditionalFormatting sqref="S760">
    <cfRule type="expression" dxfId="181" priority="190">
      <formula>S760=#REF!</formula>
    </cfRule>
  </conditionalFormatting>
  <conditionalFormatting sqref="N66:O66">
    <cfRule type="expression" dxfId="180" priority="170">
      <formula>N66=#REF!</formula>
    </cfRule>
  </conditionalFormatting>
  <conditionalFormatting sqref="O872 R736 R739 R756 R784:R785">
    <cfRule type="cellIs" dxfId="179" priority="187" operator="equal">
      <formula>#REF!</formula>
    </cfRule>
  </conditionalFormatting>
  <conditionalFormatting sqref="P761:Q761 P764:Q764 P782:Q782">
    <cfRule type="cellIs" dxfId="178" priority="186" operator="equal">
      <formula>#REF!</formula>
    </cfRule>
  </conditionalFormatting>
  <conditionalFormatting sqref="N685:O685 N691:P691 N106:Q107 O349:Q349 N944:Q944 N124:Q124 P50:Q50 N385:Q396 N372:Q372 N403:Q406 N902:O902 N162:Q164 N824:O825 N808:Q809 N876:Q876 N878:Q878 N880:Q881 N765:Q766 Q41 N105:O105 Q23:Q24 N888:Q888 N687:O687 N707:O707 N356:Q356 P833:Q833 P835:Q835 Q30 N11:O14 N280:O280 P52:Q52 P196:Q197 P284:Q285 N598:Q598 N600:Q601 N788:O788 N758:O758 N797:Q797 N86:Q86 N762:Q763 N243:O243 N245:Q245 N248:Q248 N278:Q279 N250:Q252 Q706 Q703:Q704 N692:O692 N694:Q694 N695:O695 N702:Q702 N686:P686 Q578 N10:Q10 N305:O306 P306:Q306 P320:Q321 N789:Q790 N307:Q309 P486:Q489 N487:N490 Q35:Q39 O486:O490 N257:Q257 N318:O321 N311:Q317 P380:Q383 N400:Q401 N417:O417 N529:O529 N537:Q537 N88:Q91 N87:O87 P893:Q894 N846:Q854 N911:Q922 N925:Q925 N895:Q896 N932:Q937 N906:Q907 N941:Q941 N467:Q467 N461:Q461 N554:Q554 N903:Q904 N909:Q909 N930:Q930 O330 O469:O470 N359:Q360 N208:Q208 N331:Q341 P815:Q816 N869:O871 N528:Q528 Q32:Q33 N218:O218 N22:O51 Q27:Q28 Q43:Q45 N398:Q398 N409:Q410 N412:Q413 N703:P706 N200:Q201 N195:O198 N746:Q746 N696:Q696 N708:Q712 N19:O20 P901:Q902 N841:Q842 N773:Q774 N211:Q211 N228:Q228 N234:Q234 N377:O383 N545:Q545 N434:Q435 N2:O8 N206:O207 P205:Q207 N418:Q418 N740:Q740 P289:Q291 P282:Q282 O464 N265:Q265 N94:Q104 N349:N353 N891:O894 N282:O286 N288:O292 N753:Q756 N138:O138 N166:Q171 N212:O212 N619:O627 P837:Q839 N845:O845 N858:Q862 N820:O822 N673:Q674 N62:O65 N472:Q474 N492:O492 P604:Q604 N646:O646 N632:O643 P371:Q371 N346:Q348 N570:Q570 N575:Q576 P580:Q584 N742:Q742 N222:Q222 N225:Q225 N126:Q126 N561:O562 N572:Q572 N571:O571 N573:O573 N577:O584 N588:O588 N688:Q688 N713:O714 P714:Q714 N652:O652 R348 P869:R872 N873:R875 N879:R879 R729:R731 R560 Q40:R40 Q42:R42 N361:R361 N677:R677 N548:R548 N152:R153 N787:R787 N384:R384 N602:R603 R834 P836:R836 N775:R775 P891:R892 R33 Q25:R25 N791:R794 R788:R790 R754:R756 O741:R741 R921 Q29:R29 Q31:R31 R316 R308:R309 N255:R256 P319:R319 R333 R383 N402:R402 N429:R429 R89:R90 N889:R890 R895 N905:R905 N424:R425 R434 N439:R439 N397:R397 N599:R599 N436:R436 N485:R485 N863:R863 N761:R761 N764:R764 N85:R85 Q46:R47 N544:R544 R528:R529 N123:R123 N399:R399 N249:R249 N668:R668 Q49:R49 N908:R908 R337 P195:R195 N574:R574 N244:R244 R44 N125:R125 R213:R214 N735:R739 R288:R292 N416:R416 N411:R411 N844:R844 N611:R611 N855:R855 P108:R108 N865:R868 P864:R864 N566:R569 R562 R588 P715:R715 R484 R55 R72:R75 N366:R366 O358:R358 N744:R745 N246:R247 N910:R910 R2:R8 O350:R353 N357:R357 P377:R379 R650:R651 N199:R199 N203:R203 O345:Q345 R476 R489 R35 Q34:R34 N92:R93 N343:Q344 N407:R408 N414:R414 N471:O471 R364:R365 R556:R558 P305:R305 Q464:R464 R463 N877:R877 R95:R96 N281:R281 N287:R287 N354:R355 N432:R433 R582:R583 R679 R492 N491:R491 N493:R496 N83:R83 N229:R233 R311:R314 N374:R376 N421:R422 N477:R478 N531:R536 R619:R625 R629:R630 N747:R747 N767:R772 N806:R807 R847:R851 N897:R900 R933:R935 Q330:R330 N453:R454 P490:R490 N442:R443 N446:R451 P66:R71 P426:R427 P430:Q431 P440:R441 P445:R445 P455:R456 P465:Q465 R564 P563:Q563 P564 P818:Q818 N614:R615 N589:R596 N716:Q721 N723:Q733 N722:O722 R722 N154:P154 R393:R396 N507:R527 N301:R302 R682 R473 N499:R505 R340:R341 R344:R345 N437:Q438 R438 N294:R296 N323:R329 N299:R299 N297:P298 N76:O81 N751:R752 R748:R750 N748:O750 P678 N697:O701 P699:Q701 Q253:R253 Q254 N116:Q120 N139:Q151 N253:P254 N300:Q300 N303:Q304 N679:Q684 P693 N177:O177 Q177 N172:O172 Q172:Q174 P172:P177 N178:Q194 N109:Q114 Q469:R471 N475:O475 Q475 N480:R481 N479:O479 Q479:R479 P958 N689:O690 Q692 P613:Q613 P952 N776:Q786 N800:Q800 Q795:R796 Q799 Q798:R798 N803:Q804 N801:O802 Q801:Q802 N805:O805 Q805:R805 Q243 P734:R734 R743 P606:R607 R609 P612:R612 R642:R645 R958 N127:R129 N258:R264 N266:R271 R272:R274 R276:R277 R279:R280 R282:R286 N457:R460 R952 N795:O796 N798:O799">
    <cfRule type="expression" dxfId="177" priority="188">
      <formula>N2=#REF!</formula>
    </cfRule>
  </conditionalFormatting>
  <conditionalFormatting sqref="N823:O823">
    <cfRule type="expression" dxfId="176" priority="185">
      <formula>N823=#REF!</formula>
    </cfRule>
  </conditionalFormatting>
  <conditionalFormatting sqref="N72:O75">
    <cfRule type="expression" dxfId="175" priority="183">
      <formula>N72=#REF!</formula>
    </cfRule>
  </conditionalFormatting>
  <conditionalFormatting sqref="P492:Q492">
    <cfRule type="expression" dxfId="174" priority="182">
      <formula>P492=#REF!</formula>
    </cfRule>
  </conditionalFormatting>
  <conditionalFormatting sqref="N484:O484">
    <cfRule type="expression" dxfId="173" priority="181">
      <formula>N484=#REF!</formula>
    </cfRule>
  </conditionalFormatting>
  <conditionalFormatting sqref="P484:Q484">
    <cfRule type="expression" dxfId="172" priority="180">
      <formula>P484=#REF!</formula>
    </cfRule>
  </conditionalFormatting>
  <conditionalFormatting sqref="N476:O476">
    <cfRule type="expression" dxfId="171" priority="179">
      <formula>N476=#REF!</formula>
    </cfRule>
  </conditionalFormatting>
  <conditionalFormatting sqref="P476:Q476">
    <cfRule type="expression" dxfId="170" priority="178">
      <formula>P476=#REF!</formula>
    </cfRule>
  </conditionalFormatting>
  <conditionalFormatting sqref="N864:O864">
    <cfRule type="expression" dxfId="169" priority="177">
      <formula>N864=#REF!</formula>
    </cfRule>
  </conditionalFormatting>
  <conditionalFormatting sqref="N628:O628">
    <cfRule type="expression" dxfId="168" priority="176">
      <formula>N628=#REF!</formula>
    </cfRule>
  </conditionalFormatting>
  <conditionalFormatting sqref="N649:O649">
    <cfRule type="expression" dxfId="167" priority="175">
      <formula>N649=#REF!</formula>
    </cfRule>
  </conditionalFormatting>
  <conditionalFormatting sqref="P55:Q55">
    <cfRule type="expression" dxfId="166" priority="174">
      <formula>P55=#REF!</formula>
    </cfRule>
  </conditionalFormatting>
  <conditionalFormatting sqref="N84:O84">
    <cfRule type="expression" dxfId="165" priority="173">
      <formula>N84=#REF!</formula>
    </cfRule>
  </conditionalFormatting>
  <conditionalFormatting sqref="P687:Q687">
    <cfRule type="expression" dxfId="164" priority="172">
      <formula>P687=#REF!</formula>
    </cfRule>
  </conditionalFormatting>
  <conditionalFormatting sqref="N675:O676 N669:O672 N653:O667">
    <cfRule type="expression" dxfId="163" priority="171">
      <formula>N653=#REF!</formula>
    </cfRule>
  </conditionalFormatting>
  <conditionalFormatting sqref="N9:O9 N15:O18 N61:O61 N57:O57 N58:R58 N59:Q60 O82:Q82 N115:Q115 N342:O342 Q342:R342 N364:Q364 O365:Q365 N368:Q368 O367:Q367 O369:Q370 N538:Q543 N546:Q547 N549:Q550 N555:Q559 N560:O560 N610:R610 N617:Q618 N629:Q631 R631 P560:Q562 P571:Q571 P573:Q573 P577:Q577 P579:Q579 P588:Q588 P597:Q597 R300 R304 R680:R681 R693">
    <cfRule type="expression" dxfId="162" priority="189">
      <formula>N9=#REF!</formula>
    </cfRule>
  </conditionalFormatting>
  <conditionalFormatting sqref="N67:O67">
    <cfRule type="expression" dxfId="161" priority="169">
      <formula>N67=#REF!</formula>
    </cfRule>
  </conditionalFormatting>
  <conditionalFormatting sqref="N445:O445">
    <cfRule type="expression" dxfId="160" priority="151">
      <formula>N445=#REF!</formula>
    </cfRule>
  </conditionalFormatting>
  <conditionalFormatting sqref="N155:P161">
    <cfRule type="expression" dxfId="159" priority="128">
      <formula>N155=#REF!</formula>
    </cfRule>
  </conditionalFormatting>
  <conditionalFormatting sqref="O69">
    <cfRule type="expression" dxfId="158" priority="167">
      <formula>O69=#REF!</formula>
    </cfRule>
  </conditionalFormatting>
  <conditionalFormatting sqref="N68">
    <cfRule type="expression" dxfId="157" priority="166">
      <formula>N68=#REF!</formula>
    </cfRule>
  </conditionalFormatting>
  <conditionalFormatting sqref="N69">
    <cfRule type="expression" dxfId="156" priority="165">
      <formula>N69=#REF!</formula>
    </cfRule>
  </conditionalFormatting>
  <conditionalFormatting sqref="O71">
    <cfRule type="expression" dxfId="155" priority="163">
      <formula>O71=#REF!</formula>
    </cfRule>
  </conditionalFormatting>
  <conditionalFormatting sqref="N70">
    <cfRule type="expression" dxfId="154" priority="162">
      <formula>N70=#REF!</formula>
    </cfRule>
  </conditionalFormatting>
  <conditionalFormatting sqref="N71">
    <cfRule type="expression" dxfId="153" priority="161">
      <formula>N71=#REF!</formula>
    </cfRule>
  </conditionalFormatting>
  <conditionalFormatting sqref="N173:O173">
    <cfRule type="expression" dxfId="152" priority="160">
      <formula>N173=#REF!</formula>
    </cfRule>
  </conditionalFormatting>
  <conditionalFormatting sqref="N174:O174">
    <cfRule type="expression" dxfId="151" priority="159">
      <formula>N174=#REF!</formula>
    </cfRule>
  </conditionalFormatting>
  <conditionalFormatting sqref="P819:Q819">
    <cfRule type="expression" dxfId="150" priority="135">
      <formula>P819=#REF!</formula>
    </cfRule>
  </conditionalFormatting>
  <conditionalFormatting sqref="N466:O466">
    <cfRule type="expression" dxfId="149" priority="147">
      <formula>N466=#REF!</formula>
    </cfRule>
  </conditionalFormatting>
  <conditionalFormatting sqref="N426:O426">
    <cfRule type="expression" dxfId="148" priority="158">
      <formula>N426=#REF!</formula>
    </cfRule>
  </conditionalFormatting>
  <conditionalFormatting sqref="N427:O427">
    <cfRule type="expression" dxfId="147" priority="157">
      <formula>N427=#REF!</formula>
    </cfRule>
  </conditionalFormatting>
  <conditionalFormatting sqref="N564:O564">
    <cfRule type="expression" dxfId="146" priority="145">
      <formula>N564=#REF!</formula>
    </cfRule>
  </conditionalFormatting>
  <conditionalFormatting sqref="N441:O441">
    <cfRule type="expression" dxfId="145" priority="153">
      <formula>N441=#REF!</formula>
    </cfRule>
  </conditionalFormatting>
  <conditionalFormatting sqref="N440:O440">
    <cfRule type="expression" dxfId="144" priority="154">
      <formula>N440=#REF!</formula>
    </cfRule>
  </conditionalFormatting>
  <conditionalFormatting sqref="N760:O760">
    <cfRule type="expression" dxfId="143" priority="143">
      <formula>N760=#REF!</formula>
    </cfRule>
  </conditionalFormatting>
  <conditionalFormatting sqref="N444:O444">
    <cfRule type="expression" dxfId="142" priority="152">
      <formula>N444=#REF!</formula>
    </cfRule>
  </conditionalFormatting>
  <conditionalFormatting sqref="P722:Q722">
    <cfRule type="expression" dxfId="141" priority="129">
      <formula>P722=#REF!</formula>
    </cfRule>
  </conditionalFormatting>
  <conditionalFormatting sqref="R176">
    <cfRule type="expression" dxfId="140" priority="138">
      <formula>R176=#REF!</formula>
    </cfRule>
  </conditionalFormatting>
  <conditionalFormatting sqref="N465:O465">
    <cfRule type="expression" dxfId="139" priority="148">
      <formula>N465=#REF!</formula>
    </cfRule>
  </conditionalFormatting>
  <conditionalFormatting sqref="N563:O563">
    <cfRule type="expression" dxfId="138" priority="146">
      <formula>N563=#REF!</formula>
    </cfRule>
  </conditionalFormatting>
  <conditionalFormatting sqref="N759:O759">
    <cfRule type="expression" dxfId="137" priority="144">
      <formula>N759=#REF!</formula>
    </cfRule>
  </conditionalFormatting>
  <conditionalFormatting sqref="R174">
    <cfRule type="expression" dxfId="136" priority="142">
      <formula>R174=#REF!</formula>
    </cfRule>
  </conditionalFormatting>
  <conditionalFormatting sqref="Q175:Q176">
    <cfRule type="expression" dxfId="135" priority="141">
      <formula>Q175=#REF!</formula>
    </cfRule>
  </conditionalFormatting>
  <conditionalFormatting sqref="N175:O175">
    <cfRule type="expression" dxfId="134" priority="140">
      <formula>N175=#REF!</formula>
    </cfRule>
  </conditionalFormatting>
  <conditionalFormatting sqref="N176:O176">
    <cfRule type="expression" dxfId="133" priority="139">
      <formula>N176=#REF!</formula>
    </cfRule>
  </conditionalFormatting>
  <conditionalFormatting sqref="P444:Q444">
    <cfRule type="expression" dxfId="132" priority="137">
      <formula>P444=#REF!</formula>
    </cfRule>
  </conditionalFormatting>
  <conditionalFormatting sqref="P817:Q817">
    <cfRule type="expression" dxfId="131" priority="136">
      <formula>P817=#REF!</formula>
    </cfRule>
  </conditionalFormatting>
  <conditionalFormatting sqref="R580">
    <cfRule type="expression" dxfId="130" priority="133">
      <formula>R580=#REF!</formula>
    </cfRule>
  </conditionalFormatting>
  <conditionalFormatting sqref="R578">
    <cfRule type="expression" dxfId="129" priority="132">
      <formula>R578=#REF!</formula>
    </cfRule>
  </conditionalFormatting>
  <conditionalFormatting sqref="R572">
    <cfRule type="expression" dxfId="128" priority="131">
      <formula>R572=#REF!</formula>
    </cfRule>
  </conditionalFormatting>
  <conditionalFormatting sqref="R563">
    <cfRule type="expression" dxfId="127" priority="130">
      <formula>R563=#REF!</formula>
    </cfRule>
  </conditionalFormatting>
  <conditionalFormatting sqref="N165:P165">
    <cfRule type="expression" dxfId="126" priority="127">
      <formula>N165=#REF!</formula>
    </cfRule>
  </conditionalFormatting>
  <conditionalFormatting sqref="S565">
    <cfRule type="expression" dxfId="125" priority="126">
      <formula>S565=#REF!</formula>
    </cfRule>
  </conditionalFormatting>
  <conditionalFormatting sqref="O565 Q565:R565">
    <cfRule type="expression" dxfId="124" priority="125">
      <formula>O565=#REF!</formula>
    </cfRule>
  </conditionalFormatting>
  <conditionalFormatting sqref="S506">
    <cfRule type="expression" dxfId="123" priority="124">
      <formula>S506=#REF!</formula>
    </cfRule>
  </conditionalFormatting>
  <conditionalFormatting sqref="O506 Q506:R506">
    <cfRule type="expression" dxfId="122" priority="123">
      <formula>O506=#REF!</formula>
    </cfRule>
  </conditionalFormatting>
  <conditionalFormatting sqref="S498">
    <cfRule type="expression" dxfId="121" priority="122">
      <formula>S498=#REF!</formula>
    </cfRule>
  </conditionalFormatting>
  <conditionalFormatting sqref="O498 Q498:R498">
    <cfRule type="expression" dxfId="120" priority="121">
      <formula>O498=#REF!</formula>
    </cfRule>
  </conditionalFormatting>
  <conditionalFormatting sqref="S322">
    <cfRule type="expression" dxfId="119" priority="120">
      <formula>S322=#REF!</formula>
    </cfRule>
  </conditionalFormatting>
  <conditionalFormatting sqref="O322 Q322:R322">
    <cfRule type="expression" dxfId="118" priority="119">
      <formula>O322=#REF!</formula>
    </cfRule>
  </conditionalFormatting>
  <conditionalFormatting sqref="S293">
    <cfRule type="expression" dxfId="117" priority="118">
      <formula>S293=#REF!</formula>
    </cfRule>
  </conditionalFormatting>
  <conditionalFormatting sqref="O293 Q293:R293">
    <cfRule type="expression" dxfId="116" priority="117">
      <formula>O293=#REF!</formula>
    </cfRule>
  </conditionalFormatting>
  <conditionalFormatting sqref="P2:Q2">
    <cfRule type="expression" dxfId="115" priority="116">
      <formula>P2=#REF!</formula>
    </cfRule>
  </conditionalFormatting>
  <conditionalFormatting sqref="P3:Q8 P926:Q931">
    <cfRule type="expression" dxfId="114" priority="115">
      <formula>P3=#REF!</formula>
    </cfRule>
  </conditionalFormatting>
  <conditionalFormatting sqref="S897:S899 S863">
    <cfRule type="expression" dxfId="113" priority="114">
      <formula>S863=#REF!</formula>
    </cfRule>
  </conditionalFormatting>
  <conditionalFormatting sqref="S628 S72:S75">
    <cfRule type="expression" dxfId="112" priority="113">
      <formula>S72=#REF!</formula>
    </cfRule>
  </conditionalFormatting>
  <conditionalFormatting sqref="S516:S519 S483 S474">
    <cfRule type="expression" dxfId="111" priority="112">
      <formula>S474=#REF!</formula>
    </cfRule>
  </conditionalFormatting>
  <conditionalFormatting sqref="S841 S831:S833 S824:S825">
    <cfRule type="expression" dxfId="110" priority="111">
      <formula>S824=#REF!</formula>
    </cfRule>
  </conditionalFormatting>
  <conditionalFormatting sqref="S687:S688 S129">
    <cfRule type="expression" dxfId="109" priority="110">
      <formula>S129=#REF!</formula>
    </cfRule>
  </conditionalFormatting>
  <conditionalFormatting sqref="S261 S257">
    <cfRule type="expression" dxfId="108" priority="109">
      <formula>S257=#REF!</formula>
    </cfRule>
  </conditionalFormatting>
  <conditionalFormatting sqref="S493 S478 S470 S463">
    <cfRule type="expression" dxfId="107" priority="108">
      <formula>S463=$Q$3</formula>
    </cfRule>
  </conditionalFormatting>
  <conditionalFormatting sqref="S942 S939 S931">
    <cfRule type="expression" dxfId="106" priority="107">
      <formula>S931=#REF!</formula>
    </cfRule>
  </conditionalFormatting>
  <conditionalFormatting sqref="S591">
    <cfRule type="expression" dxfId="105" priority="106">
      <formula>S591=#REF!</formula>
    </cfRule>
  </conditionalFormatting>
  <conditionalFormatting sqref="S883:S884 S880 S878 S866:S876 S855">
    <cfRule type="expression" dxfId="104" priority="105">
      <formula>S855=#REF!</formula>
    </cfRule>
  </conditionalFormatting>
  <conditionalFormatting sqref="S165 S154:S161">
    <cfRule type="expression" dxfId="103" priority="104">
      <formula>S154=#REF!</formula>
    </cfRule>
  </conditionalFormatting>
  <conditionalFormatting sqref="S695:S698">
    <cfRule type="expression" dxfId="102" priority="103">
      <formula>S695=#REF!</formula>
    </cfRule>
  </conditionalFormatting>
  <conditionalFormatting sqref="S315">
    <cfRule type="expression" dxfId="101" priority="102">
      <formula>S315=#REF!</formula>
    </cfRule>
  </conditionalFormatting>
  <conditionalFormatting sqref="S934:S935">
    <cfRule type="expression" dxfId="100" priority="101">
      <formula>S934=#REF!</formula>
    </cfRule>
  </conditionalFormatting>
  <conditionalFormatting sqref="S790:S791">
    <cfRule type="expression" dxfId="99" priority="100">
      <formula>S790=#REF!</formula>
    </cfRule>
  </conditionalFormatting>
  <conditionalFormatting sqref="S743 S734 S715 S585:S586 S583 S576 S568:S570 S566">
    <cfRule type="expression" dxfId="98" priority="99">
      <formula>S566=#REF!</formula>
    </cfRule>
  </conditionalFormatting>
  <conditionalFormatting sqref="S531">
    <cfRule type="expression" dxfId="97" priority="98">
      <formula>S531=#REF!</formula>
    </cfRule>
  </conditionalFormatting>
  <conditionalFormatting sqref="S597 S588 S579 S577 S573 S571 S561:S562">
    <cfRule type="expression" dxfId="96" priority="97">
      <formula>S561=#REF!</formula>
    </cfRule>
  </conditionalFormatting>
  <conditionalFormatting sqref="S496">
    <cfRule type="expression" dxfId="95" priority="96">
      <formula>S496=#REF!</formula>
    </cfRule>
  </conditionalFormatting>
  <conditionalFormatting sqref="S765 S106:S107">
    <cfRule type="expression" dxfId="94" priority="95">
      <formula>S106=#REF!</formula>
    </cfRule>
  </conditionalFormatting>
  <conditionalFormatting sqref="S527:S528 S525 S520 S353:S358 S314 S311:S312 S55">
    <cfRule type="expression" dxfId="93" priority="94">
      <formula>S55=#REF!</formula>
    </cfRule>
  </conditionalFormatting>
  <conditionalFormatting sqref="S467 S458 S453">
    <cfRule type="expression" dxfId="92" priority="93">
      <formula>S453=#REF!</formula>
    </cfRule>
  </conditionalFormatting>
  <conditionalFormatting sqref="S380 S377:S378 S373:S374">
    <cfRule type="expression" dxfId="91" priority="92">
      <formula>S373=#REF!</formula>
    </cfRule>
  </conditionalFormatting>
  <conditionalFormatting sqref="S338:S339 S317 S255:S256 S52">
    <cfRule type="expression" dxfId="90" priority="91">
      <formula>S52=#REF!</formula>
    </cfRule>
  </conditionalFormatting>
  <conditionalFormatting sqref="S492 S489:S490 S484 S481:S482 S476">
    <cfRule type="expression" dxfId="89" priority="90">
      <formula>S476=#REF!</formula>
    </cfRule>
  </conditionalFormatting>
  <conditionalFormatting sqref="S251 S248">
    <cfRule type="expression" dxfId="88" priority="89">
      <formula>S248=#REF!</formula>
    </cfRule>
  </conditionalFormatting>
  <conditionalFormatting sqref="S693 S680:S681 S366 S304 S300">
    <cfRule type="expression" dxfId="87" priority="88">
      <formula>S300=#REF!</formula>
    </cfRule>
  </conditionalFormatting>
  <conditionalFormatting sqref="S414 S411 S408">
    <cfRule type="expression" dxfId="86" priority="87">
      <formula>S408=#REF!</formula>
    </cfRule>
  </conditionalFormatting>
  <conditionalFormatting sqref="S245">
    <cfRule type="expression" dxfId="85" priority="86">
      <formula>S245=#REF!</formula>
    </cfRule>
  </conditionalFormatting>
  <conditionalFormatting sqref="S551:S554 S548 S544:S545 S532:S537">
    <cfRule type="expression" dxfId="84" priority="85">
      <formula>S532=#REF!</formula>
    </cfRule>
  </conditionalFormatting>
  <conditionalFormatting sqref="S806:S807 S779 S766 S763 S761">
    <cfRule type="expression" dxfId="83" priority="84">
      <formula>S761=#REF!</formula>
    </cfRule>
  </conditionalFormatting>
  <conditionalFormatting sqref="S854">
    <cfRule type="expression" dxfId="82" priority="83">
      <formula>S854=#REF!</formula>
    </cfRule>
  </conditionalFormatting>
  <conditionalFormatting sqref="S122">
    <cfRule type="expression" dxfId="81" priority="82">
      <formula>S122=#REF!</formula>
    </cfRule>
  </conditionalFormatting>
  <conditionalFormatting sqref="S928">
    <cfRule type="expression" dxfId="80" priority="79">
      <formula>S928=#REF!</formula>
    </cfRule>
  </conditionalFormatting>
  <conditionalFormatting sqref="S567">
    <cfRule type="expression" dxfId="79" priority="81">
      <formula>S567=#REF!</formula>
    </cfRule>
  </conditionalFormatting>
  <conditionalFormatting sqref="S592">
    <cfRule type="expression" dxfId="78" priority="80">
      <formula>S592=#REF!</formula>
    </cfRule>
  </conditionalFormatting>
  <conditionalFormatting sqref="S423">
    <cfRule type="expression" dxfId="77" priority="78">
      <formula>S423=#REF!</formula>
    </cfRule>
  </conditionalFormatting>
  <conditionalFormatting sqref="S134">
    <cfRule type="expression" dxfId="76" priority="77">
      <formula>S134=#REF!</formula>
    </cfRule>
  </conditionalFormatting>
  <conditionalFormatting sqref="S137">
    <cfRule type="expression" dxfId="75" priority="76">
      <formula>S137=#REF!</formula>
    </cfRule>
  </conditionalFormatting>
  <conditionalFormatting sqref="S501 S499 S473 S469 S464">
    <cfRule type="expression" dxfId="74" priority="75">
      <formula>S464=#REF!</formula>
    </cfRule>
  </conditionalFormatting>
  <conditionalFormatting sqref="S587 S581 S574:S575">
    <cfRule type="expression" dxfId="73" priority="74">
      <formula>S574=#REF!</formula>
    </cfRule>
  </conditionalFormatting>
  <conditionalFormatting sqref="S497 S494 S466 S400 S394 S391 S284">
    <cfRule type="expression" dxfId="72" priority="73">
      <formula>S284=#REF!</formula>
    </cfRule>
  </conditionalFormatting>
  <conditionalFormatting sqref="S235">
    <cfRule type="expression" dxfId="71" priority="72">
      <formula>S235=#REF!</formula>
    </cfRule>
  </conditionalFormatting>
  <conditionalFormatting sqref="S236:S239">
    <cfRule type="expression" dxfId="70" priority="71">
      <formula>S236=#REF!</formula>
    </cfRule>
  </conditionalFormatting>
  <conditionalFormatting sqref="S895:S896 S890:S891 S885:S888 S826:S827">
    <cfRule type="expression" dxfId="69" priority="70">
      <formula>S826=#REF!</formula>
    </cfRule>
  </conditionalFormatting>
  <conditionalFormatting sqref="S842:S843 S808 S834:S836">
    <cfRule type="expression" dxfId="68" priority="69">
      <formula>S808=#REF!</formula>
    </cfRule>
  </conditionalFormatting>
  <conditionalFormatting sqref="S343 S335:S336 S332">
    <cfRule type="expression" dxfId="67" priority="68">
      <formula>S332=#REF!</formula>
    </cfRule>
  </conditionalFormatting>
  <conditionalFormatting sqref="S2:S8">
    <cfRule type="expression" dxfId="66" priority="67">
      <formula>S2=#REF!</formula>
    </cfRule>
  </conditionalFormatting>
  <conditionalFormatting sqref="S54">
    <cfRule type="expression" dxfId="65" priority="66">
      <formula>S54=#REF!</formula>
    </cfRule>
  </conditionalFormatting>
  <conditionalFormatting sqref="S921">
    <cfRule type="expression" dxfId="64" priority="65">
      <formula>S921=#REF!</formula>
    </cfRule>
  </conditionalFormatting>
  <conditionalFormatting sqref="S398">
    <cfRule type="expression" dxfId="63" priority="64">
      <formula>S398=#REF!</formula>
    </cfRule>
  </conditionalFormatting>
  <conditionalFormatting sqref="S505">
    <cfRule type="expression" dxfId="62" priority="63">
      <formula>S505=#REF!</formula>
    </cfRule>
  </conditionalFormatting>
  <conditionalFormatting sqref="S722">
    <cfRule type="expression" dxfId="61" priority="62">
      <formula>S722=#REF!</formula>
    </cfRule>
  </conditionalFormatting>
  <conditionalFormatting sqref="S513 S511 S385 S371 S292 S288 S286 S283 S280 S270">
    <cfRule type="expression" dxfId="60" priority="61">
      <formula>S270=#REF!</formula>
    </cfRule>
  </conditionalFormatting>
  <conditionalFormatting sqref="S402 S70 S68 S66">
    <cfRule type="expression" dxfId="59" priority="60">
      <formula>S66=#REF!</formula>
    </cfRule>
  </conditionalFormatting>
  <conditionalFormatting sqref="S593">
    <cfRule type="expression" dxfId="58" priority="59">
      <formula>S593=#REF!</formula>
    </cfRule>
  </conditionalFormatting>
  <conditionalFormatting sqref="S252 S146:S148">
    <cfRule type="expression" dxfId="57" priority="58">
      <formula>S146=#REF!</formula>
    </cfRule>
  </conditionalFormatting>
  <conditionalFormatting sqref="S209:S211 S205:S207 S139">
    <cfRule type="expression" dxfId="56" priority="57">
      <formula>S139=#REF!</formula>
    </cfRule>
  </conditionalFormatting>
  <conditionalFormatting sqref="S780:S781 S764">
    <cfRule type="expression" dxfId="55" priority="56">
      <formula>S764=#REF!</formula>
    </cfRule>
  </conditionalFormatting>
  <conditionalFormatting sqref="S213:S215 S136 S130">
    <cfRule type="expression" dxfId="54" priority="55">
      <formula>S130=#REF!</formula>
    </cfRule>
  </conditionalFormatting>
  <conditionalFormatting sqref="S486 S419">
    <cfRule type="expression" dxfId="53" priority="54">
      <formula>S419=#REF!</formula>
    </cfRule>
  </conditionalFormatting>
  <conditionalFormatting sqref="S892">
    <cfRule type="expression" dxfId="52" priority="53">
      <formula>S892=#REF!</formula>
    </cfRule>
  </conditionalFormatting>
  <conditionalFormatting sqref="S642 S612 S609 S606:S607">
    <cfRule type="expression" dxfId="51" priority="52">
      <formula>S606=#REF!</formula>
    </cfRule>
  </conditionalFormatting>
  <conditionalFormatting sqref="S330 S340:S341 S344:S345 S438">
    <cfRule type="expression" dxfId="50" priority="51">
      <formula>S330=#REF!</formula>
    </cfRule>
  </conditionalFormatting>
  <conditionalFormatting sqref="S673:S674 S668">
    <cfRule type="expression" dxfId="49" priority="50">
      <formula>S668=#REF!</formula>
    </cfRule>
  </conditionalFormatting>
  <conditionalFormatting sqref="S900">
    <cfRule type="expression" dxfId="48" priority="49">
      <formula>S900=#REF!</formula>
    </cfRule>
  </conditionalFormatting>
  <conditionalFormatting sqref="S491 S416 S62">
    <cfRule type="expression" dxfId="47" priority="48">
      <formula>S62=#REF!</formula>
    </cfRule>
  </conditionalFormatting>
  <conditionalFormatting sqref="S893 S847">
    <cfRule type="expression" dxfId="46" priority="47">
      <formula>S847=#REF!</formula>
    </cfRule>
  </conditionalFormatting>
  <conditionalFormatting sqref="S105">
    <cfRule type="expression" dxfId="45" priority="46">
      <formula>S105=#REF!</formula>
    </cfRule>
  </conditionalFormatting>
  <conditionalFormatting sqref="S487 S485 S480 S437 S434">
    <cfRule type="expression" dxfId="44" priority="45">
      <formula>S434=#REF!</formula>
    </cfRule>
  </conditionalFormatting>
  <conditionalFormatting sqref="S178:S179">
    <cfRule type="expression" dxfId="43" priority="44">
      <formula>S178=#REF!</formula>
    </cfRule>
  </conditionalFormatting>
  <conditionalFormatting sqref="S694">
    <cfRule type="expression" dxfId="42" priority="43">
      <formula>S694=#REF!</formula>
    </cfRule>
  </conditionalFormatting>
  <conditionalFormatting sqref="S684">
    <cfRule type="expression" dxfId="41" priority="42">
      <formula>S684=#REF!</formula>
    </cfRule>
  </conditionalFormatting>
  <conditionalFormatting sqref="S405:S407 S396 S392 S389:S390 S387">
    <cfRule type="expression" dxfId="40" priority="41">
      <formula>S387=#REF!</formula>
    </cfRule>
  </conditionalFormatting>
  <conditionalFormatting sqref="S803 S759">
    <cfRule type="expression" dxfId="39" priority="40">
      <formula>S759=#REF!</formula>
    </cfRule>
  </conditionalFormatting>
  <conditionalFormatting sqref="S108">
    <cfRule type="expression" dxfId="38" priority="39">
      <formula>S108=#REF!</formula>
    </cfRule>
  </conditionalFormatting>
  <conditionalFormatting sqref="S819 S817">
    <cfRule type="expression" dxfId="37" priority="38">
      <formula>S817=#REF!</formula>
    </cfRule>
  </conditionalFormatting>
  <conditionalFormatting sqref="S770:S773 S767:S768 S384">
    <cfRule type="expression" dxfId="36" priority="37">
      <formula>S384=#REF!</formula>
    </cfRule>
  </conditionalFormatting>
  <conditionalFormatting sqref="S762">
    <cfRule type="expression" dxfId="35" priority="36">
      <formula>S762=#REF!</formula>
    </cfRule>
  </conditionalFormatting>
  <conditionalFormatting sqref="S524 S360 S352 S337 S323">
    <cfRule type="expression" dxfId="34" priority="35">
      <formula>S323=#REF!</formula>
    </cfRule>
  </conditionalFormatting>
  <conditionalFormatting sqref="S797 S792">
    <cfRule type="expression" dxfId="33" priority="34">
      <formula>S792=#REF!</formula>
    </cfRule>
  </conditionalFormatting>
  <conditionalFormatting sqref="S691 S599">
    <cfRule type="expression" dxfId="32" priority="33">
      <formula>S599=#REF!</formula>
    </cfRule>
  </conditionalFormatting>
  <conditionalFormatting sqref="S244">
    <cfRule type="expression" dxfId="31" priority="32">
      <formula>S244=#REF!</formula>
    </cfRule>
  </conditionalFormatting>
  <conditionalFormatting sqref="S933 S910 S908 S905">
    <cfRule type="expression" dxfId="30" priority="31">
      <formula>S905=#REF!</formula>
    </cfRule>
  </conditionalFormatting>
  <conditionalFormatting sqref="S121">
    <cfRule type="expression" dxfId="29" priority="30">
      <formula>S121=#REF!</formula>
    </cfRule>
  </conditionalFormatting>
  <conditionalFormatting sqref="S610 S342">
    <cfRule type="expression" dxfId="28" priority="29">
      <formula>S342=#REF!</formula>
    </cfRule>
  </conditionalFormatting>
  <conditionalFormatting sqref="S500 S383">
    <cfRule type="expression" dxfId="27" priority="28">
      <formula>S383=#REF!</formula>
    </cfRule>
  </conditionalFormatting>
  <conditionalFormatting sqref="S809:S810 S777:S778 S774:S775 S93 S88:S91 S85:S86">
    <cfRule type="expression" dxfId="26" priority="27">
      <formula>S85=#REF!</formula>
    </cfRule>
  </conditionalFormatting>
  <conditionalFormatting sqref="S751">
    <cfRule type="expression" dxfId="25" priority="26">
      <formula>S751=#REF!</formula>
    </cfRule>
  </conditionalFormatting>
  <conditionalFormatting sqref="S631 S540:S541 S58:S60">
    <cfRule type="expression" dxfId="24" priority="25">
      <formula>S58=#REF!</formula>
    </cfRule>
  </conditionalFormatting>
  <conditionalFormatting sqref="S793:S794 S789">
    <cfRule type="expression" dxfId="23" priority="24">
      <formula>S789=#REF!</formula>
    </cfRule>
  </conditionalFormatting>
  <conditionalFormatting sqref="S127 S125">
    <cfRule type="expression" dxfId="22" priority="23">
      <formula>S125=#REF!</formula>
    </cfRule>
  </conditionalFormatting>
  <conditionalFormatting sqref="S503:S504 S410 S399 S386">
    <cfRule type="expression" dxfId="21" priority="22">
      <formula>S386=#REF!</formula>
    </cfRule>
  </conditionalFormatting>
  <conditionalFormatting sqref="S864">
    <cfRule type="expression" dxfId="20" priority="21">
      <formula>S864=#REF!</formula>
    </cfRule>
  </conditionalFormatting>
  <conditionalFormatting sqref="S363 S350:S351 S346:S348 S294">
    <cfRule type="expression" dxfId="19" priority="20">
      <formula>S294=#REF!</formula>
    </cfRule>
  </conditionalFormatting>
  <conditionalFormatting sqref="S927">
    <cfRule type="expression" dxfId="18" priority="19">
      <formula>S927=#REF!</formula>
    </cfRule>
  </conditionalFormatting>
  <conditionalFormatting sqref="S526 S523 S320:S321 Q297:Q298">
    <cfRule type="expression" dxfId="17" priority="18">
      <formula>Q297=#REF!</formula>
    </cfRule>
  </conditionalFormatting>
  <conditionalFormatting sqref="S495 S468 S452 S415 S289:S291 S285">
    <cfRule type="expression" dxfId="16" priority="17">
      <formula>S285=#REF!</formula>
    </cfRule>
  </conditionalFormatting>
  <conditionalFormatting sqref="S420:S422 S287 S281 S278 S275 S265">
    <cfRule type="expression" dxfId="15" priority="16">
      <formula>S265=$Q$3</formula>
    </cfRule>
  </conditionalFormatting>
  <conditionalFormatting sqref="S167:S168">
    <cfRule type="expression" dxfId="14" priority="15">
      <formula>S167=#REF!</formula>
    </cfRule>
  </conditionalFormatting>
  <conditionalFormatting sqref="S608">
    <cfRule type="expression" dxfId="13" priority="14">
      <formula>S608=$Q$3</formula>
    </cfRule>
  </conditionalFormatting>
  <conditionalFormatting sqref="S614:S615 S611 S594 S580 S578 S572 S563">
    <cfRule type="expression" dxfId="12" priority="13">
      <formula>S563=#REF!</formula>
    </cfRule>
  </conditionalFormatting>
  <conditionalFormatting sqref="S479 S471 S460 S282 S279 S276:S277 S272:S274 S266:S269 S262:S264 S258:S260">
    <cfRule type="expression" dxfId="11" priority="12">
      <formula>S258=#REF!</formula>
    </cfRule>
  </conditionalFormatting>
  <conditionalFormatting sqref="P76:Q81 P748:Q750">
    <cfRule type="expression" dxfId="10" priority="11">
      <formula>P76=#REF!</formula>
    </cfRule>
  </conditionalFormatting>
  <conditionalFormatting sqref="BV339:BW339 BV346:BW346 BV608:BW608">
    <cfRule type="expression" dxfId="9" priority="10">
      <formula>BV339=#REF!</formula>
    </cfRule>
  </conditionalFormatting>
  <conditionalFormatting sqref="BU339">
    <cfRule type="expression" dxfId="8" priority="9">
      <formula>BU339=#REF!</formula>
    </cfRule>
  </conditionalFormatting>
  <conditionalFormatting sqref="R9:S9">
    <cfRule type="expression" dxfId="7" priority="8">
      <formula>R9=#REF!</formula>
    </cfRule>
  </conditionalFormatting>
  <conditionalFormatting sqref="R17:S18">
    <cfRule type="expression" dxfId="6" priority="7">
      <formula>R17=#REF!</formula>
    </cfRule>
  </conditionalFormatting>
  <conditionalFormatting sqref="R53:S53">
    <cfRule type="expression" dxfId="5" priority="6">
      <formula>R53=#REF!</formula>
    </cfRule>
  </conditionalFormatting>
  <conditionalFormatting sqref="R56:R57">
    <cfRule type="expression" dxfId="4" priority="5">
      <formula>R56=#REF!</formula>
    </cfRule>
  </conditionalFormatting>
  <conditionalFormatting sqref="S829">
    <cfRule type="expression" dxfId="3" priority="4">
      <formula>S829=#REF!</formula>
    </cfRule>
  </conditionalFormatting>
  <conditionalFormatting sqref="P828:Q828 P829 P834">
    <cfRule type="expression" dxfId="2" priority="3">
      <formula>P828=#REF!</formula>
    </cfRule>
  </conditionalFormatting>
  <conditionalFormatting sqref="Q829">
    <cfRule type="expression" dxfId="1" priority="2">
      <formula>Q829=#REF!</formula>
    </cfRule>
  </conditionalFormatting>
  <conditionalFormatting sqref="Q834">
    <cfRule type="expression" dxfId="0" priority="1">
      <formula>Q834=#REF!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Battisti</dc:creator>
  <cp:lastModifiedBy>Maurizio Battisti</cp:lastModifiedBy>
  <dcterms:created xsi:type="dcterms:W3CDTF">2022-11-18T17:09:21Z</dcterms:created>
  <dcterms:modified xsi:type="dcterms:W3CDTF">2022-11-18T17:11:59Z</dcterms:modified>
</cp:coreProperties>
</file>