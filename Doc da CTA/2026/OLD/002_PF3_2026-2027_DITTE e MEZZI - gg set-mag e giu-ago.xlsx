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X3500M5\scuola\Linea\APPALTO PROROGA TECNICA 2026_2027\"/>
    </mc:Choice>
  </mc:AlternateContent>
  <xr:revisionPtr revIDLastSave="0" documentId="13_ncr:1_{4344A6FB-09F5-445F-8FCF-6EA3DF021BFE}" xr6:coauthVersionLast="47" xr6:coauthVersionMax="47" xr10:uidLastSave="{00000000-0000-0000-0000-000000000000}"/>
  <bookViews>
    <workbookView xWindow="-120" yWindow="-120" windowWidth="29040" windowHeight="15720" tabRatio="871" activeTab="4" xr2:uid="{00000000-000D-0000-FFFF-FFFF00000000}"/>
  </bookViews>
  <sheets>
    <sheet name="PERGINE" sheetId="1" r:id="rId1"/>
    <sheet name="ARCO" sheetId="2" r:id="rId2"/>
    <sheet name="LAVIS" sheetId="3" r:id="rId3"/>
    <sheet name="CEMBRA" sheetId="4" r:id="rId4"/>
    <sheet name="ALBIANO" sheetId="5" r:id="rId5"/>
    <sheet name="Targhe ditte" sheetId="6" r:id="rId6"/>
    <sheet name="PERGINE giu-ago" sheetId="7" r:id="rId7"/>
    <sheet name="ARCO giu-ago" sheetId="8" r:id="rId8"/>
    <sheet name="LAVIS giu-ago" sheetId="9" r:id="rId9"/>
    <sheet name="CEMBRA giu-ago" sheetId="10" r:id="rId10"/>
    <sheet name="ALBIANO giu-ago" sheetId="11" r:id="rId11"/>
  </sheets>
  <definedNames>
    <definedName name="_xlnm._FilterDatabase" localSheetId="4" hidden="1">ALBIANO!$A$1:$AA$32</definedName>
    <definedName name="_xlnm._FilterDatabase" localSheetId="1" hidden="1">ARCO!$A$1:$AA$1</definedName>
    <definedName name="_xlnm._FilterDatabase" localSheetId="2" hidden="1">LAVIS!$A$1:$AA$108</definedName>
    <definedName name="_xlnm._FilterDatabase" localSheetId="0" hidden="1">PERGINE!$A$1:$AA$84</definedName>
    <definedName name="_xlnm._FilterDatabase" localSheetId="5" hidden="1">'Targhe ditte'!$A$1:$K$32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4" i="5" l="1"/>
  <c r="AA45" i="5"/>
  <c r="AA44" i="5"/>
  <c r="AA36" i="5"/>
  <c r="AA46" i="5" s="1"/>
  <c r="K34" i="5"/>
  <c r="K44" i="5"/>
  <c r="K45" i="5"/>
  <c r="AA3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30" i="11"/>
  <c r="AA31" i="11"/>
  <c r="AA2" i="11"/>
  <c r="K3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2" i="11"/>
  <c r="AA25" i="4"/>
  <c r="AA24" i="4"/>
  <c r="AA16" i="4"/>
  <c r="AA26" i="4" s="1"/>
  <c r="K25" i="4"/>
  <c r="K24" i="4"/>
  <c r="K16" i="4"/>
  <c r="K26" i="4" s="1"/>
  <c r="AA14" i="4"/>
  <c r="K14" i="4"/>
  <c r="AA12" i="10"/>
  <c r="AA3" i="10"/>
  <c r="AA4" i="10"/>
  <c r="AA5" i="10"/>
  <c r="AA6" i="10"/>
  <c r="AA7" i="10"/>
  <c r="AA8" i="10"/>
  <c r="AA9" i="10"/>
  <c r="AA10" i="10"/>
  <c r="AA11" i="10"/>
  <c r="AA2" i="10"/>
  <c r="K12" i="10"/>
  <c r="K3" i="10"/>
  <c r="K4" i="10"/>
  <c r="K5" i="10"/>
  <c r="K6" i="10"/>
  <c r="K7" i="10"/>
  <c r="K8" i="10"/>
  <c r="K9" i="10"/>
  <c r="K10" i="10"/>
  <c r="K11" i="10"/>
  <c r="K2" i="10"/>
  <c r="AA121" i="3"/>
  <c r="AA120" i="3"/>
  <c r="AA112" i="3"/>
  <c r="AA122" i="3" s="1"/>
  <c r="AA110" i="3"/>
  <c r="K112" i="3"/>
  <c r="K110" i="3"/>
  <c r="AA108" i="9"/>
  <c r="AA3" i="9"/>
  <c r="AA4" i="9"/>
  <c r="AA5" i="9"/>
  <c r="AA6" i="9"/>
  <c r="AA7" i="9"/>
  <c r="AA8" i="9"/>
  <c r="AA9" i="9"/>
  <c r="AA10" i="9"/>
  <c r="AA11" i="9"/>
  <c r="AA12" i="9"/>
  <c r="AA13" i="9"/>
  <c r="AA14" i="9"/>
  <c r="AA15" i="9"/>
  <c r="AA16" i="9"/>
  <c r="AA17" i="9"/>
  <c r="AA18" i="9"/>
  <c r="AA19" i="9"/>
  <c r="AA20" i="9"/>
  <c r="AA21" i="9"/>
  <c r="AA22" i="9"/>
  <c r="AA23" i="9"/>
  <c r="AA24" i="9"/>
  <c r="AA25" i="9"/>
  <c r="AA26" i="9"/>
  <c r="AA27" i="9"/>
  <c r="AA28" i="9"/>
  <c r="AA29" i="9"/>
  <c r="AA30" i="9"/>
  <c r="AA31" i="9"/>
  <c r="AA32" i="9"/>
  <c r="AA33" i="9"/>
  <c r="AA34" i="9"/>
  <c r="AA35" i="9"/>
  <c r="AA36" i="9"/>
  <c r="AA37" i="9"/>
  <c r="AA38" i="9"/>
  <c r="AA39" i="9"/>
  <c r="AA40" i="9"/>
  <c r="AA41" i="9"/>
  <c r="AA42" i="9"/>
  <c r="AA43" i="9"/>
  <c r="AA44" i="9"/>
  <c r="AA45" i="9"/>
  <c r="AA46" i="9"/>
  <c r="AA47" i="9"/>
  <c r="AA48" i="9"/>
  <c r="AA49" i="9"/>
  <c r="AA50" i="9"/>
  <c r="AA51" i="9"/>
  <c r="AA52" i="9"/>
  <c r="AA53" i="9"/>
  <c r="AA54" i="9"/>
  <c r="AA55" i="9"/>
  <c r="AA56" i="9"/>
  <c r="AA57" i="9"/>
  <c r="AA58" i="9"/>
  <c r="AA59" i="9"/>
  <c r="AA60" i="9"/>
  <c r="AA61" i="9"/>
  <c r="AA62" i="9"/>
  <c r="AA63" i="9"/>
  <c r="AA64" i="9"/>
  <c r="AA65" i="9"/>
  <c r="AA66" i="9"/>
  <c r="AA67" i="9"/>
  <c r="AA68" i="9"/>
  <c r="AA69" i="9"/>
  <c r="AA70" i="9"/>
  <c r="AA71" i="9"/>
  <c r="AA72" i="9"/>
  <c r="AA73" i="9"/>
  <c r="AA74" i="9"/>
  <c r="AA75" i="9"/>
  <c r="AA76" i="9"/>
  <c r="AA77" i="9"/>
  <c r="AA78" i="9"/>
  <c r="AA79" i="9"/>
  <c r="AA80" i="9"/>
  <c r="AA81" i="9"/>
  <c r="AA82" i="9"/>
  <c r="AA83" i="9"/>
  <c r="AA84" i="9"/>
  <c r="AA85" i="9"/>
  <c r="AA86" i="9"/>
  <c r="AA87" i="9"/>
  <c r="AA88" i="9"/>
  <c r="AA89" i="9"/>
  <c r="AA90" i="9"/>
  <c r="AA91" i="9"/>
  <c r="AA92" i="9"/>
  <c r="AA93" i="9"/>
  <c r="AA94" i="9"/>
  <c r="AA95" i="9"/>
  <c r="AA96" i="9"/>
  <c r="AA97" i="9"/>
  <c r="AA98" i="9"/>
  <c r="AA99" i="9"/>
  <c r="AA100" i="9"/>
  <c r="AA101" i="9"/>
  <c r="AA102" i="9"/>
  <c r="AA103" i="9"/>
  <c r="AA104" i="9"/>
  <c r="AA105" i="9"/>
  <c r="AA106" i="9"/>
  <c r="AA107" i="9"/>
  <c r="AA2" i="9"/>
  <c r="K108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2" i="9"/>
  <c r="K122" i="3"/>
  <c r="K121" i="3"/>
  <c r="K120" i="3"/>
  <c r="AA26" i="2"/>
  <c r="AA25" i="2"/>
  <c r="AA17" i="2"/>
  <c r="AA27" i="2" s="1"/>
  <c r="K26" i="2"/>
  <c r="K25" i="2"/>
  <c r="K17" i="2"/>
  <c r="K27" i="2" s="1"/>
  <c r="AA15" i="2"/>
  <c r="K15" i="2"/>
  <c r="AA13" i="8"/>
  <c r="AA3" i="8"/>
  <c r="AA4" i="8"/>
  <c r="AA5" i="8"/>
  <c r="AA6" i="8"/>
  <c r="AA7" i="8"/>
  <c r="AA8" i="8"/>
  <c r="AA9" i="8"/>
  <c r="AA10" i="8"/>
  <c r="AA11" i="8"/>
  <c r="AA12" i="8"/>
  <c r="AA2" i="8"/>
  <c r="K13" i="8"/>
  <c r="K3" i="8"/>
  <c r="K4" i="8"/>
  <c r="K5" i="8"/>
  <c r="K6" i="8"/>
  <c r="K7" i="8"/>
  <c r="K8" i="8"/>
  <c r="K9" i="8"/>
  <c r="K10" i="8"/>
  <c r="K11" i="8"/>
  <c r="K12" i="8"/>
  <c r="K2" i="8"/>
  <c r="AA97" i="1"/>
  <c r="AA96" i="1"/>
  <c r="AA88" i="1"/>
  <c r="AA98" i="1" s="1"/>
  <c r="AA86" i="1"/>
  <c r="K86" i="1"/>
  <c r="K97" i="1" s="1"/>
  <c r="K84" i="1"/>
  <c r="K96" i="1" s="1"/>
  <c r="K36" i="5" l="1"/>
  <c r="K46" i="5" s="1"/>
  <c r="K88" i="1"/>
  <c r="K98" i="1" s="1"/>
  <c r="K84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2" i="7"/>
  <c r="AA32" i="5"/>
  <c r="AA3" i="5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2" i="5"/>
  <c r="K3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2" i="5"/>
  <c r="AA12" i="4"/>
  <c r="AA3" i="4"/>
  <c r="AA4" i="4"/>
  <c r="AA5" i="4"/>
  <c r="AA6" i="4"/>
  <c r="AA7" i="4"/>
  <c r="AA8" i="4"/>
  <c r="AA9" i="4"/>
  <c r="AA10" i="4"/>
  <c r="AA11" i="4"/>
  <c r="AA2" i="4"/>
  <c r="K12" i="4"/>
  <c r="K3" i="4"/>
  <c r="K4" i="4"/>
  <c r="K5" i="4"/>
  <c r="K6" i="4"/>
  <c r="K7" i="4"/>
  <c r="K8" i="4"/>
  <c r="K9" i="4"/>
  <c r="K10" i="4"/>
  <c r="K11" i="4"/>
  <c r="K2" i="4"/>
  <c r="AA108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2" i="3"/>
  <c r="K108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2" i="3"/>
  <c r="AA13" i="2"/>
  <c r="AA3" i="2"/>
  <c r="AA4" i="2"/>
  <c r="AA5" i="2"/>
  <c r="AA6" i="2"/>
  <c r="AA7" i="2"/>
  <c r="AA8" i="2"/>
  <c r="AA9" i="2"/>
  <c r="AA10" i="2"/>
  <c r="AA11" i="2"/>
  <c r="AA12" i="2"/>
  <c r="AA2" i="2"/>
  <c r="K13" i="2"/>
  <c r="K3" i="2"/>
  <c r="K4" i="2"/>
  <c r="K5" i="2"/>
  <c r="K6" i="2"/>
  <c r="K7" i="2"/>
  <c r="K8" i="2"/>
  <c r="K9" i="2"/>
  <c r="K10" i="2"/>
  <c r="K11" i="2"/>
  <c r="K12" i="2"/>
  <c r="K2" i="2"/>
  <c r="AA84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2" i="1"/>
</calcChain>
</file>

<file path=xl/sharedStrings.xml><?xml version="1.0" encoding="utf-8"?>
<sst xmlns="http://schemas.openxmlformats.org/spreadsheetml/2006/main" count="5844" uniqueCount="425">
  <si>
    <t>nome ditta</t>
  </si>
  <si>
    <t>targa</t>
  </si>
  <si>
    <t>Posti carta di circolazione</t>
  </si>
  <si>
    <t>titolarità</t>
  </si>
  <si>
    <t>prima immatricolazione</t>
  </si>
  <si>
    <t>data revisione</t>
  </si>
  <si>
    <t>uso</t>
  </si>
  <si>
    <t>Verifica età mezzo (al 01/09/2026)</t>
  </si>
  <si>
    <t>Entro 8 anni al 01/09/2026</t>
  </si>
  <si>
    <t>NOTE</t>
  </si>
  <si>
    <t>N° autorizzazione valida</t>
  </si>
  <si>
    <t>AUTOSERVIZI MATTUZZI CLAUDIO &amp; C. S.N.C.</t>
  </si>
  <si>
    <t>FB808BJ</t>
  </si>
  <si>
    <t>titolare</t>
  </si>
  <si>
    <t>SCUOLA/LINEA</t>
  </si>
  <si>
    <t>CONFORME (max 13 anni)</t>
  </si>
  <si>
    <t>NO</t>
  </si>
  <si>
    <t>39/2025</t>
  </si>
  <si>
    <t>FE584HG</t>
  </si>
  <si>
    <t>riserva</t>
  </si>
  <si>
    <t>TURISMO/SCORTA LINEA</t>
  </si>
  <si>
    <t>43/2025</t>
  </si>
  <si>
    <t>FL183NW</t>
  </si>
  <si>
    <t>LINEA</t>
  </si>
  <si>
    <t>40/2025</t>
  </si>
  <si>
    <t>FZ760BE</t>
  </si>
  <si>
    <t>SCUOLA/SCORTA LINEA</t>
  </si>
  <si>
    <t>SI</t>
  </si>
  <si>
    <t>44/2025</t>
  </si>
  <si>
    <t>GF141FZ</t>
  </si>
  <si>
    <t>CONFORME (max 12 anni)</t>
  </si>
  <si>
    <t>42/2025</t>
  </si>
  <si>
    <t>GT606ZH</t>
  </si>
  <si>
    <t>45/2025</t>
  </si>
  <si>
    <t>GY436PZ</t>
  </si>
  <si>
    <t>41/2025</t>
  </si>
  <si>
    <t>BAZZAVAN S.A.S. DI BAZZANELLA ANDREA</t>
  </si>
  <si>
    <t>GC917HM</t>
  </si>
  <si>
    <t>4235/P</t>
  </si>
  <si>
    <t>GG058PN</t>
  </si>
  <si>
    <t>D'AMICO VIAGGI S.R.L.</t>
  </si>
  <si>
    <t>FT467CV</t>
  </si>
  <si>
    <t>5554/P</t>
  </si>
  <si>
    <t>ELIMA SRL</t>
  </si>
  <si>
    <t>GL794HS</t>
  </si>
  <si>
    <t>In attesa di una copia da Martina</t>
  </si>
  <si>
    <t>GP595HE</t>
  </si>
  <si>
    <t>FERSINA TOUR S.R.L</t>
  </si>
  <si>
    <t>FM703MA</t>
  </si>
  <si>
    <t>6.8-2023-11</t>
  </si>
  <si>
    <t>FR820WP</t>
  </si>
  <si>
    <t>FZ194KS</t>
  </si>
  <si>
    <t>anche riserva D'Amico</t>
  </si>
  <si>
    <t>GG078PN</t>
  </si>
  <si>
    <t>GIULIA SAS DI URECHE GEORGIANA &amp; C.</t>
  </si>
  <si>
    <t>GG115WS</t>
  </si>
  <si>
    <t>riserva D'Amico</t>
  </si>
  <si>
    <t>2873/P 21/04/2026</t>
  </si>
  <si>
    <t>GROFF PAOLO</t>
  </si>
  <si>
    <t>FL561HC</t>
  </si>
  <si>
    <t>ITALBUS S.N.C. DI CASAGRANDE ARMANDO E CHRISTIAN &amp; C.</t>
  </si>
  <si>
    <t>EV877GJ</t>
  </si>
  <si>
    <t>NON CONFORME (oltre 12 anni)</t>
  </si>
  <si>
    <t>DEROGA 10% MEZZI FINO A 15 ANNI</t>
  </si>
  <si>
    <t>GE440VX</t>
  </si>
  <si>
    <t>GP876HE</t>
  </si>
  <si>
    <t>OSCAR VIAGGI DI FORMOLO OSCAR</t>
  </si>
  <si>
    <t>GX166WF</t>
  </si>
  <si>
    <t>21081 15/09/25</t>
  </si>
  <si>
    <t>GX220WF</t>
  </si>
  <si>
    <t>21080 15/09/25</t>
  </si>
  <si>
    <t>GZ064ZJ</t>
  </si>
  <si>
    <t>21079 15/09/25</t>
  </si>
  <si>
    <t>SOLETANA VIAGGI S.R.L.</t>
  </si>
  <si>
    <t>FH513LD</t>
  </si>
  <si>
    <t>46/2025</t>
  </si>
  <si>
    <t>FJ863YE</t>
  </si>
  <si>
    <t>47/2025</t>
  </si>
  <si>
    <t>GW667HX</t>
  </si>
  <si>
    <t>48/2025</t>
  </si>
  <si>
    <t>VALBUS S.R.L.</t>
  </si>
  <si>
    <t>FL786HC</t>
  </si>
  <si>
    <t>GP809YY</t>
  </si>
  <si>
    <t>ZAMPEDRI STEFANO</t>
  </si>
  <si>
    <t>FE022HG</t>
  </si>
  <si>
    <t>GT675ZH</t>
  </si>
  <si>
    <t>Servizio</t>
  </si>
  <si>
    <t>Linea</t>
  </si>
  <si>
    <t>n.
corsa</t>
  </si>
  <si>
    <t>ora part.</t>
  </si>
  <si>
    <t>ora arr.</t>
  </si>
  <si>
    <t>percorso</t>
  </si>
  <si>
    <t>frequenza</t>
  </si>
  <si>
    <t>Km corsa/servizio</t>
  </si>
  <si>
    <t>Posti autobus</t>
  </si>
  <si>
    <t>nr. Gg</t>
  </si>
  <si>
    <t>Tot km</t>
  </si>
  <si>
    <t>n°
riga</t>
  </si>
  <si>
    <t>Esito</t>
  </si>
  <si>
    <t>DITTA</t>
  </si>
  <si>
    <t>MEZZO TITOLARE</t>
  </si>
  <si>
    <t>posti mezzo titolare</t>
  </si>
  <si>
    <t>MEZZO DI RISERVA 1</t>
  </si>
  <si>
    <t>posti mezzo di riserva 1</t>
  </si>
  <si>
    <t>MEZZO DI RISERVA 2</t>
  </si>
  <si>
    <t>posti mezzo di riserva 2</t>
  </si>
  <si>
    <t>MEZZO DI SUPPORTO</t>
  </si>
  <si>
    <t>posti mezzo di supporto</t>
  </si>
  <si>
    <t>conferma servizi ditta</t>
  </si>
  <si>
    <t>frequenza CTA</t>
  </si>
  <si>
    <t>tariffa 2025/2026</t>
  </si>
  <si>
    <t>tariffa/km 2025/2026</t>
  </si>
  <si>
    <t>costo annuo</t>
  </si>
  <si>
    <t>nota gg (set-mag)</t>
  </si>
  <si>
    <t>SERVIZIO URBANO PERGINE VALSUGANA</t>
  </si>
  <si>
    <t>1</t>
  </si>
  <si>
    <t>487</t>
  </si>
  <si>
    <t>Madrano-Pergine</t>
  </si>
  <si>
    <t>invernale feriale dal lunedì al sabato</t>
  </si>
  <si>
    <t>invernale feriale lu-sa</t>
  </si>
  <si>
    <t>da PDF</t>
  </si>
  <si>
    <t>estiva feriale dal lunedì al sabato</t>
  </si>
  <si>
    <t>estiva feriale lu-sa</t>
  </si>
  <si>
    <t>422-399</t>
  </si>
  <si>
    <t>Pergine - Nogarè -Nogarè - Pergine</t>
  </si>
  <si>
    <t>estiva feriale dal lunedì al venerdì</t>
  </si>
  <si>
    <t>estiva feriale lu-ve</t>
  </si>
  <si>
    <t>420-401</t>
  </si>
  <si>
    <t>96-483</t>
  </si>
  <si>
    <t>scolastica dal lunedì al sabato</t>
  </si>
  <si>
    <t>sì</t>
  </si>
  <si>
    <t>scolastica lu-sa</t>
  </si>
  <si>
    <t>96</t>
  </si>
  <si>
    <t>Pergine-Nogarè</t>
  </si>
  <si>
    <t>estiva feriale dal lunedì al venerdì + invernale non scolastico dal lunedì al venerdì</t>
  </si>
  <si>
    <t>estiva feriale lu-ve + no scol lu-ve</t>
  </si>
  <si>
    <t>estiva feriale solo al sabato + invernale non scolastico solo al sabato</t>
  </si>
  <si>
    <t>estiva feriale sa + no scol sa</t>
  </si>
  <si>
    <t>97</t>
  </si>
  <si>
    <t>Nogarè -Pergine</t>
  </si>
  <si>
    <t>non scolastica feriale dal lunedì al sabato</t>
  </si>
  <si>
    <t>invernale feriale no scol lu-sa</t>
  </si>
  <si>
    <t>622</t>
  </si>
  <si>
    <t>Pergine-Canzolino</t>
  </si>
  <si>
    <t>scolastica dal lunedì al venerdì</t>
  </si>
  <si>
    <t>scolastica lu-ve</t>
  </si>
  <si>
    <t>ripartito: blocco PDF su righe sdoppiate (164 + differenza alla gemella)</t>
  </si>
  <si>
    <t>scolastica sabato</t>
  </si>
  <si>
    <t>11 BIS</t>
  </si>
  <si>
    <t>scolastica sa</t>
  </si>
  <si>
    <t>stimato dalla frequenza (riga sdoppiata per corsa)</t>
  </si>
  <si>
    <t>588-589</t>
  </si>
  <si>
    <t>invernale feriale dal lunedì al venerdì</t>
  </si>
  <si>
    <t>invernale feriale lu-ve</t>
  </si>
  <si>
    <t>480-485</t>
  </si>
  <si>
    <t>ripartito: blocco PDF su righe sdoppiate (182 + differenza alla gemella)</t>
  </si>
  <si>
    <t>2</t>
  </si>
  <si>
    <t>600</t>
  </si>
  <si>
    <t>Pergine-Canezza-Viarago-Serso-Canezza-Pergine</t>
  </si>
  <si>
    <t>602</t>
  </si>
  <si>
    <t>604</t>
  </si>
  <si>
    <t>3</t>
  </si>
  <si>
    <t>475</t>
  </si>
  <si>
    <t>Zava-Pergine</t>
  </si>
  <si>
    <t>452</t>
  </si>
  <si>
    <t>Marie Curie - Pergine - Assizzi-Masetti - Zava</t>
  </si>
  <si>
    <t>Pergine - Assizzi-Masetti - Zava</t>
  </si>
  <si>
    <t>4</t>
  </si>
  <si>
    <t>498-505</t>
  </si>
  <si>
    <t>Pergine-Ischia-Ischia-Pergine</t>
  </si>
  <si>
    <t>502-509</t>
  </si>
  <si>
    <t>feriale dal lunedì al sabato</t>
  </si>
  <si>
    <t>annuale feriale lu-sa</t>
  </si>
  <si>
    <t>270</t>
  </si>
  <si>
    <t>Pergine via S.Pietro-Intermodale-Ischia</t>
  </si>
  <si>
    <t>504-511</t>
  </si>
  <si>
    <t>Ischia - Tenna-Tenna - Ischia</t>
  </si>
  <si>
    <t>5</t>
  </si>
  <si>
    <t>479</t>
  </si>
  <si>
    <t>Masi (Valcanover) - S. Caterina-San Cristoforo</t>
  </si>
  <si>
    <t>215</t>
  </si>
  <si>
    <t>Maso Gretter - S.Vito - Susà-Pergine</t>
  </si>
  <si>
    <t>SERVIZIO URBANO PERGINE VALSUGANA extracapitolato</t>
  </si>
  <si>
    <t>S.Vito-Susà-Pergine</t>
  </si>
  <si>
    <t>459</t>
  </si>
  <si>
    <t>Masi - S. Caterina- Pergine</t>
  </si>
  <si>
    <t>521</t>
  </si>
  <si>
    <t>Canale -Pergine (diretta)</t>
  </si>
  <si>
    <t>Canale - Susà- Pergine</t>
  </si>
  <si>
    <t>estiva feriale dal lunedì al sabato + invernale non scolastico dal lunedì al sabato</t>
  </si>
  <si>
    <t>estiva feriale lu-sa + no scol lu-sa</t>
  </si>
  <si>
    <t>da PDF (testo frequenza troncato nel PDF)</t>
  </si>
  <si>
    <t>Susà- Pergine</t>
  </si>
  <si>
    <t>461</t>
  </si>
  <si>
    <t>S. Caterina-Pergine</t>
  </si>
  <si>
    <t>520-523</t>
  </si>
  <si>
    <t>Pergine - Susà - Canale-Canale - Pergine</t>
  </si>
  <si>
    <t>607</t>
  </si>
  <si>
    <t>S.Vito-S.Caterina-Pergine</t>
  </si>
  <si>
    <t>feriale solo al martedì e al sabato</t>
  </si>
  <si>
    <t>annuale feriale ma, sa</t>
  </si>
  <si>
    <t>S.Vito-Pergine</t>
  </si>
  <si>
    <t>invernale solo al lunedì e al giovedì feriale</t>
  </si>
  <si>
    <t>invernale feriale lu, gio</t>
  </si>
  <si>
    <t>524-539</t>
  </si>
  <si>
    <t>Pergine - S.Caterina-S.Caterina - Pergine</t>
  </si>
  <si>
    <t>feriale dal lunedì al venerdì</t>
  </si>
  <si>
    <t>annuale feriale lu-ve</t>
  </si>
  <si>
    <t>feriale solo al sabato</t>
  </si>
  <si>
    <t>annuale feriale sa</t>
  </si>
  <si>
    <t>606</t>
  </si>
  <si>
    <t>Pergine - Susà - Canale-S.Caterina-S.Vito</t>
  </si>
  <si>
    <t>Pergine-Susà-S.Vito</t>
  </si>
  <si>
    <t>624</t>
  </si>
  <si>
    <t>Pergine - Susà - Canale-S.Caterina</t>
  </si>
  <si>
    <t>628</t>
  </si>
  <si>
    <t>Pergine via S.Pietro-Susà-via Angi-Canale</t>
  </si>
  <si>
    <t>Pergine via S.Pietro-Canale (c.sa bis) diretta</t>
  </si>
  <si>
    <t>444</t>
  </si>
  <si>
    <t>Pergine-MASI DI MEZZO - S. Caterina</t>
  </si>
  <si>
    <t>236</t>
  </si>
  <si>
    <t>Pergine-S.Vito - Maso Gretter</t>
  </si>
  <si>
    <t>541</t>
  </si>
  <si>
    <t>S. Caterina - Canale - Susà-Pergine</t>
  </si>
  <si>
    <t>ripartito: blocco invernale lu-ve 182 = 164 scol + 18 non scol</t>
  </si>
  <si>
    <t>non scolastica dal lunedì al venerdì</t>
  </si>
  <si>
    <t>52 BIS</t>
  </si>
  <si>
    <t>invernale feriale no scol lu-ve</t>
  </si>
  <si>
    <t>235</t>
  </si>
  <si>
    <t>S. Vito-Pergine</t>
  </si>
  <si>
    <t>Canale - Susà-Pergine</t>
  </si>
  <si>
    <t>644</t>
  </si>
  <si>
    <t>Pergine v.S.Pietro-Pergine Intermodale-Susà-Canale</t>
  </si>
  <si>
    <t>528-545</t>
  </si>
  <si>
    <t>Pergine - Valcanover-Valcanover - Pergine</t>
  </si>
  <si>
    <t>238</t>
  </si>
  <si>
    <t>Pergine-S.Vito</t>
  </si>
  <si>
    <t>6</t>
  </si>
  <si>
    <t>201</t>
  </si>
  <si>
    <t>Roncogno-Pergine</t>
  </si>
  <si>
    <t>491</t>
  </si>
  <si>
    <t>RONCOGNO - Costasavina-Pergine</t>
  </si>
  <si>
    <t>291</t>
  </si>
  <si>
    <t>Fornaci di Roncogno-Pergine Rodari/Garbari (c.sa bis)</t>
  </si>
  <si>
    <t>492-203</t>
  </si>
  <si>
    <t>Pergine - Roncogno-Roncogno - Pergine</t>
  </si>
  <si>
    <t>244-247</t>
  </si>
  <si>
    <t>Pergine V. S.Pietro - Centro Intermodale - Costasavina - Roncogno -Roncogno - Centro Intermodale</t>
  </si>
  <si>
    <t>496-501</t>
  </si>
  <si>
    <t>Pergine - Costasavina - Roncogno-Roncogno - Pergine</t>
  </si>
  <si>
    <t>8</t>
  </si>
  <si>
    <t>549-550-551</t>
  </si>
  <si>
    <t>8.10 Pergine-Osp.Villa Rosa-Pergine 8.40 Pergine-Osp.Villa Rosa-Pergine 9.10 Pergine-Osp.Villa Rosa-Pergine</t>
  </si>
  <si>
    <t>549-551</t>
  </si>
  <si>
    <t>8.17 Osp.Villa Rosa-Zivignago e rit. 9.17 Osp.Villa Rosa-Zivignago e rit.</t>
  </si>
  <si>
    <t>552-553-554-556-557</t>
  </si>
  <si>
    <t>9.45 Pergine-Osp.Villa Rosa-Pergine 10.10 Pergine-Osp.Villa Rosa-Pergine 10.40 Pergine-Osp.Villa Rosa-Pergine 11.10 Pergine-Osp.Villa Rosa-Pergine 12.10 Pergine-Osp.Villa Rosa-Pergine</t>
  </si>
  <si>
    <t>11.40 Pergine-Osp.Villa Rosa-Pergine</t>
  </si>
  <si>
    <t>invernale feriale sabato</t>
  </si>
  <si>
    <t>66 BIS</t>
  </si>
  <si>
    <t>invernale feriale sa</t>
  </si>
  <si>
    <t>derivato: blocco inv. lun-sab 218 = 182 lu-ve + 36 sab</t>
  </si>
  <si>
    <t>66 TRIS</t>
  </si>
  <si>
    <t>553-555-557</t>
  </si>
  <si>
    <t>10.17 Osp.Villa Rosa-Zivignago e rit. 11.17 Osp.Villa Rosa-Zivignago e rit. 12.17 Osp.Villa Rosa-Zivignago e rit.</t>
  </si>
  <si>
    <t>558</t>
  </si>
  <si>
    <t>12.40 Pergine-Osp.Villa Rosa-Pergine</t>
  </si>
  <si>
    <t>564</t>
  </si>
  <si>
    <t>16.40 Pergine-Osp.Villa Rosa-Pergine</t>
  </si>
  <si>
    <t>559-560-561-565</t>
  </si>
  <si>
    <t>13.10 Pergine-Osp.Villa Rosa-Pergine 14.40 Pergine-Osp.Villa Rosa-Pergine 15.10 Pergine-Osp.Villa Rosa-Pergine 17.10 Pergine-Osp.Villa Rosa-Pergine</t>
  </si>
  <si>
    <t>16.10 Pergine-Osp.Villa Rosa-Pergine</t>
  </si>
  <si>
    <t>70 BIS</t>
  </si>
  <si>
    <t>70 TRIS</t>
  </si>
  <si>
    <t>560-565</t>
  </si>
  <si>
    <t>14.47 Osp.Villa Rosa-Zivignago e rit. 17.17 Osp.Villa Rosa-Zivignago e rit.</t>
  </si>
  <si>
    <t>16.17 Osp.Villa Rosa-Zivignago e rit.</t>
  </si>
  <si>
    <t>71 BIS</t>
  </si>
  <si>
    <t>71 TRIS</t>
  </si>
  <si>
    <t>Pergine-S.Vito (corsa bis)</t>
  </si>
  <si>
    <t>170</t>
  </si>
  <si>
    <t>S. Vito-Pergine (corsa bis)</t>
  </si>
  <si>
    <t>S.Vito-Susà-Pergine (corsa bis)</t>
  </si>
  <si>
    <t>TOTALE KM</t>
  </si>
  <si>
    <t>SERVIZIO ALTO GARDA (COMUNE DI ARCO)</t>
  </si>
  <si>
    <t>869</t>
  </si>
  <si>
    <t>533</t>
  </si>
  <si>
    <t>Campi-Riva del Garda</t>
  </si>
  <si>
    <t>Campi-Riva v.le Martiri</t>
  </si>
  <si>
    <t>555</t>
  </si>
  <si>
    <t>557</t>
  </si>
  <si>
    <t>554</t>
  </si>
  <si>
    <t>Riva v.le Martiri-Campi</t>
  </si>
  <si>
    <t>556</t>
  </si>
  <si>
    <t>560</t>
  </si>
  <si>
    <t>Riva d.G-Campi</t>
  </si>
  <si>
    <t>863</t>
  </si>
  <si>
    <t>803</t>
  </si>
  <si>
    <t>Riva d.G.-Arco</t>
  </si>
  <si>
    <t>862</t>
  </si>
  <si>
    <t>501</t>
  </si>
  <si>
    <t>Varone Sega-Riva del Garda</t>
  </si>
  <si>
    <t>T.M. L.1 - Linea L1 - LAVIS</t>
  </si>
  <si>
    <t>10</t>
  </si>
  <si>
    <t>L01101 n5</t>
  </si>
  <si>
    <t>SORNI bivio - SORNI</t>
  </si>
  <si>
    <t>Non scolastica da Lunedì a Venerdì (estate + invernale)</t>
  </si>
  <si>
    <t>da PDF (ordine posizionale)</t>
  </si>
  <si>
    <t>20</t>
  </si>
  <si>
    <t>L01151 n5</t>
  </si>
  <si>
    <t>SORNI - LAVIS via Nazionale</t>
  </si>
  <si>
    <t>30</t>
  </si>
  <si>
    <t>L01102</t>
  </si>
  <si>
    <t>LAVIS via Nazionale - SORNI</t>
  </si>
  <si>
    <t>40</t>
  </si>
  <si>
    <t>L01152</t>
  </si>
  <si>
    <t>50</t>
  </si>
  <si>
    <t>L01103</t>
  </si>
  <si>
    <t>60</t>
  </si>
  <si>
    <t>L01153</t>
  </si>
  <si>
    <t>70</t>
  </si>
  <si>
    <t>L01104</t>
  </si>
  <si>
    <t>80</t>
  </si>
  <si>
    <t>L01154</t>
  </si>
  <si>
    <t>90</t>
  </si>
  <si>
    <t>L01105</t>
  </si>
  <si>
    <t>100</t>
  </si>
  <si>
    <t>L01155</t>
  </si>
  <si>
    <t>110</t>
  </si>
  <si>
    <t>L01106 n5</t>
  </si>
  <si>
    <t>120</t>
  </si>
  <si>
    <t>L01156 n5</t>
  </si>
  <si>
    <t>130</t>
  </si>
  <si>
    <t>L01107 LV</t>
  </si>
  <si>
    <t>140</t>
  </si>
  <si>
    <t>L01157 LV</t>
  </si>
  <si>
    <t>150</t>
  </si>
  <si>
    <t>L01108</t>
  </si>
  <si>
    <t>LAVIS via Nazionale - PRESSANO Piazza</t>
  </si>
  <si>
    <t>160</t>
  </si>
  <si>
    <t>L01158</t>
  </si>
  <si>
    <t>PRESSANO Piazza - LAVIS via Nazionale</t>
  </si>
  <si>
    <t>L01109 LV</t>
  </si>
  <si>
    <t>180</t>
  </si>
  <si>
    <t>L01159 LV</t>
  </si>
  <si>
    <t>190</t>
  </si>
  <si>
    <t>L01110</t>
  </si>
  <si>
    <t>200</t>
  </si>
  <si>
    <t>L01160</t>
  </si>
  <si>
    <t>210</t>
  </si>
  <si>
    <t>L01111</t>
  </si>
  <si>
    <t>220</t>
  </si>
  <si>
    <t>L01161</t>
  </si>
  <si>
    <t>T.M. L.2 - Linee L3 e L4 LAVIS</t>
  </si>
  <si>
    <t>L041v2</t>
  </si>
  <si>
    <t>LAVIS piazza Caduti. - LAVIS piazza Caduti</t>
  </si>
  <si>
    <t>Non scolastica da Lunedì a Venerdì solo estiva</t>
  </si>
  <si>
    <t>L04101 LV</t>
  </si>
  <si>
    <t>LAVIS piazza caduti - LAVIS via Nazionale</t>
  </si>
  <si>
    <t>LAVIS via Nazionale - LAVIS via Nazionale</t>
  </si>
  <si>
    <t>Non scolastica da Lunedì a Venerdì solo invernale</t>
  </si>
  <si>
    <t>L03101 LV</t>
  </si>
  <si>
    <t>LAVIS via Nazionale - LAVIS "Stazione FS"</t>
  </si>
  <si>
    <t>L03151 LV</t>
  </si>
  <si>
    <t>LAVIS "Stazione FS" - LAVIS via Nazionale</t>
  </si>
  <si>
    <t>L03102 LV</t>
  </si>
  <si>
    <t>L03152 LV</t>
  </si>
  <si>
    <t>L04102 LV</t>
  </si>
  <si>
    <t>L03103 LV</t>
  </si>
  <si>
    <t>L03153 LV</t>
  </si>
  <si>
    <t>L04103 LV</t>
  </si>
  <si>
    <t>L04104 LV</t>
  </si>
  <si>
    <t>L03104 LV</t>
  </si>
  <si>
    <t>L03154 LV</t>
  </si>
  <si>
    <t>Non scolastica solo il Sabato (estate + invernale)</t>
  </si>
  <si>
    <t>L01106 SA</t>
  </si>
  <si>
    <t>L01156 SA</t>
  </si>
  <si>
    <t>T.M. L.1 - Linee L1 e L2 LAVIS</t>
  </si>
  <si>
    <t>L01151 s6</t>
  </si>
  <si>
    <t>/S colastica da Lunedì a Venerdì</t>
  </si>
  <si>
    <t>L02103 s5</t>
  </si>
  <si>
    <t>L02153 s5</t>
  </si>
  <si>
    <t>T.M. L.2 - Linee L2 e L3 e L4 LA</t>
  </si>
  <si>
    <t>L02151 s6</t>
  </si>
  <si>
    <t>VSIcSolastica da Lunedì a Venerdì</t>
  </si>
  <si>
    <t>L02102 s5</t>
  </si>
  <si>
    <t>L02152 s5</t>
  </si>
  <si>
    <t>T.M. L.1 - Linea L1 LAVIS</t>
  </si>
  <si>
    <t>Scolastica solo il Sabato</t>
  </si>
  <si>
    <t>T.M. L.2 - Linea L2 LAVIS</t>
  </si>
  <si>
    <t>Servizi Comunità Valle di Cembra</t>
  </si>
  <si>
    <t>VALLE DI CEMBRA</t>
  </si>
  <si>
    <t>107</t>
  </si>
  <si>
    <t>Piscine-Sover-Valcava bivio-Gaggio/Gresta bivio- Scancio di Segonzano-Piazzo di Segonzano bivio- Sevignano-Lona-Sevignano-Piazzo di Segonzano bivio- Piazzo di Segonzano-Faver bivio-Fadana-Cembra- Lisignago RSA-Lisignago-Ceola-Verla-Mosana-Lavis</t>
  </si>
  <si>
    <t>108</t>
  </si>
  <si>
    <t>Lavis-Mosana-Verla-Ceola-Lisignago-Lisignago RSA- Cembra-Fadana-Faver bivio-Faver-Valda-Grumes- Grauno</t>
  </si>
  <si>
    <t>109</t>
  </si>
  <si>
    <t>Grauno-Grumes-Valda-Faver-Faver bivio-Fadana- Cembra-Lisignago RSA-Lisignago-Ceola-Verla-Mosana- Lavis</t>
  </si>
  <si>
    <t>106</t>
  </si>
  <si>
    <t>Lisignago RSA-Cembra-Fadana-Faver bivio-Piazzo di Segonzano-Piazzo di Segonzano bivio-Sevignano-Lona- Lases-Albiano via roma -Albiano</t>
  </si>
  <si>
    <t>Piscine-Sover-Valcava bivio-Gaggio/Gresta bivio- Scancio di Segonzano-Piazzo di Segonzano bivio- Sevignano-Lona-Lases-Albiano Via Roma-Albiano- Lases-Lona-Sevignano-Piazzo di Segonzano bivio- Piazzo di Segonzano-Faver bivio-Fadana-Cembra- Lisignago RSA</t>
  </si>
  <si>
    <t>Lisigignago RSA-Lisignago-Ceola-Verla-Mosana-Lavis</t>
  </si>
  <si>
    <t>Cembra-Fadana-Faver bivio-Piazzo di Segonzano- Piazzo di Segonzano bivio-Segonzano</t>
  </si>
  <si>
    <t>Lisignago RSA-Cembra-Fadana-Faver bivio-Piazzo di Segonzano-Piazzo di Segonzano bivio-Segonzano- Sevignano-Lona-Lases-Albiano via Roma-Albiano</t>
  </si>
  <si>
    <t>SERVIZIO ALBIANO LONA LASES</t>
  </si>
  <si>
    <t>LONA - ALBIANO - GAZZADINA</t>
  </si>
  <si>
    <t>Gazzadina-Gazzadina Via del Porfido 61-Albiano Via S. Antonio-Albiano P.zza Degasperi-Albiano Via Roma-Lases-Lona fermata bus-Lona Parcheggio</t>
  </si>
  <si>
    <t>FZ194KS (Fersina Tour)</t>
  </si>
  <si>
    <t>GG115WS (Giulia sas)</t>
  </si>
  <si>
    <t>Lona Parcheggio-Lona fermata Bus-Lases-Albiano Via Roma-Albiano Piazza Degasperi-Albiano (Via S. Antonio) - Gazzadina Via del Porfido 61 - Gazzadina</t>
  </si>
  <si>
    <t>Gazzadina-Gazzadina Via del Porfido 61-Albiano Via S. Antonio-Albiano P.zza Degasperi-Albiano Via Roma</t>
  </si>
  <si>
    <t>Albiano Via Roma-Albiano Piazza Degasperi-Albiano (Via S. Antonio) - Gazzadina Via del Porfido 61 - Gazzadina</t>
  </si>
  <si>
    <t>scolastica dal lunedì al giovedì</t>
  </si>
  <si>
    <t>scolastica lu, ma, me, gio</t>
  </si>
  <si>
    <t>feriale solo al venerdì</t>
  </si>
  <si>
    <t>annuale feriale ve</t>
  </si>
  <si>
    <t>estiva feriale dal lunedì al giovedì + invernale non scolastico dal lunedì al giovedì</t>
  </si>
  <si>
    <t>estiva feriale lu, ma, me, gio + no scol lu, ma, me, gio</t>
  </si>
  <si>
    <t>Lona Parcheggio-Lona fermata Bus-Lases-Albiano Via Roma-Albiano Piazza Degasperi-</t>
  </si>
  <si>
    <t>SERVIZIO A CHIAMATA PROLUNGAMENTO BARCO DI SOTTO TRATTA GAZZADINA - BARCO DI SOTTO - ALBIANO</t>
  </si>
  <si>
    <t>SERVIZIO A CHIAMATA PROLUNGAMENTO PIAZZOLE</t>
  </si>
  <si>
    <t>nota gg (giu-ago)</t>
  </si>
  <si>
    <t>TOTALE</t>
  </si>
  <si>
    <t>sett-magg</t>
  </si>
  <si>
    <t>giu-ago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</si>
</sst>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* #,##0.00&quot; €&quot;_-;\-* #,##0.00&quot; €&quot;_-;_-* \-??&quot; €&quot;_-;_-@_-"/>
    <numFmt numFmtId="165" formatCode="m/d/yyyy"/>
    <numFmt numFmtId="166" formatCode="_(\$* #,##0.00_);_(\$* \(#,##0.00\);_(\$* \-??_);_(@_)"/>
    <numFmt numFmtId="167" formatCode="_-* #,##0.00\ _€_-;\-* #,##0.00\ _€_-;_-* &quot;-&quot;??\ _€_-;_-@_-"/>
    <numFmt numFmtId="169" formatCode="_-* #,##0.00_-;\-* #,##0.00_-;_-* \-??_-;_-@_-"/>
    <numFmt numFmtId="170" formatCode="_-* #,##0.00\ _€_-;\-* #,##0.00\ _€_-;_-* \-??\ _€_-;_-@_-"/>
    <numFmt numFmtId="172" formatCode="#,##0.00\ &quot;€&quot;"/>
    <numFmt numFmtId="173" formatCode="_-* #,##0.00\ [$€-410]_-;\-* #,##0.00\ [$€-410]_-;_-* &quot;-&quot;??\ [$€-410]_-;_-@_-"/>
  </numFmts>
  <fonts count="17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9"/>
      <name val="Arial"/>
      <family val="2"/>
      <charset val="1"/>
    </font>
    <font>
      <b/>
      <sz val="11"/>
      <name val="Calibri"/>
      <family val="2"/>
      <charset val="1"/>
    </font>
    <font>
      <b/>
      <sz val="9"/>
      <name val="Cambria"/>
      <family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sz val="9"/>
      <name val="Arial"/>
      <family val="2"/>
      <charset val="1"/>
    </font>
    <font>
      <sz val="8"/>
      <name val="Cambria"/>
      <family val="1"/>
    </font>
    <font>
      <b/>
      <sz val="11"/>
      <color theme="1"/>
      <name val="Calibri"/>
      <family val="2"/>
      <charset val="1"/>
    </font>
    <font>
      <b/>
      <sz val="8"/>
      <name val="Arial"/>
      <family val="2"/>
      <charset val="1"/>
    </font>
    <font>
      <sz val="8"/>
      <color theme="1"/>
      <name val="Calibri"/>
      <family val="2"/>
      <charset val="1"/>
    </font>
    <font>
      <b/>
      <sz val="11"/>
      <name val="Calibri"/>
      <family val="2"/>
    </font>
    <font>
      <sz val="11"/>
      <name val="Arial"/>
      <family val="2"/>
      <charset val="1"/>
    </font>
    <font>
      <sz val="11"/>
      <color theme="1"/>
      <name val="Calibri"/>
      <family val="2"/>
      <charset val="1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D9E2F3"/>
        <bgColor rgb="FFD9E1F2"/>
      </patternFill>
    </fill>
    <fill>
      <patternFill patternType="solid">
        <fgColor rgb="FFBDD7EE"/>
        <bgColor rgb="FFD9E1F2"/>
      </patternFill>
    </fill>
    <fill>
      <patternFill patternType="solid">
        <fgColor theme="6" tint="0.79979857783745845"/>
        <bgColor rgb="FFFDEADA"/>
      </patternFill>
    </fill>
    <fill>
      <patternFill patternType="solid">
        <fgColor theme="7" tint="0.79979857783745845"/>
        <bgColor rgb="FFD9E1F2"/>
      </patternFill>
    </fill>
    <fill>
      <patternFill patternType="solid">
        <fgColor theme="9" tint="0.79979857783745845"/>
        <bgColor rgb="FFEBF1DE"/>
      </patternFill>
    </fill>
    <fill>
      <patternFill patternType="solid">
        <fgColor rgb="FFDDEBF7"/>
        <bgColor rgb="FFD9E2F3"/>
      </patternFill>
    </fill>
    <fill>
      <patternFill patternType="solid">
        <fgColor rgb="FFD9E1F2"/>
        <bgColor rgb="FFD9E2F3"/>
      </patternFill>
    </fill>
    <fill>
      <patternFill patternType="solid">
        <fgColor theme="5" tint="0.79989013336588644"/>
        <bgColor rgb="FFE6E0E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E2F3"/>
      </patternFill>
    </fill>
  </fills>
  <borders count="8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/>
    <xf numFmtId="166" fontId="14" fillId="0" borderId="0"/>
  </cellStyleXfs>
  <cellXfs count="7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164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center" wrapText="1"/>
    </xf>
    <xf numFmtId="0" fontId="3" fillId="0" borderId="0" xfId="0" applyFont="1" applyAlignment="1">
      <alignment vertical="center" wrapText="1"/>
    </xf>
    <xf numFmtId="164" fontId="3" fillId="0" borderId="0" xfId="0" applyNumberFormat="1" applyFont="1" applyAlignment="1">
      <alignment vertical="center" wrapText="1"/>
    </xf>
    <xf numFmtId="0" fontId="2" fillId="4" borderId="0" xfId="0" applyFont="1" applyFill="1" applyAlignment="1">
      <alignment horizontal="center" vertical="center" wrapText="1"/>
    </xf>
    <xf numFmtId="0" fontId="4" fillId="0" borderId="0" xfId="0" applyFont="1"/>
    <xf numFmtId="0" fontId="5" fillId="0" borderId="3" xfId="0" applyFont="1" applyBorder="1" applyAlignment="1">
      <alignment vertical="top" wrapText="1"/>
    </xf>
    <xf numFmtId="20" fontId="5" fillId="0" borderId="3" xfId="0" applyNumberFormat="1" applyFont="1" applyBorder="1" applyAlignment="1">
      <alignment horizontal="center" vertical="top"/>
    </xf>
    <xf numFmtId="4" fontId="5" fillId="0" borderId="3" xfId="0" applyNumberFormat="1" applyFont="1" applyBorder="1" applyAlignment="1">
      <alignment vertical="top" wrapText="1"/>
    </xf>
    <xf numFmtId="1" fontId="5" fillId="0" borderId="3" xfId="0" applyNumberFormat="1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5" fillId="0" borderId="0" xfId="0" applyFont="1" applyAlignment="1">
      <alignment wrapText="1"/>
    </xf>
    <xf numFmtId="0" fontId="0" fillId="0" borderId="0" xfId="0" applyAlignment="1">
      <alignment horizontal="center"/>
    </xf>
    <xf numFmtId="164" fontId="7" fillId="0" borderId="0" xfId="0" applyNumberFormat="1" applyFont="1" applyAlignment="1">
      <alignment wrapText="1"/>
    </xf>
    <xf numFmtId="0" fontId="8" fillId="0" borderId="0" xfId="0" applyFont="1"/>
    <xf numFmtId="0" fontId="5" fillId="5" borderId="3" xfId="0" applyFont="1" applyFill="1" applyBorder="1" applyAlignment="1">
      <alignment vertical="top" wrapText="1"/>
    </xf>
    <xf numFmtId="1" fontId="5" fillId="5" borderId="3" xfId="0" applyNumberFormat="1" applyFont="1" applyFill="1" applyBorder="1" applyAlignment="1">
      <alignment vertical="top" wrapText="1"/>
    </xf>
    <xf numFmtId="0" fontId="5" fillId="6" borderId="3" xfId="0" applyFont="1" applyFill="1" applyBorder="1" applyAlignment="1">
      <alignment vertical="top" wrapText="1"/>
    </xf>
    <xf numFmtId="4" fontId="5" fillId="5" borderId="3" xfId="0" applyNumberFormat="1" applyFont="1" applyFill="1" applyBorder="1" applyAlignment="1">
      <alignment vertical="top" wrapText="1"/>
    </xf>
    <xf numFmtId="0" fontId="6" fillId="7" borderId="3" xfId="0" applyFont="1" applyFill="1" applyBorder="1"/>
    <xf numFmtId="20" fontId="6" fillId="7" borderId="3" xfId="0" applyNumberFormat="1" applyFont="1" applyFill="1" applyBorder="1" applyAlignment="1">
      <alignment horizontal="center" vertical="top"/>
    </xf>
    <xf numFmtId="4" fontId="6" fillId="7" borderId="3" xfId="0" applyNumberFormat="1" applyFont="1" applyFill="1" applyBorder="1"/>
    <xf numFmtId="1" fontId="6" fillId="7" borderId="3" xfId="0" applyNumberFormat="1" applyFont="1" applyFill="1" applyBorder="1"/>
    <xf numFmtId="164" fontId="9" fillId="0" borderId="0" xfId="0" applyNumberFormat="1" applyFont="1"/>
    <xf numFmtId="0" fontId="6" fillId="0" borderId="0" xfId="0" applyFont="1" applyAlignment="1">
      <alignment vertical="top" wrapText="1"/>
    </xf>
    <xf numFmtId="20" fontId="6" fillId="7" borderId="5" xfId="0" applyNumberFormat="1" applyFont="1" applyFill="1" applyBorder="1" applyAlignment="1">
      <alignment horizontal="center" vertical="top"/>
    </xf>
    <xf numFmtId="0" fontId="2" fillId="3" borderId="6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left" vertical="center" wrapText="1"/>
    </xf>
    <xf numFmtId="165" fontId="0" fillId="0" borderId="0" xfId="0" applyNumberFormat="1"/>
    <xf numFmtId="0" fontId="10" fillId="8" borderId="7" xfId="0" applyFont="1" applyFill="1" applyBorder="1" applyAlignment="1">
      <alignment horizontal="center" vertical="top"/>
    </xf>
    <xf numFmtId="165" fontId="10" fillId="8" borderId="7" xfId="0" applyNumberFormat="1" applyFont="1" applyFill="1" applyBorder="1" applyAlignment="1">
      <alignment horizontal="center" vertical="top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center" wrapText="1"/>
    </xf>
    <xf numFmtId="0" fontId="13" fillId="0" borderId="7" xfId="0" applyFont="1" applyBorder="1"/>
    <xf numFmtId="165" fontId="13" fillId="0" borderId="7" xfId="0" applyNumberFormat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9" fillId="0" borderId="0" xfId="0" applyFont="1"/>
    <xf numFmtId="0" fontId="0" fillId="9" borderId="0" xfId="0" applyFill="1"/>
    <xf numFmtId="0" fontId="0" fillId="10" borderId="0" xfId="0" applyFill="1"/>
    <xf numFmtId="4" fontId="15" fillId="0" borderId="3" xfId="0" applyNumberFormat="1" applyFont="1" applyBorder="1" applyAlignment="1">
      <alignment vertical="top" wrapText="1"/>
    </xf>
    <xf numFmtId="0" fontId="2" fillId="11" borderId="0" xfId="0" applyFont="1" applyFill="1"/>
    <xf numFmtId="169" fontId="2" fillId="11" borderId="0" xfId="1" applyNumberFormat="1" applyFont="1" applyFill="1"/>
    <xf numFmtId="0" fontId="9" fillId="11" borderId="0" xfId="0" applyFont="1" applyFill="1"/>
    <xf numFmtId="169" fontId="9" fillId="0" borderId="0" xfId="1" applyNumberFormat="1" applyFont="1"/>
    <xf numFmtId="170" fontId="9" fillId="0" borderId="0" xfId="0" applyNumberFormat="1" applyFont="1"/>
    <xf numFmtId="43" fontId="1" fillId="0" borderId="0" xfId="1"/>
    <xf numFmtId="167" fontId="0" fillId="0" borderId="0" xfId="0" applyNumberFormat="1"/>
    <xf numFmtId="172" fontId="14" fillId="0" borderId="0" xfId="2" applyNumberFormat="1"/>
    <xf numFmtId="172" fontId="16" fillId="0" borderId="0" xfId="2" applyNumberFormat="1" applyFont="1"/>
    <xf numFmtId="0" fontId="6" fillId="12" borderId="3" xfId="0" applyFont="1" applyFill="1" applyBorder="1"/>
    <xf numFmtId="20" fontId="6" fillId="12" borderId="3" xfId="0" applyNumberFormat="1" applyFont="1" applyFill="1" applyBorder="1" applyAlignment="1">
      <alignment horizontal="center" vertical="top"/>
    </xf>
    <xf numFmtId="4" fontId="6" fillId="12" borderId="3" xfId="0" applyNumberFormat="1" applyFont="1" applyFill="1" applyBorder="1"/>
    <xf numFmtId="1" fontId="6" fillId="12" borderId="3" xfId="0" applyNumberFormat="1" applyFont="1" applyFill="1" applyBorder="1"/>
    <xf numFmtId="0" fontId="0" fillId="11" borderId="0" xfId="0" applyFill="1"/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horizontal="center"/>
    </xf>
    <xf numFmtId="0" fontId="0" fillId="11" borderId="0" xfId="0" applyFill="1" applyAlignment="1">
      <alignment wrapText="1"/>
    </xf>
    <xf numFmtId="164" fontId="9" fillId="11" borderId="0" xfId="0" applyNumberFormat="1" applyFont="1" applyFill="1"/>
    <xf numFmtId="4" fontId="16" fillId="0" borderId="0" xfId="0" applyNumberFormat="1" applyFont="1"/>
    <xf numFmtId="4" fontId="15" fillId="11" borderId="3" xfId="0" applyNumberFormat="1" applyFont="1" applyFill="1" applyBorder="1" applyAlignment="1">
      <alignment vertical="top" wrapText="1"/>
    </xf>
    <xf numFmtId="164" fontId="0" fillId="11" borderId="0" xfId="0" applyNumberFormat="1" applyFill="1"/>
    <xf numFmtId="0" fontId="16" fillId="0" borderId="0" xfId="0" applyFont="1"/>
    <xf numFmtId="20" fontId="6" fillId="12" borderId="5" xfId="0" applyNumberFormat="1" applyFont="1" applyFill="1" applyBorder="1" applyAlignment="1">
      <alignment horizontal="center" vertical="top"/>
    </xf>
    <xf numFmtId="173" fontId="14" fillId="0" borderId="0" xfId="2" applyNumberFormat="1"/>
    <xf numFmtId="173" fontId="16" fillId="0" borderId="0" xfId="2" applyNumberFormat="1" applyFont="1"/>
  </cellXfs>
  <cellStyles count="3">
    <cellStyle name="Migliaia" xfId="1" builtinId="3"/>
    <cellStyle name="Normale" xfId="0" builtinId="0"/>
    <cellStyle name="Valuta" xfId="2" builtinId="4"/>
  </cellStyles>
  <dxfs count="0"/>
  <tableStyles count="0" defaultTableStyle="TableStyleMedium2" defaultPivotStyle="PivotStyleLight16"/>
  <colors>
    <indexedColors>
      <rgbColor rgb="FF000000"/>
      <rgbColor rgb="FFFDEAD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EBF1DE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D9E1F2"/>
      <rgbColor rgb="FFE6E0EC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0"/>
  <sheetViews>
    <sheetView topLeftCell="C1" zoomScaleNormal="100" workbookViewId="0">
      <pane ySplit="1" topLeftCell="A83" activePane="bottomLeft" state="frozen"/>
      <selection pane="bottomLeft" activeCell="K86" sqref="K86:M98"/>
    </sheetView>
  </sheetViews>
  <sheetFormatPr defaultColWidth="8.7109375" defaultRowHeight="15" x14ac:dyDescent="0.25"/>
  <cols>
    <col min="1" max="1" width="13.85546875" customWidth="1"/>
    <col min="2" max="2" width="6" customWidth="1"/>
    <col min="3" max="4" width="8.42578125" customWidth="1"/>
    <col min="5" max="5" width="6.7109375" customWidth="1"/>
    <col min="6" max="6" width="25.28515625" customWidth="1"/>
    <col min="7" max="7" width="19" customWidth="1"/>
    <col min="8" max="8" width="10" customWidth="1"/>
    <col min="9" max="10" width="8" customWidth="1"/>
    <col min="11" max="11" width="13.28515625" customWidth="1"/>
    <col min="12" max="12" width="5.28515625" customWidth="1"/>
    <col min="13" max="13" width="3.5703125" customWidth="1"/>
    <col min="14" max="14" width="14.28515625" style="1" customWidth="1"/>
    <col min="16" max="16" width="5.85546875" customWidth="1"/>
    <col min="18" max="18" width="6.7109375" customWidth="1"/>
    <col min="19" max="19" width="11.85546875" customWidth="1"/>
    <col min="20" max="20" width="7.140625" customWidth="1"/>
    <col min="21" max="21" width="5.5703125" hidden="1" customWidth="1"/>
    <col min="22" max="22" width="5.28515625" hidden="1" customWidth="1"/>
    <col min="23" max="23" width="7.5703125" customWidth="1"/>
    <col min="24" max="24" width="20.42578125" style="2" customWidth="1"/>
    <col min="25" max="25" width="12.140625" customWidth="1"/>
    <col min="26" max="26" width="11.42578125" style="3" customWidth="1"/>
    <col min="27" max="27" width="15.42578125" customWidth="1"/>
    <col min="28" max="28" width="30" customWidth="1"/>
  </cols>
  <sheetData>
    <row r="1" spans="1:28" ht="60.75" customHeight="1" x14ac:dyDescent="0.25">
      <c r="A1" s="4" t="s">
        <v>86</v>
      </c>
      <c r="B1" s="4" t="s">
        <v>87</v>
      </c>
      <c r="C1" s="4" t="s">
        <v>88</v>
      </c>
      <c r="D1" s="4" t="s">
        <v>89</v>
      </c>
      <c r="E1" s="4" t="s">
        <v>90</v>
      </c>
      <c r="F1" s="4" t="s">
        <v>91</v>
      </c>
      <c r="G1" s="4" t="s">
        <v>92</v>
      </c>
      <c r="H1" s="4" t="s">
        <v>93</v>
      </c>
      <c r="I1" s="4" t="s">
        <v>94</v>
      </c>
      <c r="J1" s="4" t="s">
        <v>95</v>
      </c>
      <c r="K1" s="4" t="s">
        <v>96</v>
      </c>
      <c r="L1" s="5" t="s">
        <v>97</v>
      </c>
      <c r="M1" s="5" t="s">
        <v>98</v>
      </c>
      <c r="N1" s="6" t="s">
        <v>99</v>
      </c>
      <c r="O1" s="7" t="s">
        <v>100</v>
      </c>
      <c r="P1" s="7" t="s">
        <v>101</v>
      </c>
      <c r="Q1" s="7" t="s">
        <v>102</v>
      </c>
      <c r="R1" s="7" t="s">
        <v>103</v>
      </c>
      <c r="S1" s="7" t="s">
        <v>104</v>
      </c>
      <c r="T1" s="7" t="s">
        <v>105</v>
      </c>
      <c r="U1" s="7" t="s">
        <v>106</v>
      </c>
      <c r="V1" s="7" t="s">
        <v>107</v>
      </c>
      <c r="W1" s="7" t="s">
        <v>108</v>
      </c>
      <c r="X1" s="8" t="s">
        <v>109</v>
      </c>
      <c r="Y1" s="9" t="s">
        <v>110</v>
      </c>
      <c r="Z1" s="9" t="s">
        <v>111</v>
      </c>
      <c r="AA1" s="10" t="s">
        <v>112</v>
      </c>
      <c r="AB1" s="11" t="s">
        <v>113</v>
      </c>
    </row>
    <row r="2" spans="1:28" ht="51" customHeight="1" x14ac:dyDescent="0.25">
      <c r="A2" s="12" t="s">
        <v>114</v>
      </c>
      <c r="B2" s="12" t="s">
        <v>115</v>
      </c>
      <c r="C2" s="12" t="s">
        <v>116</v>
      </c>
      <c r="D2" s="13">
        <v>0.29722222222222222</v>
      </c>
      <c r="E2" s="13">
        <v>0.30555555555555558</v>
      </c>
      <c r="F2" s="12" t="s">
        <v>117</v>
      </c>
      <c r="G2" s="12" t="s">
        <v>118</v>
      </c>
      <c r="H2" s="14">
        <v>4.5</v>
      </c>
      <c r="I2" s="15">
        <v>23</v>
      </c>
      <c r="J2" s="15">
        <v>218</v>
      </c>
      <c r="K2" s="14">
        <f>J2*H2</f>
        <v>981</v>
      </c>
      <c r="L2">
        <v>1</v>
      </c>
      <c r="N2" s="16" t="s">
        <v>80</v>
      </c>
      <c r="O2" t="s">
        <v>81</v>
      </c>
      <c r="P2">
        <v>24</v>
      </c>
      <c r="Q2" t="s">
        <v>82</v>
      </c>
      <c r="R2" s="17">
        <v>22</v>
      </c>
      <c r="S2" t="s">
        <v>82</v>
      </c>
      <c r="T2">
        <v>22</v>
      </c>
      <c r="W2" s="18"/>
      <c r="X2" s="2" t="s">
        <v>119</v>
      </c>
      <c r="Y2" s="3">
        <v>18.279516617848401</v>
      </c>
      <c r="Z2" s="19">
        <v>4.0621148039663098</v>
      </c>
      <c r="AA2" s="3">
        <f>Y2*J2</f>
        <v>3984.9346226909515</v>
      </c>
      <c r="AB2" s="20" t="s">
        <v>120</v>
      </c>
    </row>
    <row r="3" spans="1:28" ht="51" customHeight="1" x14ac:dyDescent="0.25">
      <c r="A3" s="12" t="s">
        <v>114</v>
      </c>
      <c r="B3" s="12" t="s">
        <v>115</v>
      </c>
      <c r="C3" s="12" t="s">
        <v>116</v>
      </c>
      <c r="D3" s="13">
        <v>0.30069444444444438</v>
      </c>
      <c r="E3" s="13">
        <v>0.30902777777777779</v>
      </c>
      <c r="F3" s="12" t="s">
        <v>117</v>
      </c>
      <c r="G3" s="12" t="s">
        <v>121</v>
      </c>
      <c r="H3" s="14">
        <v>4.5</v>
      </c>
      <c r="I3" s="15">
        <v>23</v>
      </c>
      <c r="J3" s="15">
        <v>8</v>
      </c>
      <c r="K3" s="14">
        <f t="shared" ref="K3:K66" si="0">J3*H3</f>
        <v>36</v>
      </c>
      <c r="L3">
        <v>2</v>
      </c>
      <c r="N3" s="16" t="s">
        <v>80</v>
      </c>
      <c r="O3" t="s">
        <v>81</v>
      </c>
      <c r="P3">
        <v>24</v>
      </c>
      <c r="Q3" t="s">
        <v>82</v>
      </c>
      <c r="R3" s="17">
        <v>22</v>
      </c>
      <c r="S3" t="s">
        <v>82</v>
      </c>
      <c r="T3">
        <v>22</v>
      </c>
      <c r="W3" s="18"/>
      <c r="X3" s="2" t="s">
        <v>122</v>
      </c>
      <c r="Y3" s="3">
        <v>18.279516617848401</v>
      </c>
      <c r="Z3" s="19">
        <v>4.0621148039663098</v>
      </c>
      <c r="AA3" s="3">
        <f t="shared" ref="AA3:AA66" si="1">Y3*J3</f>
        <v>146.23613294278721</v>
      </c>
      <c r="AB3" s="20" t="s">
        <v>120</v>
      </c>
    </row>
    <row r="4" spans="1:28" ht="51" customHeight="1" x14ac:dyDescent="0.25">
      <c r="A4" s="12" t="s">
        <v>114</v>
      </c>
      <c r="B4" s="12" t="s">
        <v>115</v>
      </c>
      <c r="C4" s="12" t="s">
        <v>123</v>
      </c>
      <c r="D4" s="13">
        <v>0.3298611111111111</v>
      </c>
      <c r="E4" s="13">
        <v>0.35486111111111113</v>
      </c>
      <c r="F4" s="12" t="s">
        <v>124</v>
      </c>
      <c r="G4" s="12" t="s">
        <v>125</v>
      </c>
      <c r="H4" s="14">
        <v>14</v>
      </c>
      <c r="I4" s="15">
        <v>22</v>
      </c>
      <c r="J4" s="15">
        <v>7</v>
      </c>
      <c r="K4" s="14">
        <f t="shared" si="0"/>
        <v>98</v>
      </c>
      <c r="L4">
        <v>3</v>
      </c>
      <c r="N4" s="16" t="s">
        <v>80</v>
      </c>
      <c r="O4" t="s">
        <v>81</v>
      </c>
      <c r="P4">
        <v>24</v>
      </c>
      <c r="Q4" t="s">
        <v>82</v>
      </c>
      <c r="R4" s="17">
        <v>22</v>
      </c>
      <c r="S4" t="s">
        <v>82</v>
      </c>
      <c r="T4">
        <v>22</v>
      </c>
      <c r="W4" s="18"/>
      <c r="X4" s="2" t="s">
        <v>126</v>
      </c>
      <c r="Y4" s="3">
        <v>56.869607255528301</v>
      </c>
      <c r="Z4" s="19">
        <v>4.0621148039663098</v>
      </c>
      <c r="AA4" s="3">
        <f t="shared" si="1"/>
        <v>398.0872507886981</v>
      </c>
      <c r="AB4" s="20" t="s">
        <v>120</v>
      </c>
    </row>
    <row r="5" spans="1:28" ht="51" customHeight="1" x14ac:dyDescent="0.25">
      <c r="A5" s="12" t="s">
        <v>114</v>
      </c>
      <c r="B5" s="12" t="s">
        <v>115</v>
      </c>
      <c r="C5" s="12" t="s">
        <v>127</v>
      </c>
      <c r="D5" s="13">
        <v>0.4597222222222222</v>
      </c>
      <c r="E5" s="13">
        <v>0.48472222222222222</v>
      </c>
      <c r="F5" s="12" t="s">
        <v>124</v>
      </c>
      <c r="G5" s="12" t="s">
        <v>118</v>
      </c>
      <c r="H5" s="14">
        <v>14</v>
      </c>
      <c r="I5" s="15">
        <v>23</v>
      </c>
      <c r="J5" s="15">
        <v>218</v>
      </c>
      <c r="K5" s="14">
        <f t="shared" si="0"/>
        <v>3052</v>
      </c>
      <c r="L5">
        <v>4</v>
      </c>
      <c r="N5" s="16" t="s">
        <v>80</v>
      </c>
      <c r="O5" t="s">
        <v>81</v>
      </c>
      <c r="P5">
        <v>24</v>
      </c>
      <c r="Q5" t="s">
        <v>82</v>
      </c>
      <c r="R5" s="17">
        <v>22</v>
      </c>
      <c r="S5" t="s">
        <v>82</v>
      </c>
      <c r="T5">
        <v>22</v>
      </c>
      <c r="W5" s="18"/>
      <c r="X5" s="2" t="s">
        <v>119</v>
      </c>
      <c r="Y5" s="3">
        <v>56.869607255528301</v>
      </c>
      <c r="Z5" s="19">
        <v>4.0621148039663098</v>
      </c>
      <c r="AA5" s="3">
        <f t="shared" si="1"/>
        <v>12397.57438170517</v>
      </c>
      <c r="AB5" s="20" t="s">
        <v>120</v>
      </c>
    </row>
    <row r="6" spans="1:28" ht="51" customHeight="1" x14ac:dyDescent="0.25">
      <c r="A6" s="12" t="s">
        <v>114</v>
      </c>
      <c r="B6" s="12" t="s">
        <v>115</v>
      </c>
      <c r="C6" s="12" t="s">
        <v>127</v>
      </c>
      <c r="D6" s="13">
        <v>0.4597222222222222</v>
      </c>
      <c r="E6" s="13">
        <v>0.48472222222222222</v>
      </c>
      <c r="F6" s="12" t="s">
        <v>124</v>
      </c>
      <c r="G6" s="12" t="s">
        <v>121</v>
      </c>
      <c r="H6" s="14">
        <v>14</v>
      </c>
      <c r="I6" s="15">
        <v>22</v>
      </c>
      <c r="J6" s="15">
        <v>8</v>
      </c>
      <c r="K6" s="14">
        <f t="shared" si="0"/>
        <v>112</v>
      </c>
      <c r="L6">
        <v>5</v>
      </c>
      <c r="N6" s="16" t="s">
        <v>80</v>
      </c>
      <c r="O6" t="s">
        <v>81</v>
      </c>
      <c r="P6">
        <v>24</v>
      </c>
      <c r="Q6" t="s">
        <v>82</v>
      </c>
      <c r="R6" s="17">
        <v>22</v>
      </c>
      <c r="S6" t="s">
        <v>82</v>
      </c>
      <c r="T6">
        <v>22</v>
      </c>
      <c r="W6" s="18"/>
      <c r="X6" s="2" t="s">
        <v>122</v>
      </c>
      <c r="Y6" s="3">
        <v>56.869607255528301</v>
      </c>
      <c r="Z6" s="19">
        <v>4.0621148039663098</v>
      </c>
      <c r="AA6" s="3">
        <f t="shared" si="1"/>
        <v>454.95685804422641</v>
      </c>
      <c r="AB6" s="20" t="s">
        <v>120</v>
      </c>
    </row>
    <row r="7" spans="1:28" ht="51" customHeight="1" x14ac:dyDescent="0.25">
      <c r="A7" s="12" t="s">
        <v>114</v>
      </c>
      <c r="B7" s="12" t="s">
        <v>115</v>
      </c>
      <c r="C7" s="12" t="s">
        <v>128</v>
      </c>
      <c r="D7" s="13">
        <v>0.50416666666666665</v>
      </c>
      <c r="E7" s="13">
        <v>0.52847222222222223</v>
      </c>
      <c r="F7" s="12" t="s">
        <v>124</v>
      </c>
      <c r="G7" s="12" t="s">
        <v>129</v>
      </c>
      <c r="H7" s="14">
        <v>14</v>
      </c>
      <c r="I7" s="15">
        <v>22</v>
      </c>
      <c r="J7" s="15">
        <v>198</v>
      </c>
      <c r="K7" s="14">
        <f t="shared" si="0"/>
        <v>2772</v>
      </c>
      <c r="L7">
        <v>6</v>
      </c>
      <c r="N7" s="16" t="s">
        <v>83</v>
      </c>
      <c r="O7" t="s">
        <v>85</v>
      </c>
      <c r="P7">
        <v>21</v>
      </c>
      <c r="Q7" t="s">
        <v>84</v>
      </c>
      <c r="R7" s="17">
        <v>21</v>
      </c>
      <c r="S7" t="s">
        <v>84</v>
      </c>
      <c r="T7">
        <v>21</v>
      </c>
      <c r="W7" s="18" t="s">
        <v>130</v>
      </c>
      <c r="X7" s="2" t="s">
        <v>131</v>
      </c>
      <c r="Y7" s="3">
        <v>48.575326752515601</v>
      </c>
      <c r="Z7" s="3">
        <v>3.46966619660826</v>
      </c>
      <c r="AA7" s="3">
        <f t="shared" si="1"/>
        <v>9617.9146969980884</v>
      </c>
      <c r="AB7" s="20" t="s">
        <v>120</v>
      </c>
    </row>
    <row r="8" spans="1:28" ht="63.75" customHeight="1" x14ac:dyDescent="0.25">
      <c r="A8" s="12" t="s">
        <v>114</v>
      </c>
      <c r="B8" s="12" t="s">
        <v>115</v>
      </c>
      <c r="C8" s="12" t="s">
        <v>132</v>
      </c>
      <c r="D8" s="13">
        <v>0.50416666666666665</v>
      </c>
      <c r="E8" s="13">
        <v>0.51597222222222228</v>
      </c>
      <c r="F8" s="12" t="s">
        <v>133</v>
      </c>
      <c r="G8" s="12" t="s">
        <v>134</v>
      </c>
      <c r="H8" s="14">
        <v>7</v>
      </c>
      <c r="I8" s="15">
        <v>22</v>
      </c>
      <c r="J8" s="15">
        <v>25</v>
      </c>
      <c r="K8" s="14">
        <f t="shared" si="0"/>
        <v>175</v>
      </c>
      <c r="L8">
        <v>7</v>
      </c>
      <c r="N8" s="16" t="s">
        <v>83</v>
      </c>
      <c r="O8" t="s">
        <v>85</v>
      </c>
      <c r="P8">
        <v>21</v>
      </c>
      <c r="Q8" t="s">
        <v>84</v>
      </c>
      <c r="R8" s="17">
        <v>21</v>
      </c>
      <c r="S8" t="s">
        <v>84</v>
      </c>
      <c r="T8">
        <v>21</v>
      </c>
      <c r="W8" s="18" t="s">
        <v>130</v>
      </c>
      <c r="X8" s="2" t="s">
        <v>135</v>
      </c>
      <c r="Y8" s="3">
        <v>24.2876633762578</v>
      </c>
      <c r="Z8" s="3">
        <v>3.46966619660826</v>
      </c>
      <c r="AA8" s="3">
        <f t="shared" si="1"/>
        <v>607.19158440644503</v>
      </c>
      <c r="AB8" s="20" t="s">
        <v>120</v>
      </c>
    </row>
    <row r="9" spans="1:28" ht="51" customHeight="1" x14ac:dyDescent="0.25">
      <c r="A9" s="12" t="s">
        <v>114</v>
      </c>
      <c r="B9" s="12" t="s">
        <v>115</v>
      </c>
      <c r="C9" s="12" t="s">
        <v>132</v>
      </c>
      <c r="D9" s="13">
        <v>0.50416666666666665</v>
      </c>
      <c r="E9" s="13">
        <v>0.51597222222222228</v>
      </c>
      <c r="F9" s="12" t="s">
        <v>133</v>
      </c>
      <c r="G9" s="12" t="s">
        <v>136</v>
      </c>
      <c r="H9" s="14">
        <v>7</v>
      </c>
      <c r="I9" s="15">
        <v>22</v>
      </c>
      <c r="J9" s="15">
        <v>3</v>
      </c>
      <c r="K9" s="14">
        <f t="shared" si="0"/>
        <v>21</v>
      </c>
      <c r="L9">
        <v>8</v>
      </c>
      <c r="N9" s="16" t="s">
        <v>83</v>
      </c>
      <c r="O9" t="s">
        <v>85</v>
      </c>
      <c r="P9">
        <v>21</v>
      </c>
      <c r="Q9" t="s">
        <v>84</v>
      </c>
      <c r="R9" s="17">
        <v>21</v>
      </c>
      <c r="S9" t="s">
        <v>84</v>
      </c>
      <c r="T9">
        <v>21</v>
      </c>
      <c r="W9" s="18" t="s">
        <v>130</v>
      </c>
      <c r="X9" s="2" t="s">
        <v>137</v>
      </c>
      <c r="Y9" s="3">
        <v>24.2876633762578</v>
      </c>
      <c r="Z9" s="3">
        <v>3.46966619660826</v>
      </c>
      <c r="AA9" s="3">
        <f t="shared" si="1"/>
        <v>72.862990128773404</v>
      </c>
      <c r="AB9" s="20" t="s">
        <v>120</v>
      </c>
    </row>
    <row r="10" spans="1:28" ht="76.5" customHeight="1" x14ac:dyDescent="0.25">
      <c r="A10" s="12" t="s">
        <v>114</v>
      </c>
      <c r="B10" s="12" t="s">
        <v>115</v>
      </c>
      <c r="C10" s="12" t="s">
        <v>138</v>
      </c>
      <c r="D10" s="13">
        <v>0.55000000000000004</v>
      </c>
      <c r="E10" s="13">
        <v>0.56180555555555556</v>
      </c>
      <c r="F10" s="12" t="s">
        <v>139</v>
      </c>
      <c r="G10" s="12" t="s">
        <v>140</v>
      </c>
      <c r="H10" s="14">
        <v>7</v>
      </c>
      <c r="I10" s="15">
        <v>22</v>
      </c>
      <c r="J10" s="15">
        <v>20</v>
      </c>
      <c r="K10" s="14">
        <f t="shared" si="0"/>
        <v>140</v>
      </c>
      <c r="L10">
        <v>9</v>
      </c>
      <c r="N10" s="16" t="s">
        <v>60</v>
      </c>
      <c r="O10" t="s">
        <v>64</v>
      </c>
      <c r="P10">
        <v>24</v>
      </c>
      <c r="Q10" t="s">
        <v>65</v>
      </c>
      <c r="R10" s="17">
        <v>23</v>
      </c>
      <c r="S10" t="s">
        <v>61</v>
      </c>
      <c r="T10">
        <v>21</v>
      </c>
      <c r="W10" s="18" t="s">
        <v>130</v>
      </c>
      <c r="X10" s="2" t="s">
        <v>141</v>
      </c>
      <c r="Y10" s="3">
        <v>18.117685101294398</v>
      </c>
      <c r="Z10" s="3">
        <v>2.5882407287563498</v>
      </c>
      <c r="AA10" s="3">
        <f t="shared" si="1"/>
        <v>362.35370202588797</v>
      </c>
      <c r="AB10" s="20" t="s">
        <v>120</v>
      </c>
    </row>
    <row r="11" spans="1:28" ht="76.5" customHeight="1" x14ac:dyDescent="0.25">
      <c r="A11" s="12" t="s">
        <v>114</v>
      </c>
      <c r="B11" s="12" t="s">
        <v>115</v>
      </c>
      <c r="C11" s="12" t="s">
        <v>138</v>
      </c>
      <c r="D11" s="13">
        <v>0.55000000000000004</v>
      </c>
      <c r="E11" s="13">
        <v>0.56180555555555556</v>
      </c>
      <c r="F11" s="12" t="s">
        <v>139</v>
      </c>
      <c r="G11" s="12" t="s">
        <v>121</v>
      </c>
      <c r="H11" s="14">
        <v>7</v>
      </c>
      <c r="I11" s="15">
        <v>22</v>
      </c>
      <c r="J11" s="15">
        <v>8</v>
      </c>
      <c r="K11" s="14">
        <f t="shared" si="0"/>
        <v>56</v>
      </c>
      <c r="L11">
        <v>10</v>
      </c>
      <c r="N11" s="16" t="s">
        <v>60</v>
      </c>
      <c r="O11" t="s">
        <v>64</v>
      </c>
      <c r="P11">
        <v>24</v>
      </c>
      <c r="Q11" t="s">
        <v>65</v>
      </c>
      <c r="R11" s="17">
        <v>23</v>
      </c>
      <c r="S11" t="s">
        <v>61</v>
      </c>
      <c r="T11">
        <v>21</v>
      </c>
      <c r="W11" s="18" t="s">
        <v>130</v>
      </c>
      <c r="X11" s="2" t="s">
        <v>122</v>
      </c>
      <c r="Y11" s="3">
        <v>18.117685101294398</v>
      </c>
      <c r="Z11" s="3">
        <v>2.5882407287563498</v>
      </c>
      <c r="AA11" s="3">
        <f t="shared" si="1"/>
        <v>144.94148081035519</v>
      </c>
      <c r="AB11" s="20" t="s">
        <v>120</v>
      </c>
    </row>
    <row r="12" spans="1:28" ht="76.5" customHeight="1" x14ac:dyDescent="0.25">
      <c r="A12" s="12" t="s">
        <v>114</v>
      </c>
      <c r="B12" s="12" t="s">
        <v>115</v>
      </c>
      <c r="C12" s="12" t="s">
        <v>142</v>
      </c>
      <c r="D12" s="13">
        <v>0.57291666666666663</v>
      </c>
      <c r="E12" s="13">
        <v>0.57986111111111116</v>
      </c>
      <c r="F12" s="21" t="s">
        <v>143</v>
      </c>
      <c r="G12" s="12" t="s">
        <v>144</v>
      </c>
      <c r="H12" s="14">
        <v>4</v>
      </c>
      <c r="I12" s="15">
        <v>22</v>
      </c>
      <c r="J12" s="22">
        <v>164</v>
      </c>
      <c r="K12" s="14">
        <f t="shared" si="0"/>
        <v>656</v>
      </c>
      <c r="L12">
        <v>11</v>
      </c>
      <c r="N12" s="16" t="s">
        <v>60</v>
      </c>
      <c r="O12" t="s">
        <v>64</v>
      </c>
      <c r="P12">
        <v>24</v>
      </c>
      <c r="Q12" t="s">
        <v>65</v>
      </c>
      <c r="R12" s="17">
        <v>23</v>
      </c>
      <c r="S12" t="s">
        <v>61</v>
      </c>
      <c r="T12">
        <v>21</v>
      </c>
      <c r="W12" s="18" t="s">
        <v>130</v>
      </c>
      <c r="X12" s="2" t="s">
        <v>145</v>
      </c>
      <c r="Y12" s="3">
        <v>10.352962915025399</v>
      </c>
      <c r="Z12" s="3">
        <v>2.5882407287563498</v>
      </c>
      <c r="AA12" s="3">
        <f t="shared" si="1"/>
        <v>1697.8859180641655</v>
      </c>
      <c r="AB12" s="20" t="s">
        <v>146</v>
      </c>
    </row>
    <row r="13" spans="1:28" ht="51" customHeight="1" x14ac:dyDescent="0.25">
      <c r="A13" s="12" t="s">
        <v>114</v>
      </c>
      <c r="B13" s="12" t="s">
        <v>115</v>
      </c>
      <c r="C13" s="12" t="s">
        <v>142</v>
      </c>
      <c r="D13" s="13">
        <v>0.57291666666666663</v>
      </c>
      <c r="E13" s="13">
        <v>0.57986111111111116</v>
      </c>
      <c r="F13" s="21" t="s">
        <v>143</v>
      </c>
      <c r="G13" s="12" t="s">
        <v>147</v>
      </c>
      <c r="H13" s="14">
        <v>4</v>
      </c>
      <c r="I13" s="15">
        <v>22</v>
      </c>
      <c r="J13" s="22">
        <v>34</v>
      </c>
      <c r="K13" s="14">
        <f t="shared" si="0"/>
        <v>136</v>
      </c>
      <c r="L13" t="s">
        <v>148</v>
      </c>
      <c r="N13" s="16" t="s">
        <v>80</v>
      </c>
      <c r="O13" t="s">
        <v>81</v>
      </c>
      <c r="P13">
        <v>24</v>
      </c>
      <c r="Q13" t="s">
        <v>82</v>
      </c>
      <c r="R13" s="17">
        <v>22</v>
      </c>
      <c r="S13" t="s">
        <v>82</v>
      </c>
      <c r="T13">
        <v>22</v>
      </c>
      <c r="W13" s="18" t="s">
        <v>130</v>
      </c>
      <c r="X13" s="2" t="s">
        <v>149</v>
      </c>
      <c r="Y13" s="3">
        <v>16.2484592158652</v>
      </c>
      <c r="Z13" s="19">
        <v>4.0621148039663098</v>
      </c>
      <c r="AA13" s="3">
        <f t="shared" si="1"/>
        <v>552.44761333941676</v>
      </c>
      <c r="AB13" s="20" t="s">
        <v>150</v>
      </c>
    </row>
    <row r="14" spans="1:28" ht="51" customHeight="1" x14ac:dyDescent="0.25">
      <c r="A14" s="12" t="s">
        <v>114</v>
      </c>
      <c r="B14" s="12" t="s">
        <v>115</v>
      </c>
      <c r="C14" s="12" t="s">
        <v>151</v>
      </c>
      <c r="D14" s="13">
        <v>0.67013888888888884</v>
      </c>
      <c r="E14" s="13">
        <v>0.68263888888888891</v>
      </c>
      <c r="F14" s="12" t="s">
        <v>124</v>
      </c>
      <c r="G14" s="12" t="s">
        <v>125</v>
      </c>
      <c r="H14" s="14">
        <v>14</v>
      </c>
      <c r="I14" s="15">
        <v>19</v>
      </c>
      <c r="J14" s="15">
        <v>7</v>
      </c>
      <c r="K14" s="14">
        <f t="shared" si="0"/>
        <v>98</v>
      </c>
      <c r="L14">
        <v>13</v>
      </c>
      <c r="N14" s="16" t="s">
        <v>47</v>
      </c>
      <c r="O14" t="s">
        <v>53</v>
      </c>
      <c r="P14">
        <v>21</v>
      </c>
      <c r="Q14" t="s">
        <v>50</v>
      </c>
      <c r="R14" s="17">
        <v>21</v>
      </c>
      <c r="S14" t="s">
        <v>48</v>
      </c>
      <c r="T14">
        <v>10</v>
      </c>
      <c r="W14" s="18" t="s">
        <v>130</v>
      </c>
      <c r="X14" s="2" t="s">
        <v>126</v>
      </c>
      <c r="Y14" s="3">
        <v>49.102199747747697</v>
      </c>
      <c r="Z14" s="3">
        <v>3.5072999819819799</v>
      </c>
      <c r="AA14" s="3">
        <f t="shared" si="1"/>
        <v>343.71539823423387</v>
      </c>
      <c r="AB14" s="20" t="s">
        <v>120</v>
      </c>
    </row>
    <row r="15" spans="1:28" ht="51" customHeight="1" x14ac:dyDescent="0.25">
      <c r="A15" s="12" t="s">
        <v>114</v>
      </c>
      <c r="B15" s="12" t="s">
        <v>115</v>
      </c>
      <c r="C15" s="12" t="s">
        <v>151</v>
      </c>
      <c r="D15" s="13">
        <v>0.67013888888888884</v>
      </c>
      <c r="E15" s="13">
        <v>0.69444444444444442</v>
      </c>
      <c r="F15" s="12" t="s">
        <v>124</v>
      </c>
      <c r="G15" s="12" t="s">
        <v>152</v>
      </c>
      <c r="H15" s="14">
        <v>14</v>
      </c>
      <c r="I15" s="15">
        <v>19</v>
      </c>
      <c r="J15" s="15">
        <v>182</v>
      </c>
      <c r="K15" s="14">
        <f t="shared" si="0"/>
        <v>2548</v>
      </c>
      <c r="L15">
        <v>14</v>
      </c>
      <c r="N15" s="16" t="s">
        <v>47</v>
      </c>
      <c r="O15" t="s">
        <v>53</v>
      </c>
      <c r="P15">
        <v>21</v>
      </c>
      <c r="Q15" t="s">
        <v>50</v>
      </c>
      <c r="R15" s="17">
        <v>21</v>
      </c>
      <c r="S15" t="s">
        <v>48</v>
      </c>
      <c r="T15">
        <v>10</v>
      </c>
      <c r="W15" s="18" t="s">
        <v>130</v>
      </c>
      <c r="X15" s="2" t="s">
        <v>153</v>
      </c>
      <c r="Y15" s="3">
        <v>49.102199747747697</v>
      </c>
      <c r="Z15" s="3">
        <v>3.5072999819819799</v>
      </c>
      <c r="AA15" s="3">
        <f t="shared" si="1"/>
        <v>8936.6003540900801</v>
      </c>
      <c r="AB15" s="20" t="s">
        <v>120</v>
      </c>
    </row>
    <row r="16" spans="1:28" ht="76.5" customHeight="1" x14ac:dyDescent="0.25">
      <c r="A16" s="12" t="s">
        <v>114</v>
      </c>
      <c r="B16" s="12" t="s">
        <v>115</v>
      </c>
      <c r="C16" s="12" t="s">
        <v>154</v>
      </c>
      <c r="D16" s="13">
        <v>0.75277777777777777</v>
      </c>
      <c r="E16" s="13">
        <v>0.77777777777777779</v>
      </c>
      <c r="F16" s="21" t="s">
        <v>124</v>
      </c>
      <c r="G16" s="12" t="s">
        <v>152</v>
      </c>
      <c r="H16" s="14">
        <v>14</v>
      </c>
      <c r="I16" s="15">
        <v>22</v>
      </c>
      <c r="J16" s="22">
        <v>182</v>
      </c>
      <c r="K16" s="14">
        <f t="shared" si="0"/>
        <v>2548</v>
      </c>
      <c r="L16">
        <v>15</v>
      </c>
      <c r="N16" s="16" t="s">
        <v>60</v>
      </c>
      <c r="O16" t="s">
        <v>64</v>
      </c>
      <c r="P16">
        <v>24</v>
      </c>
      <c r="Q16" t="s">
        <v>65</v>
      </c>
      <c r="R16" s="17">
        <v>23</v>
      </c>
      <c r="S16" t="s">
        <v>61</v>
      </c>
      <c r="T16">
        <v>21</v>
      </c>
      <c r="W16" s="18" t="s">
        <v>130</v>
      </c>
      <c r="X16" s="2" t="s">
        <v>153</v>
      </c>
      <c r="Y16" s="3">
        <v>36.235370202588904</v>
      </c>
      <c r="Z16" s="3">
        <v>2.5882407287563498</v>
      </c>
      <c r="AA16" s="3">
        <f t="shared" si="1"/>
        <v>6594.8373768711808</v>
      </c>
      <c r="AB16" s="20" t="s">
        <v>155</v>
      </c>
    </row>
    <row r="17" spans="1:28" ht="51" customHeight="1" x14ac:dyDescent="0.25">
      <c r="A17" s="12" t="s">
        <v>114</v>
      </c>
      <c r="B17" s="12" t="s">
        <v>115</v>
      </c>
      <c r="C17" s="12" t="s">
        <v>154</v>
      </c>
      <c r="D17" s="13">
        <v>0.75277777777777777</v>
      </c>
      <c r="E17" s="13">
        <v>0.77777777777777779</v>
      </c>
      <c r="F17" s="21" t="s">
        <v>124</v>
      </c>
      <c r="G17" s="12" t="s">
        <v>125</v>
      </c>
      <c r="H17" s="14">
        <v>14</v>
      </c>
      <c r="I17" s="15">
        <v>22</v>
      </c>
      <c r="J17" s="22">
        <v>7</v>
      </c>
      <c r="K17" s="14">
        <f t="shared" si="0"/>
        <v>98</v>
      </c>
      <c r="L17">
        <v>15</v>
      </c>
      <c r="N17" s="16" t="s">
        <v>47</v>
      </c>
      <c r="O17" t="s">
        <v>53</v>
      </c>
      <c r="P17">
        <v>21</v>
      </c>
      <c r="Q17" t="s">
        <v>50</v>
      </c>
      <c r="R17" s="17">
        <v>21</v>
      </c>
      <c r="S17" t="s">
        <v>48</v>
      </c>
      <c r="T17">
        <v>10</v>
      </c>
      <c r="W17" s="18"/>
      <c r="X17" s="2" t="s">
        <v>126</v>
      </c>
      <c r="Y17" s="3">
        <v>49.102199747747697</v>
      </c>
      <c r="Z17" s="3">
        <v>3.5072999819819799</v>
      </c>
      <c r="AA17" s="3">
        <f t="shared" si="1"/>
        <v>343.71539823423387</v>
      </c>
      <c r="AB17" s="20" t="s">
        <v>150</v>
      </c>
    </row>
    <row r="18" spans="1:28" ht="51" customHeight="1" x14ac:dyDescent="0.25">
      <c r="A18" s="12" t="s">
        <v>114</v>
      </c>
      <c r="B18" s="12" t="s">
        <v>156</v>
      </c>
      <c r="C18" s="12" t="s">
        <v>157</v>
      </c>
      <c r="D18" s="13">
        <v>0.28125</v>
      </c>
      <c r="E18" s="13">
        <v>0.30555555555555558</v>
      </c>
      <c r="F18" s="12" t="s">
        <v>158</v>
      </c>
      <c r="G18" s="12" t="s">
        <v>118</v>
      </c>
      <c r="H18" s="14">
        <v>12.8</v>
      </c>
      <c r="I18" s="15">
        <v>19</v>
      </c>
      <c r="J18" s="15">
        <v>218</v>
      </c>
      <c r="K18" s="14">
        <f t="shared" si="0"/>
        <v>2790.4</v>
      </c>
      <c r="L18">
        <v>16</v>
      </c>
      <c r="N18" s="16" t="s">
        <v>47</v>
      </c>
      <c r="O18" t="s">
        <v>53</v>
      </c>
      <c r="P18">
        <v>21</v>
      </c>
      <c r="Q18" t="s">
        <v>50</v>
      </c>
      <c r="R18" s="17">
        <v>21</v>
      </c>
      <c r="S18" t="s">
        <v>48</v>
      </c>
      <c r="T18">
        <v>10</v>
      </c>
      <c r="W18" s="18" t="s">
        <v>130</v>
      </c>
      <c r="X18" s="2" t="s">
        <v>119</v>
      </c>
      <c r="Y18" s="3">
        <v>44.893439769369301</v>
      </c>
      <c r="Z18" s="3">
        <v>3.5072999819819799</v>
      </c>
      <c r="AA18" s="3">
        <f t="shared" si="1"/>
        <v>9786.7698697225078</v>
      </c>
      <c r="AB18" s="20" t="s">
        <v>120</v>
      </c>
    </row>
    <row r="19" spans="1:28" ht="76.5" customHeight="1" x14ac:dyDescent="0.25">
      <c r="A19" s="12" t="s">
        <v>114</v>
      </c>
      <c r="B19" s="12" t="s">
        <v>156</v>
      </c>
      <c r="C19" s="12" t="s">
        <v>157</v>
      </c>
      <c r="D19" s="13">
        <v>0.28125</v>
      </c>
      <c r="E19" s="13">
        <v>0.31041666666666667</v>
      </c>
      <c r="F19" s="12" t="s">
        <v>158</v>
      </c>
      <c r="G19" s="12" t="s">
        <v>121</v>
      </c>
      <c r="H19" s="14">
        <v>12.8</v>
      </c>
      <c r="I19" s="15">
        <v>19</v>
      </c>
      <c r="J19" s="15">
        <v>8</v>
      </c>
      <c r="K19" s="14">
        <f t="shared" si="0"/>
        <v>102.4</v>
      </c>
      <c r="L19">
        <v>17</v>
      </c>
      <c r="N19" s="16" t="s">
        <v>60</v>
      </c>
      <c r="O19" t="s">
        <v>65</v>
      </c>
      <c r="P19">
        <v>23</v>
      </c>
      <c r="Q19" t="s">
        <v>61</v>
      </c>
      <c r="R19" s="17">
        <v>21</v>
      </c>
      <c r="S19" t="s">
        <v>64</v>
      </c>
      <c r="T19">
        <v>24</v>
      </c>
      <c r="W19" s="18" t="s">
        <v>130</v>
      </c>
      <c r="X19" s="2" t="s">
        <v>122</v>
      </c>
      <c r="Y19" s="3">
        <v>33.129481328081297</v>
      </c>
      <c r="Z19" s="3">
        <v>2.5882407287563498</v>
      </c>
      <c r="AA19" s="3">
        <f t="shared" si="1"/>
        <v>265.03585062465038</v>
      </c>
      <c r="AB19" s="20" t="s">
        <v>120</v>
      </c>
    </row>
    <row r="20" spans="1:28" ht="51" customHeight="1" x14ac:dyDescent="0.25">
      <c r="A20" s="12" t="s">
        <v>114</v>
      </c>
      <c r="B20" s="12" t="s">
        <v>156</v>
      </c>
      <c r="C20" s="12" t="s">
        <v>159</v>
      </c>
      <c r="D20" s="13">
        <v>0.46180555555555558</v>
      </c>
      <c r="E20" s="13">
        <v>0.48402777777777778</v>
      </c>
      <c r="F20" s="12" t="s">
        <v>158</v>
      </c>
      <c r="G20" s="12" t="s">
        <v>121</v>
      </c>
      <c r="H20" s="14">
        <v>12.8</v>
      </c>
      <c r="I20" s="15">
        <v>19</v>
      </c>
      <c r="J20" s="15">
        <v>8</v>
      </c>
      <c r="K20" s="14">
        <f t="shared" si="0"/>
        <v>102.4</v>
      </c>
      <c r="L20">
        <v>18</v>
      </c>
      <c r="N20" s="16" t="s">
        <v>47</v>
      </c>
      <c r="O20" t="s">
        <v>53</v>
      </c>
      <c r="P20">
        <v>21</v>
      </c>
      <c r="Q20" t="s">
        <v>50</v>
      </c>
      <c r="R20" s="17">
        <v>21</v>
      </c>
      <c r="S20" t="s">
        <v>48</v>
      </c>
      <c r="T20">
        <v>10</v>
      </c>
      <c r="W20" s="18" t="s">
        <v>130</v>
      </c>
      <c r="X20" s="2" t="s">
        <v>122</v>
      </c>
      <c r="Y20" s="3">
        <v>44.893439769369301</v>
      </c>
      <c r="Z20" s="3">
        <v>3.5072999819819799</v>
      </c>
      <c r="AA20" s="3">
        <f t="shared" si="1"/>
        <v>359.14751815495441</v>
      </c>
      <c r="AB20" s="20" t="s">
        <v>120</v>
      </c>
    </row>
    <row r="21" spans="1:28" ht="51" customHeight="1" x14ac:dyDescent="0.25">
      <c r="A21" s="12" t="s">
        <v>114</v>
      </c>
      <c r="B21" s="12" t="s">
        <v>156</v>
      </c>
      <c r="C21" s="12" t="s">
        <v>160</v>
      </c>
      <c r="D21" s="13">
        <v>0.7104166666666667</v>
      </c>
      <c r="E21" s="13">
        <v>0.73958333333333337</v>
      </c>
      <c r="F21" s="12" t="s">
        <v>158</v>
      </c>
      <c r="G21" s="12" t="s">
        <v>152</v>
      </c>
      <c r="H21" s="14">
        <v>12.8</v>
      </c>
      <c r="I21" s="15">
        <v>23</v>
      </c>
      <c r="J21" s="15">
        <v>182</v>
      </c>
      <c r="K21" s="14">
        <f t="shared" si="0"/>
        <v>2329.6</v>
      </c>
      <c r="L21">
        <v>19</v>
      </c>
      <c r="N21" s="16" t="s">
        <v>80</v>
      </c>
      <c r="O21" t="s">
        <v>81</v>
      </c>
      <c r="P21">
        <v>24</v>
      </c>
      <c r="Q21" t="s">
        <v>82</v>
      </c>
      <c r="R21" s="17">
        <v>22</v>
      </c>
      <c r="S21" t="s">
        <v>82</v>
      </c>
      <c r="T21">
        <v>22</v>
      </c>
      <c r="W21" s="18"/>
      <c r="X21" s="2" t="s">
        <v>153</v>
      </c>
      <c r="Y21" s="3">
        <v>51.995069490768799</v>
      </c>
      <c r="Z21" s="19">
        <v>4.0621148039663098</v>
      </c>
      <c r="AA21" s="3">
        <f t="shared" si="1"/>
        <v>9463.1026473199217</v>
      </c>
      <c r="AB21" s="20" t="s">
        <v>120</v>
      </c>
    </row>
    <row r="22" spans="1:28" ht="51" customHeight="1" x14ac:dyDescent="0.25">
      <c r="A22" s="12" t="s">
        <v>114</v>
      </c>
      <c r="B22" s="12" t="s">
        <v>156</v>
      </c>
      <c r="C22" s="12" t="s">
        <v>160</v>
      </c>
      <c r="D22" s="13">
        <v>0.7104166666666667</v>
      </c>
      <c r="E22" s="13">
        <v>0.73958333333333337</v>
      </c>
      <c r="F22" s="12" t="s">
        <v>158</v>
      </c>
      <c r="G22" s="12" t="s">
        <v>125</v>
      </c>
      <c r="H22" s="14">
        <v>12.8</v>
      </c>
      <c r="I22" s="15">
        <v>23</v>
      </c>
      <c r="J22" s="15">
        <v>7</v>
      </c>
      <c r="K22" s="14">
        <f t="shared" si="0"/>
        <v>89.600000000000009</v>
      </c>
      <c r="L22">
        <v>20</v>
      </c>
      <c r="N22" s="16" t="s">
        <v>80</v>
      </c>
      <c r="O22" t="s">
        <v>81</v>
      </c>
      <c r="P22">
        <v>24</v>
      </c>
      <c r="Q22" t="s">
        <v>82</v>
      </c>
      <c r="R22" s="17">
        <v>22</v>
      </c>
      <c r="S22" t="s">
        <v>82</v>
      </c>
      <c r="T22">
        <v>22</v>
      </c>
      <c r="W22" s="18"/>
      <c r="X22" s="2" t="s">
        <v>126</v>
      </c>
      <c r="Y22" s="3">
        <v>51.995069490768799</v>
      </c>
      <c r="Z22" s="19">
        <v>4.0621148039663098</v>
      </c>
      <c r="AA22" s="3">
        <f t="shared" si="1"/>
        <v>363.96548643538159</v>
      </c>
      <c r="AB22" s="20" t="s">
        <v>120</v>
      </c>
    </row>
    <row r="23" spans="1:28" ht="51" customHeight="1" x14ac:dyDescent="0.25">
      <c r="A23" s="12" t="s">
        <v>114</v>
      </c>
      <c r="B23" s="12" t="s">
        <v>161</v>
      </c>
      <c r="C23" s="12" t="s">
        <v>162</v>
      </c>
      <c r="D23" s="13">
        <v>0.3125</v>
      </c>
      <c r="E23" s="13">
        <v>0.32291666666666669</v>
      </c>
      <c r="F23" s="12" t="s">
        <v>163</v>
      </c>
      <c r="G23" s="12" t="s">
        <v>129</v>
      </c>
      <c r="H23" s="14">
        <v>7</v>
      </c>
      <c r="I23" s="15">
        <v>22</v>
      </c>
      <c r="J23" s="15">
        <v>198</v>
      </c>
      <c r="K23" s="14">
        <f t="shared" si="0"/>
        <v>1386</v>
      </c>
      <c r="L23">
        <v>21</v>
      </c>
      <c r="N23" s="16" t="s">
        <v>80</v>
      </c>
      <c r="O23" t="s">
        <v>81</v>
      </c>
      <c r="P23">
        <v>24</v>
      </c>
      <c r="Q23" t="s">
        <v>82</v>
      </c>
      <c r="R23" s="17">
        <v>22</v>
      </c>
      <c r="S23" t="s">
        <v>82</v>
      </c>
      <c r="T23">
        <v>22</v>
      </c>
      <c r="W23" s="18"/>
      <c r="X23" s="2" t="s">
        <v>131</v>
      </c>
      <c r="Y23" s="3">
        <v>28.4348036277642</v>
      </c>
      <c r="Z23" s="19">
        <v>4.0621148039663098</v>
      </c>
      <c r="AA23" s="3">
        <f t="shared" si="1"/>
        <v>5630.0911182973114</v>
      </c>
      <c r="AB23" s="20" t="s">
        <v>120</v>
      </c>
    </row>
    <row r="24" spans="1:28" ht="51" customHeight="1" x14ac:dyDescent="0.25">
      <c r="A24" s="12" t="s">
        <v>114</v>
      </c>
      <c r="B24" s="12" t="s">
        <v>161</v>
      </c>
      <c r="C24" s="12" t="s">
        <v>164</v>
      </c>
      <c r="D24" s="13">
        <v>0.55138888888888893</v>
      </c>
      <c r="E24" s="13">
        <v>0.5625</v>
      </c>
      <c r="F24" s="12" t="s">
        <v>165</v>
      </c>
      <c r="G24" s="12" t="s">
        <v>147</v>
      </c>
      <c r="H24" s="14">
        <v>9.3000000000000007</v>
      </c>
      <c r="I24" s="15">
        <v>23</v>
      </c>
      <c r="J24" s="15">
        <v>34</v>
      </c>
      <c r="K24" s="14">
        <f t="shared" si="0"/>
        <v>316.20000000000005</v>
      </c>
      <c r="L24">
        <v>22</v>
      </c>
      <c r="N24" s="16" t="s">
        <v>80</v>
      </c>
      <c r="O24" t="s">
        <v>81</v>
      </c>
      <c r="P24">
        <v>24</v>
      </c>
      <c r="Q24" t="s">
        <v>82</v>
      </c>
      <c r="R24" s="17">
        <v>22</v>
      </c>
      <c r="S24" t="s">
        <v>82</v>
      </c>
      <c r="T24">
        <v>22</v>
      </c>
      <c r="W24" s="18"/>
      <c r="X24" s="2" t="s">
        <v>149</v>
      </c>
      <c r="Y24" s="3">
        <v>37.777667676886701</v>
      </c>
      <c r="Z24" s="19">
        <v>4.0621148039663098</v>
      </c>
      <c r="AA24" s="3">
        <f t="shared" si="1"/>
        <v>1284.4407010141479</v>
      </c>
      <c r="AB24" s="20" t="s">
        <v>120</v>
      </c>
    </row>
    <row r="25" spans="1:28" ht="51" customHeight="1" x14ac:dyDescent="0.25">
      <c r="A25" s="12" t="s">
        <v>114</v>
      </c>
      <c r="B25" s="12" t="s">
        <v>161</v>
      </c>
      <c r="C25" s="12" t="s">
        <v>164</v>
      </c>
      <c r="D25" s="13">
        <v>0.56597222222222221</v>
      </c>
      <c r="E25" s="13">
        <v>0.57430555555555551</v>
      </c>
      <c r="F25" s="12" t="s">
        <v>166</v>
      </c>
      <c r="G25" s="12" t="s">
        <v>144</v>
      </c>
      <c r="H25" s="14">
        <v>9.3000000000000007</v>
      </c>
      <c r="I25" s="15">
        <v>23</v>
      </c>
      <c r="J25" s="15">
        <v>164</v>
      </c>
      <c r="K25" s="14">
        <f t="shared" si="0"/>
        <v>1525.2</v>
      </c>
      <c r="L25">
        <v>23</v>
      </c>
      <c r="N25" s="16" t="s">
        <v>80</v>
      </c>
      <c r="O25" t="s">
        <v>81</v>
      </c>
      <c r="P25">
        <v>24</v>
      </c>
      <c r="Q25" t="s">
        <v>82</v>
      </c>
      <c r="R25" s="17">
        <v>22</v>
      </c>
      <c r="S25" t="s">
        <v>82</v>
      </c>
      <c r="T25">
        <v>22</v>
      </c>
      <c r="W25" s="18"/>
      <c r="X25" s="2" t="s">
        <v>145</v>
      </c>
      <c r="Y25" s="3">
        <v>37.777667676886701</v>
      </c>
      <c r="Z25" s="19">
        <v>4.0621148039663098</v>
      </c>
      <c r="AA25" s="3">
        <f t="shared" si="1"/>
        <v>6195.5374990094188</v>
      </c>
      <c r="AB25" s="20" t="s">
        <v>120</v>
      </c>
    </row>
    <row r="26" spans="1:28" ht="51" customHeight="1" x14ac:dyDescent="0.25">
      <c r="A26" s="12" t="s">
        <v>114</v>
      </c>
      <c r="B26" s="12" t="s">
        <v>167</v>
      </c>
      <c r="C26" s="12" t="s">
        <v>168</v>
      </c>
      <c r="D26" s="13">
        <v>0.35902777777777778</v>
      </c>
      <c r="E26" s="13">
        <v>0.37291666666666667</v>
      </c>
      <c r="F26" s="12" t="s">
        <v>169</v>
      </c>
      <c r="G26" s="12" t="s">
        <v>121</v>
      </c>
      <c r="H26" s="14">
        <v>9.6</v>
      </c>
      <c r="I26" s="15">
        <v>22</v>
      </c>
      <c r="J26" s="15">
        <v>8</v>
      </c>
      <c r="K26" s="14">
        <f t="shared" si="0"/>
        <v>76.8</v>
      </c>
      <c r="L26">
        <v>24</v>
      </c>
      <c r="N26" s="16" t="s">
        <v>80</v>
      </c>
      <c r="O26" t="s">
        <v>81</v>
      </c>
      <c r="P26">
        <v>24</v>
      </c>
      <c r="Q26" t="s">
        <v>82</v>
      </c>
      <c r="R26" s="17">
        <v>22</v>
      </c>
      <c r="S26" t="s">
        <v>82</v>
      </c>
      <c r="T26">
        <v>22</v>
      </c>
      <c r="W26" s="18"/>
      <c r="X26" s="2" t="s">
        <v>122</v>
      </c>
      <c r="Y26" s="3">
        <v>38.996302118076599</v>
      </c>
      <c r="Z26" s="19">
        <v>4.0621148039663098</v>
      </c>
      <c r="AA26" s="3">
        <f t="shared" si="1"/>
        <v>311.97041694461279</v>
      </c>
      <c r="AB26" s="20" t="s">
        <v>120</v>
      </c>
    </row>
    <row r="27" spans="1:28" ht="51" customHeight="1" x14ac:dyDescent="0.25">
      <c r="A27" s="12" t="s">
        <v>114</v>
      </c>
      <c r="B27" s="12" t="s">
        <v>167</v>
      </c>
      <c r="C27" s="12" t="s">
        <v>170</v>
      </c>
      <c r="D27" s="13">
        <v>0.48402777777777778</v>
      </c>
      <c r="E27" s="13">
        <v>0.49791666666666667</v>
      </c>
      <c r="F27" s="12" t="s">
        <v>169</v>
      </c>
      <c r="G27" s="12" t="s">
        <v>171</v>
      </c>
      <c r="H27" s="14">
        <v>9.6</v>
      </c>
      <c r="I27" s="15">
        <v>20</v>
      </c>
      <c r="J27" s="15">
        <v>226</v>
      </c>
      <c r="K27" s="14">
        <f t="shared" si="0"/>
        <v>2169.6</v>
      </c>
      <c r="L27">
        <v>25</v>
      </c>
      <c r="N27" s="16" t="s">
        <v>83</v>
      </c>
      <c r="O27" t="s">
        <v>85</v>
      </c>
      <c r="P27">
        <v>21</v>
      </c>
      <c r="Q27" t="s">
        <v>84</v>
      </c>
      <c r="R27" s="17">
        <v>21</v>
      </c>
      <c r="S27" t="s">
        <v>84</v>
      </c>
      <c r="T27">
        <v>21</v>
      </c>
      <c r="W27" s="18" t="s">
        <v>130</v>
      </c>
      <c r="X27" s="2" t="s">
        <v>172</v>
      </c>
      <c r="Y27" s="3">
        <v>33.308795487439298</v>
      </c>
      <c r="Z27" s="3">
        <v>3.46966619660826</v>
      </c>
      <c r="AA27" s="3">
        <f t="shared" si="1"/>
        <v>7527.7877801612813</v>
      </c>
      <c r="AB27" s="20" t="s">
        <v>120</v>
      </c>
    </row>
    <row r="28" spans="1:28" ht="51" customHeight="1" x14ac:dyDescent="0.25">
      <c r="A28" s="12" t="s">
        <v>114</v>
      </c>
      <c r="B28" s="12" t="s">
        <v>167</v>
      </c>
      <c r="C28" s="12" t="s">
        <v>173</v>
      </c>
      <c r="D28" s="13">
        <v>0.55902777777777779</v>
      </c>
      <c r="E28" s="13">
        <v>0.56874999999999998</v>
      </c>
      <c r="F28" s="12" t="s">
        <v>174</v>
      </c>
      <c r="G28" s="12" t="s">
        <v>144</v>
      </c>
      <c r="H28" s="14">
        <v>6.3</v>
      </c>
      <c r="I28" s="15">
        <v>20</v>
      </c>
      <c r="J28" s="15">
        <v>164</v>
      </c>
      <c r="K28" s="14">
        <f t="shared" si="0"/>
        <v>1033.2</v>
      </c>
      <c r="L28">
        <v>26</v>
      </c>
      <c r="N28" s="16" t="s">
        <v>47</v>
      </c>
      <c r="O28" t="s">
        <v>51</v>
      </c>
      <c r="P28">
        <v>24</v>
      </c>
      <c r="Q28" t="s">
        <v>50</v>
      </c>
      <c r="R28" s="17">
        <v>21</v>
      </c>
      <c r="S28" t="s">
        <v>48</v>
      </c>
      <c r="T28">
        <v>10</v>
      </c>
      <c r="W28" s="18"/>
      <c r="X28" s="2" t="s">
        <v>145</v>
      </c>
      <c r="Y28" s="3">
        <v>22.0959898864865</v>
      </c>
      <c r="Z28" s="3">
        <v>3.5072999819819799</v>
      </c>
      <c r="AA28" s="3">
        <f t="shared" si="1"/>
        <v>3623.742341383786</v>
      </c>
      <c r="AB28" s="20" t="s">
        <v>120</v>
      </c>
    </row>
    <row r="29" spans="1:28" ht="51" customHeight="1" x14ac:dyDescent="0.25">
      <c r="A29" s="12" t="s">
        <v>114</v>
      </c>
      <c r="B29" s="12" t="s">
        <v>167</v>
      </c>
      <c r="C29" s="12" t="s">
        <v>175</v>
      </c>
      <c r="D29" s="13">
        <v>0.71180555555555558</v>
      </c>
      <c r="E29" s="13">
        <v>0.72569444444444442</v>
      </c>
      <c r="F29" s="12" t="s">
        <v>169</v>
      </c>
      <c r="G29" s="12" t="s">
        <v>125</v>
      </c>
      <c r="H29" s="14">
        <v>9.6</v>
      </c>
      <c r="I29" s="15">
        <v>20</v>
      </c>
      <c r="J29" s="15">
        <v>7</v>
      </c>
      <c r="K29" s="14">
        <f t="shared" si="0"/>
        <v>67.2</v>
      </c>
      <c r="L29">
        <v>27</v>
      </c>
      <c r="N29" s="16" t="s">
        <v>83</v>
      </c>
      <c r="O29" t="s">
        <v>85</v>
      </c>
      <c r="P29">
        <v>21</v>
      </c>
      <c r="Q29" t="s">
        <v>84</v>
      </c>
      <c r="R29" s="17">
        <v>21</v>
      </c>
      <c r="S29" t="s">
        <v>84</v>
      </c>
      <c r="T29">
        <v>21</v>
      </c>
      <c r="W29" s="18" t="s">
        <v>130</v>
      </c>
      <c r="X29" s="2" t="s">
        <v>126</v>
      </c>
      <c r="Y29" s="3">
        <v>33.308795487439298</v>
      </c>
      <c r="Z29" s="3">
        <v>3.46966619660826</v>
      </c>
      <c r="AA29" s="3">
        <f t="shared" si="1"/>
        <v>233.1615684120751</v>
      </c>
      <c r="AB29" s="20" t="s">
        <v>120</v>
      </c>
    </row>
    <row r="30" spans="1:28" ht="51" customHeight="1" x14ac:dyDescent="0.25">
      <c r="A30" s="12" t="s">
        <v>114</v>
      </c>
      <c r="B30" s="12" t="s">
        <v>167</v>
      </c>
      <c r="C30" s="12" t="s">
        <v>175</v>
      </c>
      <c r="D30" s="13">
        <v>0.71180555555555558</v>
      </c>
      <c r="E30" s="13">
        <v>0.73402777777777772</v>
      </c>
      <c r="F30" s="12" t="s">
        <v>169</v>
      </c>
      <c r="G30" s="12" t="s">
        <v>152</v>
      </c>
      <c r="H30" s="14">
        <v>9.6</v>
      </c>
      <c r="I30" s="15">
        <v>20</v>
      </c>
      <c r="J30" s="15">
        <v>182</v>
      </c>
      <c r="K30" s="14">
        <f t="shared" si="0"/>
        <v>1747.2</v>
      </c>
      <c r="L30">
        <v>28</v>
      </c>
      <c r="N30" s="16" t="s">
        <v>83</v>
      </c>
      <c r="O30" t="s">
        <v>85</v>
      </c>
      <c r="P30">
        <v>21</v>
      </c>
      <c r="Q30" t="s">
        <v>84</v>
      </c>
      <c r="R30" s="17">
        <v>21</v>
      </c>
      <c r="S30" t="s">
        <v>84</v>
      </c>
      <c r="T30">
        <v>21</v>
      </c>
      <c r="W30" s="18" t="s">
        <v>130</v>
      </c>
      <c r="X30" s="2" t="s">
        <v>153</v>
      </c>
      <c r="Y30" s="3">
        <v>33.308795487439298</v>
      </c>
      <c r="Z30" s="3">
        <v>3.46966619660826</v>
      </c>
      <c r="AA30" s="3">
        <f t="shared" si="1"/>
        <v>6062.2007787139519</v>
      </c>
      <c r="AB30" s="20" t="s">
        <v>120</v>
      </c>
    </row>
    <row r="31" spans="1:28" ht="51" customHeight="1" x14ac:dyDescent="0.25">
      <c r="A31" s="12" t="s">
        <v>114</v>
      </c>
      <c r="B31" s="12" t="s">
        <v>167</v>
      </c>
      <c r="C31" s="12" t="s">
        <v>175</v>
      </c>
      <c r="D31" s="13">
        <v>0.71875</v>
      </c>
      <c r="E31" s="13">
        <v>0.72361111111111109</v>
      </c>
      <c r="F31" s="12" t="s">
        <v>176</v>
      </c>
      <c r="G31" s="23" t="s">
        <v>144</v>
      </c>
      <c r="H31" s="14">
        <v>7</v>
      </c>
      <c r="I31" s="15">
        <v>20</v>
      </c>
      <c r="J31" s="15">
        <v>164</v>
      </c>
      <c r="K31" s="14">
        <f t="shared" si="0"/>
        <v>1148</v>
      </c>
      <c r="L31">
        <v>29</v>
      </c>
      <c r="N31" s="16" t="s">
        <v>83</v>
      </c>
      <c r="O31" t="s">
        <v>85</v>
      </c>
      <c r="P31">
        <v>21</v>
      </c>
      <c r="Q31" t="s">
        <v>84</v>
      </c>
      <c r="R31" s="17">
        <v>21</v>
      </c>
      <c r="S31" t="s">
        <v>84</v>
      </c>
      <c r="T31">
        <v>21</v>
      </c>
      <c r="W31" s="18" t="s">
        <v>130</v>
      </c>
      <c r="X31" s="2" t="s">
        <v>145</v>
      </c>
      <c r="Y31" s="3">
        <v>24.2876633762578</v>
      </c>
      <c r="Z31" s="3">
        <v>3.46966619660826</v>
      </c>
      <c r="AA31" s="3">
        <f t="shared" si="1"/>
        <v>3983.1767937062791</v>
      </c>
      <c r="AB31" s="20" t="s">
        <v>120</v>
      </c>
    </row>
    <row r="32" spans="1:28" ht="76.5" customHeight="1" x14ac:dyDescent="0.25">
      <c r="A32" s="12" t="s">
        <v>114</v>
      </c>
      <c r="B32" s="12" t="s">
        <v>177</v>
      </c>
      <c r="C32" s="12" t="s">
        <v>178</v>
      </c>
      <c r="D32" s="13">
        <v>0.27291666666666659</v>
      </c>
      <c r="E32" s="13">
        <v>0.28680555555555548</v>
      </c>
      <c r="F32" s="12" t="s">
        <v>179</v>
      </c>
      <c r="G32" s="12" t="s">
        <v>129</v>
      </c>
      <c r="H32" s="14">
        <v>8</v>
      </c>
      <c r="I32" s="15">
        <v>20</v>
      </c>
      <c r="J32" s="15">
        <v>198</v>
      </c>
      <c r="K32" s="14">
        <f t="shared" si="0"/>
        <v>1584</v>
      </c>
      <c r="L32">
        <v>30</v>
      </c>
      <c r="N32" s="16" t="s">
        <v>60</v>
      </c>
      <c r="O32" t="s">
        <v>61</v>
      </c>
      <c r="P32">
        <v>21</v>
      </c>
      <c r="Q32" t="s">
        <v>65</v>
      </c>
      <c r="R32" s="17">
        <v>23</v>
      </c>
      <c r="S32" t="s">
        <v>64</v>
      </c>
      <c r="T32">
        <v>24</v>
      </c>
      <c r="W32" s="18" t="s">
        <v>130</v>
      </c>
      <c r="X32" s="2" t="s">
        <v>131</v>
      </c>
      <c r="Y32" s="3">
        <v>20.705925830050798</v>
      </c>
      <c r="Z32" s="3">
        <v>2.5882407287563498</v>
      </c>
      <c r="AA32" s="3">
        <f t="shared" si="1"/>
        <v>4099.7733143500582</v>
      </c>
      <c r="AB32" s="20" t="s">
        <v>120</v>
      </c>
    </row>
    <row r="33" spans="1:28" ht="76.5" customHeight="1" x14ac:dyDescent="0.25">
      <c r="A33" s="12" t="s">
        <v>114</v>
      </c>
      <c r="B33" s="12" t="s">
        <v>177</v>
      </c>
      <c r="C33" s="12" t="s">
        <v>180</v>
      </c>
      <c r="D33" s="13">
        <v>0.27916666666666667</v>
      </c>
      <c r="E33" s="13">
        <v>0.29097222222222219</v>
      </c>
      <c r="F33" s="12" t="s">
        <v>181</v>
      </c>
      <c r="G33" s="12" t="s">
        <v>129</v>
      </c>
      <c r="H33" s="14">
        <v>5.85</v>
      </c>
      <c r="I33" s="15">
        <v>23</v>
      </c>
      <c r="J33" s="15">
        <v>198</v>
      </c>
      <c r="K33" s="14">
        <f t="shared" si="0"/>
        <v>1158.3</v>
      </c>
      <c r="L33">
        <v>31</v>
      </c>
      <c r="N33" s="16" t="s">
        <v>60</v>
      </c>
      <c r="O33" t="s">
        <v>64</v>
      </c>
      <c r="P33">
        <v>24</v>
      </c>
      <c r="Q33" t="s">
        <v>65</v>
      </c>
      <c r="R33" s="17">
        <v>23</v>
      </c>
      <c r="S33" t="s">
        <v>61</v>
      </c>
      <c r="T33">
        <v>21</v>
      </c>
      <c r="W33" s="18" t="s">
        <v>130</v>
      </c>
      <c r="X33" s="2" t="s">
        <v>131</v>
      </c>
      <c r="Y33" s="3">
        <v>15.1412082632246</v>
      </c>
      <c r="Z33" s="3">
        <v>2.5882407287563498</v>
      </c>
      <c r="AA33" s="3">
        <f t="shared" si="1"/>
        <v>2997.9592361184709</v>
      </c>
      <c r="AB33" s="20" t="s">
        <v>120</v>
      </c>
    </row>
    <row r="34" spans="1:28" ht="76.5" customHeight="1" x14ac:dyDescent="0.25">
      <c r="A34" s="12" t="s">
        <v>182</v>
      </c>
      <c r="B34" s="12" t="s">
        <v>177</v>
      </c>
      <c r="C34" s="12" t="s">
        <v>180</v>
      </c>
      <c r="D34" s="13">
        <v>0.28125</v>
      </c>
      <c r="E34" s="13">
        <v>0.29097222222222219</v>
      </c>
      <c r="F34" s="12" t="s">
        <v>183</v>
      </c>
      <c r="G34" s="12" t="s">
        <v>121</v>
      </c>
      <c r="H34" s="14">
        <v>5</v>
      </c>
      <c r="I34" s="15">
        <v>23</v>
      </c>
      <c r="J34" s="15">
        <v>8</v>
      </c>
      <c r="K34" s="14">
        <f t="shared" si="0"/>
        <v>40</v>
      </c>
      <c r="L34">
        <v>32</v>
      </c>
      <c r="N34" s="16" t="s">
        <v>60</v>
      </c>
      <c r="O34" t="s">
        <v>64</v>
      </c>
      <c r="P34">
        <v>24</v>
      </c>
      <c r="Q34" t="s">
        <v>65</v>
      </c>
      <c r="R34" s="17">
        <v>23</v>
      </c>
      <c r="S34" t="s">
        <v>61</v>
      </c>
      <c r="T34">
        <v>21</v>
      </c>
      <c r="W34" s="18" t="s">
        <v>130</v>
      </c>
      <c r="X34" s="2" t="s">
        <v>122</v>
      </c>
      <c r="Y34" s="3">
        <v>12.941203643781799</v>
      </c>
      <c r="Z34" s="3">
        <v>2.5882407287563498</v>
      </c>
      <c r="AA34" s="3">
        <f t="shared" si="1"/>
        <v>103.52962915025439</v>
      </c>
      <c r="AB34" s="20" t="s">
        <v>120</v>
      </c>
    </row>
    <row r="35" spans="1:28" ht="76.5" customHeight="1" x14ac:dyDescent="0.25">
      <c r="A35" s="12" t="s">
        <v>114</v>
      </c>
      <c r="B35" s="12" t="s">
        <v>177</v>
      </c>
      <c r="C35" s="12" t="s">
        <v>184</v>
      </c>
      <c r="D35" s="13">
        <v>0.28680555555555548</v>
      </c>
      <c r="E35" s="13">
        <v>0.31111111111111112</v>
      </c>
      <c r="F35" s="12" t="s">
        <v>185</v>
      </c>
      <c r="G35" s="12" t="s">
        <v>144</v>
      </c>
      <c r="H35" s="14">
        <v>13.8</v>
      </c>
      <c r="I35" s="15">
        <v>20</v>
      </c>
      <c r="J35" s="15">
        <v>164</v>
      </c>
      <c r="K35" s="14">
        <f t="shared" si="0"/>
        <v>2263.2000000000003</v>
      </c>
      <c r="L35">
        <v>33</v>
      </c>
      <c r="N35" s="16" t="s">
        <v>60</v>
      </c>
      <c r="O35" t="s">
        <v>61</v>
      </c>
      <c r="P35">
        <v>21</v>
      </c>
      <c r="Q35" t="s">
        <v>65</v>
      </c>
      <c r="R35" s="17">
        <v>23</v>
      </c>
      <c r="S35" t="s">
        <v>64</v>
      </c>
      <c r="T35">
        <v>24</v>
      </c>
      <c r="W35" s="18" t="s">
        <v>130</v>
      </c>
      <c r="X35" s="2" t="s">
        <v>145</v>
      </c>
      <c r="Y35" s="3">
        <v>35.717722056837601</v>
      </c>
      <c r="Z35" s="3">
        <v>2.5882407287563498</v>
      </c>
      <c r="AA35" s="3">
        <f t="shared" si="1"/>
        <v>5857.7064173213666</v>
      </c>
      <c r="AB35" s="20" t="s">
        <v>120</v>
      </c>
    </row>
    <row r="36" spans="1:28" ht="76.5" customHeight="1" x14ac:dyDescent="0.25">
      <c r="A36" s="12" t="s">
        <v>114</v>
      </c>
      <c r="B36" s="12" t="s">
        <v>177</v>
      </c>
      <c r="C36" s="12" t="s">
        <v>184</v>
      </c>
      <c r="D36" s="13">
        <v>0.30555555555555558</v>
      </c>
      <c r="E36" s="13">
        <v>0.32777777777777778</v>
      </c>
      <c r="F36" s="12" t="s">
        <v>185</v>
      </c>
      <c r="G36" s="12" t="s">
        <v>147</v>
      </c>
      <c r="H36" s="14">
        <v>13.8</v>
      </c>
      <c r="I36" s="15">
        <v>20</v>
      </c>
      <c r="J36" s="15">
        <v>34</v>
      </c>
      <c r="K36" s="14">
        <f t="shared" si="0"/>
        <v>469.20000000000005</v>
      </c>
      <c r="L36">
        <v>34</v>
      </c>
      <c r="N36" s="16" t="s">
        <v>60</v>
      </c>
      <c r="O36" t="s">
        <v>61</v>
      </c>
      <c r="P36">
        <v>21</v>
      </c>
      <c r="Q36" t="s">
        <v>65</v>
      </c>
      <c r="R36" s="17">
        <v>23</v>
      </c>
      <c r="S36" t="s">
        <v>64</v>
      </c>
      <c r="T36">
        <v>24</v>
      </c>
      <c r="W36" s="18" t="s">
        <v>130</v>
      </c>
      <c r="X36" s="2" t="s">
        <v>149</v>
      </c>
      <c r="Y36" s="3">
        <v>35.717722056837601</v>
      </c>
      <c r="Z36" s="3">
        <v>2.5882407287563498</v>
      </c>
      <c r="AA36" s="3">
        <f t="shared" si="1"/>
        <v>1214.4025499324785</v>
      </c>
      <c r="AB36" s="20" t="s">
        <v>120</v>
      </c>
    </row>
    <row r="37" spans="1:28" ht="51" customHeight="1" x14ac:dyDescent="0.25">
      <c r="A37" s="12" t="s">
        <v>114</v>
      </c>
      <c r="B37" s="12" t="s">
        <v>177</v>
      </c>
      <c r="C37" s="12" t="s">
        <v>186</v>
      </c>
      <c r="D37" s="13">
        <v>0.2951388888888889</v>
      </c>
      <c r="E37" s="13">
        <v>0.3</v>
      </c>
      <c r="F37" s="12" t="s">
        <v>187</v>
      </c>
      <c r="G37" s="12" t="s">
        <v>144</v>
      </c>
      <c r="H37" s="14">
        <v>2.9</v>
      </c>
      <c r="I37" s="15">
        <v>20</v>
      </c>
      <c r="J37" s="15">
        <v>164</v>
      </c>
      <c r="K37" s="14">
        <f t="shared" si="0"/>
        <v>475.59999999999997</v>
      </c>
      <c r="L37">
        <v>35</v>
      </c>
      <c r="N37" s="16" t="s">
        <v>83</v>
      </c>
      <c r="O37" t="s">
        <v>85</v>
      </c>
      <c r="P37">
        <v>21</v>
      </c>
      <c r="Q37" t="s">
        <v>84</v>
      </c>
      <c r="R37" s="17">
        <v>21</v>
      </c>
      <c r="S37" t="s">
        <v>84</v>
      </c>
      <c r="T37">
        <v>21</v>
      </c>
      <c r="W37" s="18" t="s">
        <v>130</v>
      </c>
      <c r="X37" s="2" t="s">
        <v>145</v>
      </c>
      <c r="Y37" s="3">
        <v>10.062031970164</v>
      </c>
      <c r="Z37" s="3">
        <v>3.46966619660826</v>
      </c>
      <c r="AA37" s="3">
        <f t="shared" si="1"/>
        <v>1650.1732431068961</v>
      </c>
      <c r="AB37" s="20" t="s">
        <v>120</v>
      </c>
    </row>
    <row r="38" spans="1:28" ht="63.75" customHeight="1" x14ac:dyDescent="0.25">
      <c r="A38" s="12" t="s">
        <v>114</v>
      </c>
      <c r="B38" s="12" t="s">
        <v>177</v>
      </c>
      <c r="C38" s="12" t="s">
        <v>186</v>
      </c>
      <c r="D38" s="13">
        <v>0.3</v>
      </c>
      <c r="E38" s="13">
        <v>0.30694444444444452</v>
      </c>
      <c r="F38" s="12" t="s">
        <v>188</v>
      </c>
      <c r="G38" s="12" t="s">
        <v>189</v>
      </c>
      <c r="H38" s="14">
        <v>4</v>
      </c>
      <c r="I38" s="15">
        <v>20</v>
      </c>
      <c r="J38" s="15">
        <v>28</v>
      </c>
      <c r="K38" s="14">
        <f t="shared" si="0"/>
        <v>112</v>
      </c>
      <c r="L38">
        <v>36</v>
      </c>
      <c r="N38" s="16" t="s">
        <v>83</v>
      </c>
      <c r="O38" t="s">
        <v>85</v>
      </c>
      <c r="P38">
        <v>21</v>
      </c>
      <c r="Q38" t="s">
        <v>84</v>
      </c>
      <c r="R38" s="17">
        <v>21</v>
      </c>
      <c r="S38" t="s">
        <v>84</v>
      </c>
      <c r="T38">
        <v>21</v>
      </c>
      <c r="W38" s="18" t="s">
        <v>130</v>
      </c>
      <c r="X38" s="2" t="s">
        <v>190</v>
      </c>
      <c r="Y38" s="3">
        <v>13.878664786432999</v>
      </c>
      <c r="Z38" s="3">
        <v>3.46966619660826</v>
      </c>
      <c r="AA38" s="3">
        <f t="shared" si="1"/>
        <v>388.60261402012395</v>
      </c>
      <c r="AB38" s="20" t="s">
        <v>191</v>
      </c>
    </row>
    <row r="39" spans="1:28" ht="51" customHeight="1" x14ac:dyDescent="0.25">
      <c r="A39" s="12" t="s">
        <v>114</v>
      </c>
      <c r="B39" s="12" t="s">
        <v>177</v>
      </c>
      <c r="C39" s="12" t="s">
        <v>186</v>
      </c>
      <c r="D39" s="13">
        <v>0.3</v>
      </c>
      <c r="E39" s="13">
        <v>0.30694444444444452</v>
      </c>
      <c r="F39" s="12" t="s">
        <v>188</v>
      </c>
      <c r="G39" s="12" t="s">
        <v>147</v>
      </c>
      <c r="H39" s="14">
        <v>4</v>
      </c>
      <c r="I39" s="15">
        <v>20</v>
      </c>
      <c r="J39" s="15">
        <v>34</v>
      </c>
      <c r="K39" s="14">
        <f t="shared" si="0"/>
        <v>136</v>
      </c>
      <c r="L39">
        <v>37</v>
      </c>
      <c r="N39" s="16" t="s">
        <v>83</v>
      </c>
      <c r="O39" t="s">
        <v>85</v>
      </c>
      <c r="P39">
        <v>21</v>
      </c>
      <c r="Q39" t="s">
        <v>84</v>
      </c>
      <c r="R39" s="17">
        <v>21</v>
      </c>
      <c r="S39" t="s">
        <v>84</v>
      </c>
      <c r="T39">
        <v>21</v>
      </c>
      <c r="W39" s="18" t="s">
        <v>130</v>
      </c>
      <c r="X39" s="2" t="s">
        <v>149</v>
      </c>
      <c r="Y39" s="3">
        <v>13.878664786432999</v>
      </c>
      <c r="Z39" s="3">
        <v>3.46966619660826</v>
      </c>
      <c r="AA39" s="3">
        <f t="shared" si="1"/>
        <v>471.87460273872199</v>
      </c>
      <c r="AB39" s="20" t="s">
        <v>150</v>
      </c>
    </row>
    <row r="40" spans="1:28" ht="51" customHeight="1" x14ac:dyDescent="0.25">
      <c r="A40" s="12" t="s">
        <v>114</v>
      </c>
      <c r="B40" s="12" t="s">
        <v>177</v>
      </c>
      <c r="C40" s="12" t="s">
        <v>186</v>
      </c>
      <c r="D40" s="13">
        <v>0.30208333333333331</v>
      </c>
      <c r="E40" s="13">
        <v>0.30694444444444452</v>
      </c>
      <c r="F40" s="12" t="s">
        <v>192</v>
      </c>
      <c r="G40" s="12" t="s">
        <v>144</v>
      </c>
      <c r="H40" s="14">
        <v>2.2999999999999998</v>
      </c>
      <c r="I40" s="15">
        <v>20</v>
      </c>
      <c r="J40" s="15">
        <v>164</v>
      </c>
      <c r="K40" s="14">
        <f t="shared" si="0"/>
        <v>377.2</v>
      </c>
      <c r="L40">
        <v>38</v>
      </c>
      <c r="N40" s="16" t="s">
        <v>83</v>
      </c>
      <c r="O40" t="s">
        <v>85</v>
      </c>
      <c r="P40">
        <v>21</v>
      </c>
      <c r="Q40" t="s">
        <v>84</v>
      </c>
      <c r="R40" s="17">
        <v>21</v>
      </c>
      <c r="S40" t="s">
        <v>84</v>
      </c>
      <c r="T40">
        <v>21</v>
      </c>
      <c r="W40" s="18" t="s">
        <v>130</v>
      </c>
      <c r="X40" s="2" t="s">
        <v>145</v>
      </c>
      <c r="Y40" s="3">
        <v>7.9802322521990003</v>
      </c>
      <c r="Z40" s="3">
        <v>3.46966619660826</v>
      </c>
      <c r="AA40" s="3">
        <f t="shared" si="1"/>
        <v>1308.7580893606359</v>
      </c>
      <c r="AB40" s="20" t="s">
        <v>120</v>
      </c>
    </row>
    <row r="41" spans="1:28" ht="76.5" customHeight="1" x14ac:dyDescent="0.25">
      <c r="A41" s="12" t="s">
        <v>114</v>
      </c>
      <c r="B41" s="12" t="s">
        <v>177</v>
      </c>
      <c r="C41" s="12" t="s">
        <v>193</v>
      </c>
      <c r="D41" s="13">
        <v>0.33680555555555558</v>
      </c>
      <c r="E41" s="13">
        <v>0.3527777777777778</v>
      </c>
      <c r="F41" s="12" t="s">
        <v>194</v>
      </c>
      <c r="G41" s="12" t="s">
        <v>144</v>
      </c>
      <c r="H41" s="14">
        <v>9.5</v>
      </c>
      <c r="I41" s="15">
        <v>20</v>
      </c>
      <c r="J41" s="15">
        <v>164</v>
      </c>
      <c r="K41" s="14">
        <f t="shared" si="0"/>
        <v>1558</v>
      </c>
      <c r="L41">
        <v>39</v>
      </c>
      <c r="N41" s="16" t="s">
        <v>60</v>
      </c>
      <c r="O41" t="s">
        <v>61</v>
      </c>
      <c r="P41">
        <v>21</v>
      </c>
      <c r="Q41" t="s">
        <v>65</v>
      </c>
      <c r="R41" s="17">
        <v>23</v>
      </c>
      <c r="S41" t="s">
        <v>64</v>
      </c>
      <c r="T41">
        <v>24</v>
      </c>
      <c r="W41" s="18" t="s">
        <v>130</v>
      </c>
      <c r="X41" s="2" t="s">
        <v>145</v>
      </c>
      <c r="Y41" s="3">
        <v>24.588286923185301</v>
      </c>
      <c r="Z41" s="3">
        <v>2.5882407287563498</v>
      </c>
      <c r="AA41" s="3">
        <f t="shared" si="1"/>
        <v>4032.4790554023893</v>
      </c>
      <c r="AB41" s="20" t="s">
        <v>120</v>
      </c>
    </row>
    <row r="42" spans="1:28" ht="76.5" customHeight="1" x14ac:dyDescent="0.25">
      <c r="A42" s="12" t="s">
        <v>114</v>
      </c>
      <c r="B42" s="12" t="s">
        <v>177</v>
      </c>
      <c r="C42" s="12" t="s">
        <v>195</v>
      </c>
      <c r="D42" s="13">
        <v>0.3576388888888889</v>
      </c>
      <c r="E42" s="13">
        <v>0.37222222222222218</v>
      </c>
      <c r="F42" s="12" t="s">
        <v>196</v>
      </c>
      <c r="G42" s="12" t="s">
        <v>118</v>
      </c>
      <c r="H42" s="14">
        <v>8</v>
      </c>
      <c r="I42" s="15">
        <v>20</v>
      </c>
      <c r="J42" s="15">
        <v>218</v>
      </c>
      <c r="K42" s="14">
        <f t="shared" si="0"/>
        <v>1744</v>
      </c>
      <c r="L42">
        <v>40</v>
      </c>
      <c r="N42" s="16" t="s">
        <v>60</v>
      </c>
      <c r="O42" t="s">
        <v>61</v>
      </c>
      <c r="P42">
        <v>21</v>
      </c>
      <c r="Q42" t="s">
        <v>65</v>
      </c>
      <c r="R42" s="17">
        <v>23</v>
      </c>
      <c r="S42" t="s">
        <v>64</v>
      </c>
      <c r="T42">
        <v>24</v>
      </c>
      <c r="W42" s="18" t="s">
        <v>130</v>
      </c>
      <c r="X42" s="2" t="s">
        <v>119</v>
      </c>
      <c r="Y42" s="3">
        <v>20.705925830050798</v>
      </c>
      <c r="Z42" s="3">
        <v>2.5882407287563498</v>
      </c>
      <c r="AA42" s="3">
        <f t="shared" si="1"/>
        <v>4513.8918309510736</v>
      </c>
      <c r="AB42" s="20" t="s">
        <v>120</v>
      </c>
    </row>
    <row r="43" spans="1:28" ht="51" customHeight="1" x14ac:dyDescent="0.25">
      <c r="A43" s="12" t="s">
        <v>114</v>
      </c>
      <c r="B43" s="12" t="s">
        <v>177</v>
      </c>
      <c r="C43" s="12" t="s">
        <v>197</v>
      </c>
      <c r="D43" s="13">
        <v>0.39930555555555558</v>
      </c>
      <c r="E43" s="13">
        <v>0.4152777777777778</v>
      </c>
      <c r="F43" s="12" t="s">
        <v>198</v>
      </c>
      <c r="G43" s="12" t="s">
        <v>199</v>
      </c>
      <c r="H43" s="14">
        <v>10</v>
      </c>
      <c r="I43" s="15">
        <v>23</v>
      </c>
      <c r="J43" s="15">
        <v>74</v>
      </c>
      <c r="K43" s="14">
        <f t="shared" si="0"/>
        <v>740</v>
      </c>
      <c r="L43">
        <v>41</v>
      </c>
      <c r="N43" s="16" t="s">
        <v>80</v>
      </c>
      <c r="O43" t="s">
        <v>81</v>
      </c>
      <c r="P43">
        <v>24</v>
      </c>
      <c r="Q43" t="s">
        <v>82</v>
      </c>
      <c r="R43" s="17">
        <v>22</v>
      </c>
      <c r="S43" t="s">
        <v>82</v>
      </c>
      <c r="T43">
        <v>22</v>
      </c>
      <c r="W43" s="18"/>
      <c r="X43" s="2" t="s">
        <v>200</v>
      </c>
      <c r="Y43" s="3">
        <v>40.621148039663098</v>
      </c>
      <c r="Z43" s="19">
        <v>4.0621148039663098</v>
      </c>
      <c r="AA43" s="3">
        <f t="shared" si="1"/>
        <v>3005.9649549350693</v>
      </c>
      <c r="AB43" s="20" t="s">
        <v>120</v>
      </c>
    </row>
    <row r="44" spans="1:28" ht="51" customHeight="1" x14ac:dyDescent="0.25">
      <c r="A44" s="12" t="s">
        <v>114</v>
      </c>
      <c r="B44" s="12" t="s">
        <v>177</v>
      </c>
      <c r="C44" s="12" t="s">
        <v>197</v>
      </c>
      <c r="D44" s="13">
        <v>0.39930555555555558</v>
      </c>
      <c r="E44" s="13">
        <v>0.40902777777777782</v>
      </c>
      <c r="F44" s="12" t="s">
        <v>201</v>
      </c>
      <c r="G44" s="12" t="s">
        <v>202</v>
      </c>
      <c r="H44" s="14">
        <v>5</v>
      </c>
      <c r="I44" s="15">
        <v>22</v>
      </c>
      <c r="J44" s="15">
        <v>74</v>
      </c>
      <c r="K44" s="14">
        <f t="shared" si="0"/>
        <v>370</v>
      </c>
      <c r="L44">
        <v>42</v>
      </c>
      <c r="N44" s="16" t="s">
        <v>80</v>
      </c>
      <c r="O44" t="s">
        <v>81</v>
      </c>
      <c r="P44">
        <v>24</v>
      </c>
      <c r="Q44" t="s">
        <v>82</v>
      </c>
      <c r="R44" s="17">
        <v>22</v>
      </c>
      <c r="S44" t="s">
        <v>82</v>
      </c>
      <c r="T44">
        <v>22</v>
      </c>
      <c r="W44" s="18"/>
      <c r="X44" s="2" t="s">
        <v>203</v>
      </c>
      <c r="Y44" s="3">
        <v>20.310574019831598</v>
      </c>
      <c r="Z44" s="19">
        <v>4.0621148039663098</v>
      </c>
      <c r="AA44" s="3">
        <f t="shared" si="1"/>
        <v>1502.9824774675383</v>
      </c>
      <c r="AB44" s="20" t="s">
        <v>120</v>
      </c>
    </row>
    <row r="45" spans="1:28" ht="51" customHeight="1" x14ac:dyDescent="0.25">
      <c r="A45" s="12" t="s">
        <v>114</v>
      </c>
      <c r="B45" s="12" t="s">
        <v>177</v>
      </c>
      <c r="C45" s="12" t="s">
        <v>204</v>
      </c>
      <c r="D45" s="13">
        <v>0.4201388888888889</v>
      </c>
      <c r="E45" s="13">
        <v>0.4513888888888889</v>
      </c>
      <c r="F45" s="12" t="s">
        <v>205</v>
      </c>
      <c r="G45" s="12" t="s">
        <v>206</v>
      </c>
      <c r="H45" s="14">
        <v>16</v>
      </c>
      <c r="I45" s="15">
        <v>20</v>
      </c>
      <c r="J45" s="15">
        <v>189</v>
      </c>
      <c r="K45" s="14">
        <f t="shared" si="0"/>
        <v>3024</v>
      </c>
      <c r="L45">
        <v>43</v>
      </c>
      <c r="N45" s="16" t="s">
        <v>83</v>
      </c>
      <c r="O45" t="s">
        <v>85</v>
      </c>
      <c r="P45">
        <v>21</v>
      </c>
      <c r="Q45" t="s">
        <v>84</v>
      </c>
      <c r="R45" s="17">
        <v>21</v>
      </c>
      <c r="S45" t="s">
        <v>84</v>
      </c>
      <c r="T45">
        <v>21</v>
      </c>
      <c r="W45" s="18" t="s">
        <v>130</v>
      </c>
      <c r="X45" s="2" t="s">
        <v>207</v>
      </c>
      <c r="Y45" s="3">
        <v>55.514659145732203</v>
      </c>
      <c r="Z45" s="3">
        <v>3.46966619660826</v>
      </c>
      <c r="AA45" s="3">
        <f t="shared" si="1"/>
        <v>10492.270578543386</v>
      </c>
      <c r="AB45" s="20" t="s">
        <v>120</v>
      </c>
    </row>
    <row r="46" spans="1:28" ht="51" customHeight="1" x14ac:dyDescent="0.25">
      <c r="A46" s="12" t="s">
        <v>114</v>
      </c>
      <c r="B46" s="12" t="s">
        <v>177</v>
      </c>
      <c r="C46" s="12" t="s">
        <v>204</v>
      </c>
      <c r="D46" s="13">
        <v>0.4201388888888889</v>
      </c>
      <c r="E46" s="13">
        <v>0.4513888888888889</v>
      </c>
      <c r="F46" s="12" t="s">
        <v>205</v>
      </c>
      <c r="G46" s="12" t="s">
        <v>208</v>
      </c>
      <c r="H46" s="14">
        <v>16</v>
      </c>
      <c r="I46" s="15">
        <v>20</v>
      </c>
      <c r="J46" s="15">
        <v>47</v>
      </c>
      <c r="K46" s="14">
        <f t="shared" si="0"/>
        <v>752</v>
      </c>
      <c r="L46">
        <v>44</v>
      </c>
      <c r="N46" s="16" t="s">
        <v>83</v>
      </c>
      <c r="O46" t="s">
        <v>85</v>
      </c>
      <c r="P46">
        <v>21</v>
      </c>
      <c r="Q46" t="s">
        <v>84</v>
      </c>
      <c r="R46" s="17">
        <v>21</v>
      </c>
      <c r="S46" t="s">
        <v>84</v>
      </c>
      <c r="T46">
        <v>21</v>
      </c>
      <c r="W46" s="18" t="s">
        <v>130</v>
      </c>
      <c r="X46" s="2" t="s">
        <v>209</v>
      </c>
      <c r="Y46" s="3">
        <v>55.514659145732203</v>
      </c>
      <c r="Z46" s="3">
        <v>3.46966619660826</v>
      </c>
      <c r="AA46" s="3">
        <f t="shared" si="1"/>
        <v>2609.1889798494135</v>
      </c>
      <c r="AB46" s="20" t="s">
        <v>120</v>
      </c>
    </row>
    <row r="47" spans="1:28" ht="51" customHeight="1" x14ac:dyDescent="0.25">
      <c r="A47" s="12" t="s">
        <v>114</v>
      </c>
      <c r="B47" s="12" t="s">
        <v>177</v>
      </c>
      <c r="C47" s="12" t="s">
        <v>210</v>
      </c>
      <c r="D47" s="13">
        <v>0.50347222222222221</v>
      </c>
      <c r="E47" s="13">
        <v>0.52430555555555558</v>
      </c>
      <c r="F47" s="12" t="s">
        <v>211</v>
      </c>
      <c r="G47" s="12" t="s">
        <v>199</v>
      </c>
      <c r="H47" s="14">
        <v>11</v>
      </c>
      <c r="I47" s="15">
        <v>23</v>
      </c>
      <c r="J47" s="15">
        <v>74</v>
      </c>
      <c r="K47" s="14">
        <f t="shared" si="0"/>
        <v>814</v>
      </c>
      <c r="L47">
        <v>45</v>
      </c>
      <c r="N47" s="16" t="s">
        <v>80</v>
      </c>
      <c r="O47" t="s">
        <v>81</v>
      </c>
      <c r="P47">
        <v>24</v>
      </c>
      <c r="Q47" t="s">
        <v>82</v>
      </c>
      <c r="R47" s="17">
        <v>22</v>
      </c>
      <c r="S47" t="s">
        <v>82</v>
      </c>
      <c r="T47">
        <v>22</v>
      </c>
      <c r="W47" s="18"/>
      <c r="X47" s="2" t="s">
        <v>200</v>
      </c>
      <c r="Y47" s="3">
        <v>44.6832628436294</v>
      </c>
      <c r="Z47" s="19">
        <v>4.0621148039663098</v>
      </c>
      <c r="AA47" s="3">
        <f t="shared" si="1"/>
        <v>3306.5614504285754</v>
      </c>
      <c r="AB47" s="20" t="s">
        <v>120</v>
      </c>
    </row>
    <row r="48" spans="1:28" ht="51" customHeight="1" x14ac:dyDescent="0.25">
      <c r="A48" s="12" t="s">
        <v>114</v>
      </c>
      <c r="B48" s="12" t="s">
        <v>177</v>
      </c>
      <c r="C48" s="12" t="s">
        <v>210</v>
      </c>
      <c r="D48" s="13">
        <v>0.50347222222222221</v>
      </c>
      <c r="E48" s="13">
        <v>0.51180555555555551</v>
      </c>
      <c r="F48" s="12" t="s">
        <v>212</v>
      </c>
      <c r="G48" s="12" t="s">
        <v>202</v>
      </c>
      <c r="H48" s="14">
        <v>5</v>
      </c>
      <c r="I48" s="15">
        <v>22</v>
      </c>
      <c r="J48" s="15">
        <v>74</v>
      </c>
      <c r="K48" s="14">
        <f t="shared" si="0"/>
        <v>370</v>
      </c>
      <c r="L48">
        <v>46</v>
      </c>
      <c r="N48" s="16" t="s">
        <v>80</v>
      </c>
      <c r="O48" t="s">
        <v>81</v>
      </c>
      <c r="P48">
        <v>24</v>
      </c>
      <c r="Q48" t="s">
        <v>82</v>
      </c>
      <c r="R48" s="17">
        <v>22</v>
      </c>
      <c r="S48" t="s">
        <v>82</v>
      </c>
      <c r="T48">
        <v>22</v>
      </c>
      <c r="W48" s="18"/>
      <c r="X48" s="2" t="s">
        <v>203</v>
      </c>
      <c r="Y48" s="3">
        <v>20.310574019831598</v>
      </c>
      <c r="Z48" s="19">
        <v>4.0621148039663098</v>
      </c>
      <c r="AA48" s="3">
        <f t="shared" si="1"/>
        <v>1502.9824774675383</v>
      </c>
      <c r="AB48" s="20" t="s">
        <v>120</v>
      </c>
    </row>
    <row r="49" spans="1:28" ht="76.5" customHeight="1" x14ac:dyDescent="0.25">
      <c r="A49" s="12" t="s">
        <v>114</v>
      </c>
      <c r="B49" s="12" t="s">
        <v>177</v>
      </c>
      <c r="C49" s="12" t="s">
        <v>213</v>
      </c>
      <c r="D49" s="13">
        <v>0.54305555555555551</v>
      </c>
      <c r="E49" s="13">
        <v>0.55694444444444446</v>
      </c>
      <c r="F49" s="12" t="s">
        <v>214</v>
      </c>
      <c r="G49" s="12" t="s">
        <v>129</v>
      </c>
      <c r="H49" s="14">
        <v>8</v>
      </c>
      <c r="I49" s="15">
        <v>22</v>
      </c>
      <c r="J49" s="15">
        <v>198</v>
      </c>
      <c r="K49" s="14">
        <f t="shared" si="0"/>
        <v>1584</v>
      </c>
      <c r="L49">
        <v>47</v>
      </c>
      <c r="N49" s="16" t="s">
        <v>60</v>
      </c>
      <c r="O49" t="s">
        <v>65</v>
      </c>
      <c r="P49">
        <v>23</v>
      </c>
      <c r="Q49" t="s">
        <v>61</v>
      </c>
      <c r="R49" s="17">
        <v>21</v>
      </c>
      <c r="S49" t="s">
        <v>64</v>
      </c>
      <c r="T49">
        <v>24</v>
      </c>
      <c r="W49" s="18" t="s">
        <v>130</v>
      </c>
      <c r="X49" s="2" t="s">
        <v>131</v>
      </c>
      <c r="Y49" s="3">
        <v>20.705925830050798</v>
      </c>
      <c r="Z49" s="3">
        <v>2.5882407287563498</v>
      </c>
      <c r="AA49" s="3">
        <f t="shared" si="1"/>
        <v>4099.7733143500582</v>
      </c>
      <c r="AB49" s="20" t="s">
        <v>120</v>
      </c>
    </row>
    <row r="50" spans="1:28" ht="76.5" customHeight="1" x14ac:dyDescent="0.25">
      <c r="A50" s="12" t="s">
        <v>114</v>
      </c>
      <c r="B50" s="12" t="s">
        <v>177</v>
      </c>
      <c r="C50" s="12" t="s">
        <v>215</v>
      </c>
      <c r="D50" s="13">
        <v>0.55555555555555558</v>
      </c>
      <c r="E50" s="13">
        <v>0.56944444444444442</v>
      </c>
      <c r="F50" s="12" t="s">
        <v>216</v>
      </c>
      <c r="G50" s="12" t="s">
        <v>129</v>
      </c>
      <c r="H50" s="14">
        <v>5.5</v>
      </c>
      <c r="I50" s="15">
        <v>20</v>
      </c>
      <c r="J50" s="15">
        <v>198</v>
      </c>
      <c r="K50" s="14">
        <f t="shared" si="0"/>
        <v>1089</v>
      </c>
      <c r="L50">
        <v>48</v>
      </c>
      <c r="N50" s="16" t="s">
        <v>60</v>
      </c>
      <c r="O50" t="s">
        <v>61</v>
      </c>
      <c r="P50">
        <v>21</v>
      </c>
      <c r="Q50" t="s">
        <v>65</v>
      </c>
      <c r="R50" s="17">
        <v>23</v>
      </c>
      <c r="S50" t="s">
        <v>64</v>
      </c>
      <c r="T50">
        <v>24</v>
      </c>
      <c r="W50" s="18" t="s">
        <v>130</v>
      </c>
      <c r="X50" s="2" t="s">
        <v>131</v>
      </c>
      <c r="Y50" s="3">
        <v>14.2353240081599</v>
      </c>
      <c r="Z50" s="3">
        <v>2.5882407287563498</v>
      </c>
      <c r="AA50" s="3">
        <f t="shared" si="1"/>
        <v>2818.5941536156602</v>
      </c>
      <c r="AB50" s="20" t="s">
        <v>120</v>
      </c>
    </row>
    <row r="51" spans="1:28" ht="51" customHeight="1" x14ac:dyDescent="0.25">
      <c r="A51" s="12" t="s">
        <v>114</v>
      </c>
      <c r="B51" s="12" t="s">
        <v>177</v>
      </c>
      <c r="C51" s="12" t="s">
        <v>215</v>
      </c>
      <c r="D51" s="13">
        <v>0.55555555555555558</v>
      </c>
      <c r="E51" s="13">
        <v>0.56944444444444442</v>
      </c>
      <c r="F51" s="12" t="s">
        <v>217</v>
      </c>
      <c r="G51" s="12" t="s">
        <v>144</v>
      </c>
      <c r="H51" s="14">
        <v>3</v>
      </c>
      <c r="I51" s="15">
        <v>23</v>
      </c>
      <c r="J51" s="15">
        <v>164</v>
      </c>
      <c r="K51" s="14">
        <f t="shared" si="0"/>
        <v>492</v>
      </c>
      <c r="L51">
        <v>49</v>
      </c>
      <c r="N51" s="16" t="s">
        <v>80</v>
      </c>
      <c r="O51" t="s">
        <v>81</v>
      </c>
      <c r="P51">
        <v>24</v>
      </c>
      <c r="Q51" t="s">
        <v>82</v>
      </c>
      <c r="R51" s="17">
        <v>22</v>
      </c>
      <c r="S51" t="s">
        <v>82</v>
      </c>
      <c r="T51">
        <v>22</v>
      </c>
      <c r="W51" s="18"/>
      <c r="X51" s="2" t="s">
        <v>145</v>
      </c>
      <c r="Y51" s="3">
        <v>12.186344411898901</v>
      </c>
      <c r="Z51" s="19">
        <v>4.0621148039663098</v>
      </c>
      <c r="AA51" s="3">
        <f t="shared" si="1"/>
        <v>1998.5604835514198</v>
      </c>
      <c r="AB51" s="20" t="s">
        <v>120</v>
      </c>
    </row>
    <row r="52" spans="1:28" ht="76.5" customHeight="1" x14ac:dyDescent="0.25">
      <c r="A52" s="12" t="s">
        <v>114</v>
      </c>
      <c r="B52" s="12" t="s">
        <v>177</v>
      </c>
      <c r="C52" s="12" t="s">
        <v>218</v>
      </c>
      <c r="D52" s="13">
        <v>0.57291666666666663</v>
      </c>
      <c r="E52" s="13">
        <v>0.59444444444444444</v>
      </c>
      <c r="F52" s="12" t="s">
        <v>219</v>
      </c>
      <c r="G52" s="12" t="s">
        <v>129</v>
      </c>
      <c r="H52" s="14">
        <v>9.5</v>
      </c>
      <c r="I52" s="15">
        <v>20</v>
      </c>
      <c r="J52" s="15">
        <v>198</v>
      </c>
      <c r="K52" s="14">
        <f t="shared" si="0"/>
        <v>1881</v>
      </c>
      <c r="L52">
        <v>50</v>
      </c>
      <c r="N52" s="16" t="s">
        <v>60</v>
      </c>
      <c r="O52" t="s">
        <v>64</v>
      </c>
      <c r="P52">
        <v>24</v>
      </c>
      <c r="Q52" t="s">
        <v>65</v>
      </c>
      <c r="R52" s="17">
        <v>23</v>
      </c>
      <c r="S52" t="s">
        <v>61</v>
      </c>
      <c r="T52">
        <v>21</v>
      </c>
      <c r="W52" s="18" t="s">
        <v>130</v>
      </c>
      <c r="X52" s="2" t="s">
        <v>131</v>
      </c>
      <c r="Y52" s="3">
        <v>24.588286923185301</v>
      </c>
      <c r="Z52" s="3">
        <v>2.5882407287563498</v>
      </c>
      <c r="AA52" s="3">
        <f t="shared" si="1"/>
        <v>4868.4808107906892</v>
      </c>
      <c r="AB52" s="20" t="s">
        <v>120</v>
      </c>
    </row>
    <row r="53" spans="1:28" ht="51" customHeight="1" x14ac:dyDescent="0.25">
      <c r="A53" s="12" t="s">
        <v>114</v>
      </c>
      <c r="B53" s="12" t="s">
        <v>177</v>
      </c>
      <c r="C53" s="12" t="s">
        <v>220</v>
      </c>
      <c r="D53" s="13">
        <v>0.58194444444444449</v>
      </c>
      <c r="E53" s="13">
        <v>0.59305555555555556</v>
      </c>
      <c r="F53" s="12" t="s">
        <v>221</v>
      </c>
      <c r="G53" s="12" t="s">
        <v>129</v>
      </c>
      <c r="H53" s="14">
        <v>6.7</v>
      </c>
      <c r="I53" s="15">
        <v>23</v>
      </c>
      <c r="J53" s="15">
        <v>198</v>
      </c>
      <c r="K53" s="14">
        <f t="shared" si="0"/>
        <v>1326.6000000000001</v>
      </c>
      <c r="L53">
        <v>51</v>
      </c>
      <c r="N53" s="16" t="s">
        <v>80</v>
      </c>
      <c r="O53" t="s">
        <v>81</v>
      </c>
      <c r="P53">
        <v>24</v>
      </c>
      <c r="Q53" t="s">
        <v>82</v>
      </c>
      <c r="R53" s="17">
        <v>22</v>
      </c>
      <c r="S53" t="s">
        <v>82</v>
      </c>
      <c r="T53">
        <v>22</v>
      </c>
      <c r="W53" s="18"/>
      <c r="X53" s="2" t="s">
        <v>131</v>
      </c>
      <c r="Y53" s="3">
        <v>27.216169186574302</v>
      </c>
      <c r="Z53" s="19">
        <v>4.0621148039663098</v>
      </c>
      <c r="AA53" s="3">
        <f t="shared" si="1"/>
        <v>5388.8014989417115</v>
      </c>
      <c r="AB53" s="20" t="s">
        <v>120</v>
      </c>
    </row>
    <row r="54" spans="1:28" ht="76.5" customHeight="1" x14ac:dyDescent="0.25">
      <c r="A54" s="12" t="s">
        <v>114</v>
      </c>
      <c r="B54" s="12" t="s">
        <v>177</v>
      </c>
      <c r="C54" s="12" t="s">
        <v>222</v>
      </c>
      <c r="D54" s="13">
        <v>0.59375</v>
      </c>
      <c r="E54" s="13">
        <v>0.60763888888888884</v>
      </c>
      <c r="F54" s="21" t="s">
        <v>223</v>
      </c>
      <c r="G54" s="21" t="s">
        <v>144</v>
      </c>
      <c r="H54" s="14">
        <v>7.1</v>
      </c>
      <c r="I54" s="15">
        <v>20</v>
      </c>
      <c r="J54" s="22">
        <v>164</v>
      </c>
      <c r="K54" s="14">
        <f t="shared" si="0"/>
        <v>1164.3999999999999</v>
      </c>
      <c r="L54">
        <v>52</v>
      </c>
      <c r="N54" s="16" t="s">
        <v>60</v>
      </c>
      <c r="O54" t="s">
        <v>64</v>
      </c>
      <c r="P54">
        <v>24</v>
      </c>
      <c r="Q54" t="s">
        <v>65</v>
      </c>
      <c r="R54" s="17">
        <v>23</v>
      </c>
      <c r="S54" t="s">
        <v>61</v>
      </c>
      <c r="T54">
        <v>21</v>
      </c>
      <c r="W54" s="18" t="s">
        <v>130</v>
      </c>
      <c r="X54" s="2" t="s">
        <v>145</v>
      </c>
      <c r="Y54" s="3">
        <v>18.376509174170099</v>
      </c>
      <c r="Z54" s="3">
        <v>2.5882407287563498</v>
      </c>
      <c r="AA54" s="3">
        <f t="shared" si="1"/>
        <v>3013.7475045638962</v>
      </c>
      <c r="AB54" s="20" t="s">
        <v>224</v>
      </c>
    </row>
    <row r="55" spans="1:28" ht="76.5" customHeight="1" x14ac:dyDescent="0.25">
      <c r="A55" s="12" t="s">
        <v>114</v>
      </c>
      <c r="B55" s="12" t="s">
        <v>177</v>
      </c>
      <c r="C55" s="12" t="s">
        <v>222</v>
      </c>
      <c r="D55" s="13">
        <v>0.59375</v>
      </c>
      <c r="E55" s="13">
        <v>0.60763888888888884</v>
      </c>
      <c r="F55" s="21" t="s">
        <v>223</v>
      </c>
      <c r="G55" s="21" t="s">
        <v>225</v>
      </c>
      <c r="H55" s="14">
        <v>7.1</v>
      </c>
      <c r="I55" s="15">
        <v>20</v>
      </c>
      <c r="J55" s="22">
        <v>18</v>
      </c>
      <c r="K55" s="14">
        <f t="shared" si="0"/>
        <v>127.8</v>
      </c>
      <c r="L55" t="s">
        <v>226</v>
      </c>
      <c r="N55" s="16" t="s">
        <v>60</v>
      </c>
      <c r="O55" t="s">
        <v>64</v>
      </c>
      <c r="P55">
        <v>24</v>
      </c>
      <c r="Q55" t="s">
        <v>65</v>
      </c>
      <c r="R55" s="17">
        <v>23</v>
      </c>
      <c r="S55" t="s">
        <v>61</v>
      </c>
      <c r="T55">
        <v>21</v>
      </c>
      <c r="X55" s="2" t="s">
        <v>227</v>
      </c>
      <c r="Y55" s="3">
        <v>18.376509174170099</v>
      </c>
      <c r="Z55" s="3">
        <v>2.5882407287563498</v>
      </c>
      <c r="AA55" s="3">
        <f t="shared" si="1"/>
        <v>330.77716513506181</v>
      </c>
      <c r="AB55" s="20" t="s">
        <v>224</v>
      </c>
    </row>
    <row r="56" spans="1:28" ht="51" customHeight="1" x14ac:dyDescent="0.25">
      <c r="A56" s="12" t="s">
        <v>114</v>
      </c>
      <c r="B56" s="12" t="s">
        <v>177</v>
      </c>
      <c r="C56" s="12" t="s">
        <v>228</v>
      </c>
      <c r="D56" s="13">
        <v>0.59375</v>
      </c>
      <c r="E56" s="13">
        <v>0.60347222222222219</v>
      </c>
      <c r="F56" s="12" t="s">
        <v>229</v>
      </c>
      <c r="G56" s="12" t="s">
        <v>129</v>
      </c>
      <c r="H56" s="14">
        <v>5</v>
      </c>
      <c r="I56" s="15">
        <v>22</v>
      </c>
      <c r="J56" s="15">
        <v>198</v>
      </c>
      <c r="K56" s="14">
        <f t="shared" si="0"/>
        <v>990</v>
      </c>
      <c r="L56">
        <v>53</v>
      </c>
      <c r="N56" s="16" t="s">
        <v>80</v>
      </c>
      <c r="O56" t="s">
        <v>81</v>
      </c>
      <c r="P56">
        <v>24</v>
      </c>
      <c r="Q56" t="s">
        <v>82</v>
      </c>
      <c r="R56" s="17">
        <v>22</v>
      </c>
      <c r="S56" t="s">
        <v>82</v>
      </c>
      <c r="T56">
        <v>22</v>
      </c>
      <c r="W56" s="18"/>
      <c r="X56" s="2" t="s">
        <v>131</v>
      </c>
      <c r="Y56" s="3">
        <v>20.310574019831598</v>
      </c>
      <c r="Z56" s="19">
        <v>4.0621148039663098</v>
      </c>
      <c r="AA56" s="3">
        <f t="shared" si="1"/>
        <v>4021.4936559266566</v>
      </c>
      <c r="AB56" s="20" t="s">
        <v>120</v>
      </c>
    </row>
    <row r="57" spans="1:28" ht="76.5" customHeight="1" x14ac:dyDescent="0.25">
      <c r="A57" s="12" t="s">
        <v>114</v>
      </c>
      <c r="B57" s="12" t="s">
        <v>177</v>
      </c>
      <c r="C57" s="12" t="s">
        <v>222</v>
      </c>
      <c r="D57" s="13">
        <v>0.60069444444444442</v>
      </c>
      <c r="E57" s="13">
        <v>0.60763888888888884</v>
      </c>
      <c r="F57" s="12" t="s">
        <v>230</v>
      </c>
      <c r="G57" s="12" t="s">
        <v>125</v>
      </c>
      <c r="H57" s="14">
        <v>4</v>
      </c>
      <c r="I57" s="15">
        <v>20</v>
      </c>
      <c r="J57" s="15">
        <v>7</v>
      </c>
      <c r="K57" s="14">
        <f t="shared" si="0"/>
        <v>28</v>
      </c>
      <c r="L57">
        <v>54</v>
      </c>
      <c r="N57" s="16" t="s">
        <v>60</v>
      </c>
      <c r="O57" t="s">
        <v>64</v>
      </c>
      <c r="P57">
        <v>24</v>
      </c>
      <c r="Q57" t="s">
        <v>65</v>
      </c>
      <c r="R57" s="17">
        <v>23</v>
      </c>
      <c r="S57" t="s">
        <v>61</v>
      </c>
      <c r="T57">
        <v>21</v>
      </c>
      <c r="W57" s="18" t="s">
        <v>130</v>
      </c>
      <c r="X57" s="2" t="s">
        <v>126</v>
      </c>
      <c r="Y57" s="3">
        <v>10.352962915025399</v>
      </c>
      <c r="Z57" s="3">
        <v>2.5882407287563498</v>
      </c>
      <c r="AA57" s="3">
        <f t="shared" si="1"/>
        <v>72.470740405177793</v>
      </c>
      <c r="AB57" s="20" t="s">
        <v>120</v>
      </c>
    </row>
    <row r="58" spans="1:28" ht="76.5" customHeight="1" x14ac:dyDescent="0.25">
      <c r="A58" s="12" t="s">
        <v>114</v>
      </c>
      <c r="B58" s="12" t="s">
        <v>177</v>
      </c>
      <c r="C58" s="12" t="s">
        <v>231</v>
      </c>
      <c r="D58" s="13">
        <v>0.66319444444444442</v>
      </c>
      <c r="E58" s="13">
        <v>0.67638888888888893</v>
      </c>
      <c r="F58" s="12" t="s">
        <v>232</v>
      </c>
      <c r="G58" s="12" t="s">
        <v>144</v>
      </c>
      <c r="H58" s="14">
        <v>5.5</v>
      </c>
      <c r="I58" s="15">
        <v>22</v>
      </c>
      <c r="J58" s="15">
        <v>164</v>
      </c>
      <c r="K58" s="14">
        <f t="shared" si="0"/>
        <v>902</v>
      </c>
      <c r="L58">
        <v>55</v>
      </c>
      <c r="N58" s="16" t="s">
        <v>60</v>
      </c>
      <c r="O58" t="s">
        <v>65</v>
      </c>
      <c r="P58">
        <v>23</v>
      </c>
      <c r="Q58" t="s">
        <v>61</v>
      </c>
      <c r="R58" s="17">
        <v>21</v>
      </c>
      <c r="S58" t="s">
        <v>64</v>
      </c>
      <c r="T58">
        <v>24</v>
      </c>
      <c r="W58" s="18" t="s">
        <v>130</v>
      </c>
      <c r="X58" s="2" t="s">
        <v>145</v>
      </c>
      <c r="Y58" s="3">
        <v>14.2353240081599</v>
      </c>
      <c r="Z58" s="3">
        <v>2.5882407287563498</v>
      </c>
      <c r="AA58" s="3">
        <f t="shared" si="1"/>
        <v>2334.5931373382236</v>
      </c>
      <c r="AB58" s="20" t="s">
        <v>120</v>
      </c>
    </row>
    <row r="59" spans="1:28" ht="51" customHeight="1" x14ac:dyDescent="0.25">
      <c r="A59" s="12" t="s">
        <v>114</v>
      </c>
      <c r="B59" s="12" t="s">
        <v>177</v>
      </c>
      <c r="C59" s="12" t="s">
        <v>233</v>
      </c>
      <c r="D59" s="13">
        <v>0.73611111111111116</v>
      </c>
      <c r="E59" s="13">
        <v>0.75694444444444442</v>
      </c>
      <c r="F59" s="12" t="s">
        <v>234</v>
      </c>
      <c r="G59" s="12" t="s">
        <v>206</v>
      </c>
      <c r="H59" s="14">
        <v>11</v>
      </c>
      <c r="I59" s="15">
        <v>20</v>
      </c>
      <c r="J59" s="15">
        <v>189</v>
      </c>
      <c r="K59" s="14">
        <f t="shared" si="0"/>
        <v>2079</v>
      </c>
      <c r="L59">
        <v>56</v>
      </c>
      <c r="N59" s="16" t="s">
        <v>83</v>
      </c>
      <c r="O59" t="s">
        <v>85</v>
      </c>
      <c r="P59">
        <v>21</v>
      </c>
      <c r="Q59" t="s">
        <v>84</v>
      </c>
      <c r="R59" s="17">
        <v>21</v>
      </c>
      <c r="S59" t="s">
        <v>84</v>
      </c>
      <c r="T59">
        <v>21</v>
      </c>
      <c r="W59" s="18" t="s">
        <v>130</v>
      </c>
      <c r="X59" s="2" t="s">
        <v>207</v>
      </c>
      <c r="Y59" s="3">
        <v>38.166328162690903</v>
      </c>
      <c r="Z59" s="3">
        <v>3.46966619660826</v>
      </c>
      <c r="AA59" s="3">
        <f t="shared" si="1"/>
        <v>7213.4360227485804</v>
      </c>
      <c r="AB59" s="20" t="s">
        <v>120</v>
      </c>
    </row>
    <row r="60" spans="1:28" ht="76.5" customHeight="1" x14ac:dyDescent="0.25">
      <c r="A60" s="12" t="s">
        <v>114</v>
      </c>
      <c r="B60" s="12" t="s">
        <v>177</v>
      </c>
      <c r="C60" s="12" t="s">
        <v>235</v>
      </c>
      <c r="D60" s="13">
        <v>0.75347222222222221</v>
      </c>
      <c r="E60" s="13">
        <v>0.76180555555555551</v>
      </c>
      <c r="F60" s="12" t="s">
        <v>236</v>
      </c>
      <c r="G60" s="12" t="s">
        <v>144</v>
      </c>
      <c r="H60" s="14">
        <v>5</v>
      </c>
      <c r="I60" s="15">
        <v>23</v>
      </c>
      <c r="J60" s="15">
        <v>164</v>
      </c>
      <c r="K60" s="14">
        <f t="shared" si="0"/>
        <v>820</v>
      </c>
      <c r="L60">
        <v>57</v>
      </c>
      <c r="N60" s="16" t="s">
        <v>60</v>
      </c>
      <c r="O60" t="s">
        <v>65</v>
      </c>
      <c r="P60">
        <v>23</v>
      </c>
      <c r="Q60" t="s">
        <v>61</v>
      </c>
      <c r="R60" s="17">
        <v>21</v>
      </c>
      <c r="S60" t="s">
        <v>64</v>
      </c>
      <c r="T60">
        <v>24</v>
      </c>
      <c r="W60" s="18" t="s">
        <v>130</v>
      </c>
      <c r="X60" s="2" t="s">
        <v>145</v>
      </c>
      <c r="Y60" s="3">
        <v>12.941203643781799</v>
      </c>
      <c r="Z60" s="3">
        <v>2.5882407287563498</v>
      </c>
      <c r="AA60" s="3">
        <f t="shared" si="1"/>
        <v>2122.3573975802151</v>
      </c>
      <c r="AB60" s="20" t="s">
        <v>120</v>
      </c>
    </row>
    <row r="61" spans="1:28" ht="51" customHeight="1" x14ac:dyDescent="0.25">
      <c r="A61" s="12" t="s">
        <v>114</v>
      </c>
      <c r="B61" s="12" t="s">
        <v>237</v>
      </c>
      <c r="C61" s="12" t="s">
        <v>238</v>
      </c>
      <c r="D61" s="13">
        <v>0.28194444444444439</v>
      </c>
      <c r="E61" s="13">
        <v>0.29236111111111113</v>
      </c>
      <c r="F61" s="12" t="s">
        <v>239</v>
      </c>
      <c r="G61" s="12" t="s">
        <v>125</v>
      </c>
      <c r="H61" s="14">
        <v>6</v>
      </c>
      <c r="I61" s="15">
        <v>20</v>
      </c>
      <c r="J61" s="15">
        <v>7</v>
      </c>
      <c r="K61" s="14">
        <f t="shared" si="0"/>
        <v>42</v>
      </c>
      <c r="L61">
        <v>58</v>
      </c>
      <c r="N61" s="16" t="s">
        <v>83</v>
      </c>
      <c r="O61" t="s">
        <v>85</v>
      </c>
      <c r="P61">
        <v>21</v>
      </c>
      <c r="Q61" t="s">
        <v>84</v>
      </c>
      <c r="R61" s="17">
        <v>21</v>
      </c>
      <c r="S61" t="s">
        <v>84</v>
      </c>
      <c r="T61">
        <v>21</v>
      </c>
      <c r="W61" s="18" t="s">
        <v>130</v>
      </c>
      <c r="X61" s="2" t="s">
        <v>126</v>
      </c>
      <c r="Y61" s="3">
        <v>20.817997179649598</v>
      </c>
      <c r="Z61" s="3">
        <v>3.46966619660826</v>
      </c>
      <c r="AA61" s="3">
        <f t="shared" si="1"/>
        <v>145.72598025754718</v>
      </c>
      <c r="AB61" s="20" t="s">
        <v>120</v>
      </c>
    </row>
    <row r="62" spans="1:28" ht="76.5" customHeight="1" x14ac:dyDescent="0.25">
      <c r="A62" s="12" t="s">
        <v>114</v>
      </c>
      <c r="B62" s="12" t="s">
        <v>237</v>
      </c>
      <c r="C62" s="12" t="s">
        <v>240</v>
      </c>
      <c r="D62" s="13">
        <v>0.29722222222222222</v>
      </c>
      <c r="E62" s="13">
        <v>0.30763888888888891</v>
      </c>
      <c r="F62" s="12" t="s">
        <v>241</v>
      </c>
      <c r="G62" s="12" t="s">
        <v>129</v>
      </c>
      <c r="H62" s="14">
        <v>6</v>
      </c>
      <c r="I62" s="15">
        <v>24</v>
      </c>
      <c r="J62" s="15">
        <v>198</v>
      </c>
      <c r="K62" s="14">
        <f t="shared" si="0"/>
        <v>1188</v>
      </c>
      <c r="L62">
        <v>59</v>
      </c>
      <c r="N62" s="16" t="s">
        <v>60</v>
      </c>
      <c r="O62" t="s">
        <v>64</v>
      </c>
      <c r="P62">
        <v>24</v>
      </c>
      <c r="Q62" t="s">
        <v>65</v>
      </c>
      <c r="R62" s="17">
        <v>23</v>
      </c>
      <c r="S62" t="s">
        <v>61</v>
      </c>
      <c r="T62">
        <v>21</v>
      </c>
      <c r="W62" s="18" t="s">
        <v>130</v>
      </c>
      <c r="X62" s="2" t="s">
        <v>131</v>
      </c>
      <c r="Y62" s="3">
        <v>15.5294443725381</v>
      </c>
      <c r="Z62" s="3">
        <v>2.5882407287563498</v>
      </c>
      <c r="AA62" s="3">
        <f t="shared" si="1"/>
        <v>3074.8299857625439</v>
      </c>
      <c r="AB62" s="20" t="s">
        <v>120</v>
      </c>
    </row>
    <row r="63" spans="1:28" ht="76.5" customHeight="1" x14ac:dyDescent="0.25">
      <c r="A63" s="12" t="s">
        <v>114</v>
      </c>
      <c r="B63" s="12" t="s">
        <v>237</v>
      </c>
      <c r="C63" s="12" t="s">
        <v>242</v>
      </c>
      <c r="D63" s="13">
        <v>0.31388888888888888</v>
      </c>
      <c r="E63" s="13">
        <v>0.32291666666666669</v>
      </c>
      <c r="F63" s="12" t="s">
        <v>243</v>
      </c>
      <c r="G63" s="12" t="s">
        <v>144</v>
      </c>
      <c r="H63" s="14">
        <v>3.5</v>
      </c>
      <c r="I63" s="15">
        <v>24</v>
      </c>
      <c r="J63" s="15">
        <v>164</v>
      </c>
      <c r="K63" s="14">
        <f t="shared" si="0"/>
        <v>574</v>
      </c>
      <c r="L63">
        <v>60</v>
      </c>
      <c r="N63" s="16" t="s">
        <v>60</v>
      </c>
      <c r="O63" t="s">
        <v>64</v>
      </c>
      <c r="P63">
        <v>24</v>
      </c>
      <c r="Q63" t="s">
        <v>65</v>
      </c>
      <c r="R63" s="17">
        <v>23</v>
      </c>
      <c r="S63" t="s">
        <v>61</v>
      </c>
      <c r="T63">
        <v>21</v>
      </c>
      <c r="W63" s="18" t="s">
        <v>130</v>
      </c>
      <c r="X63" s="2" t="s">
        <v>145</v>
      </c>
      <c r="Y63" s="3">
        <v>9.0588425506472205</v>
      </c>
      <c r="Z63" s="3">
        <v>2.5882407287563498</v>
      </c>
      <c r="AA63" s="3">
        <f t="shared" si="1"/>
        <v>1485.6501783061442</v>
      </c>
      <c r="AB63" s="20" t="s">
        <v>120</v>
      </c>
    </row>
    <row r="64" spans="1:28" ht="51" customHeight="1" x14ac:dyDescent="0.25">
      <c r="A64" s="12" t="s">
        <v>114</v>
      </c>
      <c r="B64" s="12" t="s">
        <v>237</v>
      </c>
      <c r="C64" s="12" t="s">
        <v>244</v>
      </c>
      <c r="D64" s="13">
        <v>0.38194444444444442</v>
      </c>
      <c r="E64" s="13">
        <v>0.4</v>
      </c>
      <c r="F64" s="12" t="s">
        <v>245</v>
      </c>
      <c r="G64" s="12" t="s">
        <v>171</v>
      </c>
      <c r="H64" s="14">
        <v>10</v>
      </c>
      <c r="I64" s="15">
        <v>20</v>
      </c>
      <c r="J64" s="15">
        <v>226</v>
      </c>
      <c r="K64" s="14">
        <f t="shared" si="0"/>
        <v>2260</v>
      </c>
      <c r="L64">
        <v>61</v>
      </c>
      <c r="N64" s="16" t="s">
        <v>83</v>
      </c>
      <c r="O64" t="s">
        <v>85</v>
      </c>
      <c r="P64">
        <v>21</v>
      </c>
      <c r="Q64" t="s">
        <v>84</v>
      </c>
      <c r="R64" s="17">
        <v>21</v>
      </c>
      <c r="S64" t="s">
        <v>84</v>
      </c>
      <c r="T64">
        <v>21</v>
      </c>
      <c r="W64" s="18" t="s">
        <v>130</v>
      </c>
      <c r="X64" s="2" t="s">
        <v>172</v>
      </c>
      <c r="Y64" s="3">
        <v>34.696661966082601</v>
      </c>
      <c r="Z64" s="3">
        <v>3.46966619660826</v>
      </c>
      <c r="AA64" s="3">
        <f t="shared" si="1"/>
        <v>7841.4456043346681</v>
      </c>
      <c r="AB64" s="20" t="s">
        <v>120</v>
      </c>
    </row>
    <row r="65" spans="1:28" ht="51" customHeight="1" x14ac:dyDescent="0.25">
      <c r="A65" s="12" t="s">
        <v>114</v>
      </c>
      <c r="B65" s="12" t="s">
        <v>237</v>
      </c>
      <c r="C65" s="12" t="s">
        <v>246</v>
      </c>
      <c r="D65" s="13">
        <v>0.55555555555555558</v>
      </c>
      <c r="E65" s="13">
        <v>0.57638888888888884</v>
      </c>
      <c r="F65" s="12" t="s">
        <v>247</v>
      </c>
      <c r="G65" s="12" t="s">
        <v>129</v>
      </c>
      <c r="H65" s="14">
        <v>11.5</v>
      </c>
      <c r="I65" s="15">
        <v>19</v>
      </c>
      <c r="J65" s="15">
        <v>198</v>
      </c>
      <c r="K65" s="14">
        <f t="shared" si="0"/>
        <v>2277</v>
      </c>
      <c r="L65">
        <v>62</v>
      </c>
      <c r="N65" s="16" t="s">
        <v>58</v>
      </c>
      <c r="O65" t="s">
        <v>59</v>
      </c>
      <c r="P65">
        <v>21</v>
      </c>
      <c r="Q65" t="s">
        <v>59</v>
      </c>
      <c r="R65" s="17">
        <v>21</v>
      </c>
      <c r="W65" s="18" t="s">
        <v>130</v>
      </c>
      <c r="X65" s="2" t="s">
        <v>131</v>
      </c>
      <c r="Y65" s="3">
        <v>25.704799999999999</v>
      </c>
      <c r="AA65" s="3">
        <f t="shared" si="1"/>
        <v>5089.5504000000001</v>
      </c>
      <c r="AB65" s="20" t="s">
        <v>120</v>
      </c>
    </row>
    <row r="66" spans="1:28" ht="76.5" customHeight="1" x14ac:dyDescent="0.25">
      <c r="A66" s="12" t="s">
        <v>114</v>
      </c>
      <c r="B66" s="12" t="s">
        <v>237</v>
      </c>
      <c r="C66" s="12" t="s">
        <v>248</v>
      </c>
      <c r="D66" s="13">
        <v>0.71180555555555558</v>
      </c>
      <c r="E66" s="13">
        <v>0.72986111111111107</v>
      </c>
      <c r="F66" s="12" t="s">
        <v>249</v>
      </c>
      <c r="G66" s="12" t="s">
        <v>206</v>
      </c>
      <c r="H66" s="14">
        <v>10</v>
      </c>
      <c r="I66" s="15">
        <v>22</v>
      </c>
      <c r="J66" s="15">
        <v>189</v>
      </c>
      <c r="K66" s="14">
        <f t="shared" si="0"/>
        <v>1890</v>
      </c>
      <c r="L66">
        <v>63</v>
      </c>
      <c r="N66" s="16" t="s">
        <v>60</v>
      </c>
      <c r="O66" t="s">
        <v>65</v>
      </c>
      <c r="P66">
        <v>23</v>
      </c>
      <c r="Q66" t="s">
        <v>61</v>
      </c>
      <c r="R66" s="17">
        <v>21</v>
      </c>
      <c r="S66" t="s">
        <v>64</v>
      </c>
      <c r="T66">
        <v>24</v>
      </c>
      <c r="W66" s="18" t="s">
        <v>130</v>
      </c>
      <c r="X66" s="2" t="s">
        <v>207</v>
      </c>
      <c r="Y66" s="3">
        <v>25.882407287563499</v>
      </c>
      <c r="Z66" s="3">
        <v>2.5882407287563498</v>
      </c>
      <c r="AA66" s="3">
        <f t="shared" si="1"/>
        <v>4891.7749773495016</v>
      </c>
      <c r="AB66" s="20" t="s">
        <v>120</v>
      </c>
    </row>
    <row r="67" spans="1:28" ht="63.75" customHeight="1" x14ac:dyDescent="0.25">
      <c r="A67" s="12" t="s">
        <v>114</v>
      </c>
      <c r="B67" s="12" t="s">
        <v>250</v>
      </c>
      <c r="C67" s="12" t="s">
        <v>251</v>
      </c>
      <c r="D67" s="13">
        <v>0.34027777777777779</v>
      </c>
      <c r="E67" s="13">
        <v>0.39374999999999999</v>
      </c>
      <c r="F67" s="12" t="s">
        <v>252</v>
      </c>
      <c r="G67" s="12" t="s">
        <v>118</v>
      </c>
      <c r="H67" s="14">
        <v>10.5</v>
      </c>
      <c r="I67" s="15">
        <v>23</v>
      </c>
      <c r="J67" s="15">
        <v>218</v>
      </c>
      <c r="K67" s="14">
        <f t="shared" ref="K67:K83" si="2">J67*H67</f>
        <v>2289</v>
      </c>
      <c r="L67">
        <v>64</v>
      </c>
      <c r="N67" s="16" t="s">
        <v>80</v>
      </c>
      <c r="O67" t="s">
        <v>81</v>
      </c>
      <c r="P67">
        <v>24</v>
      </c>
      <c r="Q67" t="s">
        <v>82</v>
      </c>
      <c r="R67" s="17">
        <v>22</v>
      </c>
      <c r="S67" t="s">
        <v>82</v>
      </c>
      <c r="T67">
        <v>22</v>
      </c>
      <c r="W67" s="18"/>
      <c r="X67" s="2" t="s">
        <v>119</v>
      </c>
      <c r="Y67" s="3">
        <v>42.652205441646302</v>
      </c>
      <c r="Z67" s="19">
        <v>4.0621148039663098</v>
      </c>
      <c r="AA67" s="3">
        <f t="shared" ref="AA67:AA83" si="3">Y67*J67</f>
        <v>9298.1807862788937</v>
      </c>
      <c r="AB67" s="20" t="s">
        <v>120</v>
      </c>
    </row>
    <row r="68" spans="1:28" ht="51" customHeight="1" x14ac:dyDescent="0.25">
      <c r="A68" s="12" t="s">
        <v>114</v>
      </c>
      <c r="B68" s="12" t="s">
        <v>250</v>
      </c>
      <c r="C68" s="12" t="s">
        <v>253</v>
      </c>
      <c r="D68" s="13">
        <v>0.34513888888888888</v>
      </c>
      <c r="E68" s="13">
        <v>0.39374999999999999</v>
      </c>
      <c r="F68" s="12" t="s">
        <v>254</v>
      </c>
      <c r="G68" s="12" t="s">
        <v>118</v>
      </c>
      <c r="H68" s="14">
        <v>2.4</v>
      </c>
      <c r="I68" s="15">
        <v>23</v>
      </c>
      <c r="J68" s="15">
        <v>218</v>
      </c>
      <c r="K68" s="14">
        <f t="shared" si="2"/>
        <v>523.19999999999993</v>
      </c>
      <c r="L68">
        <v>65</v>
      </c>
      <c r="N68" s="16" t="s">
        <v>80</v>
      </c>
      <c r="O68" t="s">
        <v>81</v>
      </c>
      <c r="P68">
        <v>24</v>
      </c>
      <c r="Q68" t="s">
        <v>82</v>
      </c>
      <c r="R68" s="17">
        <v>22</v>
      </c>
      <c r="S68" t="s">
        <v>82</v>
      </c>
      <c r="T68">
        <v>22</v>
      </c>
      <c r="W68" s="18"/>
      <c r="X68" s="2" t="s">
        <v>119</v>
      </c>
      <c r="Y68" s="3">
        <v>9.7490755295191391</v>
      </c>
      <c r="Z68" s="19">
        <v>4.0621148039663098</v>
      </c>
      <c r="AA68" s="3">
        <f t="shared" si="3"/>
        <v>2125.2984654351721</v>
      </c>
      <c r="AB68" s="20" t="s">
        <v>120</v>
      </c>
    </row>
    <row r="69" spans="1:28" ht="102" customHeight="1" x14ac:dyDescent="0.25">
      <c r="A69" s="12" t="s">
        <v>114</v>
      </c>
      <c r="B69" s="12" t="s">
        <v>250</v>
      </c>
      <c r="C69" s="12" t="s">
        <v>255</v>
      </c>
      <c r="D69" s="13">
        <v>0.41180555555555548</v>
      </c>
      <c r="E69" s="13">
        <v>0.51875000000000004</v>
      </c>
      <c r="F69" s="21" t="s">
        <v>256</v>
      </c>
      <c r="G69" s="12" t="s">
        <v>118</v>
      </c>
      <c r="H69" s="24">
        <v>17.5</v>
      </c>
      <c r="I69" s="15">
        <v>22</v>
      </c>
      <c r="J69" s="15">
        <v>218</v>
      </c>
      <c r="K69" s="14">
        <f t="shared" si="2"/>
        <v>3815</v>
      </c>
      <c r="L69">
        <v>66</v>
      </c>
      <c r="N69" s="16" t="s">
        <v>60</v>
      </c>
      <c r="O69" t="s">
        <v>64</v>
      </c>
      <c r="P69">
        <v>24</v>
      </c>
      <c r="Q69" t="s">
        <v>65</v>
      </c>
      <c r="R69" s="17">
        <v>23</v>
      </c>
      <c r="S69" t="s">
        <v>61</v>
      </c>
      <c r="T69">
        <v>21</v>
      </c>
      <c r="W69" s="18" t="s">
        <v>130</v>
      </c>
      <c r="X69" s="2" t="s">
        <v>119</v>
      </c>
      <c r="Y69" s="3">
        <v>45.294212753236103</v>
      </c>
      <c r="Z69" s="3">
        <v>2.5882407287563498</v>
      </c>
      <c r="AA69" s="3">
        <f t="shared" si="3"/>
        <v>9874.1383802054697</v>
      </c>
      <c r="AB69" s="20" t="s">
        <v>150</v>
      </c>
    </row>
    <row r="70" spans="1:28" ht="51" customHeight="1" x14ac:dyDescent="0.25">
      <c r="A70" s="12" t="s">
        <v>114</v>
      </c>
      <c r="B70" s="12" t="s">
        <v>250</v>
      </c>
      <c r="C70" s="12">
        <v>555</v>
      </c>
      <c r="D70" s="13">
        <v>0.4861111111111111</v>
      </c>
      <c r="E70" s="13">
        <v>0.49791666666666667</v>
      </c>
      <c r="F70" s="21" t="s">
        <v>257</v>
      </c>
      <c r="G70" s="12" t="s">
        <v>258</v>
      </c>
      <c r="H70" s="24">
        <v>3.5</v>
      </c>
      <c r="I70" s="15">
        <v>22</v>
      </c>
      <c r="J70" s="22">
        <v>36</v>
      </c>
      <c r="K70" s="14">
        <f t="shared" si="2"/>
        <v>126</v>
      </c>
      <c r="L70" t="s">
        <v>259</v>
      </c>
      <c r="N70" s="16" t="s">
        <v>80</v>
      </c>
      <c r="O70" t="s">
        <v>64</v>
      </c>
      <c r="P70">
        <v>24</v>
      </c>
      <c r="Q70" t="s">
        <v>65</v>
      </c>
      <c r="R70" s="17">
        <v>23</v>
      </c>
      <c r="S70" t="s">
        <v>61</v>
      </c>
      <c r="T70">
        <v>21</v>
      </c>
      <c r="W70" s="18"/>
      <c r="X70" s="2" t="s">
        <v>260</v>
      </c>
      <c r="Y70" s="3">
        <v>14.2174018138821</v>
      </c>
      <c r="Z70" s="19">
        <v>4.0621148039663098</v>
      </c>
      <c r="AA70" s="3">
        <f t="shared" si="3"/>
        <v>511.82646529975563</v>
      </c>
      <c r="AB70" s="20" t="s">
        <v>261</v>
      </c>
    </row>
    <row r="71" spans="1:28" ht="76.5" customHeight="1" x14ac:dyDescent="0.25">
      <c r="A71" s="12" t="s">
        <v>114</v>
      </c>
      <c r="B71" s="12" t="s">
        <v>250</v>
      </c>
      <c r="C71" s="12">
        <v>555</v>
      </c>
      <c r="D71" s="13">
        <v>0.44444444444444442</v>
      </c>
      <c r="E71" s="13">
        <v>0.45624999999999999</v>
      </c>
      <c r="F71" s="21" t="s">
        <v>257</v>
      </c>
      <c r="G71" s="12" t="s">
        <v>152</v>
      </c>
      <c r="H71" s="24">
        <v>3.5</v>
      </c>
      <c r="I71" s="15">
        <v>19</v>
      </c>
      <c r="J71" s="22">
        <v>182</v>
      </c>
      <c r="K71" s="14">
        <f t="shared" si="2"/>
        <v>637</v>
      </c>
      <c r="L71" t="s">
        <v>262</v>
      </c>
      <c r="N71" s="16" t="s">
        <v>60</v>
      </c>
      <c r="O71" t="s">
        <v>81</v>
      </c>
      <c r="P71">
        <v>24</v>
      </c>
      <c r="Q71" t="s">
        <v>82</v>
      </c>
      <c r="R71" s="17">
        <v>22</v>
      </c>
      <c r="S71" t="s">
        <v>82</v>
      </c>
      <c r="T71">
        <v>22</v>
      </c>
      <c r="W71" s="18"/>
      <c r="X71" s="2" t="s">
        <v>153</v>
      </c>
      <c r="Y71" s="3">
        <v>9.0588425506472205</v>
      </c>
      <c r="Z71" s="3">
        <v>2.5882407287563498</v>
      </c>
      <c r="AA71" s="3">
        <f t="shared" si="3"/>
        <v>1648.7093442177941</v>
      </c>
      <c r="AB71" s="20" t="s">
        <v>261</v>
      </c>
    </row>
    <row r="72" spans="1:28" ht="76.5" customHeight="1" x14ac:dyDescent="0.25">
      <c r="A72" s="12" t="s">
        <v>114</v>
      </c>
      <c r="B72" s="12" t="s">
        <v>250</v>
      </c>
      <c r="C72" s="12" t="s">
        <v>263</v>
      </c>
      <c r="D72" s="13">
        <v>0.4284722222222222</v>
      </c>
      <c r="E72" s="13">
        <v>0.51875000000000004</v>
      </c>
      <c r="F72" s="12" t="s">
        <v>264</v>
      </c>
      <c r="G72" s="12" t="s">
        <v>118</v>
      </c>
      <c r="H72" s="14">
        <v>3.6</v>
      </c>
      <c r="I72" s="15">
        <v>22</v>
      </c>
      <c r="J72" s="15">
        <v>218</v>
      </c>
      <c r="K72" s="14">
        <f t="shared" si="2"/>
        <v>784.80000000000007</v>
      </c>
      <c r="L72">
        <v>67</v>
      </c>
      <c r="N72" s="16" t="s">
        <v>60</v>
      </c>
      <c r="O72" t="s">
        <v>64</v>
      </c>
      <c r="P72">
        <v>24</v>
      </c>
      <c r="Q72" t="s">
        <v>65</v>
      </c>
      <c r="R72" s="17">
        <v>23</v>
      </c>
      <c r="S72" t="s">
        <v>61</v>
      </c>
      <c r="T72">
        <v>21</v>
      </c>
      <c r="W72" s="18" t="s">
        <v>130</v>
      </c>
      <c r="X72" s="2" t="s">
        <v>119</v>
      </c>
      <c r="Y72" s="3">
        <v>9.3176666235228591</v>
      </c>
      <c r="Z72" s="3">
        <v>2.5882407287563498</v>
      </c>
      <c r="AA72" s="3">
        <f t="shared" si="3"/>
        <v>2031.2513239279833</v>
      </c>
      <c r="AB72" s="20" t="s">
        <v>120</v>
      </c>
    </row>
    <row r="73" spans="1:28" ht="51" customHeight="1" x14ac:dyDescent="0.25">
      <c r="A73" s="12" t="s">
        <v>114</v>
      </c>
      <c r="B73" s="12" t="s">
        <v>250</v>
      </c>
      <c r="C73" s="12" t="s">
        <v>265</v>
      </c>
      <c r="D73" s="13">
        <v>0.52777777777777779</v>
      </c>
      <c r="E73" s="13">
        <v>0.53819444444444442</v>
      </c>
      <c r="F73" s="12" t="s">
        <v>266</v>
      </c>
      <c r="G73" s="12" t="s">
        <v>118</v>
      </c>
      <c r="H73" s="14">
        <v>3.5</v>
      </c>
      <c r="I73" s="15">
        <v>23</v>
      </c>
      <c r="J73" s="15">
        <v>218</v>
      </c>
      <c r="K73" s="14">
        <f t="shared" si="2"/>
        <v>763</v>
      </c>
      <c r="L73">
        <v>68</v>
      </c>
      <c r="N73" s="16" t="s">
        <v>80</v>
      </c>
      <c r="O73" t="s">
        <v>81</v>
      </c>
      <c r="P73">
        <v>24</v>
      </c>
      <c r="Q73" t="s">
        <v>82</v>
      </c>
      <c r="R73" s="17">
        <v>22</v>
      </c>
      <c r="S73" t="s">
        <v>82</v>
      </c>
      <c r="T73">
        <v>22</v>
      </c>
      <c r="W73" s="18"/>
      <c r="X73" s="2" t="s">
        <v>119</v>
      </c>
      <c r="Y73" s="3">
        <v>14.2174018138821</v>
      </c>
      <c r="Z73" s="19">
        <v>4.0621148039663098</v>
      </c>
      <c r="AA73" s="3">
        <f t="shared" si="3"/>
        <v>3099.3935954262979</v>
      </c>
      <c r="AB73" s="20" t="s">
        <v>120</v>
      </c>
    </row>
    <row r="74" spans="1:28" ht="76.5" customHeight="1" x14ac:dyDescent="0.25">
      <c r="A74" s="12" t="s">
        <v>114</v>
      </c>
      <c r="B74" s="12" t="s">
        <v>250</v>
      </c>
      <c r="C74" s="12" t="s">
        <v>267</v>
      </c>
      <c r="D74" s="13">
        <v>0.69444444444444442</v>
      </c>
      <c r="E74" s="13">
        <v>0.70486111111111116</v>
      </c>
      <c r="F74" s="12" t="s">
        <v>268</v>
      </c>
      <c r="G74" s="12" t="s">
        <v>118</v>
      </c>
      <c r="H74" s="14">
        <v>3.5</v>
      </c>
      <c r="I74" s="15">
        <v>23</v>
      </c>
      <c r="J74" s="15">
        <v>218</v>
      </c>
      <c r="K74" s="14">
        <f t="shared" si="2"/>
        <v>763</v>
      </c>
      <c r="L74">
        <v>69</v>
      </c>
      <c r="N74" s="16" t="s">
        <v>60</v>
      </c>
      <c r="O74" t="s">
        <v>61</v>
      </c>
      <c r="P74">
        <v>21</v>
      </c>
      <c r="Q74" t="s">
        <v>65</v>
      </c>
      <c r="R74" s="17">
        <v>23</v>
      </c>
      <c r="S74" t="s">
        <v>64</v>
      </c>
      <c r="T74">
        <v>24</v>
      </c>
      <c r="W74" s="18" t="s">
        <v>130</v>
      </c>
      <c r="X74" s="2" t="s">
        <v>119</v>
      </c>
      <c r="Y74" s="3">
        <v>9.0588425506472205</v>
      </c>
      <c r="Z74" s="3">
        <v>2.5882407287563498</v>
      </c>
      <c r="AA74" s="3">
        <f t="shared" si="3"/>
        <v>1974.827676041094</v>
      </c>
      <c r="AB74" s="20" t="s">
        <v>120</v>
      </c>
    </row>
    <row r="75" spans="1:28" ht="76.5" customHeight="1" x14ac:dyDescent="0.25">
      <c r="A75" s="12" t="s">
        <v>114</v>
      </c>
      <c r="B75" s="12" t="s">
        <v>250</v>
      </c>
      <c r="C75" s="12" t="s">
        <v>269</v>
      </c>
      <c r="D75" s="13">
        <v>0.54861111111111116</v>
      </c>
      <c r="E75" s="13">
        <v>0.7270833333333333</v>
      </c>
      <c r="F75" s="21" t="s">
        <v>270</v>
      </c>
      <c r="G75" s="12" t="s">
        <v>118</v>
      </c>
      <c r="H75" s="24">
        <v>14</v>
      </c>
      <c r="I75" s="15">
        <v>19</v>
      </c>
      <c r="J75" s="15">
        <v>218</v>
      </c>
      <c r="K75" s="14">
        <f t="shared" si="2"/>
        <v>3052</v>
      </c>
      <c r="L75">
        <v>70</v>
      </c>
      <c r="N75" s="16" t="s">
        <v>47</v>
      </c>
      <c r="O75" t="s">
        <v>53</v>
      </c>
      <c r="P75">
        <v>21</v>
      </c>
      <c r="Q75" t="s">
        <v>50</v>
      </c>
      <c r="R75" s="17">
        <v>21</v>
      </c>
      <c r="S75" t="s">
        <v>48</v>
      </c>
      <c r="T75">
        <v>10</v>
      </c>
      <c r="W75" s="18" t="s">
        <v>130</v>
      </c>
      <c r="X75" s="2" t="s">
        <v>119</v>
      </c>
      <c r="Y75" s="3">
        <v>49.102199747747697</v>
      </c>
      <c r="Z75" s="3">
        <v>3.5072999819819799</v>
      </c>
      <c r="AA75" s="3">
        <f t="shared" si="3"/>
        <v>10704.279545008998</v>
      </c>
      <c r="AB75" s="20" t="s">
        <v>150</v>
      </c>
    </row>
    <row r="76" spans="1:28" ht="51" customHeight="1" x14ac:dyDescent="0.25">
      <c r="A76" s="12" t="s">
        <v>114</v>
      </c>
      <c r="B76" s="12" t="s">
        <v>250</v>
      </c>
      <c r="C76" s="12">
        <v>563</v>
      </c>
      <c r="D76" s="13">
        <v>0.67361111111111116</v>
      </c>
      <c r="E76" s="13">
        <v>0.68541666666666667</v>
      </c>
      <c r="F76" s="21" t="s">
        <v>271</v>
      </c>
      <c r="G76" s="12" t="s">
        <v>258</v>
      </c>
      <c r="H76" s="24">
        <v>3.5</v>
      </c>
      <c r="I76" s="15">
        <v>19</v>
      </c>
      <c r="J76" s="22">
        <v>36</v>
      </c>
      <c r="K76" s="14">
        <f t="shared" si="2"/>
        <v>126</v>
      </c>
      <c r="L76" t="s">
        <v>272</v>
      </c>
      <c r="N76" s="16" t="s">
        <v>47</v>
      </c>
      <c r="O76" t="s">
        <v>53</v>
      </c>
      <c r="P76">
        <v>21</v>
      </c>
      <c r="Q76" t="s">
        <v>50</v>
      </c>
      <c r="R76" s="17">
        <v>21</v>
      </c>
      <c r="S76" t="s">
        <v>48</v>
      </c>
      <c r="T76">
        <v>10</v>
      </c>
      <c r="X76" s="2" t="s">
        <v>260</v>
      </c>
      <c r="Y76" s="3">
        <v>12.275549936936899</v>
      </c>
      <c r="Z76" s="3">
        <v>3.5072999819819799</v>
      </c>
      <c r="AA76" s="3">
        <f t="shared" si="3"/>
        <v>441.91979772972837</v>
      </c>
      <c r="AB76" s="20" t="s">
        <v>261</v>
      </c>
    </row>
    <row r="77" spans="1:28" ht="76.5" customHeight="1" x14ac:dyDescent="0.25">
      <c r="A77" s="12" t="s">
        <v>114</v>
      </c>
      <c r="B77" s="12" t="s">
        <v>250</v>
      </c>
      <c r="C77" s="12">
        <v>563</v>
      </c>
      <c r="D77" s="13">
        <v>0.67361111111111116</v>
      </c>
      <c r="E77" s="13">
        <v>0.68541666666666667</v>
      </c>
      <c r="F77" s="21" t="s">
        <v>271</v>
      </c>
      <c r="G77" s="12" t="s">
        <v>152</v>
      </c>
      <c r="H77" s="24">
        <v>3.5</v>
      </c>
      <c r="I77" s="15">
        <v>19</v>
      </c>
      <c r="J77" s="22">
        <v>182</v>
      </c>
      <c r="K77" s="14">
        <f t="shared" si="2"/>
        <v>637</v>
      </c>
      <c r="L77" t="s">
        <v>273</v>
      </c>
      <c r="N77" s="16" t="s">
        <v>60</v>
      </c>
      <c r="O77" t="s">
        <v>61</v>
      </c>
      <c r="P77">
        <v>21</v>
      </c>
      <c r="Q77" t="s">
        <v>65</v>
      </c>
      <c r="R77" s="17">
        <v>23</v>
      </c>
      <c r="S77" t="s">
        <v>64</v>
      </c>
      <c r="T77">
        <v>24</v>
      </c>
      <c r="X77" s="2" t="s">
        <v>153</v>
      </c>
      <c r="Y77" s="3">
        <v>9.0588425506472205</v>
      </c>
      <c r="Z77" s="3">
        <v>2.5882407287563498</v>
      </c>
      <c r="AA77" s="3">
        <f t="shared" si="3"/>
        <v>1648.7093442177941</v>
      </c>
      <c r="AB77" s="20" t="s">
        <v>261</v>
      </c>
    </row>
    <row r="78" spans="1:28" ht="51" customHeight="1" x14ac:dyDescent="0.25">
      <c r="A78" s="12" t="s">
        <v>114</v>
      </c>
      <c r="B78" s="12" t="s">
        <v>250</v>
      </c>
      <c r="C78" s="12" t="s">
        <v>274</v>
      </c>
      <c r="D78" s="13">
        <v>0.61597222222222225</v>
      </c>
      <c r="E78" s="13">
        <v>0.7270833333333333</v>
      </c>
      <c r="F78" s="21" t="s">
        <v>275</v>
      </c>
      <c r="G78" s="12" t="s">
        <v>118</v>
      </c>
      <c r="H78" s="24">
        <v>2.4</v>
      </c>
      <c r="I78" s="15">
        <v>19</v>
      </c>
      <c r="J78" s="15">
        <v>218</v>
      </c>
      <c r="K78" s="14">
        <f t="shared" si="2"/>
        <v>523.19999999999993</v>
      </c>
      <c r="L78">
        <v>71</v>
      </c>
      <c r="N78" s="16" t="s">
        <v>47</v>
      </c>
      <c r="O78" t="s">
        <v>53</v>
      </c>
      <c r="P78">
        <v>21</v>
      </c>
      <c r="Q78" t="s">
        <v>50</v>
      </c>
      <c r="R78" s="17">
        <v>21</v>
      </c>
      <c r="S78" t="s">
        <v>48</v>
      </c>
      <c r="T78">
        <v>10</v>
      </c>
      <c r="W78" s="18" t="s">
        <v>130</v>
      </c>
      <c r="X78" s="2" t="s">
        <v>119</v>
      </c>
      <c r="Y78" s="3">
        <v>8.4175199567567507</v>
      </c>
      <c r="Z78" s="3">
        <v>3.5072999819819799</v>
      </c>
      <c r="AA78" s="3">
        <f t="shared" si="3"/>
        <v>1835.0193505729717</v>
      </c>
      <c r="AB78" s="20" t="s">
        <v>150</v>
      </c>
    </row>
    <row r="79" spans="1:28" ht="51" customHeight="1" x14ac:dyDescent="0.25">
      <c r="A79" s="12" t="s">
        <v>114</v>
      </c>
      <c r="B79" s="12" t="s">
        <v>250</v>
      </c>
      <c r="C79" s="12">
        <v>563</v>
      </c>
      <c r="D79" s="13">
        <v>0.67847222222222225</v>
      </c>
      <c r="E79" s="13">
        <v>0.68541666666666667</v>
      </c>
      <c r="F79" s="21" t="s">
        <v>276</v>
      </c>
      <c r="G79" s="12" t="s">
        <v>258</v>
      </c>
      <c r="H79" s="24">
        <v>1.2</v>
      </c>
      <c r="I79" s="15">
        <v>19</v>
      </c>
      <c r="J79" s="22">
        <v>36</v>
      </c>
      <c r="K79" s="14">
        <f t="shared" si="2"/>
        <v>43.199999999999996</v>
      </c>
      <c r="L79" t="s">
        <v>277</v>
      </c>
      <c r="N79" s="16" t="s">
        <v>47</v>
      </c>
      <c r="O79" t="s">
        <v>53</v>
      </c>
      <c r="P79">
        <v>21</v>
      </c>
      <c r="Q79" t="s">
        <v>50</v>
      </c>
      <c r="R79" s="17">
        <v>21</v>
      </c>
      <c r="S79" t="s">
        <v>48</v>
      </c>
      <c r="T79">
        <v>10</v>
      </c>
      <c r="W79" s="18"/>
      <c r="X79" s="2" t="s">
        <v>260</v>
      </c>
      <c r="Y79" s="3">
        <v>4.2087599783783798</v>
      </c>
      <c r="Z79" s="3">
        <v>3.5072999819819799</v>
      </c>
      <c r="AA79" s="3">
        <f t="shared" si="3"/>
        <v>151.51535922162168</v>
      </c>
      <c r="AB79" s="20" t="s">
        <v>261</v>
      </c>
    </row>
    <row r="80" spans="1:28" ht="76.5" customHeight="1" x14ac:dyDescent="0.25">
      <c r="A80" s="12" t="s">
        <v>114</v>
      </c>
      <c r="B80" s="12" t="s">
        <v>250</v>
      </c>
      <c r="C80" s="12">
        <v>563</v>
      </c>
      <c r="D80" s="13">
        <v>0.67847222222222225</v>
      </c>
      <c r="E80" s="13">
        <v>0.68541666666666667</v>
      </c>
      <c r="F80" s="21" t="s">
        <v>276</v>
      </c>
      <c r="G80" s="12" t="s">
        <v>152</v>
      </c>
      <c r="H80" s="24">
        <v>1.2</v>
      </c>
      <c r="I80" s="15">
        <v>19</v>
      </c>
      <c r="J80" s="22">
        <v>182</v>
      </c>
      <c r="K80" s="14">
        <f t="shared" si="2"/>
        <v>218.4</v>
      </c>
      <c r="L80" t="s">
        <v>278</v>
      </c>
      <c r="N80" s="16" t="s">
        <v>60</v>
      </c>
      <c r="O80" t="s">
        <v>61</v>
      </c>
      <c r="P80">
        <v>21</v>
      </c>
      <c r="Q80" t="s">
        <v>65</v>
      </c>
      <c r="R80" s="17">
        <v>23</v>
      </c>
      <c r="S80" t="s">
        <v>64</v>
      </c>
      <c r="T80">
        <v>24</v>
      </c>
      <c r="W80" s="18"/>
      <c r="X80" s="2" t="s">
        <v>153</v>
      </c>
      <c r="Y80" s="3">
        <v>3.1058888745076199</v>
      </c>
      <c r="Z80" s="3">
        <v>2.5882407287563498</v>
      </c>
      <c r="AA80" s="3">
        <f t="shared" si="3"/>
        <v>565.27177516038682</v>
      </c>
      <c r="AB80" s="20" t="s">
        <v>261</v>
      </c>
    </row>
    <row r="81" spans="1:28" ht="51" customHeight="1" x14ac:dyDescent="0.25">
      <c r="A81" s="12" t="s">
        <v>114</v>
      </c>
      <c r="B81" s="12" t="s">
        <v>177</v>
      </c>
      <c r="C81" s="12" t="s">
        <v>220</v>
      </c>
      <c r="D81" s="13">
        <v>0.58194444444444449</v>
      </c>
      <c r="E81" s="13">
        <v>0.59305555555555556</v>
      </c>
      <c r="F81" s="12" t="s">
        <v>279</v>
      </c>
      <c r="G81" s="12" t="s">
        <v>129</v>
      </c>
      <c r="H81" s="14">
        <v>5</v>
      </c>
      <c r="I81" s="15">
        <v>19</v>
      </c>
      <c r="J81" s="15">
        <v>198</v>
      </c>
      <c r="K81" s="14">
        <f t="shared" si="2"/>
        <v>990</v>
      </c>
      <c r="L81">
        <v>72</v>
      </c>
      <c r="N81" s="16" t="s">
        <v>58</v>
      </c>
      <c r="O81" t="s">
        <v>59</v>
      </c>
      <c r="P81">
        <v>21</v>
      </c>
      <c r="R81" s="17"/>
      <c r="W81" s="18" t="s">
        <v>130</v>
      </c>
      <c r="X81" s="2" t="s">
        <v>131</v>
      </c>
      <c r="Y81" s="3">
        <v>15.25</v>
      </c>
      <c r="AA81" s="3">
        <f t="shared" si="3"/>
        <v>3019.5</v>
      </c>
      <c r="AB81" s="20" t="s">
        <v>120</v>
      </c>
    </row>
    <row r="82" spans="1:28" ht="51" customHeight="1" x14ac:dyDescent="0.25">
      <c r="A82" s="12" t="s">
        <v>114</v>
      </c>
      <c r="B82" s="12" t="s">
        <v>177</v>
      </c>
      <c r="C82" s="12" t="s">
        <v>280</v>
      </c>
      <c r="D82" s="13">
        <v>0.59375</v>
      </c>
      <c r="E82" s="13">
        <v>0.60347222222222219</v>
      </c>
      <c r="F82" s="12" t="s">
        <v>281</v>
      </c>
      <c r="G82" s="12" t="s">
        <v>129</v>
      </c>
      <c r="H82" s="14">
        <v>5</v>
      </c>
      <c r="I82" s="15">
        <v>19</v>
      </c>
      <c r="J82" s="15">
        <v>198</v>
      </c>
      <c r="K82" s="14">
        <f t="shared" si="2"/>
        <v>990</v>
      </c>
      <c r="L82">
        <v>73</v>
      </c>
      <c r="N82" s="16" t="s">
        <v>58</v>
      </c>
      <c r="O82" t="s">
        <v>59</v>
      </c>
      <c r="P82">
        <v>21</v>
      </c>
      <c r="R82" s="17"/>
      <c r="W82" s="18" t="s">
        <v>130</v>
      </c>
      <c r="X82" s="2" t="s">
        <v>131</v>
      </c>
      <c r="Y82" s="3">
        <v>15.25</v>
      </c>
      <c r="AA82" s="3">
        <f t="shared" si="3"/>
        <v>3019.5</v>
      </c>
      <c r="AB82" s="20" t="s">
        <v>120</v>
      </c>
    </row>
    <row r="83" spans="1:28" ht="76.5" customHeight="1" x14ac:dyDescent="0.25">
      <c r="A83" s="12" t="s">
        <v>114</v>
      </c>
      <c r="B83" s="12" t="s">
        <v>177</v>
      </c>
      <c r="C83" s="12" t="s">
        <v>180</v>
      </c>
      <c r="D83" s="13">
        <v>0.28125</v>
      </c>
      <c r="E83" s="13">
        <v>0.29097222222222219</v>
      </c>
      <c r="F83" s="12" t="s">
        <v>282</v>
      </c>
      <c r="G83" s="12" t="s">
        <v>144</v>
      </c>
      <c r="H83" s="14">
        <v>5</v>
      </c>
      <c r="I83" s="15">
        <v>19</v>
      </c>
      <c r="J83" s="15">
        <v>164</v>
      </c>
      <c r="K83" s="14">
        <f t="shared" si="2"/>
        <v>820</v>
      </c>
      <c r="L83">
        <v>74</v>
      </c>
      <c r="N83" s="16" t="s">
        <v>60</v>
      </c>
      <c r="O83" t="s">
        <v>64</v>
      </c>
      <c r="P83">
        <v>24</v>
      </c>
      <c r="Q83" t="s">
        <v>65</v>
      </c>
      <c r="R83" s="17">
        <v>23</v>
      </c>
      <c r="S83" t="s">
        <v>61</v>
      </c>
      <c r="T83">
        <v>21</v>
      </c>
      <c r="W83" s="18" t="s">
        <v>130</v>
      </c>
      <c r="X83" s="2" t="s">
        <v>145</v>
      </c>
      <c r="Y83" s="3">
        <v>12.941203643781799</v>
      </c>
      <c r="Z83" s="3">
        <v>2.5882407287563498</v>
      </c>
      <c r="AA83" s="3">
        <f t="shared" si="3"/>
        <v>2122.3573975802151</v>
      </c>
      <c r="AB83" s="20" t="s">
        <v>120</v>
      </c>
    </row>
    <row r="84" spans="1:28" s="59" customFormat="1" ht="15" customHeight="1" x14ac:dyDescent="0.25">
      <c r="A84" s="55"/>
      <c r="B84" s="55"/>
      <c r="C84" s="55"/>
      <c r="D84" s="56"/>
      <c r="E84" s="56"/>
      <c r="F84" s="55"/>
      <c r="G84" s="55"/>
      <c r="H84" s="57" t="s">
        <v>422</v>
      </c>
      <c r="I84" s="58"/>
      <c r="J84" s="46"/>
      <c r="K84" s="47">
        <f>SUM(K2:K83)</f>
        <v>82213.89999999998</v>
      </c>
      <c r="L84" s="48" t="s">
        <v>423</v>
      </c>
      <c r="N84" s="60"/>
      <c r="S84" s="61"/>
      <c r="X84" s="62"/>
      <c r="Z84" s="46"/>
      <c r="AA84" s="63">
        <f>SUM(AA2:AA83)</f>
        <v>265689.24924770085</v>
      </c>
      <c r="AB84" s="48" t="s">
        <v>423</v>
      </c>
    </row>
    <row r="85" spans="1:28" ht="15" customHeight="1" x14ac:dyDescent="0.25">
      <c r="J85" s="42"/>
      <c r="K85" s="42"/>
      <c r="L85" s="42"/>
      <c r="S85" s="18"/>
      <c r="AB85" s="42"/>
    </row>
    <row r="86" spans="1:28" ht="15" customHeight="1" x14ac:dyDescent="0.25">
      <c r="J86" s="42"/>
      <c r="K86" s="49">
        <f>'PERGINE giu-ago'!K84</f>
        <v>17944.950000000004</v>
      </c>
      <c r="L86" s="42" t="s">
        <v>424</v>
      </c>
      <c r="S86" s="18"/>
      <c r="AA86" s="54">
        <f>'PERGINE giu-ago'!AA84</f>
        <v>326585.30930705502</v>
      </c>
      <c r="AB86" s="42" t="s">
        <v>424</v>
      </c>
    </row>
    <row r="87" spans="1:28" ht="15" customHeight="1" x14ac:dyDescent="0.25">
      <c r="J87" s="42"/>
      <c r="K87" s="42"/>
      <c r="L87" s="42"/>
      <c r="S87" s="18"/>
    </row>
    <row r="88" spans="1:28" ht="15" customHeight="1" x14ac:dyDescent="0.25">
      <c r="J88" s="42"/>
      <c r="K88" s="50">
        <f>SUM(K84:K87)</f>
        <v>100158.84999999998</v>
      </c>
      <c r="L88" s="42"/>
      <c r="S88" s="18"/>
      <c r="AA88" s="50">
        <f>SUM(AA84:AA87)</f>
        <v>592274.55855475587</v>
      </c>
    </row>
    <row r="89" spans="1:28" ht="15" customHeight="1" x14ac:dyDescent="0.25">
      <c r="S89" s="18"/>
    </row>
    <row r="90" spans="1:28" ht="15" customHeight="1" x14ac:dyDescent="0.25">
      <c r="K90" s="51">
        <v>82213.89999999998</v>
      </c>
      <c r="S90" s="18"/>
      <c r="AA90" s="51">
        <v>265689.24924770085</v>
      </c>
    </row>
    <row r="91" spans="1:28" ht="15" customHeight="1" x14ac:dyDescent="0.25">
      <c r="K91" s="51"/>
      <c r="S91" s="18"/>
      <c r="AA91" s="51"/>
    </row>
    <row r="92" spans="1:28" ht="15" customHeight="1" x14ac:dyDescent="0.25">
      <c r="K92" s="51">
        <v>17944.950000000004</v>
      </c>
      <c r="S92" s="18"/>
      <c r="AA92" s="51">
        <v>326585.30930705502</v>
      </c>
    </row>
    <row r="93" spans="1:28" ht="15" customHeight="1" x14ac:dyDescent="0.25">
      <c r="K93" s="51"/>
      <c r="S93" s="18"/>
      <c r="AA93" s="51"/>
    </row>
    <row r="94" spans="1:28" ht="15" customHeight="1" x14ac:dyDescent="0.25">
      <c r="K94" s="51">
        <v>100158.84999999998</v>
      </c>
      <c r="S94" s="18"/>
      <c r="AA94" s="51">
        <v>592274.55855475587</v>
      </c>
    </row>
    <row r="95" spans="1:28" ht="15" customHeight="1" x14ac:dyDescent="0.25">
      <c r="S95" s="18"/>
    </row>
    <row r="96" spans="1:28" ht="15" customHeight="1" x14ac:dyDescent="0.25">
      <c r="K96" s="52">
        <f>K90-K84</f>
        <v>0</v>
      </c>
      <c r="S96" s="18"/>
      <c r="AA96" s="52">
        <f>AA90-AA84</f>
        <v>0</v>
      </c>
    </row>
    <row r="97" spans="11:27" ht="15" customHeight="1" x14ac:dyDescent="0.25">
      <c r="K97" s="52">
        <f>K86-K92</f>
        <v>0</v>
      </c>
      <c r="S97" s="18"/>
      <c r="AA97" s="52">
        <f>AA86-AA92</f>
        <v>0</v>
      </c>
    </row>
    <row r="98" spans="11:27" ht="15" customHeight="1" x14ac:dyDescent="0.25">
      <c r="K98" s="52">
        <f>K88-K94</f>
        <v>0</v>
      </c>
      <c r="S98" s="18"/>
      <c r="AA98" s="52">
        <f>AA88-AA94</f>
        <v>0</v>
      </c>
    </row>
    <row r="99" spans="11:27" ht="15" customHeight="1" x14ac:dyDescent="0.25">
      <c r="S99" s="18"/>
    </row>
    <row r="100" spans="11:27" ht="15" customHeight="1" x14ac:dyDescent="0.25">
      <c r="S100" s="18"/>
    </row>
    <row r="101" spans="11:27" ht="15" customHeight="1" x14ac:dyDescent="0.25">
      <c r="S101" s="18"/>
    </row>
    <row r="102" spans="11:27" ht="15" customHeight="1" x14ac:dyDescent="0.25">
      <c r="S102" s="18"/>
    </row>
    <row r="103" spans="11:27" ht="15" customHeight="1" x14ac:dyDescent="0.25">
      <c r="S103" s="18"/>
    </row>
    <row r="104" spans="11:27" ht="15" customHeight="1" x14ac:dyDescent="0.25">
      <c r="S104" s="18"/>
    </row>
    <row r="105" spans="11:27" ht="15" customHeight="1" x14ac:dyDescent="0.25">
      <c r="S105" s="18"/>
    </row>
    <row r="106" spans="11:27" ht="15" customHeight="1" x14ac:dyDescent="0.25">
      <c r="S106" s="18"/>
    </row>
    <row r="107" spans="11:27" ht="15" customHeight="1" x14ac:dyDescent="0.25">
      <c r="S107" s="18"/>
    </row>
    <row r="108" spans="11:27" ht="15" customHeight="1" x14ac:dyDescent="0.25">
      <c r="S108" s="18"/>
    </row>
    <row r="109" spans="11:27" ht="15" customHeight="1" x14ac:dyDescent="0.25">
      <c r="S109" s="18"/>
    </row>
    <row r="110" spans="11:27" ht="15" customHeight="1" x14ac:dyDescent="0.25">
      <c r="S110" s="18"/>
    </row>
    <row r="111" spans="11:27" ht="15" customHeight="1" x14ac:dyDescent="0.25">
      <c r="S111" s="18"/>
    </row>
    <row r="112" spans="11:27" ht="15" customHeight="1" x14ac:dyDescent="0.25">
      <c r="S112" s="18"/>
    </row>
    <row r="113" spans="19:19" ht="15" customHeight="1" x14ac:dyDescent="0.25">
      <c r="S113" s="18"/>
    </row>
    <row r="114" spans="19:19" ht="15" customHeight="1" x14ac:dyDescent="0.25">
      <c r="S114" s="18"/>
    </row>
    <row r="115" spans="19:19" ht="15" customHeight="1" x14ac:dyDescent="0.25">
      <c r="S115" s="18"/>
    </row>
    <row r="116" spans="19:19" ht="15" customHeight="1" x14ac:dyDescent="0.25">
      <c r="S116" s="18"/>
    </row>
    <row r="117" spans="19:19" ht="15" customHeight="1" x14ac:dyDescent="0.25">
      <c r="S117" s="18"/>
    </row>
    <row r="118" spans="19:19" ht="15" customHeight="1" x14ac:dyDescent="0.25">
      <c r="S118" s="18"/>
    </row>
    <row r="119" spans="19:19" ht="15" customHeight="1" x14ac:dyDescent="0.25">
      <c r="S119" s="18"/>
    </row>
    <row r="120" spans="19:19" ht="15" customHeight="1" x14ac:dyDescent="0.25">
      <c r="S120" s="18"/>
    </row>
    <row r="121" spans="19:19" ht="15" customHeight="1" x14ac:dyDescent="0.25">
      <c r="S121" s="18"/>
    </row>
    <row r="122" spans="19:19" ht="15" customHeight="1" x14ac:dyDescent="0.25">
      <c r="S122" s="18"/>
    </row>
    <row r="123" spans="19:19" ht="15" customHeight="1" x14ac:dyDescent="0.25">
      <c r="S123" s="18"/>
    </row>
    <row r="124" spans="19:19" ht="15" customHeight="1" x14ac:dyDescent="0.25">
      <c r="S124" s="18"/>
    </row>
    <row r="125" spans="19:19" ht="15" customHeight="1" x14ac:dyDescent="0.25">
      <c r="S125" s="18"/>
    </row>
    <row r="126" spans="19:19" ht="15" customHeight="1" x14ac:dyDescent="0.25">
      <c r="S126" s="18"/>
    </row>
    <row r="127" spans="19:19" ht="15" customHeight="1" x14ac:dyDescent="0.25">
      <c r="S127" s="18"/>
    </row>
    <row r="128" spans="19:19" ht="15" customHeight="1" x14ac:dyDescent="0.25">
      <c r="S128" s="18"/>
    </row>
    <row r="129" spans="19:19" ht="15" customHeight="1" x14ac:dyDescent="0.25">
      <c r="S129" s="18"/>
    </row>
    <row r="130" spans="19:19" ht="15" customHeight="1" x14ac:dyDescent="0.25">
      <c r="S130" s="18"/>
    </row>
  </sheetData>
  <autoFilter ref="A1:AA84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7"/>
  <sheetViews>
    <sheetView topLeftCell="D1" zoomScaleNormal="100" workbookViewId="0">
      <pane ySplit="1" topLeftCell="A5" activePane="bottomLeft" state="frozen"/>
      <selection pane="bottomLeft" activeCell="K25" sqref="K25:K27"/>
    </sheetView>
  </sheetViews>
  <sheetFormatPr defaultColWidth="8.7109375" defaultRowHeight="15" x14ac:dyDescent="0.25"/>
  <cols>
    <col min="1" max="1" width="5.7109375" customWidth="1"/>
    <col min="2" max="2" width="5.42578125" customWidth="1"/>
    <col min="3" max="3" width="5.7109375" customWidth="1"/>
    <col min="4" max="4" width="7.85546875" customWidth="1"/>
    <col min="5" max="5" width="7" customWidth="1"/>
    <col min="6" max="6" width="24.7109375" customWidth="1"/>
    <col min="7" max="7" width="29.85546875" customWidth="1"/>
    <col min="8" max="8" width="9" customWidth="1"/>
    <col min="9" max="9" width="7.5703125" customWidth="1"/>
    <col min="10" max="10" width="8" customWidth="1"/>
    <col min="11" max="11" width="14.28515625" customWidth="1"/>
    <col min="12" max="12" width="4.140625" customWidth="1"/>
    <col min="13" max="13" width="5" customWidth="1"/>
    <col min="14" max="14" width="15" customWidth="1"/>
    <col min="15" max="15" width="9.5703125" customWidth="1"/>
    <col min="21" max="22" width="8.7109375" hidden="1" customWidth="1"/>
    <col min="24" max="24" width="20.85546875" customWidth="1"/>
    <col min="25" max="25" width="11.85546875" customWidth="1"/>
    <col min="26" max="26" width="12.42578125" customWidth="1"/>
    <col min="27" max="27" width="13.140625" customWidth="1"/>
    <col min="28" max="28" width="30" customWidth="1"/>
  </cols>
  <sheetData>
    <row r="1" spans="1:28" ht="54" customHeight="1" x14ac:dyDescent="0.25">
      <c r="A1" s="4" t="s">
        <v>86</v>
      </c>
      <c r="B1" s="4" t="s">
        <v>87</v>
      </c>
      <c r="C1" s="4" t="s">
        <v>88</v>
      </c>
      <c r="D1" s="4" t="s">
        <v>89</v>
      </c>
      <c r="E1" s="4" t="s">
        <v>90</v>
      </c>
      <c r="F1" s="4" t="s">
        <v>91</v>
      </c>
      <c r="G1" s="4" t="s">
        <v>92</v>
      </c>
      <c r="H1" s="4" t="s">
        <v>93</v>
      </c>
      <c r="I1" s="4" t="s">
        <v>94</v>
      </c>
      <c r="J1" s="4" t="s">
        <v>95</v>
      </c>
      <c r="K1" s="4" t="s">
        <v>96</v>
      </c>
      <c r="L1" s="5" t="s">
        <v>97</v>
      </c>
      <c r="M1" s="5" t="s">
        <v>98</v>
      </c>
      <c r="N1" s="6" t="s">
        <v>99</v>
      </c>
      <c r="O1" s="10" t="s">
        <v>100</v>
      </c>
      <c r="P1" s="10" t="s">
        <v>101</v>
      </c>
      <c r="Q1" s="10" t="s">
        <v>102</v>
      </c>
      <c r="R1" s="10" t="s">
        <v>103</v>
      </c>
      <c r="S1" s="10" t="s">
        <v>104</v>
      </c>
      <c r="T1" s="10" t="s">
        <v>105</v>
      </c>
      <c r="U1" s="10" t="s">
        <v>106</v>
      </c>
      <c r="V1" s="10" t="s">
        <v>107</v>
      </c>
      <c r="W1" s="10" t="s">
        <v>108</v>
      </c>
      <c r="X1" s="8" t="s">
        <v>109</v>
      </c>
      <c r="Y1" s="9" t="s">
        <v>110</v>
      </c>
      <c r="Z1" s="9" t="s">
        <v>111</v>
      </c>
      <c r="AA1" s="10" t="s">
        <v>112</v>
      </c>
      <c r="AB1" s="11" t="s">
        <v>113</v>
      </c>
    </row>
    <row r="2" spans="1:28" ht="127.5" customHeight="1" x14ac:dyDescent="0.25">
      <c r="A2" s="12" t="s">
        <v>284</v>
      </c>
      <c r="B2" s="12" t="s">
        <v>285</v>
      </c>
      <c r="C2" s="12" t="s">
        <v>286</v>
      </c>
      <c r="D2" s="13">
        <v>0.2986111111111111</v>
      </c>
      <c r="E2" s="13">
        <v>0.31180555555555561</v>
      </c>
      <c r="F2" s="12" t="s">
        <v>287</v>
      </c>
      <c r="G2" s="12" t="s">
        <v>140</v>
      </c>
      <c r="H2" s="14">
        <v>13.9</v>
      </c>
      <c r="I2" s="15">
        <v>23</v>
      </c>
      <c r="J2" s="15">
        <v>20</v>
      </c>
      <c r="K2" s="14">
        <f>J2*H2</f>
        <v>278</v>
      </c>
      <c r="L2">
        <v>1</v>
      </c>
      <c r="N2" s="30" t="s">
        <v>11</v>
      </c>
      <c r="O2" t="s">
        <v>12</v>
      </c>
      <c r="P2">
        <v>45</v>
      </c>
      <c r="Q2" t="s">
        <v>22</v>
      </c>
      <c r="R2">
        <v>33</v>
      </c>
      <c r="S2" t="s">
        <v>29</v>
      </c>
      <c r="T2">
        <v>29</v>
      </c>
      <c r="X2" s="2" t="s">
        <v>227</v>
      </c>
      <c r="Y2" s="3">
        <v>62.02</v>
      </c>
      <c r="AA2" s="3">
        <f>Y2*J2</f>
        <v>1240.4000000000001</v>
      </c>
      <c r="AB2" s="20" t="s">
        <v>120</v>
      </c>
    </row>
    <row r="3" spans="1:28" ht="23.25" customHeight="1" x14ac:dyDescent="0.25">
      <c r="A3" s="12" t="s">
        <v>284</v>
      </c>
      <c r="B3" s="12" t="s">
        <v>285</v>
      </c>
      <c r="C3" s="12" t="s">
        <v>286</v>
      </c>
      <c r="D3" s="13">
        <v>0.2986111111111111</v>
      </c>
      <c r="E3" s="13">
        <v>0.31805555555555548</v>
      </c>
      <c r="F3" s="12" t="s">
        <v>288</v>
      </c>
      <c r="G3" s="12" t="s">
        <v>129</v>
      </c>
      <c r="H3" s="14">
        <v>14.4</v>
      </c>
      <c r="I3" s="15">
        <v>44</v>
      </c>
      <c r="J3" s="15">
        <v>198</v>
      </c>
      <c r="K3" s="14">
        <f t="shared" ref="K3:K12" si="0">J3*H3</f>
        <v>2851.2000000000003</v>
      </c>
      <c r="L3">
        <v>2</v>
      </c>
      <c r="N3" s="30" t="s">
        <v>11</v>
      </c>
      <c r="O3" t="s">
        <v>12</v>
      </c>
      <c r="P3">
        <v>45</v>
      </c>
      <c r="Q3" t="s">
        <v>22</v>
      </c>
      <c r="R3">
        <v>33</v>
      </c>
      <c r="S3" t="s">
        <v>29</v>
      </c>
      <c r="T3">
        <v>29</v>
      </c>
      <c r="X3" t="s">
        <v>131</v>
      </c>
      <c r="Y3" s="3">
        <v>63.12</v>
      </c>
      <c r="AA3" s="3">
        <f t="shared" ref="AA3:AA12" si="1">Y3*J3</f>
        <v>12497.76</v>
      </c>
      <c r="AB3" s="20" t="s">
        <v>120</v>
      </c>
    </row>
    <row r="4" spans="1:28" ht="23.25" customHeight="1" x14ac:dyDescent="0.25">
      <c r="A4" s="12" t="s">
        <v>284</v>
      </c>
      <c r="B4" s="12" t="s">
        <v>285</v>
      </c>
      <c r="C4" s="12" t="s">
        <v>286</v>
      </c>
      <c r="D4" s="13">
        <v>0.2986111111111111</v>
      </c>
      <c r="E4" s="13">
        <v>0.31180555555555561</v>
      </c>
      <c r="F4" s="12" t="s">
        <v>287</v>
      </c>
      <c r="G4" s="12" t="s">
        <v>121</v>
      </c>
      <c r="H4" s="14">
        <v>13.9</v>
      </c>
      <c r="I4" s="15">
        <v>23</v>
      </c>
      <c r="J4" s="15">
        <v>8</v>
      </c>
      <c r="K4" s="14">
        <f t="shared" si="0"/>
        <v>111.2</v>
      </c>
      <c r="L4">
        <v>3</v>
      </c>
      <c r="N4" s="30" t="s">
        <v>11</v>
      </c>
      <c r="O4" t="s">
        <v>12</v>
      </c>
      <c r="P4">
        <v>45</v>
      </c>
      <c r="Q4" t="s">
        <v>22</v>
      </c>
      <c r="R4">
        <v>33</v>
      </c>
      <c r="S4" t="s">
        <v>29</v>
      </c>
      <c r="T4">
        <v>29</v>
      </c>
      <c r="X4" t="s">
        <v>122</v>
      </c>
      <c r="Y4" s="3">
        <v>62.02</v>
      </c>
      <c r="AA4" s="3">
        <f t="shared" si="1"/>
        <v>496.16</v>
      </c>
      <c r="AB4" s="20" t="s">
        <v>120</v>
      </c>
    </row>
    <row r="5" spans="1:28" ht="23.25" customHeight="1" x14ac:dyDescent="0.25">
      <c r="A5" s="12" t="s">
        <v>284</v>
      </c>
      <c r="B5" s="12" t="s">
        <v>285</v>
      </c>
      <c r="C5" s="12" t="s">
        <v>289</v>
      </c>
      <c r="D5" s="13">
        <v>0.54513888888888884</v>
      </c>
      <c r="E5" s="13">
        <v>0.55833333333333335</v>
      </c>
      <c r="F5" s="12" t="s">
        <v>287</v>
      </c>
      <c r="G5" s="12" t="s">
        <v>171</v>
      </c>
      <c r="H5" s="14">
        <v>13.9</v>
      </c>
      <c r="I5" s="15">
        <v>23</v>
      </c>
      <c r="J5" s="15">
        <v>226</v>
      </c>
      <c r="K5" s="14">
        <f t="shared" si="0"/>
        <v>3141.4</v>
      </c>
      <c r="L5">
        <v>4</v>
      </c>
      <c r="N5" s="30" t="s">
        <v>11</v>
      </c>
      <c r="O5" t="s">
        <v>22</v>
      </c>
      <c r="P5">
        <v>33</v>
      </c>
      <c r="Q5" t="s">
        <v>34</v>
      </c>
      <c r="R5">
        <v>24</v>
      </c>
      <c r="S5" t="s">
        <v>29</v>
      </c>
      <c r="T5">
        <v>29</v>
      </c>
      <c r="X5" t="s">
        <v>172</v>
      </c>
      <c r="Y5" s="3">
        <v>31.07</v>
      </c>
      <c r="AA5" s="3">
        <f t="shared" si="1"/>
        <v>7021.82</v>
      </c>
      <c r="AB5" s="20" t="s">
        <v>120</v>
      </c>
    </row>
    <row r="6" spans="1:28" ht="23.25" customHeight="1" x14ac:dyDescent="0.25">
      <c r="A6" s="12" t="s">
        <v>284</v>
      </c>
      <c r="B6" s="12" t="s">
        <v>285</v>
      </c>
      <c r="C6" s="12" t="s">
        <v>290</v>
      </c>
      <c r="D6" s="13">
        <v>0.57638888888888884</v>
      </c>
      <c r="E6" s="13">
        <v>0.58958333333333335</v>
      </c>
      <c r="F6" s="12" t="s">
        <v>287</v>
      </c>
      <c r="G6" s="12" t="s">
        <v>129</v>
      </c>
      <c r="H6" s="14">
        <v>13.9</v>
      </c>
      <c r="I6" s="15">
        <v>23</v>
      </c>
      <c r="J6" s="15">
        <v>198</v>
      </c>
      <c r="K6" s="14">
        <f t="shared" si="0"/>
        <v>2752.2000000000003</v>
      </c>
      <c r="L6">
        <v>5</v>
      </c>
      <c r="N6" s="30" t="s">
        <v>11</v>
      </c>
      <c r="O6" t="s">
        <v>34</v>
      </c>
      <c r="P6">
        <v>24</v>
      </c>
      <c r="Q6" t="s">
        <v>22</v>
      </c>
      <c r="R6">
        <v>33</v>
      </c>
      <c r="S6" t="s">
        <v>29</v>
      </c>
      <c r="T6">
        <v>29</v>
      </c>
      <c r="X6" t="s">
        <v>131</v>
      </c>
      <c r="Y6" s="3">
        <v>31.07</v>
      </c>
      <c r="AA6" s="3">
        <f t="shared" si="1"/>
        <v>6151.86</v>
      </c>
      <c r="AB6" s="20" t="s">
        <v>120</v>
      </c>
    </row>
    <row r="7" spans="1:28" ht="23.25" customHeight="1" x14ac:dyDescent="0.25">
      <c r="A7" s="12" t="s">
        <v>284</v>
      </c>
      <c r="B7" s="12" t="s">
        <v>285</v>
      </c>
      <c r="C7" s="12" t="s">
        <v>291</v>
      </c>
      <c r="D7" s="13">
        <v>0.52569444444444446</v>
      </c>
      <c r="E7" s="13">
        <v>0.54305555555555551</v>
      </c>
      <c r="F7" s="12" t="s">
        <v>292</v>
      </c>
      <c r="G7" s="12" t="s">
        <v>171</v>
      </c>
      <c r="H7" s="14">
        <v>13.9</v>
      </c>
      <c r="I7" s="15">
        <v>23</v>
      </c>
      <c r="J7" s="15">
        <v>226</v>
      </c>
      <c r="K7" s="14">
        <f t="shared" si="0"/>
        <v>3141.4</v>
      </c>
      <c r="L7">
        <v>6</v>
      </c>
      <c r="N7" s="30" t="s">
        <v>11</v>
      </c>
      <c r="O7" t="s">
        <v>34</v>
      </c>
      <c r="P7">
        <v>24</v>
      </c>
      <c r="Q7" t="s">
        <v>22</v>
      </c>
      <c r="R7">
        <v>33</v>
      </c>
      <c r="S7" t="s">
        <v>29</v>
      </c>
      <c r="T7">
        <v>29</v>
      </c>
      <c r="X7" t="s">
        <v>172</v>
      </c>
      <c r="Y7" s="3">
        <v>31.07</v>
      </c>
      <c r="AA7" s="3">
        <f t="shared" si="1"/>
        <v>7021.82</v>
      </c>
      <c r="AB7" s="20" t="s">
        <v>120</v>
      </c>
    </row>
    <row r="8" spans="1:28" ht="23.25" customHeight="1" x14ac:dyDescent="0.25">
      <c r="A8" s="12" t="s">
        <v>284</v>
      </c>
      <c r="B8" s="12" t="s">
        <v>285</v>
      </c>
      <c r="C8" s="12" t="s">
        <v>293</v>
      </c>
      <c r="D8" s="13">
        <v>0.55833333333333335</v>
      </c>
      <c r="E8" s="13">
        <v>0.57638888888888884</v>
      </c>
      <c r="F8" s="12" t="s">
        <v>292</v>
      </c>
      <c r="G8" s="12" t="s">
        <v>129</v>
      </c>
      <c r="H8" s="14">
        <v>12</v>
      </c>
      <c r="I8" s="15">
        <v>23</v>
      </c>
      <c r="J8" s="15">
        <v>198</v>
      </c>
      <c r="K8" s="14">
        <f t="shared" si="0"/>
        <v>2376</v>
      </c>
      <c r="L8">
        <v>7</v>
      </c>
      <c r="N8" s="30" t="s">
        <v>11</v>
      </c>
      <c r="O8" t="s">
        <v>34</v>
      </c>
      <c r="P8">
        <v>24</v>
      </c>
      <c r="Q8" t="s">
        <v>22</v>
      </c>
      <c r="R8">
        <v>33</v>
      </c>
      <c r="S8" t="s">
        <v>29</v>
      </c>
      <c r="T8">
        <v>29</v>
      </c>
      <c r="X8" t="s">
        <v>131</v>
      </c>
      <c r="Y8" s="3">
        <v>26.83</v>
      </c>
      <c r="AA8" s="3">
        <f t="shared" si="1"/>
        <v>5312.3399999999992</v>
      </c>
      <c r="AB8" s="20" t="s">
        <v>120</v>
      </c>
    </row>
    <row r="9" spans="1:28" ht="23.25" customHeight="1" x14ac:dyDescent="0.25">
      <c r="A9" s="12" t="s">
        <v>284</v>
      </c>
      <c r="B9" s="12" t="s">
        <v>285</v>
      </c>
      <c r="C9" s="12" t="s">
        <v>294</v>
      </c>
      <c r="D9" s="13">
        <v>0.59375</v>
      </c>
      <c r="E9" s="13">
        <v>0.60763888888888884</v>
      </c>
      <c r="F9" s="12" t="s">
        <v>295</v>
      </c>
      <c r="G9" s="12" t="s">
        <v>144</v>
      </c>
      <c r="H9" s="14">
        <v>12</v>
      </c>
      <c r="I9" s="15">
        <v>23</v>
      </c>
      <c r="J9" s="15">
        <v>164</v>
      </c>
      <c r="K9" s="14">
        <f t="shared" si="0"/>
        <v>1968</v>
      </c>
      <c r="L9">
        <v>8</v>
      </c>
      <c r="N9" s="30" t="s">
        <v>11</v>
      </c>
      <c r="O9" t="s">
        <v>34</v>
      </c>
      <c r="P9">
        <v>24</v>
      </c>
      <c r="Q9" t="s">
        <v>22</v>
      </c>
      <c r="R9">
        <v>33</v>
      </c>
      <c r="S9" t="s">
        <v>29</v>
      </c>
      <c r="T9">
        <v>29</v>
      </c>
      <c r="X9" t="s">
        <v>145</v>
      </c>
      <c r="Y9" s="3">
        <v>26.83</v>
      </c>
      <c r="AA9" s="3">
        <f t="shared" si="1"/>
        <v>4400.12</v>
      </c>
      <c r="AB9" s="20" t="s">
        <v>120</v>
      </c>
    </row>
    <row r="10" spans="1:28" ht="23.25" customHeight="1" x14ac:dyDescent="0.25">
      <c r="A10" s="12" t="s">
        <v>284</v>
      </c>
      <c r="B10" s="12" t="s">
        <v>285</v>
      </c>
      <c r="C10" s="12" t="s">
        <v>265</v>
      </c>
      <c r="D10" s="13">
        <v>0.75694444444444442</v>
      </c>
      <c r="E10" s="13">
        <v>0.77777777777777779</v>
      </c>
      <c r="F10" s="12" t="s">
        <v>292</v>
      </c>
      <c r="G10" s="12" t="s">
        <v>171</v>
      </c>
      <c r="H10" s="14">
        <v>13.9</v>
      </c>
      <c r="I10" s="15">
        <v>23</v>
      </c>
      <c r="J10" s="15">
        <v>226</v>
      </c>
      <c r="K10" s="14">
        <f t="shared" si="0"/>
        <v>3141.4</v>
      </c>
      <c r="L10">
        <v>9</v>
      </c>
      <c r="N10" s="30" t="s">
        <v>11</v>
      </c>
      <c r="O10" t="s">
        <v>34</v>
      </c>
      <c r="P10">
        <v>24</v>
      </c>
      <c r="Q10" t="s">
        <v>22</v>
      </c>
      <c r="R10">
        <v>33</v>
      </c>
      <c r="S10" t="s">
        <v>29</v>
      </c>
      <c r="T10">
        <v>29</v>
      </c>
      <c r="X10" t="s">
        <v>172</v>
      </c>
      <c r="Y10" s="3">
        <v>62.02</v>
      </c>
      <c r="AA10" s="3">
        <f t="shared" si="1"/>
        <v>14016.52</v>
      </c>
      <c r="AB10" s="20" t="s">
        <v>120</v>
      </c>
    </row>
    <row r="11" spans="1:28" ht="23.25" customHeight="1" x14ac:dyDescent="0.25">
      <c r="A11" s="12" t="s">
        <v>284</v>
      </c>
      <c r="B11" s="12" t="s">
        <v>296</v>
      </c>
      <c r="C11" s="12" t="s">
        <v>297</v>
      </c>
      <c r="D11" s="13">
        <v>0.3263888888888889</v>
      </c>
      <c r="E11" s="13">
        <v>0.33402777777777781</v>
      </c>
      <c r="F11" s="12" t="s">
        <v>298</v>
      </c>
      <c r="G11" s="12" t="s">
        <v>144</v>
      </c>
      <c r="H11" s="14">
        <v>6</v>
      </c>
      <c r="I11" s="15">
        <v>23</v>
      </c>
      <c r="J11" s="15">
        <v>164</v>
      </c>
      <c r="K11" s="14">
        <f t="shared" si="0"/>
        <v>984</v>
      </c>
      <c r="L11">
        <v>10</v>
      </c>
      <c r="N11" s="30" t="s">
        <v>73</v>
      </c>
      <c r="O11" t="s">
        <v>76</v>
      </c>
      <c r="P11">
        <v>56</v>
      </c>
      <c r="Q11" t="s">
        <v>78</v>
      </c>
      <c r="R11">
        <v>53</v>
      </c>
      <c r="S11" t="s">
        <v>74</v>
      </c>
      <c r="T11">
        <v>56</v>
      </c>
      <c r="X11" t="s">
        <v>145</v>
      </c>
      <c r="Y11" s="3">
        <v>152.4</v>
      </c>
      <c r="AA11" s="3">
        <f t="shared" si="1"/>
        <v>24993.600000000002</v>
      </c>
      <c r="AB11" s="20" t="s">
        <v>120</v>
      </c>
    </row>
    <row r="12" spans="1:28" ht="23.25" customHeight="1" x14ac:dyDescent="0.25">
      <c r="A12" s="12" t="s">
        <v>284</v>
      </c>
      <c r="B12" s="12" t="s">
        <v>299</v>
      </c>
      <c r="C12" s="12" t="s">
        <v>300</v>
      </c>
      <c r="D12" s="13">
        <v>0.31319444444444439</v>
      </c>
      <c r="E12" s="13">
        <v>0.32013888888888892</v>
      </c>
      <c r="F12" s="12" t="s">
        <v>301</v>
      </c>
      <c r="G12" s="12" t="s">
        <v>144</v>
      </c>
      <c r="H12" s="14">
        <v>4</v>
      </c>
      <c r="I12" s="15">
        <v>50</v>
      </c>
      <c r="J12" s="15">
        <v>164</v>
      </c>
      <c r="K12" s="14">
        <f t="shared" si="0"/>
        <v>656</v>
      </c>
      <c r="L12">
        <v>11</v>
      </c>
      <c r="N12" s="30" t="s">
        <v>11</v>
      </c>
      <c r="O12" t="s">
        <v>32</v>
      </c>
      <c r="P12">
        <v>55</v>
      </c>
      <c r="Q12" t="s">
        <v>18</v>
      </c>
      <c r="R12">
        <v>56</v>
      </c>
      <c r="S12" t="s">
        <v>25</v>
      </c>
      <c r="T12">
        <v>54</v>
      </c>
      <c r="X12" t="s">
        <v>145</v>
      </c>
      <c r="Y12" s="3">
        <v>18.29</v>
      </c>
      <c r="AA12" s="3">
        <f t="shared" si="1"/>
        <v>2999.56</v>
      </c>
      <c r="AB12" s="20" t="s">
        <v>120</v>
      </c>
    </row>
    <row r="13" spans="1:28" s="59" customFormat="1" ht="15" customHeight="1" x14ac:dyDescent="0.25">
      <c r="A13" s="55"/>
      <c r="B13" s="55"/>
      <c r="C13" s="55"/>
      <c r="D13" s="56"/>
      <c r="E13" s="56"/>
      <c r="F13" s="55"/>
      <c r="G13" s="55"/>
      <c r="H13" s="57" t="s">
        <v>422</v>
      </c>
      <c r="I13" s="58"/>
      <c r="J13" s="58"/>
      <c r="K13" s="57">
        <f>SUM(K2:K12)</f>
        <v>21400.800000000003</v>
      </c>
      <c r="L13" s="48" t="s">
        <v>423</v>
      </c>
      <c r="N13" s="60"/>
      <c r="AA13" s="63">
        <f>SUM(AA2:AA12)</f>
        <v>86151.96</v>
      </c>
      <c r="AB13" s="48" t="s">
        <v>423</v>
      </c>
    </row>
    <row r="14" spans="1:28" x14ac:dyDescent="0.25">
      <c r="L14" s="42"/>
      <c r="N14" s="1"/>
      <c r="AB14" s="42"/>
    </row>
    <row r="15" spans="1:28" x14ac:dyDescent="0.25">
      <c r="K15" s="64">
        <f>'ARCO giu-ago'!K13</f>
        <v>4791.6000000000004</v>
      </c>
      <c r="L15" s="42" t="s">
        <v>424</v>
      </c>
      <c r="N15" s="1"/>
      <c r="AA15" s="54">
        <f>'ARCO giu-ago'!AA13</f>
        <v>16960.059999999998</v>
      </c>
      <c r="AB15" s="42" t="s">
        <v>424</v>
      </c>
    </row>
    <row r="17" spans="11:27" x14ac:dyDescent="0.25">
      <c r="K17" s="50">
        <f>SUM(K13:K16)</f>
        <v>26192.400000000001</v>
      </c>
      <c r="AA17" s="50">
        <f>SUM(AA13:AA16)</f>
        <v>103112.02</v>
      </c>
    </row>
    <row r="19" spans="11:27" x14ac:dyDescent="0.25">
      <c r="K19" s="51">
        <v>21400.800000000003</v>
      </c>
      <c r="AA19" s="51">
        <v>86151.96</v>
      </c>
    </row>
    <row r="20" spans="11:27" x14ac:dyDescent="0.25">
      <c r="K20" s="51"/>
      <c r="AA20" s="51"/>
    </row>
    <row r="21" spans="11:27" x14ac:dyDescent="0.25">
      <c r="K21" s="51">
        <v>4791.6000000000004</v>
      </c>
      <c r="AA21" s="51">
        <v>16960.059999999998</v>
      </c>
    </row>
    <row r="22" spans="11:27" x14ac:dyDescent="0.25">
      <c r="K22" s="51"/>
      <c r="AA22" s="51"/>
    </row>
    <row r="23" spans="11:27" x14ac:dyDescent="0.25">
      <c r="K23" s="51">
        <v>26192.400000000001</v>
      </c>
      <c r="AA23" s="51">
        <v>103112.02</v>
      </c>
    </row>
    <row r="25" spans="11:27" x14ac:dyDescent="0.25">
      <c r="K25" s="52">
        <f>K19-K13</f>
        <v>0</v>
      </c>
      <c r="AA25" s="52">
        <f>AA19-AA13</f>
        <v>0</v>
      </c>
    </row>
    <row r="26" spans="11:27" x14ac:dyDescent="0.25">
      <c r="K26" s="52">
        <f>K15-K21</f>
        <v>0</v>
      </c>
      <c r="AA26" s="52">
        <f>AA15-AA21</f>
        <v>0</v>
      </c>
    </row>
    <row r="27" spans="11:27" x14ac:dyDescent="0.25">
      <c r="K27" s="52">
        <f>K17-K23</f>
        <v>0</v>
      </c>
      <c r="AA27" s="52">
        <f>AA17-AA23</f>
        <v>0</v>
      </c>
    </row>
  </sheetData>
  <autoFilter ref="A1:AA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22"/>
  <sheetViews>
    <sheetView zoomScaleNormal="100" workbookViewId="0">
      <pane ySplit="1" topLeftCell="A95" activePane="bottomLeft" state="frozen"/>
      <selection pane="bottomLeft" activeCell="K112" sqref="K112:K122"/>
    </sheetView>
  </sheetViews>
  <sheetFormatPr defaultColWidth="8.7109375" defaultRowHeight="15" x14ac:dyDescent="0.25"/>
  <cols>
    <col min="1" max="1" width="11.85546875" customWidth="1"/>
    <col min="2" max="2" width="7.42578125" customWidth="1"/>
    <col min="3" max="3" width="6.85546875" customWidth="1"/>
    <col min="4" max="4" width="7.85546875" customWidth="1"/>
    <col min="5" max="5" width="9" customWidth="1"/>
    <col min="6" max="6" width="20.28515625" customWidth="1"/>
    <col min="7" max="7" width="14.5703125" customWidth="1"/>
    <col min="8" max="8" width="9" customWidth="1"/>
    <col min="9" max="9" width="6.85546875" customWidth="1"/>
    <col min="10" max="10" width="6" customWidth="1"/>
    <col min="11" max="11" width="11" customWidth="1"/>
    <col min="12" max="12" width="5.5703125" customWidth="1"/>
    <col min="13" max="13" width="5.140625" customWidth="1"/>
    <col min="14" max="14" width="18" customWidth="1"/>
    <col min="15" max="15" width="10.42578125" customWidth="1"/>
    <col min="20" max="20" width="10.42578125" hidden="1" customWidth="1"/>
    <col min="21" max="22" width="11.5703125" hidden="1" customWidth="1"/>
    <col min="24" max="24" width="21" customWidth="1"/>
    <col min="25" max="25" width="12.140625" customWidth="1"/>
    <col min="26" max="26" width="11.7109375" customWidth="1"/>
    <col min="27" max="27" width="13.140625" customWidth="1"/>
    <col min="28" max="28" width="30" customWidth="1"/>
  </cols>
  <sheetData>
    <row r="1" spans="1:28" ht="52.5" customHeight="1" x14ac:dyDescent="0.25">
      <c r="A1" s="4" t="s">
        <v>86</v>
      </c>
      <c r="B1" s="4" t="s">
        <v>87</v>
      </c>
      <c r="C1" s="4" t="s">
        <v>88</v>
      </c>
      <c r="D1" s="4" t="s">
        <v>89</v>
      </c>
      <c r="E1" s="4" t="s">
        <v>90</v>
      </c>
      <c r="F1" s="4" t="s">
        <v>91</v>
      </c>
      <c r="G1" s="4" t="s">
        <v>92</v>
      </c>
      <c r="H1" s="4" t="s">
        <v>93</v>
      </c>
      <c r="I1" s="4" t="s">
        <v>94</v>
      </c>
      <c r="J1" s="4" t="s">
        <v>95</v>
      </c>
      <c r="K1" s="4" t="s">
        <v>96</v>
      </c>
      <c r="L1" s="5" t="s">
        <v>97</v>
      </c>
      <c r="M1" s="5" t="s">
        <v>98</v>
      </c>
      <c r="N1" s="6" t="s">
        <v>99</v>
      </c>
      <c r="O1" s="10" t="s">
        <v>100</v>
      </c>
      <c r="P1" s="10" t="s">
        <v>101</v>
      </c>
      <c r="Q1" s="10" t="s">
        <v>102</v>
      </c>
      <c r="R1" s="10" t="s">
        <v>103</v>
      </c>
      <c r="S1" s="10" t="s">
        <v>104</v>
      </c>
      <c r="T1" s="10" t="s">
        <v>105</v>
      </c>
      <c r="U1" s="10" t="s">
        <v>106</v>
      </c>
      <c r="V1" s="10" t="s">
        <v>107</v>
      </c>
      <c r="W1" s="10" t="s">
        <v>108</v>
      </c>
      <c r="X1" s="8" t="s">
        <v>109</v>
      </c>
      <c r="Y1" s="9" t="s">
        <v>110</v>
      </c>
      <c r="Z1" s="9" t="s">
        <v>111</v>
      </c>
      <c r="AA1" s="10" t="s">
        <v>112</v>
      </c>
      <c r="AB1" s="11" t="s">
        <v>113</v>
      </c>
    </row>
    <row r="2" spans="1:28" ht="23.25" customHeight="1" x14ac:dyDescent="0.25">
      <c r="A2" s="12" t="s">
        <v>302</v>
      </c>
      <c r="B2" s="12" t="s">
        <v>303</v>
      </c>
      <c r="C2" s="12" t="s">
        <v>304</v>
      </c>
      <c r="D2" s="13">
        <v>0.2722222222222222</v>
      </c>
      <c r="E2" s="13">
        <v>0.27430555555555558</v>
      </c>
      <c r="F2" t="s">
        <v>305</v>
      </c>
      <c r="G2" s="12" t="s">
        <v>306</v>
      </c>
      <c r="H2" s="14">
        <v>1.1299999999999999</v>
      </c>
      <c r="I2" s="15">
        <v>19</v>
      </c>
      <c r="J2" s="15">
        <v>25</v>
      </c>
      <c r="K2" s="14">
        <f>J2*H2</f>
        <v>28.249999999999996</v>
      </c>
      <c r="L2">
        <v>1</v>
      </c>
      <c r="N2" s="30" t="s">
        <v>43</v>
      </c>
      <c r="O2" t="s">
        <v>44</v>
      </c>
      <c r="P2">
        <v>23</v>
      </c>
      <c r="Q2" t="s">
        <v>46</v>
      </c>
      <c r="R2">
        <v>21</v>
      </c>
      <c r="W2" s="18" t="s">
        <v>130</v>
      </c>
      <c r="X2" s="2" t="s">
        <v>135</v>
      </c>
      <c r="Y2" s="3">
        <v>2.916123199999999</v>
      </c>
      <c r="Z2" s="3">
        <v>2.5806399999999998</v>
      </c>
      <c r="AA2" s="3">
        <f>Y2*J2</f>
        <v>72.903079999999974</v>
      </c>
      <c r="AB2" s="20" t="s">
        <v>307</v>
      </c>
    </row>
    <row r="3" spans="1:28" ht="23.25" customHeight="1" x14ac:dyDescent="0.25">
      <c r="A3" s="12" t="s">
        <v>302</v>
      </c>
      <c r="B3" s="12" t="s">
        <v>308</v>
      </c>
      <c r="C3" s="12" t="s">
        <v>309</v>
      </c>
      <c r="D3" s="13">
        <v>0.27430555555555558</v>
      </c>
      <c r="E3" s="13">
        <v>0.28958333333333341</v>
      </c>
      <c r="F3" t="s">
        <v>310</v>
      </c>
      <c r="G3" s="12" t="s">
        <v>306</v>
      </c>
      <c r="H3" s="14">
        <v>9.01</v>
      </c>
      <c r="I3" s="15">
        <v>19</v>
      </c>
      <c r="J3" s="15">
        <v>25</v>
      </c>
      <c r="K3" s="14">
        <f t="shared" ref="K3:K66" si="0">J3*H3</f>
        <v>225.25</v>
      </c>
      <c r="L3">
        <v>2</v>
      </c>
      <c r="N3" s="30" t="s">
        <v>43</v>
      </c>
      <c r="O3" t="s">
        <v>44</v>
      </c>
      <c r="P3">
        <v>23</v>
      </c>
      <c r="Q3" t="s">
        <v>46</v>
      </c>
      <c r="R3">
        <v>21</v>
      </c>
      <c r="W3" s="18" t="s">
        <v>130</v>
      </c>
      <c r="X3" s="2" t="s">
        <v>135</v>
      </c>
      <c r="Y3" s="3">
        <v>23.251566400000002</v>
      </c>
      <c r="Z3" s="3">
        <v>2.5806399999999998</v>
      </c>
      <c r="AA3" s="3">
        <f t="shared" ref="AA3:AA66" si="1">Y3*J3</f>
        <v>581.28916000000004</v>
      </c>
      <c r="AB3" s="20" t="s">
        <v>307</v>
      </c>
    </row>
    <row r="4" spans="1:28" ht="23.25" customHeight="1" x14ac:dyDescent="0.25">
      <c r="A4" s="12" t="s">
        <v>302</v>
      </c>
      <c r="B4" s="12" t="s">
        <v>311</v>
      </c>
      <c r="C4" s="12" t="s">
        <v>312</v>
      </c>
      <c r="D4" s="13">
        <v>0.31805555555555548</v>
      </c>
      <c r="E4" s="13">
        <v>0.33055555555555549</v>
      </c>
      <c r="F4" t="s">
        <v>313</v>
      </c>
      <c r="G4" s="12" t="s">
        <v>306</v>
      </c>
      <c r="H4" s="14">
        <v>7.67</v>
      </c>
      <c r="I4" s="15">
        <v>19</v>
      </c>
      <c r="J4" s="15">
        <v>25</v>
      </c>
      <c r="K4" s="14">
        <f t="shared" si="0"/>
        <v>191.75</v>
      </c>
      <c r="L4">
        <v>3</v>
      </c>
      <c r="N4" s="30" t="s">
        <v>43</v>
      </c>
      <c r="O4" t="s">
        <v>44</v>
      </c>
      <c r="P4">
        <v>23</v>
      </c>
      <c r="Q4" t="s">
        <v>46</v>
      </c>
      <c r="R4">
        <v>21</v>
      </c>
      <c r="W4" s="18" t="s">
        <v>130</v>
      </c>
      <c r="X4" s="2" t="s">
        <v>135</v>
      </c>
      <c r="Y4" s="3">
        <v>19.793508800000001</v>
      </c>
      <c r="Z4" s="3">
        <v>2.5806399999999998</v>
      </c>
      <c r="AA4" s="3">
        <f t="shared" si="1"/>
        <v>494.83772000000005</v>
      </c>
      <c r="AB4" s="20" t="s">
        <v>307</v>
      </c>
    </row>
    <row r="5" spans="1:28" ht="23.25" customHeight="1" x14ac:dyDescent="0.25">
      <c r="A5" s="12" t="s">
        <v>302</v>
      </c>
      <c r="B5" s="12" t="s">
        <v>314</v>
      </c>
      <c r="C5" s="12" t="s">
        <v>315</v>
      </c>
      <c r="D5" s="13">
        <v>0.33541666666666659</v>
      </c>
      <c r="E5" s="13">
        <v>0.35069444444444442</v>
      </c>
      <c r="F5" t="s">
        <v>310</v>
      </c>
      <c r="G5" s="12" t="s">
        <v>306</v>
      </c>
      <c r="H5" s="14">
        <v>9.01</v>
      </c>
      <c r="I5" s="15">
        <v>19</v>
      </c>
      <c r="J5" s="15">
        <v>25</v>
      </c>
      <c r="K5" s="14">
        <f t="shared" si="0"/>
        <v>225.25</v>
      </c>
      <c r="L5">
        <v>4</v>
      </c>
      <c r="N5" s="30" t="s">
        <v>43</v>
      </c>
      <c r="O5" t="s">
        <v>44</v>
      </c>
      <c r="P5">
        <v>23</v>
      </c>
      <c r="Q5" t="s">
        <v>46</v>
      </c>
      <c r="R5">
        <v>21</v>
      </c>
      <c r="W5" s="18" t="s">
        <v>130</v>
      </c>
      <c r="X5" s="2" t="s">
        <v>135</v>
      </c>
      <c r="Y5" s="3">
        <v>23.251566400000002</v>
      </c>
      <c r="Z5" s="3">
        <v>2.5806399999999998</v>
      </c>
      <c r="AA5" s="3">
        <f t="shared" si="1"/>
        <v>581.28916000000004</v>
      </c>
      <c r="AB5" s="20" t="s">
        <v>307</v>
      </c>
    </row>
    <row r="6" spans="1:28" ht="23.25" customHeight="1" x14ac:dyDescent="0.25">
      <c r="A6" s="12" t="s">
        <v>302</v>
      </c>
      <c r="B6" s="12" t="s">
        <v>316</v>
      </c>
      <c r="C6" s="12" t="s">
        <v>317</v>
      </c>
      <c r="D6" s="13">
        <v>0.35972222222222222</v>
      </c>
      <c r="E6" s="13">
        <v>0.37222222222222218</v>
      </c>
      <c r="F6" t="s">
        <v>313</v>
      </c>
      <c r="G6" s="12" t="s">
        <v>306</v>
      </c>
      <c r="H6" s="14">
        <v>7.67</v>
      </c>
      <c r="I6" s="15">
        <v>19</v>
      </c>
      <c r="J6" s="15">
        <v>25</v>
      </c>
      <c r="K6" s="14">
        <f t="shared" si="0"/>
        <v>191.75</v>
      </c>
      <c r="L6">
        <v>5</v>
      </c>
      <c r="N6" s="30" t="s">
        <v>43</v>
      </c>
      <c r="O6" t="s">
        <v>44</v>
      </c>
      <c r="P6">
        <v>23</v>
      </c>
      <c r="Q6" t="s">
        <v>46</v>
      </c>
      <c r="R6">
        <v>21</v>
      </c>
      <c r="W6" s="18" t="s">
        <v>130</v>
      </c>
      <c r="X6" s="2" t="s">
        <v>135</v>
      </c>
      <c r="Y6" s="3">
        <v>19.793508800000001</v>
      </c>
      <c r="Z6" s="3">
        <v>2.5806399999999998</v>
      </c>
      <c r="AA6" s="3">
        <f t="shared" si="1"/>
        <v>494.83772000000005</v>
      </c>
      <c r="AB6" s="20" t="s">
        <v>307</v>
      </c>
    </row>
    <row r="7" spans="1:28" ht="23.25" customHeight="1" x14ac:dyDescent="0.25">
      <c r="A7" s="12" t="s">
        <v>302</v>
      </c>
      <c r="B7" s="12" t="s">
        <v>318</v>
      </c>
      <c r="C7" s="12" t="s">
        <v>319</v>
      </c>
      <c r="D7" s="13">
        <v>0.37708333333333333</v>
      </c>
      <c r="E7" s="13">
        <v>0.3923611111111111</v>
      </c>
      <c r="F7" t="s">
        <v>310</v>
      </c>
      <c r="G7" s="12" t="s">
        <v>306</v>
      </c>
      <c r="H7" s="14">
        <v>9.01</v>
      </c>
      <c r="I7" s="15">
        <v>19</v>
      </c>
      <c r="J7" s="15">
        <v>25</v>
      </c>
      <c r="K7" s="14">
        <f t="shared" si="0"/>
        <v>225.25</v>
      </c>
      <c r="L7">
        <v>6</v>
      </c>
      <c r="N7" s="30" t="s">
        <v>43</v>
      </c>
      <c r="O7" t="s">
        <v>44</v>
      </c>
      <c r="P7">
        <v>23</v>
      </c>
      <c r="Q7" t="s">
        <v>46</v>
      </c>
      <c r="R7">
        <v>21</v>
      </c>
      <c r="W7" s="18" t="s">
        <v>130</v>
      </c>
      <c r="X7" s="2" t="s">
        <v>135</v>
      </c>
      <c r="Y7" s="3">
        <v>23.251566400000002</v>
      </c>
      <c r="Z7" s="3">
        <v>2.5806399999999998</v>
      </c>
      <c r="AA7" s="3">
        <f t="shared" si="1"/>
        <v>581.28916000000004</v>
      </c>
      <c r="AB7" s="20" t="s">
        <v>307</v>
      </c>
    </row>
    <row r="8" spans="1:28" ht="23.25" customHeight="1" x14ac:dyDescent="0.25">
      <c r="A8" s="12" t="s">
        <v>302</v>
      </c>
      <c r="B8" s="12" t="s">
        <v>320</v>
      </c>
      <c r="C8" s="12" t="s">
        <v>321</v>
      </c>
      <c r="D8" s="13">
        <v>0.46458333333333329</v>
      </c>
      <c r="E8" s="13">
        <v>0.47708333333333341</v>
      </c>
      <c r="F8" t="s">
        <v>313</v>
      </c>
      <c r="G8" s="12" t="s">
        <v>306</v>
      </c>
      <c r="H8" s="14">
        <v>7.67</v>
      </c>
      <c r="I8" s="15">
        <v>19</v>
      </c>
      <c r="J8" s="15">
        <v>25</v>
      </c>
      <c r="K8" s="14">
        <f t="shared" si="0"/>
        <v>191.75</v>
      </c>
      <c r="L8">
        <v>7</v>
      </c>
      <c r="N8" s="30" t="s">
        <v>43</v>
      </c>
      <c r="O8" t="s">
        <v>44</v>
      </c>
      <c r="P8">
        <v>23</v>
      </c>
      <c r="Q8" t="s">
        <v>46</v>
      </c>
      <c r="R8">
        <v>21</v>
      </c>
      <c r="W8" s="18" t="s">
        <v>130</v>
      </c>
      <c r="X8" s="2" t="s">
        <v>135</v>
      </c>
      <c r="Y8" s="3">
        <v>19.793508800000001</v>
      </c>
      <c r="Z8" s="3">
        <v>2.5806399999999998</v>
      </c>
      <c r="AA8" s="3">
        <f t="shared" si="1"/>
        <v>494.83772000000005</v>
      </c>
      <c r="AB8" s="20" t="s">
        <v>307</v>
      </c>
    </row>
    <row r="9" spans="1:28" ht="23.25" customHeight="1" x14ac:dyDescent="0.25">
      <c r="A9" s="12" t="s">
        <v>302</v>
      </c>
      <c r="B9" s="12" t="s">
        <v>322</v>
      </c>
      <c r="C9" s="12" t="s">
        <v>323</v>
      </c>
      <c r="D9" s="13">
        <v>0.47708333333333341</v>
      </c>
      <c r="E9" s="13">
        <v>0.49236111111111108</v>
      </c>
      <c r="F9" t="s">
        <v>310</v>
      </c>
      <c r="G9" s="12" t="s">
        <v>306</v>
      </c>
      <c r="H9" s="14">
        <v>9.01</v>
      </c>
      <c r="I9" s="15">
        <v>19</v>
      </c>
      <c r="J9" s="15">
        <v>25</v>
      </c>
      <c r="K9" s="14">
        <f t="shared" si="0"/>
        <v>225.25</v>
      </c>
      <c r="L9">
        <v>8</v>
      </c>
      <c r="N9" s="30" t="s">
        <v>43</v>
      </c>
      <c r="O9" t="s">
        <v>44</v>
      </c>
      <c r="P9">
        <v>23</v>
      </c>
      <c r="Q9" t="s">
        <v>46</v>
      </c>
      <c r="R9">
        <v>21</v>
      </c>
      <c r="W9" s="18" t="s">
        <v>130</v>
      </c>
      <c r="X9" s="2" t="s">
        <v>135</v>
      </c>
      <c r="Y9" s="3">
        <v>23.251566400000002</v>
      </c>
      <c r="Z9" s="3">
        <v>2.5806399999999998</v>
      </c>
      <c r="AA9" s="3">
        <f t="shared" si="1"/>
        <v>581.28916000000004</v>
      </c>
      <c r="AB9" s="20" t="s">
        <v>307</v>
      </c>
    </row>
    <row r="10" spans="1:28" ht="23.25" customHeight="1" x14ac:dyDescent="0.25">
      <c r="A10" s="12" t="s">
        <v>302</v>
      </c>
      <c r="B10" s="12" t="s">
        <v>324</v>
      </c>
      <c r="C10" s="12" t="s">
        <v>325</v>
      </c>
      <c r="D10" s="13">
        <v>0.54791666666666672</v>
      </c>
      <c r="E10" s="13">
        <v>0.56041666666666667</v>
      </c>
      <c r="F10" t="s">
        <v>313</v>
      </c>
      <c r="G10" s="12" t="s">
        <v>306</v>
      </c>
      <c r="H10" s="14">
        <v>7.67</v>
      </c>
      <c r="I10" s="15">
        <v>19</v>
      </c>
      <c r="J10" s="15">
        <v>25</v>
      </c>
      <c r="K10" s="14">
        <f t="shared" si="0"/>
        <v>191.75</v>
      </c>
      <c r="L10">
        <v>9</v>
      </c>
      <c r="N10" s="30" t="s">
        <v>43</v>
      </c>
      <c r="O10" t="s">
        <v>44</v>
      </c>
      <c r="P10">
        <v>23</v>
      </c>
      <c r="Q10" t="s">
        <v>46</v>
      </c>
      <c r="R10">
        <v>21</v>
      </c>
      <c r="W10" s="18" t="s">
        <v>130</v>
      </c>
      <c r="X10" s="2" t="s">
        <v>135</v>
      </c>
      <c r="Y10" s="3">
        <v>19.793508800000001</v>
      </c>
      <c r="Z10" s="3">
        <v>2.5806399999999998</v>
      </c>
      <c r="AA10" s="3">
        <f t="shared" si="1"/>
        <v>494.83772000000005</v>
      </c>
      <c r="AB10" s="20" t="s">
        <v>307</v>
      </c>
    </row>
    <row r="11" spans="1:28" ht="23.25" customHeight="1" x14ac:dyDescent="0.25">
      <c r="A11" s="12" t="s">
        <v>302</v>
      </c>
      <c r="B11" s="12" t="s">
        <v>326</v>
      </c>
      <c r="C11" s="12" t="s">
        <v>327</v>
      </c>
      <c r="D11" s="13">
        <v>0.56041666666666667</v>
      </c>
      <c r="E11" s="13">
        <v>0.5756944444444444</v>
      </c>
      <c r="F11" t="s">
        <v>310</v>
      </c>
      <c r="G11" s="12" t="s">
        <v>306</v>
      </c>
      <c r="H11" s="14">
        <v>9.01</v>
      </c>
      <c r="I11" s="15">
        <v>19</v>
      </c>
      <c r="J11" s="15">
        <v>25</v>
      </c>
      <c r="K11" s="14">
        <f t="shared" si="0"/>
        <v>225.25</v>
      </c>
      <c r="L11">
        <v>10</v>
      </c>
      <c r="N11" s="30" t="s">
        <v>43</v>
      </c>
      <c r="O11" t="s">
        <v>44</v>
      </c>
      <c r="P11">
        <v>23</v>
      </c>
      <c r="Q11" t="s">
        <v>46</v>
      </c>
      <c r="R11">
        <v>21</v>
      </c>
      <c r="W11" s="18" t="s">
        <v>130</v>
      </c>
      <c r="X11" s="2" t="s">
        <v>135</v>
      </c>
      <c r="Y11" s="3">
        <v>23.251566400000002</v>
      </c>
      <c r="Z11" s="3">
        <v>2.5806399999999998</v>
      </c>
      <c r="AA11" s="3">
        <f t="shared" si="1"/>
        <v>581.28916000000004</v>
      </c>
      <c r="AB11" s="20" t="s">
        <v>307</v>
      </c>
    </row>
    <row r="12" spans="1:28" ht="23.25" customHeight="1" x14ac:dyDescent="0.25">
      <c r="A12" s="12" t="s">
        <v>302</v>
      </c>
      <c r="B12" s="12" t="s">
        <v>328</v>
      </c>
      <c r="C12" s="12" t="s">
        <v>329</v>
      </c>
      <c r="D12" s="13">
        <v>0.58958333333333335</v>
      </c>
      <c r="E12" s="13">
        <v>0.6020833333333333</v>
      </c>
      <c r="F12" t="s">
        <v>313</v>
      </c>
      <c r="G12" s="12" t="s">
        <v>306</v>
      </c>
      <c r="H12" s="14">
        <v>7.67</v>
      </c>
      <c r="I12" s="15">
        <v>19</v>
      </c>
      <c r="J12" s="15">
        <v>25</v>
      </c>
      <c r="K12" s="14">
        <f t="shared" si="0"/>
        <v>191.75</v>
      </c>
      <c r="L12">
        <v>11</v>
      </c>
      <c r="N12" s="30" t="s">
        <v>43</v>
      </c>
      <c r="O12" t="s">
        <v>44</v>
      </c>
      <c r="P12">
        <v>23</v>
      </c>
      <c r="Q12" t="s">
        <v>46</v>
      </c>
      <c r="R12">
        <v>21</v>
      </c>
      <c r="W12" s="18" t="s">
        <v>130</v>
      </c>
      <c r="X12" s="2" t="s">
        <v>135</v>
      </c>
      <c r="Y12" s="3">
        <v>19.793508800000001</v>
      </c>
      <c r="Z12" s="3">
        <v>2.5806399999999998</v>
      </c>
      <c r="AA12" s="3">
        <f t="shared" si="1"/>
        <v>494.83772000000005</v>
      </c>
      <c r="AB12" s="20" t="s">
        <v>307</v>
      </c>
    </row>
    <row r="13" spans="1:28" ht="23.25" customHeight="1" x14ac:dyDescent="0.25">
      <c r="A13" s="12" t="s">
        <v>302</v>
      </c>
      <c r="B13" s="12" t="s">
        <v>330</v>
      </c>
      <c r="C13" s="12" t="s">
        <v>331</v>
      </c>
      <c r="D13" s="13">
        <v>0.6020833333333333</v>
      </c>
      <c r="E13" s="13">
        <v>0.61736111111111114</v>
      </c>
      <c r="F13" t="s">
        <v>310</v>
      </c>
      <c r="G13" s="12" t="s">
        <v>306</v>
      </c>
      <c r="H13" s="14">
        <v>9.01</v>
      </c>
      <c r="I13" s="15">
        <v>19</v>
      </c>
      <c r="J13" s="15">
        <v>25</v>
      </c>
      <c r="K13" s="14">
        <f t="shared" si="0"/>
        <v>225.25</v>
      </c>
      <c r="L13">
        <v>12</v>
      </c>
      <c r="N13" s="30" t="s">
        <v>43</v>
      </c>
      <c r="O13" t="s">
        <v>44</v>
      </c>
      <c r="P13">
        <v>23</v>
      </c>
      <c r="Q13" t="s">
        <v>46</v>
      </c>
      <c r="R13">
        <v>21</v>
      </c>
      <c r="W13" s="18" t="s">
        <v>130</v>
      </c>
      <c r="X13" s="2" t="s">
        <v>135</v>
      </c>
      <c r="Y13" s="3">
        <v>23.251566400000002</v>
      </c>
      <c r="Z13" s="3">
        <v>2.5806399999999998</v>
      </c>
      <c r="AA13" s="3">
        <f t="shared" si="1"/>
        <v>581.28916000000004</v>
      </c>
      <c r="AB13" s="20" t="s">
        <v>307</v>
      </c>
    </row>
    <row r="14" spans="1:28" ht="23.25" customHeight="1" x14ac:dyDescent="0.25">
      <c r="A14" s="12" t="s">
        <v>302</v>
      </c>
      <c r="B14" s="12" t="s">
        <v>332</v>
      </c>
      <c r="C14" s="12" t="s">
        <v>333</v>
      </c>
      <c r="D14" s="13">
        <v>0.63124999999999998</v>
      </c>
      <c r="E14" s="13">
        <v>0.64375000000000004</v>
      </c>
      <c r="F14" t="s">
        <v>313</v>
      </c>
      <c r="G14" s="12" t="s">
        <v>306</v>
      </c>
      <c r="H14" s="14">
        <v>7.67</v>
      </c>
      <c r="I14" s="15">
        <v>19</v>
      </c>
      <c r="J14" s="15">
        <v>25</v>
      </c>
      <c r="K14" s="14">
        <f t="shared" si="0"/>
        <v>191.75</v>
      </c>
      <c r="L14">
        <v>13</v>
      </c>
      <c r="N14" s="30" t="s">
        <v>43</v>
      </c>
      <c r="O14" t="s">
        <v>44</v>
      </c>
      <c r="P14">
        <v>23</v>
      </c>
      <c r="Q14" t="s">
        <v>46</v>
      </c>
      <c r="R14">
        <v>21</v>
      </c>
      <c r="W14" s="18" t="s">
        <v>130</v>
      </c>
      <c r="X14" s="2" t="s">
        <v>135</v>
      </c>
      <c r="Y14" s="3">
        <v>19.793508800000001</v>
      </c>
      <c r="Z14" s="3">
        <v>2.5806399999999998</v>
      </c>
      <c r="AA14" s="3">
        <f t="shared" si="1"/>
        <v>494.83772000000005</v>
      </c>
      <c r="AB14" s="20" t="s">
        <v>307</v>
      </c>
    </row>
    <row r="15" spans="1:28" ht="23.25" customHeight="1" x14ac:dyDescent="0.25">
      <c r="A15" s="12" t="s">
        <v>302</v>
      </c>
      <c r="B15" s="12" t="s">
        <v>334</v>
      </c>
      <c r="C15" s="12" t="s">
        <v>335</v>
      </c>
      <c r="D15" s="13">
        <v>0.64375000000000004</v>
      </c>
      <c r="E15" s="13">
        <v>0.65902777777777777</v>
      </c>
      <c r="F15" t="s">
        <v>310</v>
      </c>
      <c r="G15" s="12" t="s">
        <v>306</v>
      </c>
      <c r="H15" s="14">
        <v>9.01</v>
      </c>
      <c r="I15" s="15">
        <v>19</v>
      </c>
      <c r="J15" s="15">
        <v>25</v>
      </c>
      <c r="K15" s="14">
        <f t="shared" si="0"/>
        <v>225.25</v>
      </c>
      <c r="L15">
        <v>14</v>
      </c>
      <c r="N15" s="30" t="s">
        <v>43</v>
      </c>
      <c r="O15" t="s">
        <v>44</v>
      </c>
      <c r="P15">
        <v>23</v>
      </c>
      <c r="Q15" t="s">
        <v>46</v>
      </c>
      <c r="R15">
        <v>21</v>
      </c>
      <c r="W15" s="18" t="s">
        <v>130</v>
      </c>
      <c r="X15" s="2" t="s">
        <v>135</v>
      </c>
      <c r="Y15" s="3">
        <v>23.251566400000002</v>
      </c>
      <c r="Z15" s="3">
        <v>2.5806399999999998</v>
      </c>
      <c r="AA15" s="3">
        <f t="shared" si="1"/>
        <v>581.28916000000004</v>
      </c>
      <c r="AB15" s="20" t="s">
        <v>307</v>
      </c>
    </row>
    <row r="16" spans="1:28" ht="23.25" customHeight="1" x14ac:dyDescent="0.25">
      <c r="A16" s="12" t="s">
        <v>302</v>
      </c>
      <c r="B16" s="12" t="s">
        <v>336</v>
      </c>
      <c r="C16" s="12" t="s">
        <v>337</v>
      </c>
      <c r="D16" s="13">
        <v>0.65902777777777777</v>
      </c>
      <c r="E16" s="13">
        <v>0.66666666666666663</v>
      </c>
      <c r="F16" t="s">
        <v>338</v>
      </c>
      <c r="G16" s="12" t="s">
        <v>306</v>
      </c>
      <c r="H16" s="14">
        <v>3.76</v>
      </c>
      <c r="I16" s="15">
        <v>19</v>
      </c>
      <c r="J16" s="15">
        <v>25</v>
      </c>
      <c r="K16" s="14">
        <f t="shared" si="0"/>
        <v>94</v>
      </c>
      <c r="L16">
        <v>15</v>
      </c>
      <c r="N16" s="30" t="s">
        <v>43</v>
      </c>
      <c r="O16" t="s">
        <v>44</v>
      </c>
      <c r="P16">
        <v>23</v>
      </c>
      <c r="Q16" t="s">
        <v>46</v>
      </c>
      <c r="R16">
        <v>21</v>
      </c>
      <c r="W16" s="18" t="s">
        <v>130</v>
      </c>
      <c r="X16" s="2" t="s">
        <v>135</v>
      </c>
      <c r="Y16" s="3">
        <v>9.7032063999999991</v>
      </c>
      <c r="Z16" s="3">
        <v>2.5806399999999998</v>
      </c>
      <c r="AA16" s="3">
        <f t="shared" si="1"/>
        <v>242.58015999999998</v>
      </c>
      <c r="AB16" s="20" t="s">
        <v>307</v>
      </c>
    </row>
    <row r="17" spans="1:28" ht="23.25" customHeight="1" x14ac:dyDescent="0.25">
      <c r="A17" s="12" t="s">
        <v>302</v>
      </c>
      <c r="B17" s="12" t="s">
        <v>339</v>
      </c>
      <c r="C17" s="12" t="s">
        <v>340</v>
      </c>
      <c r="D17" s="13">
        <v>0.66666666666666663</v>
      </c>
      <c r="E17" s="13">
        <v>0.67222222222222228</v>
      </c>
      <c r="F17" t="s">
        <v>341</v>
      </c>
      <c r="G17" s="12" t="s">
        <v>306</v>
      </c>
      <c r="H17" s="14">
        <v>2.76</v>
      </c>
      <c r="I17" s="15">
        <v>19</v>
      </c>
      <c r="J17" s="15">
        <v>25</v>
      </c>
      <c r="K17" s="14">
        <f t="shared" si="0"/>
        <v>69</v>
      </c>
      <c r="L17">
        <v>16</v>
      </c>
      <c r="N17" s="30" t="s">
        <v>43</v>
      </c>
      <c r="O17" t="s">
        <v>44</v>
      </c>
      <c r="P17">
        <v>23</v>
      </c>
      <c r="Q17" t="s">
        <v>46</v>
      </c>
      <c r="R17">
        <v>21</v>
      </c>
      <c r="W17" s="18" t="s">
        <v>130</v>
      </c>
      <c r="X17" s="2" t="s">
        <v>135</v>
      </c>
      <c r="Y17" s="3">
        <v>7.1225663999999993</v>
      </c>
      <c r="Z17" s="3">
        <v>2.5806399999999998</v>
      </c>
      <c r="AA17" s="3">
        <f t="shared" si="1"/>
        <v>178.06415999999999</v>
      </c>
      <c r="AB17" s="20" t="s">
        <v>307</v>
      </c>
    </row>
    <row r="18" spans="1:28" ht="23.25" customHeight="1" x14ac:dyDescent="0.25">
      <c r="A18" s="12" t="s">
        <v>302</v>
      </c>
      <c r="B18" s="12" t="s">
        <v>280</v>
      </c>
      <c r="C18" s="12" t="s">
        <v>342</v>
      </c>
      <c r="D18" s="13">
        <v>0.67291666666666672</v>
      </c>
      <c r="E18" s="13">
        <v>0.68541666666666667</v>
      </c>
      <c r="F18" t="s">
        <v>313</v>
      </c>
      <c r="G18" s="12" t="s">
        <v>306</v>
      </c>
      <c r="H18" s="14">
        <v>7.67</v>
      </c>
      <c r="I18" s="15">
        <v>19</v>
      </c>
      <c r="J18" s="15">
        <v>25</v>
      </c>
      <c r="K18" s="14">
        <f t="shared" si="0"/>
        <v>191.75</v>
      </c>
      <c r="L18">
        <v>17</v>
      </c>
      <c r="N18" s="30" t="s">
        <v>43</v>
      </c>
      <c r="O18" t="s">
        <v>44</v>
      </c>
      <c r="P18">
        <v>23</v>
      </c>
      <c r="Q18" t="s">
        <v>46</v>
      </c>
      <c r="R18">
        <v>21</v>
      </c>
      <c r="W18" s="18" t="s">
        <v>130</v>
      </c>
      <c r="X18" s="2" t="s">
        <v>135</v>
      </c>
      <c r="Y18" s="3">
        <v>19.793508800000001</v>
      </c>
      <c r="Z18" s="3">
        <v>2.5806399999999998</v>
      </c>
      <c r="AA18" s="3">
        <f t="shared" si="1"/>
        <v>494.83772000000005</v>
      </c>
      <c r="AB18" s="20" t="s">
        <v>307</v>
      </c>
    </row>
    <row r="19" spans="1:28" ht="23.25" customHeight="1" x14ac:dyDescent="0.25">
      <c r="A19" s="12" t="s">
        <v>302</v>
      </c>
      <c r="B19" s="12" t="s">
        <v>343</v>
      </c>
      <c r="C19" s="12" t="s">
        <v>344</v>
      </c>
      <c r="D19" s="13">
        <v>0.68541666666666667</v>
      </c>
      <c r="E19" s="13">
        <v>0.7006944444444444</v>
      </c>
      <c r="F19" t="s">
        <v>310</v>
      </c>
      <c r="G19" s="12" t="s">
        <v>306</v>
      </c>
      <c r="H19" s="14">
        <v>9.01</v>
      </c>
      <c r="I19" s="15">
        <v>19</v>
      </c>
      <c r="J19" s="15">
        <v>25</v>
      </c>
      <c r="K19" s="14">
        <f t="shared" si="0"/>
        <v>225.25</v>
      </c>
      <c r="L19">
        <v>18</v>
      </c>
      <c r="N19" s="30" t="s">
        <v>43</v>
      </c>
      <c r="O19" t="s">
        <v>44</v>
      </c>
      <c r="P19">
        <v>23</v>
      </c>
      <c r="Q19" t="s">
        <v>46</v>
      </c>
      <c r="R19">
        <v>21</v>
      </c>
      <c r="W19" s="18" t="s">
        <v>130</v>
      </c>
      <c r="X19" s="2" t="s">
        <v>135</v>
      </c>
      <c r="Y19" s="3">
        <v>23.251566400000002</v>
      </c>
      <c r="Z19" s="3">
        <v>2.5806399999999998</v>
      </c>
      <c r="AA19" s="3">
        <f t="shared" si="1"/>
        <v>581.28916000000004</v>
      </c>
      <c r="AB19" s="20" t="s">
        <v>307</v>
      </c>
    </row>
    <row r="20" spans="1:28" ht="23.25" customHeight="1" x14ac:dyDescent="0.25">
      <c r="A20" s="12" t="s">
        <v>302</v>
      </c>
      <c r="B20" s="12" t="s">
        <v>345</v>
      </c>
      <c r="C20" s="12" t="s">
        <v>346</v>
      </c>
      <c r="D20" s="13">
        <v>0.71458333333333335</v>
      </c>
      <c r="E20" s="13">
        <v>0.7270833333333333</v>
      </c>
      <c r="F20" t="s">
        <v>313</v>
      </c>
      <c r="G20" s="12" t="s">
        <v>306</v>
      </c>
      <c r="H20" s="14">
        <v>7.67</v>
      </c>
      <c r="I20" s="15">
        <v>19</v>
      </c>
      <c r="J20" s="15">
        <v>25</v>
      </c>
      <c r="K20" s="14">
        <f t="shared" si="0"/>
        <v>191.75</v>
      </c>
      <c r="L20">
        <v>19</v>
      </c>
      <c r="N20" s="30" t="s">
        <v>43</v>
      </c>
      <c r="O20" t="s">
        <v>44</v>
      </c>
      <c r="P20">
        <v>23</v>
      </c>
      <c r="Q20" t="s">
        <v>46</v>
      </c>
      <c r="R20">
        <v>21</v>
      </c>
      <c r="W20" s="18" t="s">
        <v>130</v>
      </c>
      <c r="X20" s="2" t="s">
        <v>135</v>
      </c>
      <c r="Y20" s="3">
        <v>19.793508800000001</v>
      </c>
      <c r="Z20" s="3">
        <v>2.5806399999999998</v>
      </c>
      <c r="AA20" s="3">
        <f t="shared" si="1"/>
        <v>494.83772000000005</v>
      </c>
      <c r="AB20" s="20" t="s">
        <v>307</v>
      </c>
    </row>
    <row r="21" spans="1:28" ht="23.25" customHeight="1" x14ac:dyDescent="0.25">
      <c r="A21" s="12" t="s">
        <v>302</v>
      </c>
      <c r="B21" s="12" t="s">
        <v>347</v>
      </c>
      <c r="C21" s="12" t="s">
        <v>348</v>
      </c>
      <c r="D21" s="13">
        <v>0.7270833333333333</v>
      </c>
      <c r="E21" s="13">
        <v>0.74236111111111114</v>
      </c>
      <c r="F21" t="s">
        <v>310</v>
      </c>
      <c r="G21" s="12" t="s">
        <v>306</v>
      </c>
      <c r="H21" s="14">
        <v>9.01</v>
      </c>
      <c r="I21" s="15">
        <v>19</v>
      </c>
      <c r="J21" s="15">
        <v>25</v>
      </c>
      <c r="K21" s="14">
        <f t="shared" si="0"/>
        <v>225.25</v>
      </c>
      <c r="L21">
        <v>20</v>
      </c>
      <c r="N21" s="30" t="s">
        <v>43</v>
      </c>
      <c r="O21" t="s">
        <v>44</v>
      </c>
      <c r="P21">
        <v>23</v>
      </c>
      <c r="Q21" t="s">
        <v>46</v>
      </c>
      <c r="R21">
        <v>21</v>
      </c>
      <c r="W21" s="18" t="s">
        <v>130</v>
      </c>
      <c r="X21" s="2" t="s">
        <v>135</v>
      </c>
      <c r="Y21" s="3">
        <v>23.251566400000002</v>
      </c>
      <c r="Z21" s="3">
        <v>2.5806399999999998</v>
      </c>
      <c r="AA21" s="3">
        <f t="shared" si="1"/>
        <v>581.28916000000004</v>
      </c>
      <c r="AB21" s="20" t="s">
        <v>307</v>
      </c>
    </row>
    <row r="22" spans="1:28" ht="23.25" customHeight="1" x14ac:dyDescent="0.25">
      <c r="A22" s="12" t="s">
        <v>302</v>
      </c>
      <c r="B22" s="12" t="s">
        <v>349</v>
      </c>
      <c r="C22" s="12" t="s">
        <v>350</v>
      </c>
      <c r="D22" s="13">
        <v>0.77708333333333335</v>
      </c>
      <c r="E22" s="13">
        <v>0.78472222222222221</v>
      </c>
      <c r="F22" t="s">
        <v>338</v>
      </c>
      <c r="G22" s="12" t="s">
        <v>306</v>
      </c>
      <c r="H22" s="14">
        <v>3.76</v>
      </c>
      <c r="I22" s="15">
        <v>19</v>
      </c>
      <c r="J22" s="15">
        <v>25</v>
      </c>
      <c r="K22" s="14">
        <f t="shared" si="0"/>
        <v>94</v>
      </c>
      <c r="L22">
        <v>21</v>
      </c>
      <c r="N22" s="30" t="s">
        <v>43</v>
      </c>
      <c r="O22" t="s">
        <v>44</v>
      </c>
      <c r="P22">
        <v>23</v>
      </c>
      <c r="Q22" t="s">
        <v>46</v>
      </c>
      <c r="R22">
        <v>21</v>
      </c>
      <c r="W22" s="18" t="s">
        <v>130</v>
      </c>
      <c r="X22" s="2" t="s">
        <v>135</v>
      </c>
      <c r="Y22" s="3">
        <v>9.7032063999999991</v>
      </c>
      <c r="Z22" s="3">
        <v>2.5806399999999998</v>
      </c>
      <c r="AA22" s="3">
        <f t="shared" si="1"/>
        <v>242.58015999999998</v>
      </c>
      <c r="AB22" s="20" t="s">
        <v>307</v>
      </c>
    </row>
    <row r="23" spans="1:28" ht="23.25" customHeight="1" x14ac:dyDescent="0.25">
      <c r="A23" s="12" t="s">
        <v>302</v>
      </c>
      <c r="B23" s="12" t="s">
        <v>351</v>
      </c>
      <c r="C23" s="12" t="s">
        <v>352</v>
      </c>
      <c r="D23" s="13">
        <v>0.78472222222222221</v>
      </c>
      <c r="E23" s="13">
        <v>0.79027777777777775</v>
      </c>
      <c r="F23" t="s">
        <v>341</v>
      </c>
      <c r="G23" s="12" t="s">
        <v>306</v>
      </c>
      <c r="H23" s="14">
        <v>2.76</v>
      </c>
      <c r="I23" s="15">
        <v>19</v>
      </c>
      <c r="J23" s="15">
        <v>25</v>
      </c>
      <c r="K23" s="14">
        <f t="shared" si="0"/>
        <v>69</v>
      </c>
      <c r="L23">
        <v>22</v>
      </c>
      <c r="N23" s="30" t="s">
        <v>43</v>
      </c>
      <c r="O23" t="s">
        <v>44</v>
      </c>
      <c r="P23">
        <v>23</v>
      </c>
      <c r="Q23" t="s">
        <v>46</v>
      </c>
      <c r="R23">
        <v>21</v>
      </c>
      <c r="W23" s="18" t="s">
        <v>130</v>
      </c>
      <c r="X23" s="2" t="s">
        <v>135</v>
      </c>
      <c r="Y23" s="3">
        <v>7.1225663999999993</v>
      </c>
      <c r="Z23" s="3">
        <v>2.5806399999999998</v>
      </c>
      <c r="AA23" s="3">
        <f t="shared" si="1"/>
        <v>178.06415999999999</v>
      </c>
      <c r="AB23" s="20" t="s">
        <v>307</v>
      </c>
    </row>
    <row r="24" spans="1:28" ht="23.25" customHeight="1" x14ac:dyDescent="0.25">
      <c r="A24" s="12" t="s">
        <v>353</v>
      </c>
      <c r="B24" s="12" t="s">
        <v>177</v>
      </c>
      <c r="C24" s="12" t="s">
        <v>354</v>
      </c>
      <c r="D24" s="13">
        <v>0.3</v>
      </c>
      <c r="E24" s="13">
        <v>0.30069444444444438</v>
      </c>
      <c r="F24" t="s">
        <v>355</v>
      </c>
      <c r="G24" s="12" t="s">
        <v>356</v>
      </c>
      <c r="H24" s="14">
        <v>0.19</v>
      </c>
      <c r="I24" s="15">
        <v>19</v>
      </c>
      <c r="J24" s="15">
        <v>7</v>
      </c>
      <c r="K24" s="14">
        <f t="shared" si="0"/>
        <v>1.33</v>
      </c>
      <c r="L24">
        <v>23</v>
      </c>
      <c r="N24" s="30" t="s">
        <v>43</v>
      </c>
      <c r="O24" t="s">
        <v>44</v>
      </c>
      <c r="P24">
        <v>23</v>
      </c>
      <c r="Q24" t="s">
        <v>46</v>
      </c>
      <c r="R24">
        <v>21</v>
      </c>
      <c r="W24" s="18" t="s">
        <v>130</v>
      </c>
      <c r="X24" s="2" t="s">
        <v>126</v>
      </c>
      <c r="Y24" s="3">
        <v>0.49032160000000002</v>
      </c>
      <c r="Z24" s="3">
        <v>2.5806399999999998</v>
      </c>
      <c r="AA24" s="3">
        <f t="shared" si="1"/>
        <v>3.4322512000000001</v>
      </c>
      <c r="AB24" s="20" t="s">
        <v>307</v>
      </c>
    </row>
    <row r="25" spans="1:28" ht="23.25" customHeight="1" x14ac:dyDescent="0.25">
      <c r="A25" s="12" t="s">
        <v>353</v>
      </c>
      <c r="B25" s="12" t="s">
        <v>303</v>
      </c>
      <c r="C25" s="12" t="s">
        <v>357</v>
      </c>
      <c r="D25" s="13">
        <v>0.30069444444444438</v>
      </c>
      <c r="E25" s="13">
        <v>0.31041666666666667</v>
      </c>
      <c r="F25" t="s">
        <v>358</v>
      </c>
      <c r="G25" s="12" t="s">
        <v>356</v>
      </c>
      <c r="H25" s="14">
        <v>6.32</v>
      </c>
      <c r="I25" s="15">
        <v>19</v>
      </c>
      <c r="J25" s="15">
        <v>7</v>
      </c>
      <c r="K25" s="14">
        <f t="shared" si="0"/>
        <v>44.24</v>
      </c>
      <c r="L25">
        <v>24</v>
      </c>
      <c r="N25" s="30" t="s">
        <v>43</v>
      </c>
      <c r="O25" t="s">
        <v>44</v>
      </c>
      <c r="P25">
        <v>23</v>
      </c>
      <c r="Q25" t="s">
        <v>46</v>
      </c>
      <c r="R25">
        <v>21</v>
      </c>
      <c r="W25" s="18" t="s">
        <v>130</v>
      </c>
      <c r="X25" s="2" t="s">
        <v>126</v>
      </c>
      <c r="Y25" s="3">
        <v>16.309644800000001</v>
      </c>
      <c r="Z25" s="3">
        <v>2.5806399999999998</v>
      </c>
      <c r="AA25" s="3">
        <f t="shared" si="1"/>
        <v>114.16751360000001</v>
      </c>
      <c r="AB25" s="20" t="s">
        <v>307</v>
      </c>
    </row>
    <row r="26" spans="1:28" ht="23.25" customHeight="1" x14ac:dyDescent="0.25">
      <c r="A26" s="12" t="s">
        <v>353</v>
      </c>
      <c r="B26" s="12" t="s">
        <v>303</v>
      </c>
      <c r="C26" s="12" t="s">
        <v>357</v>
      </c>
      <c r="D26" s="13">
        <v>0.30138888888888887</v>
      </c>
      <c r="E26" s="13">
        <v>0.31041666666666667</v>
      </c>
      <c r="F26" t="s">
        <v>359</v>
      </c>
      <c r="G26" s="12" t="s">
        <v>360</v>
      </c>
      <c r="H26" s="14">
        <v>5.76</v>
      </c>
      <c r="I26" s="15">
        <v>19</v>
      </c>
      <c r="J26" s="15">
        <v>182</v>
      </c>
      <c r="K26" s="14">
        <f t="shared" si="0"/>
        <v>1048.32</v>
      </c>
      <c r="L26">
        <v>25</v>
      </c>
      <c r="N26" s="30" t="s">
        <v>43</v>
      </c>
      <c r="O26" t="s">
        <v>44</v>
      </c>
      <c r="P26">
        <v>23</v>
      </c>
      <c r="Q26" t="s">
        <v>46</v>
      </c>
      <c r="R26">
        <v>21</v>
      </c>
      <c r="W26" s="18" t="s">
        <v>130</v>
      </c>
      <c r="X26" s="2" t="s">
        <v>227</v>
      </c>
      <c r="Y26" s="3">
        <v>14.864486400000001</v>
      </c>
      <c r="Z26" s="3">
        <v>2.5806399999999998</v>
      </c>
      <c r="AA26" s="3">
        <f t="shared" si="1"/>
        <v>2705.3365248</v>
      </c>
      <c r="AB26" s="20" t="s">
        <v>307</v>
      </c>
    </row>
    <row r="27" spans="1:28" ht="23.25" customHeight="1" x14ac:dyDescent="0.25">
      <c r="A27" s="12" t="s">
        <v>353</v>
      </c>
      <c r="B27" s="12" t="s">
        <v>308</v>
      </c>
      <c r="C27" s="12" t="s">
        <v>361</v>
      </c>
      <c r="D27" s="13">
        <v>0.31041666666666667</v>
      </c>
      <c r="E27" s="13">
        <v>0.3125</v>
      </c>
      <c r="F27" t="s">
        <v>362</v>
      </c>
      <c r="G27" s="12" t="s">
        <v>306</v>
      </c>
      <c r="H27" s="14">
        <v>1.76</v>
      </c>
      <c r="I27" s="15">
        <v>19</v>
      </c>
      <c r="J27" s="15">
        <v>25</v>
      </c>
      <c r="K27" s="14">
        <f t="shared" si="0"/>
        <v>44</v>
      </c>
      <c r="L27">
        <v>26</v>
      </c>
      <c r="N27" s="30" t="s">
        <v>43</v>
      </c>
      <c r="O27" t="s">
        <v>44</v>
      </c>
      <c r="P27">
        <v>23</v>
      </c>
      <c r="Q27" t="s">
        <v>46</v>
      </c>
      <c r="R27">
        <v>21</v>
      </c>
      <c r="W27" s="18" t="s">
        <v>130</v>
      </c>
      <c r="X27" s="2" t="s">
        <v>135</v>
      </c>
      <c r="Y27" s="3">
        <v>4.5419263999999986</v>
      </c>
      <c r="Z27" s="3">
        <v>2.5806399999999998</v>
      </c>
      <c r="AA27" s="3">
        <f t="shared" si="1"/>
        <v>113.54815999999997</v>
      </c>
      <c r="AB27" s="20" t="s">
        <v>307</v>
      </c>
    </row>
    <row r="28" spans="1:28" ht="23.25" customHeight="1" x14ac:dyDescent="0.25">
      <c r="A28" s="12" t="s">
        <v>353</v>
      </c>
      <c r="B28" s="12" t="s">
        <v>311</v>
      </c>
      <c r="C28" s="12" t="s">
        <v>363</v>
      </c>
      <c r="D28" s="13">
        <v>0.31319444444444439</v>
      </c>
      <c r="E28" s="13">
        <v>0.31666666666666671</v>
      </c>
      <c r="F28" t="s">
        <v>364</v>
      </c>
      <c r="G28" s="12" t="s">
        <v>306</v>
      </c>
      <c r="H28" s="14">
        <v>2.2200000000000002</v>
      </c>
      <c r="I28" s="15">
        <v>19</v>
      </c>
      <c r="J28" s="15">
        <v>25</v>
      </c>
      <c r="K28" s="14">
        <f t="shared" si="0"/>
        <v>55.500000000000007</v>
      </c>
      <c r="L28">
        <v>27</v>
      </c>
      <c r="N28" s="30" t="s">
        <v>43</v>
      </c>
      <c r="O28" t="s">
        <v>44</v>
      </c>
      <c r="P28">
        <v>23</v>
      </c>
      <c r="Q28" t="s">
        <v>46</v>
      </c>
      <c r="R28">
        <v>21</v>
      </c>
      <c r="W28" s="18" t="s">
        <v>130</v>
      </c>
      <c r="X28" s="2" t="s">
        <v>135</v>
      </c>
      <c r="Y28" s="3">
        <v>5.7290207999999998</v>
      </c>
      <c r="Z28" s="3">
        <v>2.5806399999999998</v>
      </c>
      <c r="AA28" s="3">
        <f t="shared" si="1"/>
        <v>143.22551999999999</v>
      </c>
      <c r="AB28" s="20" t="s">
        <v>307</v>
      </c>
    </row>
    <row r="29" spans="1:28" ht="23.25" customHeight="1" x14ac:dyDescent="0.25">
      <c r="A29" s="12" t="s">
        <v>353</v>
      </c>
      <c r="B29" s="12" t="s">
        <v>314</v>
      </c>
      <c r="C29" s="12" t="s">
        <v>365</v>
      </c>
      <c r="D29" s="13">
        <v>0.35208333333333341</v>
      </c>
      <c r="E29" s="13">
        <v>0.35416666666666669</v>
      </c>
      <c r="F29" t="s">
        <v>362</v>
      </c>
      <c r="G29" s="12" t="s">
        <v>306</v>
      </c>
      <c r="H29" s="14">
        <v>1.76</v>
      </c>
      <c r="I29" s="15">
        <v>19</v>
      </c>
      <c r="J29" s="15">
        <v>25</v>
      </c>
      <c r="K29" s="14">
        <f t="shared" si="0"/>
        <v>44</v>
      </c>
      <c r="L29">
        <v>28</v>
      </c>
      <c r="N29" s="30" t="s">
        <v>43</v>
      </c>
      <c r="O29" t="s">
        <v>44</v>
      </c>
      <c r="P29">
        <v>23</v>
      </c>
      <c r="Q29" t="s">
        <v>46</v>
      </c>
      <c r="R29">
        <v>21</v>
      </c>
      <c r="W29" s="18" t="s">
        <v>130</v>
      </c>
      <c r="X29" s="2" t="s">
        <v>135</v>
      </c>
      <c r="Y29" s="3">
        <v>4.5419263999999986</v>
      </c>
      <c r="Z29" s="3">
        <v>2.5806399999999998</v>
      </c>
      <c r="AA29" s="3">
        <f t="shared" si="1"/>
        <v>113.54815999999997</v>
      </c>
      <c r="AB29" s="20" t="s">
        <v>307</v>
      </c>
    </row>
    <row r="30" spans="1:28" ht="23.25" customHeight="1" x14ac:dyDescent="0.25">
      <c r="A30" s="12" t="s">
        <v>353</v>
      </c>
      <c r="B30" s="12" t="s">
        <v>316</v>
      </c>
      <c r="C30" s="12" t="s">
        <v>366</v>
      </c>
      <c r="D30" s="13">
        <v>0.35486111111111113</v>
      </c>
      <c r="E30" s="13">
        <v>0.35833333333333328</v>
      </c>
      <c r="F30" t="s">
        <v>364</v>
      </c>
      <c r="G30" s="12" t="s">
        <v>306</v>
      </c>
      <c r="H30" s="14">
        <v>2.2200000000000002</v>
      </c>
      <c r="I30" s="15">
        <v>19</v>
      </c>
      <c r="J30" s="15">
        <v>25</v>
      </c>
      <c r="K30" s="14">
        <f t="shared" si="0"/>
        <v>55.500000000000007</v>
      </c>
      <c r="L30">
        <v>29</v>
      </c>
      <c r="N30" s="30" t="s">
        <v>43</v>
      </c>
      <c r="O30" t="s">
        <v>44</v>
      </c>
      <c r="P30">
        <v>23</v>
      </c>
      <c r="Q30" t="s">
        <v>46</v>
      </c>
      <c r="R30">
        <v>21</v>
      </c>
      <c r="W30" s="18" t="s">
        <v>130</v>
      </c>
      <c r="X30" s="2" t="s">
        <v>135</v>
      </c>
      <c r="Y30" s="3">
        <v>5.7290207999999998</v>
      </c>
      <c r="Z30" s="3">
        <v>2.5806399999999998</v>
      </c>
      <c r="AA30" s="3">
        <f t="shared" si="1"/>
        <v>143.22551999999999</v>
      </c>
      <c r="AB30" s="20" t="s">
        <v>307</v>
      </c>
    </row>
    <row r="31" spans="1:28" ht="23.25" customHeight="1" x14ac:dyDescent="0.25">
      <c r="A31" s="12" t="s">
        <v>353</v>
      </c>
      <c r="B31" s="12" t="s">
        <v>318</v>
      </c>
      <c r="C31" s="12" t="s">
        <v>367</v>
      </c>
      <c r="D31" s="13">
        <v>0.50208333333333333</v>
      </c>
      <c r="E31" s="13">
        <v>0.51111111111111107</v>
      </c>
      <c r="F31" t="s">
        <v>359</v>
      </c>
      <c r="G31" s="12" t="s">
        <v>306</v>
      </c>
      <c r="H31" s="14">
        <v>5.76</v>
      </c>
      <c r="I31" s="15">
        <v>19</v>
      </c>
      <c r="J31" s="15">
        <v>25</v>
      </c>
      <c r="K31" s="14">
        <f t="shared" si="0"/>
        <v>144</v>
      </c>
      <c r="L31">
        <v>30</v>
      </c>
      <c r="N31" s="30" t="s">
        <v>43</v>
      </c>
      <c r="O31" t="s">
        <v>44</v>
      </c>
      <c r="P31">
        <v>23</v>
      </c>
      <c r="Q31" t="s">
        <v>46</v>
      </c>
      <c r="R31">
        <v>21</v>
      </c>
      <c r="W31" s="18" t="s">
        <v>130</v>
      </c>
      <c r="X31" s="2" t="s">
        <v>135</v>
      </c>
      <c r="Y31" s="3">
        <v>14.864486400000001</v>
      </c>
      <c r="Z31" s="3">
        <v>2.5806399999999998</v>
      </c>
      <c r="AA31" s="3">
        <f t="shared" si="1"/>
        <v>371.61216000000002</v>
      </c>
      <c r="AB31" s="20" t="s">
        <v>307</v>
      </c>
    </row>
    <row r="32" spans="1:28" ht="23.25" customHeight="1" x14ac:dyDescent="0.25">
      <c r="A32" s="12" t="s">
        <v>353</v>
      </c>
      <c r="B32" s="12" t="s">
        <v>320</v>
      </c>
      <c r="C32" s="12" t="s">
        <v>368</v>
      </c>
      <c r="D32" s="13">
        <v>0.51597222222222228</v>
      </c>
      <c r="E32" s="13">
        <v>0.5180555555555556</v>
      </c>
      <c r="F32" t="s">
        <v>362</v>
      </c>
      <c r="G32" s="12" t="s">
        <v>306</v>
      </c>
      <c r="H32" s="14">
        <v>1.76</v>
      </c>
      <c r="I32" s="15">
        <v>19</v>
      </c>
      <c r="J32" s="15">
        <v>25</v>
      </c>
      <c r="K32" s="14">
        <f t="shared" si="0"/>
        <v>44</v>
      </c>
      <c r="L32">
        <v>31</v>
      </c>
      <c r="N32" s="30" t="s">
        <v>43</v>
      </c>
      <c r="O32" t="s">
        <v>44</v>
      </c>
      <c r="P32">
        <v>23</v>
      </c>
      <c r="Q32" t="s">
        <v>46</v>
      </c>
      <c r="R32">
        <v>21</v>
      </c>
      <c r="W32" s="18" t="s">
        <v>130</v>
      </c>
      <c r="X32" s="2" t="s">
        <v>135</v>
      </c>
      <c r="Y32" s="3">
        <v>4.5419263999999986</v>
      </c>
      <c r="Z32" s="3">
        <v>2.5806399999999998</v>
      </c>
      <c r="AA32" s="3">
        <f t="shared" si="1"/>
        <v>113.54815999999997</v>
      </c>
      <c r="AB32" s="20" t="s">
        <v>307</v>
      </c>
    </row>
    <row r="33" spans="1:28" ht="23.25" customHeight="1" x14ac:dyDescent="0.25">
      <c r="A33" s="12" t="s">
        <v>353</v>
      </c>
      <c r="B33" s="12" t="s">
        <v>322</v>
      </c>
      <c r="C33" s="12" t="s">
        <v>369</v>
      </c>
      <c r="D33" s="13">
        <v>0.51875000000000004</v>
      </c>
      <c r="E33" s="13">
        <v>0.52222222222222225</v>
      </c>
      <c r="F33" t="s">
        <v>364</v>
      </c>
      <c r="G33" s="12" t="s">
        <v>306</v>
      </c>
      <c r="H33" s="14">
        <v>2.2200000000000002</v>
      </c>
      <c r="I33" s="15">
        <v>19</v>
      </c>
      <c r="J33" s="15">
        <v>25</v>
      </c>
      <c r="K33" s="14">
        <f t="shared" si="0"/>
        <v>55.500000000000007</v>
      </c>
      <c r="L33">
        <v>32</v>
      </c>
      <c r="N33" s="30" t="s">
        <v>43</v>
      </c>
      <c r="O33" t="s">
        <v>44</v>
      </c>
      <c r="P33">
        <v>23</v>
      </c>
      <c r="Q33" t="s">
        <v>46</v>
      </c>
      <c r="R33">
        <v>21</v>
      </c>
      <c r="W33" s="18" t="s">
        <v>130</v>
      </c>
      <c r="X33" s="2" t="s">
        <v>135</v>
      </c>
      <c r="Y33" s="3">
        <v>5.7290207999999998</v>
      </c>
      <c r="Z33" s="3">
        <v>2.5806399999999998</v>
      </c>
      <c r="AA33" s="3">
        <f t="shared" si="1"/>
        <v>143.22551999999999</v>
      </c>
      <c r="AB33" s="20" t="s">
        <v>307</v>
      </c>
    </row>
    <row r="34" spans="1:28" ht="23.25" customHeight="1" x14ac:dyDescent="0.25">
      <c r="A34" s="12" t="s">
        <v>353</v>
      </c>
      <c r="B34" s="12" t="s">
        <v>324</v>
      </c>
      <c r="C34" s="12" t="s">
        <v>370</v>
      </c>
      <c r="D34" s="13">
        <v>0.53263888888888888</v>
      </c>
      <c r="E34" s="13">
        <v>0.54166666666666663</v>
      </c>
      <c r="F34" t="s">
        <v>359</v>
      </c>
      <c r="G34" s="12" t="s">
        <v>306</v>
      </c>
      <c r="H34" s="14">
        <v>5.76</v>
      </c>
      <c r="I34" s="15">
        <v>19</v>
      </c>
      <c r="J34" s="15">
        <v>25</v>
      </c>
      <c r="K34" s="14">
        <f t="shared" si="0"/>
        <v>144</v>
      </c>
      <c r="L34">
        <v>33</v>
      </c>
      <c r="N34" s="30" t="s">
        <v>43</v>
      </c>
      <c r="O34" t="s">
        <v>44</v>
      </c>
      <c r="P34">
        <v>23</v>
      </c>
      <c r="Q34" t="s">
        <v>46</v>
      </c>
      <c r="R34">
        <v>21</v>
      </c>
      <c r="W34" s="18" t="s">
        <v>130</v>
      </c>
      <c r="X34" s="2" t="s">
        <v>135</v>
      </c>
      <c r="Y34" s="3">
        <v>14.864486400000001</v>
      </c>
      <c r="Z34" s="3">
        <v>2.5806399999999998</v>
      </c>
      <c r="AA34" s="3">
        <f t="shared" si="1"/>
        <v>371.61216000000002</v>
      </c>
      <c r="AB34" s="20" t="s">
        <v>307</v>
      </c>
    </row>
    <row r="35" spans="1:28" ht="23.25" customHeight="1" x14ac:dyDescent="0.25">
      <c r="A35" s="12" t="s">
        <v>353</v>
      </c>
      <c r="B35" s="12" t="s">
        <v>326</v>
      </c>
      <c r="C35" s="12" t="s">
        <v>371</v>
      </c>
      <c r="D35" s="13">
        <v>0.75208333333333333</v>
      </c>
      <c r="E35" s="13">
        <v>0.76111111111111107</v>
      </c>
      <c r="F35" t="s">
        <v>359</v>
      </c>
      <c r="G35" s="12" t="s">
        <v>306</v>
      </c>
      <c r="H35" s="14">
        <v>5.76</v>
      </c>
      <c r="I35" s="15">
        <v>19</v>
      </c>
      <c r="J35" s="15">
        <v>25</v>
      </c>
      <c r="K35" s="14">
        <f t="shared" si="0"/>
        <v>144</v>
      </c>
      <c r="L35">
        <v>34</v>
      </c>
      <c r="N35" s="30" t="s">
        <v>43</v>
      </c>
      <c r="O35" t="s">
        <v>44</v>
      </c>
      <c r="P35">
        <v>23</v>
      </c>
      <c r="Q35" t="s">
        <v>46</v>
      </c>
      <c r="R35">
        <v>21</v>
      </c>
      <c r="W35" s="18" t="s">
        <v>130</v>
      </c>
      <c r="X35" s="2" t="s">
        <v>135</v>
      </c>
      <c r="Y35" s="3">
        <v>14.864486400000001</v>
      </c>
      <c r="Z35" s="3">
        <v>2.5806399999999998</v>
      </c>
      <c r="AA35" s="3">
        <f t="shared" si="1"/>
        <v>371.61216000000002</v>
      </c>
      <c r="AB35" s="20" t="s">
        <v>307</v>
      </c>
    </row>
    <row r="36" spans="1:28" ht="23.25" customHeight="1" x14ac:dyDescent="0.25">
      <c r="A36" s="12" t="s">
        <v>353</v>
      </c>
      <c r="B36" s="12" t="s">
        <v>328</v>
      </c>
      <c r="C36" s="12" t="s">
        <v>372</v>
      </c>
      <c r="D36" s="13">
        <v>0.76597222222222228</v>
      </c>
      <c r="E36" s="13">
        <v>0.7680555555555556</v>
      </c>
      <c r="F36" t="s">
        <v>362</v>
      </c>
      <c r="G36" s="12" t="s">
        <v>306</v>
      </c>
      <c r="H36" s="14">
        <v>1.76</v>
      </c>
      <c r="I36" s="15">
        <v>19</v>
      </c>
      <c r="J36" s="15">
        <v>25</v>
      </c>
      <c r="K36" s="14">
        <f t="shared" si="0"/>
        <v>44</v>
      </c>
      <c r="L36">
        <v>35</v>
      </c>
      <c r="N36" s="30" t="s">
        <v>43</v>
      </c>
      <c r="O36" t="s">
        <v>44</v>
      </c>
      <c r="P36">
        <v>23</v>
      </c>
      <c r="Q36" t="s">
        <v>46</v>
      </c>
      <c r="R36">
        <v>21</v>
      </c>
      <c r="W36" s="18" t="s">
        <v>130</v>
      </c>
      <c r="X36" s="2" t="s">
        <v>135</v>
      </c>
      <c r="Y36" s="3">
        <v>4.5419263999999986</v>
      </c>
      <c r="Z36" s="3">
        <v>2.5806399999999998</v>
      </c>
      <c r="AA36" s="3">
        <f t="shared" si="1"/>
        <v>113.54815999999997</v>
      </c>
      <c r="AB36" s="20" t="s">
        <v>307</v>
      </c>
    </row>
    <row r="37" spans="1:28" ht="23.25" customHeight="1" x14ac:dyDescent="0.25">
      <c r="A37" s="12" t="s">
        <v>353</v>
      </c>
      <c r="B37" s="12" t="s">
        <v>330</v>
      </c>
      <c r="C37" s="12" t="s">
        <v>373</v>
      </c>
      <c r="D37" s="13">
        <v>0.76875000000000004</v>
      </c>
      <c r="E37" s="13">
        <v>0.77222222222222225</v>
      </c>
      <c r="F37" t="s">
        <v>364</v>
      </c>
      <c r="G37" s="12" t="s">
        <v>306</v>
      </c>
      <c r="H37" s="14">
        <v>2.2200000000000002</v>
      </c>
      <c r="I37" s="15">
        <v>19</v>
      </c>
      <c r="J37" s="15">
        <v>25</v>
      </c>
      <c r="K37" s="14">
        <f t="shared" si="0"/>
        <v>55.500000000000007</v>
      </c>
      <c r="L37">
        <v>36</v>
      </c>
      <c r="N37" s="30" t="s">
        <v>43</v>
      </c>
      <c r="O37" t="s">
        <v>44</v>
      </c>
      <c r="P37">
        <v>23</v>
      </c>
      <c r="Q37" t="s">
        <v>46</v>
      </c>
      <c r="R37">
        <v>21</v>
      </c>
      <c r="W37" s="18" t="s">
        <v>130</v>
      </c>
      <c r="X37" s="2" t="s">
        <v>135</v>
      </c>
      <c r="Y37" s="3">
        <v>5.7290207999999998</v>
      </c>
      <c r="Z37" s="3">
        <v>2.5806399999999998</v>
      </c>
      <c r="AA37" s="3">
        <f t="shared" si="1"/>
        <v>143.22551999999999</v>
      </c>
      <c r="AB37" s="20" t="s">
        <v>307</v>
      </c>
    </row>
    <row r="38" spans="1:28" ht="23.25" customHeight="1" x14ac:dyDescent="0.25">
      <c r="A38" s="12" t="s">
        <v>302</v>
      </c>
      <c r="B38" s="12" t="s">
        <v>303</v>
      </c>
      <c r="C38" s="12" t="s">
        <v>312</v>
      </c>
      <c r="D38" s="13">
        <v>0.31805555555555548</v>
      </c>
      <c r="E38" s="13">
        <v>0.33055555555555549</v>
      </c>
      <c r="F38" t="s">
        <v>313</v>
      </c>
      <c r="G38" s="12" t="s">
        <v>374</v>
      </c>
      <c r="H38" s="14">
        <v>7.67</v>
      </c>
      <c r="I38" s="15">
        <v>19</v>
      </c>
      <c r="J38" s="15">
        <v>3</v>
      </c>
      <c r="K38" s="14">
        <f t="shared" si="0"/>
        <v>23.009999999999998</v>
      </c>
      <c r="L38">
        <v>37</v>
      </c>
      <c r="N38" s="30" t="s">
        <v>43</v>
      </c>
      <c r="O38" t="s">
        <v>44</v>
      </c>
      <c r="P38">
        <v>23</v>
      </c>
      <c r="Q38" t="s">
        <v>46</v>
      </c>
      <c r="R38">
        <v>21</v>
      </c>
      <c r="W38" s="18" t="s">
        <v>130</v>
      </c>
      <c r="X38" s="2" t="s">
        <v>137</v>
      </c>
      <c r="Y38" s="3">
        <v>19.793508800000001</v>
      </c>
      <c r="Z38" s="3">
        <v>2.5806399999999998</v>
      </c>
      <c r="AA38" s="3">
        <f t="shared" si="1"/>
        <v>59.380526400000008</v>
      </c>
      <c r="AB38" s="20" t="s">
        <v>307</v>
      </c>
    </row>
    <row r="39" spans="1:28" ht="23.25" customHeight="1" x14ac:dyDescent="0.25">
      <c r="A39" s="12" t="s">
        <v>302</v>
      </c>
      <c r="B39" s="12" t="s">
        <v>308</v>
      </c>
      <c r="C39" s="12" t="s">
        <v>315</v>
      </c>
      <c r="D39" s="13">
        <v>0.33541666666666659</v>
      </c>
      <c r="E39" s="13">
        <v>0.35069444444444442</v>
      </c>
      <c r="F39" t="s">
        <v>310</v>
      </c>
      <c r="G39" s="12" t="s">
        <v>374</v>
      </c>
      <c r="H39" s="14">
        <v>9.01</v>
      </c>
      <c r="I39" s="15">
        <v>19</v>
      </c>
      <c r="J39" s="15">
        <v>3</v>
      </c>
      <c r="K39" s="14">
        <f t="shared" si="0"/>
        <v>27.03</v>
      </c>
      <c r="L39">
        <v>38</v>
      </c>
      <c r="N39" s="30" t="s">
        <v>43</v>
      </c>
      <c r="O39" t="s">
        <v>44</v>
      </c>
      <c r="P39">
        <v>23</v>
      </c>
      <c r="Q39" t="s">
        <v>46</v>
      </c>
      <c r="R39">
        <v>21</v>
      </c>
      <c r="W39" s="18" t="s">
        <v>130</v>
      </c>
      <c r="X39" s="2" t="s">
        <v>137</v>
      </c>
      <c r="Y39" s="3">
        <v>23.251566400000002</v>
      </c>
      <c r="Z39" s="3">
        <v>2.5806399999999998</v>
      </c>
      <c r="AA39" s="3">
        <f t="shared" si="1"/>
        <v>69.754699200000005</v>
      </c>
      <c r="AB39" s="20" t="s">
        <v>307</v>
      </c>
    </row>
    <row r="40" spans="1:28" ht="23.25" customHeight="1" x14ac:dyDescent="0.25">
      <c r="A40" s="12" t="s">
        <v>302</v>
      </c>
      <c r="B40" s="12" t="s">
        <v>311</v>
      </c>
      <c r="C40" s="12" t="s">
        <v>317</v>
      </c>
      <c r="D40" s="13">
        <v>0.35972222222222222</v>
      </c>
      <c r="E40" s="13">
        <v>0.37222222222222218</v>
      </c>
      <c r="F40" t="s">
        <v>313</v>
      </c>
      <c r="G40" s="12" t="s">
        <v>374</v>
      </c>
      <c r="H40" s="14">
        <v>7.67</v>
      </c>
      <c r="I40" s="15">
        <v>19</v>
      </c>
      <c r="J40" s="15">
        <v>3</v>
      </c>
      <c r="K40" s="14">
        <f t="shared" si="0"/>
        <v>23.009999999999998</v>
      </c>
      <c r="L40">
        <v>39</v>
      </c>
      <c r="N40" s="30" t="s">
        <v>43</v>
      </c>
      <c r="O40" t="s">
        <v>44</v>
      </c>
      <c r="P40">
        <v>23</v>
      </c>
      <c r="Q40" t="s">
        <v>46</v>
      </c>
      <c r="R40">
        <v>21</v>
      </c>
      <c r="W40" s="18" t="s">
        <v>130</v>
      </c>
      <c r="X40" s="2" t="s">
        <v>137</v>
      </c>
      <c r="Y40" s="3">
        <v>19.793508800000001</v>
      </c>
      <c r="Z40" s="3">
        <v>2.5806399999999998</v>
      </c>
      <c r="AA40" s="3">
        <f t="shared" si="1"/>
        <v>59.380526400000008</v>
      </c>
      <c r="AB40" s="20" t="s">
        <v>307</v>
      </c>
    </row>
    <row r="41" spans="1:28" ht="23.25" customHeight="1" x14ac:dyDescent="0.25">
      <c r="A41" s="12" t="s">
        <v>302</v>
      </c>
      <c r="B41" s="12" t="s">
        <v>314</v>
      </c>
      <c r="C41" s="12" t="s">
        <v>319</v>
      </c>
      <c r="D41" s="13">
        <v>0.37708333333333333</v>
      </c>
      <c r="E41" s="13">
        <v>0.3923611111111111</v>
      </c>
      <c r="F41" t="s">
        <v>310</v>
      </c>
      <c r="G41" s="12" t="s">
        <v>374</v>
      </c>
      <c r="H41" s="14">
        <v>9.01</v>
      </c>
      <c r="I41" s="15">
        <v>19</v>
      </c>
      <c r="J41" s="15">
        <v>3</v>
      </c>
      <c r="K41" s="14">
        <f t="shared" si="0"/>
        <v>27.03</v>
      </c>
      <c r="L41">
        <v>40</v>
      </c>
      <c r="N41" s="30" t="s">
        <v>43</v>
      </c>
      <c r="O41" t="s">
        <v>44</v>
      </c>
      <c r="P41">
        <v>23</v>
      </c>
      <c r="Q41" t="s">
        <v>46</v>
      </c>
      <c r="R41">
        <v>21</v>
      </c>
      <c r="W41" s="18" t="s">
        <v>130</v>
      </c>
      <c r="X41" s="2" t="s">
        <v>137</v>
      </c>
      <c r="Y41" s="3">
        <v>23.251566400000002</v>
      </c>
      <c r="Z41" s="3">
        <v>2.5806399999999998</v>
      </c>
      <c r="AA41" s="3">
        <f t="shared" si="1"/>
        <v>69.754699200000005</v>
      </c>
      <c r="AB41" s="20" t="s">
        <v>307</v>
      </c>
    </row>
    <row r="42" spans="1:28" ht="23.25" customHeight="1" x14ac:dyDescent="0.25">
      <c r="A42" s="12" t="s">
        <v>302</v>
      </c>
      <c r="B42" s="12" t="s">
        <v>316</v>
      </c>
      <c r="C42" s="12" t="s">
        <v>321</v>
      </c>
      <c r="D42" s="13">
        <v>0.46458333333333329</v>
      </c>
      <c r="E42" s="13">
        <v>0.47708333333333341</v>
      </c>
      <c r="F42" t="s">
        <v>313</v>
      </c>
      <c r="G42" s="12" t="s">
        <v>374</v>
      </c>
      <c r="H42" s="14">
        <v>7.67</v>
      </c>
      <c r="I42" s="15">
        <v>19</v>
      </c>
      <c r="J42" s="15">
        <v>3</v>
      </c>
      <c r="K42" s="14">
        <f t="shared" si="0"/>
        <v>23.009999999999998</v>
      </c>
      <c r="L42">
        <v>41</v>
      </c>
      <c r="N42" s="30" t="s">
        <v>43</v>
      </c>
      <c r="O42" t="s">
        <v>44</v>
      </c>
      <c r="P42">
        <v>23</v>
      </c>
      <c r="Q42" t="s">
        <v>46</v>
      </c>
      <c r="R42">
        <v>21</v>
      </c>
      <c r="W42" s="18" t="s">
        <v>130</v>
      </c>
      <c r="X42" s="2" t="s">
        <v>137</v>
      </c>
      <c r="Y42" s="3">
        <v>19.793508800000001</v>
      </c>
      <c r="Z42" s="3">
        <v>2.5806399999999998</v>
      </c>
      <c r="AA42" s="3">
        <f t="shared" si="1"/>
        <v>59.380526400000008</v>
      </c>
      <c r="AB42" s="20" t="s">
        <v>307</v>
      </c>
    </row>
    <row r="43" spans="1:28" ht="23.25" customHeight="1" x14ac:dyDescent="0.25">
      <c r="A43" s="12" t="s">
        <v>302</v>
      </c>
      <c r="B43" s="12" t="s">
        <v>318</v>
      </c>
      <c r="C43" s="12" t="s">
        <v>323</v>
      </c>
      <c r="D43" s="13">
        <v>0.47708333333333341</v>
      </c>
      <c r="E43" s="13">
        <v>0.49236111111111108</v>
      </c>
      <c r="F43" t="s">
        <v>310</v>
      </c>
      <c r="G43" s="12" t="s">
        <v>374</v>
      </c>
      <c r="H43" s="14">
        <v>9.01</v>
      </c>
      <c r="I43" s="15">
        <v>19</v>
      </c>
      <c r="J43" s="15">
        <v>3</v>
      </c>
      <c r="K43" s="14">
        <f t="shared" si="0"/>
        <v>27.03</v>
      </c>
      <c r="L43">
        <v>42</v>
      </c>
      <c r="N43" s="30" t="s">
        <v>43</v>
      </c>
      <c r="O43" t="s">
        <v>44</v>
      </c>
      <c r="P43">
        <v>23</v>
      </c>
      <c r="Q43" t="s">
        <v>46</v>
      </c>
      <c r="R43">
        <v>21</v>
      </c>
      <c r="W43" s="18" t="s">
        <v>130</v>
      </c>
      <c r="X43" s="2" t="s">
        <v>137</v>
      </c>
      <c r="Y43" s="3">
        <v>23.251566400000002</v>
      </c>
      <c r="Z43" s="3">
        <v>2.5806399999999998</v>
      </c>
      <c r="AA43" s="3">
        <f t="shared" si="1"/>
        <v>69.754699200000005</v>
      </c>
      <c r="AB43" s="20" t="s">
        <v>307</v>
      </c>
    </row>
    <row r="44" spans="1:28" ht="23.25" customHeight="1" x14ac:dyDescent="0.25">
      <c r="A44" s="12" t="s">
        <v>302</v>
      </c>
      <c r="B44" s="12" t="s">
        <v>320</v>
      </c>
      <c r="C44" s="12" t="s">
        <v>325</v>
      </c>
      <c r="D44" s="13">
        <v>0.54791666666666672</v>
      </c>
      <c r="E44" s="13">
        <v>0.56041666666666667</v>
      </c>
      <c r="F44" t="s">
        <v>313</v>
      </c>
      <c r="G44" s="12" t="s">
        <v>374</v>
      </c>
      <c r="H44" s="14">
        <v>7.67</v>
      </c>
      <c r="I44" s="15">
        <v>19</v>
      </c>
      <c r="J44" s="15">
        <v>3</v>
      </c>
      <c r="K44" s="14">
        <f t="shared" si="0"/>
        <v>23.009999999999998</v>
      </c>
      <c r="L44">
        <v>43</v>
      </c>
      <c r="N44" s="30" t="s">
        <v>43</v>
      </c>
      <c r="O44" t="s">
        <v>44</v>
      </c>
      <c r="P44">
        <v>23</v>
      </c>
      <c r="Q44" t="s">
        <v>46</v>
      </c>
      <c r="R44">
        <v>21</v>
      </c>
      <c r="W44" s="18" t="s">
        <v>130</v>
      </c>
      <c r="X44" s="2" t="s">
        <v>137</v>
      </c>
      <c r="Y44" s="3">
        <v>19.793508800000001</v>
      </c>
      <c r="Z44" s="3">
        <v>2.5806399999999998</v>
      </c>
      <c r="AA44" s="3">
        <f t="shared" si="1"/>
        <v>59.380526400000008</v>
      </c>
      <c r="AB44" s="20" t="s">
        <v>307</v>
      </c>
    </row>
    <row r="45" spans="1:28" ht="23.25" customHeight="1" x14ac:dyDescent="0.25">
      <c r="A45" s="12" t="s">
        <v>302</v>
      </c>
      <c r="B45" s="12" t="s">
        <v>322</v>
      </c>
      <c r="C45" s="12" t="s">
        <v>327</v>
      </c>
      <c r="D45" s="13">
        <v>0.56041666666666667</v>
      </c>
      <c r="E45" s="13">
        <v>0.5756944444444444</v>
      </c>
      <c r="F45" t="s">
        <v>310</v>
      </c>
      <c r="G45" s="12" t="s">
        <v>374</v>
      </c>
      <c r="H45" s="14">
        <v>9.01</v>
      </c>
      <c r="I45" s="15">
        <v>19</v>
      </c>
      <c r="J45" s="15">
        <v>3</v>
      </c>
      <c r="K45" s="14">
        <f t="shared" si="0"/>
        <v>27.03</v>
      </c>
      <c r="L45">
        <v>44</v>
      </c>
      <c r="N45" s="30" t="s">
        <v>43</v>
      </c>
      <c r="O45" t="s">
        <v>44</v>
      </c>
      <c r="P45">
        <v>23</v>
      </c>
      <c r="Q45" t="s">
        <v>46</v>
      </c>
      <c r="R45">
        <v>21</v>
      </c>
      <c r="W45" s="18" t="s">
        <v>130</v>
      </c>
      <c r="X45" s="2" t="s">
        <v>137</v>
      </c>
      <c r="Y45" s="3">
        <v>23.251566400000002</v>
      </c>
      <c r="Z45" s="3">
        <v>2.5806399999999998</v>
      </c>
      <c r="AA45" s="3">
        <f t="shared" si="1"/>
        <v>69.754699200000005</v>
      </c>
      <c r="AB45" s="20" t="s">
        <v>307</v>
      </c>
    </row>
    <row r="46" spans="1:28" ht="23.25" customHeight="1" x14ac:dyDescent="0.25">
      <c r="A46" s="12" t="s">
        <v>302</v>
      </c>
      <c r="B46" s="12" t="s">
        <v>324</v>
      </c>
      <c r="C46" s="12" t="s">
        <v>375</v>
      </c>
      <c r="D46" s="13">
        <v>0.58958333333333335</v>
      </c>
      <c r="E46" s="13">
        <v>0.6020833333333333</v>
      </c>
      <c r="F46" t="s">
        <v>313</v>
      </c>
      <c r="G46" s="12" t="s">
        <v>374</v>
      </c>
      <c r="H46" s="14">
        <v>7.67</v>
      </c>
      <c r="I46" s="15">
        <v>19</v>
      </c>
      <c r="J46" s="15">
        <v>3</v>
      </c>
      <c r="K46" s="14">
        <f t="shared" si="0"/>
        <v>23.009999999999998</v>
      </c>
      <c r="L46">
        <v>45</v>
      </c>
      <c r="N46" s="30" t="s">
        <v>43</v>
      </c>
      <c r="O46" t="s">
        <v>44</v>
      </c>
      <c r="P46">
        <v>23</v>
      </c>
      <c r="Q46" t="s">
        <v>46</v>
      </c>
      <c r="R46">
        <v>21</v>
      </c>
      <c r="W46" s="18" t="s">
        <v>130</v>
      </c>
      <c r="X46" s="2" t="s">
        <v>137</v>
      </c>
      <c r="Y46" s="3">
        <v>19.793508800000001</v>
      </c>
      <c r="Z46" s="3">
        <v>2.5806399999999998</v>
      </c>
      <c r="AA46" s="3">
        <f t="shared" si="1"/>
        <v>59.380526400000008</v>
      </c>
      <c r="AB46" s="20" t="s">
        <v>307</v>
      </c>
    </row>
    <row r="47" spans="1:28" ht="23.25" customHeight="1" x14ac:dyDescent="0.25">
      <c r="A47" s="12" t="s">
        <v>302</v>
      </c>
      <c r="B47" s="12" t="s">
        <v>326</v>
      </c>
      <c r="C47" s="12" t="s">
        <v>376</v>
      </c>
      <c r="D47" s="13">
        <v>0.6020833333333333</v>
      </c>
      <c r="E47" s="13">
        <v>0.61736111111111114</v>
      </c>
      <c r="F47" t="s">
        <v>310</v>
      </c>
      <c r="G47" s="12" t="s">
        <v>374</v>
      </c>
      <c r="H47" s="14">
        <v>9.01</v>
      </c>
      <c r="I47" s="15">
        <v>19</v>
      </c>
      <c r="J47" s="15">
        <v>3</v>
      </c>
      <c r="K47" s="14">
        <f t="shared" si="0"/>
        <v>27.03</v>
      </c>
      <c r="L47">
        <v>46</v>
      </c>
      <c r="N47" s="30" t="s">
        <v>43</v>
      </c>
      <c r="O47" t="s">
        <v>44</v>
      </c>
      <c r="P47">
        <v>23</v>
      </c>
      <c r="Q47" t="s">
        <v>46</v>
      </c>
      <c r="R47">
        <v>21</v>
      </c>
      <c r="W47" s="18" t="s">
        <v>130</v>
      </c>
      <c r="X47" s="2" t="s">
        <v>137</v>
      </c>
      <c r="Y47" s="3">
        <v>23.251566400000002</v>
      </c>
      <c r="Z47" s="3">
        <v>2.5806399999999998</v>
      </c>
      <c r="AA47" s="3">
        <f t="shared" si="1"/>
        <v>69.754699200000005</v>
      </c>
      <c r="AB47" s="20" t="s">
        <v>307</v>
      </c>
    </row>
    <row r="48" spans="1:28" ht="23.25" customHeight="1" x14ac:dyDescent="0.25">
      <c r="A48" s="12" t="s">
        <v>302</v>
      </c>
      <c r="B48" s="12" t="s">
        <v>328</v>
      </c>
      <c r="C48" s="12" t="s">
        <v>337</v>
      </c>
      <c r="D48" s="13">
        <v>0.65902777777777777</v>
      </c>
      <c r="E48" s="13">
        <v>0.66666666666666663</v>
      </c>
      <c r="F48" t="s">
        <v>338</v>
      </c>
      <c r="G48" s="12" t="s">
        <v>374</v>
      </c>
      <c r="H48" s="14">
        <v>3.76</v>
      </c>
      <c r="I48" s="15">
        <v>19</v>
      </c>
      <c r="J48" s="15">
        <v>3</v>
      </c>
      <c r="K48" s="14">
        <f t="shared" si="0"/>
        <v>11.28</v>
      </c>
      <c r="L48">
        <v>47</v>
      </c>
      <c r="N48" s="30" t="s">
        <v>43</v>
      </c>
      <c r="O48" t="s">
        <v>44</v>
      </c>
      <c r="P48">
        <v>23</v>
      </c>
      <c r="Q48" t="s">
        <v>46</v>
      </c>
      <c r="R48">
        <v>21</v>
      </c>
      <c r="W48" s="18" t="s">
        <v>130</v>
      </c>
      <c r="X48" s="2" t="s">
        <v>137</v>
      </c>
      <c r="Y48" s="3">
        <v>9.7032063999999991</v>
      </c>
      <c r="Z48" s="3">
        <v>2.5806399999999998</v>
      </c>
      <c r="AA48" s="3">
        <f t="shared" si="1"/>
        <v>29.109619199999997</v>
      </c>
      <c r="AB48" s="20" t="s">
        <v>307</v>
      </c>
    </row>
    <row r="49" spans="1:28" ht="23.25" customHeight="1" x14ac:dyDescent="0.25">
      <c r="A49" s="12" t="s">
        <v>302</v>
      </c>
      <c r="B49" s="12" t="s">
        <v>330</v>
      </c>
      <c r="C49" s="12" t="s">
        <v>340</v>
      </c>
      <c r="D49" s="13">
        <v>0.66666666666666663</v>
      </c>
      <c r="E49" s="13">
        <v>0.67222222222222228</v>
      </c>
      <c r="F49" t="s">
        <v>341</v>
      </c>
      <c r="G49" s="12" t="s">
        <v>374</v>
      </c>
      <c r="H49" s="14">
        <v>2.76</v>
      </c>
      <c r="I49" s="15">
        <v>19</v>
      </c>
      <c r="J49" s="15">
        <v>3</v>
      </c>
      <c r="K49" s="14">
        <f t="shared" si="0"/>
        <v>8.2799999999999994</v>
      </c>
      <c r="L49">
        <v>48</v>
      </c>
      <c r="N49" s="30" t="s">
        <v>43</v>
      </c>
      <c r="O49" t="s">
        <v>44</v>
      </c>
      <c r="P49">
        <v>23</v>
      </c>
      <c r="Q49" t="s">
        <v>46</v>
      </c>
      <c r="R49">
        <v>21</v>
      </c>
      <c r="W49" s="18" t="s">
        <v>130</v>
      </c>
      <c r="X49" s="2" t="s">
        <v>137</v>
      </c>
      <c r="Y49" s="3">
        <v>7.1225663999999993</v>
      </c>
      <c r="Z49" s="3">
        <v>2.5806399999999998</v>
      </c>
      <c r="AA49" s="3">
        <f t="shared" si="1"/>
        <v>21.367699199999997</v>
      </c>
      <c r="AB49" s="20" t="s">
        <v>307</v>
      </c>
    </row>
    <row r="50" spans="1:28" ht="23.25" customHeight="1" x14ac:dyDescent="0.25">
      <c r="A50" s="12" t="s">
        <v>302</v>
      </c>
      <c r="B50" s="12" t="s">
        <v>332</v>
      </c>
      <c r="C50" s="12" t="s">
        <v>346</v>
      </c>
      <c r="D50" s="13">
        <v>0.71458333333333335</v>
      </c>
      <c r="E50" s="13">
        <v>0.7270833333333333</v>
      </c>
      <c r="F50" t="s">
        <v>313</v>
      </c>
      <c r="G50" s="12" t="s">
        <v>374</v>
      </c>
      <c r="H50" s="14">
        <v>7.67</v>
      </c>
      <c r="I50" s="15">
        <v>19</v>
      </c>
      <c r="J50" s="15">
        <v>3</v>
      </c>
      <c r="K50" s="14">
        <f t="shared" si="0"/>
        <v>23.009999999999998</v>
      </c>
      <c r="L50">
        <v>49</v>
      </c>
      <c r="N50" s="30" t="s">
        <v>43</v>
      </c>
      <c r="O50" t="s">
        <v>44</v>
      </c>
      <c r="P50">
        <v>23</v>
      </c>
      <c r="Q50" t="s">
        <v>46</v>
      </c>
      <c r="R50">
        <v>21</v>
      </c>
      <c r="W50" s="18" t="s">
        <v>130</v>
      </c>
      <c r="X50" s="2" t="s">
        <v>137</v>
      </c>
      <c r="Y50" s="3">
        <v>19.793508800000001</v>
      </c>
      <c r="Z50" s="3">
        <v>2.5806399999999998</v>
      </c>
      <c r="AA50" s="3">
        <f t="shared" si="1"/>
        <v>59.380526400000008</v>
      </c>
      <c r="AB50" s="20" t="s">
        <v>307</v>
      </c>
    </row>
    <row r="51" spans="1:28" ht="23.25" customHeight="1" x14ac:dyDescent="0.25">
      <c r="A51" s="12" t="s">
        <v>302</v>
      </c>
      <c r="B51" s="12" t="s">
        <v>334</v>
      </c>
      <c r="C51" s="12" t="s">
        <v>348</v>
      </c>
      <c r="D51" s="13">
        <v>0.7270833333333333</v>
      </c>
      <c r="E51" s="13">
        <v>0.74236111111111114</v>
      </c>
      <c r="F51" t="s">
        <v>310</v>
      </c>
      <c r="G51" s="12" t="s">
        <v>374</v>
      </c>
      <c r="H51" s="14">
        <v>9.01</v>
      </c>
      <c r="I51" s="15">
        <v>19</v>
      </c>
      <c r="J51" s="15">
        <v>3</v>
      </c>
      <c r="K51" s="14">
        <f t="shared" si="0"/>
        <v>27.03</v>
      </c>
      <c r="L51">
        <v>50</v>
      </c>
      <c r="N51" s="30" t="s">
        <v>43</v>
      </c>
      <c r="O51" t="s">
        <v>44</v>
      </c>
      <c r="P51">
        <v>23</v>
      </c>
      <c r="Q51" t="s">
        <v>46</v>
      </c>
      <c r="R51">
        <v>21</v>
      </c>
      <c r="W51" s="18" t="s">
        <v>130</v>
      </c>
      <c r="X51" s="2" t="s">
        <v>137</v>
      </c>
      <c r="Y51" s="3">
        <v>23.251566400000002</v>
      </c>
      <c r="Z51" s="3">
        <v>2.5806399999999998</v>
      </c>
      <c r="AA51" s="3">
        <f t="shared" si="1"/>
        <v>69.754699200000005</v>
      </c>
      <c r="AB51" s="20" t="s">
        <v>307</v>
      </c>
    </row>
    <row r="52" spans="1:28" ht="23.25" customHeight="1" x14ac:dyDescent="0.25">
      <c r="A52" s="12" t="s">
        <v>302</v>
      </c>
      <c r="B52" s="12" t="s">
        <v>336</v>
      </c>
      <c r="C52" s="12" t="s">
        <v>350</v>
      </c>
      <c r="D52" s="13">
        <v>0.77708333333333335</v>
      </c>
      <c r="E52" s="13">
        <v>0.78472222222222221</v>
      </c>
      <c r="F52" t="s">
        <v>338</v>
      </c>
      <c r="G52" s="12" t="s">
        <v>374</v>
      </c>
      <c r="H52" s="14">
        <v>3.76</v>
      </c>
      <c r="I52" s="15">
        <v>19</v>
      </c>
      <c r="J52" s="15">
        <v>3</v>
      </c>
      <c r="K52" s="14">
        <f t="shared" si="0"/>
        <v>11.28</v>
      </c>
      <c r="L52">
        <v>51</v>
      </c>
      <c r="N52" s="30" t="s">
        <v>43</v>
      </c>
      <c r="O52" t="s">
        <v>44</v>
      </c>
      <c r="P52">
        <v>23</v>
      </c>
      <c r="Q52" t="s">
        <v>46</v>
      </c>
      <c r="R52">
        <v>21</v>
      </c>
      <c r="W52" s="18" t="s">
        <v>130</v>
      </c>
      <c r="X52" s="2" t="s">
        <v>137</v>
      </c>
      <c r="Y52" s="3">
        <v>9.7032063999999991</v>
      </c>
      <c r="Z52" s="3">
        <v>2.5806399999999998</v>
      </c>
      <c r="AA52" s="3">
        <f t="shared" si="1"/>
        <v>29.109619199999997</v>
      </c>
      <c r="AB52" s="20" t="s">
        <v>307</v>
      </c>
    </row>
    <row r="53" spans="1:28" ht="23.25" customHeight="1" x14ac:dyDescent="0.25">
      <c r="A53" s="12" t="s">
        <v>302</v>
      </c>
      <c r="B53" s="12" t="s">
        <v>339</v>
      </c>
      <c r="C53" s="12" t="s">
        <v>352</v>
      </c>
      <c r="D53" s="13">
        <v>0.78472222222222221</v>
      </c>
      <c r="E53" s="13">
        <v>0.79027777777777775</v>
      </c>
      <c r="F53" t="s">
        <v>341</v>
      </c>
      <c r="G53" s="12" t="s">
        <v>374</v>
      </c>
      <c r="H53" s="14">
        <v>2.76</v>
      </c>
      <c r="I53" s="15">
        <v>19</v>
      </c>
      <c r="J53" s="15">
        <v>3</v>
      </c>
      <c r="K53" s="14">
        <f t="shared" si="0"/>
        <v>8.2799999999999994</v>
      </c>
      <c r="L53">
        <v>52</v>
      </c>
      <c r="N53" s="30" t="s">
        <v>43</v>
      </c>
      <c r="O53" t="s">
        <v>44</v>
      </c>
      <c r="P53">
        <v>23</v>
      </c>
      <c r="Q53" t="s">
        <v>46</v>
      </c>
      <c r="R53">
        <v>21</v>
      </c>
      <c r="W53" s="18" t="s">
        <v>130</v>
      </c>
      <c r="X53" s="2" t="s">
        <v>137</v>
      </c>
      <c r="Y53" s="3">
        <v>7.1225663999999993</v>
      </c>
      <c r="Z53" s="3">
        <v>2.5806399999999998</v>
      </c>
      <c r="AA53" s="3">
        <f t="shared" si="1"/>
        <v>21.367699199999997</v>
      </c>
      <c r="AB53" s="20" t="s">
        <v>307</v>
      </c>
    </row>
    <row r="54" spans="1:28" ht="38.25" customHeight="1" x14ac:dyDescent="0.25">
      <c r="A54" s="12" t="s">
        <v>377</v>
      </c>
      <c r="B54" s="12" t="s">
        <v>303</v>
      </c>
      <c r="C54" s="12" t="s">
        <v>378</v>
      </c>
      <c r="D54" s="13">
        <v>0.27430555555555558</v>
      </c>
      <c r="E54" s="13">
        <v>0.28958333333333341</v>
      </c>
      <c r="F54" t="s">
        <v>310</v>
      </c>
      <c r="G54" s="12" t="s">
        <v>379</v>
      </c>
      <c r="H54" s="14">
        <v>9.76</v>
      </c>
      <c r="I54" s="15">
        <v>21</v>
      </c>
      <c r="J54" s="15">
        <v>164</v>
      </c>
      <c r="K54" s="14">
        <f t="shared" si="0"/>
        <v>1600.6399999999999</v>
      </c>
      <c r="L54">
        <v>53</v>
      </c>
      <c r="N54" s="30" t="s">
        <v>66</v>
      </c>
      <c r="O54" t="s">
        <v>69</v>
      </c>
      <c r="P54">
        <v>21</v>
      </c>
      <c r="Q54" t="s">
        <v>71</v>
      </c>
      <c r="R54">
        <v>21</v>
      </c>
      <c r="S54" t="s">
        <v>67</v>
      </c>
      <c r="W54" s="18" t="s">
        <v>130</v>
      </c>
      <c r="X54" s="2" t="s">
        <v>145</v>
      </c>
      <c r="Y54" s="3">
        <v>25.1870464</v>
      </c>
      <c r="Z54" s="3">
        <v>2.5806399999999998</v>
      </c>
      <c r="AA54" s="3">
        <f t="shared" si="1"/>
        <v>4130.6756095999999</v>
      </c>
      <c r="AB54" s="20" t="s">
        <v>307</v>
      </c>
    </row>
    <row r="55" spans="1:28" ht="15" customHeight="1" x14ac:dyDescent="0.25">
      <c r="A55" s="12" t="s">
        <v>377</v>
      </c>
      <c r="B55" s="12" t="s">
        <v>308</v>
      </c>
      <c r="C55" s="12" t="s">
        <v>312</v>
      </c>
      <c r="D55" s="13">
        <v>0.31805555555555548</v>
      </c>
      <c r="E55" s="13">
        <v>0.33055555555555549</v>
      </c>
      <c r="F55" t="s">
        <v>313</v>
      </c>
      <c r="G55" s="12" t="s">
        <v>379</v>
      </c>
      <c r="H55" s="14">
        <v>7.67</v>
      </c>
      <c r="I55" s="15">
        <v>19</v>
      </c>
      <c r="J55" s="15">
        <v>164</v>
      </c>
      <c r="K55" s="14">
        <f t="shared" si="0"/>
        <v>1257.8799999999999</v>
      </c>
      <c r="L55">
        <v>54</v>
      </c>
      <c r="N55" s="30" t="s">
        <v>43</v>
      </c>
      <c r="O55" t="s">
        <v>44</v>
      </c>
      <c r="P55">
        <v>23</v>
      </c>
      <c r="Q55" t="s">
        <v>46</v>
      </c>
      <c r="R55">
        <v>21</v>
      </c>
      <c r="W55" s="18" t="s">
        <v>130</v>
      </c>
      <c r="X55" s="2" t="s">
        <v>145</v>
      </c>
      <c r="Y55" s="3">
        <v>19.793508800000001</v>
      </c>
      <c r="Z55" s="3">
        <v>2.5806399999999998</v>
      </c>
      <c r="AA55" s="3">
        <f t="shared" si="1"/>
        <v>3246.1354432000003</v>
      </c>
      <c r="AB55" s="20" t="s">
        <v>307</v>
      </c>
    </row>
    <row r="56" spans="1:28" ht="15" customHeight="1" x14ac:dyDescent="0.25">
      <c r="A56" s="12" t="s">
        <v>377</v>
      </c>
      <c r="B56" s="12" t="s">
        <v>311</v>
      </c>
      <c r="C56" s="12" t="s">
        <v>315</v>
      </c>
      <c r="D56" s="13">
        <v>0.33541666666666659</v>
      </c>
      <c r="E56" s="13">
        <v>0.35069444444444442</v>
      </c>
      <c r="F56" t="s">
        <v>310</v>
      </c>
      <c r="G56" s="12" t="s">
        <v>379</v>
      </c>
      <c r="H56" s="14">
        <v>9.01</v>
      </c>
      <c r="I56" s="15">
        <v>19</v>
      </c>
      <c r="J56" s="15">
        <v>164</v>
      </c>
      <c r="K56" s="14">
        <f t="shared" si="0"/>
        <v>1477.6399999999999</v>
      </c>
      <c r="L56">
        <v>55</v>
      </c>
      <c r="N56" s="30" t="s">
        <v>43</v>
      </c>
      <c r="O56" t="s">
        <v>44</v>
      </c>
      <c r="P56">
        <v>23</v>
      </c>
      <c r="Q56" t="s">
        <v>46</v>
      </c>
      <c r="R56">
        <v>21</v>
      </c>
      <c r="W56" s="18" t="s">
        <v>130</v>
      </c>
      <c r="X56" s="2" t="s">
        <v>145</v>
      </c>
      <c r="Y56" s="3">
        <v>23.251566400000002</v>
      </c>
      <c r="Z56" s="3">
        <v>2.5806399999999998</v>
      </c>
      <c r="AA56" s="3">
        <f t="shared" si="1"/>
        <v>3813.2568896000002</v>
      </c>
      <c r="AB56" s="20" t="s">
        <v>307</v>
      </c>
    </row>
    <row r="57" spans="1:28" ht="15" customHeight="1" x14ac:dyDescent="0.25">
      <c r="A57" s="12" t="s">
        <v>377</v>
      </c>
      <c r="B57" s="12" t="s">
        <v>314</v>
      </c>
      <c r="C57" s="12" t="s">
        <v>317</v>
      </c>
      <c r="D57" s="13">
        <v>0.35972222222222222</v>
      </c>
      <c r="E57" s="13">
        <v>0.37222222222222218</v>
      </c>
      <c r="F57" t="s">
        <v>313</v>
      </c>
      <c r="G57" s="12" t="s">
        <v>379</v>
      </c>
      <c r="H57" s="14">
        <v>7.67</v>
      </c>
      <c r="I57" s="15">
        <v>19</v>
      </c>
      <c r="J57" s="15">
        <v>164</v>
      </c>
      <c r="K57" s="14">
        <f t="shared" si="0"/>
        <v>1257.8799999999999</v>
      </c>
      <c r="L57">
        <v>56</v>
      </c>
      <c r="N57" s="30" t="s">
        <v>43</v>
      </c>
      <c r="O57" t="s">
        <v>44</v>
      </c>
      <c r="P57">
        <v>23</v>
      </c>
      <c r="Q57" t="s">
        <v>46</v>
      </c>
      <c r="R57">
        <v>21</v>
      </c>
      <c r="W57" s="18" t="s">
        <v>130</v>
      </c>
      <c r="X57" s="2" t="s">
        <v>145</v>
      </c>
      <c r="Y57" s="3">
        <v>19.793508800000001</v>
      </c>
      <c r="Z57" s="3">
        <v>2.5806399999999998</v>
      </c>
      <c r="AA57" s="3">
        <f t="shared" si="1"/>
        <v>3246.1354432000003</v>
      </c>
      <c r="AB57" s="20" t="s">
        <v>307</v>
      </c>
    </row>
    <row r="58" spans="1:28" ht="15" customHeight="1" x14ac:dyDescent="0.25">
      <c r="A58" s="12" t="s">
        <v>377</v>
      </c>
      <c r="B58" s="12" t="s">
        <v>316</v>
      </c>
      <c r="C58" s="12" t="s">
        <v>319</v>
      </c>
      <c r="D58" s="13">
        <v>0.37708333333333333</v>
      </c>
      <c r="E58" s="13">
        <v>0.3923611111111111</v>
      </c>
      <c r="F58" t="s">
        <v>310</v>
      </c>
      <c r="G58" s="12" t="s">
        <v>379</v>
      </c>
      <c r="H58" s="14">
        <v>9.01</v>
      </c>
      <c r="I58" s="15">
        <v>19</v>
      </c>
      <c r="J58" s="15">
        <v>164</v>
      </c>
      <c r="K58" s="14">
        <f t="shared" si="0"/>
        <v>1477.6399999999999</v>
      </c>
      <c r="L58">
        <v>57</v>
      </c>
      <c r="N58" s="30" t="s">
        <v>43</v>
      </c>
      <c r="O58" t="s">
        <v>44</v>
      </c>
      <c r="P58">
        <v>23</v>
      </c>
      <c r="Q58" t="s">
        <v>46</v>
      </c>
      <c r="R58">
        <v>21</v>
      </c>
      <c r="W58" s="18" t="s">
        <v>130</v>
      </c>
      <c r="X58" s="2" t="s">
        <v>145</v>
      </c>
      <c r="Y58" s="3">
        <v>23.251566400000002</v>
      </c>
      <c r="Z58" s="3">
        <v>2.5806399999999998</v>
      </c>
      <c r="AA58" s="3">
        <f t="shared" si="1"/>
        <v>3813.2568896000002</v>
      </c>
      <c r="AB58" s="20" t="s">
        <v>307</v>
      </c>
    </row>
    <row r="59" spans="1:28" ht="15" customHeight="1" x14ac:dyDescent="0.25">
      <c r="A59" s="12" t="s">
        <v>377</v>
      </c>
      <c r="B59" s="12" t="s">
        <v>318</v>
      </c>
      <c r="C59" s="12" t="s">
        <v>321</v>
      </c>
      <c r="D59" s="13">
        <v>0.46458333333333329</v>
      </c>
      <c r="E59" s="13">
        <v>0.47708333333333341</v>
      </c>
      <c r="F59" t="s">
        <v>313</v>
      </c>
      <c r="G59" s="12" t="s">
        <v>379</v>
      </c>
      <c r="H59" s="14">
        <v>7.67</v>
      </c>
      <c r="I59" s="15">
        <v>19</v>
      </c>
      <c r="J59" s="15">
        <v>164</v>
      </c>
      <c r="K59" s="14">
        <f t="shared" si="0"/>
        <v>1257.8799999999999</v>
      </c>
      <c r="L59">
        <v>58</v>
      </c>
      <c r="N59" s="30" t="s">
        <v>43</v>
      </c>
      <c r="O59" t="s">
        <v>44</v>
      </c>
      <c r="P59">
        <v>23</v>
      </c>
      <c r="Q59" t="s">
        <v>46</v>
      </c>
      <c r="R59">
        <v>21</v>
      </c>
      <c r="W59" s="18" t="s">
        <v>130</v>
      </c>
      <c r="X59" s="2" t="s">
        <v>145</v>
      </c>
      <c r="Y59" s="3">
        <v>19.793508800000001</v>
      </c>
      <c r="Z59" s="3">
        <v>2.5806399999999998</v>
      </c>
      <c r="AA59" s="3">
        <f t="shared" si="1"/>
        <v>3246.1354432000003</v>
      </c>
      <c r="AB59" s="20" t="s">
        <v>307</v>
      </c>
    </row>
    <row r="60" spans="1:28" ht="15" customHeight="1" x14ac:dyDescent="0.25">
      <c r="A60" s="12" t="s">
        <v>377</v>
      </c>
      <c r="B60" s="12" t="s">
        <v>320</v>
      </c>
      <c r="C60" s="12" t="s">
        <v>323</v>
      </c>
      <c r="D60" s="13">
        <v>0.47708333333333341</v>
      </c>
      <c r="E60" s="13">
        <v>0.49236111111111108</v>
      </c>
      <c r="F60" t="s">
        <v>310</v>
      </c>
      <c r="G60" s="12" t="s">
        <v>379</v>
      </c>
      <c r="H60" s="14">
        <v>9.01</v>
      </c>
      <c r="I60" s="15">
        <v>19</v>
      </c>
      <c r="J60" s="15">
        <v>164</v>
      </c>
      <c r="K60" s="14">
        <f t="shared" si="0"/>
        <v>1477.6399999999999</v>
      </c>
      <c r="L60">
        <v>59</v>
      </c>
      <c r="N60" s="30" t="s">
        <v>43</v>
      </c>
      <c r="O60" t="s">
        <v>44</v>
      </c>
      <c r="P60">
        <v>23</v>
      </c>
      <c r="Q60" t="s">
        <v>46</v>
      </c>
      <c r="R60">
        <v>21</v>
      </c>
      <c r="W60" s="18" t="s">
        <v>130</v>
      </c>
      <c r="X60" s="2" t="s">
        <v>145</v>
      </c>
      <c r="Y60" s="3">
        <v>23.251566400000002</v>
      </c>
      <c r="Z60" s="3">
        <v>2.5806399999999998</v>
      </c>
      <c r="AA60" s="3">
        <f t="shared" si="1"/>
        <v>3813.2568896000002</v>
      </c>
      <c r="AB60" s="20" t="s">
        <v>307</v>
      </c>
    </row>
    <row r="61" spans="1:28" ht="15" customHeight="1" x14ac:dyDescent="0.25">
      <c r="A61" s="12" t="s">
        <v>377</v>
      </c>
      <c r="B61" s="12" t="s">
        <v>322</v>
      </c>
      <c r="C61" s="12" t="s">
        <v>325</v>
      </c>
      <c r="D61" s="13">
        <v>0.54791666666666672</v>
      </c>
      <c r="E61" s="13">
        <v>0.56041666666666667</v>
      </c>
      <c r="F61" t="s">
        <v>313</v>
      </c>
      <c r="G61" s="12" t="s">
        <v>379</v>
      </c>
      <c r="H61" s="14">
        <v>7.67</v>
      </c>
      <c r="I61" s="15">
        <v>19</v>
      </c>
      <c r="J61" s="15">
        <v>164</v>
      </c>
      <c r="K61" s="14">
        <f t="shared" si="0"/>
        <v>1257.8799999999999</v>
      </c>
      <c r="L61">
        <v>60</v>
      </c>
      <c r="N61" s="30" t="s">
        <v>43</v>
      </c>
      <c r="O61" t="s">
        <v>44</v>
      </c>
      <c r="P61">
        <v>23</v>
      </c>
      <c r="Q61" t="s">
        <v>46</v>
      </c>
      <c r="R61">
        <v>21</v>
      </c>
      <c r="W61" s="18" t="s">
        <v>130</v>
      </c>
      <c r="X61" s="2" t="s">
        <v>145</v>
      </c>
      <c r="Y61" s="3">
        <v>19.793508800000001</v>
      </c>
      <c r="Z61" s="3">
        <v>2.5806399999999998</v>
      </c>
      <c r="AA61" s="3">
        <f t="shared" si="1"/>
        <v>3246.1354432000003</v>
      </c>
      <c r="AB61" s="20" t="s">
        <v>307</v>
      </c>
    </row>
    <row r="62" spans="1:28" ht="15" customHeight="1" x14ac:dyDescent="0.25">
      <c r="A62" s="12" t="s">
        <v>377</v>
      </c>
      <c r="B62" s="12" t="s">
        <v>324</v>
      </c>
      <c r="C62" s="12" t="s">
        <v>327</v>
      </c>
      <c r="D62" s="13">
        <v>0.56041666666666667</v>
      </c>
      <c r="E62" s="13">
        <v>0.5756944444444444</v>
      </c>
      <c r="F62" t="s">
        <v>310</v>
      </c>
      <c r="G62" s="12" t="s">
        <v>379</v>
      </c>
      <c r="H62" s="14">
        <v>9.01</v>
      </c>
      <c r="I62" s="15">
        <v>19</v>
      </c>
      <c r="J62" s="15">
        <v>164</v>
      </c>
      <c r="K62" s="14">
        <f t="shared" si="0"/>
        <v>1477.6399999999999</v>
      </c>
      <c r="L62">
        <v>61</v>
      </c>
      <c r="N62" s="30" t="s">
        <v>43</v>
      </c>
      <c r="O62" t="s">
        <v>44</v>
      </c>
      <c r="P62">
        <v>23</v>
      </c>
      <c r="Q62" t="s">
        <v>46</v>
      </c>
      <c r="R62">
        <v>21</v>
      </c>
      <c r="W62" s="18" t="s">
        <v>130</v>
      </c>
      <c r="X62" s="2" t="s">
        <v>145</v>
      </c>
      <c r="Y62" s="3">
        <v>23.251566400000002</v>
      </c>
      <c r="Z62" s="3">
        <v>2.5806399999999998</v>
      </c>
      <c r="AA62" s="3">
        <f t="shared" si="1"/>
        <v>3813.2568896000002</v>
      </c>
      <c r="AB62" s="20" t="s">
        <v>307</v>
      </c>
    </row>
    <row r="63" spans="1:28" ht="38.25" customHeight="1" x14ac:dyDescent="0.25">
      <c r="A63" s="12" t="s">
        <v>377</v>
      </c>
      <c r="B63" s="12" t="s">
        <v>326</v>
      </c>
      <c r="C63" s="12" t="s">
        <v>380</v>
      </c>
      <c r="D63" s="13">
        <v>0.59305555555555556</v>
      </c>
      <c r="E63" s="13">
        <v>0.60277777777777775</v>
      </c>
      <c r="F63" t="s">
        <v>313</v>
      </c>
      <c r="G63" s="12" t="s">
        <v>379</v>
      </c>
      <c r="H63" s="14">
        <v>7.07</v>
      </c>
      <c r="I63" s="15">
        <v>21</v>
      </c>
      <c r="J63" s="15">
        <v>164</v>
      </c>
      <c r="K63" s="14">
        <f t="shared" si="0"/>
        <v>1159.48</v>
      </c>
      <c r="L63">
        <v>62</v>
      </c>
      <c r="N63" s="30" t="s">
        <v>66</v>
      </c>
      <c r="O63" t="s">
        <v>69</v>
      </c>
      <c r="P63">
        <v>21</v>
      </c>
      <c r="Q63" t="s">
        <v>71</v>
      </c>
      <c r="R63">
        <v>21</v>
      </c>
      <c r="S63" t="s">
        <v>67</v>
      </c>
      <c r="W63" s="18" t="s">
        <v>130</v>
      </c>
      <c r="X63" s="2" t="s">
        <v>145</v>
      </c>
      <c r="Y63" s="3">
        <v>18.245124799999999</v>
      </c>
      <c r="Z63" s="3">
        <v>2.5806399999999998</v>
      </c>
      <c r="AA63" s="3">
        <f t="shared" si="1"/>
        <v>2992.2004671999998</v>
      </c>
      <c r="AB63" s="20" t="s">
        <v>307</v>
      </c>
    </row>
    <row r="64" spans="1:28" ht="38.25" customHeight="1" x14ac:dyDescent="0.25">
      <c r="A64" s="12" t="s">
        <v>377</v>
      </c>
      <c r="B64" s="12" t="s">
        <v>328</v>
      </c>
      <c r="C64" s="12" t="s">
        <v>381</v>
      </c>
      <c r="D64" s="13">
        <v>0.60277777777777775</v>
      </c>
      <c r="E64" s="13">
        <v>0.61527777777777781</v>
      </c>
      <c r="F64" t="s">
        <v>310</v>
      </c>
      <c r="G64" s="12" t="s">
        <v>379</v>
      </c>
      <c r="H64" s="14">
        <v>7.82</v>
      </c>
      <c r="I64" s="15">
        <v>21</v>
      </c>
      <c r="J64" s="15">
        <v>164</v>
      </c>
      <c r="K64" s="14">
        <f t="shared" si="0"/>
        <v>1282.48</v>
      </c>
      <c r="L64">
        <v>63</v>
      </c>
      <c r="N64" s="30" t="s">
        <v>66</v>
      </c>
      <c r="O64" t="s">
        <v>69</v>
      </c>
      <c r="P64">
        <v>21</v>
      </c>
      <c r="Q64" t="s">
        <v>71</v>
      </c>
      <c r="R64">
        <v>21</v>
      </c>
      <c r="S64" t="s">
        <v>67</v>
      </c>
      <c r="W64" s="18" t="s">
        <v>130</v>
      </c>
      <c r="X64" s="2" t="s">
        <v>145</v>
      </c>
      <c r="Y64" s="3">
        <v>20.180604800000001</v>
      </c>
      <c r="Z64" s="3">
        <v>2.5806399999999998</v>
      </c>
      <c r="AA64" s="3">
        <f t="shared" si="1"/>
        <v>3309.6191872000004</v>
      </c>
      <c r="AB64" s="20" t="s">
        <v>307</v>
      </c>
    </row>
    <row r="65" spans="1:28" ht="15" customHeight="1" x14ac:dyDescent="0.25">
      <c r="A65" s="12" t="s">
        <v>377</v>
      </c>
      <c r="B65" s="12" t="s">
        <v>330</v>
      </c>
      <c r="C65" s="12" t="s">
        <v>333</v>
      </c>
      <c r="D65" s="13">
        <v>0.63124999999999998</v>
      </c>
      <c r="E65" s="13">
        <v>0.64375000000000004</v>
      </c>
      <c r="F65" t="s">
        <v>313</v>
      </c>
      <c r="G65" s="12" t="s">
        <v>379</v>
      </c>
      <c r="H65" s="14">
        <v>7.67</v>
      </c>
      <c r="I65" s="15">
        <v>19</v>
      </c>
      <c r="J65" s="15">
        <v>164</v>
      </c>
      <c r="K65" s="14">
        <f t="shared" si="0"/>
        <v>1257.8799999999999</v>
      </c>
      <c r="L65">
        <v>64</v>
      </c>
      <c r="N65" s="30" t="s">
        <v>43</v>
      </c>
      <c r="O65" t="s">
        <v>44</v>
      </c>
      <c r="P65">
        <v>23</v>
      </c>
      <c r="Q65" t="s">
        <v>46</v>
      </c>
      <c r="R65">
        <v>21</v>
      </c>
      <c r="W65" s="18" t="s">
        <v>130</v>
      </c>
      <c r="X65" s="2" t="s">
        <v>145</v>
      </c>
      <c r="Y65" s="3">
        <v>19.793508800000001</v>
      </c>
      <c r="Z65" s="3">
        <v>2.5806399999999998</v>
      </c>
      <c r="AA65" s="3">
        <f t="shared" si="1"/>
        <v>3246.1354432000003</v>
      </c>
      <c r="AB65" s="20" t="s">
        <v>307</v>
      </c>
    </row>
    <row r="66" spans="1:28" ht="15" customHeight="1" x14ac:dyDescent="0.25">
      <c r="A66" s="12" t="s">
        <v>377</v>
      </c>
      <c r="B66" s="12" t="s">
        <v>332</v>
      </c>
      <c r="C66" s="12" t="s">
        <v>335</v>
      </c>
      <c r="D66" s="13">
        <v>0.64375000000000004</v>
      </c>
      <c r="E66" s="13">
        <v>0.65902777777777777</v>
      </c>
      <c r="F66" t="s">
        <v>310</v>
      </c>
      <c r="G66" s="12" t="s">
        <v>379</v>
      </c>
      <c r="H66" s="14">
        <v>9.01</v>
      </c>
      <c r="I66" s="15">
        <v>19</v>
      </c>
      <c r="J66" s="15">
        <v>164</v>
      </c>
      <c r="K66" s="14">
        <f t="shared" si="0"/>
        <v>1477.6399999999999</v>
      </c>
      <c r="L66">
        <v>65</v>
      </c>
      <c r="N66" s="30" t="s">
        <v>43</v>
      </c>
      <c r="O66" t="s">
        <v>44</v>
      </c>
      <c r="P66">
        <v>23</v>
      </c>
      <c r="Q66" t="s">
        <v>46</v>
      </c>
      <c r="R66">
        <v>21</v>
      </c>
      <c r="W66" s="18" t="s">
        <v>130</v>
      </c>
      <c r="X66" s="2" t="s">
        <v>145</v>
      </c>
      <c r="Y66" s="3">
        <v>23.251566400000002</v>
      </c>
      <c r="Z66" s="3">
        <v>2.5806399999999998</v>
      </c>
      <c r="AA66" s="3">
        <f t="shared" si="1"/>
        <v>3813.2568896000002</v>
      </c>
      <c r="AB66" s="20" t="s">
        <v>307</v>
      </c>
    </row>
    <row r="67" spans="1:28" ht="15" customHeight="1" x14ac:dyDescent="0.25">
      <c r="A67" s="12" t="s">
        <v>377</v>
      </c>
      <c r="B67" s="12" t="s">
        <v>334</v>
      </c>
      <c r="C67" s="12" t="s">
        <v>337</v>
      </c>
      <c r="D67" s="13">
        <v>0.65902777777777777</v>
      </c>
      <c r="E67" s="13">
        <v>0.66666666666666663</v>
      </c>
      <c r="F67" t="s">
        <v>338</v>
      </c>
      <c r="G67" s="12" t="s">
        <v>379</v>
      </c>
      <c r="H67" s="14">
        <v>3.76</v>
      </c>
      <c r="I67" s="15">
        <v>19</v>
      </c>
      <c r="J67" s="15">
        <v>164</v>
      </c>
      <c r="K67" s="14">
        <f t="shared" ref="K67:K108" si="2">J67*H67</f>
        <v>616.64</v>
      </c>
      <c r="L67">
        <v>66</v>
      </c>
      <c r="N67" s="30" t="s">
        <v>43</v>
      </c>
      <c r="O67" t="s">
        <v>44</v>
      </c>
      <c r="P67">
        <v>23</v>
      </c>
      <c r="Q67" t="s">
        <v>46</v>
      </c>
      <c r="R67">
        <v>21</v>
      </c>
      <c r="W67" s="18" t="s">
        <v>130</v>
      </c>
      <c r="X67" s="2" t="s">
        <v>145</v>
      </c>
      <c r="Y67" s="3">
        <v>9.7032063999999991</v>
      </c>
      <c r="Z67" s="3">
        <v>2.5806399999999998</v>
      </c>
      <c r="AA67" s="3">
        <f t="shared" ref="AA67:AA107" si="3">Y67*J67</f>
        <v>1591.3258495999999</v>
      </c>
      <c r="AB67" s="20" t="s">
        <v>307</v>
      </c>
    </row>
    <row r="68" spans="1:28" ht="15" customHeight="1" x14ac:dyDescent="0.25">
      <c r="A68" s="12" t="s">
        <v>377</v>
      </c>
      <c r="B68" s="12" t="s">
        <v>336</v>
      </c>
      <c r="C68" s="12" t="s">
        <v>340</v>
      </c>
      <c r="D68" s="13">
        <v>0.66666666666666663</v>
      </c>
      <c r="E68" s="13">
        <v>0.67222222222222228</v>
      </c>
      <c r="F68" t="s">
        <v>341</v>
      </c>
      <c r="G68" s="12" t="s">
        <v>379</v>
      </c>
      <c r="H68" s="14">
        <v>2.76</v>
      </c>
      <c r="I68" s="15">
        <v>19</v>
      </c>
      <c r="J68" s="15">
        <v>164</v>
      </c>
      <c r="K68" s="14">
        <f t="shared" si="2"/>
        <v>452.64</v>
      </c>
      <c r="L68">
        <v>67</v>
      </c>
      <c r="N68" s="30" t="s">
        <v>43</v>
      </c>
      <c r="O68" t="s">
        <v>44</v>
      </c>
      <c r="P68">
        <v>23</v>
      </c>
      <c r="Q68" t="s">
        <v>46</v>
      </c>
      <c r="R68">
        <v>21</v>
      </c>
      <c r="W68" s="18" t="s">
        <v>130</v>
      </c>
      <c r="X68" s="2" t="s">
        <v>145</v>
      </c>
      <c r="Y68" s="3">
        <v>7.1225663999999993</v>
      </c>
      <c r="Z68" s="3">
        <v>2.5806399999999998</v>
      </c>
      <c r="AA68" s="3">
        <f t="shared" si="3"/>
        <v>1168.1008895999998</v>
      </c>
      <c r="AB68" s="20" t="s">
        <v>307</v>
      </c>
    </row>
    <row r="69" spans="1:28" ht="15" customHeight="1" x14ac:dyDescent="0.25">
      <c r="A69" s="12" t="s">
        <v>377</v>
      </c>
      <c r="B69" s="12" t="s">
        <v>339</v>
      </c>
      <c r="C69" s="12" t="s">
        <v>342</v>
      </c>
      <c r="D69" s="13">
        <v>0.67291666666666672</v>
      </c>
      <c r="E69" s="13">
        <v>0.68541666666666667</v>
      </c>
      <c r="F69" t="s">
        <v>313</v>
      </c>
      <c r="G69" s="12" t="s">
        <v>379</v>
      </c>
      <c r="H69" s="14">
        <v>7.67</v>
      </c>
      <c r="I69" s="15">
        <v>19</v>
      </c>
      <c r="J69" s="15">
        <v>164</v>
      </c>
      <c r="K69" s="14">
        <f t="shared" si="2"/>
        <v>1257.8799999999999</v>
      </c>
      <c r="L69">
        <v>68</v>
      </c>
      <c r="N69" s="30" t="s">
        <v>43</v>
      </c>
      <c r="O69" t="s">
        <v>44</v>
      </c>
      <c r="P69">
        <v>23</v>
      </c>
      <c r="Q69" t="s">
        <v>46</v>
      </c>
      <c r="R69">
        <v>21</v>
      </c>
      <c r="W69" s="18" t="s">
        <v>130</v>
      </c>
      <c r="X69" s="2" t="s">
        <v>145</v>
      </c>
      <c r="Y69" s="3">
        <v>19.793508800000001</v>
      </c>
      <c r="Z69" s="3">
        <v>2.5806399999999998</v>
      </c>
      <c r="AA69" s="3">
        <f t="shared" si="3"/>
        <v>3246.1354432000003</v>
      </c>
      <c r="AB69" s="20" t="s">
        <v>307</v>
      </c>
    </row>
    <row r="70" spans="1:28" ht="15" customHeight="1" x14ac:dyDescent="0.25">
      <c r="A70" s="12" t="s">
        <v>377</v>
      </c>
      <c r="B70" s="12" t="s">
        <v>280</v>
      </c>
      <c r="C70" s="12" t="s">
        <v>344</v>
      </c>
      <c r="D70" s="13">
        <v>0.68541666666666667</v>
      </c>
      <c r="E70" s="13">
        <v>0.7006944444444444</v>
      </c>
      <c r="F70" t="s">
        <v>310</v>
      </c>
      <c r="G70" s="12" t="s">
        <v>379</v>
      </c>
      <c r="H70" s="14">
        <v>9.01</v>
      </c>
      <c r="I70" s="15">
        <v>19</v>
      </c>
      <c r="J70" s="15">
        <v>164</v>
      </c>
      <c r="K70" s="14">
        <f t="shared" si="2"/>
        <v>1477.6399999999999</v>
      </c>
      <c r="L70">
        <v>69</v>
      </c>
      <c r="N70" s="30" t="s">
        <v>43</v>
      </c>
      <c r="O70" t="s">
        <v>44</v>
      </c>
      <c r="P70">
        <v>23</v>
      </c>
      <c r="Q70" t="s">
        <v>46</v>
      </c>
      <c r="R70">
        <v>21</v>
      </c>
      <c r="W70" s="18" t="s">
        <v>130</v>
      </c>
      <c r="X70" s="2" t="s">
        <v>145</v>
      </c>
      <c r="Y70" s="3">
        <v>23.251566400000002</v>
      </c>
      <c r="Z70" s="3">
        <v>2.5806399999999998</v>
      </c>
      <c r="AA70" s="3">
        <f t="shared" si="3"/>
        <v>3813.2568896000002</v>
      </c>
      <c r="AB70" s="20" t="s">
        <v>307</v>
      </c>
    </row>
    <row r="71" spans="1:28" ht="15" customHeight="1" x14ac:dyDescent="0.25">
      <c r="A71" s="12" t="s">
        <v>377</v>
      </c>
      <c r="B71" s="12" t="s">
        <v>343</v>
      </c>
      <c r="C71" s="12" t="s">
        <v>346</v>
      </c>
      <c r="D71" s="13">
        <v>0.71458333333333335</v>
      </c>
      <c r="E71" s="13">
        <v>0.7270833333333333</v>
      </c>
      <c r="F71" t="s">
        <v>313</v>
      </c>
      <c r="G71" s="12" t="s">
        <v>379</v>
      </c>
      <c r="H71" s="14">
        <v>7.67</v>
      </c>
      <c r="I71" s="15">
        <v>19</v>
      </c>
      <c r="J71" s="15">
        <v>164</v>
      </c>
      <c r="K71" s="14">
        <f t="shared" si="2"/>
        <v>1257.8799999999999</v>
      </c>
      <c r="L71">
        <v>70</v>
      </c>
      <c r="N71" s="30" t="s">
        <v>43</v>
      </c>
      <c r="O71" t="s">
        <v>44</v>
      </c>
      <c r="P71">
        <v>23</v>
      </c>
      <c r="Q71" t="s">
        <v>46</v>
      </c>
      <c r="R71">
        <v>21</v>
      </c>
      <c r="W71" s="18" t="s">
        <v>130</v>
      </c>
      <c r="X71" s="2" t="s">
        <v>145</v>
      </c>
      <c r="Y71" s="3">
        <v>19.793508800000001</v>
      </c>
      <c r="Z71" s="3">
        <v>2.5806399999999998</v>
      </c>
      <c r="AA71" s="3">
        <f t="shared" si="3"/>
        <v>3246.1354432000003</v>
      </c>
      <c r="AB71" s="20" t="s">
        <v>307</v>
      </c>
    </row>
    <row r="72" spans="1:28" ht="15" customHeight="1" x14ac:dyDescent="0.25">
      <c r="A72" s="12" t="s">
        <v>377</v>
      </c>
      <c r="B72" s="12" t="s">
        <v>345</v>
      </c>
      <c r="C72" s="12" t="s">
        <v>348</v>
      </c>
      <c r="D72" s="13">
        <v>0.7270833333333333</v>
      </c>
      <c r="E72" s="13">
        <v>0.74236111111111114</v>
      </c>
      <c r="F72" t="s">
        <v>310</v>
      </c>
      <c r="G72" s="12" t="s">
        <v>379</v>
      </c>
      <c r="H72" s="14">
        <v>9.01</v>
      </c>
      <c r="I72" s="15">
        <v>19</v>
      </c>
      <c r="J72" s="15">
        <v>164</v>
      </c>
      <c r="K72" s="14">
        <f t="shared" si="2"/>
        <v>1477.6399999999999</v>
      </c>
      <c r="L72">
        <v>71</v>
      </c>
      <c r="N72" s="30" t="s">
        <v>43</v>
      </c>
      <c r="O72" t="s">
        <v>44</v>
      </c>
      <c r="P72">
        <v>23</v>
      </c>
      <c r="Q72" t="s">
        <v>46</v>
      </c>
      <c r="R72">
        <v>21</v>
      </c>
      <c r="W72" s="18" t="s">
        <v>130</v>
      </c>
      <c r="X72" s="2" t="s">
        <v>145</v>
      </c>
      <c r="Y72" s="3">
        <v>23.251566400000002</v>
      </c>
      <c r="Z72" s="3">
        <v>2.5806399999999998</v>
      </c>
      <c r="AA72" s="3">
        <f t="shared" si="3"/>
        <v>3813.2568896000002</v>
      </c>
      <c r="AB72" s="20" t="s">
        <v>307</v>
      </c>
    </row>
    <row r="73" spans="1:28" ht="15" customHeight="1" x14ac:dyDescent="0.25">
      <c r="A73" s="12" t="s">
        <v>377</v>
      </c>
      <c r="B73" s="12" t="s">
        <v>347</v>
      </c>
      <c r="C73" s="12" t="s">
        <v>350</v>
      </c>
      <c r="D73" s="13">
        <v>0.77708333333333335</v>
      </c>
      <c r="E73" s="13">
        <v>0.78472222222222221</v>
      </c>
      <c r="F73" t="s">
        <v>338</v>
      </c>
      <c r="G73" s="12" t="s">
        <v>379</v>
      </c>
      <c r="H73" s="14">
        <v>3.76</v>
      </c>
      <c r="I73" s="15">
        <v>19</v>
      </c>
      <c r="J73" s="15">
        <v>164</v>
      </c>
      <c r="K73" s="14">
        <f t="shared" si="2"/>
        <v>616.64</v>
      </c>
      <c r="L73">
        <v>72</v>
      </c>
      <c r="N73" s="30" t="s">
        <v>43</v>
      </c>
      <c r="O73" t="s">
        <v>44</v>
      </c>
      <c r="P73">
        <v>23</v>
      </c>
      <c r="Q73" t="s">
        <v>46</v>
      </c>
      <c r="R73">
        <v>21</v>
      </c>
      <c r="W73" s="18" t="s">
        <v>130</v>
      </c>
      <c r="X73" s="2" t="s">
        <v>145</v>
      </c>
      <c r="Y73" s="3">
        <v>9.7032063999999991</v>
      </c>
      <c r="Z73" s="3">
        <v>2.5806399999999998</v>
      </c>
      <c r="AA73" s="3">
        <f t="shared" si="3"/>
        <v>1591.3258495999999</v>
      </c>
      <c r="AB73" s="20" t="s">
        <v>307</v>
      </c>
    </row>
    <row r="74" spans="1:28" ht="15" customHeight="1" x14ac:dyDescent="0.25">
      <c r="A74" s="12" t="s">
        <v>377</v>
      </c>
      <c r="B74" s="12" t="s">
        <v>349</v>
      </c>
      <c r="C74" s="12" t="s">
        <v>352</v>
      </c>
      <c r="D74" s="13">
        <v>0.78472222222222221</v>
      </c>
      <c r="E74" s="13">
        <v>0.79027777777777775</v>
      </c>
      <c r="F74" t="s">
        <v>341</v>
      </c>
      <c r="G74" s="12" t="s">
        <v>379</v>
      </c>
      <c r="H74" s="14">
        <v>2.76</v>
      </c>
      <c r="I74" s="15">
        <v>19</v>
      </c>
      <c r="J74" s="15">
        <v>164</v>
      </c>
      <c r="K74" s="14">
        <f t="shared" si="2"/>
        <v>452.64</v>
      </c>
      <c r="L74">
        <v>73</v>
      </c>
      <c r="N74" s="30" t="s">
        <v>43</v>
      </c>
      <c r="O74" t="s">
        <v>44</v>
      </c>
      <c r="P74">
        <v>23</v>
      </c>
      <c r="Q74" t="s">
        <v>46</v>
      </c>
      <c r="R74">
        <v>21</v>
      </c>
      <c r="W74" s="18" t="s">
        <v>130</v>
      </c>
      <c r="X74" s="2" t="s">
        <v>145</v>
      </c>
      <c r="Y74" s="3">
        <v>7.1225663999999993</v>
      </c>
      <c r="Z74" s="3">
        <v>2.5806399999999998</v>
      </c>
      <c r="AA74" s="3">
        <f t="shared" si="3"/>
        <v>1168.1008895999998</v>
      </c>
      <c r="AB74" s="20" t="s">
        <v>307</v>
      </c>
    </row>
    <row r="75" spans="1:28" ht="23.25" customHeight="1" x14ac:dyDescent="0.25">
      <c r="A75" s="12" t="s">
        <v>382</v>
      </c>
      <c r="B75" s="12" t="s">
        <v>303</v>
      </c>
      <c r="C75" s="12" t="s">
        <v>383</v>
      </c>
      <c r="D75" s="13">
        <v>0.27708333333333329</v>
      </c>
      <c r="E75" s="13">
        <v>0.28958333333333341</v>
      </c>
      <c r="F75" t="s">
        <v>310</v>
      </c>
      <c r="G75" s="12" t="s">
        <v>384</v>
      </c>
      <c r="H75" s="14">
        <v>7.82</v>
      </c>
      <c r="I75" s="15">
        <v>19</v>
      </c>
      <c r="J75" s="15">
        <v>164</v>
      </c>
      <c r="K75" s="14">
        <f t="shared" si="2"/>
        <v>1282.48</v>
      </c>
      <c r="L75">
        <v>74</v>
      </c>
      <c r="N75" s="30" t="s">
        <v>43</v>
      </c>
      <c r="O75" t="s">
        <v>44</v>
      </c>
      <c r="P75">
        <v>23</v>
      </c>
      <c r="Q75" t="s">
        <v>46</v>
      </c>
      <c r="R75">
        <v>21</v>
      </c>
      <c r="W75" s="18" t="s">
        <v>130</v>
      </c>
      <c r="X75" t="s">
        <v>145</v>
      </c>
      <c r="Y75" s="3">
        <v>20.180604800000001</v>
      </c>
      <c r="Z75" s="3">
        <v>2.5806399999999998</v>
      </c>
      <c r="AA75" s="3">
        <f t="shared" si="3"/>
        <v>3309.6191872000004</v>
      </c>
      <c r="AB75" s="20" t="s">
        <v>307</v>
      </c>
    </row>
    <row r="76" spans="1:28" ht="23.25" customHeight="1" x14ac:dyDescent="0.25">
      <c r="A76" s="12" t="s">
        <v>382</v>
      </c>
      <c r="B76" s="12" t="s">
        <v>308</v>
      </c>
      <c r="C76" s="12" t="s">
        <v>357</v>
      </c>
      <c r="D76" s="13">
        <v>0.30138888888888887</v>
      </c>
      <c r="E76" s="13">
        <v>0.31041666666666667</v>
      </c>
      <c r="F76" t="s">
        <v>359</v>
      </c>
      <c r="G76" s="12" t="s">
        <v>384</v>
      </c>
      <c r="H76" s="14">
        <v>5.76</v>
      </c>
      <c r="I76" s="15">
        <v>19</v>
      </c>
      <c r="J76" s="15">
        <v>164</v>
      </c>
      <c r="K76" s="14">
        <f t="shared" si="2"/>
        <v>944.64</v>
      </c>
      <c r="L76">
        <v>75</v>
      </c>
      <c r="N76" s="30" t="s">
        <v>43</v>
      </c>
      <c r="O76" t="s">
        <v>44</v>
      </c>
      <c r="P76">
        <v>23</v>
      </c>
      <c r="Q76" t="s">
        <v>46</v>
      </c>
      <c r="R76">
        <v>21</v>
      </c>
      <c r="W76" s="18" t="s">
        <v>130</v>
      </c>
      <c r="X76" t="s">
        <v>145</v>
      </c>
      <c r="Y76" s="3">
        <v>14.864486400000001</v>
      </c>
      <c r="Z76" s="3">
        <v>2.5806399999999998</v>
      </c>
      <c r="AA76" s="3">
        <f t="shared" si="3"/>
        <v>2437.7757695999999</v>
      </c>
      <c r="AB76" s="20" t="s">
        <v>307</v>
      </c>
    </row>
    <row r="77" spans="1:28" ht="23.25" customHeight="1" x14ac:dyDescent="0.25">
      <c r="A77" s="12" t="s">
        <v>382</v>
      </c>
      <c r="B77" s="12" t="s">
        <v>311</v>
      </c>
      <c r="C77" s="12" t="s">
        <v>361</v>
      </c>
      <c r="D77" s="13">
        <v>0.31041666666666667</v>
      </c>
      <c r="E77" s="13">
        <v>0.3125</v>
      </c>
      <c r="F77" t="s">
        <v>362</v>
      </c>
      <c r="G77" s="12" t="s">
        <v>384</v>
      </c>
      <c r="H77" s="14">
        <v>1.76</v>
      </c>
      <c r="I77" s="15">
        <v>19</v>
      </c>
      <c r="J77" s="15">
        <v>164</v>
      </c>
      <c r="K77" s="14">
        <f t="shared" si="2"/>
        <v>288.64</v>
      </c>
      <c r="L77">
        <v>76</v>
      </c>
      <c r="N77" s="30" t="s">
        <v>43</v>
      </c>
      <c r="O77" t="s">
        <v>44</v>
      </c>
      <c r="P77">
        <v>23</v>
      </c>
      <c r="Q77" t="s">
        <v>46</v>
      </c>
      <c r="R77">
        <v>21</v>
      </c>
      <c r="W77" s="18" t="s">
        <v>130</v>
      </c>
      <c r="X77" t="s">
        <v>145</v>
      </c>
      <c r="Y77" s="3">
        <v>4.5419263999999986</v>
      </c>
      <c r="Z77" s="3">
        <v>2.5806399999999998</v>
      </c>
      <c r="AA77" s="3">
        <f t="shared" si="3"/>
        <v>744.87592959999972</v>
      </c>
      <c r="AB77" s="20" t="s">
        <v>307</v>
      </c>
    </row>
    <row r="78" spans="1:28" ht="23.25" customHeight="1" x14ac:dyDescent="0.25">
      <c r="A78" s="12" t="s">
        <v>382</v>
      </c>
      <c r="B78" s="12" t="s">
        <v>314</v>
      </c>
      <c r="C78" s="12" t="s">
        <v>363</v>
      </c>
      <c r="D78" s="13">
        <v>0.31319444444444439</v>
      </c>
      <c r="E78" s="13">
        <v>0.31666666666666671</v>
      </c>
      <c r="F78" t="s">
        <v>364</v>
      </c>
      <c r="G78" s="12" t="s">
        <v>384</v>
      </c>
      <c r="H78" s="14">
        <v>2.2200000000000002</v>
      </c>
      <c r="I78" s="15">
        <v>19</v>
      </c>
      <c r="J78" s="15">
        <v>164</v>
      </c>
      <c r="K78" s="14">
        <f t="shared" si="2"/>
        <v>364.08000000000004</v>
      </c>
      <c r="L78">
        <v>77</v>
      </c>
      <c r="N78" s="30" t="s">
        <v>43</v>
      </c>
      <c r="O78" t="s">
        <v>44</v>
      </c>
      <c r="P78">
        <v>23</v>
      </c>
      <c r="Q78" t="s">
        <v>46</v>
      </c>
      <c r="R78">
        <v>21</v>
      </c>
      <c r="W78" s="18" t="s">
        <v>130</v>
      </c>
      <c r="X78" t="s">
        <v>145</v>
      </c>
      <c r="Y78" s="3">
        <v>5.7290207999999998</v>
      </c>
      <c r="Z78" s="3">
        <v>2.5806399999999998</v>
      </c>
      <c r="AA78" s="3">
        <f t="shared" si="3"/>
        <v>939.5594112</v>
      </c>
      <c r="AB78" s="20" t="s">
        <v>307</v>
      </c>
    </row>
    <row r="79" spans="1:28" ht="23.25" customHeight="1" x14ac:dyDescent="0.25">
      <c r="A79" s="12" t="s">
        <v>382</v>
      </c>
      <c r="B79" s="12" t="s">
        <v>316</v>
      </c>
      <c r="C79" s="12" t="s">
        <v>365</v>
      </c>
      <c r="D79" s="13">
        <v>0.35208333333333341</v>
      </c>
      <c r="E79" s="13">
        <v>0.35416666666666669</v>
      </c>
      <c r="F79" t="s">
        <v>362</v>
      </c>
      <c r="G79" s="12" t="s">
        <v>384</v>
      </c>
      <c r="H79" s="14">
        <v>1.76</v>
      </c>
      <c r="I79" s="15">
        <v>19</v>
      </c>
      <c r="J79" s="15">
        <v>164</v>
      </c>
      <c r="K79" s="14">
        <f t="shared" si="2"/>
        <v>288.64</v>
      </c>
      <c r="L79">
        <v>78</v>
      </c>
      <c r="N79" s="30" t="s">
        <v>43</v>
      </c>
      <c r="O79" t="s">
        <v>44</v>
      </c>
      <c r="P79">
        <v>23</v>
      </c>
      <c r="Q79" t="s">
        <v>46</v>
      </c>
      <c r="R79">
        <v>21</v>
      </c>
      <c r="W79" s="18" t="s">
        <v>130</v>
      </c>
      <c r="X79" t="s">
        <v>145</v>
      </c>
      <c r="Y79" s="3">
        <v>4.5419263999999986</v>
      </c>
      <c r="Z79" s="3">
        <v>2.5806399999999998</v>
      </c>
      <c r="AA79" s="3">
        <f t="shared" si="3"/>
        <v>744.87592959999972</v>
      </c>
      <c r="AB79" s="20" t="s">
        <v>307</v>
      </c>
    </row>
    <row r="80" spans="1:28" ht="23.25" customHeight="1" x14ac:dyDescent="0.25">
      <c r="A80" s="12" t="s">
        <v>382</v>
      </c>
      <c r="B80" s="12" t="s">
        <v>318</v>
      </c>
      <c r="C80" s="12" t="s">
        <v>366</v>
      </c>
      <c r="D80" s="13">
        <v>0.35486111111111113</v>
      </c>
      <c r="E80" s="13">
        <v>0.35833333333333328</v>
      </c>
      <c r="F80" t="s">
        <v>364</v>
      </c>
      <c r="G80" s="12" t="s">
        <v>384</v>
      </c>
      <c r="H80" s="14">
        <v>2.2200000000000002</v>
      </c>
      <c r="I80" s="15">
        <v>19</v>
      </c>
      <c r="J80" s="15">
        <v>164</v>
      </c>
      <c r="K80" s="14">
        <f t="shared" si="2"/>
        <v>364.08000000000004</v>
      </c>
      <c r="L80">
        <v>79</v>
      </c>
      <c r="N80" s="30" t="s">
        <v>43</v>
      </c>
      <c r="O80" t="s">
        <v>44</v>
      </c>
      <c r="P80">
        <v>23</v>
      </c>
      <c r="Q80" t="s">
        <v>46</v>
      </c>
      <c r="R80">
        <v>21</v>
      </c>
      <c r="W80" s="18" t="s">
        <v>130</v>
      </c>
      <c r="X80" t="s">
        <v>145</v>
      </c>
      <c r="Y80" s="3">
        <v>5.7290207999999998</v>
      </c>
      <c r="Z80" s="3">
        <v>2.5806399999999998</v>
      </c>
      <c r="AA80" s="3">
        <f t="shared" si="3"/>
        <v>939.5594112</v>
      </c>
      <c r="AB80" s="20" t="s">
        <v>307</v>
      </c>
    </row>
    <row r="81" spans="1:28" ht="23.25" customHeight="1" x14ac:dyDescent="0.25">
      <c r="A81" s="12" t="s">
        <v>382</v>
      </c>
      <c r="B81" s="12" t="s">
        <v>320</v>
      </c>
      <c r="C81" s="12" t="s">
        <v>367</v>
      </c>
      <c r="D81" s="13">
        <v>0.50208333333333333</v>
      </c>
      <c r="E81" s="13">
        <v>0.51111111111111107</v>
      </c>
      <c r="F81" t="s">
        <v>359</v>
      </c>
      <c r="G81" s="12" t="s">
        <v>384</v>
      </c>
      <c r="H81" s="14">
        <v>5.76</v>
      </c>
      <c r="I81" s="15">
        <v>19</v>
      </c>
      <c r="J81" s="15">
        <v>164</v>
      </c>
      <c r="K81" s="14">
        <f t="shared" si="2"/>
        <v>944.64</v>
      </c>
      <c r="L81">
        <v>80</v>
      </c>
      <c r="N81" s="30" t="s">
        <v>43</v>
      </c>
      <c r="O81" t="s">
        <v>44</v>
      </c>
      <c r="P81">
        <v>23</v>
      </c>
      <c r="Q81" t="s">
        <v>46</v>
      </c>
      <c r="R81">
        <v>21</v>
      </c>
      <c r="W81" s="18" t="s">
        <v>130</v>
      </c>
      <c r="X81" t="s">
        <v>145</v>
      </c>
      <c r="Y81" s="3">
        <v>14.864486400000001</v>
      </c>
      <c r="Z81" s="3">
        <v>2.5806399999999998</v>
      </c>
      <c r="AA81" s="3">
        <f t="shared" si="3"/>
        <v>2437.7757695999999</v>
      </c>
      <c r="AB81" s="20" t="s">
        <v>307</v>
      </c>
    </row>
    <row r="82" spans="1:28" ht="23.25" customHeight="1" x14ac:dyDescent="0.25">
      <c r="A82" s="12" t="s">
        <v>382</v>
      </c>
      <c r="B82" s="12" t="s">
        <v>322</v>
      </c>
      <c r="C82" s="12" t="s">
        <v>368</v>
      </c>
      <c r="D82" s="13">
        <v>0.51597222222222228</v>
      </c>
      <c r="E82" s="13">
        <v>0.5180555555555556</v>
      </c>
      <c r="F82" t="s">
        <v>362</v>
      </c>
      <c r="G82" s="12" t="s">
        <v>384</v>
      </c>
      <c r="H82" s="14">
        <v>1.76</v>
      </c>
      <c r="I82" s="15">
        <v>19</v>
      </c>
      <c r="J82" s="15">
        <v>164</v>
      </c>
      <c r="K82" s="14">
        <f t="shared" si="2"/>
        <v>288.64</v>
      </c>
      <c r="L82">
        <v>81</v>
      </c>
      <c r="N82" s="30" t="s">
        <v>43</v>
      </c>
      <c r="O82" t="s">
        <v>44</v>
      </c>
      <c r="P82">
        <v>23</v>
      </c>
      <c r="Q82" t="s">
        <v>46</v>
      </c>
      <c r="R82">
        <v>21</v>
      </c>
      <c r="W82" s="18" t="s">
        <v>130</v>
      </c>
      <c r="X82" t="s">
        <v>145</v>
      </c>
      <c r="Y82" s="3">
        <v>4.5419263999999986</v>
      </c>
      <c r="Z82" s="3">
        <v>2.5806399999999998</v>
      </c>
      <c r="AA82" s="3">
        <f t="shared" si="3"/>
        <v>744.87592959999972</v>
      </c>
      <c r="AB82" s="20" t="s">
        <v>307</v>
      </c>
    </row>
    <row r="83" spans="1:28" ht="23.25" customHeight="1" x14ac:dyDescent="0.25">
      <c r="A83" s="12" t="s">
        <v>382</v>
      </c>
      <c r="B83" s="12" t="s">
        <v>324</v>
      </c>
      <c r="C83" s="12" t="s">
        <v>369</v>
      </c>
      <c r="D83" s="13">
        <v>0.51875000000000004</v>
      </c>
      <c r="E83" s="13">
        <v>0.52222222222222225</v>
      </c>
      <c r="F83" t="s">
        <v>364</v>
      </c>
      <c r="G83" s="12" t="s">
        <v>384</v>
      </c>
      <c r="H83" s="14">
        <v>2.2200000000000002</v>
      </c>
      <c r="I83" s="15">
        <v>19</v>
      </c>
      <c r="J83" s="15">
        <v>164</v>
      </c>
      <c r="K83" s="14">
        <f t="shared" si="2"/>
        <v>364.08000000000004</v>
      </c>
      <c r="L83">
        <v>82</v>
      </c>
      <c r="N83" s="30" t="s">
        <v>43</v>
      </c>
      <c r="O83" t="s">
        <v>44</v>
      </c>
      <c r="P83">
        <v>23</v>
      </c>
      <c r="Q83" t="s">
        <v>46</v>
      </c>
      <c r="R83">
        <v>21</v>
      </c>
      <c r="W83" s="18" t="s">
        <v>130</v>
      </c>
      <c r="X83" t="s">
        <v>145</v>
      </c>
      <c r="Y83" s="3">
        <v>5.7290207999999998</v>
      </c>
      <c r="Z83" s="3">
        <v>2.5806399999999998</v>
      </c>
      <c r="AA83" s="3">
        <f t="shared" si="3"/>
        <v>939.5594112</v>
      </c>
      <c r="AB83" s="20" t="s">
        <v>307</v>
      </c>
    </row>
    <row r="84" spans="1:28" ht="23.25" customHeight="1" x14ac:dyDescent="0.25">
      <c r="A84" s="12" t="s">
        <v>382</v>
      </c>
      <c r="B84" s="12" t="s">
        <v>326</v>
      </c>
      <c r="C84" s="12" t="s">
        <v>370</v>
      </c>
      <c r="D84" s="13">
        <v>0.53263888888888888</v>
      </c>
      <c r="E84" s="13">
        <v>0.54166666666666663</v>
      </c>
      <c r="F84" t="s">
        <v>359</v>
      </c>
      <c r="G84" s="12" t="s">
        <v>384</v>
      </c>
      <c r="H84" s="14">
        <v>5.76</v>
      </c>
      <c r="I84" s="15">
        <v>19</v>
      </c>
      <c r="J84" s="15">
        <v>164</v>
      </c>
      <c r="K84" s="14">
        <f t="shared" si="2"/>
        <v>944.64</v>
      </c>
      <c r="L84">
        <v>83</v>
      </c>
      <c r="N84" s="30" t="s">
        <v>43</v>
      </c>
      <c r="O84" t="s">
        <v>44</v>
      </c>
      <c r="P84">
        <v>23</v>
      </c>
      <c r="Q84" t="s">
        <v>46</v>
      </c>
      <c r="R84">
        <v>21</v>
      </c>
      <c r="W84" s="18" t="s">
        <v>130</v>
      </c>
      <c r="X84" t="s">
        <v>145</v>
      </c>
      <c r="Y84" s="3">
        <v>14.864486400000001</v>
      </c>
      <c r="Z84" s="3">
        <v>2.5806399999999998</v>
      </c>
      <c r="AA84" s="3">
        <f t="shared" si="3"/>
        <v>2437.7757695999999</v>
      </c>
      <c r="AB84" s="20" t="s">
        <v>307</v>
      </c>
    </row>
    <row r="85" spans="1:28" ht="23.25" customHeight="1" x14ac:dyDescent="0.25">
      <c r="A85" s="12" t="s">
        <v>382</v>
      </c>
      <c r="B85" s="12" t="s">
        <v>328</v>
      </c>
      <c r="C85" s="12" t="s">
        <v>385</v>
      </c>
      <c r="D85" s="13">
        <v>0.59305555555555556</v>
      </c>
      <c r="E85" s="13">
        <v>0.59513888888888888</v>
      </c>
      <c r="F85" t="s">
        <v>338</v>
      </c>
      <c r="G85" s="12" t="s">
        <v>384</v>
      </c>
      <c r="H85" s="14">
        <v>2.09</v>
      </c>
      <c r="I85" s="15">
        <v>19</v>
      </c>
      <c r="J85" s="15">
        <v>164</v>
      </c>
      <c r="K85" s="14">
        <f t="shared" si="2"/>
        <v>342.76</v>
      </c>
      <c r="L85">
        <v>84</v>
      </c>
      <c r="N85" s="30" t="s">
        <v>43</v>
      </c>
      <c r="O85" t="s">
        <v>44</v>
      </c>
      <c r="P85">
        <v>23</v>
      </c>
      <c r="Q85" t="s">
        <v>46</v>
      </c>
      <c r="R85">
        <v>21</v>
      </c>
      <c r="W85" s="18" t="s">
        <v>130</v>
      </c>
      <c r="X85" t="s">
        <v>145</v>
      </c>
      <c r="Y85" s="3">
        <v>5.3935375999999993</v>
      </c>
      <c r="Z85" s="3">
        <v>2.5806399999999998</v>
      </c>
      <c r="AA85" s="3">
        <f t="shared" si="3"/>
        <v>884.54016639999986</v>
      </c>
      <c r="AB85" s="20" t="s">
        <v>307</v>
      </c>
    </row>
    <row r="86" spans="1:28" ht="23.25" customHeight="1" x14ac:dyDescent="0.25">
      <c r="A86" s="12" t="s">
        <v>382</v>
      </c>
      <c r="B86" s="12" t="s">
        <v>330</v>
      </c>
      <c r="C86" s="12" t="s">
        <v>386</v>
      </c>
      <c r="D86" s="13">
        <v>0.59513888888888888</v>
      </c>
      <c r="E86" s="13">
        <v>0.60138888888888886</v>
      </c>
      <c r="F86" t="s">
        <v>341</v>
      </c>
      <c r="G86" s="12" t="s">
        <v>384</v>
      </c>
      <c r="H86" s="14">
        <v>3.57</v>
      </c>
      <c r="I86" s="15">
        <v>19</v>
      </c>
      <c r="J86" s="15">
        <v>164</v>
      </c>
      <c r="K86" s="14">
        <f t="shared" si="2"/>
        <v>585.48</v>
      </c>
      <c r="L86">
        <v>85</v>
      </c>
      <c r="N86" s="30" t="s">
        <v>43</v>
      </c>
      <c r="O86" t="s">
        <v>44</v>
      </c>
      <c r="P86">
        <v>23</v>
      </c>
      <c r="Q86" t="s">
        <v>46</v>
      </c>
      <c r="R86">
        <v>21</v>
      </c>
      <c r="W86" s="18" t="s">
        <v>130</v>
      </c>
      <c r="X86" t="s">
        <v>145</v>
      </c>
      <c r="Y86" s="3">
        <v>9.2128847999999994</v>
      </c>
      <c r="Z86" s="3">
        <v>2.5806399999999998</v>
      </c>
      <c r="AA86" s="3">
        <f t="shared" si="3"/>
        <v>1510.9131072</v>
      </c>
      <c r="AB86" s="20" t="s">
        <v>307</v>
      </c>
    </row>
    <row r="87" spans="1:28" ht="23.25" customHeight="1" x14ac:dyDescent="0.25">
      <c r="A87" s="12" t="s">
        <v>382</v>
      </c>
      <c r="B87" s="12" t="s">
        <v>332</v>
      </c>
      <c r="C87" s="12" t="s">
        <v>371</v>
      </c>
      <c r="D87" s="13">
        <v>0.75208333333333333</v>
      </c>
      <c r="E87" s="13">
        <v>0.76111111111111107</v>
      </c>
      <c r="F87" t="s">
        <v>359</v>
      </c>
      <c r="G87" s="12" t="s">
        <v>384</v>
      </c>
      <c r="H87" s="14">
        <v>5.76</v>
      </c>
      <c r="I87" s="15">
        <v>19</v>
      </c>
      <c r="J87" s="15">
        <v>164</v>
      </c>
      <c r="K87" s="14">
        <f t="shared" si="2"/>
        <v>944.64</v>
      </c>
      <c r="L87">
        <v>86</v>
      </c>
      <c r="N87" s="30" t="s">
        <v>43</v>
      </c>
      <c r="O87" t="s">
        <v>44</v>
      </c>
      <c r="P87">
        <v>23</v>
      </c>
      <c r="Q87" t="s">
        <v>46</v>
      </c>
      <c r="R87">
        <v>21</v>
      </c>
      <c r="W87" s="18" t="s">
        <v>130</v>
      </c>
      <c r="X87" t="s">
        <v>145</v>
      </c>
      <c r="Y87" s="3">
        <v>14.864486400000001</v>
      </c>
      <c r="Z87" s="3">
        <v>2.5806399999999998</v>
      </c>
      <c r="AA87" s="3">
        <f t="shared" si="3"/>
        <v>2437.7757695999999</v>
      </c>
      <c r="AB87" s="20" t="s">
        <v>307</v>
      </c>
    </row>
    <row r="88" spans="1:28" ht="23.25" customHeight="1" x14ac:dyDescent="0.25">
      <c r="A88" s="12" t="s">
        <v>382</v>
      </c>
      <c r="B88" s="12" t="s">
        <v>334</v>
      </c>
      <c r="C88" s="12" t="s">
        <v>372</v>
      </c>
      <c r="D88" s="13">
        <v>0.76597222222222228</v>
      </c>
      <c r="E88" s="13">
        <v>0.7680555555555556</v>
      </c>
      <c r="F88" t="s">
        <v>362</v>
      </c>
      <c r="G88" s="12" t="s">
        <v>384</v>
      </c>
      <c r="H88" s="14">
        <v>1.76</v>
      </c>
      <c r="I88" s="15">
        <v>19</v>
      </c>
      <c r="J88" s="15">
        <v>164</v>
      </c>
      <c r="K88" s="14">
        <f t="shared" si="2"/>
        <v>288.64</v>
      </c>
      <c r="L88">
        <v>87</v>
      </c>
      <c r="N88" s="30" t="s">
        <v>43</v>
      </c>
      <c r="O88" t="s">
        <v>44</v>
      </c>
      <c r="P88">
        <v>23</v>
      </c>
      <c r="Q88" t="s">
        <v>46</v>
      </c>
      <c r="R88">
        <v>21</v>
      </c>
      <c r="W88" s="18" t="s">
        <v>130</v>
      </c>
      <c r="X88" t="s">
        <v>145</v>
      </c>
      <c r="Y88" s="3">
        <v>4.5419263999999986</v>
      </c>
      <c r="Z88" s="3">
        <v>2.5806399999999998</v>
      </c>
      <c r="AA88" s="3">
        <f t="shared" si="3"/>
        <v>744.87592959999972</v>
      </c>
      <c r="AB88" s="20" t="s">
        <v>307</v>
      </c>
    </row>
    <row r="89" spans="1:28" ht="23.25" customHeight="1" x14ac:dyDescent="0.25">
      <c r="A89" s="12" t="s">
        <v>382</v>
      </c>
      <c r="B89" s="12" t="s">
        <v>336</v>
      </c>
      <c r="C89" s="12" t="s">
        <v>373</v>
      </c>
      <c r="D89" s="13">
        <v>0.76875000000000004</v>
      </c>
      <c r="E89" s="13">
        <v>0.77222222222222225</v>
      </c>
      <c r="F89" t="s">
        <v>364</v>
      </c>
      <c r="G89" s="12" t="s">
        <v>384</v>
      </c>
      <c r="H89" s="14">
        <v>2.2200000000000002</v>
      </c>
      <c r="I89" s="15">
        <v>19</v>
      </c>
      <c r="J89" s="15">
        <v>164</v>
      </c>
      <c r="K89" s="14">
        <f t="shared" si="2"/>
        <v>364.08000000000004</v>
      </c>
      <c r="L89">
        <v>88</v>
      </c>
      <c r="N89" s="30" t="s">
        <v>43</v>
      </c>
      <c r="O89" t="s">
        <v>44</v>
      </c>
      <c r="P89">
        <v>23</v>
      </c>
      <c r="Q89" t="s">
        <v>46</v>
      </c>
      <c r="R89">
        <v>21</v>
      </c>
      <c r="W89" s="18" t="s">
        <v>130</v>
      </c>
      <c r="X89" t="s">
        <v>145</v>
      </c>
      <c r="Y89" s="3">
        <v>5.7290207999999998</v>
      </c>
      <c r="Z89" s="3">
        <v>2.5806399999999998</v>
      </c>
      <c r="AA89" s="3">
        <f t="shared" si="3"/>
        <v>939.5594112</v>
      </c>
      <c r="AB89" s="20" t="s">
        <v>307</v>
      </c>
    </row>
    <row r="90" spans="1:28" ht="38.25" customHeight="1" x14ac:dyDescent="0.25">
      <c r="A90" s="12" t="s">
        <v>387</v>
      </c>
      <c r="B90" s="12" t="s">
        <v>303</v>
      </c>
      <c r="C90" s="12" t="s">
        <v>378</v>
      </c>
      <c r="D90" s="13">
        <v>0.27430555555555558</v>
      </c>
      <c r="E90" s="13">
        <v>0.28958333333333341</v>
      </c>
      <c r="F90" t="s">
        <v>310</v>
      </c>
      <c r="G90" s="12" t="s">
        <v>388</v>
      </c>
      <c r="H90" s="14">
        <v>9.76</v>
      </c>
      <c r="I90" s="15">
        <v>21</v>
      </c>
      <c r="J90" s="15">
        <v>34</v>
      </c>
      <c r="K90" s="14">
        <f t="shared" si="2"/>
        <v>331.84</v>
      </c>
      <c r="L90">
        <v>89</v>
      </c>
      <c r="N90" s="30" t="s">
        <v>66</v>
      </c>
      <c r="O90" t="s">
        <v>69</v>
      </c>
      <c r="P90">
        <v>21</v>
      </c>
      <c r="Q90" t="s">
        <v>71</v>
      </c>
      <c r="R90">
        <v>21</v>
      </c>
      <c r="S90" t="s">
        <v>67</v>
      </c>
      <c r="W90" s="18" t="s">
        <v>130</v>
      </c>
      <c r="X90" s="2" t="s">
        <v>149</v>
      </c>
      <c r="Y90" s="3">
        <v>25.1870464</v>
      </c>
      <c r="Z90" s="3">
        <v>2.5806399999999998</v>
      </c>
      <c r="AA90" s="3">
        <f t="shared" si="3"/>
        <v>856.35957759999997</v>
      </c>
      <c r="AB90" s="20" t="s">
        <v>307</v>
      </c>
    </row>
    <row r="91" spans="1:28" ht="15" customHeight="1" x14ac:dyDescent="0.25">
      <c r="A91" s="12" t="s">
        <v>387</v>
      </c>
      <c r="B91" s="12" t="s">
        <v>308</v>
      </c>
      <c r="C91" s="12" t="s">
        <v>312</v>
      </c>
      <c r="D91" s="13">
        <v>0.31805555555555548</v>
      </c>
      <c r="E91" s="13">
        <v>0.33055555555555549</v>
      </c>
      <c r="F91" t="s">
        <v>313</v>
      </c>
      <c r="G91" s="12" t="s">
        <v>388</v>
      </c>
      <c r="H91" s="14">
        <v>7.67</v>
      </c>
      <c r="I91" s="15">
        <v>19</v>
      </c>
      <c r="J91" s="15">
        <v>34</v>
      </c>
      <c r="K91" s="14">
        <f t="shared" si="2"/>
        <v>260.77999999999997</v>
      </c>
      <c r="L91">
        <v>90</v>
      </c>
      <c r="N91" s="30" t="s">
        <v>43</v>
      </c>
      <c r="O91" t="s">
        <v>44</v>
      </c>
      <c r="P91">
        <v>23</v>
      </c>
      <c r="Q91" t="s">
        <v>46</v>
      </c>
      <c r="R91">
        <v>21</v>
      </c>
      <c r="W91" s="18" t="s">
        <v>130</v>
      </c>
      <c r="X91" s="2" t="s">
        <v>149</v>
      </c>
      <c r="Y91" s="3">
        <v>19.793508800000001</v>
      </c>
      <c r="Z91" s="3">
        <v>2.5806399999999998</v>
      </c>
      <c r="AA91" s="3">
        <f t="shared" si="3"/>
        <v>672.97929920000001</v>
      </c>
      <c r="AB91" s="20" t="s">
        <v>307</v>
      </c>
    </row>
    <row r="92" spans="1:28" ht="15" customHeight="1" x14ac:dyDescent="0.25">
      <c r="A92" s="12" t="s">
        <v>387</v>
      </c>
      <c r="B92" s="12" t="s">
        <v>311</v>
      </c>
      <c r="C92" s="12" t="s">
        <v>315</v>
      </c>
      <c r="D92" s="13">
        <v>0.33541666666666659</v>
      </c>
      <c r="E92" s="13">
        <v>0.35069444444444442</v>
      </c>
      <c r="F92" t="s">
        <v>310</v>
      </c>
      <c r="G92" s="12" t="s">
        <v>388</v>
      </c>
      <c r="H92" s="14">
        <v>9.01</v>
      </c>
      <c r="I92" s="15">
        <v>19</v>
      </c>
      <c r="J92" s="15">
        <v>34</v>
      </c>
      <c r="K92" s="14">
        <f t="shared" si="2"/>
        <v>306.33999999999997</v>
      </c>
      <c r="L92">
        <v>91</v>
      </c>
      <c r="N92" s="30" t="s">
        <v>43</v>
      </c>
      <c r="O92" t="s">
        <v>44</v>
      </c>
      <c r="P92">
        <v>23</v>
      </c>
      <c r="Q92" t="s">
        <v>46</v>
      </c>
      <c r="R92">
        <v>21</v>
      </c>
      <c r="W92" s="18" t="s">
        <v>130</v>
      </c>
      <c r="X92" s="2" t="s">
        <v>149</v>
      </c>
      <c r="Y92" s="3">
        <v>23.251566400000002</v>
      </c>
      <c r="Z92" s="3">
        <v>2.5806399999999998</v>
      </c>
      <c r="AA92" s="3">
        <f t="shared" si="3"/>
        <v>790.55325760000005</v>
      </c>
      <c r="AB92" s="20" t="s">
        <v>307</v>
      </c>
    </row>
    <row r="93" spans="1:28" ht="15" customHeight="1" x14ac:dyDescent="0.25">
      <c r="A93" s="12" t="s">
        <v>387</v>
      </c>
      <c r="B93" s="12" t="s">
        <v>314</v>
      </c>
      <c r="C93" s="12" t="s">
        <v>317</v>
      </c>
      <c r="D93" s="13">
        <v>0.35972222222222222</v>
      </c>
      <c r="E93" s="13">
        <v>0.37222222222222218</v>
      </c>
      <c r="F93" t="s">
        <v>313</v>
      </c>
      <c r="G93" s="12" t="s">
        <v>388</v>
      </c>
      <c r="H93" s="14">
        <v>7.67</v>
      </c>
      <c r="I93" s="15">
        <v>19</v>
      </c>
      <c r="J93" s="15">
        <v>34</v>
      </c>
      <c r="K93" s="14">
        <f t="shared" si="2"/>
        <v>260.77999999999997</v>
      </c>
      <c r="L93">
        <v>92</v>
      </c>
      <c r="N93" s="30" t="s">
        <v>43</v>
      </c>
      <c r="O93" t="s">
        <v>44</v>
      </c>
      <c r="P93">
        <v>23</v>
      </c>
      <c r="Q93" t="s">
        <v>46</v>
      </c>
      <c r="R93">
        <v>21</v>
      </c>
      <c r="W93" s="18" t="s">
        <v>130</v>
      </c>
      <c r="X93" s="2" t="s">
        <v>149</v>
      </c>
      <c r="Y93" s="3">
        <v>19.793508800000001</v>
      </c>
      <c r="Z93" s="3">
        <v>2.5806399999999998</v>
      </c>
      <c r="AA93" s="3">
        <f t="shared" si="3"/>
        <v>672.97929920000001</v>
      </c>
      <c r="AB93" s="20" t="s">
        <v>307</v>
      </c>
    </row>
    <row r="94" spans="1:28" ht="15" customHeight="1" x14ac:dyDescent="0.25">
      <c r="A94" s="12" t="s">
        <v>387</v>
      </c>
      <c r="B94" s="12" t="s">
        <v>316</v>
      </c>
      <c r="C94" s="12" t="s">
        <v>319</v>
      </c>
      <c r="D94" s="13">
        <v>0.37708333333333333</v>
      </c>
      <c r="E94" s="13">
        <v>0.3923611111111111</v>
      </c>
      <c r="F94" t="s">
        <v>310</v>
      </c>
      <c r="G94" s="12" t="s">
        <v>388</v>
      </c>
      <c r="H94" s="14">
        <v>9.01</v>
      </c>
      <c r="I94" s="15">
        <v>19</v>
      </c>
      <c r="J94" s="15">
        <v>34</v>
      </c>
      <c r="K94" s="14">
        <f t="shared" si="2"/>
        <v>306.33999999999997</v>
      </c>
      <c r="L94">
        <v>93</v>
      </c>
      <c r="N94" s="30" t="s">
        <v>43</v>
      </c>
      <c r="O94" t="s">
        <v>44</v>
      </c>
      <c r="P94">
        <v>23</v>
      </c>
      <c r="Q94" t="s">
        <v>46</v>
      </c>
      <c r="R94">
        <v>21</v>
      </c>
      <c r="W94" s="18" t="s">
        <v>130</v>
      </c>
      <c r="X94" s="2" t="s">
        <v>149</v>
      </c>
      <c r="Y94" s="3">
        <v>23.251566400000002</v>
      </c>
      <c r="Z94" s="3">
        <v>2.5806399999999998</v>
      </c>
      <c r="AA94" s="3">
        <f t="shared" si="3"/>
        <v>790.55325760000005</v>
      </c>
      <c r="AB94" s="20" t="s">
        <v>307</v>
      </c>
    </row>
    <row r="95" spans="1:28" ht="15" customHeight="1" x14ac:dyDescent="0.25">
      <c r="A95" s="12" t="s">
        <v>387</v>
      </c>
      <c r="B95" s="12" t="s">
        <v>318</v>
      </c>
      <c r="C95" s="12" t="s">
        <v>321</v>
      </c>
      <c r="D95" s="13">
        <v>0.46458333333333329</v>
      </c>
      <c r="E95" s="13">
        <v>0.47708333333333341</v>
      </c>
      <c r="F95" t="s">
        <v>313</v>
      </c>
      <c r="G95" s="12" t="s">
        <v>388</v>
      </c>
      <c r="H95" s="14">
        <v>7.67</v>
      </c>
      <c r="I95" s="15">
        <v>19</v>
      </c>
      <c r="J95" s="15">
        <v>34</v>
      </c>
      <c r="K95" s="14">
        <f t="shared" si="2"/>
        <v>260.77999999999997</v>
      </c>
      <c r="L95">
        <v>94</v>
      </c>
      <c r="N95" s="30" t="s">
        <v>43</v>
      </c>
      <c r="O95" t="s">
        <v>44</v>
      </c>
      <c r="P95">
        <v>23</v>
      </c>
      <c r="Q95" t="s">
        <v>46</v>
      </c>
      <c r="R95">
        <v>21</v>
      </c>
      <c r="W95" s="18" t="s">
        <v>130</v>
      </c>
      <c r="X95" s="2" t="s">
        <v>149</v>
      </c>
      <c r="Y95" s="3">
        <v>19.793508800000001</v>
      </c>
      <c r="Z95" s="3">
        <v>2.5806399999999998</v>
      </c>
      <c r="AA95" s="3">
        <f t="shared" si="3"/>
        <v>672.97929920000001</v>
      </c>
      <c r="AB95" s="20" t="s">
        <v>307</v>
      </c>
    </row>
    <row r="96" spans="1:28" ht="15" customHeight="1" x14ac:dyDescent="0.25">
      <c r="A96" s="12" t="s">
        <v>387</v>
      </c>
      <c r="B96" s="12" t="s">
        <v>320</v>
      </c>
      <c r="C96" s="12" t="s">
        <v>323</v>
      </c>
      <c r="D96" s="13">
        <v>0.47708333333333341</v>
      </c>
      <c r="E96" s="13">
        <v>0.49236111111111108</v>
      </c>
      <c r="F96" t="s">
        <v>310</v>
      </c>
      <c r="G96" s="12" t="s">
        <v>388</v>
      </c>
      <c r="H96" s="14">
        <v>9.01</v>
      </c>
      <c r="I96" s="15">
        <v>19</v>
      </c>
      <c r="J96" s="15">
        <v>34</v>
      </c>
      <c r="K96" s="14">
        <f t="shared" si="2"/>
        <v>306.33999999999997</v>
      </c>
      <c r="L96">
        <v>95</v>
      </c>
      <c r="N96" s="30" t="s">
        <v>43</v>
      </c>
      <c r="O96" t="s">
        <v>44</v>
      </c>
      <c r="P96">
        <v>23</v>
      </c>
      <c r="Q96" t="s">
        <v>46</v>
      </c>
      <c r="R96">
        <v>21</v>
      </c>
      <c r="W96" s="18" t="s">
        <v>130</v>
      </c>
      <c r="X96" s="2" t="s">
        <v>149</v>
      </c>
      <c r="Y96" s="3">
        <v>23.251566400000002</v>
      </c>
      <c r="Z96" s="3">
        <v>2.5806399999999998</v>
      </c>
      <c r="AA96" s="3">
        <f t="shared" si="3"/>
        <v>790.55325760000005</v>
      </c>
      <c r="AB96" s="20" t="s">
        <v>307</v>
      </c>
    </row>
    <row r="97" spans="1:28" ht="15" customHeight="1" x14ac:dyDescent="0.25">
      <c r="A97" s="12" t="s">
        <v>387</v>
      </c>
      <c r="B97" s="12" t="s">
        <v>322</v>
      </c>
      <c r="C97" s="12" t="s">
        <v>325</v>
      </c>
      <c r="D97" s="13">
        <v>0.54791666666666672</v>
      </c>
      <c r="E97" s="13">
        <v>0.56041666666666667</v>
      </c>
      <c r="F97" t="s">
        <v>313</v>
      </c>
      <c r="G97" s="12" t="s">
        <v>388</v>
      </c>
      <c r="H97" s="14">
        <v>7.67</v>
      </c>
      <c r="I97" s="15">
        <v>19</v>
      </c>
      <c r="J97" s="15">
        <v>34</v>
      </c>
      <c r="K97" s="14">
        <f t="shared" si="2"/>
        <v>260.77999999999997</v>
      </c>
      <c r="L97">
        <v>96</v>
      </c>
      <c r="N97" s="30" t="s">
        <v>43</v>
      </c>
      <c r="O97" t="s">
        <v>44</v>
      </c>
      <c r="P97">
        <v>23</v>
      </c>
      <c r="Q97" t="s">
        <v>46</v>
      </c>
      <c r="R97">
        <v>21</v>
      </c>
      <c r="W97" s="18" t="s">
        <v>130</v>
      </c>
      <c r="X97" s="2" t="s">
        <v>149</v>
      </c>
      <c r="Y97" s="3">
        <v>19.793508800000001</v>
      </c>
      <c r="Z97" s="3">
        <v>2.5806399999999998</v>
      </c>
      <c r="AA97" s="3">
        <f t="shared" si="3"/>
        <v>672.97929920000001</v>
      </c>
      <c r="AB97" s="20" t="s">
        <v>307</v>
      </c>
    </row>
    <row r="98" spans="1:28" ht="15" customHeight="1" x14ac:dyDescent="0.25">
      <c r="A98" s="12" t="s">
        <v>387</v>
      </c>
      <c r="B98" s="12" t="s">
        <v>324</v>
      </c>
      <c r="C98" s="12" t="s">
        <v>327</v>
      </c>
      <c r="D98" s="13">
        <v>0.56041666666666667</v>
      </c>
      <c r="E98" s="13">
        <v>0.5756944444444444</v>
      </c>
      <c r="F98" t="s">
        <v>310</v>
      </c>
      <c r="G98" s="12" t="s">
        <v>388</v>
      </c>
      <c r="H98" s="14">
        <v>9.01</v>
      </c>
      <c r="I98" s="15">
        <v>19</v>
      </c>
      <c r="J98" s="15">
        <v>34</v>
      </c>
      <c r="K98" s="14">
        <f t="shared" si="2"/>
        <v>306.33999999999997</v>
      </c>
      <c r="L98">
        <v>97</v>
      </c>
      <c r="N98" s="30" t="s">
        <v>43</v>
      </c>
      <c r="O98" t="s">
        <v>44</v>
      </c>
      <c r="P98">
        <v>23</v>
      </c>
      <c r="Q98" t="s">
        <v>46</v>
      </c>
      <c r="R98">
        <v>21</v>
      </c>
      <c r="W98" s="18" t="s">
        <v>130</v>
      </c>
      <c r="X98" s="2" t="s">
        <v>149</v>
      </c>
      <c r="Y98" s="3">
        <v>23.251566400000002</v>
      </c>
      <c r="Z98" s="3">
        <v>2.5806399999999998</v>
      </c>
      <c r="AA98" s="3">
        <f t="shared" si="3"/>
        <v>790.55325760000005</v>
      </c>
      <c r="AB98" s="20" t="s">
        <v>307</v>
      </c>
    </row>
    <row r="99" spans="1:28" ht="15" customHeight="1" x14ac:dyDescent="0.25">
      <c r="A99" s="12" t="s">
        <v>387</v>
      </c>
      <c r="B99" s="12" t="s">
        <v>326</v>
      </c>
      <c r="C99" s="12" t="s">
        <v>375</v>
      </c>
      <c r="D99" s="13">
        <v>0.58958333333333335</v>
      </c>
      <c r="E99" s="13">
        <v>0.6020833333333333</v>
      </c>
      <c r="F99" t="s">
        <v>313</v>
      </c>
      <c r="G99" s="12" t="s">
        <v>388</v>
      </c>
      <c r="H99" s="14">
        <v>7.67</v>
      </c>
      <c r="I99" s="15">
        <v>19</v>
      </c>
      <c r="J99" s="15">
        <v>34</v>
      </c>
      <c r="K99" s="14">
        <f t="shared" si="2"/>
        <v>260.77999999999997</v>
      </c>
      <c r="L99">
        <v>98</v>
      </c>
      <c r="N99" s="30" t="s">
        <v>43</v>
      </c>
      <c r="O99" t="s">
        <v>44</v>
      </c>
      <c r="P99">
        <v>23</v>
      </c>
      <c r="Q99" t="s">
        <v>46</v>
      </c>
      <c r="R99">
        <v>21</v>
      </c>
      <c r="W99" s="18" t="s">
        <v>130</v>
      </c>
      <c r="X99" s="2" t="s">
        <v>149</v>
      </c>
      <c r="Y99" s="3">
        <v>19.793508800000001</v>
      </c>
      <c r="Z99" s="3">
        <v>2.5806399999999998</v>
      </c>
      <c r="AA99" s="3">
        <f t="shared" si="3"/>
        <v>672.97929920000001</v>
      </c>
      <c r="AB99" s="20" t="s">
        <v>307</v>
      </c>
    </row>
    <row r="100" spans="1:28" ht="15" customHeight="1" x14ac:dyDescent="0.25">
      <c r="A100" s="12" t="s">
        <v>387</v>
      </c>
      <c r="B100" s="12" t="s">
        <v>328</v>
      </c>
      <c r="C100" s="12" t="s">
        <v>376</v>
      </c>
      <c r="D100" s="13">
        <v>0.6020833333333333</v>
      </c>
      <c r="E100" s="13">
        <v>0.61736111111111114</v>
      </c>
      <c r="F100" t="s">
        <v>310</v>
      </c>
      <c r="G100" s="12" t="s">
        <v>388</v>
      </c>
      <c r="H100" s="14">
        <v>9.01</v>
      </c>
      <c r="I100" s="15">
        <v>19</v>
      </c>
      <c r="J100" s="15">
        <v>34</v>
      </c>
      <c r="K100" s="14">
        <f t="shared" si="2"/>
        <v>306.33999999999997</v>
      </c>
      <c r="L100">
        <v>99</v>
      </c>
      <c r="N100" s="30" t="s">
        <v>43</v>
      </c>
      <c r="O100" t="s">
        <v>44</v>
      </c>
      <c r="P100">
        <v>23</v>
      </c>
      <c r="Q100" t="s">
        <v>46</v>
      </c>
      <c r="R100">
        <v>21</v>
      </c>
      <c r="W100" s="18" t="s">
        <v>130</v>
      </c>
      <c r="X100" s="2" t="s">
        <v>149</v>
      </c>
      <c r="Y100" s="3">
        <v>23.251566400000002</v>
      </c>
      <c r="Z100" s="3">
        <v>2.5806399999999998</v>
      </c>
      <c r="AA100" s="3">
        <f t="shared" si="3"/>
        <v>790.55325760000005</v>
      </c>
      <c r="AB100" s="20" t="s">
        <v>307</v>
      </c>
    </row>
    <row r="101" spans="1:28" ht="15" customHeight="1" x14ac:dyDescent="0.25">
      <c r="A101" s="12" t="s">
        <v>387</v>
      </c>
      <c r="B101" s="12" t="s">
        <v>330</v>
      </c>
      <c r="C101" s="12" t="s">
        <v>337</v>
      </c>
      <c r="D101" s="13">
        <v>0.65902777777777777</v>
      </c>
      <c r="E101" s="13">
        <v>0.66666666666666663</v>
      </c>
      <c r="F101" t="s">
        <v>338</v>
      </c>
      <c r="G101" s="12" t="s">
        <v>388</v>
      </c>
      <c r="H101" s="14">
        <v>3.76</v>
      </c>
      <c r="I101" s="15">
        <v>19</v>
      </c>
      <c r="J101" s="15">
        <v>34</v>
      </c>
      <c r="K101" s="14">
        <f t="shared" si="2"/>
        <v>127.83999999999999</v>
      </c>
      <c r="L101">
        <v>100</v>
      </c>
      <c r="N101" s="30" t="s">
        <v>43</v>
      </c>
      <c r="O101" t="s">
        <v>44</v>
      </c>
      <c r="P101">
        <v>23</v>
      </c>
      <c r="Q101" t="s">
        <v>46</v>
      </c>
      <c r="R101">
        <v>21</v>
      </c>
      <c r="W101" s="18" t="s">
        <v>130</v>
      </c>
      <c r="X101" s="2" t="s">
        <v>149</v>
      </c>
      <c r="Y101" s="3">
        <v>9.7032063999999991</v>
      </c>
      <c r="Z101" s="3">
        <v>2.5806399999999998</v>
      </c>
      <c r="AA101" s="3">
        <f t="shared" si="3"/>
        <v>329.90901759999997</v>
      </c>
      <c r="AB101" s="20" t="s">
        <v>307</v>
      </c>
    </row>
    <row r="102" spans="1:28" ht="15" customHeight="1" x14ac:dyDescent="0.25">
      <c r="A102" s="12" t="s">
        <v>387</v>
      </c>
      <c r="B102" s="12" t="s">
        <v>332</v>
      </c>
      <c r="C102" s="12" t="s">
        <v>340</v>
      </c>
      <c r="D102" s="13">
        <v>0.66666666666666663</v>
      </c>
      <c r="E102" s="13">
        <v>0.67222222222222228</v>
      </c>
      <c r="F102" t="s">
        <v>341</v>
      </c>
      <c r="G102" s="12" t="s">
        <v>388</v>
      </c>
      <c r="H102" s="14">
        <v>2.76</v>
      </c>
      <c r="I102" s="15">
        <v>19</v>
      </c>
      <c r="J102" s="15">
        <v>34</v>
      </c>
      <c r="K102" s="14">
        <f t="shared" si="2"/>
        <v>93.839999999999989</v>
      </c>
      <c r="L102">
        <v>101</v>
      </c>
      <c r="N102" s="30" t="s">
        <v>43</v>
      </c>
      <c r="O102" t="s">
        <v>44</v>
      </c>
      <c r="P102">
        <v>23</v>
      </c>
      <c r="Q102" t="s">
        <v>46</v>
      </c>
      <c r="R102">
        <v>21</v>
      </c>
      <c r="W102" s="18" t="s">
        <v>130</v>
      </c>
      <c r="X102" s="2" t="s">
        <v>149</v>
      </c>
      <c r="Y102" s="3">
        <v>7.1225663999999993</v>
      </c>
      <c r="Z102" s="3">
        <v>2.5806399999999998</v>
      </c>
      <c r="AA102" s="3">
        <f t="shared" si="3"/>
        <v>242.16725759999997</v>
      </c>
      <c r="AB102" s="20" t="s">
        <v>307</v>
      </c>
    </row>
    <row r="103" spans="1:28" ht="15" customHeight="1" x14ac:dyDescent="0.25">
      <c r="A103" s="12" t="s">
        <v>387</v>
      </c>
      <c r="B103" s="12" t="s">
        <v>334</v>
      </c>
      <c r="C103" s="12" t="s">
        <v>346</v>
      </c>
      <c r="D103" s="13">
        <v>0.71458333333333335</v>
      </c>
      <c r="E103" s="13">
        <v>0.7270833333333333</v>
      </c>
      <c r="F103" t="s">
        <v>313</v>
      </c>
      <c r="G103" s="12" t="s">
        <v>388</v>
      </c>
      <c r="H103" s="14">
        <v>7.67</v>
      </c>
      <c r="I103" s="15">
        <v>19</v>
      </c>
      <c r="J103" s="15">
        <v>34</v>
      </c>
      <c r="K103" s="14">
        <f t="shared" si="2"/>
        <v>260.77999999999997</v>
      </c>
      <c r="L103">
        <v>102</v>
      </c>
      <c r="N103" s="30" t="s">
        <v>43</v>
      </c>
      <c r="O103" t="s">
        <v>44</v>
      </c>
      <c r="P103">
        <v>23</v>
      </c>
      <c r="Q103" t="s">
        <v>46</v>
      </c>
      <c r="R103">
        <v>21</v>
      </c>
      <c r="W103" s="18" t="s">
        <v>130</v>
      </c>
      <c r="X103" s="2" t="s">
        <v>149</v>
      </c>
      <c r="Y103" s="3">
        <v>19.793508800000001</v>
      </c>
      <c r="Z103" s="3">
        <v>2.5806399999999998</v>
      </c>
      <c r="AA103" s="3">
        <f t="shared" si="3"/>
        <v>672.97929920000001</v>
      </c>
      <c r="AB103" s="20" t="s">
        <v>307</v>
      </c>
    </row>
    <row r="104" spans="1:28" ht="15" customHeight="1" x14ac:dyDescent="0.25">
      <c r="A104" s="12" t="s">
        <v>387</v>
      </c>
      <c r="B104" s="12" t="s">
        <v>336</v>
      </c>
      <c r="C104" s="12" t="s">
        <v>348</v>
      </c>
      <c r="D104" s="13">
        <v>0.7270833333333333</v>
      </c>
      <c r="E104" s="13">
        <v>0.74236111111111114</v>
      </c>
      <c r="F104" t="s">
        <v>310</v>
      </c>
      <c r="G104" s="12" t="s">
        <v>388</v>
      </c>
      <c r="H104" s="14">
        <v>9.01</v>
      </c>
      <c r="I104" s="15">
        <v>19</v>
      </c>
      <c r="J104" s="15">
        <v>34</v>
      </c>
      <c r="K104" s="14">
        <f t="shared" si="2"/>
        <v>306.33999999999997</v>
      </c>
      <c r="L104">
        <v>103</v>
      </c>
      <c r="N104" s="30" t="s">
        <v>43</v>
      </c>
      <c r="O104" t="s">
        <v>44</v>
      </c>
      <c r="P104">
        <v>23</v>
      </c>
      <c r="Q104" t="s">
        <v>46</v>
      </c>
      <c r="R104">
        <v>21</v>
      </c>
      <c r="W104" s="18" t="s">
        <v>130</v>
      </c>
      <c r="X104" s="2" t="s">
        <v>149</v>
      </c>
      <c r="Y104" s="3">
        <v>23.251566400000002</v>
      </c>
      <c r="Z104" s="3">
        <v>2.5806399999999998</v>
      </c>
      <c r="AA104" s="3">
        <f t="shared" si="3"/>
        <v>790.55325760000005</v>
      </c>
      <c r="AB104" s="20" t="s">
        <v>307</v>
      </c>
    </row>
    <row r="105" spans="1:28" ht="15" customHeight="1" x14ac:dyDescent="0.25">
      <c r="A105" s="12" t="s">
        <v>387</v>
      </c>
      <c r="B105" s="12" t="s">
        <v>339</v>
      </c>
      <c r="C105" s="12" t="s">
        <v>350</v>
      </c>
      <c r="D105" s="13">
        <v>0.77708333333333335</v>
      </c>
      <c r="E105" s="13">
        <v>0.78472222222222221</v>
      </c>
      <c r="F105" t="s">
        <v>338</v>
      </c>
      <c r="G105" s="12" t="s">
        <v>388</v>
      </c>
      <c r="H105" s="14">
        <v>3.76</v>
      </c>
      <c r="I105" s="15">
        <v>19</v>
      </c>
      <c r="J105" s="15">
        <v>34</v>
      </c>
      <c r="K105" s="14">
        <f t="shared" si="2"/>
        <v>127.83999999999999</v>
      </c>
      <c r="L105">
        <v>104</v>
      </c>
      <c r="N105" s="30" t="s">
        <v>43</v>
      </c>
      <c r="O105" t="s">
        <v>44</v>
      </c>
      <c r="P105">
        <v>23</v>
      </c>
      <c r="Q105" t="s">
        <v>46</v>
      </c>
      <c r="R105">
        <v>21</v>
      </c>
      <c r="W105" s="18" t="s">
        <v>130</v>
      </c>
      <c r="X105" s="2" t="s">
        <v>149</v>
      </c>
      <c r="Y105" s="3">
        <v>9.7032063999999991</v>
      </c>
      <c r="Z105" s="3">
        <v>2.5806399999999998</v>
      </c>
      <c r="AA105" s="3">
        <f t="shared" si="3"/>
        <v>329.90901759999997</v>
      </c>
      <c r="AB105" s="20" t="s">
        <v>307</v>
      </c>
    </row>
    <row r="106" spans="1:28" ht="15" customHeight="1" x14ac:dyDescent="0.25">
      <c r="A106" s="12" t="s">
        <v>387</v>
      </c>
      <c r="B106" s="12" t="s">
        <v>280</v>
      </c>
      <c r="C106" s="12" t="s">
        <v>352</v>
      </c>
      <c r="D106" s="13">
        <v>0.78472222222222221</v>
      </c>
      <c r="E106" s="13">
        <v>0.79027777777777775</v>
      </c>
      <c r="F106" t="s">
        <v>341</v>
      </c>
      <c r="G106" s="12" t="s">
        <v>388</v>
      </c>
      <c r="H106" s="14">
        <v>2.76</v>
      </c>
      <c r="I106" s="15">
        <v>19</v>
      </c>
      <c r="J106" s="15">
        <v>34</v>
      </c>
      <c r="K106" s="14">
        <f t="shared" si="2"/>
        <v>93.839999999999989</v>
      </c>
      <c r="L106">
        <v>105</v>
      </c>
      <c r="N106" s="30" t="s">
        <v>43</v>
      </c>
      <c r="O106" t="s">
        <v>44</v>
      </c>
      <c r="P106">
        <v>23</v>
      </c>
      <c r="Q106" t="s">
        <v>46</v>
      </c>
      <c r="R106">
        <v>21</v>
      </c>
      <c r="W106" s="18" t="s">
        <v>130</v>
      </c>
      <c r="X106" s="2" t="s">
        <v>149</v>
      </c>
      <c r="Y106" s="3">
        <v>7.1225663999999993</v>
      </c>
      <c r="Z106" s="3">
        <v>2.5806399999999998</v>
      </c>
      <c r="AA106" s="3">
        <f t="shared" si="3"/>
        <v>242.16725759999997</v>
      </c>
      <c r="AB106" s="20" t="s">
        <v>307</v>
      </c>
    </row>
    <row r="107" spans="1:28" ht="15" customHeight="1" x14ac:dyDescent="0.25">
      <c r="A107" s="12" t="s">
        <v>389</v>
      </c>
      <c r="B107" s="12" t="s">
        <v>303</v>
      </c>
      <c r="C107" s="12" t="s">
        <v>383</v>
      </c>
      <c r="D107" s="13">
        <v>0.27708333333333329</v>
      </c>
      <c r="E107" s="13">
        <v>0.28958333333333341</v>
      </c>
      <c r="F107" t="s">
        <v>310</v>
      </c>
      <c r="G107" s="12" t="s">
        <v>388</v>
      </c>
      <c r="H107" s="14">
        <v>7.82</v>
      </c>
      <c r="I107" s="15">
        <v>19</v>
      </c>
      <c r="J107" s="15">
        <v>34</v>
      </c>
      <c r="K107" s="14">
        <f t="shared" si="2"/>
        <v>265.88</v>
      </c>
      <c r="L107">
        <v>106</v>
      </c>
      <c r="N107" s="30" t="s">
        <v>43</v>
      </c>
      <c r="O107" t="s">
        <v>44</v>
      </c>
      <c r="P107">
        <v>23</v>
      </c>
      <c r="Q107" t="s">
        <v>46</v>
      </c>
      <c r="R107">
        <v>21</v>
      </c>
      <c r="W107" s="18" t="s">
        <v>130</v>
      </c>
      <c r="X107" s="2" t="s">
        <v>149</v>
      </c>
      <c r="Y107" s="3">
        <v>20.180604800000001</v>
      </c>
      <c r="Z107" s="3">
        <v>2.5806399999999998</v>
      </c>
      <c r="AA107" s="3">
        <f t="shared" si="3"/>
        <v>686.14056320000009</v>
      </c>
      <c r="AB107" s="20" t="s">
        <v>307</v>
      </c>
    </row>
    <row r="108" spans="1:28" s="59" customFormat="1" ht="15" customHeight="1" x14ac:dyDescent="0.25">
      <c r="A108" s="55"/>
      <c r="B108" s="55"/>
      <c r="C108" s="55"/>
      <c r="D108" s="56"/>
      <c r="E108" s="56"/>
      <c r="G108" s="55"/>
      <c r="H108" s="57" t="s">
        <v>422</v>
      </c>
      <c r="I108" s="58"/>
      <c r="J108" s="58"/>
      <c r="K108" s="65">
        <f>SUM(K2:K107)</f>
        <v>44552.509999999951</v>
      </c>
      <c r="L108" s="48" t="s">
        <v>423</v>
      </c>
      <c r="Y108" s="63"/>
      <c r="Z108" s="66"/>
      <c r="AA108" s="63">
        <f>SUM(AA2:AA107)</f>
        <v>114973.98940640001</v>
      </c>
      <c r="AB108" s="48" t="s">
        <v>423</v>
      </c>
    </row>
    <row r="109" spans="1:28" x14ac:dyDescent="0.25">
      <c r="L109" s="42"/>
      <c r="AB109" s="42"/>
    </row>
    <row r="110" spans="1:28" x14ac:dyDescent="0.25">
      <c r="K110" s="64">
        <f>'LAVIS giu-ago'!K108</f>
        <v>14290.670000000027</v>
      </c>
      <c r="L110" s="42" t="s">
        <v>424</v>
      </c>
      <c r="AA110" s="54">
        <f>'LAVIS giu-ago'!AA108</f>
        <v>36879.074628799972</v>
      </c>
      <c r="AB110" s="42" t="s">
        <v>424</v>
      </c>
    </row>
    <row r="111" spans="1:28" x14ac:dyDescent="0.25">
      <c r="K111" s="67"/>
    </row>
    <row r="112" spans="1:28" x14ac:dyDescent="0.25">
      <c r="K112" s="64">
        <f>SUM(K108:K111)</f>
        <v>58843.179999999978</v>
      </c>
      <c r="AA112" s="64">
        <f>SUM(AA108:AA111)</f>
        <v>151853.06403519999</v>
      </c>
    </row>
    <row r="114" spans="11:27" x14ac:dyDescent="0.25">
      <c r="K114">
        <v>44552.509999999951</v>
      </c>
      <c r="AA114" s="53">
        <v>114973.98940640001</v>
      </c>
    </row>
    <row r="115" spans="11:27" x14ac:dyDescent="0.25">
      <c r="AA115" s="53"/>
    </row>
    <row r="116" spans="11:27" x14ac:dyDescent="0.25">
      <c r="K116">
        <v>14290.670000000027</v>
      </c>
      <c r="AA116" s="53">
        <v>36879.074628799972</v>
      </c>
    </row>
    <row r="117" spans="11:27" x14ac:dyDescent="0.25">
      <c r="AA117" s="53"/>
    </row>
    <row r="118" spans="11:27" x14ac:dyDescent="0.25">
      <c r="K118">
        <v>58843.179999999978</v>
      </c>
      <c r="AA118" s="53">
        <v>151853.06403519999</v>
      </c>
    </row>
    <row r="120" spans="11:27" x14ac:dyDescent="0.25">
      <c r="K120" s="52">
        <f>K114-K108</f>
        <v>0</v>
      </c>
      <c r="AA120" s="52">
        <f>AA114-AA108</f>
        <v>0</v>
      </c>
    </row>
    <row r="121" spans="11:27" x14ac:dyDescent="0.25">
      <c r="K121" s="52">
        <f>K110-K116</f>
        <v>0</v>
      </c>
      <c r="AA121" s="52">
        <f>AA110-AA116</f>
        <v>0</v>
      </c>
    </row>
    <row r="122" spans="11:27" x14ac:dyDescent="0.25">
      <c r="K122" s="52">
        <f>K112-K118</f>
        <v>0</v>
      </c>
      <c r="AA122" s="52">
        <f>AA112-AA118</f>
        <v>0</v>
      </c>
    </row>
  </sheetData>
  <autoFilter ref="A1:AA108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6"/>
  <sheetViews>
    <sheetView zoomScaleNormal="100" workbookViewId="0">
      <pane ySplit="1" topLeftCell="A9" activePane="bottomLeft" state="frozen"/>
      <selection pane="bottomLeft" activeCell="F22" sqref="F22"/>
    </sheetView>
  </sheetViews>
  <sheetFormatPr defaultColWidth="8.7109375" defaultRowHeight="15" x14ac:dyDescent="0.25"/>
  <cols>
    <col min="1" max="1" width="10.5703125" customWidth="1"/>
    <col min="2" max="2" width="13.140625" customWidth="1"/>
    <col min="3" max="3" width="9" customWidth="1"/>
    <col min="4" max="4" width="6.5703125" customWidth="1"/>
    <col min="5" max="5" width="6" customWidth="1"/>
    <col min="6" max="6" width="29.85546875" customWidth="1"/>
    <col min="7" max="7" width="19.5703125" customWidth="1"/>
    <col min="8" max="8" width="9" customWidth="1"/>
    <col min="9" max="9" width="10" customWidth="1"/>
    <col min="10" max="10" width="8" customWidth="1"/>
    <col min="11" max="11" width="12.42578125" customWidth="1"/>
    <col min="12" max="12" width="6.28515625" customWidth="1"/>
    <col min="13" max="13" width="4.5703125" customWidth="1"/>
    <col min="14" max="14" width="17.28515625" customWidth="1"/>
    <col min="16" max="16" width="6.42578125" customWidth="1"/>
    <col min="17" max="17" width="10.85546875" customWidth="1"/>
    <col min="18" max="18" width="5.140625" customWidth="1"/>
    <col min="19" max="19" width="6.7109375" customWidth="1"/>
    <col min="20" max="20" width="6.28515625" customWidth="1"/>
    <col min="21" max="22" width="11.5703125" hidden="1" customWidth="1"/>
    <col min="24" max="24" width="15.140625" customWidth="1"/>
    <col min="25" max="25" width="10.42578125" style="3" customWidth="1"/>
    <col min="26" max="26" width="7.5703125" customWidth="1"/>
    <col min="27" max="27" width="14.140625" customWidth="1"/>
    <col min="28" max="28" width="30" customWidth="1"/>
  </cols>
  <sheetData>
    <row r="1" spans="1:28" ht="75" customHeight="1" x14ac:dyDescent="0.25">
      <c r="A1" s="4" t="s">
        <v>86</v>
      </c>
      <c r="B1" s="4" t="s">
        <v>87</v>
      </c>
      <c r="C1" s="4" t="s">
        <v>88</v>
      </c>
      <c r="D1" s="4" t="s">
        <v>89</v>
      </c>
      <c r="E1" s="4" t="s">
        <v>90</v>
      </c>
      <c r="F1" s="4" t="s">
        <v>91</v>
      </c>
      <c r="G1" s="4" t="s">
        <v>92</v>
      </c>
      <c r="H1" s="4" t="s">
        <v>93</v>
      </c>
      <c r="I1" s="4" t="s">
        <v>94</v>
      </c>
      <c r="J1" s="4" t="s">
        <v>95</v>
      </c>
      <c r="K1" s="4" t="s">
        <v>96</v>
      </c>
      <c r="L1" s="5" t="s">
        <v>97</v>
      </c>
      <c r="M1" s="5" t="s">
        <v>98</v>
      </c>
      <c r="N1" s="6" t="s">
        <v>99</v>
      </c>
      <c r="O1" s="10" t="s">
        <v>100</v>
      </c>
      <c r="P1" s="10" t="s">
        <v>101</v>
      </c>
      <c r="Q1" s="10" t="s">
        <v>102</v>
      </c>
      <c r="R1" s="10" t="s">
        <v>103</v>
      </c>
      <c r="S1" s="10" t="s">
        <v>104</v>
      </c>
      <c r="T1" s="10" t="s">
        <v>105</v>
      </c>
      <c r="U1" s="10" t="s">
        <v>106</v>
      </c>
      <c r="V1" s="10" t="s">
        <v>107</v>
      </c>
      <c r="W1" s="10" t="s">
        <v>108</v>
      </c>
      <c r="X1" s="8" t="s">
        <v>109</v>
      </c>
      <c r="Y1" s="9" t="s">
        <v>110</v>
      </c>
      <c r="Z1" s="9" t="s">
        <v>111</v>
      </c>
      <c r="AA1" s="10" t="s">
        <v>112</v>
      </c>
      <c r="AB1" s="11" t="s">
        <v>113</v>
      </c>
    </row>
    <row r="2" spans="1:28" ht="114.75" customHeight="1" x14ac:dyDescent="0.25">
      <c r="A2" s="12" t="s">
        <v>390</v>
      </c>
      <c r="B2" s="12" t="s">
        <v>391</v>
      </c>
      <c r="C2" s="12" t="s">
        <v>392</v>
      </c>
      <c r="D2" s="13">
        <v>0.36458333333333331</v>
      </c>
      <c r="E2" s="13">
        <v>0.41597222222222219</v>
      </c>
      <c r="F2" s="12" t="s">
        <v>393</v>
      </c>
      <c r="G2" s="12" t="s">
        <v>206</v>
      </c>
      <c r="H2" s="14">
        <v>43.7</v>
      </c>
      <c r="I2" s="15">
        <v>19</v>
      </c>
      <c r="J2" s="15">
        <v>189</v>
      </c>
      <c r="K2" s="14">
        <f>J2*H2</f>
        <v>8259.3000000000011</v>
      </c>
      <c r="L2">
        <v>1</v>
      </c>
      <c r="N2" s="30" t="s">
        <v>36</v>
      </c>
      <c r="O2" t="s">
        <v>39</v>
      </c>
      <c r="P2">
        <v>24</v>
      </c>
      <c r="Q2" t="s">
        <v>37</v>
      </c>
      <c r="R2">
        <v>23</v>
      </c>
      <c r="W2" s="1" t="s">
        <v>130</v>
      </c>
      <c r="X2" s="2" t="s">
        <v>207</v>
      </c>
      <c r="Y2" s="3">
        <v>97.68</v>
      </c>
      <c r="AA2" s="3">
        <f>Y2*J2</f>
        <v>18461.52</v>
      </c>
      <c r="AB2" s="20" t="s">
        <v>120</v>
      </c>
    </row>
    <row r="3" spans="1:28" ht="51" customHeight="1" x14ac:dyDescent="0.25">
      <c r="A3" s="12" t="s">
        <v>390</v>
      </c>
      <c r="B3" s="12" t="s">
        <v>391</v>
      </c>
      <c r="C3" s="12" t="s">
        <v>394</v>
      </c>
      <c r="D3" s="13">
        <v>0.41805555555555562</v>
      </c>
      <c r="E3" s="13">
        <v>0.45277777777777778</v>
      </c>
      <c r="F3" s="12" t="s">
        <v>395</v>
      </c>
      <c r="G3" s="12" t="s">
        <v>206</v>
      </c>
      <c r="H3" s="14">
        <v>30.2</v>
      </c>
      <c r="I3" s="15">
        <v>19</v>
      </c>
      <c r="J3" s="15">
        <v>189</v>
      </c>
      <c r="K3" s="14">
        <f t="shared" ref="K3:K12" si="0">J3*H3</f>
        <v>5707.8</v>
      </c>
      <c r="L3">
        <v>2</v>
      </c>
      <c r="N3" s="30" t="s">
        <v>36</v>
      </c>
      <c r="O3" t="s">
        <v>39</v>
      </c>
      <c r="P3">
        <v>24</v>
      </c>
      <c r="Q3" t="s">
        <v>37</v>
      </c>
      <c r="R3">
        <v>23</v>
      </c>
      <c r="W3" s="1" t="s">
        <v>130</v>
      </c>
      <c r="X3" s="2" t="s">
        <v>207</v>
      </c>
      <c r="Y3" s="3">
        <v>67.510000000000005</v>
      </c>
      <c r="AA3" s="3">
        <f t="shared" ref="AA3:AA11" si="1">Y3*J3</f>
        <v>12759.390000000001</v>
      </c>
      <c r="AB3" s="20" t="s">
        <v>120</v>
      </c>
    </row>
    <row r="4" spans="1:28" ht="51" customHeight="1" x14ac:dyDescent="0.25">
      <c r="A4" s="12" t="s">
        <v>390</v>
      </c>
      <c r="B4" s="12" t="s">
        <v>391</v>
      </c>
      <c r="C4" s="12" t="s">
        <v>396</v>
      </c>
      <c r="D4" s="13">
        <v>0.45277777777777778</v>
      </c>
      <c r="E4" s="13">
        <v>0.48749999999999999</v>
      </c>
      <c r="F4" s="12" t="s">
        <v>397</v>
      </c>
      <c r="G4" s="12" t="s">
        <v>206</v>
      </c>
      <c r="H4" s="14">
        <v>29.7</v>
      </c>
      <c r="I4" s="15">
        <v>19</v>
      </c>
      <c r="J4" s="15">
        <v>189</v>
      </c>
      <c r="K4" s="14">
        <f t="shared" si="0"/>
        <v>5613.3</v>
      </c>
      <c r="L4">
        <v>3</v>
      </c>
      <c r="N4" s="30" t="s">
        <v>36</v>
      </c>
      <c r="O4" t="s">
        <v>39</v>
      </c>
      <c r="P4">
        <v>24</v>
      </c>
      <c r="Q4" t="s">
        <v>37</v>
      </c>
      <c r="R4">
        <v>23</v>
      </c>
      <c r="W4" s="1" t="s">
        <v>130</v>
      </c>
      <c r="X4" s="2" t="s">
        <v>207</v>
      </c>
      <c r="Y4" s="3">
        <v>66.39</v>
      </c>
      <c r="AA4" s="3">
        <f t="shared" si="1"/>
        <v>12547.710000000001</v>
      </c>
      <c r="AB4" s="20" t="s">
        <v>120</v>
      </c>
    </row>
    <row r="5" spans="1:28" ht="63.75" customHeight="1" x14ac:dyDescent="0.25">
      <c r="A5" s="12" t="s">
        <v>390</v>
      </c>
      <c r="B5" s="12" t="s">
        <v>391</v>
      </c>
      <c r="C5" s="12" t="s">
        <v>398</v>
      </c>
      <c r="D5" s="13">
        <v>0.49861111111111112</v>
      </c>
      <c r="E5" s="13">
        <v>0.52083333333333337</v>
      </c>
      <c r="F5" s="12" t="s">
        <v>399</v>
      </c>
      <c r="G5" s="12" t="s">
        <v>206</v>
      </c>
      <c r="H5" s="14">
        <v>18.149999999999999</v>
      </c>
      <c r="I5" s="15">
        <v>19</v>
      </c>
      <c r="J5" s="15">
        <v>189</v>
      </c>
      <c r="K5" s="14">
        <f t="shared" si="0"/>
        <v>3430.35</v>
      </c>
      <c r="L5">
        <v>4</v>
      </c>
      <c r="N5" s="30" t="s">
        <v>36</v>
      </c>
      <c r="O5" t="s">
        <v>39</v>
      </c>
      <c r="P5">
        <v>24</v>
      </c>
      <c r="Q5" t="s">
        <v>37</v>
      </c>
      <c r="R5">
        <v>23</v>
      </c>
      <c r="W5" s="1" t="s">
        <v>130</v>
      </c>
      <c r="X5" s="2" t="s">
        <v>207</v>
      </c>
      <c r="Y5" s="3">
        <v>40.57</v>
      </c>
      <c r="AA5" s="3">
        <f t="shared" si="1"/>
        <v>7667.7300000000005</v>
      </c>
      <c r="AB5" s="20" t="s">
        <v>120</v>
      </c>
    </row>
    <row r="6" spans="1:28" ht="114.75" customHeight="1" x14ac:dyDescent="0.25">
      <c r="A6" s="12" t="s">
        <v>390</v>
      </c>
      <c r="B6" s="12" t="s">
        <v>391</v>
      </c>
      <c r="C6" s="12" t="s">
        <v>392</v>
      </c>
      <c r="D6" s="13">
        <v>0.57291666666666663</v>
      </c>
      <c r="E6" s="13">
        <v>0.62152777777777779</v>
      </c>
      <c r="F6" s="12" t="s">
        <v>400</v>
      </c>
      <c r="G6" s="12" t="s">
        <v>206</v>
      </c>
      <c r="H6" s="14">
        <v>43.21</v>
      </c>
      <c r="I6" s="15">
        <v>19</v>
      </c>
      <c r="J6" s="15">
        <v>189</v>
      </c>
      <c r="K6" s="14">
        <f t="shared" si="0"/>
        <v>8166.6900000000005</v>
      </c>
      <c r="L6">
        <v>5</v>
      </c>
      <c r="N6" s="30" t="s">
        <v>36</v>
      </c>
      <c r="O6" t="s">
        <v>39</v>
      </c>
      <c r="P6">
        <v>24</v>
      </c>
      <c r="Q6" t="s">
        <v>37</v>
      </c>
      <c r="R6">
        <v>23</v>
      </c>
      <c r="W6" s="1" t="s">
        <v>130</v>
      </c>
      <c r="X6" s="2" t="s">
        <v>207</v>
      </c>
      <c r="Y6" s="3">
        <v>96.59</v>
      </c>
      <c r="AA6" s="3">
        <f t="shared" si="1"/>
        <v>18255.510000000002</v>
      </c>
      <c r="AB6" s="20" t="s">
        <v>120</v>
      </c>
    </row>
    <row r="7" spans="1:28" ht="63.75" customHeight="1" x14ac:dyDescent="0.25">
      <c r="A7" s="12" t="s">
        <v>390</v>
      </c>
      <c r="B7" s="12" t="s">
        <v>391</v>
      </c>
      <c r="C7" s="12" t="s">
        <v>392</v>
      </c>
      <c r="D7" s="13">
        <v>0.62152777777777779</v>
      </c>
      <c r="E7" s="13">
        <v>0.63749999999999996</v>
      </c>
      <c r="F7" s="12" t="s">
        <v>401</v>
      </c>
      <c r="G7" s="12" t="s">
        <v>134</v>
      </c>
      <c r="H7" s="14">
        <v>12.9</v>
      </c>
      <c r="I7" s="15">
        <v>19</v>
      </c>
      <c r="J7" s="15">
        <v>25</v>
      </c>
      <c r="K7" s="14">
        <f t="shared" si="0"/>
        <v>322.5</v>
      </c>
      <c r="L7">
        <v>6</v>
      </c>
      <c r="N7" s="30" t="s">
        <v>36</v>
      </c>
      <c r="O7" t="s">
        <v>39</v>
      </c>
      <c r="P7">
        <v>24</v>
      </c>
      <c r="Q7" t="s">
        <v>37</v>
      </c>
      <c r="R7">
        <v>23</v>
      </c>
      <c r="W7" s="1" t="s">
        <v>130</v>
      </c>
      <c r="X7" s="2" t="s">
        <v>135</v>
      </c>
      <c r="Y7" s="3">
        <v>28.84</v>
      </c>
      <c r="AA7" s="3">
        <f t="shared" si="1"/>
        <v>721</v>
      </c>
      <c r="AB7" s="20" t="s">
        <v>120</v>
      </c>
    </row>
    <row r="8" spans="1:28" ht="51" customHeight="1" x14ac:dyDescent="0.25">
      <c r="A8" s="12" t="s">
        <v>390</v>
      </c>
      <c r="B8" s="12" t="s">
        <v>391</v>
      </c>
      <c r="C8" s="12" t="s">
        <v>398</v>
      </c>
      <c r="D8" s="13">
        <v>0.62847222222222221</v>
      </c>
      <c r="E8" s="13">
        <v>0.63680555555555551</v>
      </c>
      <c r="F8" s="12" t="s">
        <v>402</v>
      </c>
      <c r="G8" s="12" t="s">
        <v>144</v>
      </c>
      <c r="H8" s="14">
        <v>8.5</v>
      </c>
      <c r="I8" s="15">
        <v>19</v>
      </c>
      <c r="J8" s="15">
        <v>164</v>
      </c>
      <c r="K8" s="14">
        <f t="shared" si="0"/>
        <v>1394</v>
      </c>
      <c r="L8">
        <v>7</v>
      </c>
      <c r="N8" s="30" t="s">
        <v>36</v>
      </c>
      <c r="O8" t="s">
        <v>39</v>
      </c>
      <c r="P8">
        <v>24</v>
      </c>
      <c r="Q8" t="s">
        <v>37</v>
      </c>
      <c r="R8">
        <v>23</v>
      </c>
      <c r="W8" s="1" t="s">
        <v>130</v>
      </c>
      <c r="X8" s="2" t="s">
        <v>145</v>
      </c>
      <c r="Y8" s="3">
        <v>19</v>
      </c>
      <c r="AA8" s="3">
        <f t="shared" si="1"/>
        <v>3116</v>
      </c>
      <c r="AB8" s="20" t="s">
        <v>120</v>
      </c>
    </row>
    <row r="9" spans="1:28" ht="63.75" customHeight="1" x14ac:dyDescent="0.25">
      <c r="A9" s="12" t="s">
        <v>390</v>
      </c>
      <c r="B9" s="12" t="s">
        <v>391</v>
      </c>
      <c r="C9" s="12" t="s">
        <v>394</v>
      </c>
      <c r="D9" s="13">
        <v>0.6430555555555556</v>
      </c>
      <c r="E9" s="13">
        <v>0.67777777777777781</v>
      </c>
      <c r="F9" s="12" t="s">
        <v>395</v>
      </c>
      <c r="G9" s="12" t="s">
        <v>134</v>
      </c>
      <c r="H9" s="14">
        <v>30.2</v>
      </c>
      <c r="I9" s="15">
        <v>19</v>
      </c>
      <c r="J9" s="15">
        <v>25</v>
      </c>
      <c r="K9" s="14">
        <f t="shared" si="0"/>
        <v>755</v>
      </c>
      <c r="L9">
        <v>8</v>
      </c>
      <c r="N9" s="30" t="s">
        <v>36</v>
      </c>
      <c r="O9" t="s">
        <v>39</v>
      </c>
      <c r="P9">
        <v>24</v>
      </c>
      <c r="Q9" t="s">
        <v>37</v>
      </c>
      <c r="R9">
        <v>23</v>
      </c>
      <c r="W9" s="1" t="s">
        <v>130</v>
      </c>
      <c r="X9" s="2" t="s">
        <v>135</v>
      </c>
      <c r="Y9" s="3">
        <v>67.510000000000005</v>
      </c>
      <c r="AA9" s="3">
        <f t="shared" si="1"/>
        <v>1687.7500000000002</v>
      </c>
      <c r="AB9" s="20" t="s">
        <v>120</v>
      </c>
    </row>
    <row r="10" spans="1:28" ht="63.75" customHeight="1" x14ac:dyDescent="0.25">
      <c r="A10" s="12" t="s">
        <v>390</v>
      </c>
      <c r="B10" s="12" t="s">
        <v>391</v>
      </c>
      <c r="C10" s="12" t="s">
        <v>396</v>
      </c>
      <c r="D10" s="13">
        <v>0.67847222222222225</v>
      </c>
      <c r="E10" s="13">
        <v>0.71319444444444446</v>
      </c>
      <c r="F10" s="12" t="s">
        <v>397</v>
      </c>
      <c r="G10" s="12" t="s">
        <v>134</v>
      </c>
      <c r="H10" s="14">
        <v>29.7</v>
      </c>
      <c r="I10" s="15">
        <v>19</v>
      </c>
      <c r="J10" s="15">
        <v>25</v>
      </c>
      <c r="K10" s="14">
        <f t="shared" si="0"/>
        <v>742.5</v>
      </c>
      <c r="L10">
        <v>9</v>
      </c>
      <c r="N10" s="30" t="s">
        <v>36</v>
      </c>
      <c r="O10" t="s">
        <v>39</v>
      </c>
      <c r="P10">
        <v>24</v>
      </c>
      <c r="Q10" t="s">
        <v>37</v>
      </c>
      <c r="R10">
        <v>23</v>
      </c>
      <c r="W10" s="1" t="s">
        <v>130</v>
      </c>
      <c r="X10" s="2" t="s">
        <v>135</v>
      </c>
      <c r="Y10" s="3">
        <v>66.39</v>
      </c>
      <c r="AA10" s="3">
        <f t="shared" si="1"/>
        <v>1659.75</v>
      </c>
      <c r="AB10" s="20" t="s">
        <v>120</v>
      </c>
    </row>
    <row r="11" spans="1:28" ht="63.75" customHeight="1" x14ac:dyDescent="0.25">
      <c r="A11" s="12" t="s">
        <v>390</v>
      </c>
      <c r="B11" s="12" t="s">
        <v>391</v>
      </c>
      <c r="C11" s="12" t="s">
        <v>398</v>
      </c>
      <c r="D11" s="13">
        <v>0.72777777777777775</v>
      </c>
      <c r="E11" s="13">
        <v>0.75277777777777777</v>
      </c>
      <c r="F11" s="12" t="s">
        <v>403</v>
      </c>
      <c r="G11" s="12" t="s">
        <v>206</v>
      </c>
      <c r="H11" s="14">
        <v>22.87</v>
      </c>
      <c r="I11" s="15">
        <v>19</v>
      </c>
      <c r="J11" s="15">
        <v>189</v>
      </c>
      <c r="K11" s="14">
        <f t="shared" si="0"/>
        <v>4322.43</v>
      </c>
      <c r="L11">
        <v>10</v>
      </c>
      <c r="N11" s="30" t="s">
        <v>36</v>
      </c>
      <c r="O11" t="s">
        <v>39</v>
      </c>
      <c r="P11">
        <v>24</v>
      </c>
      <c r="Q11" t="s">
        <v>37</v>
      </c>
      <c r="R11">
        <v>23</v>
      </c>
      <c r="W11" s="1" t="s">
        <v>130</v>
      </c>
      <c r="X11" s="2" t="s">
        <v>207</v>
      </c>
      <c r="Y11" s="3">
        <v>51.12</v>
      </c>
      <c r="AA11" s="3">
        <f t="shared" si="1"/>
        <v>9661.68</v>
      </c>
      <c r="AB11" s="20" t="s">
        <v>120</v>
      </c>
    </row>
    <row r="12" spans="1:28" s="59" customFormat="1" ht="15" customHeight="1" x14ac:dyDescent="0.25">
      <c r="A12" s="55"/>
      <c r="G12" s="55"/>
      <c r="H12" s="57" t="s">
        <v>422</v>
      </c>
      <c r="I12" s="58"/>
      <c r="J12" s="58"/>
      <c r="K12" s="65">
        <f>SUM(K2:K11)</f>
        <v>38713.870000000003</v>
      </c>
      <c r="L12" s="48" t="s">
        <v>423</v>
      </c>
      <c r="M12" s="68"/>
      <c r="Y12" s="66"/>
      <c r="AA12" s="63">
        <f>SUM(AA2:AA11)</f>
        <v>86538.040000000008</v>
      </c>
      <c r="AB12" s="48" t="s">
        <v>423</v>
      </c>
    </row>
    <row r="13" spans="1:28" x14ac:dyDescent="0.25">
      <c r="L13" s="42"/>
      <c r="AB13" s="42"/>
    </row>
    <row r="14" spans="1:28" x14ac:dyDescent="0.25">
      <c r="K14" s="64">
        <f>'CEMBRA giu-ago'!K12</f>
        <v>16297.949999999999</v>
      </c>
      <c r="L14" s="42" t="s">
        <v>424</v>
      </c>
      <c r="AA14" s="69">
        <f>'CEMBRA giu-ago'!AA12</f>
        <v>36431.600000000006</v>
      </c>
      <c r="AB14" s="42" t="s">
        <v>424</v>
      </c>
    </row>
    <row r="16" spans="1:28" x14ac:dyDescent="0.25">
      <c r="K16" s="64">
        <f>SUM(K12:K15)</f>
        <v>55011.82</v>
      </c>
      <c r="AA16" s="64">
        <f>SUM(AA12:AA15)</f>
        <v>122969.64000000001</v>
      </c>
    </row>
    <row r="18" spans="11:27" x14ac:dyDescent="0.25">
      <c r="K18">
        <v>38713.870000000003</v>
      </c>
      <c r="AA18">
        <v>86538.040000000008</v>
      </c>
    </row>
    <row r="20" spans="11:27" x14ac:dyDescent="0.25">
      <c r="K20">
        <v>16297.949999999999</v>
      </c>
      <c r="AA20">
        <v>36431.600000000006</v>
      </c>
    </row>
    <row r="22" spans="11:27" x14ac:dyDescent="0.25">
      <c r="K22">
        <v>55011.82</v>
      </c>
      <c r="AA22">
        <v>122969.64000000001</v>
      </c>
    </row>
    <row r="24" spans="11:27" x14ac:dyDescent="0.25">
      <c r="K24" s="52">
        <f>K18-K12</f>
        <v>0</v>
      </c>
      <c r="AA24" s="52">
        <f>AA18-AA12</f>
        <v>0</v>
      </c>
    </row>
    <row r="25" spans="11:27" x14ac:dyDescent="0.25">
      <c r="K25" s="52">
        <f>K14-K20</f>
        <v>0</v>
      </c>
      <c r="AA25" s="52">
        <f>AA14-AA20</f>
        <v>0</v>
      </c>
    </row>
    <row r="26" spans="11:27" x14ac:dyDescent="0.25">
      <c r="K26" s="52">
        <f>K16-K22</f>
        <v>0</v>
      </c>
      <c r="AA26" s="52">
        <f>AA16-AA22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46"/>
  <sheetViews>
    <sheetView tabSelected="1" zoomScaleNormal="100" workbookViewId="0">
      <pane ySplit="1" topLeftCell="A23" activePane="bottomLeft" state="frozen"/>
      <selection pane="bottomLeft" activeCell="X40" sqref="X40"/>
    </sheetView>
  </sheetViews>
  <sheetFormatPr defaultColWidth="8.7109375" defaultRowHeight="15" x14ac:dyDescent="0.25"/>
  <cols>
    <col min="1" max="1" width="11.42578125" customWidth="1"/>
    <col min="2" max="2" width="9.85546875" customWidth="1"/>
    <col min="3" max="3" width="5.42578125" customWidth="1"/>
    <col min="4" max="4" width="7" customWidth="1"/>
    <col min="5" max="5" width="7.42578125" customWidth="1"/>
    <col min="6" max="6" width="27.85546875" customWidth="1"/>
    <col min="7" max="7" width="21.140625" customWidth="1"/>
    <col min="8" max="8" width="7.7109375" customWidth="1"/>
    <col min="9" max="9" width="6.5703125" customWidth="1"/>
    <col min="10" max="10" width="8" customWidth="1"/>
    <col min="11" max="11" width="10.7109375" customWidth="1"/>
    <col min="12" max="12" width="6.140625" customWidth="1"/>
    <col min="13" max="13" width="3.42578125" customWidth="1"/>
    <col min="14" max="14" width="16.7109375" customWidth="1"/>
    <col min="16" max="16" width="6.28515625" customWidth="1"/>
    <col min="17" max="17" width="10.42578125" customWidth="1"/>
    <col min="18" max="18" width="6.7109375" customWidth="1"/>
    <col min="19" max="19" width="13" customWidth="1"/>
    <col min="20" max="20" width="7.140625" customWidth="1"/>
    <col min="21" max="22" width="11.5703125" hidden="1" customWidth="1"/>
    <col min="24" max="24" width="16.28515625" customWidth="1"/>
    <col min="25" max="25" width="13.5703125" customWidth="1"/>
    <col min="26" max="26" width="6.140625" customWidth="1"/>
    <col min="27" max="27" width="15.5703125" customWidth="1"/>
    <col min="28" max="28" width="30" customWidth="1"/>
  </cols>
  <sheetData>
    <row r="1" spans="1:28" ht="59.25" customHeight="1" x14ac:dyDescent="0.25">
      <c r="A1" s="4" t="s">
        <v>86</v>
      </c>
      <c r="B1" s="4" t="s">
        <v>87</v>
      </c>
      <c r="C1" s="4" t="s">
        <v>88</v>
      </c>
      <c r="D1" s="4" t="s">
        <v>89</v>
      </c>
      <c r="E1" s="4" t="s">
        <v>90</v>
      </c>
      <c r="F1" s="4" t="s">
        <v>91</v>
      </c>
      <c r="G1" s="4" t="s">
        <v>92</v>
      </c>
      <c r="H1" s="4" t="s">
        <v>93</v>
      </c>
      <c r="I1" s="4" t="s">
        <v>94</v>
      </c>
      <c r="J1" s="4" t="s">
        <v>95</v>
      </c>
      <c r="K1" s="4" t="s">
        <v>96</v>
      </c>
      <c r="L1" s="5" t="s">
        <v>97</v>
      </c>
      <c r="M1" s="32" t="s">
        <v>98</v>
      </c>
      <c r="N1" s="33" t="s">
        <v>99</v>
      </c>
      <c r="O1" s="10" t="s">
        <v>100</v>
      </c>
      <c r="P1" s="10" t="s">
        <v>101</v>
      </c>
      <c r="Q1" s="10" t="s">
        <v>102</v>
      </c>
      <c r="R1" s="10" t="s">
        <v>103</v>
      </c>
      <c r="S1" s="10" t="s">
        <v>104</v>
      </c>
      <c r="T1" s="10" t="s">
        <v>105</v>
      </c>
      <c r="U1" s="10" t="s">
        <v>106</v>
      </c>
      <c r="V1" s="10" t="s">
        <v>107</v>
      </c>
      <c r="W1" s="10" t="s">
        <v>108</v>
      </c>
      <c r="X1" s="8" t="s">
        <v>109</v>
      </c>
      <c r="Y1" s="9" t="s">
        <v>110</v>
      </c>
      <c r="Z1" s="9" t="s">
        <v>111</v>
      </c>
      <c r="AA1" s="10" t="s">
        <v>112</v>
      </c>
      <c r="AB1" s="11" t="s">
        <v>113</v>
      </c>
    </row>
    <row r="2" spans="1:28" ht="34.5" customHeight="1" x14ac:dyDescent="0.25">
      <c r="A2" s="12" t="s">
        <v>404</v>
      </c>
      <c r="B2" s="12" t="s">
        <v>405</v>
      </c>
      <c r="C2" s="12"/>
      <c r="D2" s="13">
        <v>0.30208333333333331</v>
      </c>
      <c r="E2" s="13">
        <v>0.31666666666666671</v>
      </c>
      <c r="F2" s="12" t="s">
        <v>406</v>
      </c>
      <c r="G2" s="12" t="s">
        <v>206</v>
      </c>
      <c r="H2" s="14">
        <v>13</v>
      </c>
      <c r="I2" s="15">
        <v>19</v>
      </c>
      <c r="J2" s="15">
        <v>189</v>
      </c>
      <c r="K2" s="14">
        <f>J2*H2</f>
        <v>2457</v>
      </c>
      <c r="L2">
        <v>1</v>
      </c>
      <c r="N2" s="30" t="s">
        <v>40</v>
      </c>
      <c r="O2" t="s">
        <v>41</v>
      </c>
      <c r="P2">
        <v>23</v>
      </c>
      <c r="Q2" t="s">
        <v>407</v>
      </c>
      <c r="R2">
        <v>24</v>
      </c>
      <c r="S2" t="s">
        <v>408</v>
      </c>
      <c r="T2">
        <v>21</v>
      </c>
      <c r="X2" s="2" t="s">
        <v>207</v>
      </c>
      <c r="Y2" s="3">
        <v>29.06</v>
      </c>
      <c r="AA2" s="3">
        <f>Y2*J2</f>
        <v>5492.34</v>
      </c>
      <c r="AB2" s="20" t="s">
        <v>120</v>
      </c>
    </row>
    <row r="3" spans="1:28" ht="34.5" customHeight="1" x14ac:dyDescent="0.25">
      <c r="A3" s="12" t="s">
        <v>404</v>
      </c>
      <c r="B3" s="12" t="s">
        <v>405</v>
      </c>
      <c r="C3" s="12"/>
      <c r="D3" s="13">
        <v>0.31736111111111109</v>
      </c>
      <c r="E3" s="13">
        <v>0.33333333333333331</v>
      </c>
      <c r="F3" s="12" t="s">
        <v>409</v>
      </c>
      <c r="G3" s="12" t="s">
        <v>206</v>
      </c>
      <c r="H3" s="14">
        <v>13</v>
      </c>
      <c r="I3" s="15">
        <v>19</v>
      </c>
      <c r="J3" s="15">
        <v>189</v>
      </c>
      <c r="K3" s="14">
        <f t="shared" ref="K3:K32" si="0">J3*H3</f>
        <v>2457</v>
      </c>
      <c r="L3">
        <v>2</v>
      </c>
      <c r="N3" s="30" t="s">
        <v>40</v>
      </c>
      <c r="O3" t="s">
        <v>41</v>
      </c>
      <c r="P3">
        <v>23</v>
      </c>
      <c r="Q3" t="s">
        <v>407</v>
      </c>
      <c r="R3">
        <v>24</v>
      </c>
      <c r="S3" t="s">
        <v>408</v>
      </c>
      <c r="T3">
        <v>22</v>
      </c>
      <c r="X3" s="2" t="s">
        <v>207</v>
      </c>
      <c r="Y3" s="3">
        <v>29.06</v>
      </c>
      <c r="AA3" s="3">
        <f t="shared" ref="AA3:AA31" si="1">Y3*J3</f>
        <v>5492.34</v>
      </c>
      <c r="AB3" s="20" t="s">
        <v>120</v>
      </c>
    </row>
    <row r="4" spans="1:28" ht="34.5" customHeight="1" x14ac:dyDescent="0.25">
      <c r="A4" s="12" t="s">
        <v>404</v>
      </c>
      <c r="B4" s="12" t="s">
        <v>405</v>
      </c>
      <c r="C4" s="12"/>
      <c r="D4" s="13">
        <v>0.36458333333333331</v>
      </c>
      <c r="E4" s="13">
        <v>0.37916666666666671</v>
      </c>
      <c r="F4" s="12" t="s">
        <v>406</v>
      </c>
      <c r="G4" s="12" t="s">
        <v>206</v>
      </c>
      <c r="H4" s="14">
        <v>13</v>
      </c>
      <c r="I4" s="15">
        <v>19</v>
      </c>
      <c r="J4" s="15">
        <v>189</v>
      </c>
      <c r="K4" s="14">
        <f t="shared" si="0"/>
        <v>2457</v>
      </c>
      <c r="L4">
        <v>3</v>
      </c>
      <c r="N4" s="30" t="s">
        <v>40</v>
      </c>
      <c r="O4" t="s">
        <v>41</v>
      </c>
      <c r="P4">
        <v>23</v>
      </c>
      <c r="Q4" t="s">
        <v>407</v>
      </c>
      <c r="R4">
        <v>24</v>
      </c>
      <c r="S4" t="s">
        <v>408</v>
      </c>
      <c r="T4">
        <v>23</v>
      </c>
      <c r="X4" s="2" t="s">
        <v>207</v>
      </c>
      <c r="Y4" s="3">
        <v>29.06</v>
      </c>
      <c r="AA4" s="3">
        <f t="shared" si="1"/>
        <v>5492.34</v>
      </c>
      <c r="AB4" s="20" t="s">
        <v>120</v>
      </c>
    </row>
    <row r="5" spans="1:28" ht="34.5" customHeight="1" x14ac:dyDescent="0.25">
      <c r="A5" s="12" t="s">
        <v>404</v>
      </c>
      <c r="B5" s="12" t="s">
        <v>405</v>
      </c>
      <c r="C5" s="12"/>
      <c r="D5" s="13">
        <v>0.39097222222222222</v>
      </c>
      <c r="E5" s="13">
        <v>0.40625</v>
      </c>
      <c r="F5" s="12" t="s">
        <v>409</v>
      </c>
      <c r="G5" s="12" t="s">
        <v>206</v>
      </c>
      <c r="H5" s="14">
        <v>13</v>
      </c>
      <c r="I5" s="15">
        <v>19</v>
      </c>
      <c r="J5" s="15">
        <v>189</v>
      </c>
      <c r="K5" s="14">
        <f t="shared" si="0"/>
        <v>2457</v>
      </c>
      <c r="L5">
        <v>4</v>
      </c>
      <c r="N5" s="30" t="s">
        <v>40</v>
      </c>
      <c r="O5" t="s">
        <v>41</v>
      </c>
      <c r="P5">
        <v>23</v>
      </c>
      <c r="Q5" t="s">
        <v>407</v>
      </c>
      <c r="R5">
        <v>24</v>
      </c>
      <c r="S5" t="s">
        <v>408</v>
      </c>
      <c r="T5">
        <v>24</v>
      </c>
      <c r="X5" s="2" t="s">
        <v>207</v>
      </c>
      <c r="Y5" s="3">
        <v>29.06</v>
      </c>
      <c r="AA5" s="3">
        <f t="shared" si="1"/>
        <v>5492.34</v>
      </c>
      <c r="AB5" s="20" t="s">
        <v>120</v>
      </c>
    </row>
    <row r="6" spans="1:28" ht="34.5" customHeight="1" x14ac:dyDescent="0.25">
      <c r="A6" s="12" t="s">
        <v>404</v>
      </c>
      <c r="B6" s="12" t="s">
        <v>405</v>
      </c>
      <c r="C6" s="12"/>
      <c r="D6" s="13">
        <v>0.5</v>
      </c>
      <c r="E6" s="13">
        <v>0.51458333333333328</v>
      </c>
      <c r="F6" s="12" t="s">
        <v>406</v>
      </c>
      <c r="G6" s="12" t="s">
        <v>206</v>
      </c>
      <c r="H6" s="14">
        <v>13</v>
      </c>
      <c r="I6" s="15">
        <v>19</v>
      </c>
      <c r="J6" s="15">
        <v>189</v>
      </c>
      <c r="K6" s="14">
        <f t="shared" si="0"/>
        <v>2457</v>
      </c>
      <c r="L6">
        <v>5</v>
      </c>
      <c r="N6" s="30" t="s">
        <v>40</v>
      </c>
      <c r="O6" t="s">
        <v>41</v>
      </c>
      <c r="P6">
        <v>23</v>
      </c>
      <c r="Q6" t="s">
        <v>407</v>
      </c>
      <c r="R6">
        <v>24</v>
      </c>
      <c r="S6" t="s">
        <v>408</v>
      </c>
      <c r="T6">
        <v>25</v>
      </c>
      <c r="X6" s="2" t="s">
        <v>207</v>
      </c>
      <c r="Y6" s="3">
        <v>29.06</v>
      </c>
      <c r="AA6" s="3">
        <f t="shared" si="1"/>
        <v>5492.34</v>
      </c>
      <c r="AB6" s="20" t="s">
        <v>120</v>
      </c>
    </row>
    <row r="7" spans="1:28" ht="34.5" customHeight="1" x14ac:dyDescent="0.25">
      <c r="A7" s="12" t="s">
        <v>404</v>
      </c>
      <c r="B7" s="12" t="s">
        <v>405</v>
      </c>
      <c r="C7" s="12"/>
      <c r="D7" s="13">
        <v>0.52569444444444446</v>
      </c>
      <c r="E7" s="13">
        <v>0.54166666666666663</v>
      </c>
      <c r="F7" s="12" t="s">
        <v>409</v>
      </c>
      <c r="G7" s="12" t="s">
        <v>206</v>
      </c>
      <c r="H7" s="14">
        <v>13</v>
      </c>
      <c r="I7" s="15">
        <v>19</v>
      </c>
      <c r="J7" s="15">
        <v>189</v>
      </c>
      <c r="K7" s="14">
        <f t="shared" si="0"/>
        <v>2457</v>
      </c>
      <c r="L7">
        <v>6</v>
      </c>
      <c r="N7" s="30" t="s">
        <v>40</v>
      </c>
      <c r="O7" t="s">
        <v>41</v>
      </c>
      <c r="P7">
        <v>23</v>
      </c>
      <c r="Q7" t="s">
        <v>407</v>
      </c>
      <c r="R7">
        <v>24</v>
      </c>
      <c r="S7" t="s">
        <v>408</v>
      </c>
      <c r="T7">
        <v>26</v>
      </c>
      <c r="X7" s="2" t="s">
        <v>207</v>
      </c>
      <c r="Y7" s="3">
        <v>29.06</v>
      </c>
      <c r="AA7" s="3">
        <f t="shared" si="1"/>
        <v>5492.34</v>
      </c>
      <c r="AB7" s="20" t="s">
        <v>120</v>
      </c>
    </row>
    <row r="8" spans="1:28" ht="23.25" customHeight="1" x14ac:dyDescent="0.25">
      <c r="A8" s="12" t="s">
        <v>404</v>
      </c>
      <c r="B8" s="12" t="s">
        <v>405</v>
      </c>
      <c r="C8" s="12"/>
      <c r="D8" s="13">
        <v>0.58333333333333337</v>
      </c>
      <c r="E8" s="13">
        <v>0.59375</v>
      </c>
      <c r="F8" s="12" t="s">
        <v>410</v>
      </c>
      <c r="G8" s="12" t="s">
        <v>206</v>
      </c>
      <c r="H8" s="14">
        <v>9.6</v>
      </c>
      <c r="I8" s="15">
        <v>19</v>
      </c>
      <c r="J8" s="15">
        <v>189</v>
      </c>
      <c r="K8" s="14">
        <f t="shared" si="0"/>
        <v>1814.3999999999999</v>
      </c>
      <c r="L8">
        <v>7</v>
      </c>
      <c r="N8" s="30" t="s">
        <v>40</v>
      </c>
      <c r="O8" t="s">
        <v>41</v>
      </c>
      <c r="P8">
        <v>23</v>
      </c>
      <c r="Q8" t="s">
        <v>407</v>
      </c>
      <c r="R8">
        <v>24</v>
      </c>
      <c r="S8" t="s">
        <v>408</v>
      </c>
      <c r="T8">
        <v>27</v>
      </c>
      <c r="X8" s="2" t="s">
        <v>207</v>
      </c>
      <c r="Y8" s="3">
        <v>21.46</v>
      </c>
      <c r="AA8" s="3">
        <f t="shared" si="1"/>
        <v>4055.94</v>
      </c>
      <c r="AB8" s="20" t="s">
        <v>120</v>
      </c>
    </row>
    <row r="9" spans="1:28" ht="23.25" customHeight="1" x14ac:dyDescent="0.25">
      <c r="A9" s="12" t="s">
        <v>404</v>
      </c>
      <c r="B9" s="12" t="s">
        <v>405</v>
      </c>
      <c r="C9" s="12"/>
      <c r="D9" s="13">
        <v>0.61458333333333337</v>
      </c>
      <c r="E9" s="13">
        <v>0.625</v>
      </c>
      <c r="F9" s="12" t="s">
        <v>411</v>
      </c>
      <c r="G9" s="12" t="s">
        <v>206</v>
      </c>
      <c r="H9" s="14">
        <v>9.6</v>
      </c>
      <c r="I9" s="15">
        <v>19</v>
      </c>
      <c r="J9" s="15">
        <v>189</v>
      </c>
      <c r="K9" s="14">
        <f t="shared" si="0"/>
        <v>1814.3999999999999</v>
      </c>
      <c r="L9">
        <v>8</v>
      </c>
      <c r="N9" s="30" t="s">
        <v>40</v>
      </c>
      <c r="O9" t="s">
        <v>41</v>
      </c>
      <c r="P9">
        <v>23</v>
      </c>
      <c r="Q9" t="s">
        <v>407</v>
      </c>
      <c r="R9">
        <v>24</v>
      </c>
      <c r="S9" t="s">
        <v>408</v>
      </c>
      <c r="T9">
        <v>28</v>
      </c>
      <c r="X9" s="2" t="s">
        <v>207</v>
      </c>
      <c r="Y9" s="3">
        <v>21.46</v>
      </c>
      <c r="AA9" s="3">
        <f t="shared" si="1"/>
        <v>4055.94</v>
      </c>
      <c r="AB9" s="20" t="s">
        <v>120</v>
      </c>
    </row>
    <row r="10" spans="1:28" ht="34.5" customHeight="1" x14ac:dyDescent="0.25">
      <c r="A10" s="12" t="s">
        <v>404</v>
      </c>
      <c r="B10" s="12" t="s">
        <v>405</v>
      </c>
      <c r="C10" s="12"/>
      <c r="D10" s="13">
        <v>0.66666666666666663</v>
      </c>
      <c r="E10" s="13">
        <v>0.68055555555555558</v>
      </c>
      <c r="F10" s="12" t="s">
        <v>406</v>
      </c>
      <c r="G10" s="12" t="s">
        <v>412</v>
      </c>
      <c r="H10" s="14">
        <v>13</v>
      </c>
      <c r="I10" s="15">
        <v>19</v>
      </c>
      <c r="J10" s="15">
        <v>131</v>
      </c>
      <c r="K10" s="14">
        <f t="shared" si="0"/>
        <v>1703</v>
      </c>
      <c r="L10">
        <v>9</v>
      </c>
      <c r="N10" s="30" t="s">
        <v>40</v>
      </c>
      <c r="O10" t="s">
        <v>41</v>
      </c>
      <c r="P10">
        <v>23</v>
      </c>
      <c r="Q10" t="s">
        <v>407</v>
      </c>
      <c r="R10">
        <v>24</v>
      </c>
      <c r="S10" t="s">
        <v>408</v>
      </c>
      <c r="T10">
        <v>29</v>
      </c>
      <c r="X10" s="2" t="s">
        <v>413</v>
      </c>
      <c r="Y10" s="3">
        <v>29.06</v>
      </c>
      <c r="AA10" s="3">
        <f t="shared" si="1"/>
        <v>3806.8599999999997</v>
      </c>
      <c r="AB10" s="20" t="s">
        <v>120</v>
      </c>
    </row>
    <row r="11" spans="1:28" ht="23.25" customHeight="1" x14ac:dyDescent="0.25">
      <c r="A11" s="12" t="s">
        <v>404</v>
      </c>
      <c r="B11" s="12" t="s">
        <v>405</v>
      </c>
      <c r="C11" s="12"/>
      <c r="D11" s="13">
        <v>0.66666666666666663</v>
      </c>
      <c r="E11" s="13">
        <v>0.67708333333333337</v>
      </c>
      <c r="F11" s="12" t="s">
        <v>410</v>
      </c>
      <c r="G11" s="12" t="s">
        <v>414</v>
      </c>
      <c r="H11" s="14">
        <v>9.6</v>
      </c>
      <c r="I11" s="15">
        <v>19</v>
      </c>
      <c r="J11" s="15">
        <v>37</v>
      </c>
      <c r="K11" s="14">
        <f t="shared" si="0"/>
        <v>355.2</v>
      </c>
      <c r="L11">
        <v>10</v>
      </c>
      <c r="N11" s="30" t="s">
        <v>40</v>
      </c>
      <c r="O11" t="s">
        <v>41</v>
      </c>
      <c r="P11">
        <v>23</v>
      </c>
      <c r="Q11" t="s">
        <v>407</v>
      </c>
      <c r="R11">
        <v>24</v>
      </c>
      <c r="S11" t="s">
        <v>408</v>
      </c>
      <c r="T11">
        <v>30</v>
      </c>
      <c r="X11" s="2" t="s">
        <v>415</v>
      </c>
      <c r="Y11" s="3">
        <v>21.46</v>
      </c>
      <c r="AA11" s="3">
        <f t="shared" si="1"/>
        <v>794.02</v>
      </c>
      <c r="AB11" s="20" t="s">
        <v>120</v>
      </c>
    </row>
    <row r="12" spans="1:28" ht="34.5" customHeight="1" x14ac:dyDescent="0.25">
      <c r="A12" s="12" t="s">
        <v>404</v>
      </c>
      <c r="B12" s="12" t="s">
        <v>405</v>
      </c>
      <c r="C12" s="12"/>
      <c r="D12" s="13">
        <v>0.66666666666666663</v>
      </c>
      <c r="E12" s="13">
        <v>0.67708333333333337</v>
      </c>
      <c r="F12" s="12" t="s">
        <v>410</v>
      </c>
      <c r="G12" s="12" t="s">
        <v>416</v>
      </c>
      <c r="H12" s="14">
        <v>9.6</v>
      </c>
      <c r="I12" s="15">
        <v>19</v>
      </c>
      <c r="J12" s="15">
        <v>21</v>
      </c>
      <c r="K12" s="14">
        <f t="shared" si="0"/>
        <v>201.6</v>
      </c>
      <c r="L12">
        <v>11</v>
      </c>
      <c r="N12" s="30" t="s">
        <v>40</v>
      </c>
      <c r="O12" t="s">
        <v>41</v>
      </c>
      <c r="P12">
        <v>23</v>
      </c>
      <c r="Q12" t="s">
        <v>407</v>
      </c>
      <c r="R12">
        <v>24</v>
      </c>
      <c r="S12" t="s">
        <v>408</v>
      </c>
      <c r="T12">
        <v>31</v>
      </c>
      <c r="X12" s="2" t="s">
        <v>417</v>
      </c>
      <c r="Y12" s="3">
        <v>21.46</v>
      </c>
      <c r="AA12" s="3">
        <f t="shared" si="1"/>
        <v>450.66</v>
      </c>
      <c r="AB12" s="20" t="s">
        <v>120</v>
      </c>
    </row>
    <row r="13" spans="1:28" ht="34.5" customHeight="1" x14ac:dyDescent="0.25">
      <c r="A13" s="12" t="s">
        <v>404</v>
      </c>
      <c r="B13" s="12" t="s">
        <v>405</v>
      </c>
      <c r="C13" s="12"/>
      <c r="D13" s="13">
        <v>0.69861111111111107</v>
      </c>
      <c r="E13" s="13">
        <v>0.70347222222222228</v>
      </c>
      <c r="F13" s="12" t="s">
        <v>409</v>
      </c>
      <c r="G13" s="12" t="s">
        <v>412</v>
      </c>
      <c r="H13" s="14">
        <v>13</v>
      </c>
      <c r="I13" s="15">
        <v>19</v>
      </c>
      <c r="J13" s="15">
        <v>131</v>
      </c>
      <c r="K13" s="14">
        <f t="shared" si="0"/>
        <v>1703</v>
      </c>
      <c r="L13">
        <v>12</v>
      </c>
      <c r="N13" s="30" t="s">
        <v>40</v>
      </c>
      <c r="O13" t="s">
        <v>41</v>
      </c>
      <c r="P13">
        <v>23</v>
      </c>
      <c r="Q13" t="s">
        <v>407</v>
      </c>
      <c r="R13">
        <v>24</v>
      </c>
      <c r="S13" t="s">
        <v>408</v>
      </c>
      <c r="T13">
        <v>32</v>
      </c>
      <c r="X13" s="2" t="s">
        <v>413</v>
      </c>
      <c r="Y13" s="3">
        <v>29.06</v>
      </c>
      <c r="AA13" s="3">
        <f t="shared" si="1"/>
        <v>3806.8599999999997</v>
      </c>
      <c r="AB13" s="20" t="s">
        <v>120</v>
      </c>
    </row>
    <row r="14" spans="1:28" ht="23.25" customHeight="1" x14ac:dyDescent="0.25">
      <c r="A14" s="12" t="s">
        <v>404</v>
      </c>
      <c r="B14" s="12" t="s">
        <v>405</v>
      </c>
      <c r="C14" s="12"/>
      <c r="D14" s="13">
        <v>0.70347222222222228</v>
      </c>
      <c r="E14" s="13">
        <v>0.71388888888888891</v>
      </c>
      <c r="F14" s="12" t="s">
        <v>411</v>
      </c>
      <c r="G14" s="12" t="s">
        <v>414</v>
      </c>
      <c r="H14" s="14">
        <v>9.6</v>
      </c>
      <c r="I14" s="15">
        <v>19</v>
      </c>
      <c r="J14" s="15">
        <v>37</v>
      </c>
      <c r="K14" s="14">
        <f t="shared" si="0"/>
        <v>355.2</v>
      </c>
      <c r="L14">
        <v>13</v>
      </c>
      <c r="N14" s="30" t="s">
        <v>40</v>
      </c>
      <c r="O14" t="s">
        <v>41</v>
      </c>
      <c r="P14">
        <v>23</v>
      </c>
      <c r="Q14" t="s">
        <v>407</v>
      </c>
      <c r="R14">
        <v>24</v>
      </c>
      <c r="S14" t="s">
        <v>408</v>
      </c>
      <c r="T14">
        <v>33</v>
      </c>
      <c r="X14" s="2" t="s">
        <v>415</v>
      </c>
      <c r="Y14" s="3">
        <v>21.46</v>
      </c>
      <c r="AA14" s="3">
        <f t="shared" si="1"/>
        <v>794.02</v>
      </c>
      <c r="AB14" s="20" t="s">
        <v>120</v>
      </c>
    </row>
    <row r="15" spans="1:28" ht="34.5" customHeight="1" x14ac:dyDescent="0.25">
      <c r="A15" s="12" t="s">
        <v>404</v>
      </c>
      <c r="B15" s="12" t="s">
        <v>405</v>
      </c>
      <c r="C15" s="12"/>
      <c r="D15" s="13">
        <v>0.70347222222222228</v>
      </c>
      <c r="E15" s="13">
        <v>0.71388888888888891</v>
      </c>
      <c r="F15" s="12" t="s">
        <v>411</v>
      </c>
      <c r="G15" s="12" t="s">
        <v>416</v>
      </c>
      <c r="H15" s="14">
        <v>9.6</v>
      </c>
      <c r="I15" s="15">
        <v>19</v>
      </c>
      <c r="J15" s="15">
        <v>21</v>
      </c>
      <c r="K15" s="14">
        <f t="shared" si="0"/>
        <v>201.6</v>
      </c>
      <c r="L15">
        <v>14</v>
      </c>
      <c r="N15" s="30" t="s">
        <v>40</v>
      </c>
      <c r="O15" t="s">
        <v>41</v>
      </c>
      <c r="P15">
        <v>23</v>
      </c>
      <c r="Q15" t="s">
        <v>407</v>
      </c>
      <c r="R15">
        <v>24</v>
      </c>
      <c r="S15" t="s">
        <v>408</v>
      </c>
      <c r="T15">
        <v>34</v>
      </c>
      <c r="X15" s="2" t="s">
        <v>417</v>
      </c>
      <c r="Y15" s="3">
        <v>21.46</v>
      </c>
      <c r="AA15" s="3">
        <f t="shared" si="1"/>
        <v>450.66</v>
      </c>
      <c r="AB15" s="20" t="s">
        <v>120</v>
      </c>
    </row>
    <row r="16" spans="1:28" ht="34.5" customHeight="1" x14ac:dyDescent="0.25">
      <c r="A16" s="12" t="s">
        <v>404</v>
      </c>
      <c r="B16" s="12" t="s">
        <v>405</v>
      </c>
      <c r="C16" s="12"/>
      <c r="D16" s="13">
        <v>0.75347222222222221</v>
      </c>
      <c r="E16" s="13">
        <v>0.76736111111111116</v>
      </c>
      <c r="F16" s="12" t="s">
        <v>406</v>
      </c>
      <c r="G16" s="12" t="s">
        <v>206</v>
      </c>
      <c r="H16" s="14">
        <v>13</v>
      </c>
      <c r="I16" s="15">
        <v>19</v>
      </c>
      <c r="J16" s="15">
        <v>189</v>
      </c>
      <c r="K16" s="14">
        <f t="shared" si="0"/>
        <v>2457</v>
      </c>
      <c r="L16">
        <v>15</v>
      </c>
      <c r="N16" s="30" t="s">
        <v>40</v>
      </c>
      <c r="O16" t="s">
        <v>41</v>
      </c>
      <c r="P16">
        <v>23</v>
      </c>
      <c r="Q16" t="s">
        <v>407</v>
      </c>
      <c r="R16">
        <v>24</v>
      </c>
      <c r="S16" t="s">
        <v>408</v>
      </c>
      <c r="T16">
        <v>35</v>
      </c>
      <c r="X16" s="2" t="s">
        <v>207</v>
      </c>
      <c r="Y16" s="3">
        <v>29.06</v>
      </c>
      <c r="AA16" s="3">
        <f t="shared" si="1"/>
        <v>5492.34</v>
      </c>
      <c r="AB16" s="20" t="s">
        <v>120</v>
      </c>
    </row>
    <row r="17" spans="1:28" ht="34.5" customHeight="1" x14ac:dyDescent="0.25">
      <c r="A17" s="12" t="s">
        <v>404</v>
      </c>
      <c r="B17" s="12" t="s">
        <v>405</v>
      </c>
      <c r="C17" s="12"/>
      <c r="D17" s="13">
        <v>0.77083333333333337</v>
      </c>
      <c r="E17" s="13">
        <v>0.78472222222222221</v>
      </c>
      <c r="F17" s="12" t="s">
        <v>409</v>
      </c>
      <c r="G17" s="12" t="s">
        <v>206</v>
      </c>
      <c r="H17" s="14">
        <v>13</v>
      </c>
      <c r="I17" s="15">
        <v>19</v>
      </c>
      <c r="J17" s="15">
        <v>189</v>
      </c>
      <c r="K17" s="14">
        <f t="shared" si="0"/>
        <v>2457</v>
      </c>
      <c r="L17">
        <v>16</v>
      </c>
      <c r="N17" s="30" t="s">
        <v>40</v>
      </c>
      <c r="O17" t="s">
        <v>41</v>
      </c>
      <c r="P17">
        <v>23</v>
      </c>
      <c r="Q17" t="s">
        <v>407</v>
      </c>
      <c r="R17">
        <v>24</v>
      </c>
      <c r="S17" t="s">
        <v>408</v>
      </c>
      <c r="T17">
        <v>36</v>
      </c>
      <c r="X17" s="2" t="s">
        <v>207</v>
      </c>
      <c r="Y17" s="3">
        <v>29.06</v>
      </c>
      <c r="AA17" s="3">
        <f t="shared" si="1"/>
        <v>5492.34</v>
      </c>
      <c r="AB17" s="20" t="s">
        <v>120</v>
      </c>
    </row>
    <row r="18" spans="1:28" ht="34.5" customHeight="1" x14ac:dyDescent="0.25">
      <c r="A18" s="12" t="s">
        <v>404</v>
      </c>
      <c r="B18" s="12" t="s">
        <v>405</v>
      </c>
      <c r="C18" s="12"/>
      <c r="D18" s="13">
        <v>0.79513888888888884</v>
      </c>
      <c r="E18" s="13">
        <v>0.80902777777777779</v>
      </c>
      <c r="F18" s="12" t="s">
        <v>406</v>
      </c>
      <c r="G18" s="12" t="s">
        <v>144</v>
      </c>
      <c r="H18" s="14">
        <v>13</v>
      </c>
      <c r="I18" s="15">
        <v>19</v>
      </c>
      <c r="J18" s="15">
        <v>164</v>
      </c>
      <c r="K18" s="14">
        <f t="shared" si="0"/>
        <v>2132</v>
      </c>
      <c r="L18">
        <v>17</v>
      </c>
      <c r="N18" s="30" t="s">
        <v>40</v>
      </c>
      <c r="O18" t="s">
        <v>41</v>
      </c>
      <c r="P18">
        <v>23</v>
      </c>
      <c r="Q18" t="s">
        <v>407</v>
      </c>
      <c r="R18">
        <v>24</v>
      </c>
      <c r="S18" t="s">
        <v>408</v>
      </c>
      <c r="T18">
        <v>37</v>
      </c>
      <c r="X18" s="2" t="s">
        <v>145</v>
      </c>
      <c r="Y18" s="3">
        <v>29.06</v>
      </c>
      <c r="AA18" s="3">
        <f t="shared" si="1"/>
        <v>4765.84</v>
      </c>
      <c r="AB18" s="20" t="s">
        <v>120</v>
      </c>
    </row>
    <row r="19" spans="1:28" ht="34.5" customHeight="1" x14ac:dyDescent="0.25">
      <c r="A19" s="12" t="s">
        <v>404</v>
      </c>
      <c r="B19" s="12" t="s">
        <v>405</v>
      </c>
      <c r="C19" s="12"/>
      <c r="D19" s="13">
        <v>0.8125</v>
      </c>
      <c r="E19" s="13">
        <v>0.82638888888888884</v>
      </c>
      <c r="F19" s="12" t="s">
        <v>409</v>
      </c>
      <c r="G19" s="12" t="s">
        <v>144</v>
      </c>
      <c r="H19" s="14">
        <v>13</v>
      </c>
      <c r="I19" s="15">
        <v>19</v>
      </c>
      <c r="J19" s="15">
        <v>164</v>
      </c>
      <c r="K19" s="14">
        <f t="shared" si="0"/>
        <v>2132</v>
      </c>
      <c r="L19">
        <v>18</v>
      </c>
      <c r="N19" s="30" t="s">
        <v>40</v>
      </c>
      <c r="O19" t="s">
        <v>41</v>
      </c>
      <c r="P19">
        <v>23</v>
      </c>
      <c r="Q19" t="s">
        <v>407</v>
      </c>
      <c r="R19">
        <v>24</v>
      </c>
      <c r="S19" t="s">
        <v>408</v>
      </c>
      <c r="T19">
        <v>38</v>
      </c>
      <c r="X19" s="2" t="s">
        <v>145</v>
      </c>
      <c r="Y19" s="3">
        <v>29.06</v>
      </c>
      <c r="AA19" s="3">
        <f t="shared" si="1"/>
        <v>4765.84</v>
      </c>
      <c r="AB19" s="20" t="s">
        <v>120</v>
      </c>
    </row>
    <row r="20" spans="1:28" ht="34.5" customHeight="1" x14ac:dyDescent="0.25">
      <c r="A20" s="12" t="s">
        <v>404</v>
      </c>
      <c r="B20" s="12" t="s">
        <v>405</v>
      </c>
      <c r="C20" s="12"/>
      <c r="D20" s="13">
        <v>0.82986111111111116</v>
      </c>
      <c r="E20" s="13">
        <v>0.84444444444444444</v>
      </c>
      <c r="F20" s="12" t="s">
        <v>406</v>
      </c>
      <c r="G20" s="12" t="s">
        <v>206</v>
      </c>
      <c r="H20" s="14">
        <v>13</v>
      </c>
      <c r="I20" s="15">
        <v>19</v>
      </c>
      <c r="J20" s="15">
        <v>189</v>
      </c>
      <c r="K20" s="14">
        <f t="shared" si="0"/>
        <v>2457</v>
      </c>
      <c r="L20">
        <v>19</v>
      </c>
      <c r="N20" s="30" t="s">
        <v>40</v>
      </c>
      <c r="O20" t="s">
        <v>41</v>
      </c>
      <c r="P20">
        <v>23</v>
      </c>
      <c r="Q20" t="s">
        <v>407</v>
      </c>
      <c r="R20">
        <v>24</v>
      </c>
      <c r="S20" t="s">
        <v>408</v>
      </c>
      <c r="T20">
        <v>39</v>
      </c>
      <c r="X20" s="2" t="s">
        <v>207</v>
      </c>
      <c r="Y20" s="3">
        <v>29.06</v>
      </c>
      <c r="AA20" s="3">
        <f t="shared" si="1"/>
        <v>5492.34</v>
      </c>
      <c r="AB20" s="20" t="s">
        <v>120</v>
      </c>
    </row>
    <row r="21" spans="1:28" ht="23.25" customHeight="1" x14ac:dyDescent="0.25">
      <c r="A21" s="12" t="s">
        <v>404</v>
      </c>
      <c r="B21" s="12" t="s">
        <v>405</v>
      </c>
      <c r="C21" s="12"/>
      <c r="D21" s="13">
        <v>0.32291666666666669</v>
      </c>
      <c r="E21" s="13">
        <v>0.33333333333333331</v>
      </c>
      <c r="F21" s="12" t="s">
        <v>411</v>
      </c>
      <c r="G21" s="12" t="s">
        <v>208</v>
      </c>
      <c r="H21" s="14">
        <v>9.6</v>
      </c>
      <c r="I21" s="15">
        <v>19</v>
      </c>
      <c r="J21" s="15">
        <v>47</v>
      </c>
      <c r="K21" s="14">
        <f t="shared" si="0"/>
        <v>451.2</v>
      </c>
      <c r="L21">
        <v>20</v>
      </c>
      <c r="N21" s="30" t="s">
        <v>40</v>
      </c>
      <c r="O21" t="s">
        <v>41</v>
      </c>
      <c r="P21">
        <v>23</v>
      </c>
      <c r="Q21" t="s">
        <v>407</v>
      </c>
      <c r="R21">
        <v>24</v>
      </c>
      <c r="S21" t="s">
        <v>408</v>
      </c>
      <c r="T21">
        <v>40</v>
      </c>
      <c r="X21" s="2" t="s">
        <v>209</v>
      </c>
      <c r="Y21" s="3">
        <v>21.46</v>
      </c>
      <c r="AA21" s="3">
        <f t="shared" si="1"/>
        <v>1008.62</v>
      </c>
      <c r="AB21" s="20" t="s">
        <v>120</v>
      </c>
    </row>
    <row r="22" spans="1:28" ht="34.5" customHeight="1" x14ac:dyDescent="0.25">
      <c r="A22" s="12" t="s">
        <v>404</v>
      </c>
      <c r="B22" s="12" t="s">
        <v>405</v>
      </c>
      <c r="C22" s="12"/>
      <c r="D22" s="13">
        <v>0.36458333333333331</v>
      </c>
      <c r="E22" s="13">
        <v>0.37916666666666671</v>
      </c>
      <c r="F22" s="12" t="s">
        <v>406</v>
      </c>
      <c r="G22" s="12" t="s">
        <v>208</v>
      </c>
      <c r="H22" s="14">
        <v>13</v>
      </c>
      <c r="I22" s="15">
        <v>19</v>
      </c>
      <c r="J22" s="15">
        <v>47</v>
      </c>
      <c r="K22" s="14">
        <f t="shared" si="0"/>
        <v>611</v>
      </c>
      <c r="L22">
        <v>21</v>
      </c>
      <c r="N22" s="30" t="s">
        <v>40</v>
      </c>
      <c r="O22" t="s">
        <v>41</v>
      </c>
      <c r="P22">
        <v>23</v>
      </c>
      <c r="Q22" t="s">
        <v>407</v>
      </c>
      <c r="R22">
        <v>24</v>
      </c>
      <c r="S22" t="s">
        <v>408</v>
      </c>
      <c r="T22">
        <v>41</v>
      </c>
      <c r="X22" s="2" t="s">
        <v>209</v>
      </c>
      <c r="Y22" s="3">
        <v>29.06</v>
      </c>
      <c r="AA22" s="3">
        <f t="shared" si="1"/>
        <v>1365.82</v>
      </c>
      <c r="AB22" s="20" t="s">
        <v>120</v>
      </c>
    </row>
    <row r="23" spans="1:28" ht="34.5" customHeight="1" x14ac:dyDescent="0.25">
      <c r="A23" s="12" t="s">
        <v>404</v>
      </c>
      <c r="B23" s="12" t="s">
        <v>405</v>
      </c>
      <c r="C23" s="12"/>
      <c r="D23" s="13">
        <v>0.39097222222222222</v>
      </c>
      <c r="E23" s="13">
        <v>0.40625</v>
      </c>
      <c r="F23" s="12" t="s">
        <v>409</v>
      </c>
      <c r="G23" s="12" t="s">
        <v>208</v>
      </c>
      <c r="H23" s="14">
        <v>13</v>
      </c>
      <c r="I23" s="15">
        <v>19</v>
      </c>
      <c r="J23" s="15">
        <v>47</v>
      </c>
      <c r="K23" s="14">
        <f t="shared" si="0"/>
        <v>611</v>
      </c>
      <c r="L23">
        <v>22</v>
      </c>
      <c r="N23" s="30" t="s">
        <v>40</v>
      </c>
      <c r="O23" t="s">
        <v>41</v>
      </c>
      <c r="P23">
        <v>23</v>
      </c>
      <c r="Q23" t="s">
        <v>407</v>
      </c>
      <c r="R23">
        <v>24</v>
      </c>
      <c r="S23" t="s">
        <v>408</v>
      </c>
      <c r="T23">
        <v>42</v>
      </c>
      <c r="X23" s="2" t="s">
        <v>209</v>
      </c>
      <c r="Y23" s="3">
        <v>29.06</v>
      </c>
      <c r="AA23" s="3">
        <f t="shared" si="1"/>
        <v>1365.82</v>
      </c>
      <c r="AB23" s="20" t="s">
        <v>120</v>
      </c>
    </row>
    <row r="24" spans="1:28" ht="34.5" customHeight="1" x14ac:dyDescent="0.25">
      <c r="A24" s="12" t="s">
        <v>404</v>
      </c>
      <c r="B24" s="12" t="s">
        <v>405</v>
      </c>
      <c r="C24" s="12"/>
      <c r="D24" s="13">
        <v>0.5</v>
      </c>
      <c r="E24" s="13">
        <v>0.51458333333333328</v>
      </c>
      <c r="F24" s="12" t="s">
        <v>406</v>
      </c>
      <c r="G24" s="12" t="s">
        <v>208</v>
      </c>
      <c r="H24" s="14">
        <v>13</v>
      </c>
      <c r="I24" s="15">
        <v>19</v>
      </c>
      <c r="J24" s="15">
        <v>47</v>
      </c>
      <c r="K24" s="14">
        <f t="shared" si="0"/>
        <v>611</v>
      </c>
      <c r="L24">
        <v>23</v>
      </c>
      <c r="N24" s="30" t="s">
        <v>40</v>
      </c>
      <c r="O24" t="s">
        <v>41</v>
      </c>
      <c r="P24">
        <v>23</v>
      </c>
      <c r="Q24" t="s">
        <v>407</v>
      </c>
      <c r="R24">
        <v>24</v>
      </c>
      <c r="S24" t="s">
        <v>408</v>
      </c>
      <c r="T24">
        <v>43</v>
      </c>
      <c r="X24" s="2" t="s">
        <v>209</v>
      </c>
      <c r="Y24" s="3">
        <v>29.06</v>
      </c>
      <c r="AA24" s="3">
        <f t="shared" si="1"/>
        <v>1365.82</v>
      </c>
      <c r="AB24" s="20" t="s">
        <v>120</v>
      </c>
    </row>
    <row r="25" spans="1:28" ht="34.5" customHeight="1" x14ac:dyDescent="0.25">
      <c r="A25" s="12" t="s">
        <v>404</v>
      </c>
      <c r="B25" s="12" t="s">
        <v>405</v>
      </c>
      <c r="C25" s="12"/>
      <c r="D25" s="13">
        <v>0.52569444444444446</v>
      </c>
      <c r="E25" s="13">
        <v>0.54166666666666663</v>
      </c>
      <c r="F25" s="12" t="s">
        <v>409</v>
      </c>
      <c r="G25" s="12" t="s">
        <v>208</v>
      </c>
      <c r="H25" s="14">
        <v>13</v>
      </c>
      <c r="I25" s="15">
        <v>19</v>
      </c>
      <c r="J25" s="15">
        <v>47</v>
      </c>
      <c r="K25" s="14">
        <f t="shared" si="0"/>
        <v>611</v>
      </c>
      <c r="L25">
        <v>24</v>
      </c>
      <c r="N25" s="30" t="s">
        <v>40</v>
      </c>
      <c r="O25" t="s">
        <v>41</v>
      </c>
      <c r="P25">
        <v>23</v>
      </c>
      <c r="Q25" t="s">
        <v>407</v>
      </c>
      <c r="R25">
        <v>24</v>
      </c>
      <c r="S25" t="s">
        <v>408</v>
      </c>
      <c r="T25">
        <v>44</v>
      </c>
      <c r="X25" s="2" t="s">
        <v>209</v>
      </c>
      <c r="Y25" s="3">
        <v>29.06</v>
      </c>
      <c r="AA25" s="3">
        <f t="shared" si="1"/>
        <v>1365.82</v>
      </c>
      <c r="AB25" s="20" t="s">
        <v>120</v>
      </c>
    </row>
    <row r="26" spans="1:28" ht="23.25" customHeight="1" x14ac:dyDescent="0.25">
      <c r="A26" s="12" t="s">
        <v>404</v>
      </c>
      <c r="B26" s="12" t="s">
        <v>405</v>
      </c>
      <c r="C26" s="12"/>
      <c r="D26" s="13">
        <v>0.58333333333333337</v>
      </c>
      <c r="E26" s="13">
        <v>0.59375</v>
      </c>
      <c r="F26" s="12" t="s">
        <v>410</v>
      </c>
      <c r="G26" s="12" t="s">
        <v>208</v>
      </c>
      <c r="H26" s="14">
        <v>9.6</v>
      </c>
      <c r="I26" s="15">
        <v>19</v>
      </c>
      <c r="J26" s="15">
        <v>47</v>
      </c>
      <c r="K26" s="14">
        <f t="shared" si="0"/>
        <v>451.2</v>
      </c>
      <c r="L26">
        <v>25</v>
      </c>
      <c r="N26" s="30" t="s">
        <v>40</v>
      </c>
      <c r="O26" t="s">
        <v>41</v>
      </c>
      <c r="P26">
        <v>23</v>
      </c>
      <c r="Q26" t="s">
        <v>407</v>
      </c>
      <c r="R26">
        <v>24</v>
      </c>
      <c r="S26" t="s">
        <v>408</v>
      </c>
      <c r="T26">
        <v>45</v>
      </c>
      <c r="X26" s="2" t="s">
        <v>209</v>
      </c>
      <c r="Y26" s="3">
        <v>21.46</v>
      </c>
      <c r="AA26" s="3">
        <f t="shared" si="1"/>
        <v>1008.62</v>
      </c>
      <c r="AB26" s="20" t="s">
        <v>120</v>
      </c>
    </row>
    <row r="27" spans="1:28" ht="23.25" customHeight="1" x14ac:dyDescent="0.25">
      <c r="A27" s="12" t="s">
        <v>404</v>
      </c>
      <c r="B27" s="12" t="s">
        <v>405</v>
      </c>
      <c r="C27" s="12"/>
      <c r="D27" s="13">
        <v>0.60624999999999996</v>
      </c>
      <c r="E27" s="13">
        <v>0.61458333333333337</v>
      </c>
      <c r="F27" s="12" t="s">
        <v>411</v>
      </c>
      <c r="G27" s="12" t="s">
        <v>208</v>
      </c>
      <c r="H27" s="14">
        <v>9.6</v>
      </c>
      <c r="I27" s="15">
        <v>19</v>
      </c>
      <c r="J27" s="15">
        <v>47</v>
      </c>
      <c r="K27" s="14">
        <f t="shared" si="0"/>
        <v>451.2</v>
      </c>
      <c r="L27">
        <v>26</v>
      </c>
      <c r="N27" s="30" t="s">
        <v>40</v>
      </c>
      <c r="O27" t="s">
        <v>41</v>
      </c>
      <c r="P27">
        <v>23</v>
      </c>
      <c r="Q27" t="s">
        <v>407</v>
      </c>
      <c r="R27">
        <v>24</v>
      </c>
      <c r="S27" t="s">
        <v>408</v>
      </c>
      <c r="T27">
        <v>46</v>
      </c>
      <c r="X27" s="2" t="s">
        <v>209</v>
      </c>
      <c r="Y27" s="3">
        <v>21.46</v>
      </c>
      <c r="AA27" s="3">
        <f t="shared" si="1"/>
        <v>1008.62</v>
      </c>
      <c r="AB27" s="20" t="s">
        <v>120</v>
      </c>
    </row>
    <row r="28" spans="1:28" ht="34.5" customHeight="1" x14ac:dyDescent="0.25">
      <c r="A28" s="12" t="s">
        <v>404</v>
      </c>
      <c r="B28" s="12" t="s">
        <v>405</v>
      </c>
      <c r="C28" s="12"/>
      <c r="D28" s="13">
        <v>0.78194444444444444</v>
      </c>
      <c r="E28" s="13">
        <v>0.79583333333333328</v>
      </c>
      <c r="F28" s="12" t="s">
        <v>406</v>
      </c>
      <c r="G28" s="12" t="s">
        <v>208</v>
      </c>
      <c r="H28" s="14">
        <v>13</v>
      </c>
      <c r="I28" s="15">
        <v>19</v>
      </c>
      <c r="J28" s="15">
        <v>47</v>
      </c>
      <c r="K28" s="14">
        <f t="shared" si="0"/>
        <v>611</v>
      </c>
      <c r="L28">
        <v>27</v>
      </c>
      <c r="N28" s="30" t="s">
        <v>40</v>
      </c>
      <c r="O28" t="s">
        <v>41</v>
      </c>
      <c r="P28">
        <v>23</v>
      </c>
      <c r="Q28" t="s">
        <v>407</v>
      </c>
      <c r="R28">
        <v>24</v>
      </c>
      <c r="S28" t="s">
        <v>408</v>
      </c>
      <c r="T28">
        <v>47</v>
      </c>
      <c r="X28" s="2" t="s">
        <v>209</v>
      </c>
      <c r="Y28" s="3">
        <v>29.06</v>
      </c>
      <c r="AA28" s="3">
        <f t="shared" si="1"/>
        <v>1365.82</v>
      </c>
      <c r="AB28" s="20" t="s">
        <v>120</v>
      </c>
    </row>
    <row r="29" spans="1:28" ht="23.25" customHeight="1" x14ac:dyDescent="0.25">
      <c r="A29" s="12" t="s">
        <v>404</v>
      </c>
      <c r="B29" s="12" t="s">
        <v>405</v>
      </c>
      <c r="C29" s="12"/>
      <c r="D29" s="13">
        <v>0.79652777777777772</v>
      </c>
      <c r="E29" s="13">
        <v>0.80208333333333337</v>
      </c>
      <c r="F29" s="12" t="s">
        <v>418</v>
      </c>
      <c r="G29" s="12" t="s">
        <v>208</v>
      </c>
      <c r="H29" s="14">
        <v>4.8</v>
      </c>
      <c r="I29" s="15">
        <v>19</v>
      </c>
      <c r="J29" s="15">
        <v>47</v>
      </c>
      <c r="K29" s="14">
        <f t="shared" si="0"/>
        <v>225.6</v>
      </c>
      <c r="L29">
        <v>28</v>
      </c>
      <c r="N29" s="30" t="s">
        <v>40</v>
      </c>
      <c r="O29" t="s">
        <v>41</v>
      </c>
      <c r="P29">
        <v>23</v>
      </c>
      <c r="Q29" t="s">
        <v>407</v>
      </c>
      <c r="R29">
        <v>24</v>
      </c>
      <c r="S29" t="s">
        <v>408</v>
      </c>
      <c r="T29">
        <v>48</v>
      </c>
      <c r="X29" s="2" t="s">
        <v>209</v>
      </c>
      <c r="Y29" s="3">
        <v>10.73</v>
      </c>
      <c r="AA29" s="3">
        <f t="shared" si="1"/>
        <v>504.31</v>
      </c>
      <c r="AB29" s="20" t="s">
        <v>120</v>
      </c>
    </row>
    <row r="30" spans="1:28" ht="29.25" customHeight="1" x14ac:dyDescent="0.25">
      <c r="A30" s="12" t="s">
        <v>404</v>
      </c>
      <c r="B30" s="12" t="s">
        <v>405</v>
      </c>
      <c r="C30" s="12"/>
      <c r="D30" s="13"/>
      <c r="E30" s="13"/>
      <c r="F30" s="12" t="s">
        <v>419</v>
      </c>
      <c r="G30" s="12" t="s">
        <v>171</v>
      </c>
      <c r="H30" s="14">
        <v>1</v>
      </c>
      <c r="I30" s="15">
        <v>19</v>
      </c>
      <c r="J30" s="15">
        <v>226</v>
      </c>
      <c r="K30" s="14">
        <f t="shared" si="0"/>
        <v>226</v>
      </c>
      <c r="L30">
        <v>29</v>
      </c>
      <c r="N30" s="30" t="s">
        <v>40</v>
      </c>
      <c r="O30" t="s">
        <v>41</v>
      </c>
      <c r="P30">
        <v>23</v>
      </c>
      <c r="Q30" t="s">
        <v>407</v>
      </c>
      <c r="R30">
        <v>24</v>
      </c>
      <c r="S30" t="s">
        <v>408</v>
      </c>
      <c r="T30">
        <v>49</v>
      </c>
      <c r="X30" s="2" t="s">
        <v>172</v>
      </c>
      <c r="Y30" s="3">
        <v>2.2400000000000002</v>
      </c>
      <c r="AA30" s="3">
        <f t="shared" si="1"/>
        <v>506.24000000000007</v>
      </c>
      <c r="AB30" s="20" t="s">
        <v>120</v>
      </c>
    </row>
    <row r="31" spans="1:28" ht="29.25" customHeight="1" x14ac:dyDescent="0.25">
      <c r="A31" s="12" t="s">
        <v>404</v>
      </c>
      <c r="B31" s="12" t="s">
        <v>405</v>
      </c>
      <c r="C31" s="12"/>
      <c r="D31" s="13"/>
      <c r="E31" s="13"/>
      <c r="F31" s="12" t="s">
        <v>420</v>
      </c>
      <c r="G31" s="12" t="s">
        <v>171</v>
      </c>
      <c r="H31" s="14">
        <v>1</v>
      </c>
      <c r="I31" s="15">
        <v>19</v>
      </c>
      <c r="J31" s="15">
        <v>226</v>
      </c>
      <c r="K31" s="14">
        <f t="shared" si="0"/>
        <v>226</v>
      </c>
      <c r="L31">
        <v>30</v>
      </c>
      <c r="N31" s="30" t="s">
        <v>40</v>
      </c>
      <c r="O31" t="s">
        <v>41</v>
      </c>
      <c r="P31">
        <v>23</v>
      </c>
      <c r="Q31" t="s">
        <v>407</v>
      </c>
      <c r="R31">
        <v>24</v>
      </c>
      <c r="S31" t="s">
        <v>408</v>
      </c>
      <c r="T31">
        <v>50</v>
      </c>
      <c r="X31" s="2" t="s">
        <v>172</v>
      </c>
      <c r="Y31" s="3">
        <v>2.2400000000000002</v>
      </c>
      <c r="AA31" s="3">
        <f t="shared" si="1"/>
        <v>506.24000000000007</v>
      </c>
      <c r="AB31" s="20" t="s">
        <v>120</v>
      </c>
    </row>
    <row r="32" spans="1:28" s="59" customFormat="1" ht="15" customHeight="1" x14ac:dyDescent="0.25">
      <c r="A32" s="55"/>
      <c r="B32" s="55"/>
      <c r="C32" s="55"/>
      <c r="E32" s="56"/>
      <c r="F32" s="55"/>
      <c r="G32" s="55"/>
      <c r="H32" s="57" t="s">
        <v>422</v>
      </c>
      <c r="I32" s="58"/>
      <c r="J32" s="58"/>
      <c r="K32" s="65">
        <f>SUM(K2:K31)</f>
        <v>39611.599999999991</v>
      </c>
      <c r="L32" s="48" t="s">
        <v>423</v>
      </c>
      <c r="AA32" s="63">
        <f>SUM(AA2:AA31)</f>
        <v>88549.450000000026</v>
      </c>
      <c r="AB32" s="48" t="s">
        <v>423</v>
      </c>
    </row>
    <row r="34" spans="11:28" x14ac:dyDescent="0.25">
      <c r="K34" s="64">
        <f>'CEMBRA giu-ago'!K12</f>
        <v>16297.949999999999</v>
      </c>
      <c r="L34" s="42" t="s">
        <v>424</v>
      </c>
      <c r="AA34" s="70">
        <f>'ALBIANO giu-ago'!AA32</f>
        <v>26948.810000000009</v>
      </c>
      <c r="AB34" s="42" t="s">
        <v>424</v>
      </c>
    </row>
    <row r="35" spans="11:28" x14ac:dyDescent="0.25">
      <c r="AA35" s="70"/>
    </row>
    <row r="36" spans="11:28" x14ac:dyDescent="0.25">
      <c r="K36" s="64">
        <f>SUM(K32:K35)</f>
        <v>55909.549999999988</v>
      </c>
      <c r="AA36" s="70">
        <f>SUM(AA32:AA35)</f>
        <v>115498.26000000004</v>
      </c>
    </row>
    <row r="38" spans="11:28" x14ac:dyDescent="0.25">
      <c r="K38">
        <v>39611.599999999991</v>
      </c>
      <c r="AA38">
        <v>88549.450000000026</v>
      </c>
    </row>
    <row r="40" spans="11:28" x14ac:dyDescent="0.25">
      <c r="K40">
        <v>16297.949999999999</v>
      </c>
      <c r="AA40">
        <v>26948.810000000009</v>
      </c>
    </row>
    <row r="42" spans="11:28" x14ac:dyDescent="0.25">
      <c r="K42">
        <v>55909.549999999988</v>
      </c>
      <c r="AA42">
        <v>115498.26000000004</v>
      </c>
    </row>
    <row r="44" spans="11:28" x14ac:dyDescent="0.25">
      <c r="K44" s="52">
        <f>K38-K32</f>
        <v>0</v>
      </c>
      <c r="AA44" s="52">
        <f>AA38-AA32</f>
        <v>0</v>
      </c>
    </row>
    <row r="45" spans="11:28" x14ac:dyDescent="0.25">
      <c r="K45" s="52">
        <f>K34-K40</f>
        <v>0</v>
      </c>
      <c r="AA45" s="52">
        <f>AA34-AA40</f>
        <v>0</v>
      </c>
    </row>
    <row r="46" spans="11:28" x14ac:dyDescent="0.25">
      <c r="K46" s="52">
        <f>K36-K42</f>
        <v>0</v>
      </c>
      <c r="AA46" s="52">
        <f>AA36-AA42</f>
        <v>0</v>
      </c>
    </row>
  </sheetData>
  <autoFilter ref="A1:AA32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zoomScaleNormal="100" workbookViewId="0">
      <selection activeCell="E23" sqref="E23"/>
    </sheetView>
  </sheetViews>
  <sheetFormatPr defaultColWidth="8.7109375" defaultRowHeight="15" x14ac:dyDescent="0.25"/>
  <cols>
    <col min="1" max="1" width="23.7109375" customWidth="1"/>
    <col min="2" max="2" width="14" customWidth="1"/>
    <col min="3" max="3" width="10.85546875" customWidth="1"/>
    <col min="4" max="4" width="14.42578125" customWidth="1"/>
    <col min="5" max="5" width="20" style="34" customWidth="1"/>
    <col min="6" max="6" width="14" customWidth="1"/>
    <col min="7" max="7" width="26.85546875" customWidth="1"/>
    <col min="8" max="8" width="34" customWidth="1"/>
    <col min="9" max="9" width="14" customWidth="1"/>
    <col min="10" max="10" width="21.7109375" customWidth="1"/>
    <col min="11" max="11" width="18.5703125" customWidth="1"/>
  </cols>
  <sheetData>
    <row r="1" spans="1:11" ht="30" customHeight="1" x14ac:dyDescent="0.25">
      <c r="A1" s="35" t="s">
        <v>0</v>
      </c>
      <c r="B1" s="35" t="s">
        <v>1</v>
      </c>
      <c r="C1" s="35" t="s">
        <v>2</v>
      </c>
      <c r="D1" s="35" t="s">
        <v>3</v>
      </c>
      <c r="E1" s="36" t="s">
        <v>4</v>
      </c>
      <c r="F1" s="35" t="s">
        <v>5</v>
      </c>
      <c r="G1" s="35" t="s">
        <v>6</v>
      </c>
      <c r="H1" s="37" t="s">
        <v>7</v>
      </c>
      <c r="I1" s="37" t="s">
        <v>8</v>
      </c>
      <c r="J1" s="37" t="s">
        <v>9</v>
      </c>
      <c r="K1" s="38" t="s">
        <v>10</v>
      </c>
    </row>
    <row r="2" spans="1:11" ht="15" customHeight="1" x14ac:dyDescent="0.25">
      <c r="A2" s="39" t="s">
        <v>11</v>
      </c>
      <c r="B2" s="39" t="s">
        <v>12</v>
      </c>
      <c r="C2" s="39">
        <v>45</v>
      </c>
      <c r="D2" s="39" t="s">
        <v>13</v>
      </c>
      <c r="E2" s="40">
        <v>42354</v>
      </c>
      <c r="F2" s="40">
        <v>45650</v>
      </c>
      <c r="G2" s="41" t="s">
        <v>14</v>
      </c>
      <c r="H2" t="s">
        <v>15</v>
      </c>
      <c r="I2" t="s">
        <v>16</v>
      </c>
      <c r="K2" t="s">
        <v>17</v>
      </c>
    </row>
    <row r="3" spans="1:11" ht="15" customHeight="1" x14ac:dyDescent="0.25">
      <c r="A3" s="39" t="s">
        <v>11</v>
      </c>
      <c r="B3" s="39" t="s">
        <v>18</v>
      </c>
      <c r="C3" s="39">
        <v>56</v>
      </c>
      <c r="D3" s="39" t="s">
        <v>19</v>
      </c>
      <c r="E3" s="40">
        <v>42727</v>
      </c>
      <c r="F3" s="40">
        <v>46008</v>
      </c>
      <c r="G3" s="41" t="s">
        <v>20</v>
      </c>
      <c r="H3" t="s">
        <v>15</v>
      </c>
      <c r="I3" t="s">
        <v>16</v>
      </c>
      <c r="K3" t="s">
        <v>21</v>
      </c>
    </row>
    <row r="4" spans="1:11" ht="15" customHeight="1" x14ac:dyDescent="0.25">
      <c r="A4" s="39" t="s">
        <v>11</v>
      </c>
      <c r="B4" s="39" t="s">
        <v>22</v>
      </c>
      <c r="C4" s="39">
        <v>33</v>
      </c>
      <c r="D4" s="39" t="s">
        <v>13</v>
      </c>
      <c r="E4" s="40">
        <v>43045</v>
      </c>
      <c r="F4" s="40">
        <v>45602</v>
      </c>
      <c r="G4" s="41" t="s">
        <v>23</v>
      </c>
      <c r="H4" t="s">
        <v>15</v>
      </c>
      <c r="I4" t="s">
        <v>16</v>
      </c>
      <c r="K4" t="s">
        <v>24</v>
      </c>
    </row>
    <row r="5" spans="1:11" ht="15" customHeight="1" x14ac:dyDescent="0.25">
      <c r="A5" s="39" t="s">
        <v>11</v>
      </c>
      <c r="B5" s="39" t="s">
        <v>25</v>
      </c>
      <c r="C5" s="39">
        <v>54</v>
      </c>
      <c r="D5" s="39" t="s">
        <v>19</v>
      </c>
      <c r="E5" s="40">
        <v>43840</v>
      </c>
      <c r="F5" s="40">
        <v>45707</v>
      </c>
      <c r="G5" s="41" t="s">
        <v>26</v>
      </c>
      <c r="H5" t="s">
        <v>15</v>
      </c>
      <c r="I5" t="s">
        <v>27</v>
      </c>
      <c r="K5" t="s">
        <v>28</v>
      </c>
    </row>
    <row r="6" spans="1:11" ht="15" customHeight="1" x14ac:dyDescent="0.25">
      <c r="A6" s="39" t="s">
        <v>11</v>
      </c>
      <c r="B6" s="39" t="s">
        <v>29</v>
      </c>
      <c r="C6" s="39">
        <v>29</v>
      </c>
      <c r="D6" s="39" t="s">
        <v>19</v>
      </c>
      <c r="E6" s="40">
        <v>44418</v>
      </c>
      <c r="F6" s="40">
        <v>45868</v>
      </c>
      <c r="G6" s="41" t="s">
        <v>20</v>
      </c>
      <c r="H6" t="s">
        <v>30</v>
      </c>
      <c r="I6" t="s">
        <v>27</v>
      </c>
      <c r="K6" t="s">
        <v>31</v>
      </c>
    </row>
    <row r="7" spans="1:11" ht="15" customHeight="1" x14ac:dyDescent="0.25">
      <c r="A7" s="39" t="s">
        <v>11</v>
      </c>
      <c r="B7" s="39" t="s">
        <v>32</v>
      </c>
      <c r="C7" s="39">
        <v>55</v>
      </c>
      <c r="D7" s="39" t="s">
        <v>13</v>
      </c>
      <c r="E7" s="40">
        <v>45505</v>
      </c>
      <c r="F7" s="40">
        <v>45896</v>
      </c>
      <c r="G7" s="41" t="s">
        <v>14</v>
      </c>
      <c r="H7" t="s">
        <v>15</v>
      </c>
      <c r="I7" t="s">
        <v>27</v>
      </c>
      <c r="K7" t="s">
        <v>33</v>
      </c>
    </row>
    <row r="8" spans="1:11" ht="15" customHeight="1" x14ac:dyDescent="0.25">
      <c r="A8" s="39" t="s">
        <v>11</v>
      </c>
      <c r="B8" s="39" t="s">
        <v>34</v>
      </c>
      <c r="C8" s="39">
        <v>24</v>
      </c>
      <c r="D8" s="39" t="s">
        <v>13</v>
      </c>
      <c r="E8" s="40">
        <v>45855</v>
      </c>
      <c r="F8" s="40">
        <v>45855</v>
      </c>
      <c r="G8" s="41" t="s">
        <v>14</v>
      </c>
      <c r="H8" t="s">
        <v>30</v>
      </c>
      <c r="I8" t="s">
        <v>27</v>
      </c>
      <c r="K8" t="s">
        <v>35</v>
      </c>
    </row>
    <row r="9" spans="1:11" ht="15" customHeight="1" x14ac:dyDescent="0.25">
      <c r="A9" s="39" t="s">
        <v>36</v>
      </c>
      <c r="B9" s="39" t="s">
        <v>37</v>
      </c>
      <c r="C9" s="39">
        <v>23</v>
      </c>
      <c r="D9" s="39" t="s">
        <v>19</v>
      </c>
      <c r="E9" s="40">
        <v>44098</v>
      </c>
      <c r="F9" s="40">
        <v>45875</v>
      </c>
      <c r="G9" s="41" t="s">
        <v>26</v>
      </c>
      <c r="H9" t="s">
        <v>30</v>
      </c>
      <c r="I9" t="s">
        <v>27</v>
      </c>
      <c r="K9" t="s">
        <v>38</v>
      </c>
    </row>
    <row r="10" spans="1:11" ht="15" customHeight="1" x14ac:dyDescent="0.25">
      <c r="A10" s="39" t="s">
        <v>36</v>
      </c>
      <c r="B10" s="39" t="s">
        <v>39</v>
      </c>
      <c r="C10" s="39">
        <v>24</v>
      </c>
      <c r="D10" s="39" t="s">
        <v>13</v>
      </c>
      <c r="E10" s="40">
        <v>44498</v>
      </c>
      <c r="F10" s="40">
        <v>45945</v>
      </c>
      <c r="G10" s="41" t="s">
        <v>14</v>
      </c>
      <c r="H10" t="s">
        <v>30</v>
      </c>
      <c r="I10" t="s">
        <v>27</v>
      </c>
      <c r="K10" t="s">
        <v>38</v>
      </c>
    </row>
    <row r="11" spans="1:11" ht="15" customHeight="1" x14ac:dyDescent="0.25">
      <c r="A11" s="39" t="s">
        <v>40</v>
      </c>
      <c r="B11" s="39" t="s">
        <v>41</v>
      </c>
      <c r="C11" s="39">
        <v>23</v>
      </c>
      <c r="D11" s="39" t="s">
        <v>13</v>
      </c>
      <c r="E11" s="40">
        <v>43362</v>
      </c>
      <c r="F11" s="40">
        <v>45714</v>
      </c>
      <c r="G11" s="41" t="s">
        <v>14</v>
      </c>
      <c r="H11" t="s">
        <v>30</v>
      </c>
      <c r="I11" t="s">
        <v>27</v>
      </c>
      <c r="K11" t="s">
        <v>42</v>
      </c>
    </row>
    <row r="12" spans="1:11" ht="15" customHeight="1" x14ac:dyDescent="0.25">
      <c r="A12" s="39" t="s">
        <v>43</v>
      </c>
      <c r="B12" s="39" t="s">
        <v>44</v>
      </c>
      <c r="C12" s="39">
        <v>23</v>
      </c>
      <c r="D12" s="39" t="s">
        <v>13</v>
      </c>
      <c r="E12" s="40">
        <v>45091</v>
      </c>
      <c r="F12" s="40">
        <v>45882</v>
      </c>
      <c r="G12" s="41" t="s">
        <v>14</v>
      </c>
      <c r="H12" t="s">
        <v>30</v>
      </c>
      <c r="I12" t="s">
        <v>27</v>
      </c>
      <c r="K12" s="42" t="s">
        <v>45</v>
      </c>
    </row>
    <row r="13" spans="1:11" ht="15" customHeight="1" x14ac:dyDescent="0.25">
      <c r="A13" s="39" t="s">
        <v>43</v>
      </c>
      <c r="B13" s="39" t="s">
        <v>46</v>
      </c>
      <c r="C13" s="39">
        <v>21</v>
      </c>
      <c r="D13" s="39" t="s">
        <v>19</v>
      </c>
      <c r="E13" s="40">
        <v>45266</v>
      </c>
      <c r="F13" s="40">
        <v>45672</v>
      </c>
      <c r="G13" s="41" t="s">
        <v>26</v>
      </c>
      <c r="H13" t="s">
        <v>30</v>
      </c>
      <c r="I13" t="s">
        <v>27</v>
      </c>
      <c r="K13" s="42" t="s">
        <v>45</v>
      </c>
    </row>
    <row r="14" spans="1:11" ht="15" customHeight="1" x14ac:dyDescent="0.25">
      <c r="A14" s="39" t="s">
        <v>47</v>
      </c>
      <c r="B14" s="39" t="s">
        <v>48</v>
      </c>
      <c r="C14" s="39">
        <v>10</v>
      </c>
      <c r="D14" s="39" t="s">
        <v>19</v>
      </c>
      <c r="E14" s="40">
        <v>43126</v>
      </c>
      <c r="F14" s="40">
        <v>46043</v>
      </c>
      <c r="G14" s="41" t="s">
        <v>26</v>
      </c>
      <c r="H14" t="s">
        <v>30</v>
      </c>
      <c r="I14" t="s">
        <v>16</v>
      </c>
      <c r="K14" t="s">
        <v>49</v>
      </c>
    </row>
    <row r="15" spans="1:11" ht="15" customHeight="1" x14ac:dyDescent="0.25">
      <c r="A15" s="39" t="s">
        <v>47</v>
      </c>
      <c r="B15" s="39" t="s">
        <v>50</v>
      </c>
      <c r="C15" s="39">
        <v>21</v>
      </c>
      <c r="D15" s="39" t="s">
        <v>19</v>
      </c>
      <c r="E15" s="40">
        <v>42724</v>
      </c>
      <c r="F15" s="40">
        <v>46001</v>
      </c>
      <c r="G15" s="41" t="s">
        <v>26</v>
      </c>
      <c r="H15" t="s">
        <v>30</v>
      </c>
      <c r="I15" t="s">
        <v>16</v>
      </c>
      <c r="K15" t="s">
        <v>49</v>
      </c>
    </row>
    <row r="16" spans="1:11" ht="15" customHeight="1" x14ac:dyDescent="0.25">
      <c r="A16" s="39" t="s">
        <v>47</v>
      </c>
      <c r="B16" s="39" t="s">
        <v>51</v>
      </c>
      <c r="C16" s="39">
        <v>24</v>
      </c>
      <c r="D16" s="39" t="s">
        <v>13</v>
      </c>
      <c r="E16" s="40">
        <v>43466</v>
      </c>
      <c r="F16" s="40">
        <v>46027</v>
      </c>
      <c r="G16" s="41" t="s">
        <v>14</v>
      </c>
      <c r="H16" t="s">
        <v>30</v>
      </c>
      <c r="I16" t="s">
        <v>27</v>
      </c>
      <c r="J16" t="s">
        <v>52</v>
      </c>
      <c r="K16" t="s">
        <v>42</v>
      </c>
    </row>
    <row r="17" spans="1:11" ht="15" customHeight="1" x14ac:dyDescent="0.25">
      <c r="A17" s="39" t="s">
        <v>47</v>
      </c>
      <c r="B17" s="39" t="s">
        <v>53</v>
      </c>
      <c r="C17" s="39">
        <v>21</v>
      </c>
      <c r="D17" s="39" t="s">
        <v>13</v>
      </c>
      <c r="E17" s="40">
        <v>44508</v>
      </c>
      <c r="F17" s="40">
        <v>45896</v>
      </c>
      <c r="G17" s="41" t="s">
        <v>14</v>
      </c>
      <c r="H17" t="s">
        <v>30</v>
      </c>
      <c r="I17" t="s">
        <v>27</v>
      </c>
      <c r="K17" t="s">
        <v>49</v>
      </c>
    </row>
    <row r="18" spans="1:11" ht="15" customHeight="1" x14ac:dyDescent="0.25">
      <c r="A18" s="39" t="s">
        <v>54</v>
      </c>
      <c r="B18" s="39" t="s">
        <v>55</v>
      </c>
      <c r="C18" s="39">
        <v>21</v>
      </c>
      <c r="D18" s="39" t="s">
        <v>19</v>
      </c>
      <c r="E18" s="40">
        <v>44468</v>
      </c>
      <c r="F18" s="40">
        <v>45987</v>
      </c>
      <c r="G18" s="41" t="s">
        <v>26</v>
      </c>
      <c r="H18" t="s">
        <v>30</v>
      </c>
      <c r="I18" t="s">
        <v>27</v>
      </c>
      <c r="J18" t="s">
        <v>56</v>
      </c>
      <c r="K18" t="s">
        <v>57</v>
      </c>
    </row>
    <row r="19" spans="1:11" ht="15" customHeight="1" x14ac:dyDescent="0.25">
      <c r="A19" s="39" t="s">
        <v>58</v>
      </c>
      <c r="B19" s="39" t="s">
        <v>59</v>
      </c>
      <c r="C19" s="39">
        <v>21</v>
      </c>
      <c r="D19" s="39" t="s">
        <v>13</v>
      </c>
      <c r="E19" s="40">
        <v>42802</v>
      </c>
      <c r="F19" s="40">
        <v>45833</v>
      </c>
      <c r="G19" s="41" t="s">
        <v>14</v>
      </c>
      <c r="H19" t="s">
        <v>30</v>
      </c>
      <c r="I19" t="s">
        <v>16</v>
      </c>
      <c r="K19" t="s">
        <v>49</v>
      </c>
    </row>
    <row r="20" spans="1:11" ht="15" customHeight="1" x14ac:dyDescent="0.25">
      <c r="A20" s="39" t="s">
        <v>60</v>
      </c>
      <c r="B20" s="39" t="s">
        <v>61</v>
      </c>
      <c r="C20" s="39">
        <v>21</v>
      </c>
      <c r="D20" s="39" t="s">
        <v>13</v>
      </c>
      <c r="E20" s="40">
        <v>41575</v>
      </c>
      <c r="F20" s="40">
        <v>45952</v>
      </c>
      <c r="G20" s="41" t="s">
        <v>14</v>
      </c>
      <c r="H20" s="43" t="s">
        <v>62</v>
      </c>
      <c r="I20" t="s">
        <v>16</v>
      </c>
      <c r="J20" s="44" t="s">
        <v>63</v>
      </c>
      <c r="K20" t="s">
        <v>49</v>
      </c>
    </row>
    <row r="21" spans="1:11" ht="15" customHeight="1" x14ac:dyDescent="0.25">
      <c r="A21" s="39" t="s">
        <v>60</v>
      </c>
      <c r="B21" s="39" t="s">
        <v>64</v>
      </c>
      <c r="C21" s="39">
        <v>24</v>
      </c>
      <c r="D21" s="39" t="s">
        <v>13</v>
      </c>
      <c r="E21" s="40">
        <v>44498</v>
      </c>
      <c r="F21" s="40">
        <v>45812</v>
      </c>
      <c r="G21" s="41" t="s">
        <v>14</v>
      </c>
      <c r="H21" t="s">
        <v>30</v>
      </c>
      <c r="I21" t="s">
        <v>27</v>
      </c>
      <c r="K21" t="s">
        <v>49</v>
      </c>
    </row>
    <row r="22" spans="1:11" ht="15" customHeight="1" x14ac:dyDescent="0.25">
      <c r="A22" s="39" t="s">
        <v>60</v>
      </c>
      <c r="B22" s="39" t="s">
        <v>65</v>
      </c>
      <c r="C22" s="39">
        <v>23</v>
      </c>
      <c r="D22" s="39" t="s">
        <v>13</v>
      </c>
      <c r="E22" s="40">
        <v>45385</v>
      </c>
      <c r="F22" s="40">
        <v>46197</v>
      </c>
      <c r="G22" s="41" t="s">
        <v>14</v>
      </c>
      <c r="H22" t="s">
        <v>30</v>
      </c>
      <c r="I22" t="s">
        <v>27</v>
      </c>
      <c r="K22" t="s">
        <v>49</v>
      </c>
    </row>
    <row r="23" spans="1:11" ht="15" customHeight="1" x14ac:dyDescent="0.25">
      <c r="A23" s="39" t="s">
        <v>66</v>
      </c>
      <c r="B23" s="39" t="s">
        <v>67</v>
      </c>
      <c r="C23" s="39">
        <v>21</v>
      </c>
      <c r="D23" s="39" t="s">
        <v>19</v>
      </c>
      <c r="E23" s="40">
        <v>43761</v>
      </c>
      <c r="F23" s="40">
        <v>46029</v>
      </c>
      <c r="G23" s="41" t="s">
        <v>26</v>
      </c>
      <c r="H23" t="s">
        <v>30</v>
      </c>
      <c r="I23" t="s">
        <v>27</v>
      </c>
      <c r="K23" t="s">
        <v>68</v>
      </c>
    </row>
    <row r="24" spans="1:11" ht="15" customHeight="1" x14ac:dyDescent="0.25">
      <c r="A24" s="39" t="s">
        <v>66</v>
      </c>
      <c r="B24" s="39" t="s">
        <v>69</v>
      </c>
      <c r="C24" s="39">
        <v>21</v>
      </c>
      <c r="D24" s="39" t="s">
        <v>13</v>
      </c>
      <c r="E24" s="40">
        <v>43761</v>
      </c>
      <c r="F24" s="40">
        <v>46015</v>
      </c>
      <c r="G24" s="41" t="s">
        <v>14</v>
      </c>
      <c r="H24" t="s">
        <v>30</v>
      </c>
      <c r="I24" t="s">
        <v>27</v>
      </c>
      <c r="K24" t="s">
        <v>70</v>
      </c>
    </row>
    <row r="25" spans="1:11" ht="15" customHeight="1" x14ac:dyDescent="0.25">
      <c r="A25" s="39" t="s">
        <v>66</v>
      </c>
      <c r="B25" s="39" t="s">
        <v>71</v>
      </c>
      <c r="C25" s="39">
        <v>21</v>
      </c>
      <c r="D25" s="39" t="s">
        <v>19</v>
      </c>
      <c r="E25" s="40">
        <v>43761</v>
      </c>
      <c r="F25" s="40">
        <v>46155</v>
      </c>
      <c r="G25" s="41" t="s">
        <v>26</v>
      </c>
      <c r="H25" t="s">
        <v>30</v>
      </c>
      <c r="I25" t="s">
        <v>27</v>
      </c>
      <c r="K25" t="s">
        <v>72</v>
      </c>
    </row>
    <row r="26" spans="1:11" ht="15" customHeight="1" x14ac:dyDescent="0.25">
      <c r="A26" s="39" t="s">
        <v>73</v>
      </c>
      <c r="B26" s="39" t="s">
        <v>74</v>
      </c>
      <c r="C26" s="39">
        <v>56</v>
      </c>
      <c r="D26" s="39" t="s">
        <v>19</v>
      </c>
      <c r="E26" s="40">
        <v>42804</v>
      </c>
      <c r="F26" s="40">
        <v>45812</v>
      </c>
      <c r="G26" s="41" t="s">
        <v>20</v>
      </c>
      <c r="H26" t="s">
        <v>15</v>
      </c>
      <c r="I26" t="s">
        <v>16</v>
      </c>
      <c r="K26" t="s">
        <v>75</v>
      </c>
    </row>
    <row r="27" spans="1:11" ht="15" customHeight="1" x14ac:dyDescent="0.25">
      <c r="A27" s="39" t="s">
        <v>73</v>
      </c>
      <c r="B27" s="39" t="s">
        <v>76</v>
      </c>
      <c r="C27" s="39">
        <v>56</v>
      </c>
      <c r="D27" s="39" t="s">
        <v>13</v>
      </c>
      <c r="E27" s="40">
        <v>42921</v>
      </c>
      <c r="F27" s="40">
        <v>45952</v>
      </c>
      <c r="G27" s="41" t="s">
        <v>23</v>
      </c>
      <c r="H27" t="s">
        <v>15</v>
      </c>
      <c r="I27" t="s">
        <v>16</v>
      </c>
      <c r="K27" t="s">
        <v>77</v>
      </c>
    </row>
    <row r="28" spans="1:11" ht="15" customHeight="1" x14ac:dyDescent="0.25">
      <c r="A28" s="39" t="s">
        <v>73</v>
      </c>
      <c r="B28" s="39" t="s">
        <v>78</v>
      </c>
      <c r="C28" s="39">
        <v>53</v>
      </c>
      <c r="D28" s="39" t="s">
        <v>19</v>
      </c>
      <c r="E28" s="40">
        <v>41626</v>
      </c>
      <c r="F28" s="40">
        <v>46127</v>
      </c>
      <c r="G28" s="41" t="s">
        <v>20</v>
      </c>
      <c r="H28" t="s">
        <v>15</v>
      </c>
      <c r="I28" t="s">
        <v>16</v>
      </c>
      <c r="K28" t="s">
        <v>79</v>
      </c>
    </row>
    <row r="29" spans="1:11" ht="15" customHeight="1" x14ac:dyDescent="0.25">
      <c r="A29" s="39" t="s">
        <v>80</v>
      </c>
      <c r="B29" s="39" t="s">
        <v>81</v>
      </c>
      <c r="C29" s="39">
        <v>24</v>
      </c>
      <c r="D29" s="39" t="s">
        <v>13</v>
      </c>
      <c r="E29" s="40">
        <v>43056</v>
      </c>
      <c r="F29" s="40">
        <v>46092</v>
      </c>
      <c r="G29" s="41" t="s">
        <v>14</v>
      </c>
      <c r="H29" t="s">
        <v>30</v>
      </c>
      <c r="I29" t="s">
        <v>16</v>
      </c>
      <c r="K29" t="s">
        <v>49</v>
      </c>
    </row>
    <row r="30" spans="1:11" ht="15" customHeight="1" x14ac:dyDescent="0.25">
      <c r="A30" s="39" t="s">
        <v>80</v>
      </c>
      <c r="B30" s="39" t="s">
        <v>82</v>
      </c>
      <c r="C30" s="39">
        <v>22</v>
      </c>
      <c r="D30" s="39" t="s">
        <v>19</v>
      </c>
      <c r="E30" s="40">
        <v>45147</v>
      </c>
      <c r="F30" s="40">
        <v>46134</v>
      </c>
      <c r="G30" s="41" t="s">
        <v>26</v>
      </c>
      <c r="H30" t="s">
        <v>30</v>
      </c>
      <c r="I30" t="s">
        <v>27</v>
      </c>
      <c r="K30" t="s">
        <v>49</v>
      </c>
    </row>
    <row r="31" spans="1:11" ht="15" customHeight="1" x14ac:dyDescent="0.25">
      <c r="A31" s="39" t="s">
        <v>83</v>
      </c>
      <c r="B31" s="39" t="s">
        <v>84</v>
      </c>
      <c r="C31" s="39">
        <v>21</v>
      </c>
      <c r="D31" s="39" t="s">
        <v>19</v>
      </c>
      <c r="E31" s="40">
        <v>42543</v>
      </c>
      <c r="F31" s="40">
        <v>45917</v>
      </c>
      <c r="G31" s="41" t="s">
        <v>26</v>
      </c>
      <c r="H31" t="s">
        <v>30</v>
      </c>
      <c r="I31" t="s">
        <v>16</v>
      </c>
      <c r="K31" t="s">
        <v>49</v>
      </c>
    </row>
    <row r="32" spans="1:11" ht="15" customHeight="1" x14ac:dyDescent="0.25">
      <c r="A32" s="39" t="s">
        <v>83</v>
      </c>
      <c r="B32" s="39" t="s">
        <v>85</v>
      </c>
      <c r="C32" s="39">
        <v>21</v>
      </c>
      <c r="D32" s="39" t="s">
        <v>13</v>
      </c>
      <c r="E32" s="40">
        <v>45551</v>
      </c>
      <c r="F32" s="40">
        <v>45924</v>
      </c>
      <c r="G32" s="41" t="s">
        <v>14</v>
      </c>
      <c r="H32" t="s">
        <v>30</v>
      </c>
      <c r="I32" t="s">
        <v>27</v>
      </c>
      <c r="K32" t="s">
        <v>49</v>
      </c>
    </row>
  </sheetData>
  <autoFilter ref="A1:K32" xr:uid="{00000000-0009-0000-0000-000005000000}"/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30"/>
  <sheetViews>
    <sheetView topLeftCell="A80" zoomScaleNormal="100" workbookViewId="0">
      <selection activeCell="AA84" sqref="AA84"/>
    </sheetView>
  </sheetViews>
  <sheetFormatPr defaultColWidth="8.7109375" defaultRowHeight="15" x14ac:dyDescent="0.25"/>
  <cols>
    <col min="1" max="1" width="13.85546875" customWidth="1"/>
    <col min="2" max="2" width="6" customWidth="1"/>
    <col min="3" max="4" width="8.42578125" customWidth="1"/>
    <col min="5" max="5" width="6.7109375" customWidth="1"/>
    <col min="6" max="6" width="25.28515625" customWidth="1"/>
    <col min="7" max="7" width="19" customWidth="1"/>
    <col min="8" max="8" width="10" customWidth="1"/>
    <col min="9" max="10" width="8" customWidth="1"/>
    <col min="11" max="11" width="12" customWidth="1"/>
    <col min="12" max="12" width="5.28515625" customWidth="1"/>
    <col min="13" max="13" width="3.5703125" customWidth="1"/>
    <col min="14" max="14" width="14.28515625" style="1" customWidth="1"/>
    <col min="16" max="16" width="5.85546875" customWidth="1"/>
    <col min="18" max="18" width="6.7109375" customWidth="1"/>
    <col min="19" max="19" width="11.85546875" customWidth="1"/>
    <col min="20" max="20" width="7.140625" customWidth="1"/>
    <col min="21" max="21" width="5.5703125" hidden="1" customWidth="1"/>
    <col min="22" max="22" width="5.28515625" hidden="1" customWidth="1"/>
    <col min="23" max="23" width="7.5703125" customWidth="1"/>
    <col min="24" max="24" width="20.42578125" style="2" customWidth="1"/>
    <col min="25" max="25" width="12.140625" customWidth="1"/>
    <col min="26" max="26" width="11.42578125" style="3" customWidth="1"/>
    <col min="27" max="27" width="15.42578125" customWidth="1"/>
    <col min="28" max="28" width="30" customWidth="1"/>
  </cols>
  <sheetData>
    <row r="1" spans="1:28" ht="60.75" customHeight="1" x14ac:dyDescent="0.25">
      <c r="A1" s="4" t="s">
        <v>86</v>
      </c>
      <c r="B1" s="4" t="s">
        <v>87</v>
      </c>
      <c r="C1" s="4" t="s">
        <v>88</v>
      </c>
      <c r="D1" s="4" t="s">
        <v>89</v>
      </c>
      <c r="E1" s="4" t="s">
        <v>90</v>
      </c>
      <c r="F1" s="4" t="s">
        <v>91</v>
      </c>
      <c r="G1" s="4" t="s">
        <v>92</v>
      </c>
      <c r="H1" s="4" t="s">
        <v>93</v>
      </c>
      <c r="I1" s="4" t="s">
        <v>94</v>
      </c>
      <c r="J1" s="4" t="s">
        <v>95</v>
      </c>
      <c r="K1" s="4" t="s">
        <v>96</v>
      </c>
      <c r="L1" s="5" t="s">
        <v>97</v>
      </c>
      <c r="M1" s="5" t="s">
        <v>98</v>
      </c>
      <c r="N1" s="6" t="s">
        <v>99</v>
      </c>
      <c r="O1" s="7" t="s">
        <v>100</v>
      </c>
      <c r="P1" s="7" t="s">
        <v>101</v>
      </c>
      <c r="Q1" s="7" t="s">
        <v>102</v>
      </c>
      <c r="R1" s="7" t="s">
        <v>103</v>
      </c>
      <c r="S1" s="7" t="s">
        <v>104</v>
      </c>
      <c r="T1" s="7" t="s">
        <v>105</v>
      </c>
      <c r="U1" s="7" t="s">
        <v>106</v>
      </c>
      <c r="V1" s="7" t="s">
        <v>107</v>
      </c>
      <c r="W1" s="7" t="s">
        <v>108</v>
      </c>
      <c r="X1" s="8" t="s">
        <v>109</v>
      </c>
      <c r="Y1" s="9" t="s">
        <v>110</v>
      </c>
      <c r="Z1" s="9" t="s">
        <v>111</v>
      </c>
      <c r="AA1" s="10" t="s">
        <v>112</v>
      </c>
      <c r="AB1" s="11" t="s">
        <v>421</v>
      </c>
    </row>
    <row r="2" spans="1:28" ht="51" customHeight="1" x14ac:dyDescent="0.25">
      <c r="A2" s="12" t="s">
        <v>114</v>
      </c>
      <c r="B2" s="12" t="s">
        <v>115</v>
      </c>
      <c r="C2" s="12" t="s">
        <v>116</v>
      </c>
      <c r="D2" s="13">
        <v>0.29722222222222222</v>
      </c>
      <c r="E2" s="13">
        <v>0.30555555555555558</v>
      </c>
      <c r="F2" s="12" t="s">
        <v>117</v>
      </c>
      <c r="G2" s="12" t="s">
        <v>118</v>
      </c>
      <c r="H2" s="14">
        <v>4.5</v>
      </c>
      <c r="I2" s="15">
        <v>23</v>
      </c>
      <c r="J2" s="15">
        <v>25</v>
      </c>
      <c r="K2" s="14">
        <f>J2*H2</f>
        <v>112.5</v>
      </c>
      <c r="L2">
        <v>1</v>
      </c>
      <c r="N2" s="16" t="s">
        <v>80</v>
      </c>
      <c r="O2" t="s">
        <v>81</v>
      </c>
      <c r="P2">
        <v>24</v>
      </c>
      <c r="Q2" t="s">
        <v>82</v>
      </c>
      <c r="R2" s="17">
        <v>22</v>
      </c>
      <c r="S2" t="s">
        <v>82</v>
      </c>
      <c r="T2">
        <v>22</v>
      </c>
      <c r="W2" s="18"/>
      <c r="X2" s="2" t="s">
        <v>119</v>
      </c>
      <c r="Y2" s="3">
        <v>18.279516617848401</v>
      </c>
      <c r="Z2" s="19">
        <v>4.0621148039663098</v>
      </c>
      <c r="AA2" s="3">
        <v>456.99</v>
      </c>
      <c r="AB2" s="20" t="s">
        <v>120</v>
      </c>
    </row>
    <row r="3" spans="1:28" ht="51" customHeight="1" x14ac:dyDescent="0.25">
      <c r="A3" s="12" t="s">
        <v>114</v>
      </c>
      <c r="B3" s="12" t="s">
        <v>115</v>
      </c>
      <c r="C3" s="12" t="s">
        <v>116</v>
      </c>
      <c r="D3" s="13">
        <v>0.30069444444444438</v>
      </c>
      <c r="E3" s="13">
        <v>0.30902777777777779</v>
      </c>
      <c r="F3" s="12" t="s">
        <v>117</v>
      </c>
      <c r="G3" s="12" t="s">
        <v>121</v>
      </c>
      <c r="H3" s="14">
        <v>4.5</v>
      </c>
      <c r="I3" s="15">
        <v>23</v>
      </c>
      <c r="J3" s="15">
        <v>52</v>
      </c>
      <c r="K3" s="14">
        <f t="shared" ref="K3:K66" si="0">J3*H3</f>
        <v>234</v>
      </c>
      <c r="L3">
        <v>2</v>
      </c>
      <c r="N3" s="16" t="s">
        <v>80</v>
      </c>
      <c r="O3" t="s">
        <v>81</v>
      </c>
      <c r="P3">
        <v>24</v>
      </c>
      <c r="Q3" t="s">
        <v>82</v>
      </c>
      <c r="R3" s="17">
        <v>22</v>
      </c>
      <c r="S3" t="s">
        <v>82</v>
      </c>
      <c r="T3">
        <v>22</v>
      </c>
      <c r="W3" s="18"/>
      <c r="X3" s="2" t="s">
        <v>122</v>
      </c>
      <c r="Y3" s="3">
        <v>18.279516617848401</v>
      </c>
      <c r="Z3" s="19">
        <v>4.0621148039663098</v>
      </c>
      <c r="AA3" s="3">
        <v>950.53</v>
      </c>
      <c r="AB3" s="20" t="s">
        <v>120</v>
      </c>
    </row>
    <row r="4" spans="1:28" ht="51" customHeight="1" x14ac:dyDescent="0.25">
      <c r="A4" s="12" t="s">
        <v>114</v>
      </c>
      <c r="B4" s="12" t="s">
        <v>115</v>
      </c>
      <c r="C4" s="12" t="s">
        <v>123</v>
      </c>
      <c r="D4" s="13">
        <v>0.3298611111111111</v>
      </c>
      <c r="E4" s="13">
        <v>0.35486111111111113</v>
      </c>
      <c r="F4" s="12" t="s">
        <v>124</v>
      </c>
      <c r="G4" s="12" t="s">
        <v>125</v>
      </c>
      <c r="H4" s="14">
        <v>14</v>
      </c>
      <c r="I4" s="15">
        <v>22</v>
      </c>
      <c r="J4" s="15">
        <v>43</v>
      </c>
      <c r="K4" s="14">
        <f t="shared" si="0"/>
        <v>602</v>
      </c>
      <c r="L4">
        <v>3</v>
      </c>
      <c r="N4" s="16" t="s">
        <v>80</v>
      </c>
      <c r="O4" t="s">
        <v>81</v>
      </c>
      <c r="P4">
        <v>24</v>
      </c>
      <c r="Q4" t="s">
        <v>82</v>
      </c>
      <c r="R4" s="17">
        <v>22</v>
      </c>
      <c r="S4" t="s">
        <v>82</v>
      </c>
      <c r="T4">
        <v>22</v>
      </c>
      <c r="W4" s="18"/>
      <c r="X4" s="2" t="s">
        <v>126</v>
      </c>
      <c r="Y4" s="3">
        <v>56.869607255528301</v>
      </c>
      <c r="Z4" s="19">
        <v>4.0621148039663098</v>
      </c>
      <c r="AA4" s="3">
        <v>2445.39</v>
      </c>
      <c r="AB4" s="20" t="s">
        <v>120</v>
      </c>
    </row>
    <row r="5" spans="1:28" ht="51" customHeight="1" x14ac:dyDescent="0.25">
      <c r="A5" s="12" t="s">
        <v>114</v>
      </c>
      <c r="B5" s="12" t="s">
        <v>115</v>
      </c>
      <c r="C5" s="12" t="s">
        <v>127</v>
      </c>
      <c r="D5" s="13">
        <v>0.4597222222222222</v>
      </c>
      <c r="E5" s="13">
        <v>0.48472222222222222</v>
      </c>
      <c r="F5" s="12" t="s">
        <v>124</v>
      </c>
      <c r="G5" s="12" t="s">
        <v>118</v>
      </c>
      <c r="H5" s="14">
        <v>14</v>
      </c>
      <c r="I5" s="15">
        <v>23</v>
      </c>
      <c r="J5" s="15">
        <v>25</v>
      </c>
      <c r="K5" s="14">
        <f t="shared" si="0"/>
        <v>350</v>
      </c>
      <c r="L5">
        <v>4</v>
      </c>
      <c r="N5" s="16" t="s">
        <v>80</v>
      </c>
      <c r="O5" t="s">
        <v>81</v>
      </c>
      <c r="P5">
        <v>24</v>
      </c>
      <c r="Q5" t="s">
        <v>82</v>
      </c>
      <c r="R5" s="17">
        <v>22</v>
      </c>
      <c r="S5" t="s">
        <v>82</v>
      </c>
      <c r="T5">
        <v>22</v>
      </c>
      <c r="W5" s="18"/>
      <c r="X5" s="2" t="s">
        <v>119</v>
      </c>
      <c r="Y5" s="3">
        <v>56.869607255528301</v>
      </c>
      <c r="Z5" s="19">
        <v>4.0621148039663098</v>
      </c>
      <c r="AA5" s="3">
        <v>1421.74</v>
      </c>
      <c r="AB5" s="20" t="s">
        <v>120</v>
      </c>
    </row>
    <row r="6" spans="1:28" ht="51" customHeight="1" x14ac:dyDescent="0.25">
      <c r="A6" s="12" t="s">
        <v>114</v>
      </c>
      <c r="B6" s="12" t="s">
        <v>115</v>
      </c>
      <c r="C6" s="12" t="s">
        <v>127</v>
      </c>
      <c r="D6" s="13">
        <v>0.4597222222222222</v>
      </c>
      <c r="E6" s="13">
        <v>0.48472222222222222</v>
      </c>
      <c r="F6" s="12" t="s">
        <v>124</v>
      </c>
      <c r="G6" s="12" t="s">
        <v>121</v>
      </c>
      <c r="H6" s="14">
        <v>14</v>
      </c>
      <c r="I6" s="15">
        <v>22</v>
      </c>
      <c r="J6" s="15">
        <v>52</v>
      </c>
      <c r="K6" s="14">
        <f t="shared" si="0"/>
        <v>728</v>
      </c>
      <c r="L6">
        <v>5</v>
      </c>
      <c r="N6" s="16" t="s">
        <v>80</v>
      </c>
      <c r="O6" t="s">
        <v>81</v>
      </c>
      <c r="P6">
        <v>24</v>
      </c>
      <c r="Q6" t="s">
        <v>82</v>
      </c>
      <c r="R6" s="17">
        <v>22</v>
      </c>
      <c r="S6" t="s">
        <v>82</v>
      </c>
      <c r="T6">
        <v>22</v>
      </c>
      <c r="W6" s="18"/>
      <c r="X6" s="2" t="s">
        <v>122</v>
      </c>
      <c r="Y6" s="3">
        <v>56.869607255528301</v>
      </c>
      <c r="Z6" s="19">
        <v>4.0621148039663098</v>
      </c>
      <c r="AA6" s="3">
        <v>2957.22</v>
      </c>
      <c r="AB6" s="20" t="s">
        <v>120</v>
      </c>
    </row>
    <row r="7" spans="1:28" ht="51" customHeight="1" x14ac:dyDescent="0.25">
      <c r="A7" s="12" t="s">
        <v>114</v>
      </c>
      <c r="B7" s="12" t="s">
        <v>115</v>
      </c>
      <c r="C7" s="12" t="s">
        <v>128</v>
      </c>
      <c r="D7" s="13">
        <v>0.50416666666666665</v>
      </c>
      <c r="E7" s="13">
        <v>0.52847222222222223</v>
      </c>
      <c r="F7" s="12" t="s">
        <v>124</v>
      </c>
      <c r="G7" s="12" t="s">
        <v>129</v>
      </c>
      <c r="H7" s="14">
        <v>14</v>
      </c>
      <c r="I7" s="15">
        <v>22</v>
      </c>
      <c r="J7" s="15">
        <v>11</v>
      </c>
      <c r="K7" s="14">
        <f t="shared" si="0"/>
        <v>154</v>
      </c>
      <c r="L7">
        <v>6</v>
      </c>
      <c r="N7" s="16" t="s">
        <v>83</v>
      </c>
      <c r="O7" t="s">
        <v>85</v>
      </c>
      <c r="P7">
        <v>21</v>
      </c>
      <c r="Q7" t="s">
        <v>84</v>
      </c>
      <c r="R7" s="17">
        <v>21</v>
      </c>
      <c r="S7" t="s">
        <v>84</v>
      </c>
      <c r="T7">
        <v>21</v>
      </c>
      <c r="W7" s="18" t="s">
        <v>130</v>
      </c>
      <c r="X7" s="2" t="s">
        <v>131</v>
      </c>
      <c r="Y7" s="3">
        <v>48.575326752515601</v>
      </c>
      <c r="Z7" s="3">
        <v>3.46966619660826</v>
      </c>
      <c r="AA7" s="3">
        <v>534.33000000000004</v>
      </c>
      <c r="AB7" s="20" t="s">
        <v>120</v>
      </c>
    </row>
    <row r="8" spans="1:28" ht="63.75" customHeight="1" x14ac:dyDescent="0.25">
      <c r="A8" s="12" t="s">
        <v>114</v>
      </c>
      <c r="B8" s="12" t="s">
        <v>115</v>
      </c>
      <c r="C8" s="12" t="s">
        <v>132</v>
      </c>
      <c r="D8" s="13">
        <v>0.50416666666666665</v>
      </c>
      <c r="E8" s="13">
        <v>0.51597222222222228</v>
      </c>
      <c r="F8" s="12" t="s">
        <v>133</v>
      </c>
      <c r="G8" s="12" t="s">
        <v>134</v>
      </c>
      <c r="H8" s="14">
        <v>7</v>
      </c>
      <c r="I8" s="15">
        <v>22</v>
      </c>
      <c r="J8" s="15">
        <v>55</v>
      </c>
      <c r="K8" s="14">
        <f t="shared" si="0"/>
        <v>385</v>
      </c>
      <c r="L8">
        <v>7</v>
      </c>
      <c r="N8" s="16" t="s">
        <v>83</v>
      </c>
      <c r="O8" t="s">
        <v>85</v>
      </c>
      <c r="P8">
        <v>21</v>
      </c>
      <c r="Q8" t="s">
        <v>84</v>
      </c>
      <c r="R8" s="17">
        <v>21</v>
      </c>
      <c r="S8" t="s">
        <v>84</v>
      </c>
      <c r="T8">
        <v>21</v>
      </c>
      <c r="W8" s="18" t="s">
        <v>130</v>
      </c>
      <c r="X8" s="2" t="s">
        <v>135</v>
      </c>
      <c r="Y8" s="3">
        <v>24.2876633762578</v>
      </c>
      <c r="Z8" s="3">
        <v>3.46966619660826</v>
      </c>
      <c r="AA8" s="3">
        <v>1335.82</v>
      </c>
      <c r="AB8" s="20" t="s">
        <v>120</v>
      </c>
    </row>
    <row r="9" spans="1:28" ht="51" customHeight="1" x14ac:dyDescent="0.25">
      <c r="A9" s="12" t="s">
        <v>114</v>
      </c>
      <c r="B9" s="12" t="s">
        <v>115</v>
      </c>
      <c r="C9" s="12" t="s">
        <v>132</v>
      </c>
      <c r="D9" s="13">
        <v>0.50416666666666665</v>
      </c>
      <c r="E9" s="13">
        <v>0.51597222222222228</v>
      </c>
      <c r="F9" s="12" t="s">
        <v>133</v>
      </c>
      <c r="G9" s="12" t="s">
        <v>136</v>
      </c>
      <c r="H9" s="14">
        <v>7</v>
      </c>
      <c r="I9" s="15">
        <v>22</v>
      </c>
      <c r="J9" s="15">
        <v>11</v>
      </c>
      <c r="K9" s="14">
        <f t="shared" si="0"/>
        <v>77</v>
      </c>
      <c r="L9">
        <v>8</v>
      </c>
      <c r="N9" s="16" t="s">
        <v>83</v>
      </c>
      <c r="O9" t="s">
        <v>85</v>
      </c>
      <c r="P9">
        <v>21</v>
      </c>
      <c r="Q9" t="s">
        <v>84</v>
      </c>
      <c r="R9" s="17">
        <v>21</v>
      </c>
      <c r="S9" t="s">
        <v>84</v>
      </c>
      <c r="T9">
        <v>21</v>
      </c>
      <c r="W9" s="18" t="s">
        <v>130</v>
      </c>
      <c r="X9" s="2" t="s">
        <v>137</v>
      </c>
      <c r="Y9" s="3">
        <v>24.2876633762578</v>
      </c>
      <c r="Z9" s="3">
        <v>3.46966619660826</v>
      </c>
      <c r="AA9" s="3">
        <v>267.16000000000003</v>
      </c>
      <c r="AB9" s="20" t="s">
        <v>120</v>
      </c>
    </row>
    <row r="10" spans="1:28" ht="76.5" customHeight="1" x14ac:dyDescent="0.25">
      <c r="A10" s="12" t="s">
        <v>114</v>
      </c>
      <c r="B10" s="12" t="s">
        <v>115</v>
      </c>
      <c r="C10" s="12" t="s">
        <v>138</v>
      </c>
      <c r="D10" s="13">
        <v>0.55000000000000004</v>
      </c>
      <c r="E10" s="13">
        <v>0.56180555555555556</v>
      </c>
      <c r="F10" s="12" t="s">
        <v>139</v>
      </c>
      <c r="G10" s="12" t="s">
        <v>140</v>
      </c>
      <c r="H10" s="14">
        <v>7</v>
      </c>
      <c r="I10" s="15">
        <v>22</v>
      </c>
      <c r="J10" s="15">
        <v>14</v>
      </c>
      <c r="K10" s="14">
        <f t="shared" si="0"/>
        <v>98</v>
      </c>
      <c r="L10">
        <v>9</v>
      </c>
      <c r="N10" s="16" t="s">
        <v>60</v>
      </c>
      <c r="O10" t="s">
        <v>64</v>
      </c>
      <c r="P10">
        <v>24</v>
      </c>
      <c r="Q10" t="s">
        <v>65</v>
      </c>
      <c r="R10" s="17">
        <v>23</v>
      </c>
      <c r="S10" t="s">
        <v>61</v>
      </c>
      <c r="T10">
        <v>21</v>
      </c>
      <c r="W10" s="18" t="s">
        <v>130</v>
      </c>
      <c r="X10" s="2" t="s">
        <v>141</v>
      </c>
      <c r="Y10" s="3">
        <v>18.117685101294398</v>
      </c>
      <c r="Z10" s="3">
        <v>2.5882407287563498</v>
      </c>
      <c r="AA10" s="3">
        <v>253.65</v>
      </c>
      <c r="AB10" s="20" t="s">
        <v>120</v>
      </c>
    </row>
    <row r="11" spans="1:28" ht="76.5" customHeight="1" x14ac:dyDescent="0.25">
      <c r="A11" s="12" t="s">
        <v>114</v>
      </c>
      <c r="B11" s="12" t="s">
        <v>115</v>
      </c>
      <c r="C11" s="12" t="s">
        <v>138</v>
      </c>
      <c r="D11" s="13">
        <v>0.55000000000000004</v>
      </c>
      <c r="E11" s="13">
        <v>0.56180555555555556</v>
      </c>
      <c r="F11" s="12" t="s">
        <v>139</v>
      </c>
      <c r="G11" s="12" t="s">
        <v>121</v>
      </c>
      <c r="H11" s="14">
        <v>7</v>
      </c>
      <c r="I11" s="15">
        <v>22</v>
      </c>
      <c r="J11" s="15">
        <v>52</v>
      </c>
      <c r="K11" s="14">
        <f t="shared" si="0"/>
        <v>364</v>
      </c>
      <c r="L11">
        <v>10</v>
      </c>
      <c r="N11" s="16" t="s">
        <v>60</v>
      </c>
      <c r="O11" t="s">
        <v>64</v>
      </c>
      <c r="P11">
        <v>24</v>
      </c>
      <c r="Q11" t="s">
        <v>65</v>
      </c>
      <c r="R11" s="17">
        <v>23</v>
      </c>
      <c r="S11" t="s">
        <v>61</v>
      </c>
      <c r="T11">
        <v>21</v>
      </c>
      <c r="W11" s="18" t="s">
        <v>130</v>
      </c>
      <c r="X11" s="2" t="s">
        <v>122</v>
      </c>
      <c r="Y11" s="3">
        <v>18.117685101294398</v>
      </c>
      <c r="Z11" s="3">
        <v>2.5882407287563498</v>
      </c>
      <c r="AA11" s="3">
        <v>942.12</v>
      </c>
      <c r="AB11" s="20" t="s">
        <v>120</v>
      </c>
    </row>
    <row r="12" spans="1:28" ht="76.5" customHeight="1" x14ac:dyDescent="0.25">
      <c r="A12" s="12" t="s">
        <v>114</v>
      </c>
      <c r="B12" s="12" t="s">
        <v>115</v>
      </c>
      <c r="C12" s="12" t="s">
        <v>142</v>
      </c>
      <c r="D12" s="13">
        <v>0.57291666666666663</v>
      </c>
      <c r="E12" s="13">
        <v>0.57986111111111116</v>
      </c>
      <c r="F12" s="21" t="s">
        <v>143</v>
      </c>
      <c r="G12" s="12" t="s">
        <v>144</v>
      </c>
      <c r="H12" s="14">
        <v>4</v>
      </c>
      <c r="I12" s="15">
        <v>22</v>
      </c>
      <c r="J12" s="22">
        <v>10</v>
      </c>
      <c r="K12" s="14">
        <f t="shared" si="0"/>
        <v>40</v>
      </c>
      <c r="L12">
        <v>11</v>
      </c>
      <c r="N12" s="16" t="s">
        <v>60</v>
      </c>
      <c r="O12" t="s">
        <v>64</v>
      </c>
      <c r="P12">
        <v>24</v>
      </c>
      <c r="Q12" t="s">
        <v>65</v>
      </c>
      <c r="R12" s="17">
        <v>23</v>
      </c>
      <c r="S12" t="s">
        <v>61</v>
      </c>
      <c r="T12">
        <v>21</v>
      </c>
      <c r="W12" s="18" t="s">
        <v>130</v>
      </c>
      <c r="X12" s="2" t="s">
        <v>145</v>
      </c>
      <c r="Y12" s="3">
        <v>10.352962915025399</v>
      </c>
      <c r="Z12" s="3">
        <v>2.5882407287563498</v>
      </c>
      <c r="AA12" s="3">
        <v>103.53</v>
      </c>
      <c r="AB12" s="20" t="s">
        <v>146</v>
      </c>
    </row>
    <row r="13" spans="1:28" ht="51" customHeight="1" x14ac:dyDescent="0.25">
      <c r="A13" s="12" t="s">
        <v>114</v>
      </c>
      <c r="B13" s="12" t="s">
        <v>115</v>
      </c>
      <c r="C13" s="12" t="s">
        <v>142</v>
      </c>
      <c r="D13" s="13">
        <v>0.57291666666666663</v>
      </c>
      <c r="E13" s="13">
        <v>0.57986111111111116</v>
      </c>
      <c r="F13" s="21" t="s">
        <v>143</v>
      </c>
      <c r="G13" s="12" t="s">
        <v>147</v>
      </c>
      <c r="H13" s="14">
        <v>4</v>
      </c>
      <c r="I13" s="15">
        <v>22</v>
      </c>
      <c r="J13" s="22">
        <v>1</v>
      </c>
      <c r="K13" s="14">
        <f t="shared" si="0"/>
        <v>4</v>
      </c>
      <c r="L13" t="s">
        <v>148</v>
      </c>
      <c r="N13" s="16" t="s">
        <v>80</v>
      </c>
      <c r="O13" t="s">
        <v>81</v>
      </c>
      <c r="P13">
        <v>24</v>
      </c>
      <c r="Q13" t="s">
        <v>82</v>
      </c>
      <c r="R13" s="17">
        <v>22</v>
      </c>
      <c r="S13" t="s">
        <v>82</v>
      </c>
      <c r="T13">
        <v>22</v>
      </c>
      <c r="W13" s="18" t="s">
        <v>130</v>
      </c>
      <c r="X13" s="2" t="s">
        <v>149</v>
      </c>
      <c r="Y13" s="3">
        <v>16.2484592158652</v>
      </c>
      <c r="Z13" s="19">
        <v>4.0621148039663098</v>
      </c>
      <c r="AA13" s="3">
        <v>16.25</v>
      </c>
      <c r="AB13" s="20" t="s">
        <v>150</v>
      </c>
    </row>
    <row r="14" spans="1:28" ht="51" customHeight="1" x14ac:dyDescent="0.25">
      <c r="A14" s="12" t="s">
        <v>114</v>
      </c>
      <c r="B14" s="12" t="s">
        <v>115</v>
      </c>
      <c r="C14" s="12" t="s">
        <v>151</v>
      </c>
      <c r="D14" s="13">
        <v>0.67013888888888884</v>
      </c>
      <c r="E14" s="13">
        <v>0.68263888888888891</v>
      </c>
      <c r="F14" s="12" t="s">
        <v>124</v>
      </c>
      <c r="G14" s="12" t="s">
        <v>125</v>
      </c>
      <c r="H14" s="14">
        <v>14</v>
      </c>
      <c r="I14" s="15">
        <v>19</v>
      </c>
      <c r="J14" s="15">
        <v>43</v>
      </c>
      <c r="K14" s="14">
        <f t="shared" si="0"/>
        <v>602</v>
      </c>
      <c r="L14">
        <v>13</v>
      </c>
      <c r="N14" s="16" t="s">
        <v>47</v>
      </c>
      <c r="O14" t="s">
        <v>53</v>
      </c>
      <c r="P14">
        <v>21</v>
      </c>
      <c r="Q14" t="s">
        <v>50</v>
      </c>
      <c r="R14" s="17">
        <v>21</v>
      </c>
      <c r="S14" t="s">
        <v>48</v>
      </c>
      <c r="T14">
        <v>10</v>
      </c>
      <c r="W14" s="18" t="s">
        <v>130</v>
      </c>
      <c r="X14" s="2" t="s">
        <v>126</v>
      </c>
      <c r="Y14" s="3">
        <v>49.102199747747697</v>
      </c>
      <c r="Z14" s="3">
        <v>3.5072999819819799</v>
      </c>
      <c r="AA14" s="3">
        <v>2111.39</v>
      </c>
      <c r="AB14" s="20" t="s">
        <v>120</v>
      </c>
    </row>
    <row r="15" spans="1:28" ht="51" customHeight="1" x14ac:dyDescent="0.25">
      <c r="A15" s="12" t="s">
        <v>114</v>
      </c>
      <c r="B15" s="12" t="s">
        <v>115</v>
      </c>
      <c r="C15" s="12" t="s">
        <v>151</v>
      </c>
      <c r="D15" s="13">
        <v>0.67013888888888884</v>
      </c>
      <c r="E15" s="13">
        <v>0.69444444444444442</v>
      </c>
      <c r="F15" s="12" t="s">
        <v>124</v>
      </c>
      <c r="G15" s="12" t="s">
        <v>152</v>
      </c>
      <c r="H15" s="14">
        <v>14</v>
      </c>
      <c r="I15" s="15">
        <v>19</v>
      </c>
      <c r="J15" s="15">
        <v>22</v>
      </c>
      <c r="K15" s="14">
        <f t="shared" si="0"/>
        <v>308</v>
      </c>
      <c r="L15">
        <v>14</v>
      </c>
      <c r="N15" s="16" t="s">
        <v>47</v>
      </c>
      <c r="O15" t="s">
        <v>53</v>
      </c>
      <c r="P15">
        <v>21</v>
      </c>
      <c r="Q15" t="s">
        <v>50</v>
      </c>
      <c r="R15" s="17">
        <v>21</v>
      </c>
      <c r="S15" t="s">
        <v>48</v>
      </c>
      <c r="T15">
        <v>10</v>
      </c>
      <c r="W15" s="18" t="s">
        <v>130</v>
      </c>
      <c r="X15" s="2" t="s">
        <v>153</v>
      </c>
      <c r="Y15" s="3">
        <v>49.102199747747697</v>
      </c>
      <c r="Z15" s="3">
        <v>3.5072999819819799</v>
      </c>
      <c r="AA15" s="3">
        <v>1080.25</v>
      </c>
      <c r="AB15" s="20" t="s">
        <v>120</v>
      </c>
    </row>
    <row r="16" spans="1:28" ht="76.5" customHeight="1" x14ac:dyDescent="0.25">
      <c r="A16" s="12" t="s">
        <v>114</v>
      </c>
      <c r="B16" s="12" t="s">
        <v>115</v>
      </c>
      <c r="C16" s="12" t="s">
        <v>154</v>
      </c>
      <c r="D16" s="13">
        <v>0.75277777777777777</v>
      </c>
      <c r="E16" s="13">
        <v>0.77777777777777779</v>
      </c>
      <c r="F16" s="21" t="s">
        <v>124</v>
      </c>
      <c r="G16" s="12" t="s">
        <v>152</v>
      </c>
      <c r="H16" s="14">
        <v>14</v>
      </c>
      <c r="I16" s="15">
        <v>22</v>
      </c>
      <c r="J16" s="22">
        <v>22</v>
      </c>
      <c r="K16" s="14">
        <f t="shared" si="0"/>
        <v>308</v>
      </c>
      <c r="L16">
        <v>15</v>
      </c>
      <c r="N16" s="16" t="s">
        <v>60</v>
      </c>
      <c r="O16" t="s">
        <v>64</v>
      </c>
      <c r="P16">
        <v>24</v>
      </c>
      <c r="Q16" t="s">
        <v>65</v>
      </c>
      <c r="R16" s="17">
        <v>23</v>
      </c>
      <c r="S16" t="s">
        <v>61</v>
      </c>
      <c r="T16">
        <v>21</v>
      </c>
      <c r="W16" s="18" t="s">
        <v>130</v>
      </c>
      <c r="X16" s="2" t="s">
        <v>153</v>
      </c>
      <c r="Y16" s="3">
        <v>36.235370202588904</v>
      </c>
      <c r="Z16" s="3">
        <v>2.5882407287563498</v>
      </c>
      <c r="AA16" s="3">
        <v>797.18</v>
      </c>
      <c r="AB16" s="20" t="s">
        <v>155</v>
      </c>
    </row>
    <row r="17" spans="1:28" ht="51" customHeight="1" x14ac:dyDescent="0.25">
      <c r="A17" s="12" t="s">
        <v>114</v>
      </c>
      <c r="B17" s="12" t="s">
        <v>115</v>
      </c>
      <c r="C17" s="12" t="s">
        <v>154</v>
      </c>
      <c r="D17" s="13">
        <v>0.75277777777777777</v>
      </c>
      <c r="E17" s="13">
        <v>0.77777777777777779</v>
      </c>
      <c r="F17" s="21" t="s">
        <v>124</v>
      </c>
      <c r="G17" s="12" t="s">
        <v>125</v>
      </c>
      <c r="H17" s="14">
        <v>14</v>
      </c>
      <c r="I17" s="15">
        <v>22</v>
      </c>
      <c r="J17" s="22">
        <v>43</v>
      </c>
      <c r="K17" s="14">
        <f t="shared" si="0"/>
        <v>602</v>
      </c>
      <c r="L17">
        <v>15</v>
      </c>
      <c r="N17" s="16" t="s">
        <v>47</v>
      </c>
      <c r="O17" t="s">
        <v>53</v>
      </c>
      <c r="P17">
        <v>21</v>
      </c>
      <c r="Q17" t="s">
        <v>50</v>
      </c>
      <c r="R17" s="17">
        <v>21</v>
      </c>
      <c r="S17" t="s">
        <v>48</v>
      </c>
      <c r="T17">
        <v>10</v>
      </c>
      <c r="W17" s="18"/>
      <c r="X17" s="2" t="s">
        <v>126</v>
      </c>
      <c r="Y17" s="3">
        <v>49.102199747747697</v>
      </c>
      <c r="Z17" s="3">
        <v>3.5072999819819799</v>
      </c>
      <c r="AA17" s="3">
        <v>2111.39</v>
      </c>
      <c r="AB17" s="20" t="s">
        <v>150</v>
      </c>
    </row>
    <row r="18" spans="1:28" ht="51" customHeight="1" x14ac:dyDescent="0.25">
      <c r="A18" s="12" t="s">
        <v>114</v>
      </c>
      <c r="B18" s="12" t="s">
        <v>156</v>
      </c>
      <c r="C18" s="12" t="s">
        <v>157</v>
      </c>
      <c r="D18" s="13">
        <v>0.28125</v>
      </c>
      <c r="E18" s="13">
        <v>0.30555555555555558</v>
      </c>
      <c r="F18" s="12" t="s">
        <v>158</v>
      </c>
      <c r="G18" s="12" t="s">
        <v>118</v>
      </c>
      <c r="H18" s="14">
        <v>12.8</v>
      </c>
      <c r="I18" s="15">
        <v>19</v>
      </c>
      <c r="J18" s="15">
        <v>25</v>
      </c>
      <c r="K18" s="14">
        <f t="shared" si="0"/>
        <v>320</v>
      </c>
      <c r="L18">
        <v>16</v>
      </c>
      <c r="N18" s="16" t="s">
        <v>47</v>
      </c>
      <c r="O18" t="s">
        <v>53</v>
      </c>
      <c r="P18">
        <v>21</v>
      </c>
      <c r="Q18" t="s">
        <v>50</v>
      </c>
      <c r="R18" s="17">
        <v>21</v>
      </c>
      <c r="S18" t="s">
        <v>48</v>
      </c>
      <c r="T18">
        <v>10</v>
      </c>
      <c r="W18" s="18" t="s">
        <v>130</v>
      </c>
      <c r="X18" s="2" t="s">
        <v>119</v>
      </c>
      <c r="Y18" s="3">
        <v>44.893439769369301</v>
      </c>
      <c r="Z18" s="3">
        <v>3.5072999819819799</v>
      </c>
      <c r="AA18" s="3">
        <v>1122.3399999999999</v>
      </c>
      <c r="AB18" s="20" t="s">
        <v>120</v>
      </c>
    </row>
    <row r="19" spans="1:28" ht="76.5" customHeight="1" x14ac:dyDescent="0.25">
      <c r="A19" s="12" t="s">
        <v>114</v>
      </c>
      <c r="B19" s="12" t="s">
        <v>156</v>
      </c>
      <c r="C19" s="12" t="s">
        <v>157</v>
      </c>
      <c r="D19" s="13">
        <v>0.28125</v>
      </c>
      <c r="E19" s="13">
        <v>0.31041666666666667</v>
      </c>
      <c r="F19" s="12" t="s">
        <v>158</v>
      </c>
      <c r="G19" s="12" t="s">
        <v>121</v>
      </c>
      <c r="H19" s="14">
        <v>12.8</v>
      </c>
      <c r="I19" s="15">
        <v>19</v>
      </c>
      <c r="J19" s="15">
        <v>52</v>
      </c>
      <c r="K19" s="14">
        <f t="shared" si="0"/>
        <v>665.6</v>
      </c>
      <c r="L19">
        <v>17</v>
      </c>
      <c r="N19" s="16" t="s">
        <v>60</v>
      </c>
      <c r="O19" t="s">
        <v>65</v>
      </c>
      <c r="P19">
        <v>23</v>
      </c>
      <c r="Q19" t="s">
        <v>61</v>
      </c>
      <c r="R19" s="17">
        <v>21</v>
      </c>
      <c r="S19" t="s">
        <v>64</v>
      </c>
      <c r="T19">
        <v>24</v>
      </c>
      <c r="W19" s="18" t="s">
        <v>130</v>
      </c>
      <c r="X19" s="2" t="s">
        <v>122</v>
      </c>
      <c r="Y19" s="3">
        <v>33.129481328081297</v>
      </c>
      <c r="Z19" s="3">
        <v>2.5882407287563498</v>
      </c>
      <c r="AA19" s="3">
        <v>1722.73</v>
      </c>
      <c r="AB19" s="20" t="s">
        <v>120</v>
      </c>
    </row>
    <row r="20" spans="1:28" ht="51" customHeight="1" x14ac:dyDescent="0.25">
      <c r="A20" s="12" t="s">
        <v>114</v>
      </c>
      <c r="B20" s="12" t="s">
        <v>156</v>
      </c>
      <c r="C20" s="12" t="s">
        <v>159</v>
      </c>
      <c r="D20" s="13">
        <v>0.46180555555555558</v>
      </c>
      <c r="E20" s="13">
        <v>0.48402777777777778</v>
      </c>
      <c r="F20" s="12" t="s">
        <v>158</v>
      </c>
      <c r="G20" s="12" t="s">
        <v>121</v>
      </c>
      <c r="H20" s="14">
        <v>12.8</v>
      </c>
      <c r="I20" s="15">
        <v>19</v>
      </c>
      <c r="J20" s="15">
        <v>52</v>
      </c>
      <c r="K20" s="14">
        <f t="shared" si="0"/>
        <v>665.6</v>
      </c>
      <c r="L20">
        <v>18</v>
      </c>
      <c r="N20" s="16" t="s">
        <v>47</v>
      </c>
      <c r="O20" t="s">
        <v>53</v>
      </c>
      <c r="P20">
        <v>21</v>
      </c>
      <c r="Q20" t="s">
        <v>50</v>
      </c>
      <c r="R20" s="17">
        <v>21</v>
      </c>
      <c r="S20" t="s">
        <v>48</v>
      </c>
      <c r="T20">
        <v>10</v>
      </c>
      <c r="W20" s="18" t="s">
        <v>130</v>
      </c>
      <c r="X20" s="2" t="s">
        <v>122</v>
      </c>
      <c r="Y20" s="3">
        <v>44.893439769369301</v>
      </c>
      <c r="Z20" s="3">
        <v>3.5072999819819799</v>
      </c>
      <c r="AA20" s="3">
        <v>2334.46</v>
      </c>
      <c r="AB20" s="20" t="s">
        <v>120</v>
      </c>
    </row>
    <row r="21" spans="1:28" ht="51" customHeight="1" x14ac:dyDescent="0.25">
      <c r="A21" s="12" t="s">
        <v>114</v>
      </c>
      <c r="B21" s="12" t="s">
        <v>156</v>
      </c>
      <c r="C21" s="12" t="s">
        <v>160</v>
      </c>
      <c r="D21" s="13">
        <v>0.7104166666666667</v>
      </c>
      <c r="E21" s="13">
        <v>0.73958333333333337</v>
      </c>
      <c r="F21" s="12" t="s">
        <v>158</v>
      </c>
      <c r="G21" s="12" t="s">
        <v>152</v>
      </c>
      <c r="H21" s="14">
        <v>12.8</v>
      </c>
      <c r="I21" s="15">
        <v>23</v>
      </c>
      <c r="J21" s="15">
        <v>22</v>
      </c>
      <c r="K21" s="14">
        <f t="shared" si="0"/>
        <v>281.60000000000002</v>
      </c>
      <c r="L21">
        <v>19</v>
      </c>
      <c r="N21" s="16" t="s">
        <v>80</v>
      </c>
      <c r="O21" t="s">
        <v>81</v>
      </c>
      <c r="P21">
        <v>24</v>
      </c>
      <c r="Q21" t="s">
        <v>82</v>
      </c>
      <c r="R21" s="17">
        <v>22</v>
      </c>
      <c r="S21" t="s">
        <v>82</v>
      </c>
      <c r="T21">
        <v>22</v>
      </c>
      <c r="W21" s="18"/>
      <c r="X21" s="2" t="s">
        <v>153</v>
      </c>
      <c r="Y21" s="3">
        <v>51.995069490768799</v>
      </c>
      <c r="Z21" s="19">
        <v>4.0621148039663098</v>
      </c>
      <c r="AA21" s="3">
        <v>1143.8900000000001</v>
      </c>
      <c r="AB21" s="20" t="s">
        <v>120</v>
      </c>
    </row>
    <row r="22" spans="1:28" ht="51" customHeight="1" x14ac:dyDescent="0.25">
      <c r="A22" s="12" t="s">
        <v>114</v>
      </c>
      <c r="B22" s="12" t="s">
        <v>156</v>
      </c>
      <c r="C22" s="12" t="s">
        <v>160</v>
      </c>
      <c r="D22" s="13">
        <v>0.7104166666666667</v>
      </c>
      <c r="E22" s="13">
        <v>0.73958333333333337</v>
      </c>
      <c r="F22" s="12" t="s">
        <v>158</v>
      </c>
      <c r="G22" s="12" t="s">
        <v>125</v>
      </c>
      <c r="H22" s="14">
        <v>12.8</v>
      </c>
      <c r="I22" s="15">
        <v>23</v>
      </c>
      <c r="J22" s="15">
        <v>43</v>
      </c>
      <c r="K22" s="14">
        <f t="shared" si="0"/>
        <v>550.4</v>
      </c>
      <c r="L22">
        <v>20</v>
      </c>
      <c r="N22" s="16" t="s">
        <v>80</v>
      </c>
      <c r="O22" t="s">
        <v>81</v>
      </c>
      <c r="P22">
        <v>24</v>
      </c>
      <c r="Q22" t="s">
        <v>82</v>
      </c>
      <c r="R22" s="17">
        <v>22</v>
      </c>
      <c r="S22" t="s">
        <v>82</v>
      </c>
      <c r="T22">
        <v>22</v>
      </c>
      <c r="W22" s="18"/>
      <c r="X22" s="2" t="s">
        <v>126</v>
      </c>
      <c r="Y22" s="3">
        <v>51.995069490768799</v>
      </c>
      <c r="Z22" s="19">
        <v>4.0621148039663098</v>
      </c>
      <c r="AA22" s="3">
        <v>2235.79</v>
      </c>
      <c r="AB22" s="20" t="s">
        <v>120</v>
      </c>
    </row>
    <row r="23" spans="1:28" ht="51" customHeight="1" x14ac:dyDescent="0.25">
      <c r="A23" s="12" t="s">
        <v>114</v>
      </c>
      <c r="B23" s="12" t="s">
        <v>161</v>
      </c>
      <c r="C23" s="12" t="s">
        <v>162</v>
      </c>
      <c r="D23" s="13">
        <v>0.3125</v>
      </c>
      <c r="E23" s="13">
        <v>0.32291666666666669</v>
      </c>
      <c r="F23" s="12" t="s">
        <v>163</v>
      </c>
      <c r="G23" s="12" t="s">
        <v>129</v>
      </c>
      <c r="H23" s="14">
        <v>7</v>
      </c>
      <c r="I23" s="15">
        <v>22</v>
      </c>
      <c r="J23" s="15">
        <v>11</v>
      </c>
      <c r="K23" s="14">
        <f t="shared" si="0"/>
        <v>77</v>
      </c>
      <c r="L23">
        <v>21</v>
      </c>
      <c r="N23" s="16" t="s">
        <v>80</v>
      </c>
      <c r="O23" t="s">
        <v>81</v>
      </c>
      <c r="P23">
        <v>24</v>
      </c>
      <c r="Q23" t="s">
        <v>82</v>
      </c>
      <c r="R23" s="17">
        <v>22</v>
      </c>
      <c r="S23" t="s">
        <v>82</v>
      </c>
      <c r="T23">
        <v>22</v>
      </c>
      <c r="W23" s="18"/>
      <c r="X23" s="2" t="s">
        <v>131</v>
      </c>
      <c r="Y23" s="3">
        <v>28.4348036277642</v>
      </c>
      <c r="Z23" s="19">
        <v>4.0621148039663098</v>
      </c>
      <c r="AA23" s="3">
        <v>312.77999999999997</v>
      </c>
      <c r="AB23" s="20" t="s">
        <v>120</v>
      </c>
    </row>
    <row r="24" spans="1:28" ht="51" customHeight="1" x14ac:dyDescent="0.25">
      <c r="A24" s="12" t="s">
        <v>114</v>
      </c>
      <c r="B24" s="12" t="s">
        <v>161</v>
      </c>
      <c r="C24" s="12" t="s">
        <v>164</v>
      </c>
      <c r="D24" s="13">
        <v>0.55138888888888893</v>
      </c>
      <c r="E24" s="13">
        <v>0.5625</v>
      </c>
      <c r="F24" s="12" t="s">
        <v>165</v>
      </c>
      <c r="G24" s="12" t="s">
        <v>147</v>
      </c>
      <c r="H24" s="14">
        <v>9.3000000000000007</v>
      </c>
      <c r="I24" s="15">
        <v>23</v>
      </c>
      <c r="J24" s="15">
        <v>1</v>
      </c>
      <c r="K24" s="14">
        <f t="shared" si="0"/>
        <v>9.3000000000000007</v>
      </c>
      <c r="L24">
        <v>22</v>
      </c>
      <c r="N24" s="16" t="s">
        <v>80</v>
      </c>
      <c r="O24" t="s">
        <v>81</v>
      </c>
      <c r="P24">
        <v>24</v>
      </c>
      <c r="Q24" t="s">
        <v>82</v>
      </c>
      <c r="R24" s="17">
        <v>22</v>
      </c>
      <c r="S24" t="s">
        <v>82</v>
      </c>
      <c r="T24">
        <v>22</v>
      </c>
      <c r="W24" s="18"/>
      <c r="X24" s="2" t="s">
        <v>149</v>
      </c>
      <c r="Y24" s="3">
        <v>37.777667676886701</v>
      </c>
      <c r="Z24" s="19">
        <v>4.0621148039663098</v>
      </c>
      <c r="AA24" s="3">
        <v>37.78</v>
      </c>
      <c r="AB24" s="20" t="s">
        <v>120</v>
      </c>
    </row>
    <row r="25" spans="1:28" ht="51" customHeight="1" x14ac:dyDescent="0.25">
      <c r="A25" s="12" t="s">
        <v>114</v>
      </c>
      <c r="B25" s="12" t="s">
        <v>161</v>
      </c>
      <c r="C25" s="12" t="s">
        <v>164</v>
      </c>
      <c r="D25" s="13">
        <v>0.56597222222222221</v>
      </c>
      <c r="E25" s="13">
        <v>0.57430555555555551</v>
      </c>
      <c r="F25" s="12" t="s">
        <v>166</v>
      </c>
      <c r="G25" s="12" t="s">
        <v>144</v>
      </c>
      <c r="H25" s="14">
        <v>9.3000000000000007</v>
      </c>
      <c r="I25" s="15">
        <v>23</v>
      </c>
      <c r="J25" s="15">
        <v>10</v>
      </c>
      <c r="K25" s="14">
        <f t="shared" si="0"/>
        <v>93</v>
      </c>
      <c r="L25">
        <v>23</v>
      </c>
      <c r="N25" s="16" t="s">
        <v>80</v>
      </c>
      <c r="O25" t="s">
        <v>81</v>
      </c>
      <c r="P25">
        <v>24</v>
      </c>
      <c r="Q25" t="s">
        <v>82</v>
      </c>
      <c r="R25" s="17">
        <v>22</v>
      </c>
      <c r="S25" t="s">
        <v>82</v>
      </c>
      <c r="T25">
        <v>22</v>
      </c>
      <c r="W25" s="18"/>
      <c r="X25" s="2" t="s">
        <v>145</v>
      </c>
      <c r="Y25" s="3">
        <v>37.777667676886701</v>
      </c>
      <c r="Z25" s="19">
        <v>4.0621148039663098</v>
      </c>
      <c r="AA25" s="3">
        <v>377.78</v>
      </c>
      <c r="AB25" s="20" t="s">
        <v>120</v>
      </c>
    </row>
    <row r="26" spans="1:28" ht="51" customHeight="1" x14ac:dyDescent="0.25">
      <c r="A26" s="12" t="s">
        <v>114</v>
      </c>
      <c r="B26" s="12" t="s">
        <v>167</v>
      </c>
      <c r="C26" s="12" t="s">
        <v>168</v>
      </c>
      <c r="D26" s="13">
        <v>0.35902777777777778</v>
      </c>
      <c r="E26" s="13">
        <v>0.37291666666666667</v>
      </c>
      <c r="F26" s="12" t="s">
        <v>169</v>
      </c>
      <c r="G26" s="12" t="s">
        <v>121</v>
      </c>
      <c r="H26" s="14">
        <v>9.6</v>
      </c>
      <c r="I26" s="15">
        <v>22</v>
      </c>
      <c r="J26" s="15">
        <v>52</v>
      </c>
      <c r="K26" s="14">
        <f t="shared" si="0"/>
        <v>499.2</v>
      </c>
      <c r="L26">
        <v>24</v>
      </c>
      <c r="N26" s="16" t="s">
        <v>80</v>
      </c>
      <c r="O26" t="s">
        <v>81</v>
      </c>
      <c r="P26">
        <v>24</v>
      </c>
      <c r="Q26" t="s">
        <v>82</v>
      </c>
      <c r="R26" s="17">
        <v>22</v>
      </c>
      <c r="S26" t="s">
        <v>82</v>
      </c>
      <c r="T26">
        <v>22</v>
      </c>
      <c r="W26" s="18"/>
      <c r="X26" s="2" t="s">
        <v>122</v>
      </c>
      <c r="Y26" s="3">
        <v>38.996302118076599</v>
      </c>
      <c r="Z26" s="19">
        <v>4.0621148039663098</v>
      </c>
      <c r="AA26" s="3">
        <v>2027.81</v>
      </c>
      <c r="AB26" s="20" t="s">
        <v>120</v>
      </c>
    </row>
    <row r="27" spans="1:28" ht="51" customHeight="1" x14ac:dyDescent="0.25">
      <c r="A27" s="12" t="s">
        <v>114</v>
      </c>
      <c r="B27" s="12" t="s">
        <v>167</v>
      </c>
      <c r="C27" s="12" t="s">
        <v>170</v>
      </c>
      <c r="D27" s="13">
        <v>0.48402777777777778</v>
      </c>
      <c r="E27" s="13">
        <v>0.49791666666666667</v>
      </c>
      <c r="F27" s="12" t="s">
        <v>169</v>
      </c>
      <c r="G27" s="12" t="s">
        <v>171</v>
      </c>
      <c r="H27" s="14">
        <v>9.6</v>
      </c>
      <c r="I27" s="15">
        <v>20</v>
      </c>
      <c r="J27" s="15">
        <v>77</v>
      </c>
      <c r="K27" s="14">
        <f t="shared" si="0"/>
        <v>739.19999999999993</v>
      </c>
      <c r="L27">
        <v>25</v>
      </c>
      <c r="N27" s="16" t="s">
        <v>83</v>
      </c>
      <c r="O27" t="s">
        <v>85</v>
      </c>
      <c r="P27">
        <v>21</v>
      </c>
      <c r="Q27" t="s">
        <v>84</v>
      </c>
      <c r="R27" s="17">
        <v>21</v>
      </c>
      <c r="S27" t="s">
        <v>84</v>
      </c>
      <c r="T27">
        <v>21</v>
      </c>
      <c r="W27" s="18" t="s">
        <v>130</v>
      </c>
      <c r="X27" s="2" t="s">
        <v>172</v>
      </c>
      <c r="Y27" s="3">
        <v>33.308795487439298</v>
      </c>
      <c r="Z27" s="3">
        <v>3.46966619660826</v>
      </c>
      <c r="AA27" s="3">
        <v>2564.7800000000002</v>
      </c>
      <c r="AB27" s="20" t="s">
        <v>120</v>
      </c>
    </row>
    <row r="28" spans="1:28" ht="51" customHeight="1" x14ac:dyDescent="0.25">
      <c r="A28" s="12" t="s">
        <v>114</v>
      </c>
      <c r="B28" s="12" t="s">
        <v>167</v>
      </c>
      <c r="C28" s="12" t="s">
        <v>173</v>
      </c>
      <c r="D28" s="13">
        <v>0.55902777777777779</v>
      </c>
      <c r="E28" s="13">
        <v>0.56874999999999998</v>
      </c>
      <c r="F28" s="12" t="s">
        <v>174</v>
      </c>
      <c r="G28" s="12" t="s">
        <v>144</v>
      </c>
      <c r="H28" s="14">
        <v>6.3</v>
      </c>
      <c r="I28" s="15">
        <v>20</v>
      </c>
      <c r="J28" s="15">
        <v>10</v>
      </c>
      <c r="K28" s="14">
        <f t="shared" si="0"/>
        <v>63</v>
      </c>
      <c r="L28">
        <v>26</v>
      </c>
      <c r="N28" s="16" t="s">
        <v>47</v>
      </c>
      <c r="O28" t="s">
        <v>51</v>
      </c>
      <c r="P28">
        <v>24</v>
      </c>
      <c r="Q28" t="s">
        <v>50</v>
      </c>
      <c r="R28" s="17">
        <v>21</v>
      </c>
      <c r="S28" t="s">
        <v>48</v>
      </c>
      <c r="T28">
        <v>10</v>
      </c>
      <c r="W28" s="18"/>
      <c r="X28" s="2" t="s">
        <v>145</v>
      </c>
      <c r="Y28" s="3">
        <v>22.0959898864865</v>
      </c>
      <c r="Z28" s="3">
        <v>3.5072999819819799</v>
      </c>
      <c r="AA28" s="3">
        <v>220.96</v>
      </c>
      <c r="AB28" s="20" t="s">
        <v>120</v>
      </c>
    </row>
    <row r="29" spans="1:28" ht="51" customHeight="1" x14ac:dyDescent="0.25">
      <c r="A29" s="12" t="s">
        <v>114</v>
      </c>
      <c r="B29" s="12" t="s">
        <v>167</v>
      </c>
      <c r="C29" s="12" t="s">
        <v>175</v>
      </c>
      <c r="D29" s="13">
        <v>0.71180555555555558</v>
      </c>
      <c r="E29" s="13">
        <v>0.72569444444444442</v>
      </c>
      <c r="F29" s="12" t="s">
        <v>169</v>
      </c>
      <c r="G29" s="12" t="s">
        <v>125</v>
      </c>
      <c r="H29" s="14">
        <v>9.6</v>
      </c>
      <c r="I29" s="15">
        <v>20</v>
      </c>
      <c r="J29" s="15">
        <v>43</v>
      </c>
      <c r="K29" s="14">
        <f t="shared" si="0"/>
        <v>412.8</v>
      </c>
      <c r="L29">
        <v>27</v>
      </c>
      <c r="N29" s="16" t="s">
        <v>83</v>
      </c>
      <c r="O29" t="s">
        <v>85</v>
      </c>
      <c r="P29">
        <v>21</v>
      </c>
      <c r="Q29" t="s">
        <v>84</v>
      </c>
      <c r="R29" s="17">
        <v>21</v>
      </c>
      <c r="S29" t="s">
        <v>84</v>
      </c>
      <c r="T29">
        <v>21</v>
      </c>
      <c r="W29" s="18" t="s">
        <v>130</v>
      </c>
      <c r="X29" s="2" t="s">
        <v>126</v>
      </c>
      <c r="Y29" s="3">
        <v>33.308795487439298</v>
      </c>
      <c r="Z29" s="3">
        <v>3.46966619660826</v>
      </c>
      <c r="AA29" s="3">
        <v>1432.28</v>
      </c>
      <c r="AB29" s="20" t="s">
        <v>120</v>
      </c>
    </row>
    <row r="30" spans="1:28" ht="51" customHeight="1" x14ac:dyDescent="0.25">
      <c r="A30" s="12" t="s">
        <v>114</v>
      </c>
      <c r="B30" s="12" t="s">
        <v>167</v>
      </c>
      <c r="C30" s="12" t="s">
        <v>175</v>
      </c>
      <c r="D30" s="13">
        <v>0.71180555555555558</v>
      </c>
      <c r="E30" s="13">
        <v>0.73402777777777772</v>
      </c>
      <c r="F30" s="12" t="s">
        <v>169</v>
      </c>
      <c r="G30" s="12" t="s">
        <v>152</v>
      </c>
      <c r="H30" s="14">
        <v>9.6</v>
      </c>
      <c r="I30" s="15">
        <v>20</v>
      </c>
      <c r="J30" s="15">
        <v>22</v>
      </c>
      <c r="K30" s="14">
        <f t="shared" si="0"/>
        <v>211.2</v>
      </c>
      <c r="L30">
        <v>28</v>
      </c>
      <c r="N30" s="16" t="s">
        <v>83</v>
      </c>
      <c r="O30" t="s">
        <v>85</v>
      </c>
      <c r="P30">
        <v>21</v>
      </c>
      <c r="Q30" t="s">
        <v>84</v>
      </c>
      <c r="R30" s="17">
        <v>21</v>
      </c>
      <c r="S30" t="s">
        <v>84</v>
      </c>
      <c r="T30">
        <v>21</v>
      </c>
      <c r="W30" s="18" t="s">
        <v>130</v>
      </c>
      <c r="X30" s="2" t="s">
        <v>153</v>
      </c>
      <c r="Y30" s="3">
        <v>33.308795487439298</v>
      </c>
      <c r="Z30" s="3">
        <v>3.46966619660826</v>
      </c>
      <c r="AA30" s="3">
        <v>732.79</v>
      </c>
      <c r="AB30" s="20" t="s">
        <v>120</v>
      </c>
    </row>
    <row r="31" spans="1:28" ht="51" customHeight="1" x14ac:dyDescent="0.25">
      <c r="A31" s="12" t="s">
        <v>114</v>
      </c>
      <c r="B31" s="12" t="s">
        <v>167</v>
      </c>
      <c r="C31" s="12" t="s">
        <v>175</v>
      </c>
      <c r="D31" s="13">
        <v>0.71875</v>
      </c>
      <c r="E31" s="13">
        <v>0.72361111111111109</v>
      </c>
      <c r="F31" s="12" t="s">
        <v>176</v>
      </c>
      <c r="G31" s="23" t="s">
        <v>144</v>
      </c>
      <c r="H31" s="14">
        <v>7</v>
      </c>
      <c r="I31" s="15">
        <v>20</v>
      </c>
      <c r="J31" s="15">
        <v>10</v>
      </c>
      <c r="K31" s="14">
        <f t="shared" si="0"/>
        <v>70</v>
      </c>
      <c r="L31">
        <v>29</v>
      </c>
      <c r="N31" s="16" t="s">
        <v>83</v>
      </c>
      <c r="O31" t="s">
        <v>85</v>
      </c>
      <c r="P31">
        <v>21</v>
      </c>
      <c r="Q31" t="s">
        <v>84</v>
      </c>
      <c r="R31" s="17">
        <v>21</v>
      </c>
      <c r="S31" t="s">
        <v>84</v>
      </c>
      <c r="T31">
        <v>21</v>
      </c>
      <c r="W31" s="18" t="s">
        <v>130</v>
      </c>
      <c r="X31" s="2" t="s">
        <v>145</v>
      </c>
      <c r="Y31" s="3">
        <v>24.2876633762578</v>
      </c>
      <c r="Z31" s="3">
        <v>3.46966619660826</v>
      </c>
      <c r="AA31" s="3">
        <v>242.88</v>
      </c>
      <c r="AB31" s="20" t="s">
        <v>120</v>
      </c>
    </row>
    <row r="32" spans="1:28" ht="76.5" customHeight="1" x14ac:dyDescent="0.25">
      <c r="A32" s="12" t="s">
        <v>114</v>
      </c>
      <c r="B32" s="12" t="s">
        <v>177</v>
      </c>
      <c r="C32" s="12" t="s">
        <v>178</v>
      </c>
      <c r="D32" s="13">
        <v>0.27291666666666659</v>
      </c>
      <c r="E32" s="13">
        <v>0.28680555555555548</v>
      </c>
      <c r="F32" s="12" t="s">
        <v>179</v>
      </c>
      <c r="G32" s="12" t="s">
        <v>129</v>
      </c>
      <c r="H32" s="14">
        <v>8</v>
      </c>
      <c r="I32" s="15">
        <v>20</v>
      </c>
      <c r="J32" s="15">
        <v>11</v>
      </c>
      <c r="K32" s="14">
        <f t="shared" si="0"/>
        <v>88</v>
      </c>
      <c r="L32">
        <v>30</v>
      </c>
      <c r="N32" s="16" t="s">
        <v>60</v>
      </c>
      <c r="O32" t="s">
        <v>61</v>
      </c>
      <c r="P32">
        <v>21</v>
      </c>
      <c r="Q32" t="s">
        <v>65</v>
      </c>
      <c r="R32" s="17">
        <v>23</v>
      </c>
      <c r="S32" t="s">
        <v>64</v>
      </c>
      <c r="T32">
        <v>24</v>
      </c>
      <c r="W32" s="18" t="s">
        <v>130</v>
      </c>
      <c r="X32" s="2" t="s">
        <v>131</v>
      </c>
      <c r="Y32" s="3">
        <v>20.705925830050798</v>
      </c>
      <c r="Z32" s="3">
        <v>2.5882407287563498</v>
      </c>
      <c r="AA32" s="3">
        <v>227.77</v>
      </c>
      <c r="AB32" s="20" t="s">
        <v>120</v>
      </c>
    </row>
    <row r="33" spans="1:28" ht="76.5" customHeight="1" x14ac:dyDescent="0.25">
      <c r="A33" s="12" t="s">
        <v>114</v>
      </c>
      <c r="B33" s="12" t="s">
        <v>177</v>
      </c>
      <c r="C33" s="12" t="s">
        <v>180</v>
      </c>
      <c r="D33" s="13">
        <v>0.27916666666666667</v>
      </c>
      <c r="E33" s="13">
        <v>0.29097222222222219</v>
      </c>
      <c r="F33" s="12" t="s">
        <v>181</v>
      </c>
      <c r="G33" s="12" t="s">
        <v>129</v>
      </c>
      <c r="H33" s="14">
        <v>5.85</v>
      </c>
      <c r="I33" s="15">
        <v>23</v>
      </c>
      <c r="J33" s="15">
        <v>11</v>
      </c>
      <c r="K33" s="14">
        <f t="shared" si="0"/>
        <v>64.349999999999994</v>
      </c>
      <c r="L33">
        <v>31</v>
      </c>
      <c r="N33" s="16" t="s">
        <v>60</v>
      </c>
      <c r="O33" t="s">
        <v>64</v>
      </c>
      <c r="P33">
        <v>24</v>
      </c>
      <c r="Q33" t="s">
        <v>65</v>
      </c>
      <c r="R33" s="17">
        <v>23</v>
      </c>
      <c r="S33" t="s">
        <v>61</v>
      </c>
      <c r="T33">
        <v>21</v>
      </c>
      <c r="W33" s="18" t="s">
        <v>130</v>
      </c>
      <c r="X33" s="2" t="s">
        <v>131</v>
      </c>
      <c r="Y33" s="3">
        <v>15.1412082632246</v>
      </c>
      <c r="Z33" s="3">
        <v>2.5882407287563498</v>
      </c>
      <c r="AA33" s="3">
        <v>166.55</v>
      </c>
      <c r="AB33" s="20" t="s">
        <v>120</v>
      </c>
    </row>
    <row r="34" spans="1:28" ht="76.5" customHeight="1" x14ac:dyDescent="0.25">
      <c r="A34" s="12" t="s">
        <v>182</v>
      </c>
      <c r="B34" s="12" t="s">
        <v>177</v>
      </c>
      <c r="C34" s="12" t="s">
        <v>180</v>
      </c>
      <c r="D34" s="13">
        <v>0.28125</v>
      </c>
      <c r="E34" s="13">
        <v>0.29097222222222219</v>
      </c>
      <c r="F34" s="12" t="s">
        <v>183</v>
      </c>
      <c r="G34" s="12" t="s">
        <v>121</v>
      </c>
      <c r="H34" s="14">
        <v>5</v>
      </c>
      <c r="I34" s="15">
        <v>23</v>
      </c>
      <c r="J34" s="15">
        <v>52</v>
      </c>
      <c r="K34" s="14">
        <f t="shared" si="0"/>
        <v>260</v>
      </c>
      <c r="L34">
        <v>32</v>
      </c>
      <c r="N34" s="16" t="s">
        <v>60</v>
      </c>
      <c r="O34" t="s">
        <v>64</v>
      </c>
      <c r="P34">
        <v>24</v>
      </c>
      <c r="Q34" t="s">
        <v>65</v>
      </c>
      <c r="R34" s="17">
        <v>23</v>
      </c>
      <c r="S34" t="s">
        <v>61</v>
      </c>
      <c r="T34">
        <v>21</v>
      </c>
      <c r="W34" s="18" t="s">
        <v>130</v>
      </c>
      <c r="X34" s="2" t="s">
        <v>122</v>
      </c>
      <c r="Y34" s="3">
        <v>12.941203643781799</v>
      </c>
      <c r="Z34" s="3">
        <v>2.5882407287563498</v>
      </c>
      <c r="AA34" s="3">
        <v>672.94</v>
      </c>
      <c r="AB34" s="20" t="s">
        <v>120</v>
      </c>
    </row>
    <row r="35" spans="1:28" ht="76.5" customHeight="1" x14ac:dyDescent="0.25">
      <c r="A35" s="12" t="s">
        <v>114</v>
      </c>
      <c r="B35" s="12" t="s">
        <v>177</v>
      </c>
      <c r="C35" s="12" t="s">
        <v>184</v>
      </c>
      <c r="D35" s="13">
        <v>0.28680555555555548</v>
      </c>
      <c r="E35" s="13">
        <v>0.31111111111111112</v>
      </c>
      <c r="F35" s="12" t="s">
        <v>185</v>
      </c>
      <c r="G35" s="12" t="s">
        <v>144</v>
      </c>
      <c r="H35" s="14">
        <v>13.8</v>
      </c>
      <c r="I35" s="15">
        <v>20</v>
      </c>
      <c r="J35" s="15">
        <v>10</v>
      </c>
      <c r="K35" s="14">
        <f t="shared" si="0"/>
        <v>138</v>
      </c>
      <c r="L35">
        <v>33</v>
      </c>
      <c r="N35" s="16" t="s">
        <v>60</v>
      </c>
      <c r="O35" t="s">
        <v>61</v>
      </c>
      <c r="P35">
        <v>21</v>
      </c>
      <c r="Q35" t="s">
        <v>65</v>
      </c>
      <c r="R35" s="17">
        <v>23</v>
      </c>
      <c r="S35" t="s">
        <v>64</v>
      </c>
      <c r="T35">
        <v>24</v>
      </c>
      <c r="W35" s="18" t="s">
        <v>130</v>
      </c>
      <c r="X35" s="2" t="s">
        <v>145</v>
      </c>
      <c r="Y35" s="3">
        <v>35.717722056837601</v>
      </c>
      <c r="Z35" s="3">
        <v>2.5882407287563498</v>
      </c>
      <c r="AA35" s="3">
        <v>357.18</v>
      </c>
      <c r="AB35" s="20" t="s">
        <v>120</v>
      </c>
    </row>
    <row r="36" spans="1:28" ht="76.5" customHeight="1" x14ac:dyDescent="0.25">
      <c r="A36" s="12" t="s">
        <v>114</v>
      </c>
      <c r="B36" s="12" t="s">
        <v>177</v>
      </c>
      <c r="C36" s="12" t="s">
        <v>184</v>
      </c>
      <c r="D36" s="13">
        <v>0.30555555555555558</v>
      </c>
      <c r="E36" s="13">
        <v>0.32777777777777778</v>
      </c>
      <c r="F36" s="12" t="s">
        <v>185</v>
      </c>
      <c r="G36" s="12" t="s">
        <v>147</v>
      </c>
      <c r="H36" s="14">
        <v>13.8</v>
      </c>
      <c r="I36" s="15">
        <v>20</v>
      </c>
      <c r="J36" s="15">
        <v>1</v>
      </c>
      <c r="K36" s="14">
        <f t="shared" si="0"/>
        <v>13.8</v>
      </c>
      <c r="L36">
        <v>34</v>
      </c>
      <c r="N36" s="16" t="s">
        <v>60</v>
      </c>
      <c r="O36" t="s">
        <v>61</v>
      </c>
      <c r="P36">
        <v>21</v>
      </c>
      <c r="Q36" t="s">
        <v>65</v>
      </c>
      <c r="R36" s="17">
        <v>23</v>
      </c>
      <c r="S36" t="s">
        <v>64</v>
      </c>
      <c r="T36">
        <v>24</v>
      </c>
      <c r="W36" s="18" t="s">
        <v>130</v>
      </c>
      <c r="X36" s="2" t="s">
        <v>149</v>
      </c>
      <c r="Y36" s="3">
        <v>35.717722056837601</v>
      </c>
      <c r="Z36" s="3">
        <v>2.5882407287563498</v>
      </c>
      <c r="AA36" s="3">
        <v>35.72</v>
      </c>
      <c r="AB36" s="20" t="s">
        <v>120</v>
      </c>
    </row>
    <row r="37" spans="1:28" ht="51" customHeight="1" x14ac:dyDescent="0.25">
      <c r="A37" s="12" t="s">
        <v>114</v>
      </c>
      <c r="B37" s="12" t="s">
        <v>177</v>
      </c>
      <c r="C37" s="12" t="s">
        <v>186</v>
      </c>
      <c r="D37" s="13">
        <v>0.2951388888888889</v>
      </c>
      <c r="E37" s="13">
        <v>0.3</v>
      </c>
      <c r="F37" s="12" t="s">
        <v>187</v>
      </c>
      <c r="G37" s="12" t="s">
        <v>144</v>
      </c>
      <c r="H37" s="14">
        <v>2.9</v>
      </c>
      <c r="I37" s="15">
        <v>20</v>
      </c>
      <c r="J37" s="15">
        <v>10</v>
      </c>
      <c r="K37" s="14">
        <f t="shared" si="0"/>
        <v>29</v>
      </c>
      <c r="L37">
        <v>35</v>
      </c>
      <c r="N37" s="16" t="s">
        <v>83</v>
      </c>
      <c r="O37" t="s">
        <v>85</v>
      </c>
      <c r="P37">
        <v>21</v>
      </c>
      <c r="Q37" t="s">
        <v>84</v>
      </c>
      <c r="R37" s="17">
        <v>21</v>
      </c>
      <c r="S37" t="s">
        <v>84</v>
      </c>
      <c r="T37">
        <v>21</v>
      </c>
      <c r="W37" s="18" t="s">
        <v>130</v>
      </c>
      <c r="X37" s="2" t="s">
        <v>145</v>
      </c>
      <c r="Y37" s="3">
        <v>10.062031970164</v>
      </c>
      <c r="Z37" s="3">
        <v>3.46966619660826</v>
      </c>
      <c r="AA37" s="3">
        <v>100.62</v>
      </c>
      <c r="AB37" s="20" t="s">
        <v>120</v>
      </c>
    </row>
    <row r="38" spans="1:28" ht="63.75" customHeight="1" x14ac:dyDescent="0.25">
      <c r="A38" s="12" t="s">
        <v>114</v>
      </c>
      <c r="B38" s="12" t="s">
        <v>177</v>
      </c>
      <c r="C38" s="12" t="s">
        <v>186</v>
      </c>
      <c r="D38" s="13">
        <v>0.3</v>
      </c>
      <c r="E38" s="13">
        <v>0.30694444444444452</v>
      </c>
      <c r="F38" s="12" t="s">
        <v>188</v>
      </c>
      <c r="G38" s="12" t="s">
        <v>189</v>
      </c>
      <c r="H38" s="14">
        <v>4</v>
      </c>
      <c r="I38" s="15">
        <v>20</v>
      </c>
      <c r="J38" s="15">
        <v>66</v>
      </c>
      <c r="K38" s="14">
        <f t="shared" si="0"/>
        <v>264</v>
      </c>
      <c r="L38">
        <v>36</v>
      </c>
      <c r="N38" s="16" t="s">
        <v>83</v>
      </c>
      <c r="O38" t="s">
        <v>85</v>
      </c>
      <c r="P38">
        <v>21</v>
      </c>
      <c r="Q38" t="s">
        <v>84</v>
      </c>
      <c r="R38" s="17">
        <v>21</v>
      </c>
      <c r="S38" t="s">
        <v>84</v>
      </c>
      <c r="T38">
        <v>21</v>
      </c>
      <c r="W38" s="18" t="s">
        <v>130</v>
      </c>
      <c r="X38" s="2" t="s">
        <v>190</v>
      </c>
      <c r="Y38" s="3">
        <v>13.878664786432999</v>
      </c>
      <c r="Z38" s="3">
        <v>3.46966619660826</v>
      </c>
      <c r="AA38" s="3">
        <v>915.99</v>
      </c>
      <c r="AB38" s="20" t="s">
        <v>191</v>
      </c>
    </row>
    <row r="39" spans="1:28" ht="51" customHeight="1" x14ac:dyDescent="0.25">
      <c r="A39" s="12" t="s">
        <v>114</v>
      </c>
      <c r="B39" s="12" t="s">
        <v>177</v>
      </c>
      <c r="C39" s="12" t="s">
        <v>186</v>
      </c>
      <c r="D39" s="13">
        <v>0.3</v>
      </c>
      <c r="E39" s="13">
        <v>0.30694444444444452</v>
      </c>
      <c r="F39" s="12" t="s">
        <v>188</v>
      </c>
      <c r="G39" s="12" t="s">
        <v>147</v>
      </c>
      <c r="H39" s="14">
        <v>4</v>
      </c>
      <c r="I39" s="15">
        <v>20</v>
      </c>
      <c r="J39" s="15">
        <v>1</v>
      </c>
      <c r="K39" s="14">
        <f t="shared" si="0"/>
        <v>4</v>
      </c>
      <c r="L39">
        <v>37</v>
      </c>
      <c r="N39" s="16" t="s">
        <v>83</v>
      </c>
      <c r="O39" t="s">
        <v>85</v>
      </c>
      <c r="P39">
        <v>21</v>
      </c>
      <c r="Q39" t="s">
        <v>84</v>
      </c>
      <c r="R39" s="17">
        <v>21</v>
      </c>
      <c r="S39" t="s">
        <v>84</v>
      </c>
      <c r="T39">
        <v>21</v>
      </c>
      <c r="W39" s="18" t="s">
        <v>130</v>
      </c>
      <c r="X39" s="2" t="s">
        <v>149</v>
      </c>
      <c r="Y39" s="3">
        <v>13.878664786432999</v>
      </c>
      <c r="Z39" s="3">
        <v>3.46966619660826</v>
      </c>
      <c r="AA39" s="3">
        <v>13.88</v>
      </c>
      <c r="AB39" s="20" t="s">
        <v>150</v>
      </c>
    </row>
    <row r="40" spans="1:28" ht="51" customHeight="1" x14ac:dyDescent="0.25">
      <c r="A40" s="12" t="s">
        <v>114</v>
      </c>
      <c r="B40" s="12" t="s">
        <v>177</v>
      </c>
      <c r="C40" s="12" t="s">
        <v>186</v>
      </c>
      <c r="D40" s="13">
        <v>0.30208333333333331</v>
      </c>
      <c r="E40" s="13">
        <v>0.30694444444444452</v>
      </c>
      <c r="F40" s="12" t="s">
        <v>192</v>
      </c>
      <c r="G40" s="12" t="s">
        <v>144</v>
      </c>
      <c r="H40" s="14">
        <v>2.2999999999999998</v>
      </c>
      <c r="I40" s="15">
        <v>20</v>
      </c>
      <c r="J40" s="15">
        <v>10</v>
      </c>
      <c r="K40" s="14">
        <f t="shared" si="0"/>
        <v>23</v>
      </c>
      <c r="L40">
        <v>38</v>
      </c>
      <c r="N40" s="16" t="s">
        <v>83</v>
      </c>
      <c r="O40" t="s">
        <v>85</v>
      </c>
      <c r="P40">
        <v>21</v>
      </c>
      <c r="Q40" t="s">
        <v>84</v>
      </c>
      <c r="R40" s="17">
        <v>21</v>
      </c>
      <c r="S40" t="s">
        <v>84</v>
      </c>
      <c r="T40">
        <v>21</v>
      </c>
      <c r="W40" s="18" t="s">
        <v>130</v>
      </c>
      <c r="X40" s="2" t="s">
        <v>145</v>
      </c>
      <c r="Y40" s="3">
        <v>7.9802322521990003</v>
      </c>
      <c r="Z40" s="3">
        <v>3.46966619660826</v>
      </c>
      <c r="AA40" s="3">
        <v>79.8</v>
      </c>
      <c r="AB40" s="20" t="s">
        <v>120</v>
      </c>
    </row>
    <row r="41" spans="1:28" ht="76.5" customHeight="1" x14ac:dyDescent="0.25">
      <c r="A41" s="12" t="s">
        <v>114</v>
      </c>
      <c r="B41" s="12" t="s">
        <v>177</v>
      </c>
      <c r="C41" s="12" t="s">
        <v>193</v>
      </c>
      <c r="D41" s="13">
        <v>0.33680555555555558</v>
      </c>
      <c r="E41" s="13">
        <v>0.3527777777777778</v>
      </c>
      <c r="F41" s="12" t="s">
        <v>194</v>
      </c>
      <c r="G41" s="12" t="s">
        <v>144</v>
      </c>
      <c r="H41" s="14">
        <v>9.5</v>
      </c>
      <c r="I41" s="15">
        <v>20</v>
      </c>
      <c r="J41" s="15">
        <v>10</v>
      </c>
      <c r="K41" s="14">
        <f t="shared" si="0"/>
        <v>95</v>
      </c>
      <c r="L41">
        <v>39</v>
      </c>
      <c r="N41" s="16" t="s">
        <v>60</v>
      </c>
      <c r="O41" t="s">
        <v>61</v>
      </c>
      <c r="P41">
        <v>21</v>
      </c>
      <c r="Q41" t="s">
        <v>65</v>
      </c>
      <c r="R41" s="17">
        <v>23</v>
      </c>
      <c r="S41" t="s">
        <v>64</v>
      </c>
      <c r="T41">
        <v>24</v>
      </c>
      <c r="W41" s="18" t="s">
        <v>130</v>
      </c>
      <c r="X41" s="2" t="s">
        <v>145</v>
      </c>
      <c r="Y41" s="3">
        <v>24.588286923185301</v>
      </c>
      <c r="Z41" s="3">
        <v>2.5882407287563498</v>
      </c>
      <c r="AA41" s="3">
        <v>245.88</v>
      </c>
      <c r="AB41" s="20" t="s">
        <v>120</v>
      </c>
    </row>
    <row r="42" spans="1:28" ht="76.5" customHeight="1" x14ac:dyDescent="0.25">
      <c r="A42" s="12" t="s">
        <v>114</v>
      </c>
      <c r="B42" s="12" t="s">
        <v>177</v>
      </c>
      <c r="C42" s="12" t="s">
        <v>195</v>
      </c>
      <c r="D42" s="13">
        <v>0.3576388888888889</v>
      </c>
      <c r="E42" s="13">
        <v>0.37222222222222218</v>
      </c>
      <c r="F42" s="12" t="s">
        <v>196</v>
      </c>
      <c r="G42" s="12" t="s">
        <v>118</v>
      </c>
      <c r="H42" s="14">
        <v>8</v>
      </c>
      <c r="I42" s="15">
        <v>20</v>
      </c>
      <c r="J42" s="15">
        <v>25</v>
      </c>
      <c r="K42" s="14">
        <f t="shared" si="0"/>
        <v>200</v>
      </c>
      <c r="L42">
        <v>40</v>
      </c>
      <c r="N42" s="16" t="s">
        <v>60</v>
      </c>
      <c r="O42" t="s">
        <v>61</v>
      </c>
      <c r="P42">
        <v>21</v>
      </c>
      <c r="Q42" t="s">
        <v>65</v>
      </c>
      <c r="R42" s="17">
        <v>23</v>
      </c>
      <c r="S42" t="s">
        <v>64</v>
      </c>
      <c r="T42">
        <v>24</v>
      </c>
      <c r="W42" s="18" t="s">
        <v>130</v>
      </c>
      <c r="X42" s="2" t="s">
        <v>119</v>
      </c>
      <c r="Y42" s="3">
        <v>20.705925830050798</v>
      </c>
      <c r="Z42" s="3">
        <v>2.5882407287563498</v>
      </c>
      <c r="AA42" s="3">
        <v>517.65</v>
      </c>
      <c r="AB42" s="20" t="s">
        <v>120</v>
      </c>
    </row>
    <row r="43" spans="1:28" ht="51" customHeight="1" x14ac:dyDescent="0.25">
      <c r="A43" s="12" t="s">
        <v>114</v>
      </c>
      <c r="B43" s="12" t="s">
        <v>177</v>
      </c>
      <c r="C43" s="12" t="s">
        <v>197</v>
      </c>
      <c r="D43" s="13">
        <v>0.39930555555555558</v>
      </c>
      <c r="E43" s="13">
        <v>0.4152777777777778</v>
      </c>
      <c r="F43" s="12" t="s">
        <v>198</v>
      </c>
      <c r="G43" s="12" t="s">
        <v>199</v>
      </c>
      <c r="H43" s="14">
        <v>10</v>
      </c>
      <c r="I43" s="15">
        <v>23</v>
      </c>
      <c r="J43" s="15">
        <v>24</v>
      </c>
      <c r="K43" s="14">
        <f t="shared" si="0"/>
        <v>240</v>
      </c>
      <c r="L43">
        <v>41</v>
      </c>
      <c r="N43" s="16" t="s">
        <v>80</v>
      </c>
      <c r="O43" t="s">
        <v>81</v>
      </c>
      <c r="P43">
        <v>24</v>
      </c>
      <c r="Q43" t="s">
        <v>82</v>
      </c>
      <c r="R43" s="17">
        <v>22</v>
      </c>
      <c r="S43" t="s">
        <v>82</v>
      </c>
      <c r="T43">
        <v>22</v>
      </c>
      <c r="W43" s="18"/>
      <c r="X43" s="2" t="s">
        <v>200</v>
      </c>
      <c r="Y43" s="3">
        <v>40.621148039663098</v>
      </c>
      <c r="Z43" s="19">
        <v>4.0621148039663098</v>
      </c>
      <c r="AA43" s="3">
        <v>974.91</v>
      </c>
      <c r="AB43" s="20" t="s">
        <v>120</v>
      </c>
    </row>
    <row r="44" spans="1:28" ht="51" customHeight="1" x14ac:dyDescent="0.25">
      <c r="A44" s="12" t="s">
        <v>114</v>
      </c>
      <c r="B44" s="12" t="s">
        <v>177</v>
      </c>
      <c r="C44" s="12" t="s">
        <v>197</v>
      </c>
      <c r="D44" s="13">
        <v>0.39930555555555558</v>
      </c>
      <c r="E44" s="13">
        <v>0.40902777777777782</v>
      </c>
      <c r="F44" s="12" t="s">
        <v>201</v>
      </c>
      <c r="G44" s="12" t="s">
        <v>202</v>
      </c>
      <c r="H44" s="14">
        <v>5</v>
      </c>
      <c r="I44" s="15">
        <v>22</v>
      </c>
      <c r="J44" s="15">
        <v>9</v>
      </c>
      <c r="K44" s="14">
        <f t="shared" si="0"/>
        <v>45</v>
      </c>
      <c r="L44">
        <v>42</v>
      </c>
      <c r="N44" s="16" t="s">
        <v>80</v>
      </c>
      <c r="O44" t="s">
        <v>81</v>
      </c>
      <c r="P44">
        <v>24</v>
      </c>
      <c r="Q44" t="s">
        <v>82</v>
      </c>
      <c r="R44" s="17">
        <v>22</v>
      </c>
      <c r="S44" t="s">
        <v>82</v>
      </c>
      <c r="T44">
        <v>22</v>
      </c>
      <c r="W44" s="18"/>
      <c r="X44" s="2" t="s">
        <v>203</v>
      </c>
      <c r="Y44" s="3">
        <v>20.310574019831598</v>
      </c>
      <c r="Z44" s="19">
        <v>4.0621148039663098</v>
      </c>
      <c r="AA44" s="3">
        <v>182.8</v>
      </c>
      <c r="AB44" s="20" t="s">
        <v>120</v>
      </c>
    </row>
    <row r="45" spans="1:28" ht="51" customHeight="1" x14ac:dyDescent="0.25">
      <c r="A45" s="12" t="s">
        <v>114</v>
      </c>
      <c r="B45" s="12" t="s">
        <v>177</v>
      </c>
      <c r="C45" s="12" t="s">
        <v>204</v>
      </c>
      <c r="D45" s="13">
        <v>0.4201388888888889</v>
      </c>
      <c r="E45" s="13">
        <v>0.4513888888888889</v>
      </c>
      <c r="F45" s="12" t="s">
        <v>205</v>
      </c>
      <c r="G45" s="12" t="s">
        <v>206</v>
      </c>
      <c r="H45" s="14">
        <v>16</v>
      </c>
      <c r="I45" s="15">
        <v>20</v>
      </c>
      <c r="J45" s="15">
        <v>65</v>
      </c>
      <c r="K45" s="14">
        <f t="shared" si="0"/>
        <v>1040</v>
      </c>
      <c r="L45">
        <v>43</v>
      </c>
      <c r="N45" s="16" t="s">
        <v>83</v>
      </c>
      <c r="O45" t="s">
        <v>85</v>
      </c>
      <c r="P45">
        <v>21</v>
      </c>
      <c r="Q45" t="s">
        <v>84</v>
      </c>
      <c r="R45" s="17">
        <v>21</v>
      </c>
      <c r="S45" t="s">
        <v>84</v>
      </c>
      <c r="T45">
        <v>21</v>
      </c>
      <c r="W45" s="18" t="s">
        <v>130</v>
      </c>
      <c r="X45" s="2" t="s">
        <v>207</v>
      </c>
      <c r="Y45" s="3">
        <v>55.514659145732203</v>
      </c>
      <c r="Z45" s="3">
        <v>3.46966619660826</v>
      </c>
      <c r="AA45" s="3">
        <v>3608.45</v>
      </c>
      <c r="AB45" s="20" t="s">
        <v>120</v>
      </c>
    </row>
    <row r="46" spans="1:28" ht="51" customHeight="1" x14ac:dyDescent="0.25">
      <c r="A46" s="12" t="s">
        <v>114</v>
      </c>
      <c r="B46" s="12" t="s">
        <v>177</v>
      </c>
      <c r="C46" s="12" t="s">
        <v>204</v>
      </c>
      <c r="D46" s="13">
        <v>0.4201388888888889</v>
      </c>
      <c r="E46" s="13">
        <v>0.4513888888888889</v>
      </c>
      <c r="F46" s="12" t="s">
        <v>205</v>
      </c>
      <c r="G46" s="12" t="s">
        <v>208</v>
      </c>
      <c r="H46" s="14">
        <v>16</v>
      </c>
      <c r="I46" s="15">
        <v>20</v>
      </c>
      <c r="J46" s="15">
        <v>15</v>
      </c>
      <c r="K46" s="14">
        <f t="shared" si="0"/>
        <v>240</v>
      </c>
      <c r="L46">
        <v>44</v>
      </c>
      <c r="N46" s="16" t="s">
        <v>83</v>
      </c>
      <c r="O46" t="s">
        <v>85</v>
      </c>
      <c r="P46">
        <v>21</v>
      </c>
      <c r="Q46" t="s">
        <v>84</v>
      </c>
      <c r="R46" s="17">
        <v>21</v>
      </c>
      <c r="S46" t="s">
        <v>84</v>
      </c>
      <c r="T46">
        <v>21</v>
      </c>
      <c r="W46" s="18" t="s">
        <v>130</v>
      </c>
      <c r="X46" s="2" t="s">
        <v>209</v>
      </c>
      <c r="Y46" s="3">
        <v>55.514659145732203</v>
      </c>
      <c r="Z46" s="3">
        <v>3.46966619660826</v>
      </c>
      <c r="AA46" s="3">
        <v>832.72</v>
      </c>
      <c r="AB46" s="20" t="s">
        <v>120</v>
      </c>
    </row>
    <row r="47" spans="1:28" ht="51" customHeight="1" x14ac:dyDescent="0.25">
      <c r="A47" s="12" t="s">
        <v>114</v>
      </c>
      <c r="B47" s="12" t="s">
        <v>177</v>
      </c>
      <c r="C47" s="12" t="s">
        <v>210</v>
      </c>
      <c r="D47" s="13">
        <v>0.50347222222222221</v>
      </c>
      <c r="E47" s="13">
        <v>0.52430555555555558</v>
      </c>
      <c r="F47" s="12" t="s">
        <v>211</v>
      </c>
      <c r="G47" s="12" t="s">
        <v>199</v>
      </c>
      <c r="H47" s="14">
        <v>11</v>
      </c>
      <c r="I47" s="15">
        <v>23</v>
      </c>
      <c r="J47" s="15">
        <v>24</v>
      </c>
      <c r="K47" s="14">
        <f t="shared" si="0"/>
        <v>264</v>
      </c>
      <c r="L47">
        <v>45</v>
      </c>
      <c r="N47" s="16" t="s">
        <v>80</v>
      </c>
      <c r="O47" t="s">
        <v>81</v>
      </c>
      <c r="P47">
        <v>24</v>
      </c>
      <c r="Q47" t="s">
        <v>82</v>
      </c>
      <c r="R47" s="17">
        <v>22</v>
      </c>
      <c r="S47" t="s">
        <v>82</v>
      </c>
      <c r="T47">
        <v>22</v>
      </c>
      <c r="W47" s="18"/>
      <c r="X47" s="2" t="s">
        <v>200</v>
      </c>
      <c r="Y47" s="3">
        <v>44.6832628436294</v>
      </c>
      <c r="Z47" s="19">
        <v>4.0621148039663098</v>
      </c>
      <c r="AA47" s="3">
        <v>1072.4000000000001</v>
      </c>
      <c r="AB47" s="20" t="s">
        <v>120</v>
      </c>
    </row>
    <row r="48" spans="1:28" ht="51" customHeight="1" x14ac:dyDescent="0.25">
      <c r="A48" s="12" t="s">
        <v>114</v>
      </c>
      <c r="B48" s="12" t="s">
        <v>177</v>
      </c>
      <c r="C48" s="12" t="s">
        <v>210</v>
      </c>
      <c r="D48" s="13">
        <v>0.50347222222222221</v>
      </c>
      <c r="E48" s="13">
        <v>0.51180555555555551</v>
      </c>
      <c r="F48" s="12" t="s">
        <v>212</v>
      </c>
      <c r="G48" s="12" t="s">
        <v>202</v>
      </c>
      <c r="H48" s="14">
        <v>5</v>
      </c>
      <c r="I48" s="15">
        <v>22</v>
      </c>
      <c r="J48" s="15">
        <v>9</v>
      </c>
      <c r="K48" s="14">
        <f t="shared" si="0"/>
        <v>45</v>
      </c>
      <c r="L48">
        <v>46</v>
      </c>
      <c r="N48" s="16" t="s">
        <v>80</v>
      </c>
      <c r="O48" t="s">
        <v>81</v>
      </c>
      <c r="P48">
        <v>24</v>
      </c>
      <c r="Q48" t="s">
        <v>82</v>
      </c>
      <c r="R48" s="17">
        <v>22</v>
      </c>
      <c r="S48" t="s">
        <v>82</v>
      </c>
      <c r="T48">
        <v>22</v>
      </c>
      <c r="W48" s="18"/>
      <c r="X48" s="2" t="s">
        <v>203</v>
      </c>
      <c r="Y48" s="3">
        <v>20.310574019831598</v>
      </c>
      <c r="Z48" s="19">
        <v>4.0621148039663098</v>
      </c>
      <c r="AA48" s="3">
        <v>182.8</v>
      </c>
      <c r="AB48" s="20" t="s">
        <v>120</v>
      </c>
    </row>
    <row r="49" spans="1:28" ht="76.5" customHeight="1" x14ac:dyDescent="0.25">
      <c r="A49" s="12" t="s">
        <v>114</v>
      </c>
      <c r="B49" s="12" t="s">
        <v>177</v>
      </c>
      <c r="C49" s="12" t="s">
        <v>213</v>
      </c>
      <c r="D49" s="13">
        <v>0.54305555555555551</v>
      </c>
      <c r="E49" s="13">
        <v>0.55694444444444446</v>
      </c>
      <c r="F49" s="12" t="s">
        <v>214</v>
      </c>
      <c r="G49" s="12" t="s">
        <v>129</v>
      </c>
      <c r="H49" s="14">
        <v>8</v>
      </c>
      <c r="I49" s="15">
        <v>22</v>
      </c>
      <c r="J49" s="15">
        <v>11</v>
      </c>
      <c r="K49" s="14">
        <f t="shared" si="0"/>
        <v>88</v>
      </c>
      <c r="L49">
        <v>47</v>
      </c>
      <c r="N49" s="16" t="s">
        <v>60</v>
      </c>
      <c r="O49" t="s">
        <v>65</v>
      </c>
      <c r="P49">
        <v>23</v>
      </c>
      <c r="Q49" t="s">
        <v>61</v>
      </c>
      <c r="R49" s="17">
        <v>21</v>
      </c>
      <c r="S49" t="s">
        <v>64</v>
      </c>
      <c r="T49">
        <v>24</v>
      </c>
      <c r="W49" s="18" t="s">
        <v>130</v>
      </c>
      <c r="X49" s="2" t="s">
        <v>131</v>
      </c>
      <c r="Y49" s="3">
        <v>20.705925830050798</v>
      </c>
      <c r="Z49" s="3">
        <v>2.5882407287563498</v>
      </c>
      <c r="AA49" s="3">
        <v>227.77</v>
      </c>
      <c r="AB49" s="20" t="s">
        <v>120</v>
      </c>
    </row>
    <row r="50" spans="1:28" ht="76.5" customHeight="1" x14ac:dyDescent="0.25">
      <c r="A50" s="12" t="s">
        <v>114</v>
      </c>
      <c r="B50" s="12" t="s">
        <v>177</v>
      </c>
      <c r="C50" s="12" t="s">
        <v>215</v>
      </c>
      <c r="D50" s="13">
        <v>0.55555555555555558</v>
      </c>
      <c r="E50" s="13">
        <v>0.56944444444444442</v>
      </c>
      <c r="F50" s="12" t="s">
        <v>216</v>
      </c>
      <c r="G50" s="12" t="s">
        <v>129</v>
      </c>
      <c r="H50" s="14">
        <v>5.5</v>
      </c>
      <c r="I50" s="15">
        <v>20</v>
      </c>
      <c r="J50" s="15">
        <v>11</v>
      </c>
      <c r="K50" s="14">
        <f t="shared" si="0"/>
        <v>60.5</v>
      </c>
      <c r="L50">
        <v>48</v>
      </c>
      <c r="N50" s="16" t="s">
        <v>60</v>
      </c>
      <c r="O50" t="s">
        <v>61</v>
      </c>
      <c r="P50">
        <v>21</v>
      </c>
      <c r="Q50" t="s">
        <v>65</v>
      </c>
      <c r="R50" s="17">
        <v>23</v>
      </c>
      <c r="S50" t="s">
        <v>64</v>
      </c>
      <c r="T50">
        <v>24</v>
      </c>
      <c r="W50" s="18" t="s">
        <v>130</v>
      </c>
      <c r="X50" s="2" t="s">
        <v>131</v>
      </c>
      <c r="Y50" s="3">
        <v>14.2353240081599</v>
      </c>
      <c r="Z50" s="3">
        <v>2.5882407287563498</v>
      </c>
      <c r="AA50" s="3">
        <v>156.59</v>
      </c>
      <c r="AB50" s="20" t="s">
        <v>120</v>
      </c>
    </row>
    <row r="51" spans="1:28" ht="51" customHeight="1" x14ac:dyDescent="0.25">
      <c r="A51" s="12" t="s">
        <v>114</v>
      </c>
      <c r="B51" s="12" t="s">
        <v>177</v>
      </c>
      <c r="C51" s="12" t="s">
        <v>215</v>
      </c>
      <c r="D51" s="13">
        <v>0.55555555555555558</v>
      </c>
      <c r="E51" s="13">
        <v>0.56944444444444442</v>
      </c>
      <c r="F51" s="12" t="s">
        <v>217</v>
      </c>
      <c r="G51" s="12" t="s">
        <v>144</v>
      </c>
      <c r="H51" s="14">
        <v>3</v>
      </c>
      <c r="I51" s="15">
        <v>23</v>
      </c>
      <c r="J51" s="15">
        <v>10</v>
      </c>
      <c r="K51" s="14">
        <f t="shared" si="0"/>
        <v>30</v>
      </c>
      <c r="L51">
        <v>49</v>
      </c>
      <c r="N51" s="16" t="s">
        <v>80</v>
      </c>
      <c r="O51" t="s">
        <v>81</v>
      </c>
      <c r="P51">
        <v>24</v>
      </c>
      <c r="Q51" t="s">
        <v>82</v>
      </c>
      <c r="R51" s="17">
        <v>22</v>
      </c>
      <c r="S51" t="s">
        <v>82</v>
      </c>
      <c r="T51">
        <v>22</v>
      </c>
      <c r="W51" s="18"/>
      <c r="X51" s="2" t="s">
        <v>145</v>
      </c>
      <c r="Y51" s="3">
        <v>12.186344411898901</v>
      </c>
      <c r="Z51" s="19">
        <v>4.0621148039663098</v>
      </c>
      <c r="AA51" s="3">
        <v>121.86</v>
      </c>
      <c r="AB51" s="20" t="s">
        <v>120</v>
      </c>
    </row>
    <row r="52" spans="1:28" ht="76.5" customHeight="1" x14ac:dyDescent="0.25">
      <c r="A52" s="12" t="s">
        <v>114</v>
      </c>
      <c r="B52" s="12" t="s">
        <v>177</v>
      </c>
      <c r="C52" s="12" t="s">
        <v>218</v>
      </c>
      <c r="D52" s="13">
        <v>0.57291666666666663</v>
      </c>
      <c r="E52" s="13">
        <v>0.59444444444444444</v>
      </c>
      <c r="F52" s="12" t="s">
        <v>219</v>
      </c>
      <c r="G52" s="12" t="s">
        <v>129</v>
      </c>
      <c r="H52" s="14">
        <v>9.5</v>
      </c>
      <c r="I52" s="15">
        <v>20</v>
      </c>
      <c r="J52" s="15">
        <v>11</v>
      </c>
      <c r="K52" s="14">
        <f t="shared" si="0"/>
        <v>104.5</v>
      </c>
      <c r="L52">
        <v>50</v>
      </c>
      <c r="N52" s="16" t="s">
        <v>60</v>
      </c>
      <c r="O52" t="s">
        <v>64</v>
      </c>
      <c r="P52">
        <v>24</v>
      </c>
      <c r="Q52" t="s">
        <v>65</v>
      </c>
      <c r="R52" s="17">
        <v>23</v>
      </c>
      <c r="S52" t="s">
        <v>61</v>
      </c>
      <c r="T52">
        <v>21</v>
      </c>
      <c r="W52" s="18" t="s">
        <v>130</v>
      </c>
      <c r="X52" s="2" t="s">
        <v>131</v>
      </c>
      <c r="Y52" s="3">
        <v>24.588286923185301</v>
      </c>
      <c r="Z52" s="3">
        <v>2.5882407287563498</v>
      </c>
      <c r="AA52" s="3">
        <v>270.47000000000003</v>
      </c>
      <c r="AB52" s="20" t="s">
        <v>120</v>
      </c>
    </row>
    <row r="53" spans="1:28" ht="51" customHeight="1" x14ac:dyDescent="0.25">
      <c r="A53" s="12" t="s">
        <v>114</v>
      </c>
      <c r="B53" s="12" t="s">
        <v>177</v>
      </c>
      <c r="C53" s="12" t="s">
        <v>220</v>
      </c>
      <c r="D53" s="13">
        <v>0.58194444444444449</v>
      </c>
      <c r="E53" s="13">
        <v>0.59305555555555556</v>
      </c>
      <c r="F53" s="12" t="s">
        <v>221</v>
      </c>
      <c r="G53" s="12" t="s">
        <v>129</v>
      </c>
      <c r="H53" s="14">
        <v>6.7</v>
      </c>
      <c r="I53" s="15">
        <v>23</v>
      </c>
      <c r="J53" s="15">
        <v>11</v>
      </c>
      <c r="K53" s="14">
        <f t="shared" si="0"/>
        <v>73.7</v>
      </c>
      <c r="L53">
        <v>51</v>
      </c>
      <c r="N53" s="16" t="s">
        <v>80</v>
      </c>
      <c r="O53" t="s">
        <v>81</v>
      </c>
      <c r="P53">
        <v>24</v>
      </c>
      <c r="Q53" t="s">
        <v>82</v>
      </c>
      <c r="R53" s="17">
        <v>22</v>
      </c>
      <c r="S53" t="s">
        <v>82</v>
      </c>
      <c r="T53">
        <v>22</v>
      </c>
      <c r="W53" s="18"/>
      <c r="X53" s="2" t="s">
        <v>131</v>
      </c>
      <c r="Y53" s="3">
        <v>27.216169186574302</v>
      </c>
      <c r="Z53" s="19">
        <v>4.0621148039663098</v>
      </c>
      <c r="AA53" s="3">
        <v>299.38</v>
      </c>
      <c r="AB53" s="20" t="s">
        <v>120</v>
      </c>
    </row>
    <row r="54" spans="1:28" ht="76.5" customHeight="1" x14ac:dyDescent="0.25">
      <c r="A54" s="12" t="s">
        <v>114</v>
      </c>
      <c r="B54" s="12" t="s">
        <v>177</v>
      </c>
      <c r="C54" s="12" t="s">
        <v>222</v>
      </c>
      <c r="D54" s="13">
        <v>0.59375</v>
      </c>
      <c r="E54" s="13">
        <v>0.60763888888888884</v>
      </c>
      <c r="F54" s="21" t="s">
        <v>223</v>
      </c>
      <c r="G54" s="21" t="s">
        <v>144</v>
      </c>
      <c r="H54" s="14">
        <v>7.1</v>
      </c>
      <c r="I54" s="15">
        <v>20</v>
      </c>
      <c r="J54" s="22">
        <v>10</v>
      </c>
      <c r="K54" s="14">
        <f t="shared" si="0"/>
        <v>71</v>
      </c>
      <c r="L54">
        <v>52</v>
      </c>
      <c r="N54" s="16" t="s">
        <v>60</v>
      </c>
      <c r="O54" t="s">
        <v>64</v>
      </c>
      <c r="P54">
        <v>24</v>
      </c>
      <c r="Q54" t="s">
        <v>65</v>
      </c>
      <c r="R54" s="17">
        <v>23</v>
      </c>
      <c r="S54" t="s">
        <v>61</v>
      </c>
      <c r="T54">
        <v>21</v>
      </c>
      <c r="W54" s="18" t="s">
        <v>130</v>
      </c>
      <c r="X54" s="2" t="s">
        <v>145</v>
      </c>
      <c r="Y54" s="3">
        <v>18.376509174170099</v>
      </c>
      <c r="Z54" s="3">
        <v>2.5882407287563498</v>
      </c>
      <c r="AA54" s="3">
        <v>183.77</v>
      </c>
      <c r="AB54" s="20" t="s">
        <v>224</v>
      </c>
    </row>
    <row r="55" spans="1:28" ht="76.5" customHeight="1" x14ac:dyDescent="0.25">
      <c r="A55" s="12" t="s">
        <v>114</v>
      </c>
      <c r="B55" s="12" t="s">
        <v>177</v>
      </c>
      <c r="C55" s="12" t="s">
        <v>222</v>
      </c>
      <c r="D55" s="13">
        <v>0.59375</v>
      </c>
      <c r="E55" s="13">
        <v>0.60763888888888884</v>
      </c>
      <c r="F55" s="21" t="s">
        <v>223</v>
      </c>
      <c r="G55" s="21" t="s">
        <v>225</v>
      </c>
      <c r="H55" s="14">
        <v>7.1</v>
      </c>
      <c r="I55" s="15">
        <v>20</v>
      </c>
      <c r="J55" s="22">
        <v>12</v>
      </c>
      <c r="K55" s="14">
        <f t="shared" si="0"/>
        <v>85.199999999999989</v>
      </c>
      <c r="L55" t="s">
        <v>226</v>
      </c>
      <c r="N55" s="16" t="s">
        <v>60</v>
      </c>
      <c r="O55" t="s">
        <v>64</v>
      </c>
      <c r="P55">
        <v>24</v>
      </c>
      <c r="Q55" t="s">
        <v>65</v>
      </c>
      <c r="R55" s="17">
        <v>23</v>
      </c>
      <c r="S55" t="s">
        <v>61</v>
      </c>
      <c r="T55">
        <v>21</v>
      </c>
      <c r="X55" s="2" t="s">
        <v>227</v>
      </c>
      <c r="Y55" s="3">
        <v>18.376509174170099</v>
      </c>
      <c r="Z55" s="3">
        <v>2.5882407287563498</v>
      </c>
      <c r="AA55" s="3">
        <v>220.52</v>
      </c>
      <c r="AB55" s="20" t="s">
        <v>224</v>
      </c>
    </row>
    <row r="56" spans="1:28" ht="51" customHeight="1" x14ac:dyDescent="0.25">
      <c r="A56" s="12" t="s">
        <v>114</v>
      </c>
      <c r="B56" s="12" t="s">
        <v>177</v>
      </c>
      <c r="C56" s="12" t="s">
        <v>228</v>
      </c>
      <c r="D56" s="13">
        <v>0.59375</v>
      </c>
      <c r="E56" s="13">
        <v>0.60347222222222219</v>
      </c>
      <c r="F56" s="12" t="s">
        <v>229</v>
      </c>
      <c r="G56" s="12" t="s">
        <v>129</v>
      </c>
      <c r="H56" s="14">
        <v>5</v>
      </c>
      <c r="I56" s="15">
        <v>22</v>
      </c>
      <c r="J56" s="15">
        <v>11</v>
      </c>
      <c r="K56" s="14">
        <f t="shared" si="0"/>
        <v>55</v>
      </c>
      <c r="L56">
        <v>53</v>
      </c>
      <c r="N56" s="16" t="s">
        <v>80</v>
      </c>
      <c r="O56" t="s">
        <v>81</v>
      </c>
      <c r="P56">
        <v>24</v>
      </c>
      <c r="Q56" t="s">
        <v>82</v>
      </c>
      <c r="R56" s="17">
        <v>22</v>
      </c>
      <c r="S56" t="s">
        <v>82</v>
      </c>
      <c r="T56">
        <v>22</v>
      </c>
      <c r="W56" s="18"/>
      <c r="X56" s="2" t="s">
        <v>131</v>
      </c>
      <c r="Y56" s="3">
        <v>20.310574019831598</v>
      </c>
      <c r="Z56" s="19">
        <v>4.0621148039663098</v>
      </c>
      <c r="AA56" s="3">
        <v>223.42</v>
      </c>
      <c r="AB56" s="20" t="s">
        <v>120</v>
      </c>
    </row>
    <row r="57" spans="1:28" ht="76.5" customHeight="1" x14ac:dyDescent="0.25">
      <c r="A57" s="12" t="s">
        <v>114</v>
      </c>
      <c r="B57" s="12" t="s">
        <v>177</v>
      </c>
      <c r="C57" s="12" t="s">
        <v>222</v>
      </c>
      <c r="D57" s="13">
        <v>0.60069444444444442</v>
      </c>
      <c r="E57" s="13">
        <v>0.60763888888888884</v>
      </c>
      <c r="F57" s="12" t="s">
        <v>230</v>
      </c>
      <c r="G57" s="12" t="s">
        <v>125</v>
      </c>
      <c r="H57" s="14">
        <v>4</v>
      </c>
      <c r="I57" s="15">
        <v>20</v>
      </c>
      <c r="J57" s="15">
        <v>43</v>
      </c>
      <c r="K57" s="14">
        <f t="shared" si="0"/>
        <v>172</v>
      </c>
      <c r="L57">
        <v>54</v>
      </c>
      <c r="N57" s="16" t="s">
        <v>60</v>
      </c>
      <c r="O57" t="s">
        <v>64</v>
      </c>
      <c r="P57">
        <v>24</v>
      </c>
      <c r="Q57" t="s">
        <v>65</v>
      </c>
      <c r="R57" s="17">
        <v>23</v>
      </c>
      <c r="S57" t="s">
        <v>61</v>
      </c>
      <c r="T57">
        <v>21</v>
      </c>
      <c r="W57" s="18" t="s">
        <v>130</v>
      </c>
      <c r="X57" s="2" t="s">
        <v>126</v>
      </c>
      <c r="Y57" s="3">
        <v>10.352962915025399</v>
      </c>
      <c r="Z57" s="3">
        <v>2.5882407287563498</v>
      </c>
      <c r="AA57" s="3">
        <v>445.18</v>
      </c>
      <c r="AB57" s="20" t="s">
        <v>120</v>
      </c>
    </row>
    <row r="58" spans="1:28" ht="76.5" customHeight="1" x14ac:dyDescent="0.25">
      <c r="A58" s="12" t="s">
        <v>114</v>
      </c>
      <c r="B58" s="12" t="s">
        <v>177</v>
      </c>
      <c r="C58" s="12" t="s">
        <v>231</v>
      </c>
      <c r="D58" s="13">
        <v>0.66319444444444442</v>
      </c>
      <c r="E58" s="13">
        <v>0.67638888888888893</v>
      </c>
      <c r="F58" s="12" t="s">
        <v>232</v>
      </c>
      <c r="G58" s="12" t="s">
        <v>144</v>
      </c>
      <c r="H58" s="14">
        <v>5.5</v>
      </c>
      <c r="I58" s="15">
        <v>22</v>
      </c>
      <c r="J58" s="15">
        <v>10</v>
      </c>
      <c r="K58" s="14">
        <f t="shared" si="0"/>
        <v>55</v>
      </c>
      <c r="L58">
        <v>55</v>
      </c>
      <c r="N58" s="16" t="s">
        <v>60</v>
      </c>
      <c r="O58" t="s">
        <v>65</v>
      </c>
      <c r="P58">
        <v>23</v>
      </c>
      <c r="Q58" t="s">
        <v>61</v>
      </c>
      <c r="R58" s="17">
        <v>21</v>
      </c>
      <c r="S58" t="s">
        <v>64</v>
      </c>
      <c r="T58">
        <v>24</v>
      </c>
      <c r="W58" s="18" t="s">
        <v>130</v>
      </c>
      <c r="X58" s="2" t="s">
        <v>145</v>
      </c>
      <c r="Y58" s="3">
        <v>14.2353240081599</v>
      </c>
      <c r="Z58" s="3">
        <v>2.5882407287563498</v>
      </c>
      <c r="AA58" s="3">
        <v>142.35</v>
      </c>
      <c r="AB58" s="20" t="s">
        <v>120</v>
      </c>
    </row>
    <row r="59" spans="1:28" ht="51" customHeight="1" x14ac:dyDescent="0.25">
      <c r="A59" s="12" t="s">
        <v>114</v>
      </c>
      <c r="B59" s="12" t="s">
        <v>177</v>
      </c>
      <c r="C59" s="12" t="s">
        <v>233</v>
      </c>
      <c r="D59" s="13">
        <v>0.73611111111111116</v>
      </c>
      <c r="E59" s="13">
        <v>0.75694444444444442</v>
      </c>
      <c r="F59" s="12" t="s">
        <v>234</v>
      </c>
      <c r="G59" s="12" t="s">
        <v>206</v>
      </c>
      <c r="H59" s="14">
        <v>11</v>
      </c>
      <c r="I59" s="15">
        <v>20</v>
      </c>
      <c r="J59" s="15">
        <v>65</v>
      </c>
      <c r="K59" s="14">
        <f t="shared" si="0"/>
        <v>715</v>
      </c>
      <c r="L59">
        <v>56</v>
      </c>
      <c r="N59" s="16" t="s">
        <v>83</v>
      </c>
      <c r="O59" t="s">
        <v>85</v>
      </c>
      <c r="P59">
        <v>21</v>
      </c>
      <c r="Q59" t="s">
        <v>84</v>
      </c>
      <c r="R59" s="17">
        <v>21</v>
      </c>
      <c r="S59" t="s">
        <v>84</v>
      </c>
      <c r="T59">
        <v>21</v>
      </c>
      <c r="W59" s="18" t="s">
        <v>130</v>
      </c>
      <c r="X59" s="2" t="s">
        <v>207</v>
      </c>
      <c r="Y59" s="3">
        <v>38.166328162690903</v>
      </c>
      <c r="Z59" s="3">
        <v>3.46966619660826</v>
      </c>
      <c r="AA59" s="3">
        <v>2480.81</v>
      </c>
      <c r="AB59" s="20" t="s">
        <v>120</v>
      </c>
    </row>
    <row r="60" spans="1:28" ht="76.5" customHeight="1" x14ac:dyDescent="0.25">
      <c r="A60" s="12" t="s">
        <v>114</v>
      </c>
      <c r="B60" s="12" t="s">
        <v>177</v>
      </c>
      <c r="C60" s="12" t="s">
        <v>235</v>
      </c>
      <c r="D60" s="13">
        <v>0.75347222222222221</v>
      </c>
      <c r="E60" s="13">
        <v>0.76180555555555551</v>
      </c>
      <c r="F60" s="12" t="s">
        <v>236</v>
      </c>
      <c r="G60" s="12" t="s">
        <v>144</v>
      </c>
      <c r="H60" s="14">
        <v>5</v>
      </c>
      <c r="I60" s="15">
        <v>23</v>
      </c>
      <c r="J60" s="15">
        <v>10</v>
      </c>
      <c r="K60" s="14">
        <f t="shared" si="0"/>
        <v>50</v>
      </c>
      <c r="L60">
        <v>57</v>
      </c>
      <c r="N60" s="16" t="s">
        <v>60</v>
      </c>
      <c r="O60" t="s">
        <v>65</v>
      </c>
      <c r="P60">
        <v>23</v>
      </c>
      <c r="Q60" t="s">
        <v>61</v>
      </c>
      <c r="R60" s="17">
        <v>21</v>
      </c>
      <c r="S60" t="s">
        <v>64</v>
      </c>
      <c r="T60">
        <v>24</v>
      </c>
      <c r="W60" s="18" t="s">
        <v>130</v>
      </c>
      <c r="X60" s="2" t="s">
        <v>145</v>
      </c>
      <c r="Y60" s="3">
        <v>12.941203643781799</v>
      </c>
      <c r="Z60" s="3">
        <v>2.5882407287563498</v>
      </c>
      <c r="AA60" s="3">
        <v>129.41</v>
      </c>
      <c r="AB60" s="20" t="s">
        <v>120</v>
      </c>
    </row>
    <row r="61" spans="1:28" ht="51" customHeight="1" x14ac:dyDescent="0.25">
      <c r="A61" s="12" t="s">
        <v>114</v>
      </c>
      <c r="B61" s="12" t="s">
        <v>237</v>
      </c>
      <c r="C61" s="12" t="s">
        <v>238</v>
      </c>
      <c r="D61" s="13">
        <v>0.28194444444444439</v>
      </c>
      <c r="E61" s="13">
        <v>0.29236111111111113</v>
      </c>
      <c r="F61" s="12" t="s">
        <v>239</v>
      </c>
      <c r="G61" s="12" t="s">
        <v>125</v>
      </c>
      <c r="H61" s="14">
        <v>6</v>
      </c>
      <c r="I61" s="15">
        <v>20</v>
      </c>
      <c r="J61" s="15">
        <v>43</v>
      </c>
      <c r="K61" s="14">
        <f t="shared" si="0"/>
        <v>258</v>
      </c>
      <c r="L61">
        <v>58</v>
      </c>
      <c r="N61" s="16" t="s">
        <v>83</v>
      </c>
      <c r="O61" t="s">
        <v>85</v>
      </c>
      <c r="P61">
        <v>21</v>
      </c>
      <c r="Q61" t="s">
        <v>84</v>
      </c>
      <c r="R61" s="17">
        <v>21</v>
      </c>
      <c r="S61" t="s">
        <v>84</v>
      </c>
      <c r="T61">
        <v>21</v>
      </c>
      <c r="W61" s="18" t="s">
        <v>130</v>
      </c>
      <c r="X61" s="2" t="s">
        <v>126</v>
      </c>
      <c r="Y61" s="3">
        <v>20.817997179649598</v>
      </c>
      <c r="Z61" s="3">
        <v>3.46966619660826</v>
      </c>
      <c r="AA61" s="3">
        <v>895.17</v>
      </c>
      <c r="AB61" s="20" t="s">
        <v>120</v>
      </c>
    </row>
    <row r="62" spans="1:28" ht="76.5" customHeight="1" x14ac:dyDescent="0.25">
      <c r="A62" s="12" t="s">
        <v>114</v>
      </c>
      <c r="B62" s="12" t="s">
        <v>237</v>
      </c>
      <c r="C62" s="12" t="s">
        <v>240</v>
      </c>
      <c r="D62" s="13">
        <v>0.29722222222222222</v>
      </c>
      <c r="E62" s="13">
        <v>0.30763888888888891</v>
      </c>
      <c r="F62" s="12" t="s">
        <v>241</v>
      </c>
      <c r="G62" s="12" t="s">
        <v>129</v>
      </c>
      <c r="H62" s="14">
        <v>6</v>
      </c>
      <c r="I62" s="15">
        <v>24</v>
      </c>
      <c r="J62" s="15">
        <v>11</v>
      </c>
      <c r="K62" s="14">
        <f t="shared" si="0"/>
        <v>66</v>
      </c>
      <c r="L62">
        <v>59</v>
      </c>
      <c r="N62" s="16" t="s">
        <v>60</v>
      </c>
      <c r="O62" t="s">
        <v>64</v>
      </c>
      <c r="P62">
        <v>24</v>
      </c>
      <c r="Q62" t="s">
        <v>65</v>
      </c>
      <c r="R62" s="17">
        <v>23</v>
      </c>
      <c r="S62" t="s">
        <v>61</v>
      </c>
      <c r="T62">
        <v>21</v>
      </c>
      <c r="W62" s="18" t="s">
        <v>130</v>
      </c>
      <c r="X62" s="2" t="s">
        <v>131</v>
      </c>
      <c r="Y62" s="3">
        <v>15.5294443725381</v>
      </c>
      <c r="Z62" s="3">
        <v>2.5882407287563498</v>
      </c>
      <c r="AA62" s="3">
        <v>170.82</v>
      </c>
      <c r="AB62" s="20" t="s">
        <v>120</v>
      </c>
    </row>
    <row r="63" spans="1:28" ht="76.5" customHeight="1" x14ac:dyDescent="0.25">
      <c r="A63" s="12" t="s">
        <v>114</v>
      </c>
      <c r="B63" s="12" t="s">
        <v>237</v>
      </c>
      <c r="C63" s="12" t="s">
        <v>242</v>
      </c>
      <c r="D63" s="13">
        <v>0.31388888888888888</v>
      </c>
      <c r="E63" s="13">
        <v>0.32291666666666669</v>
      </c>
      <c r="F63" s="12" t="s">
        <v>243</v>
      </c>
      <c r="G63" s="12" t="s">
        <v>144</v>
      </c>
      <c r="H63" s="14">
        <v>3.5</v>
      </c>
      <c r="I63" s="15">
        <v>24</v>
      </c>
      <c r="J63" s="15">
        <v>10</v>
      </c>
      <c r="K63" s="14">
        <f t="shared" si="0"/>
        <v>35</v>
      </c>
      <c r="L63">
        <v>60</v>
      </c>
      <c r="N63" s="16" t="s">
        <v>60</v>
      </c>
      <c r="O63" t="s">
        <v>64</v>
      </c>
      <c r="P63">
        <v>24</v>
      </c>
      <c r="Q63" t="s">
        <v>65</v>
      </c>
      <c r="R63" s="17">
        <v>23</v>
      </c>
      <c r="S63" t="s">
        <v>61</v>
      </c>
      <c r="T63">
        <v>21</v>
      </c>
      <c r="W63" s="18" t="s">
        <v>130</v>
      </c>
      <c r="X63" s="2" t="s">
        <v>145</v>
      </c>
      <c r="Y63" s="3">
        <v>9.0588425506472205</v>
      </c>
      <c r="Z63" s="3">
        <v>2.5882407287563498</v>
      </c>
      <c r="AA63" s="3">
        <v>90.59</v>
      </c>
      <c r="AB63" s="20" t="s">
        <v>120</v>
      </c>
    </row>
    <row r="64" spans="1:28" ht="51" customHeight="1" x14ac:dyDescent="0.25">
      <c r="A64" s="12" t="s">
        <v>114</v>
      </c>
      <c r="B64" s="12" t="s">
        <v>237</v>
      </c>
      <c r="C64" s="12" t="s">
        <v>244</v>
      </c>
      <c r="D64" s="13">
        <v>0.38194444444444442</v>
      </c>
      <c r="E64" s="13">
        <v>0.4</v>
      </c>
      <c r="F64" s="12" t="s">
        <v>245</v>
      </c>
      <c r="G64" s="12" t="s">
        <v>171</v>
      </c>
      <c r="H64" s="14">
        <v>10</v>
      </c>
      <c r="I64" s="15">
        <v>20</v>
      </c>
      <c r="J64" s="15">
        <v>77</v>
      </c>
      <c r="K64" s="14">
        <f t="shared" si="0"/>
        <v>770</v>
      </c>
      <c r="L64">
        <v>61</v>
      </c>
      <c r="N64" s="16" t="s">
        <v>83</v>
      </c>
      <c r="O64" t="s">
        <v>85</v>
      </c>
      <c r="P64">
        <v>21</v>
      </c>
      <c r="Q64" t="s">
        <v>84</v>
      </c>
      <c r="R64" s="17">
        <v>21</v>
      </c>
      <c r="S64" t="s">
        <v>84</v>
      </c>
      <c r="T64">
        <v>21</v>
      </c>
      <c r="W64" s="18" t="s">
        <v>130</v>
      </c>
      <c r="X64" s="2" t="s">
        <v>172</v>
      </c>
      <c r="Y64" s="3">
        <v>34.696661966082601</v>
      </c>
      <c r="Z64" s="3">
        <v>3.46966619660826</v>
      </c>
      <c r="AA64" s="3">
        <v>2671.64</v>
      </c>
      <c r="AB64" s="20" t="s">
        <v>120</v>
      </c>
    </row>
    <row r="65" spans="1:28" ht="51" customHeight="1" x14ac:dyDescent="0.25">
      <c r="A65" s="12" t="s">
        <v>114</v>
      </c>
      <c r="B65" s="12" t="s">
        <v>237</v>
      </c>
      <c r="C65" s="12" t="s">
        <v>246</v>
      </c>
      <c r="D65" s="13">
        <v>0.55555555555555558</v>
      </c>
      <c r="E65" s="13">
        <v>0.57638888888888884</v>
      </c>
      <c r="F65" s="12" t="s">
        <v>247</v>
      </c>
      <c r="G65" s="12" t="s">
        <v>129</v>
      </c>
      <c r="H65" s="14">
        <v>11.5</v>
      </c>
      <c r="I65" s="15">
        <v>19</v>
      </c>
      <c r="J65" s="15">
        <v>11</v>
      </c>
      <c r="K65" s="14">
        <f t="shared" si="0"/>
        <v>126.5</v>
      </c>
      <c r="L65">
        <v>62</v>
      </c>
      <c r="N65" s="16" t="s">
        <v>58</v>
      </c>
      <c r="O65" t="s">
        <v>59</v>
      </c>
      <c r="P65">
        <v>21</v>
      </c>
      <c r="Q65" t="s">
        <v>59</v>
      </c>
      <c r="R65" s="17">
        <v>21</v>
      </c>
      <c r="W65" s="18" t="s">
        <v>130</v>
      </c>
      <c r="X65" s="2" t="s">
        <v>131</v>
      </c>
      <c r="Y65" s="3">
        <v>25.704799999999999</v>
      </c>
      <c r="AA65" s="3">
        <v>282.75</v>
      </c>
      <c r="AB65" s="20" t="s">
        <v>120</v>
      </c>
    </row>
    <row r="66" spans="1:28" ht="76.5" customHeight="1" x14ac:dyDescent="0.25">
      <c r="A66" s="12" t="s">
        <v>114</v>
      </c>
      <c r="B66" s="12" t="s">
        <v>237</v>
      </c>
      <c r="C66" s="12" t="s">
        <v>248</v>
      </c>
      <c r="D66" s="13">
        <v>0.71180555555555558</v>
      </c>
      <c r="E66" s="13">
        <v>0.72986111111111107</v>
      </c>
      <c r="F66" s="12" t="s">
        <v>249</v>
      </c>
      <c r="G66" s="12" t="s">
        <v>206</v>
      </c>
      <c r="H66" s="14">
        <v>10</v>
      </c>
      <c r="I66" s="15">
        <v>22</v>
      </c>
      <c r="J66" s="15">
        <v>65</v>
      </c>
      <c r="K66" s="14">
        <f t="shared" si="0"/>
        <v>650</v>
      </c>
      <c r="L66">
        <v>63</v>
      </c>
      <c r="N66" s="16" t="s">
        <v>60</v>
      </c>
      <c r="O66" t="s">
        <v>65</v>
      </c>
      <c r="P66">
        <v>23</v>
      </c>
      <c r="Q66" t="s">
        <v>61</v>
      </c>
      <c r="R66" s="17">
        <v>21</v>
      </c>
      <c r="S66" t="s">
        <v>64</v>
      </c>
      <c r="T66">
        <v>24</v>
      </c>
      <c r="W66" s="18" t="s">
        <v>130</v>
      </c>
      <c r="X66" s="2" t="s">
        <v>207</v>
      </c>
      <c r="Y66" s="3">
        <v>25.882407287563499</v>
      </c>
      <c r="Z66" s="3">
        <v>2.5882407287563498</v>
      </c>
      <c r="AA66" s="3">
        <v>1682.36</v>
      </c>
      <c r="AB66" s="20" t="s">
        <v>120</v>
      </c>
    </row>
    <row r="67" spans="1:28" ht="63.75" customHeight="1" x14ac:dyDescent="0.25">
      <c r="A67" s="12" t="s">
        <v>114</v>
      </c>
      <c r="B67" s="12" t="s">
        <v>250</v>
      </c>
      <c r="C67" s="12" t="s">
        <v>251</v>
      </c>
      <c r="D67" s="13">
        <v>0.34027777777777779</v>
      </c>
      <c r="E67" s="13">
        <v>0.39374999999999999</v>
      </c>
      <c r="F67" s="12" t="s">
        <v>252</v>
      </c>
      <c r="G67" s="12" t="s">
        <v>118</v>
      </c>
      <c r="H67" s="14">
        <v>10.5</v>
      </c>
      <c r="I67" s="15">
        <v>23</v>
      </c>
      <c r="J67" s="15">
        <v>25</v>
      </c>
      <c r="K67" s="14">
        <f t="shared" ref="K67:K84" si="1">J67*H67</f>
        <v>262.5</v>
      </c>
      <c r="L67">
        <v>64</v>
      </c>
      <c r="N67" s="16" t="s">
        <v>80</v>
      </c>
      <c r="O67" t="s">
        <v>81</v>
      </c>
      <c r="P67">
        <v>24</v>
      </c>
      <c r="Q67" t="s">
        <v>82</v>
      </c>
      <c r="R67" s="17">
        <v>22</v>
      </c>
      <c r="S67" t="s">
        <v>82</v>
      </c>
      <c r="T67">
        <v>22</v>
      </c>
      <c r="W67" s="18"/>
      <c r="X67" s="2" t="s">
        <v>119</v>
      </c>
      <c r="Y67" s="3">
        <v>42.652205441646302</v>
      </c>
      <c r="Z67" s="19">
        <v>4.0621148039663098</v>
      </c>
      <c r="AA67" s="3">
        <v>1066.31</v>
      </c>
      <c r="AB67" s="20" t="s">
        <v>120</v>
      </c>
    </row>
    <row r="68" spans="1:28" ht="51" customHeight="1" x14ac:dyDescent="0.25">
      <c r="A68" s="12" t="s">
        <v>114</v>
      </c>
      <c r="B68" s="12" t="s">
        <v>250</v>
      </c>
      <c r="C68" s="12" t="s">
        <v>253</v>
      </c>
      <c r="D68" s="13">
        <v>0.34513888888888888</v>
      </c>
      <c r="E68" s="13">
        <v>0.39374999999999999</v>
      </c>
      <c r="F68" s="12" t="s">
        <v>254</v>
      </c>
      <c r="G68" s="12" t="s">
        <v>118</v>
      </c>
      <c r="H68" s="14">
        <v>2.4</v>
      </c>
      <c r="I68" s="15">
        <v>23</v>
      </c>
      <c r="J68" s="15">
        <v>25</v>
      </c>
      <c r="K68" s="14">
        <f t="shared" si="1"/>
        <v>60</v>
      </c>
      <c r="L68">
        <v>65</v>
      </c>
      <c r="N68" s="16" t="s">
        <v>80</v>
      </c>
      <c r="O68" t="s">
        <v>81</v>
      </c>
      <c r="P68">
        <v>24</v>
      </c>
      <c r="Q68" t="s">
        <v>82</v>
      </c>
      <c r="R68" s="17">
        <v>22</v>
      </c>
      <c r="S68" t="s">
        <v>82</v>
      </c>
      <c r="T68">
        <v>22</v>
      </c>
      <c r="W68" s="18"/>
      <c r="X68" s="2" t="s">
        <v>119</v>
      </c>
      <c r="Y68" s="3">
        <v>9.7490755295191391</v>
      </c>
      <c r="Z68" s="19">
        <v>4.0621148039663098</v>
      </c>
      <c r="AA68" s="3">
        <v>243.73</v>
      </c>
      <c r="AB68" s="20" t="s">
        <v>120</v>
      </c>
    </row>
    <row r="69" spans="1:28" ht="102" customHeight="1" x14ac:dyDescent="0.25">
      <c r="A69" s="12" t="s">
        <v>114</v>
      </c>
      <c r="B69" s="12" t="s">
        <v>250</v>
      </c>
      <c r="C69" s="12" t="s">
        <v>255</v>
      </c>
      <c r="D69" s="13">
        <v>0.41180555555555548</v>
      </c>
      <c r="E69" s="13">
        <v>0.51875000000000004</v>
      </c>
      <c r="F69" s="21" t="s">
        <v>256</v>
      </c>
      <c r="G69" s="12" t="s">
        <v>118</v>
      </c>
      <c r="H69" s="24">
        <v>17.5</v>
      </c>
      <c r="I69" s="15">
        <v>22</v>
      </c>
      <c r="J69" s="15">
        <v>25</v>
      </c>
      <c r="K69" s="14">
        <f t="shared" si="1"/>
        <v>437.5</v>
      </c>
      <c r="L69">
        <v>66</v>
      </c>
      <c r="N69" s="16" t="s">
        <v>60</v>
      </c>
      <c r="O69" t="s">
        <v>64</v>
      </c>
      <c r="P69">
        <v>24</v>
      </c>
      <c r="Q69" t="s">
        <v>65</v>
      </c>
      <c r="R69" s="17">
        <v>23</v>
      </c>
      <c r="S69" t="s">
        <v>61</v>
      </c>
      <c r="T69">
        <v>21</v>
      </c>
      <c r="W69" s="18" t="s">
        <v>130</v>
      </c>
      <c r="X69" s="2" t="s">
        <v>119</v>
      </c>
      <c r="Y69" s="3">
        <v>45.294212753236103</v>
      </c>
      <c r="Z69" s="3">
        <v>2.5882407287563498</v>
      </c>
      <c r="AA69" s="3">
        <v>1132.3599999999999</v>
      </c>
      <c r="AB69" s="20" t="s">
        <v>150</v>
      </c>
    </row>
    <row r="70" spans="1:28" ht="51" customHeight="1" x14ac:dyDescent="0.25">
      <c r="A70" s="12" t="s">
        <v>114</v>
      </c>
      <c r="B70" s="12" t="s">
        <v>250</v>
      </c>
      <c r="C70" s="12">
        <v>555</v>
      </c>
      <c r="D70" s="13">
        <v>0.4861111111111111</v>
      </c>
      <c r="E70" s="13">
        <v>0.49791666666666667</v>
      </c>
      <c r="F70" s="21" t="s">
        <v>257</v>
      </c>
      <c r="G70" s="12" t="s">
        <v>258</v>
      </c>
      <c r="H70" s="24">
        <v>3.5</v>
      </c>
      <c r="I70" s="15">
        <v>22</v>
      </c>
      <c r="J70" s="22">
        <v>3</v>
      </c>
      <c r="K70" s="14">
        <f t="shared" si="1"/>
        <v>10.5</v>
      </c>
      <c r="L70" t="s">
        <v>259</v>
      </c>
      <c r="N70" s="16" t="s">
        <v>80</v>
      </c>
      <c r="O70" t="s">
        <v>64</v>
      </c>
      <c r="P70">
        <v>24</v>
      </c>
      <c r="Q70" t="s">
        <v>65</v>
      </c>
      <c r="R70" s="17">
        <v>23</v>
      </c>
      <c r="S70" t="s">
        <v>61</v>
      </c>
      <c r="T70">
        <v>21</v>
      </c>
      <c r="W70" s="18"/>
      <c r="X70" s="2" t="s">
        <v>260</v>
      </c>
      <c r="Y70" s="3">
        <v>14.2174018138821</v>
      </c>
      <c r="Z70" s="19">
        <v>4.0621148039663098</v>
      </c>
      <c r="AA70" s="3">
        <v>42.65</v>
      </c>
      <c r="AB70" s="20" t="s">
        <v>261</v>
      </c>
    </row>
    <row r="71" spans="1:28" ht="76.5" customHeight="1" x14ac:dyDescent="0.25">
      <c r="A71" s="12" t="s">
        <v>114</v>
      </c>
      <c r="B71" s="12" t="s">
        <v>250</v>
      </c>
      <c r="C71" s="12">
        <v>555</v>
      </c>
      <c r="D71" s="13">
        <v>0.44444444444444442</v>
      </c>
      <c r="E71" s="13">
        <v>0.45624999999999999</v>
      </c>
      <c r="F71" s="21" t="s">
        <v>257</v>
      </c>
      <c r="G71" s="12" t="s">
        <v>152</v>
      </c>
      <c r="H71" s="24">
        <v>3.5</v>
      </c>
      <c r="I71" s="15">
        <v>19</v>
      </c>
      <c r="J71" s="22">
        <v>22</v>
      </c>
      <c r="K71" s="14">
        <f t="shared" si="1"/>
        <v>77</v>
      </c>
      <c r="L71" t="s">
        <v>262</v>
      </c>
      <c r="N71" s="16" t="s">
        <v>60</v>
      </c>
      <c r="O71" t="s">
        <v>81</v>
      </c>
      <c r="P71">
        <v>24</v>
      </c>
      <c r="Q71" t="s">
        <v>82</v>
      </c>
      <c r="R71" s="17">
        <v>22</v>
      </c>
      <c r="S71" t="s">
        <v>82</v>
      </c>
      <c r="T71">
        <v>22</v>
      </c>
      <c r="W71" s="18"/>
      <c r="X71" s="2" t="s">
        <v>153</v>
      </c>
      <c r="Y71" s="3">
        <v>9.0588425506472205</v>
      </c>
      <c r="Z71" s="3">
        <v>2.5882407287563498</v>
      </c>
      <c r="AA71" s="3">
        <v>199.29</v>
      </c>
      <c r="AB71" s="20" t="s">
        <v>261</v>
      </c>
    </row>
    <row r="72" spans="1:28" ht="76.5" customHeight="1" x14ac:dyDescent="0.25">
      <c r="A72" s="12" t="s">
        <v>114</v>
      </c>
      <c r="B72" s="12" t="s">
        <v>250</v>
      </c>
      <c r="C72" s="12" t="s">
        <v>263</v>
      </c>
      <c r="D72" s="13">
        <v>0.4284722222222222</v>
      </c>
      <c r="E72" s="13">
        <v>0.51875000000000004</v>
      </c>
      <c r="F72" s="12" t="s">
        <v>264</v>
      </c>
      <c r="G72" s="12" t="s">
        <v>118</v>
      </c>
      <c r="H72" s="14">
        <v>3.6</v>
      </c>
      <c r="I72" s="15">
        <v>22</v>
      </c>
      <c r="J72" s="15">
        <v>25</v>
      </c>
      <c r="K72" s="14">
        <f t="shared" si="1"/>
        <v>90</v>
      </c>
      <c r="L72">
        <v>67</v>
      </c>
      <c r="N72" s="16" t="s">
        <v>60</v>
      </c>
      <c r="O72" t="s">
        <v>64</v>
      </c>
      <c r="P72">
        <v>24</v>
      </c>
      <c r="Q72" t="s">
        <v>65</v>
      </c>
      <c r="R72" s="17">
        <v>23</v>
      </c>
      <c r="S72" t="s">
        <v>61</v>
      </c>
      <c r="T72">
        <v>21</v>
      </c>
      <c r="W72" s="18" t="s">
        <v>130</v>
      </c>
      <c r="X72" s="2" t="s">
        <v>119</v>
      </c>
      <c r="Y72" s="3">
        <v>9.3176666235228591</v>
      </c>
      <c r="Z72" s="3">
        <v>2.5882407287563498</v>
      </c>
      <c r="AA72" s="3">
        <v>232.94</v>
      </c>
      <c r="AB72" s="20" t="s">
        <v>120</v>
      </c>
    </row>
    <row r="73" spans="1:28" ht="51" customHeight="1" x14ac:dyDescent="0.25">
      <c r="A73" s="12" t="s">
        <v>114</v>
      </c>
      <c r="B73" s="12" t="s">
        <v>250</v>
      </c>
      <c r="C73" s="12" t="s">
        <v>265</v>
      </c>
      <c r="D73" s="13">
        <v>0.52777777777777779</v>
      </c>
      <c r="E73" s="13">
        <v>0.53819444444444442</v>
      </c>
      <c r="F73" s="12" t="s">
        <v>266</v>
      </c>
      <c r="G73" s="12" t="s">
        <v>118</v>
      </c>
      <c r="H73" s="14">
        <v>3.5</v>
      </c>
      <c r="I73" s="15">
        <v>23</v>
      </c>
      <c r="J73" s="15">
        <v>25</v>
      </c>
      <c r="K73" s="14">
        <f t="shared" si="1"/>
        <v>87.5</v>
      </c>
      <c r="L73">
        <v>68</v>
      </c>
      <c r="N73" s="16" t="s">
        <v>80</v>
      </c>
      <c r="O73" t="s">
        <v>81</v>
      </c>
      <c r="P73">
        <v>24</v>
      </c>
      <c r="Q73" t="s">
        <v>82</v>
      </c>
      <c r="R73" s="17">
        <v>22</v>
      </c>
      <c r="S73" t="s">
        <v>82</v>
      </c>
      <c r="T73">
        <v>22</v>
      </c>
      <c r="W73" s="18"/>
      <c r="X73" s="2" t="s">
        <v>119</v>
      </c>
      <c r="Y73" s="3">
        <v>14.2174018138821</v>
      </c>
      <c r="Z73" s="19">
        <v>4.0621148039663098</v>
      </c>
      <c r="AA73" s="3">
        <v>355.44</v>
      </c>
      <c r="AB73" s="20" t="s">
        <v>120</v>
      </c>
    </row>
    <row r="74" spans="1:28" ht="76.5" customHeight="1" x14ac:dyDescent="0.25">
      <c r="A74" s="12" t="s">
        <v>114</v>
      </c>
      <c r="B74" s="12" t="s">
        <v>250</v>
      </c>
      <c r="C74" s="12" t="s">
        <v>267</v>
      </c>
      <c r="D74" s="13">
        <v>0.69444444444444442</v>
      </c>
      <c r="E74" s="13">
        <v>0.70486111111111116</v>
      </c>
      <c r="F74" s="12" t="s">
        <v>268</v>
      </c>
      <c r="G74" s="12" t="s">
        <v>118</v>
      </c>
      <c r="H74" s="14">
        <v>3.5</v>
      </c>
      <c r="I74" s="15">
        <v>23</v>
      </c>
      <c r="J74" s="15">
        <v>25</v>
      </c>
      <c r="K74" s="14">
        <f t="shared" si="1"/>
        <v>87.5</v>
      </c>
      <c r="L74">
        <v>69</v>
      </c>
      <c r="N74" s="16" t="s">
        <v>60</v>
      </c>
      <c r="O74" t="s">
        <v>61</v>
      </c>
      <c r="P74">
        <v>21</v>
      </c>
      <c r="Q74" t="s">
        <v>65</v>
      </c>
      <c r="R74" s="17">
        <v>23</v>
      </c>
      <c r="S74" t="s">
        <v>64</v>
      </c>
      <c r="T74">
        <v>24</v>
      </c>
      <c r="W74" s="18" t="s">
        <v>130</v>
      </c>
      <c r="X74" s="2" t="s">
        <v>119</v>
      </c>
      <c r="Y74" s="3">
        <v>9.0588425506472205</v>
      </c>
      <c r="Z74" s="3">
        <v>2.5882407287563498</v>
      </c>
      <c r="AA74" s="3">
        <v>226.47</v>
      </c>
      <c r="AB74" s="20" t="s">
        <v>120</v>
      </c>
    </row>
    <row r="75" spans="1:28" ht="76.5" customHeight="1" x14ac:dyDescent="0.25">
      <c r="A75" s="12" t="s">
        <v>114</v>
      </c>
      <c r="B75" s="12" t="s">
        <v>250</v>
      </c>
      <c r="C75" s="12" t="s">
        <v>269</v>
      </c>
      <c r="D75" s="13">
        <v>0.54861111111111116</v>
      </c>
      <c r="E75" s="13">
        <v>0.7270833333333333</v>
      </c>
      <c r="F75" s="21" t="s">
        <v>270</v>
      </c>
      <c r="G75" s="12" t="s">
        <v>118</v>
      </c>
      <c r="H75" s="24">
        <v>14</v>
      </c>
      <c r="I75" s="15">
        <v>19</v>
      </c>
      <c r="J75" s="15">
        <v>25</v>
      </c>
      <c r="K75" s="14">
        <f t="shared" si="1"/>
        <v>350</v>
      </c>
      <c r="L75">
        <v>70</v>
      </c>
      <c r="N75" s="16" t="s">
        <v>47</v>
      </c>
      <c r="O75" t="s">
        <v>53</v>
      </c>
      <c r="P75">
        <v>21</v>
      </c>
      <c r="Q75" t="s">
        <v>50</v>
      </c>
      <c r="R75" s="17">
        <v>21</v>
      </c>
      <c r="S75" t="s">
        <v>48</v>
      </c>
      <c r="T75">
        <v>10</v>
      </c>
      <c r="W75" s="18" t="s">
        <v>130</v>
      </c>
      <c r="X75" s="2" t="s">
        <v>119</v>
      </c>
      <c r="Y75" s="3">
        <v>49.102199747747697</v>
      </c>
      <c r="Z75" s="3">
        <v>3.5072999819819799</v>
      </c>
      <c r="AA75" s="3">
        <v>1227.55</v>
      </c>
      <c r="AB75" s="20" t="s">
        <v>150</v>
      </c>
    </row>
    <row r="76" spans="1:28" ht="51" customHeight="1" x14ac:dyDescent="0.25">
      <c r="A76" s="12" t="s">
        <v>114</v>
      </c>
      <c r="B76" s="12" t="s">
        <v>250</v>
      </c>
      <c r="C76" s="12">
        <v>563</v>
      </c>
      <c r="D76" s="13">
        <v>0.67361111111111116</v>
      </c>
      <c r="E76" s="13">
        <v>0.68541666666666667</v>
      </c>
      <c r="F76" s="21" t="s">
        <v>271</v>
      </c>
      <c r="G76" s="12" t="s">
        <v>258</v>
      </c>
      <c r="H76" s="24">
        <v>3.5</v>
      </c>
      <c r="I76" s="15">
        <v>19</v>
      </c>
      <c r="J76" s="22">
        <v>3</v>
      </c>
      <c r="K76" s="14">
        <f t="shared" si="1"/>
        <v>10.5</v>
      </c>
      <c r="L76" t="s">
        <v>272</v>
      </c>
      <c r="N76" s="16" t="s">
        <v>47</v>
      </c>
      <c r="O76" t="s">
        <v>53</v>
      </c>
      <c r="P76">
        <v>21</v>
      </c>
      <c r="Q76" t="s">
        <v>50</v>
      </c>
      <c r="R76" s="17">
        <v>21</v>
      </c>
      <c r="S76" t="s">
        <v>48</v>
      </c>
      <c r="T76">
        <v>10</v>
      </c>
      <c r="X76" s="2" t="s">
        <v>260</v>
      </c>
      <c r="Y76" s="3">
        <v>12.275549936936899</v>
      </c>
      <c r="Z76" s="3">
        <v>3.5072999819819799</v>
      </c>
      <c r="AA76" s="3">
        <v>36.83</v>
      </c>
      <c r="AB76" s="20" t="s">
        <v>261</v>
      </c>
    </row>
    <row r="77" spans="1:28" ht="76.5" customHeight="1" x14ac:dyDescent="0.25">
      <c r="A77" s="12" t="s">
        <v>114</v>
      </c>
      <c r="B77" s="12" t="s">
        <v>250</v>
      </c>
      <c r="C77" s="12">
        <v>563</v>
      </c>
      <c r="D77" s="13">
        <v>0.67361111111111116</v>
      </c>
      <c r="E77" s="13">
        <v>0.68541666666666667</v>
      </c>
      <c r="F77" s="21" t="s">
        <v>271</v>
      </c>
      <c r="G77" s="12" t="s">
        <v>152</v>
      </c>
      <c r="H77" s="24">
        <v>3.5</v>
      </c>
      <c r="I77" s="15">
        <v>19</v>
      </c>
      <c r="J77" s="22">
        <v>22</v>
      </c>
      <c r="K77" s="14">
        <f t="shared" si="1"/>
        <v>77</v>
      </c>
      <c r="L77" t="s">
        <v>273</v>
      </c>
      <c r="N77" s="16" t="s">
        <v>60</v>
      </c>
      <c r="O77" t="s">
        <v>61</v>
      </c>
      <c r="P77">
        <v>21</v>
      </c>
      <c r="Q77" t="s">
        <v>65</v>
      </c>
      <c r="R77" s="17">
        <v>23</v>
      </c>
      <c r="S77" t="s">
        <v>64</v>
      </c>
      <c r="T77">
        <v>24</v>
      </c>
      <c r="X77" s="2" t="s">
        <v>153</v>
      </c>
      <c r="Y77" s="3">
        <v>9.0588425506472205</v>
      </c>
      <c r="Z77" s="3">
        <v>2.5882407287563498</v>
      </c>
      <c r="AA77" s="3">
        <v>199.29</v>
      </c>
      <c r="AB77" s="20" t="s">
        <v>261</v>
      </c>
    </row>
    <row r="78" spans="1:28" ht="51" customHeight="1" x14ac:dyDescent="0.25">
      <c r="A78" s="12" t="s">
        <v>114</v>
      </c>
      <c r="B78" s="12" t="s">
        <v>250</v>
      </c>
      <c r="C78" s="12" t="s">
        <v>274</v>
      </c>
      <c r="D78" s="13">
        <v>0.61597222222222225</v>
      </c>
      <c r="E78" s="13">
        <v>0.7270833333333333</v>
      </c>
      <c r="F78" s="21" t="s">
        <v>275</v>
      </c>
      <c r="G78" s="12" t="s">
        <v>118</v>
      </c>
      <c r="H78" s="24">
        <v>2.4</v>
      </c>
      <c r="I78" s="15">
        <v>19</v>
      </c>
      <c r="J78" s="15">
        <v>25</v>
      </c>
      <c r="K78" s="14">
        <f t="shared" si="1"/>
        <v>60</v>
      </c>
      <c r="L78">
        <v>71</v>
      </c>
      <c r="N78" s="16" t="s">
        <v>47</v>
      </c>
      <c r="O78" t="s">
        <v>53</v>
      </c>
      <c r="P78">
        <v>21</v>
      </c>
      <c r="Q78" t="s">
        <v>50</v>
      </c>
      <c r="R78" s="17">
        <v>21</v>
      </c>
      <c r="S78" t="s">
        <v>48</v>
      </c>
      <c r="T78">
        <v>10</v>
      </c>
      <c r="W78" s="18" t="s">
        <v>130</v>
      </c>
      <c r="X78" s="2" t="s">
        <v>119</v>
      </c>
      <c r="Y78" s="3">
        <v>8.4175199567567507</v>
      </c>
      <c r="Z78" s="3">
        <v>3.5072999819819799</v>
      </c>
      <c r="AA78" s="3">
        <v>210.44</v>
      </c>
      <c r="AB78" s="20" t="s">
        <v>150</v>
      </c>
    </row>
    <row r="79" spans="1:28" ht="51" customHeight="1" x14ac:dyDescent="0.25">
      <c r="A79" s="12" t="s">
        <v>114</v>
      </c>
      <c r="B79" s="12" t="s">
        <v>250</v>
      </c>
      <c r="C79" s="12">
        <v>563</v>
      </c>
      <c r="D79" s="13">
        <v>0.67847222222222225</v>
      </c>
      <c r="E79" s="13">
        <v>0.68541666666666667</v>
      </c>
      <c r="F79" s="21" t="s">
        <v>276</v>
      </c>
      <c r="G79" s="12" t="s">
        <v>258</v>
      </c>
      <c r="H79" s="24">
        <v>1.2</v>
      </c>
      <c r="I79" s="15">
        <v>19</v>
      </c>
      <c r="J79" s="22">
        <v>3</v>
      </c>
      <c r="K79" s="14">
        <f t="shared" si="1"/>
        <v>3.5999999999999996</v>
      </c>
      <c r="L79" t="s">
        <v>277</v>
      </c>
      <c r="N79" s="16" t="s">
        <v>47</v>
      </c>
      <c r="O79" t="s">
        <v>53</v>
      </c>
      <c r="P79">
        <v>21</v>
      </c>
      <c r="Q79" t="s">
        <v>50</v>
      </c>
      <c r="R79" s="17">
        <v>21</v>
      </c>
      <c r="S79" t="s">
        <v>48</v>
      </c>
      <c r="T79">
        <v>10</v>
      </c>
      <c r="W79" s="18"/>
      <c r="X79" s="2" t="s">
        <v>260</v>
      </c>
      <c r="Y79" s="3">
        <v>4.2087599783783798</v>
      </c>
      <c r="Z79" s="3">
        <v>3.5072999819819799</v>
      </c>
      <c r="AA79" s="3">
        <v>12.63</v>
      </c>
      <c r="AB79" s="20" t="s">
        <v>261</v>
      </c>
    </row>
    <row r="80" spans="1:28" ht="76.5" customHeight="1" x14ac:dyDescent="0.25">
      <c r="A80" s="12" t="s">
        <v>114</v>
      </c>
      <c r="B80" s="12" t="s">
        <v>250</v>
      </c>
      <c r="C80" s="12">
        <v>563</v>
      </c>
      <c r="D80" s="13">
        <v>0.67847222222222225</v>
      </c>
      <c r="E80" s="13">
        <v>0.68541666666666667</v>
      </c>
      <c r="F80" s="21" t="s">
        <v>276</v>
      </c>
      <c r="G80" s="12" t="s">
        <v>152</v>
      </c>
      <c r="H80" s="24">
        <v>1.2</v>
      </c>
      <c r="I80" s="15">
        <v>19</v>
      </c>
      <c r="J80" s="22">
        <v>22</v>
      </c>
      <c r="K80" s="14">
        <f t="shared" si="1"/>
        <v>26.4</v>
      </c>
      <c r="L80" t="s">
        <v>278</v>
      </c>
      <c r="N80" s="16" t="s">
        <v>60</v>
      </c>
      <c r="O80" t="s">
        <v>61</v>
      </c>
      <c r="P80">
        <v>21</v>
      </c>
      <c r="Q80" t="s">
        <v>65</v>
      </c>
      <c r="R80" s="17">
        <v>23</v>
      </c>
      <c r="S80" t="s">
        <v>64</v>
      </c>
      <c r="T80">
        <v>24</v>
      </c>
      <c r="W80" s="18"/>
      <c r="X80" s="2" t="s">
        <v>153</v>
      </c>
      <c r="Y80" s="3">
        <v>3.1058888745076199</v>
      </c>
      <c r="Z80" s="3">
        <v>2.5882407287563498</v>
      </c>
      <c r="AA80" s="3">
        <v>68.33</v>
      </c>
      <c r="AB80" s="20" t="s">
        <v>261</v>
      </c>
    </row>
    <row r="81" spans="1:28" ht="51" customHeight="1" x14ac:dyDescent="0.25">
      <c r="A81" s="12" t="s">
        <v>114</v>
      </c>
      <c r="B81" s="12" t="s">
        <v>177</v>
      </c>
      <c r="C81" s="12" t="s">
        <v>220</v>
      </c>
      <c r="D81" s="13">
        <v>0.58194444444444449</v>
      </c>
      <c r="E81" s="13">
        <v>0.59305555555555556</v>
      </c>
      <c r="F81" s="12" t="s">
        <v>279</v>
      </c>
      <c r="G81" s="12" t="s">
        <v>129</v>
      </c>
      <c r="H81" s="14">
        <v>5</v>
      </c>
      <c r="I81" s="15">
        <v>19</v>
      </c>
      <c r="J81" s="15">
        <v>11</v>
      </c>
      <c r="K81" s="14">
        <f t="shared" si="1"/>
        <v>55</v>
      </c>
      <c r="L81">
        <v>72</v>
      </c>
      <c r="N81" s="16" t="s">
        <v>58</v>
      </c>
      <c r="O81" t="s">
        <v>59</v>
      </c>
      <c r="P81">
        <v>21</v>
      </c>
      <c r="R81" s="17"/>
      <c r="W81" s="18" t="s">
        <v>130</v>
      </c>
      <c r="X81" s="2" t="s">
        <v>131</v>
      </c>
      <c r="Y81" s="3">
        <v>15.25</v>
      </c>
      <c r="AA81" s="3">
        <v>167.75</v>
      </c>
      <c r="AB81" s="20" t="s">
        <v>120</v>
      </c>
    </row>
    <row r="82" spans="1:28" ht="51" customHeight="1" x14ac:dyDescent="0.25">
      <c r="A82" s="12" t="s">
        <v>114</v>
      </c>
      <c r="B82" s="12" t="s">
        <v>177</v>
      </c>
      <c r="C82" s="12" t="s">
        <v>280</v>
      </c>
      <c r="D82" s="13">
        <v>0.59375</v>
      </c>
      <c r="E82" s="13">
        <v>0.60347222222222219</v>
      </c>
      <c r="F82" s="12" t="s">
        <v>281</v>
      </c>
      <c r="G82" s="12" t="s">
        <v>129</v>
      </c>
      <c r="H82" s="14">
        <v>5</v>
      </c>
      <c r="I82" s="15">
        <v>19</v>
      </c>
      <c r="J82" s="15">
        <v>11</v>
      </c>
      <c r="K82" s="14">
        <f t="shared" si="1"/>
        <v>55</v>
      </c>
      <c r="L82">
        <v>73</v>
      </c>
      <c r="N82" s="16" t="s">
        <v>58</v>
      </c>
      <c r="O82" t="s">
        <v>59</v>
      </c>
      <c r="P82">
        <v>21</v>
      </c>
      <c r="R82" s="17"/>
      <c r="W82" s="18" t="s">
        <v>130</v>
      </c>
      <c r="X82" s="2" t="s">
        <v>131</v>
      </c>
      <c r="Y82" s="3">
        <v>15.25</v>
      </c>
      <c r="AA82" s="3">
        <v>167.75</v>
      </c>
      <c r="AB82" s="20" t="s">
        <v>120</v>
      </c>
    </row>
    <row r="83" spans="1:28" ht="76.5" customHeight="1" x14ac:dyDescent="0.25">
      <c r="A83" s="12" t="s">
        <v>114</v>
      </c>
      <c r="B83" s="12" t="s">
        <v>177</v>
      </c>
      <c r="C83" s="12" t="s">
        <v>180</v>
      </c>
      <c r="D83" s="13">
        <v>0.28125</v>
      </c>
      <c r="E83" s="13">
        <v>0.29097222222222219</v>
      </c>
      <c r="F83" s="12" t="s">
        <v>282</v>
      </c>
      <c r="G83" s="12" t="s">
        <v>144</v>
      </c>
      <c r="H83" s="14">
        <v>5</v>
      </c>
      <c r="I83" s="15">
        <v>19</v>
      </c>
      <c r="J83" s="15">
        <v>10</v>
      </c>
      <c r="K83" s="14">
        <f t="shared" si="1"/>
        <v>50</v>
      </c>
      <c r="L83">
        <v>74</v>
      </c>
      <c r="N83" s="16" t="s">
        <v>60</v>
      </c>
      <c r="O83" t="s">
        <v>64</v>
      </c>
      <c r="P83">
        <v>24</v>
      </c>
      <c r="Q83" t="s">
        <v>65</v>
      </c>
      <c r="R83" s="17">
        <v>23</v>
      </c>
      <c r="S83" t="s">
        <v>61</v>
      </c>
      <c r="T83">
        <v>21</v>
      </c>
      <c r="W83" s="18" t="s">
        <v>130</v>
      </c>
      <c r="X83" s="2" t="s">
        <v>145</v>
      </c>
      <c r="Y83" s="3">
        <v>12.941203643781799</v>
      </c>
      <c r="Z83" s="3">
        <v>2.5882407287563498</v>
      </c>
      <c r="AA83" s="3">
        <v>129.41</v>
      </c>
      <c r="AB83" s="20" t="s">
        <v>120</v>
      </c>
    </row>
    <row r="84" spans="1:28" ht="15" customHeight="1" x14ac:dyDescent="0.25">
      <c r="A84" s="25"/>
      <c r="B84" s="25"/>
      <c r="C84" s="25"/>
      <c r="D84" s="26"/>
      <c r="E84" s="26"/>
      <c r="F84" s="25"/>
      <c r="G84" s="25"/>
      <c r="H84" s="27" t="s">
        <v>283</v>
      </c>
      <c r="I84" s="28"/>
      <c r="J84" s="28"/>
      <c r="K84" s="45">
        <f>SUM(K2:K83)</f>
        <v>17944.950000000004</v>
      </c>
      <c r="S84" s="18"/>
      <c r="AA84" s="29">
        <v>326585.30930705502</v>
      </c>
    </row>
    <row r="85" spans="1:28" ht="15" customHeight="1" x14ac:dyDescent="0.25">
      <c r="S85" s="18"/>
    </row>
    <row r="86" spans="1:28" ht="15" customHeight="1" x14ac:dyDescent="0.25">
      <c r="S86" s="18"/>
    </row>
    <row r="87" spans="1:28" ht="15" customHeight="1" x14ac:dyDescent="0.25">
      <c r="S87" s="18"/>
    </row>
    <row r="88" spans="1:28" ht="15" customHeight="1" x14ac:dyDescent="0.25">
      <c r="S88" s="18"/>
    </row>
    <row r="89" spans="1:28" ht="15" customHeight="1" x14ac:dyDescent="0.25">
      <c r="S89" s="18"/>
    </row>
    <row r="90" spans="1:28" ht="15" customHeight="1" x14ac:dyDescent="0.25">
      <c r="S90" s="18"/>
    </row>
    <row r="91" spans="1:28" ht="15" customHeight="1" x14ac:dyDescent="0.25">
      <c r="S91" s="18"/>
    </row>
    <row r="92" spans="1:28" ht="15" customHeight="1" x14ac:dyDescent="0.25">
      <c r="S92" s="18"/>
    </row>
    <row r="93" spans="1:28" ht="15" customHeight="1" x14ac:dyDescent="0.25">
      <c r="S93" s="18"/>
    </row>
    <row r="94" spans="1:28" ht="15" customHeight="1" x14ac:dyDescent="0.25">
      <c r="S94" s="18"/>
    </row>
    <row r="95" spans="1:28" ht="15" customHeight="1" x14ac:dyDescent="0.25">
      <c r="S95" s="18"/>
    </row>
    <row r="96" spans="1:28" ht="15" customHeight="1" x14ac:dyDescent="0.25">
      <c r="S96" s="18"/>
    </row>
    <row r="97" spans="19:19" ht="15" customHeight="1" x14ac:dyDescent="0.25">
      <c r="S97" s="18"/>
    </row>
    <row r="98" spans="19:19" ht="15" customHeight="1" x14ac:dyDescent="0.25">
      <c r="S98" s="18"/>
    </row>
    <row r="99" spans="19:19" ht="15" customHeight="1" x14ac:dyDescent="0.25">
      <c r="S99" s="18"/>
    </row>
    <row r="100" spans="19:19" ht="15" customHeight="1" x14ac:dyDescent="0.25">
      <c r="S100" s="18"/>
    </row>
    <row r="101" spans="19:19" ht="15" customHeight="1" x14ac:dyDescent="0.25">
      <c r="S101" s="18"/>
    </row>
    <row r="102" spans="19:19" ht="15" customHeight="1" x14ac:dyDescent="0.25">
      <c r="S102" s="18"/>
    </row>
    <row r="103" spans="19:19" ht="15" customHeight="1" x14ac:dyDescent="0.25">
      <c r="S103" s="18"/>
    </row>
    <row r="104" spans="19:19" ht="15" customHeight="1" x14ac:dyDescent="0.25">
      <c r="S104" s="18"/>
    </row>
    <row r="105" spans="19:19" ht="15" customHeight="1" x14ac:dyDescent="0.25">
      <c r="S105" s="18"/>
    </row>
    <row r="106" spans="19:19" ht="15" customHeight="1" x14ac:dyDescent="0.25">
      <c r="S106" s="18"/>
    </row>
    <row r="107" spans="19:19" ht="15" customHeight="1" x14ac:dyDescent="0.25">
      <c r="S107" s="18"/>
    </row>
    <row r="108" spans="19:19" ht="15" customHeight="1" x14ac:dyDescent="0.25">
      <c r="S108" s="18"/>
    </row>
    <row r="109" spans="19:19" ht="15" customHeight="1" x14ac:dyDescent="0.25">
      <c r="S109" s="18"/>
    </row>
    <row r="110" spans="19:19" ht="15" customHeight="1" x14ac:dyDescent="0.25">
      <c r="S110" s="18"/>
    </row>
    <row r="111" spans="19:19" ht="15" customHeight="1" x14ac:dyDescent="0.25">
      <c r="S111" s="18"/>
    </row>
    <row r="112" spans="19:19" ht="15" customHeight="1" x14ac:dyDescent="0.25">
      <c r="S112" s="18"/>
    </row>
    <row r="113" spans="19:19" ht="15" customHeight="1" x14ac:dyDescent="0.25">
      <c r="S113" s="18"/>
    </row>
    <row r="114" spans="19:19" ht="15" customHeight="1" x14ac:dyDescent="0.25">
      <c r="S114" s="18"/>
    </row>
    <row r="115" spans="19:19" ht="15" customHeight="1" x14ac:dyDescent="0.25">
      <c r="S115" s="18"/>
    </row>
    <row r="116" spans="19:19" ht="15" customHeight="1" x14ac:dyDescent="0.25">
      <c r="S116" s="18"/>
    </row>
    <row r="117" spans="19:19" ht="15" customHeight="1" x14ac:dyDescent="0.25">
      <c r="S117" s="18"/>
    </row>
    <row r="118" spans="19:19" ht="15" customHeight="1" x14ac:dyDescent="0.25">
      <c r="S118" s="18"/>
    </row>
    <row r="119" spans="19:19" ht="15" customHeight="1" x14ac:dyDescent="0.25">
      <c r="S119" s="18"/>
    </row>
    <row r="120" spans="19:19" ht="15" customHeight="1" x14ac:dyDescent="0.25">
      <c r="S120" s="18"/>
    </row>
    <row r="121" spans="19:19" ht="15" customHeight="1" x14ac:dyDescent="0.25">
      <c r="S121" s="18"/>
    </row>
    <row r="122" spans="19:19" ht="15" customHeight="1" x14ac:dyDescent="0.25">
      <c r="S122" s="18"/>
    </row>
    <row r="123" spans="19:19" ht="15" customHeight="1" x14ac:dyDescent="0.25">
      <c r="S123" s="18"/>
    </row>
    <row r="124" spans="19:19" ht="15" customHeight="1" x14ac:dyDescent="0.25">
      <c r="S124" s="18"/>
    </row>
    <row r="125" spans="19:19" ht="15" customHeight="1" x14ac:dyDescent="0.25">
      <c r="S125" s="18"/>
    </row>
    <row r="126" spans="19:19" ht="15" customHeight="1" x14ac:dyDescent="0.25">
      <c r="S126" s="18"/>
    </row>
    <row r="127" spans="19:19" ht="15" customHeight="1" x14ac:dyDescent="0.25">
      <c r="S127" s="18"/>
    </row>
    <row r="128" spans="19:19" ht="15" customHeight="1" x14ac:dyDescent="0.25">
      <c r="S128" s="18"/>
    </row>
    <row r="129" spans="19:19" ht="15" customHeight="1" x14ac:dyDescent="0.25">
      <c r="S129" s="18"/>
    </row>
    <row r="130" spans="19:19" ht="15" customHeight="1" x14ac:dyDescent="0.25">
      <c r="S130" s="1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13"/>
  <sheetViews>
    <sheetView topLeftCell="A2" zoomScaleNormal="100" workbookViewId="0">
      <selection activeCell="K14" sqref="K14"/>
    </sheetView>
  </sheetViews>
  <sheetFormatPr defaultColWidth="8.7109375" defaultRowHeight="15" x14ac:dyDescent="0.25"/>
  <cols>
    <col min="1" max="1" width="5.7109375" customWidth="1"/>
    <col min="2" max="2" width="5.42578125" customWidth="1"/>
    <col min="3" max="3" width="5.7109375" customWidth="1"/>
    <col min="4" max="4" width="7.85546875" customWidth="1"/>
    <col min="5" max="5" width="7" customWidth="1"/>
    <col min="6" max="6" width="24.7109375" customWidth="1"/>
    <col min="7" max="7" width="29.85546875" customWidth="1"/>
    <col min="8" max="8" width="9" customWidth="1"/>
    <col min="9" max="9" width="7.5703125" customWidth="1"/>
    <col min="10" max="10" width="8" customWidth="1"/>
    <col min="11" max="11" width="9.140625" customWidth="1"/>
    <col min="12" max="12" width="4.140625" customWidth="1"/>
    <col min="13" max="13" width="5" customWidth="1"/>
    <col min="14" max="14" width="15" customWidth="1"/>
    <col min="15" max="15" width="9.5703125" customWidth="1"/>
    <col min="21" max="22" width="8.7109375" hidden="1" customWidth="1"/>
    <col min="24" max="24" width="20.85546875" customWidth="1"/>
    <col min="25" max="25" width="11.85546875" customWidth="1"/>
    <col min="26" max="26" width="12.42578125" customWidth="1"/>
    <col min="27" max="27" width="13.140625" customWidth="1"/>
    <col min="28" max="28" width="30" customWidth="1"/>
  </cols>
  <sheetData>
    <row r="1" spans="1:28" ht="54" customHeight="1" x14ac:dyDescent="0.25">
      <c r="A1" s="4" t="s">
        <v>86</v>
      </c>
      <c r="B1" s="4" t="s">
        <v>87</v>
      </c>
      <c r="C1" s="4" t="s">
        <v>88</v>
      </c>
      <c r="D1" s="4" t="s">
        <v>89</v>
      </c>
      <c r="E1" s="4" t="s">
        <v>90</v>
      </c>
      <c r="F1" s="4" t="s">
        <v>91</v>
      </c>
      <c r="G1" s="4" t="s">
        <v>92</v>
      </c>
      <c r="H1" s="4" t="s">
        <v>93</v>
      </c>
      <c r="I1" s="4" t="s">
        <v>94</v>
      </c>
      <c r="J1" s="4" t="s">
        <v>95</v>
      </c>
      <c r="K1" s="4" t="s">
        <v>96</v>
      </c>
      <c r="L1" s="5" t="s">
        <v>97</v>
      </c>
      <c r="M1" s="5" t="s">
        <v>98</v>
      </c>
      <c r="N1" s="6" t="s">
        <v>99</v>
      </c>
      <c r="O1" s="10" t="s">
        <v>100</v>
      </c>
      <c r="P1" s="10" t="s">
        <v>101</v>
      </c>
      <c r="Q1" s="10" t="s">
        <v>102</v>
      </c>
      <c r="R1" s="10" t="s">
        <v>103</v>
      </c>
      <c r="S1" s="10" t="s">
        <v>104</v>
      </c>
      <c r="T1" s="10" t="s">
        <v>105</v>
      </c>
      <c r="U1" s="10" t="s">
        <v>106</v>
      </c>
      <c r="V1" s="10" t="s">
        <v>107</v>
      </c>
      <c r="W1" s="10" t="s">
        <v>108</v>
      </c>
      <c r="X1" s="8" t="s">
        <v>109</v>
      </c>
      <c r="Y1" s="9" t="s">
        <v>110</v>
      </c>
      <c r="Z1" s="9" t="s">
        <v>111</v>
      </c>
      <c r="AA1" s="10" t="s">
        <v>112</v>
      </c>
      <c r="AB1" s="11" t="s">
        <v>421</v>
      </c>
    </row>
    <row r="2" spans="1:28" ht="127.5" customHeight="1" x14ac:dyDescent="0.25">
      <c r="A2" s="12" t="s">
        <v>284</v>
      </c>
      <c r="B2" s="12" t="s">
        <v>285</v>
      </c>
      <c r="C2" s="12" t="s">
        <v>286</v>
      </c>
      <c r="D2" s="13">
        <v>0.2986111111111111</v>
      </c>
      <c r="E2" s="13">
        <v>0.31180555555555561</v>
      </c>
      <c r="F2" s="12" t="s">
        <v>287</v>
      </c>
      <c r="G2" s="12" t="s">
        <v>140</v>
      </c>
      <c r="H2" s="14">
        <v>13.9</v>
      </c>
      <c r="I2" s="15">
        <v>23</v>
      </c>
      <c r="J2" s="15">
        <v>14</v>
      </c>
      <c r="K2" s="14">
        <f>J2*H2</f>
        <v>194.6</v>
      </c>
      <c r="L2">
        <v>1</v>
      </c>
      <c r="N2" s="30" t="s">
        <v>11</v>
      </c>
      <c r="O2" t="s">
        <v>12</v>
      </c>
      <c r="P2">
        <v>45</v>
      </c>
      <c r="Q2" t="s">
        <v>22</v>
      </c>
      <c r="R2">
        <v>33</v>
      </c>
      <c r="S2" t="s">
        <v>29</v>
      </c>
      <c r="T2">
        <v>29</v>
      </c>
      <c r="X2" s="2" t="s">
        <v>227</v>
      </c>
      <c r="Y2" s="3">
        <v>62.02</v>
      </c>
      <c r="AA2" s="3">
        <f>Y2*J2</f>
        <v>868.28000000000009</v>
      </c>
      <c r="AB2" s="20" t="s">
        <v>120</v>
      </c>
    </row>
    <row r="3" spans="1:28" ht="23.25" customHeight="1" x14ac:dyDescent="0.25">
      <c r="A3" s="12" t="s">
        <v>284</v>
      </c>
      <c r="B3" s="12" t="s">
        <v>285</v>
      </c>
      <c r="C3" s="12" t="s">
        <v>286</v>
      </c>
      <c r="D3" s="13">
        <v>0.2986111111111111</v>
      </c>
      <c r="E3" s="13">
        <v>0.31805555555555548</v>
      </c>
      <c r="F3" s="12" t="s">
        <v>288</v>
      </c>
      <c r="G3" s="12" t="s">
        <v>129</v>
      </c>
      <c r="H3" s="14">
        <v>14.4</v>
      </c>
      <c r="I3" s="15">
        <v>44</v>
      </c>
      <c r="J3" s="15">
        <v>11</v>
      </c>
      <c r="K3" s="14">
        <f t="shared" ref="K3:K13" si="0">J3*H3</f>
        <v>158.4</v>
      </c>
      <c r="L3">
        <v>2</v>
      </c>
      <c r="N3" s="30" t="s">
        <v>11</v>
      </c>
      <c r="O3" t="s">
        <v>12</v>
      </c>
      <c r="P3">
        <v>45</v>
      </c>
      <c r="Q3" t="s">
        <v>22</v>
      </c>
      <c r="R3">
        <v>33</v>
      </c>
      <c r="S3" t="s">
        <v>29</v>
      </c>
      <c r="T3">
        <v>29</v>
      </c>
      <c r="X3" t="s">
        <v>131</v>
      </c>
      <c r="Y3" s="3">
        <v>63.12</v>
      </c>
      <c r="AA3" s="3">
        <f t="shared" ref="AA3:AA12" si="1">Y3*J3</f>
        <v>694.31999999999994</v>
      </c>
      <c r="AB3" s="20" t="s">
        <v>120</v>
      </c>
    </row>
    <row r="4" spans="1:28" ht="23.25" customHeight="1" x14ac:dyDescent="0.25">
      <c r="A4" s="12" t="s">
        <v>284</v>
      </c>
      <c r="B4" s="12" t="s">
        <v>285</v>
      </c>
      <c r="C4" s="12" t="s">
        <v>286</v>
      </c>
      <c r="D4" s="13">
        <v>0.2986111111111111</v>
      </c>
      <c r="E4" s="13">
        <v>0.31180555555555561</v>
      </c>
      <c r="F4" s="12" t="s">
        <v>287</v>
      </c>
      <c r="G4" s="12" t="s">
        <v>121</v>
      </c>
      <c r="H4" s="14">
        <v>13.9</v>
      </c>
      <c r="I4" s="15">
        <v>23</v>
      </c>
      <c r="J4" s="15">
        <v>52</v>
      </c>
      <c r="K4" s="14">
        <f t="shared" si="0"/>
        <v>722.80000000000007</v>
      </c>
      <c r="L4">
        <v>3</v>
      </c>
      <c r="N4" s="30" t="s">
        <v>11</v>
      </c>
      <c r="O4" t="s">
        <v>12</v>
      </c>
      <c r="P4">
        <v>45</v>
      </c>
      <c r="Q4" t="s">
        <v>22</v>
      </c>
      <c r="R4">
        <v>33</v>
      </c>
      <c r="S4" t="s">
        <v>29</v>
      </c>
      <c r="T4">
        <v>29</v>
      </c>
      <c r="X4" t="s">
        <v>122</v>
      </c>
      <c r="Y4" s="3">
        <v>62.02</v>
      </c>
      <c r="AA4" s="3">
        <f t="shared" si="1"/>
        <v>3225.04</v>
      </c>
      <c r="AB4" s="20" t="s">
        <v>120</v>
      </c>
    </row>
    <row r="5" spans="1:28" ht="23.25" customHeight="1" x14ac:dyDescent="0.25">
      <c r="A5" s="12" t="s">
        <v>284</v>
      </c>
      <c r="B5" s="12" t="s">
        <v>285</v>
      </c>
      <c r="C5" s="12" t="s">
        <v>289</v>
      </c>
      <c r="D5" s="13">
        <v>0.54513888888888884</v>
      </c>
      <c r="E5" s="13">
        <v>0.55833333333333335</v>
      </c>
      <c r="F5" s="12" t="s">
        <v>287</v>
      </c>
      <c r="G5" s="12" t="s">
        <v>171</v>
      </c>
      <c r="H5" s="14">
        <v>13.9</v>
      </c>
      <c r="I5" s="15">
        <v>23</v>
      </c>
      <c r="J5" s="15">
        <v>77</v>
      </c>
      <c r="K5" s="14">
        <f t="shared" si="0"/>
        <v>1070.3</v>
      </c>
      <c r="L5">
        <v>4</v>
      </c>
      <c r="N5" s="30" t="s">
        <v>11</v>
      </c>
      <c r="O5" t="s">
        <v>22</v>
      </c>
      <c r="P5">
        <v>33</v>
      </c>
      <c r="Q5" t="s">
        <v>34</v>
      </c>
      <c r="R5">
        <v>24</v>
      </c>
      <c r="S5" t="s">
        <v>29</v>
      </c>
      <c r="T5">
        <v>29</v>
      </c>
      <c r="X5" t="s">
        <v>172</v>
      </c>
      <c r="Y5" s="3">
        <v>31.07</v>
      </c>
      <c r="AA5" s="3">
        <f t="shared" si="1"/>
        <v>2392.39</v>
      </c>
      <c r="AB5" s="20" t="s">
        <v>120</v>
      </c>
    </row>
    <row r="6" spans="1:28" ht="23.25" customHeight="1" x14ac:dyDescent="0.25">
      <c r="A6" s="12" t="s">
        <v>284</v>
      </c>
      <c r="B6" s="12" t="s">
        <v>285</v>
      </c>
      <c r="C6" s="12" t="s">
        <v>290</v>
      </c>
      <c r="D6" s="13">
        <v>0.57638888888888884</v>
      </c>
      <c r="E6" s="13">
        <v>0.58958333333333335</v>
      </c>
      <c r="F6" s="12" t="s">
        <v>287</v>
      </c>
      <c r="G6" s="12" t="s">
        <v>129</v>
      </c>
      <c r="H6" s="14">
        <v>13.9</v>
      </c>
      <c r="I6" s="15">
        <v>23</v>
      </c>
      <c r="J6" s="15">
        <v>11</v>
      </c>
      <c r="K6" s="14">
        <f t="shared" si="0"/>
        <v>152.9</v>
      </c>
      <c r="L6">
        <v>5</v>
      </c>
      <c r="N6" s="30" t="s">
        <v>11</v>
      </c>
      <c r="O6" t="s">
        <v>34</v>
      </c>
      <c r="P6">
        <v>24</v>
      </c>
      <c r="Q6" t="s">
        <v>22</v>
      </c>
      <c r="R6">
        <v>33</v>
      </c>
      <c r="S6" t="s">
        <v>29</v>
      </c>
      <c r="T6">
        <v>29</v>
      </c>
      <c r="X6" t="s">
        <v>131</v>
      </c>
      <c r="Y6" s="3">
        <v>31.07</v>
      </c>
      <c r="AA6" s="3">
        <f t="shared" si="1"/>
        <v>341.77</v>
      </c>
      <c r="AB6" s="20" t="s">
        <v>120</v>
      </c>
    </row>
    <row r="7" spans="1:28" ht="23.25" customHeight="1" x14ac:dyDescent="0.25">
      <c r="A7" s="12" t="s">
        <v>284</v>
      </c>
      <c r="B7" s="12" t="s">
        <v>285</v>
      </c>
      <c r="C7" s="12" t="s">
        <v>291</v>
      </c>
      <c r="D7" s="13">
        <v>0.52569444444444446</v>
      </c>
      <c r="E7" s="13">
        <v>0.54305555555555551</v>
      </c>
      <c r="F7" s="12" t="s">
        <v>292</v>
      </c>
      <c r="G7" s="12" t="s">
        <v>171</v>
      </c>
      <c r="H7" s="14">
        <v>13.9</v>
      </c>
      <c r="I7" s="15">
        <v>23</v>
      </c>
      <c r="J7" s="15">
        <v>77</v>
      </c>
      <c r="K7" s="14">
        <f t="shared" si="0"/>
        <v>1070.3</v>
      </c>
      <c r="L7">
        <v>6</v>
      </c>
      <c r="N7" s="30" t="s">
        <v>11</v>
      </c>
      <c r="O7" t="s">
        <v>34</v>
      </c>
      <c r="P7">
        <v>24</v>
      </c>
      <c r="Q7" t="s">
        <v>22</v>
      </c>
      <c r="R7">
        <v>33</v>
      </c>
      <c r="S7" t="s">
        <v>29</v>
      </c>
      <c r="T7">
        <v>29</v>
      </c>
      <c r="X7" t="s">
        <v>172</v>
      </c>
      <c r="Y7" s="3">
        <v>31.07</v>
      </c>
      <c r="AA7" s="3">
        <f t="shared" si="1"/>
        <v>2392.39</v>
      </c>
      <c r="AB7" s="20" t="s">
        <v>120</v>
      </c>
    </row>
    <row r="8" spans="1:28" ht="23.25" customHeight="1" x14ac:dyDescent="0.25">
      <c r="A8" s="12" t="s">
        <v>284</v>
      </c>
      <c r="B8" s="12" t="s">
        <v>285</v>
      </c>
      <c r="C8" s="12" t="s">
        <v>293</v>
      </c>
      <c r="D8" s="13">
        <v>0.55833333333333335</v>
      </c>
      <c r="E8" s="13">
        <v>0.57638888888888884</v>
      </c>
      <c r="F8" s="12" t="s">
        <v>292</v>
      </c>
      <c r="G8" s="12" t="s">
        <v>129</v>
      </c>
      <c r="H8" s="14">
        <v>12</v>
      </c>
      <c r="I8" s="15">
        <v>23</v>
      </c>
      <c r="J8" s="15">
        <v>11</v>
      </c>
      <c r="K8" s="14">
        <f t="shared" si="0"/>
        <v>132</v>
      </c>
      <c r="L8">
        <v>7</v>
      </c>
      <c r="N8" s="30" t="s">
        <v>11</v>
      </c>
      <c r="O8" t="s">
        <v>34</v>
      </c>
      <c r="P8">
        <v>24</v>
      </c>
      <c r="Q8" t="s">
        <v>22</v>
      </c>
      <c r="R8">
        <v>33</v>
      </c>
      <c r="S8" t="s">
        <v>29</v>
      </c>
      <c r="T8">
        <v>29</v>
      </c>
      <c r="X8" t="s">
        <v>131</v>
      </c>
      <c r="Y8" s="3">
        <v>26.83</v>
      </c>
      <c r="AA8" s="3">
        <f t="shared" si="1"/>
        <v>295.13</v>
      </c>
      <c r="AB8" s="20" t="s">
        <v>120</v>
      </c>
    </row>
    <row r="9" spans="1:28" ht="23.25" customHeight="1" x14ac:dyDescent="0.25">
      <c r="A9" s="12" t="s">
        <v>284</v>
      </c>
      <c r="B9" s="12" t="s">
        <v>285</v>
      </c>
      <c r="C9" s="12" t="s">
        <v>294</v>
      </c>
      <c r="D9" s="13">
        <v>0.59375</v>
      </c>
      <c r="E9" s="13">
        <v>0.60763888888888884</v>
      </c>
      <c r="F9" s="12" t="s">
        <v>295</v>
      </c>
      <c r="G9" s="12" t="s">
        <v>144</v>
      </c>
      <c r="H9" s="14">
        <v>12</v>
      </c>
      <c r="I9" s="15">
        <v>23</v>
      </c>
      <c r="J9" s="15">
        <v>10</v>
      </c>
      <c r="K9" s="14">
        <f t="shared" si="0"/>
        <v>120</v>
      </c>
      <c r="L9">
        <v>8</v>
      </c>
      <c r="N9" s="30" t="s">
        <v>11</v>
      </c>
      <c r="O9" t="s">
        <v>34</v>
      </c>
      <c r="P9">
        <v>24</v>
      </c>
      <c r="Q9" t="s">
        <v>22</v>
      </c>
      <c r="R9">
        <v>33</v>
      </c>
      <c r="S9" t="s">
        <v>29</v>
      </c>
      <c r="T9">
        <v>29</v>
      </c>
      <c r="X9" t="s">
        <v>145</v>
      </c>
      <c r="Y9" s="3">
        <v>26.83</v>
      </c>
      <c r="AA9" s="3">
        <f t="shared" si="1"/>
        <v>268.29999999999995</v>
      </c>
      <c r="AB9" s="20" t="s">
        <v>120</v>
      </c>
    </row>
    <row r="10" spans="1:28" ht="23.25" customHeight="1" x14ac:dyDescent="0.25">
      <c r="A10" s="12" t="s">
        <v>284</v>
      </c>
      <c r="B10" s="12" t="s">
        <v>285</v>
      </c>
      <c r="C10" s="12" t="s">
        <v>265</v>
      </c>
      <c r="D10" s="13">
        <v>0.75694444444444442</v>
      </c>
      <c r="E10" s="13">
        <v>0.77777777777777779</v>
      </c>
      <c r="F10" s="12" t="s">
        <v>292</v>
      </c>
      <c r="G10" s="12" t="s">
        <v>171</v>
      </c>
      <c r="H10" s="14">
        <v>13.9</v>
      </c>
      <c r="I10" s="15">
        <v>23</v>
      </c>
      <c r="J10" s="15">
        <v>77</v>
      </c>
      <c r="K10" s="14">
        <f t="shared" si="0"/>
        <v>1070.3</v>
      </c>
      <c r="L10">
        <v>9</v>
      </c>
      <c r="N10" s="30" t="s">
        <v>11</v>
      </c>
      <c r="O10" t="s">
        <v>34</v>
      </c>
      <c r="P10">
        <v>24</v>
      </c>
      <c r="Q10" t="s">
        <v>22</v>
      </c>
      <c r="R10">
        <v>33</v>
      </c>
      <c r="S10" t="s">
        <v>29</v>
      </c>
      <c r="T10">
        <v>29</v>
      </c>
      <c r="X10" t="s">
        <v>172</v>
      </c>
      <c r="Y10" s="3">
        <v>62.02</v>
      </c>
      <c r="AA10" s="3">
        <f t="shared" si="1"/>
        <v>4775.54</v>
      </c>
      <c r="AB10" s="20" t="s">
        <v>120</v>
      </c>
    </row>
    <row r="11" spans="1:28" ht="23.25" customHeight="1" x14ac:dyDescent="0.25">
      <c r="A11" s="12" t="s">
        <v>284</v>
      </c>
      <c r="B11" s="12" t="s">
        <v>296</v>
      </c>
      <c r="C11" s="12" t="s">
        <v>297</v>
      </c>
      <c r="D11" s="13">
        <v>0.3263888888888889</v>
      </c>
      <c r="E11" s="13">
        <v>0.33402777777777781</v>
      </c>
      <c r="F11" s="12" t="s">
        <v>298</v>
      </c>
      <c r="G11" s="12" t="s">
        <v>144</v>
      </c>
      <c r="H11" s="14">
        <v>6</v>
      </c>
      <c r="I11" s="15">
        <v>23</v>
      </c>
      <c r="J11" s="15">
        <v>10</v>
      </c>
      <c r="K11" s="14">
        <f t="shared" si="0"/>
        <v>60</v>
      </c>
      <c r="L11">
        <v>10</v>
      </c>
      <c r="N11" s="30" t="s">
        <v>73</v>
      </c>
      <c r="O11" t="s">
        <v>76</v>
      </c>
      <c r="P11">
        <v>56</v>
      </c>
      <c r="Q11" t="s">
        <v>78</v>
      </c>
      <c r="R11">
        <v>53</v>
      </c>
      <c r="S11" t="s">
        <v>74</v>
      </c>
      <c r="T11">
        <v>56</v>
      </c>
      <c r="X11" t="s">
        <v>145</v>
      </c>
      <c r="Y11" s="3">
        <v>152.4</v>
      </c>
      <c r="AA11" s="3">
        <f t="shared" si="1"/>
        <v>1524</v>
      </c>
      <c r="AB11" s="20" t="s">
        <v>120</v>
      </c>
    </row>
    <row r="12" spans="1:28" ht="23.25" customHeight="1" x14ac:dyDescent="0.25">
      <c r="A12" s="12" t="s">
        <v>284</v>
      </c>
      <c r="B12" s="12" t="s">
        <v>299</v>
      </c>
      <c r="C12" s="12" t="s">
        <v>300</v>
      </c>
      <c r="D12" s="13">
        <v>0.31319444444444439</v>
      </c>
      <c r="E12" s="13">
        <v>0.32013888888888892</v>
      </c>
      <c r="F12" s="12" t="s">
        <v>301</v>
      </c>
      <c r="G12" s="12" t="s">
        <v>144</v>
      </c>
      <c r="H12" s="14">
        <v>4</v>
      </c>
      <c r="I12" s="15">
        <v>50</v>
      </c>
      <c r="J12" s="15">
        <v>10</v>
      </c>
      <c r="K12" s="14">
        <f t="shared" si="0"/>
        <v>40</v>
      </c>
      <c r="L12">
        <v>11</v>
      </c>
      <c r="N12" s="30" t="s">
        <v>11</v>
      </c>
      <c r="O12" t="s">
        <v>32</v>
      </c>
      <c r="P12">
        <v>55</v>
      </c>
      <c r="Q12" t="s">
        <v>18</v>
      </c>
      <c r="R12">
        <v>56</v>
      </c>
      <c r="S12" t="s">
        <v>25</v>
      </c>
      <c r="T12">
        <v>54</v>
      </c>
      <c r="X12" t="s">
        <v>145</v>
      </c>
      <c r="Y12" s="3">
        <v>18.29</v>
      </c>
      <c r="AA12" s="3">
        <f t="shared" si="1"/>
        <v>182.89999999999998</v>
      </c>
      <c r="AB12" s="20" t="s">
        <v>120</v>
      </c>
    </row>
    <row r="13" spans="1:28" ht="15" customHeight="1" x14ac:dyDescent="0.25">
      <c r="A13" s="25"/>
      <c r="B13" s="25"/>
      <c r="C13" s="25"/>
      <c r="D13" s="26"/>
      <c r="E13" s="26"/>
      <c r="F13" s="25"/>
      <c r="G13" s="25"/>
      <c r="H13" s="27" t="s">
        <v>283</v>
      </c>
      <c r="I13" s="28"/>
      <c r="J13" s="28"/>
      <c r="K13" s="45">
        <f>SUM(K2:K12)</f>
        <v>4791.6000000000004</v>
      </c>
      <c r="AA13" s="29">
        <f>SUM(AA2:AA12)</f>
        <v>16960.059999999998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08"/>
  <sheetViews>
    <sheetView topLeftCell="A89" zoomScaleNormal="100" workbookViewId="0">
      <selection activeCell="AA109" sqref="AA109"/>
    </sheetView>
  </sheetViews>
  <sheetFormatPr defaultColWidth="8.7109375" defaultRowHeight="15" x14ac:dyDescent="0.25"/>
  <cols>
    <col min="1" max="1" width="11.85546875" customWidth="1"/>
    <col min="2" max="2" width="7.42578125" customWidth="1"/>
    <col min="3" max="3" width="6.85546875" customWidth="1"/>
    <col min="4" max="4" width="7.85546875" customWidth="1"/>
    <col min="5" max="5" width="9" customWidth="1"/>
    <col min="6" max="6" width="20.28515625" customWidth="1"/>
    <col min="7" max="7" width="14.5703125" customWidth="1"/>
    <col min="8" max="8" width="9" customWidth="1"/>
    <col min="9" max="9" width="6.85546875" customWidth="1"/>
    <col min="10" max="10" width="6" customWidth="1"/>
    <col min="11" max="11" width="11" customWidth="1"/>
    <col min="12" max="12" width="5.5703125" customWidth="1"/>
    <col min="13" max="13" width="5.140625" customWidth="1"/>
    <col min="14" max="14" width="18" customWidth="1"/>
    <col min="15" max="15" width="10.42578125" customWidth="1"/>
    <col min="20" max="20" width="10.42578125" hidden="1" customWidth="1"/>
    <col min="21" max="22" width="11.5703125" hidden="1" customWidth="1"/>
    <col min="24" max="24" width="21" customWidth="1"/>
    <col min="25" max="25" width="12.140625" customWidth="1"/>
    <col min="26" max="26" width="11.7109375" customWidth="1"/>
    <col min="27" max="27" width="13.140625" customWidth="1"/>
    <col min="28" max="28" width="30" customWidth="1"/>
  </cols>
  <sheetData>
    <row r="1" spans="1:28" ht="52.5" customHeight="1" x14ac:dyDescent="0.25">
      <c r="A1" s="4" t="s">
        <v>86</v>
      </c>
      <c r="B1" s="4" t="s">
        <v>87</v>
      </c>
      <c r="C1" s="4" t="s">
        <v>88</v>
      </c>
      <c r="D1" s="4" t="s">
        <v>89</v>
      </c>
      <c r="E1" s="4" t="s">
        <v>90</v>
      </c>
      <c r="F1" s="4" t="s">
        <v>91</v>
      </c>
      <c r="G1" s="4" t="s">
        <v>92</v>
      </c>
      <c r="H1" s="4" t="s">
        <v>93</v>
      </c>
      <c r="I1" s="4" t="s">
        <v>94</v>
      </c>
      <c r="J1" s="4" t="s">
        <v>95</v>
      </c>
      <c r="K1" s="4" t="s">
        <v>96</v>
      </c>
      <c r="L1" s="5" t="s">
        <v>97</v>
      </c>
      <c r="M1" s="5" t="s">
        <v>98</v>
      </c>
      <c r="N1" s="6" t="s">
        <v>99</v>
      </c>
      <c r="O1" s="10" t="s">
        <v>100</v>
      </c>
      <c r="P1" s="10" t="s">
        <v>101</v>
      </c>
      <c r="Q1" s="10" t="s">
        <v>102</v>
      </c>
      <c r="R1" s="10" t="s">
        <v>103</v>
      </c>
      <c r="S1" s="10" t="s">
        <v>104</v>
      </c>
      <c r="T1" s="10" t="s">
        <v>105</v>
      </c>
      <c r="U1" s="10" t="s">
        <v>106</v>
      </c>
      <c r="V1" s="10" t="s">
        <v>107</v>
      </c>
      <c r="W1" s="10" t="s">
        <v>108</v>
      </c>
      <c r="X1" s="8" t="s">
        <v>109</v>
      </c>
      <c r="Y1" s="9" t="s">
        <v>110</v>
      </c>
      <c r="Z1" s="9" t="s">
        <v>111</v>
      </c>
      <c r="AA1" s="10" t="s">
        <v>112</v>
      </c>
      <c r="AB1" s="11" t="s">
        <v>421</v>
      </c>
    </row>
    <row r="2" spans="1:28" ht="23.25" customHeight="1" x14ac:dyDescent="0.25">
      <c r="A2" s="12" t="s">
        <v>302</v>
      </c>
      <c r="B2" s="12" t="s">
        <v>303</v>
      </c>
      <c r="C2" s="12" t="s">
        <v>304</v>
      </c>
      <c r="D2" s="13">
        <v>0.2722222222222222</v>
      </c>
      <c r="E2" s="13">
        <v>0.27430555555555558</v>
      </c>
      <c r="F2" t="s">
        <v>305</v>
      </c>
      <c r="G2" s="12" t="s">
        <v>306</v>
      </c>
      <c r="H2" s="14">
        <v>1.1299999999999999</v>
      </c>
      <c r="I2" s="15">
        <v>19</v>
      </c>
      <c r="J2" s="15">
        <v>55</v>
      </c>
      <c r="K2" s="14">
        <f>J2*H2</f>
        <v>62.149999999999991</v>
      </c>
      <c r="L2">
        <v>1</v>
      </c>
      <c r="N2" s="30" t="s">
        <v>43</v>
      </c>
      <c r="O2" t="s">
        <v>44</v>
      </c>
      <c r="P2">
        <v>23</v>
      </c>
      <c r="Q2" t="s">
        <v>46</v>
      </c>
      <c r="R2">
        <v>21</v>
      </c>
      <c r="W2" s="18" t="s">
        <v>130</v>
      </c>
      <c r="X2" s="2" t="s">
        <v>135</v>
      </c>
      <c r="Y2" s="3">
        <v>2.916123199999999</v>
      </c>
      <c r="Z2" s="3">
        <v>2.5806399999999998</v>
      </c>
      <c r="AA2" s="3">
        <f>Y2*J2</f>
        <v>160.38677599999994</v>
      </c>
      <c r="AB2" s="20" t="s">
        <v>307</v>
      </c>
    </row>
    <row r="3" spans="1:28" ht="23.25" customHeight="1" x14ac:dyDescent="0.25">
      <c r="A3" s="12" t="s">
        <v>302</v>
      </c>
      <c r="B3" s="12" t="s">
        <v>308</v>
      </c>
      <c r="C3" s="12" t="s">
        <v>309</v>
      </c>
      <c r="D3" s="13">
        <v>0.27430555555555558</v>
      </c>
      <c r="E3" s="13">
        <v>0.28958333333333341</v>
      </c>
      <c r="F3" t="s">
        <v>310</v>
      </c>
      <c r="G3" s="12" t="s">
        <v>306</v>
      </c>
      <c r="H3" s="14">
        <v>9.01</v>
      </c>
      <c r="I3" s="15">
        <v>19</v>
      </c>
      <c r="J3" s="15">
        <v>55</v>
      </c>
      <c r="K3" s="14">
        <f t="shared" ref="K3:K66" si="0">J3*H3</f>
        <v>495.55</v>
      </c>
      <c r="L3">
        <v>2</v>
      </c>
      <c r="N3" s="30" t="s">
        <v>43</v>
      </c>
      <c r="O3" t="s">
        <v>44</v>
      </c>
      <c r="P3">
        <v>23</v>
      </c>
      <c r="Q3" t="s">
        <v>46</v>
      </c>
      <c r="R3">
        <v>21</v>
      </c>
      <c r="W3" s="18" t="s">
        <v>130</v>
      </c>
      <c r="X3" s="2" t="s">
        <v>135</v>
      </c>
      <c r="Y3" s="3">
        <v>23.251566400000002</v>
      </c>
      <c r="Z3" s="3">
        <v>2.5806399999999998</v>
      </c>
      <c r="AA3" s="3">
        <f t="shared" ref="AA3:AA66" si="1">Y3*J3</f>
        <v>1278.8361520000001</v>
      </c>
      <c r="AB3" s="20" t="s">
        <v>307</v>
      </c>
    </row>
    <row r="4" spans="1:28" ht="23.25" customHeight="1" x14ac:dyDescent="0.25">
      <c r="A4" s="12" t="s">
        <v>302</v>
      </c>
      <c r="B4" s="12" t="s">
        <v>311</v>
      </c>
      <c r="C4" s="12" t="s">
        <v>312</v>
      </c>
      <c r="D4" s="13">
        <v>0.31805555555555548</v>
      </c>
      <c r="E4" s="13">
        <v>0.33055555555555549</v>
      </c>
      <c r="F4" t="s">
        <v>313</v>
      </c>
      <c r="G4" s="12" t="s">
        <v>306</v>
      </c>
      <c r="H4" s="14">
        <v>7.67</v>
      </c>
      <c r="I4" s="15">
        <v>19</v>
      </c>
      <c r="J4" s="15">
        <v>55</v>
      </c>
      <c r="K4" s="14">
        <f t="shared" si="0"/>
        <v>421.85</v>
      </c>
      <c r="L4">
        <v>3</v>
      </c>
      <c r="N4" s="30" t="s">
        <v>43</v>
      </c>
      <c r="O4" t="s">
        <v>44</v>
      </c>
      <c r="P4">
        <v>23</v>
      </c>
      <c r="Q4" t="s">
        <v>46</v>
      </c>
      <c r="R4">
        <v>21</v>
      </c>
      <c r="W4" s="18" t="s">
        <v>130</v>
      </c>
      <c r="X4" s="2" t="s">
        <v>135</v>
      </c>
      <c r="Y4" s="3">
        <v>19.793508800000001</v>
      </c>
      <c r="Z4" s="3">
        <v>2.5806399999999998</v>
      </c>
      <c r="AA4" s="3">
        <f t="shared" si="1"/>
        <v>1088.6429840000001</v>
      </c>
      <c r="AB4" s="20" t="s">
        <v>307</v>
      </c>
    </row>
    <row r="5" spans="1:28" ht="23.25" customHeight="1" x14ac:dyDescent="0.25">
      <c r="A5" s="12" t="s">
        <v>302</v>
      </c>
      <c r="B5" s="12" t="s">
        <v>314</v>
      </c>
      <c r="C5" s="12" t="s">
        <v>315</v>
      </c>
      <c r="D5" s="13">
        <v>0.33541666666666659</v>
      </c>
      <c r="E5" s="13">
        <v>0.35069444444444442</v>
      </c>
      <c r="F5" t="s">
        <v>310</v>
      </c>
      <c r="G5" s="12" t="s">
        <v>306</v>
      </c>
      <c r="H5" s="14">
        <v>9.01</v>
      </c>
      <c r="I5" s="15">
        <v>19</v>
      </c>
      <c r="J5" s="15">
        <v>55</v>
      </c>
      <c r="K5" s="14">
        <f t="shared" si="0"/>
        <v>495.55</v>
      </c>
      <c r="L5">
        <v>4</v>
      </c>
      <c r="N5" s="30" t="s">
        <v>43</v>
      </c>
      <c r="O5" t="s">
        <v>44</v>
      </c>
      <c r="P5">
        <v>23</v>
      </c>
      <c r="Q5" t="s">
        <v>46</v>
      </c>
      <c r="R5">
        <v>21</v>
      </c>
      <c r="W5" s="18" t="s">
        <v>130</v>
      </c>
      <c r="X5" s="2" t="s">
        <v>135</v>
      </c>
      <c r="Y5" s="3">
        <v>23.251566400000002</v>
      </c>
      <c r="Z5" s="3">
        <v>2.5806399999999998</v>
      </c>
      <c r="AA5" s="3">
        <f t="shared" si="1"/>
        <v>1278.8361520000001</v>
      </c>
      <c r="AB5" s="20" t="s">
        <v>307</v>
      </c>
    </row>
    <row r="6" spans="1:28" ht="23.25" customHeight="1" x14ac:dyDescent="0.25">
      <c r="A6" s="12" t="s">
        <v>302</v>
      </c>
      <c r="B6" s="12" t="s">
        <v>316</v>
      </c>
      <c r="C6" s="12" t="s">
        <v>317</v>
      </c>
      <c r="D6" s="13">
        <v>0.35972222222222222</v>
      </c>
      <c r="E6" s="13">
        <v>0.37222222222222218</v>
      </c>
      <c r="F6" t="s">
        <v>313</v>
      </c>
      <c r="G6" s="12" t="s">
        <v>306</v>
      </c>
      <c r="H6" s="14">
        <v>7.67</v>
      </c>
      <c r="I6" s="15">
        <v>19</v>
      </c>
      <c r="J6" s="15">
        <v>55</v>
      </c>
      <c r="K6" s="14">
        <f t="shared" si="0"/>
        <v>421.85</v>
      </c>
      <c r="L6">
        <v>5</v>
      </c>
      <c r="N6" s="30" t="s">
        <v>43</v>
      </c>
      <c r="O6" t="s">
        <v>44</v>
      </c>
      <c r="P6">
        <v>23</v>
      </c>
      <c r="Q6" t="s">
        <v>46</v>
      </c>
      <c r="R6">
        <v>21</v>
      </c>
      <c r="W6" s="18" t="s">
        <v>130</v>
      </c>
      <c r="X6" s="2" t="s">
        <v>135</v>
      </c>
      <c r="Y6" s="3">
        <v>19.793508800000001</v>
      </c>
      <c r="Z6" s="3">
        <v>2.5806399999999998</v>
      </c>
      <c r="AA6" s="3">
        <f t="shared" si="1"/>
        <v>1088.6429840000001</v>
      </c>
      <c r="AB6" s="20" t="s">
        <v>307</v>
      </c>
    </row>
    <row r="7" spans="1:28" ht="23.25" customHeight="1" x14ac:dyDescent="0.25">
      <c r="A7" s="12" t="s">
        <v>302</v>
      </c>
      <c r="B7" s="12" t="s">
        <v>318</v>
      </c>
      <c r="C7" s="12" t="s">
        <v>319</v>
      </c>
      <c r="D7" s="13">
        <v>0.37708333333333333</v>
      </c>
      <c r="E7" s="13">
        <v>0.3923611111111111</v>
      </c>
      <c r="F7" t="s">
        <v>310</v>
      </c>
      <c r="G7" s="12" t="s">
        <v>306</v>
      </c>
      <c r="H7" s="14">
        <v>9.01</v>
      </c>
      <c r="I7" s="15">
        <v>19</v>
      </c>
      <c r="J7" s="15">
        <v>55</v>
      </c>
      <c r="K7" s="14">
        <f t="shared" si="0"/>
        <v>495.55</v>
      </c>
      <c r="L7">
        <v>6</v>
      </c>
      <c r="N7" s="30" t="s">
        <v>43</v>
      </c>
      <c r="O7" t="s">
        <v>44</v>
      </c>
      <c r="P7">
        <v>23</v>
      </c>
      <c r="Q7" t="s">
        <v>46</v>
      </c>
      <c r="R7">
        <v>21</v>
      </c>
      <c r="W7" s="18" t="s">
        <v>130</v>
      </c>
      <c r="X7" s="2" t="s">
        <v>135</v>
      </c>
      <c r="Y7" s="3">
        <v>23.251566400000002</v>
      </c>
      <c r="Z7" s="3">
        <v>2.5806399999999998</v>
      </c>
      <c r="AA7" s="3">
        <f t="shared" si="1"/>
        <v>1278.8361520000001</v>
      </c>
      <c r="AB7" s="20" t="s">
        <v>307</v>
      </c>
    </row>
    <row r="8" spans="1:28" ht="23.25" customHeight="1" x14ac:dyDescent="0.25">
      <c r="A8" s="12" t="s">
        <v>302</v>
      </c>
      <c r="B8" s="12" t="s">
        <v>320</v>
      </c>
      <c r="C8" s="12" t="s">
        <v>321</v>
      </c>
      <c r="D8" s="13">
        <v>0.46458333333333329</v>
      </c>
      <c r="E8" s="13">
        <v>0.47708333333333341</v>
      </c>
      <c r="F8" t="s">
        <v>313</v>
      </c>
      <c r="G8" s="12" t="s">
        <v>306</v>
      </c>
      <c r="H8" s="14">
        <v>7.67</v>
      </c>
      <c r="I8" s="15">
        <v>19</v>
      </c>
      <c r="J8" s="15">
        <v>55</v>
      </c>
      <c r="K8" s="14">
        <f t="shared" si="0"/>
        <v>421.85</v>
      </c>
      <c r="L8">
        <v>7</v>
      </c>
      <c r="N8" s="30" t="s">
        <v>43</v>
      </c>
      <c r="O8" t="s">
        <v>44</v>
      </c>
      <c r="P8">
        <v>23</v>
      </c>
      <c r="Q8" t="s">
        <v>46</v>
      </c>
      <c r="R8">
        <v>21</v>
      </c>
      <c r="W8" s="18" t="s">
        <v>130</v>
      </c>
      <c r="X8" s="2" t="s">
        <v>135</v>
      </c>
      <c r="Y8" s="3">
        <v>19.793508800000001</v>
      </c>
      <c r="Z8" s="3">
        <v>2.5806399999999998</v>
      </c>
      <c r="AA8" s="3">
        <f t="shared" si="1"/>
        <v>1088.6429840000001</v>
      </c>
      <c r="AB8" s="20" t="s">
        <v>307</v>
      </c>
    </row>
    <row r="9" spans="1:28" ht="23.25" customHeight="1" x14ac:dyDescent="0.25">
      <c r="A9" s="12" t="s">
        <v>302</v>
      </c>
      <c r="B9" s="12" t="s">
        <v>322</v>
      </c>
      <c r="C9" s="12" t="s">
        <v>323</v>
      </c>
      <c r="D9" s="13">
        <v>0.47708333333333341</v>
      </c>
      <c r="E9" s="13">
        <v>0.49236111111111108</v>
      </c>
      <c r="F9" t="s">
        <v>310</v>
      </c>
      <c r="G9" s="12" t="s">
        <v>306</v>
      </c>
      <c r="H9" s="14">
        <v>9.01</v>
      </c>
      <c r="I9" s="15">
        <v>19</v>
      </c>
      <c r="J9" s="15">
        <v>55</v>
      </c>
      <c r="K9" s="14">
        <f t="shared" si="0"/>
        <v>495.55</v>
      </c>
      <c r="L9">
        <v>8</v>
      </c>
      <c r="N9" s="30" t="s">
        <v>43</v>
      </c>
      <c r="O9" t="s">
        <v>44</v>
      </c>
      <c r="P9">
        <v>23</v>
      </c>
      <c r="Q9" t="s">
        <v>46</v>
      </c>
      <c r="R9">
        <v>21</v>
      </c>
      <c r="W9" s="18" t="s">
        <v>130</v>
      </c>
      <c r="X9" s="2" t="s">
        <v>135</v>
      </c>
      <c r="Y9" s="3">
        <v>23.251566400000002</v>
      </c>
      <c r="Z9" s="3">
        <v>2.5806399999999998</v>
      </c>
      <c r="AA9" s="3">
        <f t="shared" si="1"/>
        <v>1278.8361520000001</v>
      </c>
      <c r="AB9" s="20" t="s">
        <v>307</v>
      </c>
    </row>
    <row r="10" spans="1:28" ht="23.25" customHeight="1" x14ac:dyDescent="0.25">
      <c r="A10" s="12" t="s">
        <v>302</v>
      </c>
      <c r="B10" s="12" t="s">
        <v>324</v>
      </c>
      <c r="C10" s="12" t="s">
        <v>325</v>
      </c>
      <c r="D10" s="13">
        <v>0.54791666666666672</v>
      </c>
      <c r="E10" s="13">
        <v>0.56041666666666667</v>
      </c>
      <c r="F10" t="s">
        <v>313</v>
      </c>
      <c r="G10" s="12" t="s">
        <v>306</v>
      </c>
      <c r="H10" s="14">
        <v>7.67</v>
      </c>
      <c r="I10" s="15">
        <v>19</v>
      </c>
      <c r="J10" s="15">
        <v>55</v>
      </c>
      <c r="K10" s="14">
        <f t="shared" si="0"/>
        <v>421.85</v>
      </c>
      <c r="L10">
        <v>9</v>
      </c>
      <c r="N10" s="30" t="s">
        <v>43</v>
      </c>
      <c r="O10" t="s">
        <v>44</v>
      </c>
      <c r="P10">
        <v>23</v>
      </c>
      <c r="Q10" t="s">
        <v>46</v>
      </c>
      <c r="R10">
        <v>21</v>
      </c>
      <c r="W10" s="18" t="s">
        <v>130</v>
      </c>
      <c r="X10" s="2" t="s">
        <v>135</v>
      </c>
      <c r="Y10" s="3">
        <v>19.793508800000001</v>
      </c>
      <c r="Z10" s="3">
        <v>2.5806399999999998</v>
      </c>
      <c r="AA10" s="3">
        <f t="shared" si="1"/>
        <v>1088.6429840000001</v>
      </c>
      <c r="AB10" s="20" t="s">
        <v>307</v>
      </c>
    </row>
    <row r="11" spans="1:28" ht="23.25" customHeight="1" x14ac:dyDescent="0.25">
      <c r="A11" s="12" t="s">
        <v>302</v>
      </c>
      <c r="B11" s="12" t="s">
        <v>326</v>
      </c>
      <c r="C11" s="12" t="s">
        <v>327</v>
      </c>
      <c r="D11" s="13">
        <v>0.56041666666666667</v>
      </c>
      <c r="E11" s="13">
        <v>0.5756944444444444</v>
      </c>
      <c r="F11" t="s">
        <v>310</v>
      </c>
      <c r="G11" s="12" t="s">
        <v>306</v>
      </c>
      <c r="H11" s="14">
        <v>9.01</v>
      </c>
      <c r="I11" s="15">
        <v>19</v>
      </c>
      <c r="J11" s="15">
        <v>55</v>
      </c>
      <c r="K11" s="14">
        <f t="shared" si="0"/>
        <v>495.55</v>
      </c>
      <c r="L11">
        <v>10</v>
      </c>
      <c r="N11" s="30" t="s">
        <v>43</v>
      </c>
      <c r="O11" t="s">
        <v>44</v>
      </c>
      <c r="P11">
        <v>23</v>
      </c>
      <c r="Q11" t="s">
        <v>46</v>
      </c>
      <c r="R11">
        <v>21</v>
      </c>
      <c r="W11" s="18" t="s">
        <v>130</v>
      </c>
      <c r="X11" s="2" t="s">
        <v>135</v>
      </c>
      <c r="Y11" s="3">
        <v>23.251566400000002</v>
      </c>
      <c r="Z11" s="3">
        <v>2.5806399999999998</v>
      </c>
      <c r="AA11" s="3">
        <f t="shared" si="1"/>
        <v>1278.8361520000001</v>
      </c>
      <c r="AB11" s="20" t="s">
        <v>307</v>
      </c>
    </row>
    <row r="12" spans="1:28" ht="23.25" customHeight="1" x14ac:dyDescent="0.25">
      <c r="A12" s="12" t="s">
        <v>302</v>
      </c>
      <c r="B12" s="12" t="s">
        <v>328</v>
      </c>
      <c r="C12" s="12" t="s">
        <v>329</v>
      </c>
      <c r="D12" s="13">
        <v>0.58958333333333335</v>
      </c>
      <c r="E12" s="13">
        <v>0.6020833333333333</v>
      </c>
      <c r="F12" t="s">
        <v>313</v>
      </c>
      <c r="G12" s="12" t="s">
        <v>306</v>
      </c>
      <c r="H12" s="14">
        <v>7.67</v>
      </c>
      <c r="I12" s="15">
        <v>19</v>
      </c>
      <c r="J12" s="15">
        <v>55</v>
      </c>
      <c r="K12" s="14">
        <f t="shared" si="0"/>
        <v>421.85</v>
      </c>
      <c r="L12">
        <v>11</v>
      </c>
      <c r="N12" s="30" t="s">
        <v>43</v>
      </c>
      <c r="O12" t="s">
        <v>44</v>
      </c>
      <c r="P12">
        <v>23</v>
      </c>
      <c r="Q12" t="s">
        <v>46</v>
      </c>
      <c r="R12">
        <v>21</v>
      </c>
      <c r="W12" s="18" t="s">
        <v>130</v>
      </c>
      <c r="X12" s="2" t="s">
        <v>135</v>
      </c>
      <c r="Y12" s="3">
        <v>19.793508800000001</v>
      </c>
      <c r="Z12" s="3">
        <v>2.5806399999999998</v>
      </c>
      <c r="AA12" s="3">
        <f t="shared" si="1"/>
        <v>1088.6429840000001</v>
      </c>
      <c r="AB12" s="20" t="s">
        <v>307</v>
      </c>
    </row>
    <row r="13" spans="1:28" ht="23.25" customHeight="1" x14ac:dyDescent="0.25">
      <c r="A13" s="12" t="s">
        <v>302</v>
      </c>
      <c r="B13" s="12" t="s">
        <v>330</v>
      </c>
      <c r="C13" s="12" t="s">
        <v>331</v>
      </c>
      <c r="D13" s="13">
        <v>0.6020833333333333</v>
      </c>
      <c r="E13" s="13">
        <v>0.61736111111111114</v>
      </c>
      <c r="F13" t="s">
        <v>310</v>
      </c>
      <c r="G13" s="12" t="s">
        <v>306</v>
      </c>
      <c r="H13" s="14">
        <v>9.01</v>
      </c>
      <c r="I13" s="15">
        <v>19</v>
      </c>
      <c r="J13" s="15">
        <v>55</v>
      </c>
      <c r="K13" s="14">
        <f t="shared" si="0"/>
        <v>495.55</v>
      </c>
      <c r="L13">
        <v>12</v>
      </c>
      <c r="N13" s="30" t="s">
        <v>43</v>
      </c>
      <c r="O13" t="s">
        <v>44</v>
      </c>
      <c r="P13">
        <v>23</v>
      </c>
      <c r="Q13" t="s">
        <v>46</v>
      </c>
      <c r="R13">
        <v>21</v>
      </c>
      <c r="W13" s="18" t="s">
        <v>130</v>
      </c>
      <c r="X13" s="2" t="s">
        <v>135</v>
      </c>
      <c r="Y13" s="3">
        <v>23.251566400000002</v>
      </c>
      <c r="Z13" s="3">
        <v>2.5806399999999998</v>
      </c>
      <c r="AA13" s="3">
        <f t="shared" si="1"/>
        <v>1278.8361520000001</v>
      </c>
      <c r="AB13" s="20" t="s">
        <v>307</v>
      </c>
    </row>
    <row r="14" spans="1:28" ht="23.25" customHeight="1" x14ac:dyDescent="0.25">
      <c r="A14" s="12" t="s">
        <v>302</v>
      </c>
      <c r="B14" s="12" t="s">
        <v>332</v>
      </c>
      <c r="C14" s="12" t="s">
        <v>333</v>
      </c>
      <c r="D14" s="13">
        <v>0.63124999999999998</v>
      </c>
      <c r="E14" s="13">
        <v>0.64375000000000004</v>
      </c>
      <c r="F14" t="s">
        <v>313</v>
      </c>
      <c r="G14" s="12" t="s">
        <v>306</v>
      </c>
      <c r="H14" s="14">
        <v>7.67</v>
      </c>
      <c r="I14" s="15">
        <v>19</v>
      </c>
      <c r="J14" s="15">
        <v>55</v>
      </c>
      <c r="K14" s="14">
        <f t="shared" si="0"/>
        <v>421.85</v>
      </c>
      <c r="L14">
        <v>13</v>
      </c>
      <c r="N14" s="30" t="s">
        <v>43</v>
      </c>
      <c r="O14" t="s">
        <v>44</v>
      </c>
      <c r="P14">
        <v>23</v>
      </c>
      <c r="Q14" t="s">
        <v>46</v>
      </c>
      <c r="R14">
        <v>21</v>
      </c>
      <c r="W14" s="18" t="s">
        <v>130</v>
      </c>
      <c r="X14" s="2" t="s">
        <v>135</v>
      </c>
      <c r="Y14" s="3">
        <v>19.793508800000001</v>
      </c>
      <c r="Z14" s="3">
        <v>2.5806399999999998</v>
      </c>
      <c r="AA14" s="3">
        <f t="shared" si="1"/>
        <v>1088.6429840000001</v>
      </c>
      <c r="AB14" s="20" t="s">
        <v>307</v>
      </c>
    </row>
    <row r="15" spans="1:28" ht="23.25" customHeight="1" x14ac:dyDescent="0.25">
      <c r="A15" s="12" t="s">
        <v>302</v>
      </c>
      <c r="B15" s="12" t="s">
        <v>334</v>
      </c>
      <c r="C15" s="12" t="s">
        <v>335</v>
      </c>
      <c r="D15" s="13">
        <v>0.64375000000000004</v>
      </c>
      <c r="E15" s="13">
        <v>0.65902777777777777</v>
      </c>
      <c r="F15" t="s">
        <v>310</v>
      </c>
      <c r="G15" s="12" t="s">
        <v>306</v>
      </c>
      <c r="H15" s="14">
        <v>9.01</v>
      </c>
      <c r="I15" s="15">
        <v>19</v>
      </c>
      <c r="J15" s="15">
        <v>55</v>
      </c>
      <c r="K15" s="14">
        <f t="shared" si="0"/>
        <v>495.55</v>
      </c>
      <c r="L15">
        <v>14</v>
      </c>
      <c r="N15" s="30" t="s">
        <v>43</v>
      </c>
      <c r="O15" t="s">
        <v>44</v>
      </c>
      <c r="P15">
        <v>23</v>
      </c>
      <c r="Q15" t="s">
        <v>46</v>
      </c>
      <c r="R15">
        <v>21</v>
      </c>
      <c r="W15" s="18" t="s">
        <v>130</v>
      </c>
      <c r="X15" s="2" t="s">
        <v>135</v>
      </c>
      <c r="Y15" s="3">
        <v>23.251566400000002</v>
      </c>
      <c r="Z15" s="3">
        <v>2.5806399999999998</v>
      </c>
      <c r="AA15" s="3">
        <f t="shared" si="1"/>
        <v>1278.8361520000001</v>
      </c>
      <c r="AB15" s="20" t="s">
        <v>307</v>
      </c>
    </row>
    <row r="16" spans="1:28" ht="23.25" customHeight="1" x14ac:dyDescent="0.25">
      <c r="A16" s="12" t="s">
        <v>302</v>
      </c>
      <c r="B16" s="12" t="s">
        <v>336</v>
      </c>
      <c r="C16" s="12" t="s">
        <v>337</v>
      </c>
      <c r="D16" s="13">
        <v>0.65902777777777777</v>
      </c>
      <c r="E16" s="13">
        <v>0.66666666666666663</v>
      </c>
      <c r="F16" t="s">
        <v>338</v>
      </c>
      <c r="G16" s="12" t="s">
        <v>306</v>
      </c>
      <c r="H16" s="14">
        <v>3.76</v>
      </c>
      <c r="I16" s="15">
        <v>19</v>
      </c>
      <c r="J16" s="15">
        <v>55</v>
      </c>
      <c r="K16" s="14">
        <f t="shared" si="0"/>
        <v>206.79999999999998</v>
      </c>
      <c r="L16">
        <v>15</v>
      </c>
      <c r="N16" s="30" t="s">
        <v>43</v>
      </c>
      <c r="O16" t="s">
        <v>44</v>
      </c>
      <c r="P16">
        <v>23</v>
      </c>
      <c r="Q16" t="s">
        <v>46</v>
      </c>
      <c r="R16">
        <v>21</v>
      </c>
      <c r="W16" s="18" t="s">
        <v>130</v>
      </c>
      <c r="X16" s="2" t="s">
        <v>135</v>
      </c>
      <c r="Y16" s="3">
        <v>9.7032063999999991</v>
      </c>
      <c r="Z16" s="3">
        <v>2.5806399999999998</v>
      </c>
      <c r="AA16" s="3">
        <f t="shared" si="1"/>
        <v>533.67635199999995</v>
      </c>
      <c r="AB16" s="20" t="s">
        <v>307</v>
      </c>
    </row>
    <row r="17" spans="1:28" ht="23.25" customHeight="1" x14ac:dyDescent="0.25">
      <c r="A17" s="12" t="s">
        <v>302</v>
      </c>
      <c r="B17" s="12" t="s">
        <v>339</v>
      </c>
      <c r="C17" s="12" t="s">
        <v>340</v>
      </c>
      <c r="D17" s="13">
        <v>0.66666666666666663</v>
      </c>
      <c r="E17" s="13">
        <v>0.67222222222222228</v>
      </c>
      <c r="F17" t="s">
        <v>341</v>
      </c>
      <c r="G17" s="12" t="s">
        <v>306</v>
      </c>
      <c r="H17" s="14">
        <v>2.76</v>
      </c>
      <c r="I17" s="15">
        <v>19</v>
      </c>
      <c r="J17" s="15">
        <v>55</v>
      </c>
      <c r="K17" s="14">
        <f t="shared" si="0"/>
        <v>151.79999999999998</v>
      </c>
      <c r="L17">
        <v>16</v>
      </c>
      <c r="N17" s="30" t="s">
        <v>43</v>
      </c>
      <c r="O17" t="s">
        <v>44</v>
      </c>
      <c r="P17">
        <v>23</v>
      </c>
      <c r="Q17" t="s">
        <v>46</v>
      </c>
      <c r="R17">
        <v>21</v>
      </c>
      <c r="W17" s="18" t="s">
        <v>130</v>
      </c>
      <c r="X17" s="2" t="s">
        <v>135</v>
      </c>
      <c r="Y17" s="3">
        <v>7.1225663999999993</v>
      </c>
      <c r="Z17" s="3">
        <v>2.5806399999999998</v>
      </c>
      <c r="AA17" s="3">
        <f t="shared" si="1"/>
        <v>391.74115199999994</v>
      </c>
      <c r="AB17" s="20" t="s">
        <v>307</v>
      </c>
    </row>
    <row r="18" spans="1:28" ht="23.25" customHeight="1" x14ac:dyDescent="0.25">
      <c r="A18" s="12" t="s">
        <v>302</v>
      </c>
      <c r="B18" s="12" t="s">
        <v>280</v>
      </c>
      <c r="C18" s="12" t="s">
        <v>342</v>
      </c>
      <c r="D18" s="13">
        <v>0.67291666666666672</v>
      </c>
      <c r="E18" s="13">
        <v>0.68541666666666667</v>
      </c>
      <c r="F18" t="s">
        <v>313</v>
      </c>
      <c r="G18" s="12" t="s">
        <v>306</v>
      </c>
      <c r="H18" s="14">
        <v>7.67</v>
      </c>
      <c r="I18" s="15">
        <v>19</v>
      </c>
      <c r="J18" s="15">
        <v>55</v>
      </c>
      <c r="K18" s="14">
        <f t="shared" si="0"/>
        <v>421.85</v>
      </c>
      <c r="L18">
        <v>17</v>
      </c>
      <c r="N18" s="30" t="s">
        <v>43</v>
      </c>
      <c r="O18" t="s">
        <v>44</v>
      </c>
      <c r="P18">
        <v>23</v>
      </c>
      <c r="Q18" t="s">
        <v>46</v>
      </c>
      <c r="R18">
        <v>21</v>
      </c>
      <c r="W18" s="18" t="s">
        <v>130</v>
      </c>
      <c r="X18" s="2" t="s">
        <v>135</v>
      </c>
      <c r="Y18" s="3">
        <v>19.793508800000001</v>
      </c>
      <c r="Z18" s="3">
        <v>2.5806399999999998</v>
      </c>
      <c r="AA18" s="3">
        <f t="shared" si="1"/>
        <v>1088.6429840000001</v>
      </c>
      <c r="AB18" s="20" t="s">
        <v>307</v>
      </c>
    </row>
    <row r="19" spans="1:28" ht="23.25" customHeight="1" x14ac:dyDescent="0.25">
      <c r="A19" s="12" t="s">
        <v>302</v>
      </c>
      <c r="B19" s="12" t="s">
        <v>343</v>
      </c>
      <c r="C19" s="12" t="s">
        <v>344</v>
      </c>
      <c r="D19" s="13">
        <v>0.68541666666666667</v>
      </c>
      <c r="E19" s="13">
        <v>0.7006944444444444</v>
      </c>
      <c r="F19" t="s">
        <v>310</v>
      </c>
      <c r="G19" s="12" t="s">
        <v>306</v>
      </c>
      <c r="H19" s="14">
        <v>9.01</v>
      </c>
      <c r="I19" s="15">
        <v>19</v>
      </c>
      <c r="J19" s="15">
        <v>55</v>
      </c>
      <c r="K19" s="14">
        <f t="shared" si="0"/>
        <v>495.55</v>
      </c>
      <c r="L19">
        <v>18</v>
      </c>
      <c r="N19" s="30" t="s">
        <v>43</v>
      </c>
      <c r="O19" t="s">
        <v>44</v>
      </c>
      <c r="P19">
        <v>23</v>
      </c>
      <c r="Q19" t="s">
        <v>46</v>
      </c>
      <c r="R19">
        <v>21</v>
      </c>
      <c r="W19" s="18" t="s">
        <v>130</v>
      </c>
      <c r="X19" s="2" t="s">
        <v>135</v>
      </c>
      <c r="Y19" s="3">
        <v>23.251566400000002</v>
      </c>
      <c r="Z19" s="3">
        <v>2.5806399999999998</v>
      </c>
      <c r="AA19" s="3">
        <f t="shared" si="1"/>
        <v>1278.8361520000001</v>
      </c>
      <c r="AB19" s="20" t="s">
        <v>307</v>
      </c>
    </row>
    <row r="20" spans="1:28" ht="23.25" customHeight="1" x14ac:dyDescent="0.25">
      <c r="A20" s="12" t="s">
        <v>302</v>
      </c>
      <c r="B20" s="12" t="s">
        <v>345</v>
      </c>
      <c r="C20" s="12" t="s">
        <v>346</v>
      </c>
      <c r="D20" s="13">
        <v>0.71458333333333335</v>
      </c>
      <c r="E20" s="13">
        <v>0.7270833333333333</v>
      </c>
      <c r="F20" t="s">
        <v>313</v>
      </c>
      <c r="G20" s="12" t="s">
        <v>306</v>
      </c>
      <c r="H20" s="14">
        <v>7.67</v>
      </c>
      <c r="I20" s="15">
        <v>19</v>
      </c>
      <c r="J20" s="15">
        <v>55</v>
      </c>
      <c r="K20" s="14">
        <f t="shared" si="0"/>
        <v>421.85</v>
      </c>
      <c r="L20">
        <v>19</v>
      </c>
      <c r="N20" s="30" t="s">
        <v>43</v>
      </c>
      <c r="O20" t="s">
        <v>44</v>
      </c>
      <c r="P20">
        <v>23</v>
      </c>
      <c r="Q20" t="s">
        <v>46</v>
      </c>
      <c r="R20">
        <v>21</v>
      </c>
      <c r="W20" s="18" t="s">
        <v>130</v>
      </c>
      <c r="X20" s="2" t="s">
        <v>135</v>
      </c>
      <c r="Y20" s="3">
        <v>19.793508800000001</v>
      </c>
      <c r="Z20" s="3">
        <v>2.5806399999999998</v>
      </c>
      <c r="AA20" s="3">
        <f t="shared" si="1"/>
        <v>1088.6429840000001</v>
      </c>
      <c r="AB20" s="20" t="s">
        <v>307</v>
      </c>
    </row>
    <row r="21" spans="1:28" ht="23.25" customHeight="1" x14ac:dyDescent="0.25">
      <c r="A21" s="12" t="s">
        <v>302</v>
      </c>
      <c r="B21" s="12" t="s">
        <v>347</v>
      </c>
      <c r="C21" s="12" t="s">
        <v>348</v>
      </c>
      <c r="D21" s="13">
        <v>0.7270833333333333</v>
      </c>
      <c r="E21" s="13">
        <v>0.74236111111111114</v>
      </c>
      <c r="F21" t="s">
        <v>310</v>
      </c>
      <c r="G21" s="12" t="s">
        <v>306</v>
      </c>
      <c r="H21" s="14">
        <v>9.01</v>
      </c>
      <c r="I21" s="15">
        <v>19</v>
      </c>
      <c r="J21" s="15">
        <v>55</v>
      </c>
      <c r="K21" s="14">
        <f t="shared" si="0"/>
        <v>495.55</v>
      </c>
      <c r="L21">
        <v>20</v>
      </c>
      <c r="N21" s="30" t="s">
        <v>43</v>
      </c>
      <c r="O21" t="s">
        <v>44</v>
      </c>
      <c r="P21">
        <v>23</v>
      </c>
      <c r="Q21" t="s">
        <v>46</v>
      </c>
      <c r="R21">
        <v>21</v>
      </c>
      <c r="W21" s="18" t="s">
        <v>130</v>
      </c>
      <c r="X21" s="2" t="s">
        <v>135</v>
      </c>
      <c r="Y21" s="3">
        <v>23.251566400000002</v>
      </c>
      <c r="Z21" s="3">
        <v>2.5806399999999998</v>
      </c>
      <c r="AA21" s="3">
        <f t="shared" si="1"/>
        <v>1278.8361520000001</v>
      </c>
      <c r="AB21" s="20" t="s">
        <v>307</v>
      </c>
    </row>
    <row r="22" spans="1:28" ht="23.25" customHeight="1" x14ac:dyDescent="0.25">
      <c r="A22" s="12" t="s">
        <v>302</v>
      </c>
      <c r="B22" s="12" t="s">
        <v>349</v>
      </c>
      <c r="C22" s="12" t="s">
        <v>350</v>
      </c>
      <c r="D22" s="13">
        <v>0.77708333333333335</v>
      </c>
      <c r="E22" s="13">
        <v>0.78472222222222221</v>
      </c>
      <c r="F22" t="s">
        <v>338</v>
      </c>
      <c r="G22" s="12" t="s">
        <v>306</v>
      </c>
      <c r="H22" s="14">
        <v>3.76</v>
      </c>
      <c r="I22" s="15">
        <v>19</v>
      </c>
      <c r="J22" s="15">
        <v>55</v>
      </c>
      <c r="K22" s="14">
        <f t="shared" si="0"/>
        <v>206.79999999999998</v>
      </c>
      <c r="L22">
        <v>21</v>
      </c>
      <c r="N22" s="30" t="s">
        <v>43</v>
      </c>
      <c r="O22" t="s">
        <v>44</v>
      </c>
      <c r="P22">
        <v>23</v>
      </c>
      <c r="Q22" t="s">
        <v>46</v>
      </c>
      <c r="R22">
        <v>21</v>
      </c>
      <c r="W22" s="18" t="s">
        <v>130</v>
      </c>
      <c r="X22" s="2" t="s">
        <v>135</v>
      </c>
      <c r="Y22" s="3">
        <v>9.7032063999999991</v>
      </c>
      <c r="Z22" s="3">
        <v>2.5806399999999998</v>
      </c>
      <c r="AA22" s="3">
        <f t="shared" si="1"/>
        <v>533.67635199999995</v>
      </c>
      <c r="AB22" s="20" t="s">
        <v>307</v>
      </c>
    </row>
    <row r="23" spans="1:28" ht="23.25" customHeight="1" x14ac:dyDescent="0.25">
      <c r="A23" s="12" t="s">
        <v>302</v>
      </c>
      <c r="B23" s="12" t="s">
        <v>351</v>
      </c>
      <c r="C23" s="12" t="s">
        <v>352</v>
      </c>
      <c r="D23" s="13">
        <v>0.78472222222222221</v>
      </c>
      <c r="E23" s="13">
        <v>0.79027777777777775</v>
      </c>
      <c r="F23" t="s">
        <v>341</v>
      </c>
      <c r="G23" s="12" t="s">
        <v>306</v>
      </c>
      <c r="H23" s="14">
        <v>2.76</v>
      </c>
      <c r="I23" s="15">
        <v>19</v>
      </c>
      <c r="J23" s="15">
        <v>55</v>
      </c>
      <c r="K23" s="14">
        <f t="shared" si="0"/>
        <v>151.79999999999998</v>
      </c>
      <c r="L23">
        <v>22</v>
      </c>
      <c r="N23" s="30" t="s">
        <v>43</v>
      </c>
      <c r="O23" t="s">
        <v>44</v>
      </c>
      <c r="P23">
        <v>23</v>
      </c>
      <c r="Q23" t="s">
        <v>46</v>
      </c>
      <c r="R23">
        <v>21</v>
      </c>
      <c r="W23" s="18" t="s">
        <v>130</v>
      </c>
      <c r="X23" s="2" t="s">
        <v>135</v>
      </c>
      <c r="Y23" s="3">
        <v>7.1225663999999993</v>
      </c>
      <c r="Z23" s="3">
        <v>2.5806399999999998</v>
      </c>
      <c r="AA23" s="3">
        <f t="shared" si="1"/>
        <v>391.74115199999994</v>
      </c>
      <c r="AB23" s="20" t="s">
        <v>307</v>
      </c>
    </row>
    <row r="24" spans="1:28" ht="23.25" customHeight="1" x14ac:dyDescent="0.25">
      <c r="A24" s="12" t="s">
        <v>353</v>
      </c>
      <c r="B24" s="12" t="s">
        <v>177</v>
      </c>
      <c r="C24" s="12" t="s">
        <v>354</v>
      </c>
      <c r="D24" s="13">
        <v>0.3</v>
      </c>
      <c r="E24" s="13">
        <v>0.30069444444444438</v>
      </c>
      <c r="F24" t="s">
        <v>355</v>
      </c>
      <c r="G24" s="12" t="s">
        <v>356</v>
      </c>
      <c r="H24" s="14">
        <v>0.19</v>
      </c>
      <c r="I24" s="15">
        <v>19</v>
      </c>
      <c r="J24" s="15">
        <v>43</v>
      </c>
      <c r="K24" s="14">
        <f t="shared" si="0"/>
        <v>8.17</v>
      </c>
      <c r="L24">
        <v>23</v>
      </c>
      <c r="N24" s="30" t="s">
        <v>43</v>
      </c>
      <c r="O24" t="s">
        <v>44</v>
      </c>
      <c r="P24">
        <v>23</v>
      </c>
      <c r="Q24" t="s">
        <v>46</v>
      </c>
      <c r="R24">
        <v>21</v>
      </c>
      <c r="W24" s="18" t="s">
        <v>130</v>
      </c>
      <c r="X24" s="2" t="s">
        <v>126</v>
      </c>
      <c r="Y24" s="3">
        <v>0.49032160000000002</v>
      </c>
      <c r="Z24" s="3">
        <v>2.5806399999999998</v>
      </c>
      <c r="AA24" s="3">
        <f t="shared" si="1"/>
        <v>21.083828800000003</v>
      </c>
      <c r="AB24" s="20" t="s">
        <v>307</v>
      </c>
    </row>
    <row r="25" spans="1:28" ht="23.25" customHeight="1" x14ac:dyDescent="0.25">
      <c r="A25" s="12" t="s">
        <v>353</v>
      </c>
      <c r="B25" s="12" t="s">
        <v>303</v>
      </c>
      <c r="C25" s="12" t="s">
        <v>357</v>
      </c>
      <c r="D25" s="13">
        <v>0.30069444444444438</v>
      </c>
      <c r="E25" s="13">
        <v>0.31041666666666667</v>
      </c>
      <c r="F25" t="s">
        <v>358</v>
      </c>
      <c r="G25" s="12" t="s">
        <v>356</v>
      </c>
      <c r="H25" s="14">
        <v>6.32</v>
      </c>
      <c r="I25" s="15">
        <v>19</v>
      </c>
      <c r="J25" s="15">
        <v>43</v>
      </c>
      <c r="K25" s="14">
        <f t="shared" si="0"/>
        <v>271.76</v>
      </c>
      <c r="L25">
        <v>24</v>
      </c>
      <c r="N25" s="30" t="s">
        <v>43</v>
      </c>
      <c r="O25" t="s">
        <v>44</v>
      </c>
      <c r="P25">
        <v>23</v>
      </c>
      <c r="Q25" t="s">
        <v>46</v>
      </c>
      <c r="R25">
        <v>21</v>
      </c>
      <c r="W25" s="18" t="s">
        <v>130</v>
      </c>
      <c r="X25" s="2" t="s">
        <v>126</v>
      </c>
      <c r="Y25" s="3">
        <v>16.309644800000001</v>
      </c>
      <c r="Z25" s="3">
        <v>2.5806399999999998</v>
      </c>
      <c r="AA25" s="3">
        <f t="shared" si="1"/>
        <v>701.31472640000004</v>
      </c>
      <c r="AB25" s="20" t="s">
        <v>307</v>
      </c>
    </row>
    <row r="26" spans="1:28" ht="23.25" customHeight="1" x14ac:dyDescent="0.25">
      <c r="A26" s="12" t="s">
        <v>353</v>
      </c>
      <c r="B26" s="12" t="s">
        <v>303</v>
      </c>
      <c r="C26" s="12" t="s">
        <v>357</v>
      </c>
      <c r="D26" s="13">
        <v>0.30138888888888887</v>
      </c>
      <c r="E26" s="13">
        <v>0.31041666666666667</v>
      </c>
      <c r="F26" t="s">
        <v>359</v>
      </c>
      <c r="G26" s="12" t="s">
        <v>360</v>
      </c>
      <c r="H26" s="14">
        <v>5.76</v>
      </c>
      <c r="I26" s="15">
        <v>19</v>
      </c>
      <c r="J26" s="15">
        <v>22</v>
      </c>
      <c r="K26" s="14">
        <f t="shared" si="0"/>
        <v>126.72</v>
      </c>
      <c r="L26">
        <v>25</v>
      </c>
      <c r="N26" s="30" t="s">
        <v>43</v>
      </c>
      <c r="O26" t="s">
        <v>44</v>
      </c>
      <c r="P26">
        <v>23</v>
      </c>
      <c r="Q26" t="s">
        <v>46</v>
      </c>
      <c r="R26">
        <v>21</v>
      </c>
      <c r="W26" s="18" t="s">
        <v>130</v>
      </c>
      <c r="X26" s="2" t="s">
        <v>227</v>
      </c>
      <c r="Y26" s="3">
        <v>14.864486400000001</v>
      </c>
      <c r="Z26" s="3">
        <v>2.5806399999999998</v>
      </c>
      <c r="AA26" s="3">
        <f t="shared" si="1"/>
        <v>327.01870080000003</v>
      </c>
      <c r="AB26" s="20" t="s">
        <v>307</v>
      </c>
    </row>
    <row r="27" spans="1:28" ht="23.25" customHeight="1" x14ac:dyDescent="0.25">
      <c r="A27" s="12" t="s">
        <v>353</v>
      </c>
      <c r="B27" s="12" t="s">
        <v>308</v>
      </c>
      <c r="C27" s="12" t="s">
        <v>361</v>
      </c>
      <c r="D27" s="13">
        <v>0.31041666666666667</v>
      </c>
      <c r="E27" s="13">
        <v>0.3125</v>
      </c>
      <c r="F27" t="s">
        <v>362</v>
      </c>
      <c r="G27" s="12" t="s">
        <v>306</v>
      </c>
      <c r="H27" s="14">
        <v>1.76</v>
      </c>
      <c r="I27" s="15">
        <v>19</v>
      </c>
      <c r="J27" s="15">
        <v>55</v>
      </c>
      <c r="K27" s="14">
        <f t="shared" si="0"/>
        <v>96.8</v>
      </c>
      <c r="L27">
        <v>26</v>
      </c>
      <c r="N27" s="30" t="s">
        <v>43</v>
      </c>
      <c r="O27" t="s">
        <v>44</v>
      </c>
      <c r="P27">
        <v>23</v>
      </c>
      <c r="Q27" t="s">
        <v>46</v>
      </c>
      <c r="R27">
        <v>21</v>
      </c>
      <c r="W27" s="18" t="s">
        <v>130</v>
      </c>
      <c r="X27" s="2" t="s">
        <v>135</v>
      </c>
      <c r="Y27" s="3">
        <v>4.5419263999999986</v>
      </c>
      <c r="Z27" s="3">
        <v>2.5806399999999998</v>
      </c>
      <c r="AA27" s="3">
        <f t="shared" si="1"/>
        <v>249.80595199999993</v>
      </c>
      <c r="AB27" s="20" t="s">
        <v>307</v>
      </c>
    </row>
    <row r="28" spans="1:28" ht="23.25" customHeight="1" x14ac:dyDescent="0.25">
      <c r="A28" s="12" t="s">
        <v>353</v>
      </c>
      <c r="B28" s="12" t="s">
        <v>311</v>
      </c>
      <c r="C28" s="12" t="s">
        <v>363</v>
      </c>
      <c r="D28" s="13">
        <v>0.31319444444444439</v>
      </c>
      <c r="E28" s="13">
        <v>0.31666666666666671</v>
      </c>
      <c r="F28" t="s">
        <v>364</v>
      </c>
      <c r="G28" s="12" t="s">
        <v>306</v>
      </c>
      <c r="H28" s="14">
        <v>2.2200000000000002</v>
      </c>
      <c r="I28" s="15">
        <v>19</v>
      </c>
      <c r="J28" s="15">
        <v>55</v>
      </c>
      <c r="K28" s="14">
        <f t="shared" si="0"/>
        <v>122.10000000000001</v>
      </c>
      <c r="L28">
        <v>27</v>
      </c>
      <c r="N28" s="30" t="s">
        <v>43</v>
      </c>
      <c r="O28" t="s">
        <v>44</v>
      </c>
      <c r="P28">
        <v>23</v>
      </c>
      <c r="Q28" t="s">
        <v>46</v>
      </c>
      <c r="R28">
        <v>21</v>
      </c>
      <c r="W28" s="18" t="s">
        <v>130</v>
      </c>
      <c r="X28" s="2" t="s">
        <v>135</v>
      </c>
      <c r="Y28" s="3">
        <v>5.7290207999999998</v>
      </c>
      <c r="Z28" s="3">
        <v>2.5806399999999998</v>
      </c>
      <c r="AA28" s="3">
        <f t="shared" si="1"/>
        <v>315.09614399999998</v>
      </c>
      <c r="AB28" s="20" t="s">
        <v>307</v>
      </c>
    </row>
    <row r="29" spans="1:28" ht="23.25" customHeight="1" x14ac:dyDescent="0.25">
      <c r="A29" s="12" t="s">
        <v>353</v>
      </c>
      <c r="B29" s="12" t="s">
        <v>314</v>
      </c>
      <c r="C29" s="12" t="s">
        <v>365</v>
      </c>
      <c r="D29" s="13">
        <v>0.35208333333333341</v>
      </c>
      <c r="E29" s="13">
        <v>0.35416666666666669</v>
      </c>
      <c r="F29" t="s">
        <v>362</v>
      </c>
      <c r="G29" s="12" t="s">
        <v>306</v>
      </c>
      <c r="H29" s="14">
        <v>1.76</v>
      </c>
      <c r="I29" s="15">
        <v>19</v>
      </c>
      <c r="J29" s="15">
        <v>55</v>
      </c>
      <c r="K29" s="14">
        <f t="shared" si="0"/>
        <v>96.8</v>
      </c>
      <c r="L29">
        <v>28</v>
      </c>
      <c r="N29" s="30" t="s">
        <v>43</v>
      </c>
      <c r="O29" t="s">
        <v>44</v>
      </c>
      <c r="P29">
        <v>23</v>
      </c>
      <c r="Q29" t="s">
        <v>46</v>
      </c>
      <c r="R29">
        <v>21</v>
      </c>
      <c r="W29" s="18" t="s">
        <v>130</v>
      </c>
      <c r="X29" s="2" t="s">
        <v>135</v>
      </c>
      <c r="Y29" s="3">
        <v>4.5419263999999986</v>
      </c>
      <c r="Z29" s="3">
        <v>2.5806399999999998</v>
      </c>
      <c r="AA29" s="3">
        <f t="shared" si="1"/>
        <v>249.80595199999993</v>
      </c>
      <c r="AB29" s="20" t="s">
        <v>307</v>
      </c>
    </row>
    <row r="30" spans="1:28" ht="23.25" customHeight="1" x14ac:dyDescent="0.25">
      <c r="A30" s="12" t="s">
        <v>353</v>
      </c>
      <c r="B30" s="12" t="s">
        <v>316</v>
      </c>
      <c r="C30" s="12" t="s">
        <v>366</v>
      </c>
      <c r="D30" s="13">
        <v>0.35486111111111113</v>
      </c>
      <c r="E30" s="13">
        <v>0.35833333333333328</v>
      </c>
      <c r="F30" t="s">
        <v>364</v>
      </c>
      <c r="G30" s="12" t="s">
        <v>306</v>
      </c>
      <c r="H30" s="14">
        <v>2.2200000000000002</v>
      </c>
      <c r="I30" s="15">
        <v>19</v>
      </c>
      <c r="J30" s="15">
        <v>55</v>
      </c>
      <c r="K30" s="14">
        <f t="shared" si="0"/>
        <v>122.10000000000001</v>
      </c>
      <c r="L30">
        <v>29</v>
      </c>
      <c r="N30" s="30" t="s">
        <v>43</v>
      </c>
      <c r="O30" t="s">
        <v>44</v>
      </c>
      <c r="P30">
        <v>23</v>
      </c>
      <c r="Q30" t="s">
        <v>46</v>
      </c>
      <c r="R30">
        <v>21</v>
      </c>
      <c r="W30" s="18" t="s">
        <v>130</v>
      </c>
      <c r="X30" s="2" t="s">
        <v>135</v>
      </c>
      <c r="Y30" s="3">
        <v>5.7290207999999998</v>
      </c>
      <c r="Z30" s="3">
        <v>2.5806399999999998</v>
      </c>
      <c r="AA30" s="3">
        <f t="shared" si="1"/>
        <v>315.09614399999998</v>
      </c>
      <c r="AB30" s="20" t="s">
        <v>307</v>
      </c>
    </row>
    <row r="31" spans="1:28" ht="23.25" customHeight="1" x14ac:dyDescent="0.25">
      <c r="A31" s="12" t="s">
        <v>353</v>
      </c>
      <c r="B31" s="12" t="s">
        <v>318</v>
      </c>
      <c r="C31" s="12" t="s">
        <v>367</v>
      </c>
      <c r="D31" s="13">
        <v>0.50208333333333333</v>
      </c>
      <c r="E31" s="13">
        <v>0.51111111111111107</v>
      </c>
      <c r="F31" t="s">
        <v>359</v>
      </c>
      <c r="G31" s="12" t="s">
        <v>306</v>
      </c>
      <c r="H31" s="14">
        <v>5.76</v>
      </c>
      <c r="I31" s="15">
        <v>19</v>
      </c>
      <c r="J31" s="15">
        <v>55</v>
      </c>
      <c r="K31" s="14">
        <f t="shared" si="0"/>
        <v>316.8</v>
      </c>
      <c r="L31">
        <v>30</v>
      </c>
      <c r="N31" s="30" t="s">
        <v>43</v>
      </c>
      <c r="O31" t="s">
        <v>44</v>
      </c>
      <c r="P31">
        <v>23</v>
      </c>
      <c r="Q31" t="s">
        <v>46</v>
      </c>
      <c r="R31">
        <v>21</v>
      </c>
      <c r="W31" s="18" t="s">
        <v>130</v>
      </c>
      <c r="X31" s="2" t="s">
        <v>135</v>
      </c>
      <c r="Y31" s="3">
        <v>14.864486400000001</v>
      </c>
      <c r="Z31" s="3">
        <v>2.5806399999999998</v>
      </c>
      <c r="AA31" s="3">
        <f t="shared" si="1"/>
        <v>817.54675200000008</v>
      </c>
      <c r="AB31" s="20" t="s">
        <v>307</v>
      </c>
    </row>
    <row r="32" spans="1:28" ht="23.25" customHeight="1" x14ac:dyDescent="0.25">
      <c r="A32" s="12" t="s">
        <v>353</v>
      </c>
      <c r="B32" s="12" t="s">
        <v>320</v>
      </c>
      <c r="C32" s="12" t="s">
        <v>368</v>
      </c>
      <c r="D32" s="13">
        <v>0.51597222222222228</v>
      </c>
      <c r="E32" s="13">
        <v>0.5180555555555556</v>
      </c>
      <c r="F32" t="s">
        <v>362</v>
      </c>
      <c r="G32" s="12" t="s">
        <v>306</v>
      </c>
      <c r="H32" s="14">
        <v>1.76</v>
      </c>
      <c r="I32" s="15">
        <v>19</v>
      </c>
      <c r="J32" s="15">
        <v>55</v>
      </c>
      <c r="K32" s="14">
        <f t="shared" si="0"/>
        <v>96.8</v>
      </c>
      <c r="L32">
        <v>31</v>
      </c>
      <c r="N32" s="30" t="s">
        <v>43</v>
      </c>
      <c r="O32" t="s">
        <v>44</v>
      </c>
      <c r="P32">
        <v>23</v>
      </c>
      <c r="Q32" t="s">
        <v>46</v>
      </c>
      <c r="R32">
        <v>21</v>
      </c>
      <c r="W32" s="18" t="s">
        <v>130</v>
      </c>
      <c r="X32" s="2" t="s">
        <v>135</v>
      </c>
      <c r="Y32" s="3">
        <v>4.5419263999999986</v>
      </c>
      <c r="Z32" s="3">
        <v>2.5806399999999998</v>
      </c>
      <c r="AA32" s="3">
        <f t="shared" si="1"/>
        <v>249.80595199999993</v>
      </c>
      <c r="AB32" s="20" t="s">
        <v>307</v>
      </c>
    </row>
    <row r="33" spans="1:28" ht="23.25" customHeight="1" x14ac:dyDescent="0.25">
      <c r="A33" s="12" t="s">
        <v>353</v>
      </c>
      <c r="B33" s="12" t="s">
        <v>322</v>
      </c>
      <c r="C33" s="12" t="s">
        <v>369</v>
      </c>
      <c r="D33" s="13">
        <v>0.51875000000000004</v>
      </c>
      <c r="E33" s="13">
        <v>0.52222222222222225</v>
      </c>
      <c r="F33" t="s">
        <v>364</v>
      </c>
      <c r="G33" s="12" t="s">
        <v>306</v>
      </c>
      <c r="H33" s="14">
        <v>2.2200000000000002</v>
      </c>
      <c r="I33" s="15">
        <v>19</v>
      </c>
      <c r="J33" s="15">
        <v>55</v>
      </c>
      <c r="K33" s="14">
        <f t="shared" si="0"/>
        <v>122.10000000000001</v>
      </c>
      <c r="L33">
        <v>32</v>
      </c>
      <c r="N33" s="30" t="s">
        <v>43</v>
      </c>
      <c r="O33" t="s">
        <v>44</v>
      </c>
      <c r="P33">
        <v>23</v>
      </c>
      <c r="Q33" t="s">
        <v>46</v>
      </c>
      <c r="R33">
        <v>21</v>
      </c>
      <c r="W33" s="18" t="s">
        <v>130</v>
      </c>
      <c r="X33" s="2" t="s">
        <v>135</v>
      </c>
      <c r="Y33" s="3">
        <v>5.7290207999999998</v>
      </c>
      <c r="Z33" s="3">
        <v>2.5806399999999998</v>
      </c>
      <c r="AA33" s="3">
        <f t="shared" si="1"/>
        <v>315.09614399999998</v>
      </c>
      <c r="AB33" s="20" t="s">
        <v>307</v>
      </c>
    </row>
    <row r="34" spans="1:28" ht="23.25" customHeight="1" x14ac:dyDescent="0.25">
      <c r="A34" s="12" t="s">
        <v>353</v>
      </c>
      <c r="B34" s="12" t="s">
        <v>324</v>
      </c>
      <c r="C34" s="12" t="s">
        <v>370</v>
      </c>
      <c r="D34" s="13">
        <v>0.53263888888888888</v>
      </c>
      <c r="E34" s="13">
        <v>0.54166666666666663</v>
      </c>
      <c r="F34" t="s">
        <v>359</v>
      </c>
      <c r="G34" s="12" t="s">
        <v>306</v>
      </c>
      <c r="H34" s="14">
        <v>5.76</v>
      </c>
      <c r="I34" s="15">
        <v>19</v>
      </c>
      <c r="J34" s="15">
        <v>55</v>
      </c>
      <c r="K34" s="14">
        <f t="shared" si="0"/>
        <v>316.8</v>
      </c>
      <c r="L34">
        <v>33</v>
      </c>
      <c r="N34" s="30" t="s">
        <v>43</v>
      </c>
      <c r="O34" t="s">
        <v>44</v>
      </c>
      <c r="P34">
        <v>23</v>
      </c>
      <c r="Q34" t="s">
        <v>46</v>
      </c>
      <c r="R34">
        <v>21</v>
      </c>
      <c r="W34" s="18" t="s">
        <v>130</v>
      </c>
      <c r="X34" s="2" t="s">
        <v>135</v>
      </c>
      <c r="Y34" s="3">
        <v>14.864486400000001</v>
      </c>
      <c r="Z34" s="3">
        <v>2.5806399999999998</v>
      </c>
      <c r="AA34" s="3">
        <f t="shared" si="1"/>
        <v>817.54675200000008</v>
      </c>
      <c r="AB34" s="20" t="s">
        <v>307</v>
      </c>
    </row>
    <row r="35" spans="1:28" ht="23.25" customHeight="1" x14ac:dyDescent="0.25">
      <c r="A35" s="12" t="s">
        <v>353</v>
      </c>
      <c r="B35" s="12" t="s">
        <v>326</v>
      </c>
      <c r="C35" s="12" t="s">
        <v>371</v>
      </c>
      <c r="D35" s="13">
        <v>0.75208333333333333</v>
      </c>
      <c r="E35" s="13">
        <v>0.76111111111111107</v>
      </c>
      <c r="F35" t="s">
        <v>359</v>
      </c>
      <c r="G35" s="12" t="s">
        <v>306</v>
      </c>
      <c r="H35" s="14">
        <v>5.76</v>
      </c>
      <c r="I35" s="15">
        <v>19</v>
      </c>
      <c r="J35" s="15">
        <v>55</v>
      </c>
      <c r="K35" s="14">
        <f t="shared" si="0"/>
        <v>316.8</v>
      </c>
      <c r="L35">
        <v>34</v>
      </c>
      <c r="N35" s="30" t="s">
        <v>43</v>
      </c>
      <c r="O35" t="s">
        <v>44</v>
      </c>
      <c r="P35">
        <v>23</v>
      </c>
      <c r="Q35" t="s">
        <v>46</v>
      </c>
      <c r="R35">
        <v>21</v>
      </c>
      <c r="W35" s="18" t="s">
        <v>130</v>
      </c>
      <c r="X35" s="2" t="s">
        <v>135</v>
      </c>
      <c r="Y35" s="3">
        <v>14.864486400000001</v>
      </c>
      <c r="Z35" s="3">
        <v>2.5806399999999998</v>
      </c>
      <c r="AA35" s="3">
        <f t="shared" si="1"/>
        <v>817.54675200000008</v>
      </c>
      <c r="AB35" s="20" t="s">
        <v>307</v>
      </c>
    </row>
    <row r="36" spans="1:28" ht="23.25" customHeight="1" x14ac:dyDescent="0.25">
      <c r="A36" s="12" t="s">
        <v>353</v>
      </c>
      <c r="B36" s="12" t="s">
        <v>328</v>
      </c>
      <c r="C36" s="12" t="s">
        <v>372</v>
      </c>
      <c r="D36" s="13">
        <v>0.76597222222222228</v>
      </c>
      <c r="E36" s="13">
        <v>0.7680555555555556</v>
      </c>
      <c r="F36" t="s">
        <v>362</v>
      </c>
      <c r="G36" s="12" t="s">
        <v>306</v>
      </c>
      <c r="H36" s="14">
        <v>1.76</v>
      </c>
      <c r="I36" s="15">
        <v>19</v>
      </c>
      <c r="J36" s="15">
        <v>55</v>
      </c>
      <c r="K36" s="14">
        <f t="shared" si="0"/>
        <v>96.8</v>
      </c>
      <c r="L36">
        <v>35</v>
      </c>
      <c r="N36" s="30" t="s">
        <v>43</v>
      </c>
      <c r="O36" t="s">
        <v>44</v>
      </c>
      <c r="P36">
        <v>23</v>
      </c>
      <c r="Q36" t="s">
        <v>46</v>
      </c>
      <c r="R36">
        <v>21</v>
      </c>
      <c r="W36" s="18" t="s">
        <v>130</v>
      </c>
      <c r="X36" s="2" t="s">
        <v>135</v>
      </c>
      <c r="Y36" s="3">
        <v>4.5419263999999986</v>
      </c>
      <c r="Z36" s="3">
        <v>2.5806399999999998</v>
      </c>
      <c r="AA36" s="3">
        <f t="shared" si="1"/>
        <v>249.80595199999993</v>
      </c>
      <c r="AB36" s="20" t="s">
        <v>307</v>
      </c>
    </row>
    <row r="37" spans="1:28" ht="23.25" customHeight="1" x14ac:dyDescent="0.25">
      <c r="A37" s="12" t="s">
        <v>353</v>
      </c>
      <c r="B37" s="12" t="s">
        <v>330</v>
      </c>
      <c r="C37" s="12" t="s">
        <v>373</v>
      </c>
      <c r="D37" s="13">
        <v>0.76875000000000004</v>
      </c>
      <c r="E37" s="13">
        <v>0.77222222222222225</v>
      </c>
      <c r="F37" t="s">
        <v>364</v>
      </c>
      <c r="G37" s="12" t="s">
        <v>306</v>
      </c>
      <c r="H37" s="14">
        <v>2.2200000000000002</v>
      </c>
      <c r="I37" s="15">
        <v>19</v>
      </c>
      <c r="J37" s="15">
        <v>55</v>
      </c>
      <c r="K37" s="14">
        <f t="shared" si="0"/>
        <v>122.10000000000001</v>
      </c>
      <c r="L37">
        <v>36</v>
      </c>
      <c r="N37" s="30" t="s">
        <v>43</v>
      </c>
      <c r="O37" t="s">
        <v>44</v>
      </c>
      <c r="P37">
        <v>23</v>
      </c>
      <c r="Q37" t="s">
        <v>46</v>
      </c>
      <c r="R37">
        <v>21</v>
      </c>
      <c r="W37" s="18" t="s">
        <v>130</v>
      </c>
      <c r="X37" s="2" t="s">
        <v>135</v>
      </c>
      <c r="Y37" s="3">
        <v>5.7290207999999998</v>
      </c>
      <c r="Z37" s="3">
        <v>2.5806399999999998</v>
      </c>
      <c r="AA37" s="3">
        <f t="shared" si="1"/>
        <v>315.09614399999998</v>
      </c>
      <c r="AB37" s="20" t="s">
        <v>307</v>
      </c>
    </row>
    <row r="38" spans="1:28" ht="23.25" customHeight="1" x14ac:dyDescent="0.25">
      <c r="A38" s="12" t="s">
        <v>302</v>
      </c>
      <c r="B38" s="12" t="s">
        <v>303</v>
      </c>
      <c r="C38" s="12" t="s">
        <v>312</v>
      </c>
      <c r="D38" s="13">
        <v>0.31805555555555548</v>
      </c>
      <c r="E38" s="13">
        <v>0.33055555555555549</v>
      </c>
      <c r="F38" t="s">
        <v>313</v>
      </c>
      <c r="G38" s="12" t="s">
        <v>374</v>
      </c>
      <c r="H38" s="14">
        <v>7.67</v>
      </c>
      <c r="I38" s="15">
        <v>19</v>
      </c>
      <c r="J38" s="15">
        <v>11</v>
      </c>
      <c r="K38" s="14">
        <f t="shared" si="0"/>
        <v>84.37</v>
      </c>
      <c r="L38">
        <v>37</v>
      </c>
      <c r="N38" s="30" t="s">
        <v>43</v>
      </c>
      <c r="O38" t="s">
        <v>44</v>
      </c>
      <c r="P38">
        <v>23</v>
      </c>
      <c r="Q38" t="s">
        <v>46</v>
      </c>
      <c r="R38">
        <v>21</v>
      </c>
      <c r="W38" s="18" t="s">
        <v>130</v>
      </c>
      <c r="X38" s="2" t="s">
        <v>137</v>
      </c>
      <c r="Y38" s="3">
        <v>19.793508800000001</v>
      </c>
      <c r="Z38" s="3">
        <v>2.5806399999999998</v>
      </c>
      <c r="AA38" s="3">
        <f t="shared" si="1"/>
        <v>217.72859680000002</v>
      </c>
      <c r="AB38" s="20" t="s">
        <v>307</v>
      </c>
    </row>
    <row r="39" spans="1:28" ht="23.25" customHeight="1" x14ac:dyDescent="0.25">
      <c r="A39" s="12" t="s">
        <v>302</v>
      </c>
      <c r="B39" s="12" t="s">
        <v>308</v>
      </c>
      <c r="C39" s="12" t="s">
        <v>315</v>
      </c>
      <c r="D39" s="13">
        <v>0.33541666666666659</v>
      </c>
      <c r="E39" s="13">
        <v>0.35069444444444442</v>
      </c>
      <c r="F39" t="s">
        <v>310</v>
      </c>
      <c r="G39" s="12" t="s">
        <v>374</v>
      </c>
      <c r="H39" s="14">
        <v>9.01</v>
      </c>
      <c r="I39" s="15">
        <v>19</v>
      </c>
      <c r="J39" s="15">
        <v>11</v>
      </c>
      <c r="K39" s="14">
        <f t="shared" si="0"/>
        <v>99.11</v>
      </c>
      <c r="L39">
        <v>38</v>
      </c>
      <c r="N39" s="30" t="s">
        <v>43</v>
      </c>
      <c r="O39" t="s">
        <v>44</v>
      </c>
      <c r="P39">
        <v>23</v>
      </c>
      <c r="Q39" t="s">
        <v>46</v>
      </c>
      <c r="R39">
        <v>21</v>
      </c>
      <c r="W39" s="18" t="s">
        <v>130</v>
      </c>
      <c r="X39" s="2" t="s">
        <v>137</v>
      </c>
      <c r="Y39" s="3">
        <v>23.251566400000002</v>
      </c>
      <c r="Z39" s="3">
        <v>2.5806399999999998</v>
      </c>
      <c r="AA39" s="3">
        <f t="shared" si="1"/>
        <v>255.76723040000002</v>
      </c>
      <c r="AB39" s="20" t="s">
        <v>307</v>
      </c>
    </row>
    <row r="40" spans="1:28" ht="23.25" customHeight="1" x14ac:dyDescent="0.25">
      <c r="A40" s="12" t="s">
        <v>302</v>
      </c>
      <c r="B40" s="12" t="s">
        <v>311</v>
      </c>
      <c r="C40" s="12" t="s">
        <v>317</v>
      </c>
      <c r="D40" s="13">
        <v>0.35972222222222222</v>
      </c>
      <c r="E40" s="13">
        <v>0.37222222222222218</v>
      </c>
      <c r="F40" t="s">
        <v>313</v>
      </c>
      <c r="G40" s="12" t="s">
        <v>374</v>
      </c>
      <c r="H40" s="14">
        <v>7.67</v>
      </c>
      <c r="I40" s="15">
        <v>19</v>
      </c>
      <c r="J40" s="15">
        <v>11</v>
      </c>
      <c r="K40" s="14">
        <f t="shared" si="0"/>
        <v>84.37</v>
      </c>
      <c r="L40">
        <v>39</v>
      </c>
      <c r="N40" s="30" t="s">
        <v>43</v>
      </c>
      <c r="O40" t="s">
        <v>44</v>
      </c>
      <c r="P40">
        <v>23</v>
      </c>
      <c r="Q40" t="s">
        <v>46</v>
      </c>
      <c r="R40">
        <v>21</v>
      </c>
      <c r="W40" s="18" t="s">
        <v>130</v>
      </c>
      <c r="X40" s="2" t="s">
        <v>137</v>
      </c>
      <c r="Y40" s="3">
        <v>19.793508800000001</v>
      </c>
      <c r="Z40" s="3">
        <v>2.5806399999999998</v>
      </c>
      <c r="AA40" s="3">
        <f t="shared" si="1"/>
        <v>217.72859680000002</v>
      </c>
      <c r="AB40" s="20" t="s">
        <v>307</v>
      </c>
    </row>
    <row r="41" spans="1:28" ht="23.25" customHeight="1" x14ac:dyDescent="0.25">
      <c r="A41" s="12" t="s">
        <v>302</v>
      </c>
      <c r="B41" s="12" t="s">
        <v>314</v>
      </c>
      <c r="C41" s="12" t="s">
        <v>319</v>
      </c>
      <c r="D41" s="13">
        <v>0.37708333333333333</v>
      </c>
      <c r="E41" s="13">
        <v>0.3923611111111111</v>
      </c>
      <c r="F41" t="s">
        <v>310</v>
      </c>
      <c r="G41" s="12" t="s">
        <v>374</v>
      </c>
      <c r="H41" s="14">
        <v>9.01</v>
      </c>
      <c r="I41" s="15">
        <v>19</v>
      </c>
      <c r="J41" s="15">
        <v>11</v>
      </c>
      <c r="K41" s="14">
        <f t="shared" si="0"/>
        <v>99.11</v>
      </c>
      <c r="L41">
        <v>40</v>
      </c>
      <c r="N41" s="30" t="s">
        <v>43</v>
      </c>
      <c r="O41" t="s">
        <v>44</v>
      </c>
      <c r="P41">
        <v>23</v>
      </c>
      <c r="Q41" t="s">
        <v>46</v>
      </c>
      <c r="R41">
        <v>21</v>
      </c>
      <c r="W41" s="18" t="s">
        <v>130</v>
      </c>
      <c r="X41" s="2" t="s">
        <v>137</v>
      </c>
      <c r="Y41" s="3">
        <v>23.251566400000002</v>
      </c>
      <c r="Z41" s="3">
        <v>2.5806399999999998</v>
      </c>
      <c r="AA41" s="3">
        <f t="shared" si="1"/>
        <v>255.76723040000002</v>
      </c>
      <c r="AB41" s="20" t="s">
        <v>307</v>
      </c>
    </row>
    <row r="42" spans="1:28" ht="23.25" customHeight="1" x14ac:dyDescent="0.25">
      <c r="A42" s="12" t="s">
        <v>302</v>
      </c>
      <c r="B42" s="12" t="s">
        <v>316</v>
      </c>
      <c r="C42" s="12" t="s">
        <v>321</v>
      </c>
      <c r="D42" s="13">
        <v>0.46458333333333329</v>
      </c>
      <c r="E42" s="13">
        <v>0.47708333333333341</v>
      </c>
      <c r="F42" t="s">
        <v>313</v>
      </c>
      <c r="G42" s="12" t="s">
        <v>374</v>
      </c>
      <c r="H42" s="14">
        <v>7.67</v>
      </c>
      <c r="I42" s="15">
        <v>19</v>
      </c>
      <c r="J42" s="15">
        <v>11</v>
      </c>
      <c r="K42" s="14">
        <f t="shared" si="0"/>
        <v>84.37</v>
      </c>
      <c r="L42">
        <v>41</v>
      </c>
      <c r="N42" s="30" t="s">
        <v>43</v>
      </c>
      <c r="O42" t="s">
        <v>44</v>
      </c>
      <c r="P42">
        <v>23</v>
      </c>
      <c r="Q42" t="s">
        <v>46</v>
      </c>
      <c r="R42">
        <v>21</v>
      </c>
      <c r="W42" s="18" t="s">
        <v>130</v>
      </c>
      <c r="X42" s="2" t="s">
        <v>137</v>
      </c>
      <c r="Y42" s="3">
        <v>19.793508800000001</v>
      </c>
      <c r="Z42" s="3">
        <v>2.5806399999999998</v>
      </c>
      <c r="AA42" s="3">
        <f t="shared" si="1"/>
        <v>217.72859680000002</v>
      </c>
      <c r="AB42" s="20" t="s">
        <v>307</v>
      </c>
    </row>
    <row r="43" spans="1:28" ht="23.25" customHeight="1" x14ac:dyDescent="0.25">
      <c r="A43" s="12" t="s">
        <v>302</v>
      </c>
      <c r="B43" s="12" t="s">
        <v>318</v>
      </c>
      <c r="C43" s="12" t="s">
        <v>323</v>
      </c>
      <c r="D43" s="13">
        <v>0.47708333333333341</v>
      </c>
      <c r="E43" s="13">
        <v>0.49236111111111108</v>
      </c>
      <c r="F43" t="s">
        <v>310</v>
      </c>
      <c r="G43" s="12" t="s">
        <v>374</v>
      </c>
      <c r="H43" s="14">
        <v>9.01</v>
      </c>
      <c r="I43" s="15">
        <v>19</v>
      </c>
      <c r="J43" s="15">
        <v>11</v>
      </c>
      <c r="K43" s="14">
        <f t="shared" si="0"/>
        <v>99.11</v>
      </c>
      <c r="L43">
        <v>42</v>
      </c>
      <c r="N43" s="30" t="s">
        <v>43</v>
      </c>
      <c r="O43" t="s">
        <v>44</v>
      </c>
      <c r="P43">
        <v>23</v>
      </c>
      <c r="Q43" t="s">
        <v>46</v>
      </c>
      <c r="R43">
        <v>21</v>
      </c>
      <c r="W43" s="18" t="s">
        <v>130</v>
      </c>
      <c r="X43" s="2" t="s">
        <v>137</v>
      </c>
      <c r="Y43" s="3">
        <v>23.251566400000002</v>
      </c>
      <c r="Z43" s="3">
        <v>2.5806399999999998</v>
      </c>
      <c r="AA43" s="3">
        <f t="shared" si="1"/>
        <v>255.76723040000002</v>
      </c>
      <c r="AB43" s="20" t="s">
        <v>307</v>
      </c>
    </row>
    <row r="44" spans="1:28" ht="23.25" customHeight="1" x14ac:dyDescent="0.25">
      <c r="A44" s="12" t="s">
        <v>302</v>
      </c>
      <c r="B44" s="12" t="s">
        <v>320</v>
      </c>
      <c r="C44" s="12" t="s">
        <v>325</v>
      </c>
      <c r="D44" s="13">
        <v>0.54791666666666672</v>
      </c>
      <c r="E44" s="13">
        <v>0.56041666666666667</v>
      </c>
      <c r="F44" t="s">
        <v>313</v>
      </c>
      <c r="G44" s="12" t="s">
        <v>374</v>
      </c>
      <c r="H44" s="14">
        <v>7.67</v>
      </c>
      <c r="I44" s="15">
        <v>19</v>
      </c>
      <c r="J44" s="15">
        <v>11</v>
      </c>
      <c r="K44" s="14">
        <f t="shared" si="0"/>
        <v>84.37</v>
      </c>
      <c r="L44">
        <v>43</v>
      </c>
      <c r="N44" s="30" t="s">
        <v>43</v>
      </c>
      <c r="O44" t="s">
        <v>44</v>
      </c>
      <c r="P44">
        <v>23</v>
      </c>
      <c r="Q44" t="s">
        <v>46</v>
      </c>
      <c r="R44">
        <v>21</v>
      </c>
      <c r="W44" s="18" t="s">
        <v>130</v>
      </c>
      <c r="X44" s="2" t="s">
        <v>137</v>
      </c>
      <c r="Y44" s="3">
        <v>19.793508800000001</v>
      </c>
      <c r="Z44" s="3">
        <v>2.5806399999999998</v>
      </c>
      <c r="AA44" s="3">
        <f t="shared" si="1"/>
        <v>217.72859680000002</v>
      </c>
      <c r="AB44" s="20" t="s">
        <v>307</v>
      </c>
    </row>
    <row r="45" spans="1:28" ht="23.25" customHeight="1" x14ac:dyDescent="0.25">
      <c r="A45" s="12" t="s">
        <v>302</v>
      </c>
      <c r="B45" s="12" t="s">
        <v>322</v>
      </c>
      <c r="C45" s="12" t="s">
        <v>327</v>
      </c>
      <c r="D45" s="13">
        <v>0.56041666666666667</v>
      </c>
      <c r="E45" s="13">
        <v>0.5756944444444444</v>
      </c>
      <c r="F45" t="s">
        <v>310</v>
      </c>
      <c r="G45" s="12" t="s">
        <v>374</v>
      </c>
      <c r="H45" s="14">
        <v>9.01</v>
      </c>
      <c r="I45" s="15">
        <v>19</v>
      </c>
      <c r="J45" s="15">
        <v>11</v>
      </c>
      <c r="K45" s="14">
        <f t="shared" si="0"/>
        <v>99.11</v>
      </c>
      <c r="L45">
        <v>44</v>
      </c>
      <c r="N45" s="30" t="s">
        <v>43</v>
      </c>
      <c r="O45" t="s">
        <v>44</v>
      </c>
      <c r="P45">
        <v>23</v>
      </c>
      <c r="Q45" t="s">
        <v>46</v>
      </c>
      <c r="R45">
        <v>21</v>
      </c>
      <c r="W45" s="18" t="s">
        <v>130</v>
      </c>
      <c r="X45" s="2" t="s">
        <v>137</v>
      </c>
      <c r="Y45" s="3">
        <v>23.251566400000002</v>
      </c>
      <c r="Z45" s="3">
        <v>2.5806399999999998</v>
      </c>
      <c r="AA45" s="3">
        <f t="shared" si="1"/>
        <v>255.76723040000002</v>
      </c>
      <c r="AB45" s="20" t="s">
        <v>307</v>
      </c>
    </row>
    <row r="46" spans="1:28" ht="23.25" customHeight="1" x14ac:dyDescent="0.25">
      <c r="A46" s="12" t="s">
        <v>302</v>
      </c>
      <c r="B46" s="12" t="s">
        <v>324</v>
      </c>
      <c r="C46" s="12" t="s">
        <v>375</v>
      </c>
      <c r="D46" s="13">
        <v>0.58958333333333335</v>
      </c>
      <c r="E46" s="13">
        <v>0.6020833333333333</v>
      </c>
      <c r="F46" t="s">
        <v>313</v>
      </c>
      <c r="G46" s="12" t="s">
        <v>374</v>
      </c>
      <c r="H46" s="14">
        <v>7.67</v>
      </c>
      <c r="I46" s="15">
        <v>19</v>
      </c>
      <c r="J46" s="15">
        <v>11</v>
      </c>
      <c r="K46" s="14">
        <f t="shared" si="0"/>
        <v>84.37</v>
      </c>
      <c r="L46">
        <v>45</v>
      </c>
      <c r="N46" s="30" t="s">
        <v>43</v>
      </c>
      <c r="O46" t="s">
        <v>44</v>
      </c>
      <c r="P46">
        <v>23</v>
      </c>
      <c r="Q46" t="s">
        <v>46</v>
      </c>
      <c r="R46">
        <v>21</v>
      </c>
      <c r="W46" s="18" t="s">
        <v>130</v>
      </c>
      <c r="X46" s="2" t="s">
        <v>137</v>
      </c>
      <c r="Y46" s="3">
        <v>19.793508800000001</v>
      </c>
      <c r="Z46" s="3">
        <v>2.5806399999999998</v>
      </c>
      <c r="AA46" s="3">
        <f t="shared" si="1"/>
        <v>217.72859680000002</v>
      </c>
      <c r="AB46" s="20" t="s">
        <v>307</v>
      </c>
    </row>
    <row r="47" spans="1:28" ht="23.25" customHeight="1" x14ac:dyDescent="0.25">
      <c r="A47" s="12" t="s">
        <v>302</v>
      </c>
      <c r="B47" s="12" t="s">
        <v>326</v>
      </c>
      <c r="C47" s="12" t="s">
        <v>376</v>
      </c>
      <c r="D47" s="13">
        <v>0.6020833333333333</v>
      </c>
      <c r="E47" s="13">
        <v>0.61736111111111114</v>
      </c>
      <c r="F47" t="s">
        <v>310</v>
      </c>
      <c r="G47" s="12" t="s">
        <v>374</v>
      </c>
      <c r="H47" s="14">
        <v>9.01</v>
      </c>
      <c r="I47" s="15">
        <v>19</v>
      </c>
      <c r="J47" s="15">
        <v>11</v>
      </c>
      <c r="K47" s="14">
        <f t="shared" si="0"/>
        <v>99.11</v>
      </c>
      <c r="L47">
        <v>46</v>
      </c>
      <c r="N47" s="30" t="s">
        <v>43</v>
      </c>
      <c r="O47" t="s">
        <v>44</v>
      </c>
      <c r="P47">
        <v>23</v>
      </c>
      <c r="Q47" t="s">
        <v>46</v>
      </c>
      <c r="R47">
        <v>21</v>
      </c>
      <c r="W47" s="18" t="s">
        <v>130</v>
      </c>
      <c r="X47" s="2" t="s">
        <v>137</v>
      </c>
      <c r="Y47" s="3">
        <v>23.251566400000002</v>
      </c>
      <c r="Z47" s="3">
        <v>2.5806399999999998</v>
      </c>
      <c r="AA47" s="3">
        <f t="shared" si="1"/>
        <v>255.76723040000002</v>
      </c>
      <c r="AB47" s="20" t="s">
        <v>307</v>
      </c>
    </row>
    <row r="48" spans="1:28" ht="23.25" customHeight="1" x14ac:dyDescent="0.25">
      <c r="A48" s="12" t="s">
        <v>302</v>
      </c>
      <c r="B48" s="12" t="s">
        <v>328</v>
      </c>
      <c r="C48" s="12" t="s">
        <v>337</v>
      </c>
      <c r="D48" s="13">
        <v>0.65902777777777777</v>
      </c>
      <c r="E48" s="13">
        <v>0.66666666666666663</v>
      </c>
      <c r="F48" t="s">
        <v>338</v>
      </c>
      <c r="G48" s="12" t="s">
        <v>374</v>
      </c>
      <c r="H48" s="14">
        <v>3.76</v>
      </c>
      <c r="I48" s="15">
        <v>19</v>
      </c>
      <c r="J48" s="15">
        <v>11</v>
      </c>
      <c r="K48" s="14">
        <f t="shared" si="0"/>
        <v>41.36</v>
      </c>
      <c r="L48">
        <v>47</v>
      </c>
      <c r="N48" s="30" t="s">
        <v>43</v>
      </c>
      <c r="O48" t="s">
        <v>44</v>
      </c>
      <c r="P48">
        <v>23</v>
      </c>
      <c r="Q48" t="s">
        <v>46</v>
      </c>
      <c r="R48">
        <v>21</v>
      </c>
      <c r="W48" s="18" t="s">
        <v>130</v>
      </c>
      <c r="X48" s="2" t="s">
        <v>137</v>
      </c>
      <c r="Y48" s="3">
        <v>9.7032063999999991</v>
      </c>
      <c r="Z48" s="3">
        <v>2.5806399999999998</v>
      </c>
      <c r="AA48" s="3">
        <f t="shared" si="1"/>
        <v>106.73527039999999</v>
      </c>
      <c r="AB48" s="20" t="s">
        <v>307</v>
      </c>
    </row>
    <row r="49" spans="1:28" ht="23.25" customHeight="1" x14ac:dyDescent="0.25">
      <c r="A49" s="12" t="s">
        <v>302</v>
      </c>
      <c r="B49" s="12" t="s">
        <v>330</v>
      </c>
      <c r="C49" s="12" t="s">
        <v>340</v>
      </c>
      <c r="D49" s="13">
        <v>0.66666666666666663</v>
      </c>
      <c r="E49" s="13">
        <v>0.67222222222222228</v>
      </c>
      <c r="F49" t="s">
        <v>341</v>
      </c>
      <c r="G49" s="12" t="s">
        <v>374</v>
      </c>
      <c r="H49" s="14">
        <v>2.76</v>
      </c>
      <c r="I49" s="15">
        <v>19</v>
      </c>
      <c r="J49" s="15">
        <v>11</v>
      </c>
      <c r="K49" s="14">
        <f t="shared" si="0"/>
        <v>30.36</v>
      </c>
      <c r="L49">
        <v>48</v>
      </c>
      <c r="N49" s="30" t="s">
        <v>43</v>
      </c>
      <c r="O49" t="s">
        <v>44</v>
      </c>
      <c r="P49">
        <v>23</v>
      </c>
      <c r="Q49" t="s">
        <v>46</v>
      </c>
      <c r="R49">
        <v>21</v>
      </c>
      <c r="W49" s="18" t="s">
        <v>130</v>
      </c>
      <c r="X49" s="2" t="s">
        <v>137</v>
      </c>
      <c r="Y49" s="3">
        <v>7.1225663999999993</v>
      </c>
      <c r="Z49" s="3">
        <v>2.5806399999999998</v>
      </c>
      <c r="AA49" s="3">
        <f t="shared" si="1"/>
        <v>78.348230399999991</v>
      </c>
      <c r="AB49" s="20" t="s">
        <v>307</v>
      </c>
    </row>
    <row r="50" spans="1:28" ht="23.25" customHeight="1" x14ac:dyDescent="0.25">
      <c r="A50" s="12" t="s">
        <v>302</v>
      </c>
      <c r="B50" s="12" t="s">
        <v>332</v>
      </c>
      <c r="C50" s="12" t="s">
        <v>346</v>
      </c>
      <c r="D50" s="13">
        <v>0.71458333333333335</v>
      </c>
      <c r="E50" s="13">
        <v>0.7270833333333333</v>
      </c>
      <c r="F50" t="s">
        <v>313</v>
      </c>
      <c r="G50" s="12" t="s">
        <v>374</v>
      </c>
      <c r="H50" s="14">
        <v>7.67</v>
      </c>
      <c r="I50" s="15">
        <v>19</v>
      </c>
      <c r="J50" s="15">
        <v>11</v>
      </c>
      <c r="K50" s="14">
        <f t="shared" si="0"/>
        <v>84.37</v>
      </c>
      <c r="L50">
        <v>49</v>
      </c>
      <c r="N50" s="30" t="s">
        <v>43</v>
      </c>
      <c r="O50" t="s">
        <v>44</v>
      </c>
      <c r="P50">
        <v>23</v>
      </c>
      <c r="Q50" t="s">
        <v>46</v>
      </c>
      <c r="R50">
        <v>21</v>
      </c>
      <c r="W50" s="18" t="s">
        <v>130</v>
      </c>
      <c r="X50" s="2" t="s">
        <v>137</v>
      </c>
      <c r="Y50" s="3">
        <v>19.793508800000001</v>
      </c>
      <c r="Z50" s="3">
        <v>2.5806399999999998</v>
      </c>
      <c r="AA50" s="3">
        <f t="shared" si="1"/>
        <v>217.72859680000002</v>
      </c>
      <c r="AB50" s="20" t="s">
        <v>307</v>
      </c>
    </row>
    <row r="51" spans="1:28" ht="23.25" customHeight="1" x14ac:dyDescent="0.25">
      <c r="A51" s="12" t="s">
        <v>302</v>
      </c>
      <c r="B51" s="12" t="s">
        <v>334</v>
      </c>
      <c r="C51" s="12" t="s">
        <v>348</v>
      </c>
      <c r="D51" s="13">
        <v>0.7270833333333333</v>
      </c>
      <c r="E51" s="13">
        <v>0.74236111111111114</v>
      </c>
      <c r="F51" t="s">
        <v>310</v>
      </c>
      <c r="G51" s="12" t="s">
        <v>374</v>
      </c>
      <c r="H51" s="14">
        <v>9.01</v>
      </c>
      <c r="I51" s="15">
        <v>19</v>
      </c>
      <c r="J51" s="15">
        <v>11</v>
      </c>
      <c r="K51" s="14">
        <f t="shared" si="0"/>
        <v>99.11</v>
      </c>
      <c r="L51">
        <v>50</v>
      </c>
      <c r="N51" s="30" t="s">
        <v>43</v>
      </c>
      <c r="O51" t="s">
        <v>44</v>
      </c>
      <c r="P51">
        <v>23</v>
      </c>
      <c r="Q51" t="s">
        <v>46</v>
      </c>
      <c r="R51">
        <v>21</v>
      </c>
      <c r="W51" s="18" t="s">
        <v>130</v>
      </c>
      <c r="X51" s="2" t="s">
        <v>137</v>
      </c>
      <c r="Y51" s="3">
        <v>23.251566400000002</v>
      </c>
      <c r="Z51" s="3">
        <v>2.5806399999999998</v>
      </c>
      <c r="AA51" s="3">
        <f t="shared" si="1"/>
        <v>255.76723040000002</v>
      </c>
      <c r="AB51" s="20" t="s">
        <v>307</v>
      </c>
    </row>
    <row r="52" spans="1:28" ht="23.25" customHeight="1" x14ac:dyDescent="0.25">
      <c r="A52" s="12" t="s">
        <v>302</v>
      </c>
      <c r="B52" s="12" t="s">
        <v>336</v>
      </c>
      <c r="C52" s="12" t="s">
        <v>350</v>
      </c>
      <c r="D52" s="13">
        <v>0.77708333333333335</v>
      </c>
      <c r="E52" s="13">
        <v>0.78472222222222221</v>
      </c>
      <c r="F52" t="s">
        <v>338</v>
      </c>
      <c r="G52" s="12" t="s">
        <v>374</v>
      </c>
      <c r="H52" s="14">
        <v>3.76</v>
      </c>
      <c r="I52" s="15">
        <v>19</v>
      </c>
      <c r="J52" s="15">
        <v>11</v>
      </c>
      <c r="K52" s="14">
        <f t="shared" si="0"/>
        <v>41.36</v>
      </c>
      <c r="L52">
        <v>51</v>
      </c>
      <c r="N52" s="30" t="s">
        <v>43</v>
      </c>
      <c r="O52" t="s">
        <v>44</v>
      </c>
      <c r="P52">
        <v>23</v>
      </c>
      <c r="Q52" t="s">
        <v>46</v>
      </c>
      <c r="R52">
        <v>21</v>
      </c>
      <c r="W52" s="18" t="s">
        <v>130</v>
      </c>
      <c r="X52" s="2" t="s">
        <v>137</v>
      </c>
      <c r="Y52" s="3">
        <v>9.7032063999999991</v>
      </c>
      <c r="Z52" s="3">
        <v>2.5806399999999998</v>
      </c>
      <c r="AA52" s="3">
        <f t="shared" si="1"/>
        <v>106.73527039999999</v>
      </c>
      <c r="AB52" s="20" t="s">
        <v>307</v>
      </c>
    </row>
    <row r="53" spans="1:28" ht="23.25" customHeight="1" x14ac:dyDescent="0.25">
      <c r="A53" s="12" t="s">
        <v>302</v>
      </c>
      <c r="B53" s="12" t="s">
        <v>339</v>
      </c>
      <c r="C53" s="12" t="s">
        <v>352</v>
      </c>
      <c r="D53" s="13">
        <v>0.78472222222222221</v>
      </c>
      <c r="E53" s="13">
        <v>0.79027777777777775</v>
      </c>
      <c r="F53" t="s">
        <v>341</v>
      </c>
      <c r="G53" s="12" t="s">
        <v>374</v>
      </c>
      <c r="H53" s="14">
        <v>2.76</v>
      </c>
      <c r="I53" s="15">
        <v>19</v>
      </c>
      <c r="J53" s="15">
        <v>11</v>
      </c>
      <c r="K53" s="14">
        <f t="shared" si="0"/>
        <v>30.36</v>
      </c>
      <c r="L53">
        <v>52</v>
      </c>
      <c r="N53" s="30" t="s">
        <v>43</v>
      </c>
      <c r="O53" t="s">
        <v>44</v>
      </c>
      <c r="P53">
        <v>23</v>
      </c>
      <c r="Q53" t="s">
        <v>46</v>
      </c>
      <c r="R53">
        <v>21</v>
      </c>
      <c r="W53" s="18" t="s">
        <v>130</v>
      </c>
      <c r="X53" s="2" t="s">
        <v>137</v>
      </c>
      <c r="Y53" s="3">
        <v>7.1225663999999993</v>
      </c>
      <c r="Z53" s="3">
        <v>2.5806399999999998</v>
      </c>
      <c r="AA53" s="3">
        <f t="shared" si="1"/>
        <v>78.348230399999991</v>
      </c>
      <c r="AB53" s="20" t="s">
        <v>307</v>
      </c>
    </row>
    <row r="54" spans="1:28" ht="38.25" customHeight="1" x14ac:dyDescent="0.25">
      <c r="A54" s="12" t="s">
        <v>377</v>
      </c>
      <c r="B54" s="12" t="s">
        <v>303</v>
      </c>
      <c r="C54" s="12" t="s">
        <v>378</v>
      </c>
      <c r="D54" s="13">
        <v>0.27430555555555558</v>
      </c>
      <c r="E54" s="13">
        <v>0.28958333333333341</v>
      </c>
      <c r="F54" t="s">
        <v>310</v>
      </c>
      <c r="G54" s="12" t="s">
        <v>379</v>
      </c>
      <c r="H54" s="14">
        <v>9.76</v>
      </c>
      <c r="I54" s="15">
        <v>21</v>
      </c>
      <c r="J54" s="15">
        <v>10</v>
      </c>
      <c r="K54" s="14">
        <f t="shared" si="0"/>
        <v>97.6</v>
      </c>
      <c r="L54">
        <v>53</v>
      </c>
      <c r="N54" s="30" t="s">
        <v>66</v>
      </c>
      <c r="O54" t="s">
        <v>69</v>
      </c>
      <c r="P54">
        <v>21</v>
      </c>
      <c r="Q54" t="s">
        <v>71</v>
      </c>
      <c r="R54">
        <v>21</v>
      </c>
      <c r="S54" t="s">
        <v>67</v>
      </c>
      <c r="W54" s="18" t="s">
        <v>130</v>
      </c>
      <c r="X54" s="2" t="s">
        <v>145</v>
      </c>
      <c r="Y54" s="3">
        <v>25.1870464</v>
      </c>
      <c r="Z54" s="3">
        <v>2.5806399999999998</v>
      </c>
      <c r="AA54" s="3">
        <f t="shared" si="1"/>
        <v>251.870464</v>
      </c>
      <c r="AB54" s="20" t="s">
        <v>307</v>
      </c>
    </row>
    <row r="55" spans="1:28" ht="15" customHeight="1" x14ac:dyDescent="0.25">
      <c r="A55" s="12" t="s">
        <v>377</v>
      </c>
      <c r="B55" s="12" t="s">
        <v>308</v>
      </c>
      <c r="C55" s="12" t="s">
        <v>312</v>
      </c>
      <c r="D55" s="13">
        <v>0.31805555555555548</v>
      </c>
      <c r="E55" s="13">
        <v>0.33055555555555549</v>
      </c>
      <c r="F55" t="s">
        <v>313</v>
      </c>
      <c r="G55" s="12" t="s">
        <v>379</v>
      </c>
      <c r="H55" s="14">
        <v>7.67</v>
      </c>
      <c r="I55" s="15">
        <v>19</v>
      </c>
      <c r="J55" s="15">
        <v>10</v>
      </c>
      <c r="K55" s="14">
        <f t="shared" si="0"/>
        <v>76.7</v>
      </c>
      <c r="L55">
        <v>54</v>
      </c>
      <c r="N55" s="30" t="s">
        <v>43</v>
      </c>
      <c r="O55" t="s">
        <v>44</v>
      </c>
      <c r="P55">
        <v>23</v>
      </c>
      <c r="Q55" t="s">
        <v>46</v>
      </c>
      <c r="R55">
        <v>21</v>
      </c>
      <c r="W55" s="18" t="s">
        <v>130</v>
      </c>
      <c r="X55" s="2" t="s">
        <v>145</v>
      </c>
      <c r="Y55" s="3">
        <v>19.793508800000001</v>
      </c>
      <c r="Z55" s="3">
        <v>2.5806399999999998</v>
      </c>
      <c r="AA55" s="3">
        <f t="shared" si="1"/>
        <v>197.93508800000001</v>
      </c>
      <c r="AB55" s="20" t="s">
        <v>307</v>
      </c>
    </row>
    <row r="56" spans="1:28" ht="15" customHeight="1" x14ac:dyDescent="0.25">
      <c r="A56" s="12" t="s">
        <v>377</v>
      </c>
      <c r="B56" s="12" t="s">
        <v>311</v>
      </c>
      <c r="C56" s="12" t="s">
        <v>315</v>
      </c>
      <c r="D56" s="13">
        <v>0.33541666666666659</v>
      </c>
      <c r="E56" s="13">
        <v>0.35069444444444442</v>
      </c>
      <c r="F56" t="s">
        <v>310</v>
      </c>
      <c r="G56" s="12" t="s">
        <v>379</v>
      </c>
      <c r="H56" s="14">
        <v>9.01</v>
      </c>
      <c r="I56" s="15">
        <v>19</v>
      </c>
      <c r="J56" s="15">
        <v>10</v>
      </c>
      <c r="K56" s="14">
        <f t="shared" si="0"/>
        <v>90.1</v>
      </c>
      <c r="L56">
        <v>55</v>
      </c>
      <c r="N56" s="30" t="s">
        <v>43</v>
      </c>
      <c r="O56" t="s">
        <v>44</v>
      </c>
      <c r="P56">
        <v>23</v>
      </c>
      <c r="Q56" t="s">
        <v>46</v>
      </c>
      <c r="R56">
        <v>21</v>
      </c>
      <c r="W56" s="18" t="s">
        <v>130</v>
      </c>
      <c r="X56" s="2" t="s">
        <v>145</v>
      </c>
      <c r="Y56" s="3">
        <v>23.251566400000002</v>
      </c>
      <c r="Z56" s="3">
        <v>2.5806399999999998</v>
      </c>
      <c r="AA56" s="3">
        <f t="shared" si="1"/>
        <v>232.51566400000002</v>
      </c>
      <c r="AB56" s="20" t="s">
        <v>307</v>
      </c>
    </row>
    <row r="57" spans="1:28" ht="15" customHeight="1" x14ac:dyDescent="0.25">
      <c r="A57" s="12" t="s">
        <v>377</v>
      </c>
      <c r="B57" s="12" t="s">
        <v>314</v>
      </c>
      <c r="C57" s="12" t="s">
        <v>317</v>
      </c>
      <c r="D57" s="13">
        <v>0.35972222222222222</v>
      </c>
      <c r="E57" s="13">
        <v>0.37222222222222218</v>
      </c>
      <c r="F57" t="s">
        <v>313</v>
      </c>
      <c r="G57" s="12" t="s">
        <v>379</v>
      </c>
      <c r="H57" s="14">
        <v>7.67</v>
      </c>
      <c r="I57" s="15">
        <v>19</v>
      </c>
      <c r="J57" s="15">
        <v>10</v>
      </c>
      <c r="K57" s="14">
        <f t="shared" si="0"/>
        <v>76.7</v>
      </c>
      <c r="L57">
        <v>56</v>
      </c>
      <c r="N57" s="30" t="s">
        <v>43</v>
      </c>
      <c r="O57" t="s">
        <v>44</v>
      </c>
      <c r="P57">
        <v>23</v>
      </c>
      <c r="Q57" t="s">
        <v>46</v>
      </c>
      <c r="R57">
        <v>21</v>
      </c>
      <c r="W57" s="18" t="s">
        <v>130</v>
      </c>
      <c r="X57" s="2" t="s">
        <v>145</v>
      </c>
      <c r="Y57" s="3">
        <v>19.793508800000001</v>
      </c>
      <c r="Z57" s="3">
        <v>2.5806399999999998</v>
      </c>
      <c r="AA57" s="3">
        <f t="shared" si="1"/>
        <v>197.93508800000001</v>
      </c>
      <c r="AB57" s="20" t="s">
        <v>307</v>
      </c>
    </row>
    <row r="58" spans="1:28" ht="15" customHeight="1" x14ac:dyDescent="0.25">
      <c r="A58" s="12" t="s">
        <v>377</v>
      </c>
      <c r="B58" s="12" t="s">
        <v>316</v>
      </c>
      <c r="C58" s="12" t="s">
        <v>319</v>
      </c>
      <c r="D58" s="13">
        <v>0.37708333333333333</v>
      </c>
      <c r="E58" s="13">
        <v>0.3923611111111111</v>
      </c>
      <c r="F58" t="s">
        <v>310</v>
      </c>
      <c r="G58" s="12" t="s">
        <v>379</v>
      </c>
      <c r="H58" s="14">
        <v>9.01</v>
      </c>
      <c r="I58" s="15">
        <v>19</v>
      </c>
      <c r="J58" s="15">
        <v>10</v>
      </c>
      <c r="K58" s="14">
        <f t="shared" si="0"/>
        <v>90.1</v>
      </c>
      <c r="L58">
        <v>57</v>
      </c>
      <c r="N58" s="30" t="s">
        <v>43</v>
      </c>
      <c r="O58" t="s">
        <v>44</v>
      </c>
      <c r="P58">
        <v>23</v>
      </c>
      <c r="Q58" t="s">
        <v>46</v>
      </c>
      <c r="R58">
        <v>21</v>
      </c>
      <c r="W58" s="18" t="s">
        <v>130</v>
      </c>
      <c r="X58" s="2" t="s">
        <v>145</v>
      </c>
      <c r="Y58" s="3">
        <v>23.251566400000002</v>
      </c>
      <c r="Z58" s="3">
        <v>2.5806399999999998</v>
      </c>
      <c r="AA58" s="3">
        <f t="shared" si="1"/>
        <v>232.51566400000002</v>
      </c>
      <c r="AB58" s="20" t="s">
        <v>307</v>
      </c>
    </row>
    <row r="59" spans="1:28" ht="15" customHeight="1" x14ac:dyDescent="0.25">
      <c r="A59" s="12" t="s">
        <v>377</v>
      </c>
      <c r="B59" s="12" t="s">
        <v>318</v>
      </c>
      <c r="C59" s="12" t="s">
        <v>321</v>
      </c>
      <c r="D59" s="13">
        <v>0.46458333333333329</v>
      </c>
      <c r="E59" s="13">
        <v>0.47708333333333341</v>
      </c>
      <c r="F59" t="s">
        <v>313</v>
      </c>
      <c r="G59" s="12" t="s">
        <v>379</v>
      </c>
      <c r="H59" s="14">
        <v>7.67</v>
      </c>
      <c r="I59" s="15">
        <v>19</v>
      </c>
      <c r="J59" s="15">
        <v>10</v>
      </c>
      <c r="K59" s="14">
        <f t="shared" si="0"/>
        <v>76.7</v>
      </c>
      <c r="L59">
        <v>58</v>
      </c>
      <c r="N59" s="30" t="s">
        <v>43</v>
      </c>
      <c r="O59" t="s">
        <v>44</v>
      </c>
      <c r="P59">
        <v>23</v>
      </c>
      <c r="Q59" t="s">
        <v>46</v>
      </c>
      <c r="R59">
        <v>21</v>
      </c>
      <c r="W59" s="18" t="s">
        <v>130</v>
      </c>
      <c r="X59" s="2" t="s">
        <v>145</v>
      </c>
      <c r="Y59" s="3">
        <v>19.793508800000001</v>
      </c>
      <c r="Z59" s="3">
        <v>2.5806399999999998</v>
      </c>
      <c r="AA59" s="3">
        <f t="shared" si="1"/>
        <v>197.93508800000001</v>
      </c>
      <c r="AB59" s="20" t="s">
        <v>307</v>
      </c>
    </row>
    <row r="60" spans="1:28" ht="15" customHeight="1" x14ac:dyDescent="0.25">
      <c r="A60" s="12" t="s">
        <v>377</v>
      </c>
      <c r="B60" s="12" t="s">
        <v>320</v>
      </c>
      <c r="C60" s="12" t="s">
        <v>323</v>
      </c>
      <c r="D60" s="13">
        <v>0.47708333333333341</v>
      </c>
      <c r="E60" s="13">
        <v>0.49236111111111108</v>
      </c>
      <c r="F60" t="s">
        <v>310</v>
      </c>
      <c r="G60" s="12" t="s">
        <v>379</v>
      </c>
      <c r="H60" s="14">
        <v>9.01</v>
      </c>
      <c r="I60" s="15">
        <v>19</v>
      </c>
      <c r="J60" s="15">
        <v>10</v>
      </c>
      <c r="K60" s="14">
        <f t="shared" si="0"/>
        <v>90.1</v>
      </c>
      <c r="L60">
        <v>59</v>
      </c>
      <c r="N60" s="30" t="s">
        <v>43</v>
      </c>
      <c r="O60" t="s">
        <v>44</v>
      </c>
      <c r="P60">
        <v>23</v>
      </c>
      <c r="Q60" t="s">
        <v>46</v>
      </c>
      <c r="R60">
        <v>21</v>
      </c>
      <c r="W60" s="18" t="s">
        <v>130</v>
      </c>
      <c r="X60" s="2" t="s">
        <v>145</v>
      </c>
      <c r="Y60" s="3">
        <v>23.251566400000002</v>
      </c>
      <c r="Z60" s="3">
        <v>2.5806399999999998</v>
      </c>
      <c r="AA60" s="3">
        <f t="shared" si="1"/>
        <v>232.51566400000002</v>
      </c>
      <c r="AB60" s="20" t="s">
        <v>307</v>
      </c>
    </row>
    <row r="61" spans="1:28" ht="15" customHeight="1" x14ac:dyDescent="0.25">
      <c r="A61" s="12" t="s">
        <v>377</v>
      </c>
      <c r="B61" s="12" t="s">
        <v>322</v>
      </c>
      <c r="C61" s="12" t="s">
        <v>325</v>
      </c>
      <c r="D61" s="13">
        <v>0.54791666666666672</v>
      </c>
      <c r="E61" s="13">
        <v>0.56041666666666667</v>
      </c>
      <c r="F61" t="s">
        <v>313</v>
      </c>
      <c r="G61" s="12" t="s">
        <v>379</v>
      </c>
      <c r="H61" s="14">
        <v>7.67</v>
      </c>
      <c r="I61" s="15">
        <v>19</v>
      </c>
      <c r="J61" s="15">
        <v>10</v>
      </c>
      <c r="K61" s="14">
        <f t="shared" si="0"/>
        <v>76.7</v>
      </c>
      <c r="L61">
        <v>60</v>
      </c>
      <c r="N61" s="30" t="s">
        <v>43</v>
      </c>
      <c r="O61" t="s">
        <v>44</v>
      </c>
      <c r="P61">
        <v>23</v>
      </c>
      <c r="Q61" t="s">
        <v>46</v>
      </c>
      <c r="R61">
        <v>21</v>
      </c>
      <c r="W61" s="18" t="s">
        <v>130</v>
      </c>
      <c r="X61" s="2" t="s">
        <v>145</v>
      </c>
      <c r="Y61" s="3">
        <v>19.793508800000001</v>
      </c>
      <c r="Z61" s="3">
        <v>2.5806399999999998</v>
      </c>
      <c r="AA61" s="3">
        <f t="shared" si="1"/>
        <v>197.93508800000001</v>
      </c>
      <c r="AB61" s="20" t="s">
        <v>307</v>
      </c>
    </row>
    <row r="62" spans="1:28" ht="15" customHeight="1" x14ac:dyDescent="0.25">
      <c r="A62" s="12" t="s">
        <v>377</v>
      </c>
      <c r="B62" s="12" t="s">
        <v>324</v>
      </c>
      <c r="C62" s="12" t="s">
        <v>327</v>
      </c>
      <c r="D62" s="13">
        <v>0.56041666666666667</v>
      </c>
      <c r="E62" s="13">
        <v>0.5756944444444444</v>
      </c>
      <c r="F62" t="s">
        <v>310</v>
      </c>
      <c r="G62" s="12" t="s">
        <v>379</v>
      </c>
      <c r="H62" s="14">
        <v>9.01</v>
      </c>
      <c r="I62" s="15">
        <v>19</v>
      </c>
      <c r="J62" s="15">
        <v>10</v>
      </c>
      <c r="K62" s="14">
        <f t="shared" si="0"/>
        <v>90.1</v>
      </c>
      <c r="L62">
        <v>61</v>
      </c>
      <c r="N62" s="30" t="s">
        <v>43</v>
      </c>
      <c r="O62" t="s">
        <v>44</v>
      </c>
      <c r="P62">
        <v>23</v>
      </c>
      <c r="Q62" t="s">
        <v>46</v>
      </c>
      <c r="R62">
        <v>21</v>
      </c>
      <c r="W62" s="18" t="s">
        <v>130</v>
      </c>
      <c r="X62" s="2" t="s">
        <v>145</v>
      </c>
      <c r="Y62" s="3">
        <v>23.251566400000002</v>
      </c>
      <c r="Z62" s="3">
        <v>2.5806399999999998</v>
      </c>
      <c r="AA62" s="3">
        <f t="shared" si="1"/>
        <v>232.51566400000002</v>
      </c>
      <c r="AB62" s="20" t="s">
        <v>307</v>
      </c>
    </row>
    <row r="63" spans="1:28" ht="38.25" customHeight="1" x14ac:dyDescent="0.25">
      <c r="A63" s="12" t="s">
        <v>377</v>
      </c>
      <c r="B63" s="12" t="s">
        <v>326</v>
      </c>
      <c r="C63" s="12" t="s">
        <v>380</v>
      </c>
      <c r="D63" s="13">
        <v>0.59305555555555556</v>
      </c>
      <c r="E63" s="13">
        <v>0.60277777777777775</v>
      </c>
      <c r="F63" t="s">
        <v>313</v>
      </c>
      <c r="G63" s="12" t="s">
        <v>379</v>
      </c>
      <c r="H63" s="14">
        <v>7.07</v>
      </c>
      <c r="I63" s="15">
        <v>21</v>
      </c>
      <c r="J63" s="15">
        <v>10</v>
      </c>
      <c r="K63" s="14">
        <f t="shared" si="0"/>
        <v>70.7</v>
      </c>
      <c r="L63">
        <v>62</v>
      </c>
      <c r="N63" s="30" t="s">
        <v>66</v>
      </c>
      <c r="O63" t="s">
        <v>69</v>
      </c>
      <c r="P63">
        <v>21</v>
      </c>
      <c r="Q63" t="s">
        <v>71</v>
      </c>
      <c r="R63">
        <v>21</v>
      </c>
      <c r="S63" t="s">
        <v>67</v>
      </c>
      <c r="W63" s="18" t="s">
        <v>130</v>
      </c>
      <c r="X63" s="2" t="s">
        <v>145</v>
      </c>
      <c r="Y63" s="3">
        <v>18.245124799999999</v>
      </c>
      <c r="Z63" s="3">
        <v>2.5806399999999998</v>
      </c>
      <c r="AA63" s="3">
        <f t="shared" si="1"/>
        <v>182.45124799999999</v>
      </c>
      <c r="AB63" s="20" t="s">
        <v>307</v>
      </c>
    </row>
    <row r="64" spans="1:28" ht="38.25" customHeight="1" x14ac:dyDescent="0.25">
      <c r="A64" s="12" t="s">
        <v>377</v>
      </c>
      <c r="B64" s="12" t="s">
        <v>328</v>
      </c>
      <c r="C64" s="12" t="s">
        <v>381</v>
      </c>
      <c r="D64" s="13">
        <v>0.60277777777777775</v>
      </c>
      <c r="E64" s="13">
        <v>0.61527777777777781</v>
      </c>
      <c r="F64" t="s">
        <v>310</v>
      </c>
      <c r="G64" s="12" t="s">
        <v>379</v>
      </c>
      <c r="H64" s="14">
        <v>7.82</v>
      </c>
      <c r="I64" s="15">
        <v>21</v>
      </c>
      <c r="J64" s="15">
        <v>10</v>
      </c>
      <c r="K64" s="14">
        <f t="shared" si="0"/>
        <v>78.2</v>
      </c>
      <c r="L64">
        <v>63</v>
      </c>
      <c r="N64" s="30" t="s">
        <v>66</v>
      </c>
      <c r="O64" t="s">
        <v>69</v>
      </c>
      <c r="P64">
        <v>21</v>
      </c>
      <c r="Q64" t="s">
        <v>71</v>
      </c>
      <c r="R64">
        <v>21</v>
      </c>
      <c r="S64" t="s">
        <v>67</v>
      </c>
      <c r="W64" s="18" t="s">
        <v>130</v>
      </c>
      <c r="X64" s="2" t="s">
        <v>145</v>
      </c>
      <c r="Y64" s="3">
        <v>20.180604800000001</v>
      </c>
      <c r="Z64" s="3">
        <v>2.5806399999999998</v>
      </c>
      <c r="AA64" s="3">
        <f t="shared" si="1"/>
        <v>201.806048</v>
      </c>
      <c r="AB64" s="20" t="s">
        <v>307</v>
      </c>
    </row>
    <row r="65" spans="1:28" ht="15" customHeight="1" x14ac:dyDescent="0.25">
      <c r="A65" s="12" t="s">
        <v>377</v>
      </c>
      <c r="B65" s="12" t="s">
        <v>330</v>
      </c>
      <c r="C65" s="12" t="s">
        <v>333</v>
      </c>
      <c r="D65" s="13">
        <v>0.63124999999999998</v>
      </c>
      <c r="E65" s="13">
        <v>0.64375000000000004</v>
      </c>
      <c r="F65" t="s">
        <v>313</v>
      </c>
      <c r="G65" s="12" t="s">
        <v>379</v>
      </c>
      <c r="H65" s="14">
        <v>7.67</v>
      </c>
      <c r="I65" s="15">
        <v>19</v>
      </c>
      <c r="J65" s="15">
        <v>10</v>
      </c>
      <c r="K65" s="14">
        <f t="shared" si="0"/>
        <v>76.7</v>
      </c>
      <c r="L65">
        <v>64</v>
      </c>
      <c r="N65" s="30" t="s">
        <v>43</v>
      </c>
      <c r="O65" t="s">
        <v>44</v>
      </c>
      <c r="P65">
        <v>23</v>
      </c>
      <c r="Q65" t="s">
        <v>46</v>
      </c>
      <c r="R65">
        <v>21</v>
      </c>
      <c r="W65" s="18" t="s">
        <v>130</v>
      </c>
      <c r="X65" s="2" t="s">
        <v>145</v>
      </c>
      <c r="Y65" s="3">
        <v>19.793508800000001</v>
      </c>
      <c r="Z65" s="3">
        <v>2.5806399999999998</v>
      </c>
      <c r="AA65" s="3">
        <f t="shared" si="1"/>
        <v>197.93508800000001</v>
      </c>
      <c r="AB65" s="20" t="s">
        <v>307</v>
      </c>
    </row>
    <row r="66" spans="1:28" ht="15" customHeight="1" x14ac:dyDescent="0.25">
      <c r="A66" s="12" t="s">
        <v>377</v>
      </c>
      <c r="B66" s="12" t="s">
        <v>332</v>
      </c>
      <c r="C66" s="12" t="s">
        <v>335</v>
      </c>
      <c r="D66" s="13">
        <v>0.64375000000000004</v>
      </c>
      <c r="E66" s="13">
        <v>0.65902777777777777</v>
      </c>
      <c r="F66" t="s">
        <v>310</v>
      </c>
      <c r="G66" s="12" t="s">
        <v>379</v>
      </c>
      <c r="H66" s="14">
        <v>9.01</v>
      </c>
      <c r="I66" s="15">
        <v>19</v>
      </c>
      <c r="J66" s="15">
        <v>10</v>
      </c>
      <c r="K66" s="14">
        <f t="shared" si="0"/>
        <v>90.1</v>
      </c>
      <c r="L66">
        <v>65</v>
      </c>
      <c r="N66" s="30" t="s">
        <v>43</v>
      </c>
      <c r="O66" t="s">
        <v>44</v>
      </c>
      <c r="P66">
        <v>23</v>
      </c>
      <c r="Q66" t="s">
        <v>46</v>
      </c>
      <c r="R66">
        <v>21</v>
      </c>
      <c r="W66" s="18" t="s">
        <v>130</v>
      </c>
      <c r="X66" s="2" t="s">
        <v>145</v>
      </c>
      <c r="Y66" s="3">
        <v>23.251566400000002</v>
      </c>
      <c r="Z66" s="3">
        <v>2.5806399999999998</v>
      </c>
      <c r="AA66" s="3">
        <f t="shared" si="1"/>
        <v>232.51566400000002</v>
      </c>
      <c r="AB66" s="20" t="s">
        <v>307</v>
      </c>
    </row>
    <row r="67" spans="1:28" ht="15" customHeight="1" x14ac:dyDescent="0.25">
      <c r="A67" s="12" t="s">
        <v>377</v>
      </c>
      <c r="B67" s="12" t="s">
        <v>334</v>
      </c>
      <c r="C67" s="12" t="s">
        <v>337</v>
      </c>
      <c r="D67" s="13">
        <v>0.65902777777777777</v>
      </c>
      <c r="E67" s="13">
        <v>0.66666666666666663</v>
      </c>
      <c r="F67" t="s">
        <v>338</v>
      </c>
      <c r="G67" s="12" t="s">
        <v>379</v>
      </c>
      <c r="H67" s="14">
        <v>3.76</v>
      </c>
      <c r="I67" s="15">
        <v>19</v>
      </c>
      <c r="J67" s="15">
        <v>10</v>
      </c>
      <c r="K67" s="14">
        <f t="shared" ref="K67:K108" si="2">J67*H67</f>
        <v>37.599999999999994</v>
      </c>
      <c r="L67">
        <v>66</v>
      </c>
      <c r="N67" s="30" t="s">
        <v>43</v>
      </c>
      <c r="O67" t="s">
        <v>44</v>
      </c>
      <c r="P67">
        <v>23</v>
      </c>
      <c r="Q67" t="s">
        <v>46</v>
      </c>
      <c r="R67">
        <v>21</v>
      </c>
      <c r="W67" s="18" t="s">
        <v>130</v>
      </c>
      <c r="X67" s="2" t="s">
        <v>145</v>
      </c>
      <c r="Y67" s="3">
        <v>9.7032063999999991</v>
      </c>
      <c r="Z67" s="3">
        <v>2.5806399999999998</v>
      </c>
      <c r="AA67" s="3">
        <f t="shared" ref="AA67:AA107" si="3">Y67*J67</f>
        <v>97.032063999999991</v>
      </c>
      <c r="AB67" s="20" t="s">
        <v>307</v>
      </c>
    </row>
    <row r="68" spans="1:28" ht="15" customHeight="1" x14ac:dyDescent="0.25">
      <c r="A68" s="12" t="s">
        <v>377</v>
      </c>
      <c r="B68" s="12" t="s">
        <v>336</v>
      </c>
      <c r="C68" s="12" t="s">
        <v>340</v>
      </c>
      <c r="D68" s="13">
        <v>0.66666666666666663</v>
      </c>
      <c r="E68" s="13">
        <v>0.67222222222222228</v>
      </c>
      <c r="F68" t="s">
        <v>341</v>
      </c>
      <c r="G68" s="12" t="s">
        <v>379</v>
      </c>
      <c r="H68" s="14">
        <v>2.76</v>
      </c>
      <c r="I68" s="15">
        <v>19</v>
      </c>
      <c r="J68" s="15">
        <v>10</v>
      </c>
      <c r="K68" s="14">
        <f t="shared" si="2"/>
        <v>27.599999999999998</v>
      </c>
      <c r="L68">
        <v>67</v>
      </c>
      <c r="N68" s="30" t="s">
        <v>43</v>
      </c>
      <c r="O68" t="s">
        <v>44</v>
      </c>
      <c r="P68">
        <v>23</v>
      </c>
      <c r="Q68" t="s">
        <v>46</v>
      </c>
      <c r="R68">
        <v>21</v>
      </c>
      <c r="W68" s="18" t="s">
        <v>130</v>
      </c>
      <c r="X68" s="2" t="s">
        <v>145</v>
      </c>
      <c r="Y68" s="3">
        <v>7.1225663999999993</v>
      </c>
      <c r="Z68" s="3">
        <v>2.5806399999999998</v>
      </c>
      <c r="AA68" s="3">
        <f t="shared" si="3"/>
        <v>71.225663999999995</v>
      </c>
      <c r="AB68" s="20" t="s">
        <v>307</v>
      </c>
    </row>
    <row r="69" spans="1:28" ht="15" customHeight="1" x14ac:dyDescent="0.25">
      <c r="A69" s="12" t="s">
        <v>377</v>
      </c>
      <c r="B69" s="12" t="s">
        <v>339</v>
      </c>
      <c r="C69" s="12" t="s">
        <v>342</v>
      </c>
      <c r="D69" s="13">
        <v>0.67291666666666672</v>
      </c>
      <c r="E69" s="13">
        <v>0.68541666666666667</v>
      </c>
      <c r="F69" t="s">
        <v>313</v>
      </c>
      <c r="G69" s="12" t="s">
        <v>379</v>
      </c>
      <c r="H69" s="14">
        <v>7.67</v>
      </c>
      <c r="I69" s="15">
        <v>19</v>
      </c>
      <c r="J69" s="15">
        <v>10</v>
      </c>
      <c r="K69" s="14">
        <f t="shared" si="2"/>
        <v>76.7</v>
      </c>
      <c r="L69">
        <v>68</v>
      </c>
      <c r="N69" s="30" t="s">
        <v>43</v>
      </c>
      <c r="O69" t="s">
        <v>44</v>
      </c>
      <c r="P69">
        <v>23</v>
      </c>
      <c r="Q69" t="s">
        <v>46</v>
      </c>
      <c r="R69">
        <v>21</v>
      </c>
      <c r="W69" s="18" t="s">
        <v>130</v>
      </c>
      <c r="X69" s="2" t="s">
        <v>145</v>
      </c>
      <c r="Y69" s="3">
        <v>19.793508800000001</v>
      </c>
      <c r="Z69" s="3">
        <v>2.5806399999999998</v>
      </c>
      <c r="AA69" s="3">
        <f t="shared" si="3"/>
        <v>197.93508800000001</v>
      </c>
      <c r="AB69" s="20" t="s">
        <v>307</v>
      </c>
    </row>
    <row r="70" spans="1:28" ht="15" customHeight="1" x14ac:dyDescent="0.25">
      <c r="A70" s="12" t="s">
        <v>377</v>
      </c>
      <c r="B70" s="12" t="s">
        <v>280</v>
      </c>
      <c r="C70" s="12" t="s">
        <v>344</v>
      </c>
      <c r="D70" s="13">
        <v>0.68541666666666667</v>
      </c>
      <c r="E70" s="13">
        <v>0.7006944444444444</v>
      </c>
      <c r="F70" t="s">
        <v>310</v>
      </c>
      <c r="G70" s="12" t="s">
        <v>379</v>
      </c>
      <c r="H70" s="14">
        <v>9.01</v>
      </c>
      <c r="I70" s="15">
        <v>19</v>
      </c>
      <c r="J70" s="15">
        <v>10</v>
      </c>
      <c r="K70" s="14">
        <f t="shared" si="2"/>
        <v>90.1</v>
      </c>
      <c r="L70">
        <v>69</v>
      </c>
      <c r="N70" s="30" t="s">
        <v>43</v>
      </c>
      <c r="O70" t="s">
        <v>44</v>
      </c>
      <c r="P70">
        <v>23</v>
      </c>
      <c r="Q70" t="s">
        <v>46</v>
      </c>
      <c r="R70">
        <v>21</v>
      </c>
      <c r="W70" s="18" t="s">
        <v>130</v>
      </c>
      <c r="X70" s="2" t="s">
        <v>145</v>
      </c>
      <c r="Y70" s="3">
        <v>23.251566400000002</v>
      </c>
      <c r="Z70" s="3">
        <v>2.5806399999999998</v>
      </c>
      <c r="AA70" s="3">
        <f t="shared" si="3"/>
        <v>232.51566400000002</v>
      </c>
      <c r="AB70" s="20" t="s">
        <v>307</v>
      </c>
    </row>
    <row r="71" spans="1:28" ht="15" customHeight="1" x14ac:dyDescent="0.25">
      <c r="A71" s="12" t="s">
        <v>377</v>
      </c>
      <c r="B71" s="12" t="s">
        <v>343</v>
      </c>
      <c r="C71" s="12" t="s">
        <v>346</v>
      </c>
      <c r="D71" s="13">
        <v>0.71458333333333335</v>
      </c>
      <c r="E71" s="13">
        <v>0.7270833333333333</v>
      </c>
      <c r="F71" t="s">
        <v>313</v>
      </c>
      <c r="G71" s="12" t="s">
        <v>379</v>
      </c>
      <c r="H71" s="14">
        <v>7.67</v>
      </c>
      <c r="I71" s="15">
        <v>19</v>
      </c>
      <c r="J71" s="15">
        <v>10</v>
      </c>
      <c r="K71" s="14">
        <f t="shared" si="2"/>
        <v>76.7</v>
      </c>
      <c r="L71">
        <v>70</v>
      </c>
      <c r="N71" s="30" t="s">
        <v>43</v>
      </c>
      <c r="O71" t="s">
        <v>44</v>
      </c>
      <c r="P71">
        <v>23</v>
      </c>
      <c r="Q71" t="s">
        <v>46</v>
      </c>
      <c r="R71">
        <v>21</v>
      </c>
      <c r="W71" s="18" t="s">
        <v>130</v>
      </c>
      <c r="X71" s="2" t="s">
        <v>145</v>
      </c>
      <c r="Y71" s="3">
        <v>19.793508800000001</v>
      </c>
      <c r="Z71" s="3">
        <v>2.5806399999999998</v>
      </c>
      <c r="AA71" s="3">
        <f t="shared" si="3"/>
        <v>197.93508800000001</v>
      </c>
      <c r="AB71" s="20" t="s">
        <v>307</v>
      </c>
    </row>
    <row r="72" spans="1:28" ht="15" customHeight="1" x14ac:dyDescent="0.25">
      <c r="A72" s="12" t="s">
        <v>377</v>
      </c>
      <c r="B72" s="12" t="s">
        <v>345</v>
      </c>
      <c r="C72" s="12" t="s">
        <v>348</v>
      </c>
      <c r="D72" s="13">
        <v>0.7270833333333333</v>
      </c>
      <c r="E72" s="13">
        <v>0.74236111111111114</v>
      </c>
      <c r="F72" t="s">
        <v>310</v>
      </c>
      <c r="G72" s="12" t="s">
        <v>379</v>
      </c>
      <c r="H72" s="14">
        <v>9.01</v>
      </c>
      <c r="I72" s="15">
        <v>19</v>
      </c>
      <c r="J72" s="15">
        <v>10</v>
      </c>
      <c r="K72" s="14">
        <f t="shared" si="2"/>
        <v>90.1</v>
      </c>
      <c r="L72">
        <v>71</v>
      </c>
      <c r="N72" s="30" t="s">
        <v>43</v>
      </c>
      <c r="O72" t="s">
        <v>44</v>
      </c>
      <c r="P72">
        <v>23</v>
      </c>
      <c r="Q72" t="s">
        <v>46</v>
      </c>
      <c r="R72">
        <v>21</v>
      </c>
      <c r="W72" s="18" t="s">
        <v>130</v>
      </c>
      <c r="X72" s="2" t="s">
        <v>145</v>
      </c>
      <c r="Y72" s="3">
        <v>23.251566400000002</v>
      </c>
      <c r="Z72" s="3">
        <v>2.5806399999999998</v>
      </c>
      <c r="AA72" s="3">
        <f t="shared" si="3"/>
        <v>232.51566400000002</v>
      </c>
      <c r="AB72" s="20" t="s">
        <v>307</v>
      </c>
    </row>
    <row r="73" spans="1:28" ht="15" customHeight="1" x14ac:dyDescent="0.25">
      <c r="A73" s="12" t="s">
        <v>377</v>
      </c>
      <c r="B73" s="12" t="s">
        <v>347</v>
      </c>
      <c r="C73" s="12" t="s">
        <v>350</v>
      </c>
      <c r="D73" s="13">
        <v>0.77708333333333335</v>
      </c>
      <c r="E73" s="13">
        <v>0.78472222222222221</v>
      </c>
      <c r="F73" t="s">
        <v>338</v>
      </c>
      <c r="G73" s="12" t="s">
        <v>379</v>
      </c>
      <c r="H73" s="14">
        <v>3.76</v>
      </c>
      <c r="I73" s="15">
        <v>19</v>
      </c>
      <c r="J73" s="15">
        <v>10</v>
      </c>
      <c r="K73" s="14">
        <f t="shared" si="2"/>
        <v>37.599999999999994</v>
      </c>
      <c r="L73">
        <v>72</v>
      </c>
      <c r="N73" s="30" t="s">
        <v>43</v>
      </c>
      <c r="O73" t="s">
        <v>44</v>
      </c>
      <c r="P73">
        <v>23</v>
      </c>
      <c r="Q73" t="s">
        <v>46</v>
      </c>
      <c r="R73">
        <v>21</v>
      </c>
      <c r="W73" s="18" t="s">
        <v>130</v>
      </c>
      <c r="X73" s="2" t="s">
        <v>145</v>
      </c>
      <c r="Y73" s="3">
        <v>9.7032063999999991</v>
      </c>
      <c r="Z73" s="3">
        <v>2.5806399999999998</v>
      </c>
      <c r="AA73" s="3">
        <f t="shared" si="3"/>
        <v>97.032063999999991</v>
      </c>
      <c r="AB73" s="20" t="s">
        <v>307</v>
      </c>
    </row>
    <row r="74" spans="1:28" ht="15" customHeight="1" x14ac:dyDescent="0.25">
      <c r="A74" s="12" t="s">
        <v>377</v>
      </c>
      <c r="B74" s="12" t="s">
        <v>349</v>
      </c>
      <c r="C74" s="12" t="s">
        <v>352</v>
      </c>
      <c r="D74" s="13">
        <v>0.78472222222222221</v>
      </c>
      <c r="E74" s="13">
        <v>0.79027777777777775</v>
      </c>
      <c r="F74" t="s">
        <v>341</v>
      </c>
      <c r="G74" s="12" t="s">
        <v>379</v>
      </c>
      <c r="H74" s="14">
        <v>2.76</v>
      </c>
      <c r="I74" s="15">
        <v>19</v>
      </c>
      <c r="J74" s="15">
        <v>10</v>
      </c>
      <c r="K74" s="14">
        <f t="shared" si="2"/>
        <v>27.599999999999998</v>
      </c>
      <c r="L74">
        <v>73</v>
      </c>
      <c r="N74" s="30" t="s">
        <v>43</v>
      </c>
      <c r="O74" t="s">
        <v>44</v>
      </c>
      <c r="P74">
        <v>23</v>
      </c>
      <c r="Q74" t="s">
        <v>46</v>
      </c>
      <c r="R74">
        <v>21</v>
      </c>
      <c r="W74" s="18" t="s">
        <v>130</v>
      </c>
      <c r="X74" s="2" t="s">
        <v>145</v>
      </c>
      <c r="Y74" s="3">
        <v>7.1225663999999993</v>
      </c>
      <c r="Z74" s="3">
        <v>2.5806399999999998</v>
      </c>
      <c r="AA74" s="3">
        <f t="shared" si="3"/>
        <v>71.225663999999995</v>
      </c>
      <c r="AB74" s="20" t="s">
        <v>307</v>
      </c>
    </row>
    <row r="75" spans="1:28" ht="23.25" customHeight="1" x14ac:dyDescent="0.25">
      <c r="A75" s="12" t="s">
        <v>382</v>
      </c>
      <c r="B75" s="12" t="s">
        <v>303</v>
      </c>
      <c r="C75" s="12" t="s">
        <v>383</v>
      </c>
      <c r="D75" s="13">
        <v>0.27708333333333329</v>
      </c>
      <c r="E75" s="13">
        <v>0.28958333333333341</v>
      </c>
      <c r="F75" t="s">
        <v>310</v>
      </c>
      <c r="G75" s="12" t="s">
        <v>384</v>
      </c>
      <c r="H75" s="14">
        <v>7.82</v>
      </c>
      <c r="I75" s="15">
        <v>19</v>
      </c>
      <c r="J75" s="15">
        <v>10</v>
      </c>
      <c r="K75" s="14">
        <f t="shared" si="2"/>
        <v>78.2</v>
      </c>
      <c r="L75">
        <v>74</v>
      </c>
      <c r="N75" s="30" t="s">
        <v>43</v>
      </c>
      <c r="O75" t="s">
        <v>44</v>
      </c>
      <c r="P75">
        <v>23</v>
      </c>
      <c r="Q75" t="s">
        <v>46</v>
      </c>
      <c r="R75">
        <v>21</v>
      </c>
      <c r="W75" s="18" t="s">
        <v>130</v>
      </c>
      <c r="X75" t="s">
        <v>145</v>
      </c>
      <c r="Y75" s="3">
        <v>20.180604800000001</v>
      </c>
      <c r="Z75" s="3">
        <v>2.5806399999999998</v>
      </c>
      <c r="AA75" s="3">
        <f t="shared" si="3"/>
        <v>201.806048</v>
      </c>
      <c r="AB75" s="20" t="s">
        <v>307</v>
      </c>
    </row>
    <row r="76" spans="1:28" ht="23.25" customHeight="1" x14ac:dyDescent="0.25">
      <c r="A76" s="12" t="s">
        <v>382</v>
      </c>
      <c r="B76" s="12" t="s">
        <v>308</v>
      </c>
      <c r="C76" s="12" t="s">
        <v>357</v>
      </c>
      <c r="D76" s="13">
        <v>0.30138888888888887</v>
      </c>
      <c r="E76" s="13">
        <v>0.31041666666666667</v>
      </c>
      <c r="F76" t="s">
        <v>359</v>
      </c>
      <c r="G76" s="12" t="s">
        <v>384</v>
      </c>
      <c r="H76" s="14">
        <v>5.76</v>
      </c>
      <c r="I76" s="15">
        <v>19</v>
      </c>
      <c r="J76" s="15">
        <v>10</v>
      </c>
      <c r="K76" s="14">
        <f t="shared" si="2"/>
        <v>57.599999999999994</v>
      </c>
      <c r="L76">
        <v>75</v>
      </c>
      <c r="N76" s="30" t="s">
        <v>43</v>
      </c>
      <c r="O76" t="s">
        <v>44</v>
      </c>
      <c r="P76">
        <v>23</v>
      </c>
      <c r="Q76" t="s">
        <v>46</v>
      </c>
      <c r="R76">
        <v>21</v>
      </c>
      <c r="W76" s="18" t="s">
        <v>130</v>
      </c>
      <c r="X76" t="s">
        <v>145</v>
      </c>
      <c r="Y76" s="3">
        <v>14.864486400000001</v>
      </c>
      <c r="Z76" s="3">
        <v>2.5806399999999998</v>
      </c>
      <c r="AA76" s="3">
        <f t="shared" si="3"/>
        <v>148.64486400000001</v>
      </c>
      <c r="AB76" s="20" t="s">
        <v>307</v>
      </c>
    </row>
    <row r="77" spans="1:28" ht="23.25" customHeight="1" x14ac:dyDescent="0.25">
      <c r="A77" s="12" t="s">
        <v>382</v>
      </c>
      <c r="B77" s="12" t="s">
        <v>311</v>
      </c>
      <c r="C77" s="12" t="s">
        <v>361</v>
      </c>
      <c r="D77" s="13">
        <v>0.31041666666666667</v>
      </c>
      <c r="E77" s="13">
        <v>0.3125</v>
      </c>
      <c r="F77" t="s">
        <v>362</v>
      </c>
      <c r="G77" s="12" t="s">
        <v>384</v>
      </c>
      <c r="H77" s="14">
        <v>1.76</v>
      </c>
      <c r="I77" s="15">
        <v>19</v>
      </c>
      <c r="J77" s="15">
        <v>10</v>
      </c>
      <c r="K77" s="14">
        <f t="shared" si="2"/>
        <v>17.600000000000001</v>
      </c>
      <c r="L77">
        <v>76</v>
      </c>
      <c r="N77" s="30" t="s">
        <v>43</v>
      </c>
      <c r="O77" t="s">
        <v>44</v>
      </c>
      <c r="P77">
        <v>23</v>
      </c>
      <c r="Q77" t="s">
        <v>46</v>
      </c>
      <c r="R77">
        <v>21</v>
      </c>
      <c r="W77" s="18" t="s">
        <v>130</v>
      </c>
      <c r="X77" t="s">
        <v>145</v>
      </c>
      <c r="Y77" s="3">
        <v>4.5419263999999986</v>
      </c>
      <c r="Z77" s="3">
        <v>2.5806399999999998</v>
      </c>
      <c r="AA77" s="3">
        <f t="shared" si="3"/>
        <v>45.419263999999984</v>
      </c>
      <c r="AB77" s="20" t="s">
        <v>307</v>
      </c>
    </row>
    <row r="78" spans="1:28" ht="23.25" customHeight="1" x14ac:dyDescent="0.25">
      <c r="A78" s="12" t="s">
        <v>382</v>
      </c>
      <c r="B78" s="12" t="s">
        <v>314</v>
      </c>
      <c r="C78" s="12" t="s">
        <v>363</v>
      </c>
      <c r="D78" s="13">
        <v>0.31319444444444439</v>
      </c>
      <c r="E78" s="13">
        <v>0.31666666666666671</v>
      </c>
      <c r="F78" t="s">
        <v>364</v>
      </c>
      <c r="G78" s="12" t="s">
        <v>384</v>
      </c>
      <c r="H78" s="14">
        <v>2.2200000000000002</v>
      </c>
      <c r="I78" s="15">
        <v>19</v>
      </c>
      <c r="J78" s="15">
        <v>10</v>
      </c>
      <c r="K78" s="14">
        <f t="shared" si="2"/>
        <v>22.200000000000003</v>
      </c>
      <c r="L78">
        <v>77</v>
      </c>
      <c r="N78" s="30" t="s">
        <v>43</v>
      </c>
      <c r="O78" t="s">
        <v>44</v>
      </c>
      <c r="P78">
        <v>23</v>
      </c>
      <c r="Q78" t="s">
        <v>46</v>
      </c>
      <c r="R78">
        <v>21</v>
      </c>
      <c r="W78" s="18" t="s">
        <v>130</v>
      </c>
      <c r="X78" t="s">
        <v>145</v>
      </c>
      <c r="Y78" s="3">
        <v>5.7290207999999998</v>
      </c>
      <c r="Z78" s="3">
        <v>2.5806399999999998</v>
      </c>
      <c r="AA78" s="3">
        <f t="shared" si="3"/>
        <v>57.290208</v>
      </c>
      <c r="AB78" s="20" t="s">
        <v>307</v>
      </c>
    </row>
    <row r="79" spans="1:28" ht="23.25" customHeight="1" x14ac:dyDescent="0.25">
      <c r="A79" s="12" t="s">
        <v>382</v>
      </c>
      <c r="B79" s="12" t="s">
        <v>316</v>
      </c>
      <c r="C79" s="12" t="s">
        <v>365</v>
      </c>
      <c r="D79" s="13">
        <v>0.35208333333333341</v>
      </c>
      <c r="E79" s="13">
        <v>0.35416666666666669</v>
      </c>
      <c r="F79" t="s">
        <v>362</v>
      </c>
      <c r="G79" s="12" t="s">
        <v>384</v>
      </c>
      <c r="H79" s="14">
        <v>1.76</v>
      </c>
      <c r="I79" s="15">
        <v>19</v>
      </c>
      <c r="J79" s="15">
        <v>10</v>
      </c>
      <c r="K79" s="14">
        <f t="shared" si="2"/>
        <v>17.600000000000001</v>
      </c>
      <c r="L79">
        <v>78</v>
      </c>
      <c r="N79" s="30" t="s">
        <v>43</v>
      </c>
      <c r="O79" t="s">
        <v>44</v>
      </c>
      <c r="P79">
        <v>23</v>
      </c>
      <c r="Q79" t="s">
        <v>46</v>
      </c>
      <c r="R79">
        <v>21</v>
      </c>
      <c r="W79" s="18" t="s">
        <v>130</v>
      </c>
      <c r="X79" t="s">
        <v>145</v>
      </c>
      <c r="Y79" s="3">
        <v>4.5419263999999986</v>
      </c>
      <c r="Z79" s="3">
        <v>2.5806399999999998</v>
      </c>
      <c r="AA79" s="3">
        <f t="shared" si="3"/>
        <v>45.419263999999984</v>
      </c>
      <c r="AB79" s="20" t="s">
        <v>307</v>
      </c>
    </row>
    <row r="80" spans="1:28" ht="23.25" customHeight="1" x14ac:dyDescent="0.25">
      <c r="A80" s="12" t="s">
        <v>382</v>
      </c>
      <c r="B80" s="12" t="s">
        <v>318</v>
      </c>
      <c r="C80" s="12" t="s">
        <v>366</v>
      </c>
      <c r="D80" s="13">
        <v>0.35486111111111113</v>
      </c>
      <c r="E80" s="13">
        <v>0.35833333333333328</v>
      </c>
      <c r="F80" t="s">
        <v>364</v>
      </c>
      <c r="G80" s="12" t="s">
        <v>384</v>
      </c>
      <c r="H80" s="14">
        <v>2.2200000000000002</v>
      </c>
      <c r="I80" s="15">
        <v>19</v>
      </c>
      <c r="J80" s="15">
        <v>10</v>
      </c>
      <c r="K80" s="14">
        <f t="shared" si="2"/>
        <v>22.200000000000003</v>
      </c>
      <c r="L80">
        <v>79</v>
      </c>
      <c r="N80" s="30" t="s">
        <v>43</v>
      </c>
      <c r="O80" t="s">
        <v>44</v>
      </c>
      <c r="P80">
        <v>23</v>
      </c>
      <c r="Q80" t="s">
        <v>46</v>
      </c>
      <c r="R80">
        <v>21</v>
      </c>
      <c r="W80" s="18" t="s">
        <v>130</v>
      </c>
      <c r="X80" t="s">
        <v>145</v>
      </c>
      <c r="Y80" s="3">
        <v>5.7290207999999998</v>
      </c>
      <c r="Z80" s="3">
        <v>2.5806399999999998</v>
      </c>
      <c r="AA80" s="3">
        <f t="shared" si="3"/>
        <v>57.290208</v>
      </c>
      <c r="AB80" s="20" t="s">
        <v>307</v>
      </c>
    </row>
    <row r="81" spans="1:28" ht="23.25" customHeight="1" x14ac:dyDescent="0.25">
      <c r="A81" s="12" t="s">
        <v>382</v>
      </c>
      <c r="B81" s="12" t="s">
        <v>320</v>
      </c>
      <c r="C81" s="12" t="s">
        <v>367</v>
      </c>
      <c r="D81" s="13">
        <v>0.50208333333333333</v>
      </c>
      <c r="E81" s="13">
        <v>0.51111111111111107</v>
      </c>
      <c r="F81" t="s">
        <v>359</v>
      </c>
      <c r="G81" s="12" t="s">
        <v>384</v>
      </c>
      <c r="H81" s="14">
        <v>5.76</v>
      </c>
      <c r="I81" s="15">
        <v>19</v>
      </c>
      <c r="J81" s="15">
        <v>10</v>
      </c>
      <c r="K81" s="14">
        <f t="shared" si="2"/>
        <v>57.599999999999994</v>
      </c>
      <c r="L81">
        <v>80</v>
      </c>
      <c r="N81" s="30" t="s">
        <v>43</v>
      </c>
      <c r="O81" t="s">
        <v>44</v>
      </c>
      <c r="P81">
        <v>23</v>
      </c>
      <c r="Q81" t="s">
        <v>46</v>
      </c>
      <c r="R81">
        <v>21</v>
      </c>
      <c r="W81" s="18" t="s">
        <v>130</v>
      </c>
      <c r="X81" t="s">
        <v>145</v>
      </c>
      <c r="Y81" s="3">
        <v>14.864486400000001</v>
      </c>
      <c r="Z81" s="3">
        <v>2.5806399999999998</v>
      </c>
      <c r="AA81" s="3">
        <f t="shared" si="3"/>
        <v>148.64486400000001</v>
      </c>
      <c r="AB81" s="20" t="s">
        <v>307</v>
      </c>
    </row>
    <row r="82" spans="1:28" ht="23.25" customHeight="1" x14ac:dyDescent="0.25">
      <c r="A82" s="12" t="s">
        <v>382</v>
      </c>
      <c r="B82" s="12" t="s">
        <v>322</v>
      </c>
      <c r="C82" s="12" t="s">
        <v>368</v>
      </c>
      <c r="D82" s="13">
        <v>0.51597222222222228</v>
      </c>
      <c r="E82" s="13">
        <v>0.5180555555555556</v>
      </c>
      <c r="F82" t="s">
        <v>362</v>
      </c>
      <c r="G82" s="12" t="s">
        <v>384</v>
      </c>
      <c r="H82" s="14">
        <v>1.76</v>
      </c>
      <c r="I82" s="15">
        <v>19</v>
      </c>
      <c r="J82" s="15">
        <v>10</v>
      </c>
      <c r="K82" s="14">
        <f t="shared" si="2"/>
        <v>17.600000000000001</v>
      </c>
      <c r="L82">
        <v>81</v>
      </c>
      <c r="N82" s="30" t="s">
        <v>43</v>
      </c>
      <c r="O82" t="s">
        <v>44</v>
      </c>
      <c r="P82">
        <v>23</v>
      </c>
      <c r="Q82" t="s">
        <v>46</v>
      </c>
      <c r="R82">
        <v>21</v>
      </c>
      <c r="W82" s="18" t="s">
        <v>130</v>
      </c>
      <c r="X82" t="s">
        <v>145</v>
      </c>
      <c r="Y82" s="3">
        <v>4.5419263999999986</v>
      </c>
      <c r="Z82" s="3">
        <v>2.5806399999999998</v>
      </c>
      <c r="AA82" s="3">
        <f t="shared" si="3"/>
        <v>45.419263999999984</v>
      </c>
      <c r="AB82" s="20" t="s">
        <v>307</v>
      </c>
    </row>
    <row r="83" spans="1:28" ht="23.25" customHeight="1" x14ac:dyDescent="0.25">
      <c r="A83" s="12" t="s">
        <v>382</v>
      </c>
      <c r="B83" s="12" t="s">
        <v>324</v>
      </c>
      <c r="C83" s="12" t="s">
        <v>369</v>
      </c>
      <c r="D83" s="13">
        <v>0.51875000000000004</v>
      </c>
      <c r="E83" s="13">
        <v>0.52222222222222225</v>
      </c>
      <c r="F83" t="s">
        <v>364</v>
      </c>
      <c r="G83" s="12" t="s">
        <v>384</v>
      </c>
      <c r="H83" s="14">
        <v>2.2200000000000002</v>
      </c>
      <c r="I83" s="15">
        <v>19</v>
      </c>
      <c r="J83" s="15">
        <v>10</v>
      </c>
      <c r="K83" s="14">
        <f t="shared" si="2"/>
        <v>22.200000000000003</v>
      </c>
      <c r="L83">
        <v>82</v>
      </c>
      <c r="N83" s="30" t="s">
        <v>43</v>
      </c>
      <c r="O83" t="s">
        <v>44</v>
      </c>
      <c r="P83">
        <v>23</v>
      </c>
      <c r="Q83" t="s">
        <v>46</v>
      </c>
      <c r="R83">
        <v>21</v>
      </c>
      <c r="W83" s="18" t="s">
        <v>130</v>
      </c>
      <c r="X83" t="s">
        <v>145</v>
      </c>
      <c r="Y83" s="3">
        <v>5.7290207999999998</v>
      </c>
      <c r="Z83" s="3">
        <v>2.5806399999999998</v>
      </c>
      <c r="AA83" s="3">
        <f t="shared" si="3"/>
        <v>57.290208</v>
      </c>
      <c r="AB83" s="20" t="s">
        <v>307</v>
      </c>
    </row>
    <row r="84" spans="1:28" ht="23.25" customHeight="1" x14ac:dyDescent="0.25">
      <c r="A84" s="12" t="s">
        <v>382</v>
      </c>
      <c r="B84" s="12" t="s">
        <v>326</v>
      </c>
      <c r="C84" s="12" t="s">
        <v>370</v>
      </c>
      <c r="D84" s="13">
        <v>0.53263888888888888</v>
      </c>
      <c r="E84" s="13">
        <v>0.54166666666666663</v>
      </c>
      <c r="F84" t="s">
        <v>359</v>
      </c>
      <c r="G84" s="12" t="s">
        <v>384</v>
      </c>
      <c r="H84" s="14">
        <v>5.76</v>
      </c>
      <c r="I84" s="15">
        <v>19</v>
      </c>
      <c r="J84" s="15">
        <v>10</v>
      </c>
      <c r="K84" s="14">
        <f t="shared" si="2"/>
        <v>57.599999999999994</v>
      </c>
      <c r="L84">
        <v>83</v>
      </c>
      <c r="N84" s="30" t="s">
        <v>43</v>
      </c>
      <c r="O84" t="s">
        <v>44</v>
      </c>
      <c r="P84">
        <v>23</v>
      </c>
      <c r="Q84" t="s">
        <v>46</v>
      </c>
      <c r="R84">
        <v>21</v>
      </c>
      <c r="W84" s="18" t="s">
        <v>130</v>
      </c>
      <c r="X84" t="s">
        <v>145</v>
      </c>
      <c r="Y84" s="3">
        <v>14.864486400000001</v>
      </c>
      <c r="Z84" s="3">
        <v>2.5806399999999998</v>
      </c>
      <c r="AA84" s="3">
        <f t="shared" si="3"/>
        <v>148.64486400000001</v>
      </c>
      <c r="AB84" s="20" t="s">
        <v>307</v>
      </c>
    </row>
    <row r="85" spans="1:28" ht="23.25" customHeight="1" x14ac:dyDescent="0.25">
      <c r="A85" s="12" t="s">
        <v>382</v>
      </c>
      <c r="B85" s="12" t="s">
        <v>328</v>
      </c>
      <c r="C85" s="12" t="s">
        <v>385</v>
      </c>
      <c r="D85" s="13">
        <v>0.59305555555555556</v>
      </c>
      <c r="E85" s="13">
        <v>0.59513888888888888</v>
      </c>
      <c r="F85" t="s">
        <v>338</v>
      </c>
      <c r="G85" s="12" t="s">
        <v>384</v>
      </c>
      <c r="H85" s="14">
        <v>2.09</v>
      </c>
      <c r="I85" s="15">
        <v>19</v>
      </c>
      <c r="J85" s="15">
        <v>10</v>
      </c>
      <c r="K85" s="14">
        <f t="shared" si="2"/>
        <v>20.9</v>
      </c>
      <c r="L85">
        <v>84</v>
      </c>
      <c r="N85" s="30" t="s">
        <v>43</v>
      </c>
      <c r="O85" t="s">
        <v>44</v>
      </c>
      <c r="P85">
        <v>23</v>
      </c>
      <c r="Q85" t="s">
        <v>46</v>
      </c>
      <c r="R85">
        <v>21</v>
      </c>
      <c r="W85" s="18" t="s">
        <v>130</v>
      </c>
      <c r="X85" t="s">
        <v>145</v>
      </c>
      <c r="Y85" s="3">
        <v>5.3935375999999993</v>
      </c>
      <c r="Z85" s="3">
        <v>2.5806399999999998</v>
      </c>
      <c r="AA85" s="3">
        <f t="shared" si="3"/>
        <v>53.935375999999991</v>
      </c>
      <c r="AB85" s="20" t="s">
        <v>307</v>
      </c>
    </row>
    <row r="86" spans="1:28" ht="23.25" customHeight="1" x14ac:dyDescent="0.25">
      <c r="A86" s="12" t="s">
        <v>382</v>
      </c>
      <c r="B86" s="12" t="s">
        <v>330</v>
      </c>
      <c r="C86" s="12" t="s">
        <v>386</v>
      </c>
      <c r="D86" s="13">
        <v>0.59513888888888888</v>
      </c>
      <c r="E86" s="13">
        <v>0.60138888888888886</v>
      </c>
      <c r="F86" t="s">
        <v>341</v>
      </c>
      <c r="G86" s="12" t="s">
        <v>384</v>
      </c>
      <c r="H86" s="14">
        <v>3.57</v>
      </c>
      <c r="I86" s="15">
        <v>19</v>
      </c>
      <c r="J86" s="15">
        <v>10</v>
      </c>
      <c r="K86" s="14">
        <f t="shared" si="2"/>
        <v>35.699999999999996</v>
      </c>
      <c r="L86">
        <v>85</v>
      </c>
      <c r="N86" s="30" t="s">
        <v>43</v>
      </c>
      <c r="O86" t="s">
        <v>44</v>
      </c>
      <c r="P86">
        <v>23</v>
      </c>
      <c r="Q86" t="s">
        <v>46</v>
      </c>
      <c r="R86">
        <v>21</v>
      </c>
      <c r="W86" s="18" t="s">
        <v>130</v>
      </c>
      <c r="X86" t="s">
        <v>145</v>
      </c>
      <c r="Y86" s="3">
        <v>9.2128847999999994</v>
      </c>
      <c r="Z86" s="3">
        <v>2.5806399999999998</v>
      </c>
      <c r="AA86" s="3">
        <f t="shared" si="3"/>
        <v>92.128847999999991</v>
      </c>
      <c r="AB86" s="20" t="s">
        <v>307</v>
      </c>
    </row>
    <row r="87" spans="1:28" ht="23.25" customHeight="1" x14ac:dyDescent="0.25">
      <c r="A87" s="12" t="s">
        <v>382</v>
      </c>
      <c r="B87" s="12" t="s">
        <v>332</v>
      </c>
      <c r="C87" s="12" t="s">
        <v>371</v>
      </c>
      <c r="D87" s="13">
        <v>0.75208333333333333</v>
      </c>
      <c r="E87" s="13">
        <v>0.76111111111111107</v>
      </c>
      <c r="F87" t="s">
        <v>359</v>
      </c>
      <c r="G87" s="12" t="s">
        <v>384</v>
      </c>
      <c r="H87" s="14">
        <v>5.76</v>
      </c>
      <c r="I87" s="15">
        <v>19</v>
      </c>
      <c r="J87" s="15">
        <v>10</v>
      </c>
      <c r="K87" s="14">
        <f t="shared" si="2"/>
        <v>57.599999999999994</v>
      </c>
      <c r="L87">
        <v>86</v>
      </c>
      <c r="N87" s="30" t="s">
        <v>43</v>
      </c>
      <c r="O87" t="s">
        <v>44</v>
      </c>
      <c r="P87">
        <v>23</v>
      </c>
      <c r="Q87" t="s">
        <v>46</v>
      </c>
      <c r="R87">
        <v>21</v>
      </c>
      <c r="W87" s="18" t="s">
        <v>130</v>
      </c>
      <c r="X87" t="s">
        <v>145</v>
      </c>
      <c r="Y87" s="3">
        <v>14.864486400000001</v>
      </c>
      <c r="Z87" s="3">
        <v>2.5806399999999998</v>
      </c>
      <c r="AA87" s="3">
        <f t="shared" si="3"/>
        <v>148.64486400000001</v>
      </c>
      <c r="AB87" s="20" t="s">
        <v>307</v>
      </c>
    </row>
    <row r="88" spans="1:28" ht="23.25" customHeight="1" x14ac:dyDescent="0.25">
      <c r="A88" s="12" t="s">
        <v>382</v>
      </c>
      <c r="B88" s="12" t="s">
        <v>334</v>
      </c>
      <c r="C88" s="12" t="s">
        <v>372</v>
      </c>
      <c r="D88" s="13">
        <v>0.76597222222222228</v>
      </c>
      <c r="E88" s="13">
        <v>0.7680555555555556</v>
      </c>
      <c r="F88" t="s">
        <v>362</v>
      </c>
      <c r="G88" s="12" t="s">
        <v>384</v>
      </c>
      <c r="H88" s="14">
        <v>1.76</v>
      </c>
      <c r="I88" s="15">
        <v>19</v>
      </c>
      <c r="J88" s="15">
        <v>10</v>
      </c>
      <c r="K88" s="14">
        <f t="shared" si="2"/>
        <v>17.600000000000001</v>
      </c>
      <c r="L88">
        <v>87</v>
      </c>
      <c r="N88" s="30" t="s">
        <v>43</v>
      </c>
      <c r="O88" t="s">
        <v>44</v>
      </c>
      <c r="P88">
        <v>23</v>
      </c>
      <c r="Q88" t="s">
        <v>46</v>
      </c>
      <c r="R88">
        <v>21</v>
      </c>
      <c r="W88" s="18" t="s">
        <v>130</v>
      </c>
      <c r="X88" t="s">
        <v>145</v>
      </c>
      <c r="Y88" s="3">
        <v>4.5419263999999986</v>
      </c>
      <c r="Z88" s="3">
        <v>2.5806399999999998</v>
      </c>
      <c r="AA88" s="3">
        <f t="shared" si="3"/>
        <v>45.419263999999984</v>
      </c>
      <c r="AB88" s="20" t="s">
        <v>307</v>
      </c>
    </row>
    <row r="89" spans="1:28" ht="23.25" customHeight="1" x14ac:dyDescent="0.25">
      <c r="A89" s="12" t="s">
        <v>382</v>
      </c>
      <c r="B89" s="12" t="s">
        <v>336</v>
      </c>
      <c r="C89" s="12" t="s">
        <v>373</v>
      </c>
      <c r="D89" s="13">
        <v>0.76875000000000004</v>
      </c>
      <c r="E89" s="13">
        <v>0.77222222222222225</v>
      </c>
      <c r="F89" t="s">
        <v>364</v>
      </c>
      <c r="G89" s="12" t="s">
        <v>384</v>
      </c>
      <c r="H89" s="14">
        <v>2.2200000000000002</v>
      </c>
      <c r="I89" s="15">
        <v>19</v>
      </c>
      <c r="J89" s="15">
        <v>10</v>
      </c>
      <c r="K89" s="14">
        <f t="shared" si="2"/>
        <v>22.200000000000003</v>
      </c>
      <c r="L89">
        <v>88</v>
      </c>
      <c r="N89" s="30" t="s">
        <v>43</v>
      </c>
      <c r="O89" t="s">
        <v>44</v>
      </c>
      <c r="P89">
        <v>23</v>
      </c>
      <c r="Q89" t="s">
        <v>46</v>
      </c>
      <c r="R89">
        <v>21</v>
      </c>
      <c r="W89" s="18" t="s">
        <v>130</v>
      </c>
      <c r="X89" t="s">
        <v>145</v>
      </c>
      <c r="Y89" s="3">
        <v>5.7290207999999998</v>
      </c>
      <c r="Z89" s="3">
        <v>2.5806399999999998</v>
      </c>
      <c r="AA89" s="3">
        <f t="shared" si="3"/>
        <v>57.290208</v>
      </c>
      <c r="AB89" s="20" t="s">
        <v>307</v>
      </c>
    </row>
    <row r="90" spans="1:28" ht="38.25" customHeight="1" x14ac:dyDescent="0.25">
      <c r="A90" s="12" t="s">
        <v>387</v>
      </c>
      <c r="B90" s="12" t="s">
        <v>303</v>
      </c>
      <c r="C90" s="12" t="s">
        <v>378</v>
      </c>
      <c r="D90" s="13">
        <v>0.27430555555555558</v>
      </c>
      <c r="E90" s="13">
        <v>0.28958333333333341</v>
      </c>
      <c r="F90" t="s">
        <v>310</v>
      </c>
      <c r="G90" s="12" t="s">
        <v>388</v>
      </c>
      <c r="H90" s="14">
        <v>9.76</v>
      </c>
      <c r="I90" s="15">
        <v>21</v>
      </c>
      <c r="J90" s="15">
        <v>1</v>
      </c>
      <c r="K90" s="14">
        <f t="shared" si="2"/>
        <v>9.76</v>
      </c>
      <c r="L90">
        <v>89</v>
      </c>
      <c r="N90" s="30" t="s">
        <v>66</v>
      </c>
      <c r="O90" t="s">
        <v>69</v>
      </c>
      <c r="P90">
        <v>21</v>
      </c>
      <c r="Q90" t="s">
        <v>71</v>
      </c>
      <c r="R90">
        <v>21</v>
      </c>
      <c r="S90" t="s">
        <v>67</v>
      </c>
      <c r="W90" s="18" t="s">
        <v>130</v>
      </c>
      <c r="X90" s="2" t="s">
        <v>149</v>
      </c>
      <c r="Y90" s="3">
        <v>25.1870464</v>
      </c>
      <c r="Z90" s="3">
        <v>2.5806399999999998</v>
      </c>
      <c r="AA90" s="3">
        <f t="shared" si="3"/>
        <v>25.1870464</v>
      </c>
      <c r="AB90" s="20" t="s">
        <v>307</v>
      </c>
    </row>
    <row r="91" spans="1:28" ht="15" customHeight="1" x14ac:dyDescent="0.25">
      <c r="A91" s="12" t="s">
        <v>387</v>
      </c>
      <c r="B91" s="12" t="s">
        <v>308</v>
      </c>
      <c r="C91" s="12" t="s">
        <v>312</v>
      </c>
      <c r="D91" s="13">
        <v>0.31805555555555548</v>
      </c>
      <c r="E91" s="13">
        <v>0.33055555555555549</v>
      </c>
      <c r="F91" t="s">
        <v>313</v>
      </c>
      <c r="G91" s="12" t="s">
        <v>388</v>
      </c>
      <c r="H91" s="14">
        <v>7.67</v>
      </c>
      <c r="I91" s="15">
        <v>19</v>
      </c>
      <c r="J91" s="15">
        <v>1</v>
      </c>
      <c r="K91" s="14">
        <f t="shared" si="2"/>
        <v>7.67</v>
      </c>
      <c r="L91">
        <v>90</v>
      </c>
      <c r="N91" s="30" t="s">
        <v>43</v>
      </c>
      <c r="O91" t="s">
        <v>44</v>
      </c>
      <c r="P91">
        <v>23</v>
      </c>
      <c r="Q91" t="s">
        <v>46</v>
      </c>
      <c r="R91">
        <v>21</v>
      </c>
      <c r="W91" s="18" t="s">
        <v>130</v>
      </c>
      <c r="X91" s="2" t="s">
        <v>149</v>
      </c>
      <c r="Y91" s="3">
        <v>19.793508800000001</v>
      </c>
      <c r="Z91" s="3">
        <v>2.5806399999999998</v>
      </c>
      <c r="AA91" s="3">
        <f t="shared" si="3"/>
        <v>19.793508800000001</v>
      </c>
      <c r="AB91" s="20" t="s">
        <v>307</v>
      </c>
    </row>
    <row r="92" spans="1:28" ht="15" customHeight="1" x14ac:dyDescent="0.25">
      <c r="A92" s="12" t="s">
        <v>387</v>
      </c>
      <c r="B92" s="12" t="s">
        <v>311</v>
      </c>
      <c r="C92" s="12" t="s">
        <v>315</v>
      </c>
      <c r="D92" s="13">
        <v>0.33541666666666659</v>
      </c>
      <c r="E92" s="13">
        <v>0.35069444444444442</v>
      </c>
      <c r="F92" t="s">
        <v>310</v>
      </c>
      <c r="G92" s="12" t="s">
        <v>388</v>
      </c>
      <c r="H92" s="14">
        <v>9.01</v>
      </c>
      <c r="I92" s="15">
        <v>19</v>
      </c>
      <c r="J92" s="15">
        <v>1</v>
      </c>
      <c r="K92" s="14">
        <f t="shared" si="2"/>
        <v>9.01</v>
      </c>
      <c r="L92">
        <v>91</v>
      </c>
      <c r="N92" s="30" t="s">
        <v>43</v>
      </c>
      <c r="O92" t="s">
        <v>44</v>
      </c>
      <c r="P92">
        <v>23</v>
      </c>
      <c r="Q92" t="s">
        <v>46</v>
      </c>
      <c r="R92">
        <v>21</v>
      </c>
      <c r="W92" s="18" t="s">
        <v>130</v>
      </c>
      <c r="X92" s="2" t="s">
        <v>149</v>
      </c>
      <c r="Y92" s="3">
        <v>23.251566400000002</v>
      </c>
      <c r="Z92" s="3">
        <v>2.5806399999999998</v>
      </c>
      <c r="AA92" s="3">
        <f t="shared" si="3"/>
        <v>23.251566400000002</v>
      </c>
      <c r="AB92" s="20" t="s">
        <v>307</v>
      </c>
    </row>
    <row r="93" spans="1:28" ht="15" customHeight="1" x14ac:dyDescent="0.25">
      <c r="A93" s="12" t="s">
        <v>387</v>
      </c>
      <c r="B93" s="12" t="s">
        <v>314</v>
      </c>
      <c r="C93" s="12" t="s">
        <v>317</v>
      </c>
      <c r="D93" s="13">
        <v>0.35972222222222222</v>
      </c>
      <c r="E93" s="13">
        <v>0.37222222222222218</v>
      </c>
      <c r="F93" t="s">
        <v>313</v>
      </c>
      <c r="G93" s="12" t="s">
        <v>388</v>
      </c>
      <c r="H93" s="14">
        <v>7.67</v>
      </c>
      <c r="I93" s="15">
        <v>19</v>
      </c>
      <c r="J93" s="15">
        <v>1</v>
      </c>
      <c r="K93" s="14">
        <f t="shared" si="2"/>
        <v>7.67</v>
      </c>
      <c r="L93">
        <v>92</v>
      </c>
      <c r="N93" s="30" t="s">
        <v>43</v>
      </c>
      <c r="O93" t="s">
        <v>44</v>
      </c>
      <c r="P93">
        <v>23</v>
      </c>
      <c r="Q93" t="s">
        <v>46</v>
      </c>
      <c r="R93">
        <v>21</v>
      </c>
      <c r="W93" s="18" t="s">
        <v>130</v>
      </c>
      <c r="X93" s="2" t="s">
        <v>149</v>
      </c>
      <c r="Y93" s="3">
        <v>19.793508800000001</v>
      </c>
      <c r="Z93" s="3">
        <v>2.5806399999999998</v>
      </c>
      <c r="AA93" s="3">
        <f t="shared" si="3"/>
        <v>19.793508800000001</v>
      </c>
      <c r="AB93" s="20" t="s">
        <v>307</v>
      </c>
    </row>
    <row r="94" spans="1:28" ht="15" customHeight="1" x14ac:dyDescent="0.25">
      <c r="A94" s="12" t="s">
        <v>387</v>
      </c>
      <c r="B94" s="12" t="s">
        <v>316</v>
      </c>
      <c r="C94" s="12" t="s">
        <v>319</v>
      </c>
      <c r="D94" s="13">
        <v>0.37708333333333333</v>
      </c>
      <c r="E94" s="13">
        <v>0.3923611111111111</v>
      </c>
      <c r="F94" t="s">
        <v>310</v>
      </c>
      <c r="G94" s="12" t="s">
        <v>388</v>
      </c>
      <c r="H94" s="14">
        <v>9.01</v>
      </c>
      <c r="I94" s="15">
        <v>19</v>
      </c>
      <c r="J94" s="15">
        <v>1</v>
      </c>
      <c r="K94" s="14">
        <f t="shared" si="2"/>
        <v>9.01</v>
      </c>
      <c r="L94">
        <v>93</v>
      </c>
      <c r="N94" s="30" t="s">
        <v>43</v>
      </c>
      <c r="O94" t="s">
        <v>44</v>
      </c>
      <c r="P94">
        <v>23</v>
      </c>
      <c r="Q94" t="s">
        <v>46</v>
      </c>
      <c r="R94">
        <v>21</v>
      </c>
      <c r="W94" s="18" t="s">
        <v>130</v>
      </c>
      <c r="X94" s="2" t="s">
        <v>149</v>
      </c>
      <c r="Y94" s="3">
        <v>23.251566400000002</v>
      </c>
      <c r="Z94" s="3">
        <v>2.5806399999999998</v>
      </c>
      <c r="AA94" s="3">
        <f t="shared" si="3"/>
        <v>23.251566400000002</v>
      </c>
      <c r="AB94" s="20" t="s">
        <v>307</v>
      </c>
    </row>
    <row r="95" spans="1:28" ht="15" customHeight="1" x14ac:dyDescent="0.25">
      <c r="A95" s="12" t="s">
        <v>387</v>
      </c>
      <c r="B95" s="12" t="s">
        <v>318</v>
      </c>
      <c r="C95" s="12" t="s">
        <v>321</v>
      </c>
      <c r="D95" s="13">
        <v>0.46458333333333329</v>
      </c>
      <c r="E95" s="13">
        <v>0.47708333333333341</v>
      </c>
      <c r="F95" t="s">
        <v>313</v>
      </c>
      <c r="G95" s="12" t="s">
        <v>388</v>
      </c>
      <c r="H95" s="14">
        <v>7.67</v>
      </c>
      <c r="I95" s="15">
        <v>19</v>
      </c>
      <c r="J95" s="15">
        <v>1</v>
      </c>
      <c r="K95" s="14">
        <f t="shared" si="2"/>
        <v>7.67</v>
      </c>
      <c r="L95">
        <v>94</v>
      </c>
      <c r="N95" s="30" t="s">
        <v>43</v>
      </c>
      <c r="O95" t="s">
        <v>44</v>
      </c>
      <c r="P95">
        <v>23</v>
      </c>
      <c r="Q95" t="s">
        <v>46</v>
      </c>
      <c r="R95">
        <v>21</v>
      </c>
      <c r="W95" s="18" t="s">
        <v>130</v>
      </c>
      <c r="X95" s="2" t="s">
        <v>149</v>
      </c>
      <c r="Y95" s="3">
        <v>19.793508800000001</v>
      </c>
      <c r="Z95" s="3">
        <v>2.5806399999999998</v>
      </c>
      <c r="AA95" s="3">
        <f t="shared" si="3"/>
        <v>19.793508800000001</v>
      </c>
      <c r="AB95" s="20" t="s">
        <v>307</v>
      </c>
    </row>
    <row r="96" spans="1:28" ht="15" customHeight="1" x14ac:dyDescent="0.25">
      <c r="A96" s="12" t="s">
        <v>387</v>
      </c>
      <c r="B96" s="12" t="s">
        <v>320</v>
      </c>
      <c r="C96" s="12" t="s">
        <v>323</v>
      </c>
      <c r="D96" s="13">
        <v>0.47708333333333341</v>
      </c>
      <c r="E96" s="13">
        <v>0.49236111111111108</v>
      </c>
      <c r="F96" t="s">
        <v>310</v>
      </c>
      <c r="G96" s="12" t="s">
        <v>388</v>
      </c>
      <c r="H96" s="14">
        <v>9.01</v>
      </c>
      <c r="I96" s="15">
        <v>19</v>
      </c>
      <c r="J96" s="15">
        <v>1</v>
      </c>
      <c r="K96" s="14">
        <f t="shared" si="2"/>
        <v>9.01</v>
      </c>
      <c r="L96">
        <v>95</v>
      </c>
      <c r="N96" s="30" t="s">
        <v>43</v>
      </c>
      <c r="O96" t="s">
        <v>44</v>
      </c>
      <c r="P96">
        <v>23</v>
      </c>
      <c r="Q96" t="s">
        <v>46</v>
      </c>
      <c r="R96">
        <v>21</v>
      </c>
      <c r="W96" s="18" t="s">
        <v>130</v>
      </c>
      <c r="X96" s="2" t="s">
        <v>149</v>
      </c>
      <c r="Y96" s="3">
        <v>23.251566400000002</v>
      </c>
      <c r="Z96" s="3">
        <v>2.5806399999999998</v>
      </c>
      <c r="AA96" s="3">
        <f t="shared" si="3"/>
        <v>23.251566400000002</v>
      </c>
      <c r="AB96" s="20" t="s">
        <v>307</v>
      </c>
    </row>
    <row r="97" spans="1:28" ht="15" customHeight="1" x14ac:dyDescent="0.25">
      <c r="A97" s="12" t="s">
        <v>387</v>
      </c>
      <c r="B97" s="12" t="s">
        <v>322</v>
      </c>
      <c r="C97" s="12" t="s">
        <v>325</v>
      </c>
      <c r="D97" s="13">
        <v>0.54791666666666672</v>
      </c>
      <c r="E97" s="13">
        <v>0.56041666666666667</v>
      </c>
      <c r="F97" t="s">
        <v>313</v>
      </c>
      <c r="G97" s="12" t="s">
        <v>388</v>
      </c>
      <c r="H97" s="14">
        <v>7.67</v>
      </c>
      <c r="I97" s="15">
        <v>19</v>
      </c>
      <c r="J97" s="15">
        <v>1</v>
      </c>
      <c r="K97" s="14">
        <f t="shared" si="2"/>
        <v>7.67</v>
      </c>
      <c r="L97">
        <v>96</v>
      </c>
      <c r="N97" s="30" t="s">
        <v>43</v>
      </c>
      <c r="O97" t="s">
        <v>44</v>
      </c>
      <c r="P97">
        <v>23</v>
      </c>
      <c r="Q97" t="s">
        <v>46</v>
      </c>
      <c r="R97">
        <v>21</v>
      </c>
      <c r="W97" s="18" t="s">
        <v>130</v>
      </c>
      <c r="X97" s="2" t="s">
        <v>149</v>
      </c>
      <c r="Y97" s="3">
        <v>19.793508800000001</v>
      </c>
      <c r="Z97" s="3">
        <v>2.5806399999999998</v>
      </c>
      <c r="AA97" s="3">
        <f t="shared" si="3"/>
        <v>19.793508800000001</v>
      </c>
      <c r="AB97" s="20" t="s">
        <v>307</v>
      </c>
    </row>
    <row r="98" spans="1:28" ht="15" customHeight="1" x14ac:dyDescent="0.25">
      <c r="A98" s="12" t="s">
        <v>387</v>
      </c>
      <c r="B98" s="12" t="s">
        <v>324</v>
      </c>
      <c r="C98" s="12" t="s">
        <v>327</v>
      </c>
      <c r="D98" s="13">
        <v>0.56041666666666667</v>
      </c>
      <c r="E98" s="13">
        <v>0.5756944444444444</v>
      </c>
      <c r="F98" t="s">
        <v>310</v>
      </c>
      <c r="G98" s="12" t="s">
        <v>388</v>
      </c>
      <c r="H98" s="14">
        <v>9.01</v>
      </c>
      <c r="I98" s="15">
        <v>19</v>
      </c>
      <c r="J98" s="15">
        <v>1</v>
      </c>
      <c r="K98" s="14">
        <f t="shared" si="2"/>
        <v>9.01</v>
      </c>
      <c r="L98">
        <v>97</v>
      </c>
      <c r="N98" s="30" t="s">
        <v>43</v>
      </c>
      <c r="O98" t="s">
        <v>44</v>
      </c>
      <c r="P98">
        <v>23</v>
      </c>
      <c r="Q98" t="s">
        <v>46</v>
      </c>
      <c r="R98">
        <v>21</v>
      </c>
      <c r="W98" s="18" t="s">
        <v>130</v>
      </c>
      <c r="X98" s="2" t="s">
        <v>149</v>
      </c>
      <c r="Y98" s="3">
        <v>23.251566400000002</v>
      </c>
      <c r="Z98" s="3">
        <v>2.5806399999999998</v>
      </c>
      <c r="AA98" s="3">
        <f t="shared" si="3"/>
        <v>23.251566400000002</v>
      </c>
      <c r="AB98" s="20" t="s">
        <v>307</v>
      </c>
    </row>
    <row r="99" spans="1:28" ht="15" customHeight="1" x14ac:dyDescent="0.25">
      <c r="A99" s="12" t="s">
        <v>387</v>
      </c>
      <c r="B99" s="12" t="s">
        <v>326</v>
      </c>
      <c r="C99" s="12" t="s">
        <v>375</v>
      </c>
      <c r="D99" s="13">
        <v>0.58958333333333335</v>
      </c>
      <c r="E99" s="13">
        <v>0.6020833333333333</v>
      </c>
      <c r="F99" t="s">
        <v>313</v>
      </c>
      <c r="G99" s="12" t="s">
        <v>388</v>
      </c>
      <c r="H99" s="14">
        <v>7.67</v>
      </c>
      <c r="I99" s="15">
        <v>19</v>
      </c>
      <c r="J99" s="15">
        <v>1</v>
      </c>
      <c r="K99" s="14">
        <f t="shared" si="2"/>
        <v>7.67</v>
      </c>
      <c r="L99">
        <v>98</v>
      </c>
      <c r="N99" s="30" t="s">
        <v>43</v>
      </c>
      <c r="O99" t="s">
        <v>44</v>
      </c>
      <c r="P99">
        <v>23</v>
      </c>
      <c r="Q99" t="s">
        <v>46</v>
      </c>
      <c r="R99">
        <v>21</v>
      </c>
      <c r="W99" s="18" t="s">
        <v>130</v>
      </c>
      <c r="X99" s="2" t="s">
        <v>149</v>
      </c>
      <c r="Y99" s="3">
        <v>19.793508800000001</v>
      </c>
      <c r="Z99" s="3">
        <v>2.5806399999999998</v>
      </c>
      <c r="AA99" s="3">
        <f t="shared" si="3"/>
        <v>19.793508800000001</v>
      </c>
      <c r="AB99" s="20" t="s">
        <v>307</v>
      </c>
    </row>
    <row r="100" spans="1:28" ht="15" customHeight="1" x14ac:dyDescent="0.25">
      <c r="A100" s="12" t="s">
        <v>387</v>
      </c>
      <c r="B100" s="12" t="s">
        <v>328</v>
      </c>
      <c r="C100" s="12" t="s">
        <v>376</v>
      </c>
      <c r="D100" s="13">
        <v>0.6020833333333333</v>
      </c>
      <c r="E100" s="13">
        <v>0.61736111111111114</v>
      </c>
      <c r="F100" t="s">
        <v>310</v>
      </c>
      <c r="G100" s="12" t="s">
        <v>388</v>
      </c>
      <c r="H100" s="14">
        <v>9.01</v>
      </c>
      <c r="I100" s="15">
        <v>19</v>
      </c>
      <c r="J100" s="15">
        <v>1</v>
      </c>
      <c r="K100" s="14">
        <f t="shared" si="2"/>
        <v>9.01</v>
      </c>
      <c r="L100">
        <v>99</v>
      </c>
      <c r="N100" s="30" t="s">
        <v>43</v>
      </c>
      <c r="O100" t="s">
        <v>44</v>
      </c>
      <c r="P100">
        <v>23</v>
      </c>
      <c r="Q100" t="s">
        <v>46</v>
      </c>
      <c r="R100">
        <v>21</v>
      </c>
      <c r="W100" s="18" t="s">
        <v>130</v>
      </c>
      <c r="X100" s="2" t="s">
        <v>149</v>
      </c>
      <c r="Y100" s="3">
        <v>23.251566400000002</v>
      </c>
      <c r="Z100" s="3">
        <v>2.5806399999999998</v>
      </c>
      <c r="AA100" s="3">
        <f t="shared" si="3"/>
        <v>23.251566400000002</v>
      </c>
      <c r="AB100" s="20" t="s">
        <v>307</v>
      </c>
    </row>
    <row r="101" spans="1:28" ht="15" customHeight="1" x14ac:dyDescent="0.25">
      <c r="A101" s="12" t="s">
        <v>387</v>
      </c>
      <c r="B101" s="12" t="s">
        <v>330</v>
      </c>
      <c r="C101" s="12" t="s">
        <v>337</v>
      </c>
      <c r="D101" s="13">
        <v>0.65902777777777777</v>
      </c>
      <c r="E101" s="13">
        <v>0.66666666666666663</v>
      </c>
      <c r="F101" t="s">
        <v>338</v>
      </c>
      <c r="G101" s="12" t="s">
        <v>388</v>
      </c>
      <c r="H101" s="14">
        <v>3.76</v>
      </c>
      <c r="I101" s="15">
        <v>19</v>
      </c>
      <c r="J101" s="15">
        <v>1</v>
      </c>
      <c r="K101" s="14">
        <f t="shared" si="2"/>
        <v>3.76</v>
      </c>
      <c r="L101">
        <v>100</v>
      </c>
      <c r="N101" s="30" t="s">
        <v>43</v>
      </c>
      <c r="O101" t="s">
        <v>44</v>
      </c>
      <c r="P101">
        <v>23</v>
      </c>
      <c r="Q101" t="s">
        <v>46</v>
      </c>
      <c r="R101">
        <v>21</v>
      </c>
      <c r="W101" s="18" t="s">
        <v>130</v>
      </c>
      <c r="X101" s="2" t="s">
        <v>149</v>
      </c>
      <c r="Y101" s="3">
        <v>9.7032063999999991</v>
      </c>
      <c r="Z101" s="3">
        <v>2.5806399999999998</v>
      </c>
      <c r="AA101" s="3">
        <f t="shared" si="3"/>
        <v>9.7032063999999991</v>
      </c>
      <c r="AB101" s="20" t="s">
        <v>307</v>
      </c>
    </row>
    <row r="102" spans="1:28" ht="15" customHeight="1" x14ac:dyDescent="0.25">
      <c r="A102" s="12" t="s">
        <v>387</v>
      </c>
      <c r="B102" s="12" t="s">
        <v>332</v>
      </c>
      <c r="C102" s="12" t="s">
        <v>340</v>
      </c>
      <c r="D102" s="13">
        <v>0.66666666666666663</v>
      </c>
      <c r="E102" s="13">
        <v>0.67222222222222228</v>
      </c>
      <c r="F102" t="s">
        <v>341</v>
      </c>
      <c r="G102" s="12" t="s">
        <v>388</v>
      </c>
      <c r="H102" s="14">
        <v>2.76</v>
      </c>
      <c r="I102" s="15">
        <v>19</v>
      </c>
      <c r="J102" s="15">
        <v>1</v>
      </c>
      <c r="K102" s="14">
        <f t="shared" si="2"/>
        <v>2.76</v>
      </c>
      <c r="L102">
        <v>101</v>
      </c>
      <c r="N102" s="30" t="s">
        <v>43</v>
      </c>
      <c r="O102" t="s">
        <v>44</v>
      </c>
      <c r="P102">
        <v>23</v>
      </c>
      <c r="Q102" t="s">
        <v>46</v>
      </c>
      <c r="R102">
        <v>21</v>
      </c>
      <c r="W102" s="18" t="s">
        <v>130</v>
      </c>
      <c r="X102" s="2" t="s">
        <v>149</v>
      </c>
      <c r="Y102" s="3">
        <v>7.1225663999999993</v>
      </c>
      <c r="Z102" s="3">
        <v>2.5806399999999998</v>
      </c>
      <c r="AA102" s="3">
        <f t="shared" si="3"/>
        <v>7.1225663999999993</v>
      </c>
      <c r="AB102" s="20" t="s">
        <v>307</v>
      </c>
    </row>
    <row r="103" spans="1:28" ht="15" customHeight="1" x14ac:dyDescent="0.25">
      <c r="A103" s="12" t="s">
        <v>387</v>
      </c>
      <c r="B103" s="12" t="s">
        <v>334</v>
      </c>
      <c r="C103" s="12" t="s">
        <v>346</v>
      </c>
      <c r="D103" s="13">
        <v>0.71458333333333335</v>
      </c>
      <c r="E103" s="13">
        <v>0.7270833333333333</v>
      </c>
      <c r="F103" t="s">
        <v>313</v>
      </c>
      <c r="G103" s="12" t="s">
        <v>388</v>
      </c>
      <c r="H103" s="14">
        <v>7.67</v>
      </c>
      <c r="I103" s="15">
        <v>19</v>
      </c>
      <c r="J103" s="15">
        <v>1</v>
      </c>
      <c r="K103" s="14">
        <f t="shared" si="2"/>
        <v>7.67</v>
      </c>
      <c r="L103">
        <v>102</v>
      </c>
      <c r="N103" s="30" t="s">
        <v>43</v>
      </c>
      <c r="O103" t="s">
        <v>44</v>
      </c>
      <c r="P103">
        <v>23</v>
      </c>
      <c r="Q103" t="s">
        <v>46</v>
      </c>
      <c r="R103">
        <v>21</v>
      </c>
      <c r="W103" s="18" t="s">
        <v>130</v>
      </c>
      <c r="X103" s="2" t="s">
        <v>149</v>
      </c>
      <c r="Y103" s="3">
        <v>19.793508800000001</v>
      </c>
      <c r="Z103" s="3">
        <v>2.5806399999999998</v>
      </c>
      <c r="AA103" s="3">
        <f t="shared" si="3"/>
        <v>19.793508800000001</v>
      </c>
      <c r="AB103" s="20" t="s">
        <v>307</v>
      </c>
    </row>
    <row r="104" spans="1:28" ht="15" customHeight="1" x14ac:dyDescent="0.25">
      <c r="A104" s="12" t="s">
        <v>387</v>
      </c>
      <c r="B104" s="12" t="s">
        <v>336</v>
      </c>
      <c r="C104" s="12" t="s">
        <v>348</v>
      </c>
      <c r="D104" s="13">
        <v>0.7270833333333333</v>
      </c>
      <c r="E104" s="13">
        <v>0.74236111111111114</v>
      </c>
      <c r="F104" t="s">
        <v>310</v>
      </c>
      <c r="G104" s="12" t="s">
        <v>388</v>
      </c>
      <c r="H104" s="14">
        <v>9.01</v>
      </c>
      <c r="I104" s="15">
        <v>19</v>
      </c>
      <c r="J104" s="15">
        <v>1</v>
      </c>
      <c r="K104" s="14">
        <f t="shared" si="2"/>
        <v>9.01</v>
      </c>
      <c r="L104">
        <v>103</v>
      </c>
      <c r="N104" s="30" t="s">
        <v>43</v>
      </c>
      <c r="O104" t="s">
        <v>44</v>
      </c>
      <c r="P104">
        <v>23</v>
      </c>
      <c r="Q104" t="s">
        <v>46</v>
      </c>
      <c r="R104">
        <v>21</v>
      </c>
      <c r="W104" s="18" t="s">
        <v>130</v>
      </c>
      <c r="X104" s="2" t="s">
        <v>149</v>
      </c>
      <c r="Y104" s="3">
        <v>23.251566400000002</v>
      </c>
      <c r="Z104" s="3">
        <v>2.5806399999999998</v>
      </c>
      <c r="AA104" s="3">
        <f t="shared" si="3"/>
        <v>23.251566400000002</v>
      </c>
      <c r="AB104" s="20" t="s">
        <v>307</v>
      </c>
    </row>
    <row r="105" spans="1:28" ht="15" customHeight="1" x14ac:dyDescent="0.25">
      <c r="A105" s="12" t="s">
        <v>387</v>
      </c>
      <c r="B105" s="12" t="s">
        <v>339</v>
      </c>
      <c r="C105" s="12" t="s">
        <v>350</v>
      </c>
      <c r="D105" s="13">
        <v>0.77708333333333335</v>
      </c>
      <c r="E105" s="13">
        <v>0.78472222222222221</v>
      </c>
      <c r="F105" t="s">
        <v>338</v>
      </c>
      <c r="G105" s="12" t="s">
        <v>388</v>
      </c>
      <c r="H105" s="14">
        <v>3.76</v>
      </c>
      <c r="I105" s="15">
        <v>19</v>
      </c>
      <c r="J105" s="15">
        <v>1</v>
      </c>
      <c r="K105" s="14">
        <f t="shared" si="2"/>
        <v>3.76</v>
      </c>
      <c r="L105">
        <v>104</v>
      </c>
      <c r="N105" s="30" t="s">
        <v>43</v>
      </c>
      <c r="O105" t="s">
        <v>44</v>
      </c>
      <c r="P105">
        <v>23</v>
      </c>
      <c r="Q105" t="s">
        <v>46</v>
      </c>
      <c r="R105">
        <v>21</v>
      </c>
      <c r="W105" s="18" t="s">
        <v>130</v>
      </c>
      <c r="X105" s="2" t="s">
        <v>149</v>
      </c>
      <c r="Y105" s="3">
        <v>9.7032063999999991</v>
      </c>
      <c r="Z105" s="3">
        <v>2.5806399999999998</v>
      </c>
      <c r="AA105" s="3">
        <f t="shared" si="3"/>
        <v>9.7032063999999991</v>
      </c>
      <c r="AB105" s="20" t="s">
        <v>307</v>
      </c>
    </row>
    <row r="106" spans="1:28" ht="15" customHeight="1" x14ac:dyDescent="0.25">
      <c r="A106" s="12" t="s">
        <v>387</v>
      </c>
      <c r="B106" s="12" t="s">
        <v>280</v>
      </c>
      <c r="C106" s="12" t="s">
        <v>352</v>
      </c>
      <c r="D106" s="13">
        <v>0.78472222222222221</v>
      </c>
      <c r="E106" s="13">
        <v>0.79027777777777775</v>
      </c>
      <c r="F106" t="s">
        <v>341</v>
      </c>
      <c r="G106" s="12" t="s">
        <v>388</v>
      </c>
      <c r="H106" s="14">
        <v>2.76</v>
      </c>
      <c r="I106" s="15">
        <v>19</v>
      </c>
      <c r="J106" s="15">
        <v>1</v>
      </c>
      <c r="K106" s="14">
        <f t="shared" si="2"/>
        <v>2.76</v>
      </c>
      <c r="L106">
        <v>105</v>
      </c>
      <c r="N106" s="30" t="s">
        <v>43</v>
      </c>
      <c r="O106" t="s">
        <v>44</v>
      </c>
      <c r="P106">
        <v>23</v>
      </c>
      <c r="Q106" t="s">
        <v>46</v>
      </c>
      <c r="R106">
        <v>21</v>
      </c>
      <c r="W106" s="18" t="s">
        <v>130</v>
      </c>
      <c r="X106" s="2" t="s">
        <v>149</v>
      </c>
      <c r="Y106" s="3">
        <v>7.1225663999999993</v>
      </c>
      <c r="Z106" s="3">
        <v>2.5806399999999998</v>
      </c>
      <c r="AA106" s="3">
        <f t="shared" si="3"/>
        <v>7.1225663999999993</v>
      </c>
      <c r="AB106" s="20" t="s">
        <v>307</v>
      </c>
    </row>
    <row r="107" spans="1:28" ht="15" customHeight="1" x14ac:dyDescent="0.25">
      <c r="A107" s="12" t="s">
        <v>389</v>
      </c>
      <c r="B107" s="12" t="s">
        <v>303</v>
      </c>
      <c r="C107" s="12" t="s">
        <v>383</v>
      </c>
      <c r="D107" s="13">
        <v>0.27708333333333329</v>
      </c>
      <c r="E107" s="13">
        <v>0.28958333333333341</v>
      </c>
      <c r="F107" t="s">
        <v>310</v>
      </c>
      <c r="G107" s="12" t="s">
        <v>388</v>
      </c>
      <c r="H107" s="14">
        <v>7.82</v>
      </c>
      <c r="I107" s="15">
        <v>19</v>
      </c>
      <c r="J107" s="15">
        <v>1</v>
      </c>
      <c r="K107" s="14">
        <f t="shared" si="2"/>
        <v>7.82</v>
      </c>
      <c r="L107">
        <v>106</v>
      </c>
      <c r="N107" s="30" t="s">
        <v>43</v>
      </c>
      <c r="O107" t="s">
        <v>44</v>
      </c>
      <c r="P107">
        <v>23</v>
      </c>
      <c r="Q107" t="s">
        <v>46</v>
      </c>
      <c r="R107">
        <v>21</v>
      </c>
      <c r="W107" s="18" t="s">
        <v>130</v>
      </c>
      <c r="X107" s="2" t="s">
        <v>149</v>
      </c>
      <c r="Y107" s="3">
        <v>20.180604800000001</v>
      </c>
      <c r="Z107" s="3">
        <v>2.5806399999999998</v>
      </c>
      <c r="AA107" s="3">
        <f t="shared" si="3"/>
        <v>20.180604800000001</v>
      </c>
      <c r="AB107" s="20" t="s">
        <v>307</v>
      </c>
    </row>
    <row r="108" spans="1:28" ht="15" customHeight="1" x14ac:dyDescent="0.25">
      <c r="A108" s="25"/>
      <c r="B108" s="25"/>
      <c r="C108" s="25"/>
      <c r="D108" s="26"/>
      <c r="E108" s="26"/>
      <c r="G108" s="25"/>
      <c r="H108" s="27"/>
      <c r="I108" s="28"/>
      <c r="J108" s="28"/>
      <c r="K108" s="45">
        <f>SUM(K2:K107)</f>
        <v>14290.670000000027</v>
      </c>
      <c r="Y108" s="29"/>
      <c r="Z108" s="3"/>
      <c r="AA108" s="29">
        <f>SUM(AA2:AA107)</f>
        <v>36879.074628799972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12"/>
  <sheetViews>
    <sheetView topLeftCell="A8" zoomScaleNormal="100" workbookViewId="0">
      <selection activeCell="AA12" sqref="AA12"/>
    </sheetView>
  </sheetViews>
  <sheetFormatPr defaultColWidth="8.7109375" defaultRowHeight="15" x14ac:dyDescent="0.25"/>
  <cols>
    <col min="1" max="1" width="10.5703125" customWidth="1"/>
    <col min="2" max="2" width="13.140625" customWidth="1"/>
    <col min="3" max="3" width="9" customWidth="1"/>
    <col min="4" max="4" width="6.5703125" customWidth="1"/>
    <col min="5" max="5" width="6" customWidth="1"/>
    <col min="6" max="6" width="29.85546875" customWidth="1"/>
    <col min="7" max="7" width="19.5703125" customWidth="1"/>
    <col min="8" max="8" width="9" customWidth="1"/>
    <col min="9" max="9" width="10" customWidth="1"/>
    <col min="10" max="10" width="8" customWidth="1"/>
    <col min="11" max="11" width="12.42578125" customWidth="1"/>
    <col min="12" max="12" width="6.28515625" customWidth="1"/>
    <col min="13" max="13" width="4.5703125" customWidth="1"/>
    <col min="14" max="14" width="17.28515625" customWidth="1"/>
    <col min="16" max="16" width="6.42578125" customWidth="1"/>
    <col min="17" max="17" width="10.85546875" customWidth="1"/>
    <col min="18" max="18" width="5.140625" customWidth="1"/>
    <col min="19" max="19" width="6.7109375" customWidth="1"/>
    <col min="20" max="20" width="6.28515625" customWidth="1"/>
    <col min="21" max="22" width="11.5703125" hidden="1" customWidth="1"/>
    <col min="24" max="24" width="15.140625" customWidth="1"/>
    <col min="25" max="25" width="10.42578125" style="3" customWidth="1"/>
    <col min="26" max="26" width="7.5703125" customWidth="1"/>
    <col min="27" max="27" width="14.140625" customWidth="1"/>
    <col min="28" max="28" width="30" customWidth="1"/>
  </cols>
  <sheetData>
    <row r="1" spans="1:28" ht="75" customHeight="1" x14ac:dyDescent="0.25">
      <c r="A1" s="4" t="s">
        <v>86</v>
      </c>
      <c r="B1" s="4" t="s">
        <v>87</v>
      </c>
      <c r="C1" s="4" t="s">
        <v>88</v>
      </c>
      <c r="D1" s="4" t="s">
        <v>89</v>
      </c>
      <c r="E1" s="4" t="s">
        <v>90</v>
      </c>
      <c r="F1" s="4" t="s">
        <v>91</v>
      </c>
      <c r="G1" s="4" t="s">
        <v>92</v>
      </c>
      <c r="H1" s="4" t="s">
        <v>93</v>
      </c>
      <c r="I1" s="4" t="s">
        <v>94</v>
      </c>
      <c r="J1" s="4" t="s">
        <v>95</v>
      </c>
      <c r="K1" s="4" t="s">
        <v>96</v>
      </c>
      <c r="L1" s="5" t="s">
        <v>97</v>
      </c>
      <c r="M1" s="5" t="s">
        <v>98</v>
      </c>
      <c r="N1" s="6" t="s">
        <v>99</v>
      </c>
      <c r="O1" s="10" t="s">
        <v>100</v>
      </c>
      <c r="P1" s="10" t="s">
        <v>101</v>
      </c>
      <c r="Q1" s="10" t="s">
        <v>102</v>
      </c>
      <c r="R1" s="10" t="s">
        <v>103</v>
      </c>
      <c r="S1" s="10" t="s">
        <v>104</v>
      </c>
      <c r="T1" s="10" t="s">
        <v>105</v>
      </c>
      <c r="U1" s="10" t="s">
        <v>106</v>
      </c>
      <c r="V1" s="10" t="s">
        <v>107</v>
      </c>
      <c r="W1" s="10" t="s">
        <v>108</v>
      </c>
      <c r="X1" s="8" t="s">
        <v>109</v>
      </c>
      <c r="Y1" s="9" t="s">
        <v>110</v>
      </c>
      <c r="Z1" s="9" t="s">
        <v>111</v>
      </c>
      <c r="AA1" s="10" t="s">
        <v>112</v>
      </c>
      <c r="AB1" s="11" t="s">
        <v>421</v>
      </c>
    </row>
    <row r="2" spans="1:28" ht="114.75" customHeight="1" x14ac:dyDescent="0.25">
      <c r="A2" s="12" t="s">
        <v>390</v>
      </c>
      <c r="B2" s="12" t="s">
        <v>391</v>
      </c>
      <c r="C2" s="12" t="s">
        <v>392</v>
      </c>
      <c r="D2" s="13">
        <v>0.36458333333333331</v>
      </c>
      <c r="E2" s="13">
        <v>0.41597222222222219</v>
      </c>
      <c r="F2" s="12" t="s">
        <v>393</v>
      </c>
      <c r="G2" s="12" t="s">
        <v>206</v>
      </c>
      <c r="H2" s="14">
        <v>43.7</v>
      </c>
      <c r="I2" s="15">
        <v>19</v>
      </c>
      <c r="J2" s="15">
        <v>65</v>
      </c>
      <c r="K2" s="14">
        <f>J2*H2</f>
        <v>2840.5</v>
      </c>
      <c r="L2">
        <v>1</v>
      </c>
      <c r="N2" s="30" t="s">
        <v>36</v>
      </c>
      <c r="O2" t="s">
        <v>39</v>
      </c>
      <c r="P2">
        <v>24</v>
      </c>
      <c r="Q2" t="s">
        <v>37</v>
      </c>
      <c r="R2">
        <v>23</v>
      </c>
      <c r="W2" s="1" t="s">
        <v>130</v>
      </c>
      <c r="X2" s="2" t="s">
        <v>207</v>
      </c>
      <c r="Y2" s="3">
        <v>97.68</v>
      </c>
      <c r="AA2" s="3">
        <f>Y2*J2</f>
        <v>6349.2000000000007</v>
      </c>
      <c r="AB2" s="20" t="s">
        <v>120</v>
      </c>
    </row>
    <row r="3" spans="1:28" ht="51" customHeight="1" x14ac:dyDescent="0.25">
      <c r="A3" s="12" t="s">
        <v>390</v>
      </c>
      <c r="B3" s="12" t="s">
        <v>391</v>
      </c>
      <c r="C3" s="12" t="s">
        <v>394</v>
      </c>
      <c r="D3" s="13">
        <v>0.41805555555555562</v>
      </c>
      <c r="E3" s="13">
        <v>0.45277777777777778</v>
      </c>
      <c r="F3" s="12" t="s">
        <v>395</v>
      </c>
      <c r="G3" s="12" t="s">
        <v>206</v>
      </c>
      <c r="H3" s="14">
        <v>30.2</v>
      </c>
      <c r="I3" s="15">
        <v>19</v>
      </c>
      <c r="J3" s="15">
        <v>65</v>
      </c>
      <c r="K3" s="14">
        <f t="shared" ref="K3:K11" si="0">J3*H3</f>
        <v>1963</v>
      </c>
      <c r="L3">
        <v>2</v>
      </c>
      <c r="N3" s="30" t="s">
        <v>36</v>
      </c>
      <c r="O3" t="s">
        <v>39</v>
      </c>
      <c r="P3">
        <v>24</v>
      </c>
      <c r="Q3" t="s">
        <v>37</v>
      </c>
      <c r="R3">
        <v>23</v>
      </c>
      <c r="W3" s="1" t="s">
        <v>130</v>
      </c>
      <c r="X3" s="2" t="s">
        <v>207</v>
      </c>
      <c r="Y3" s="3">
        <v>67.510000000000005</v>
      </c>
      <c r="AA3" s="3">
        <f t="shared" ref="AA3:AA11" si="1">Y3*J3</f>
        <v>4388.1500000000005</v>
      </c>
      <c r="AB3" s="20" t="s">
        <v>120</v>
      </c>
    </row>
    <row r="4" spans="1:28" ht="51" customHeight="1" x14ac:dyDescent="0.25">
      <c r="A4" s="12" t="s">
        <v>390</v>
      </c>
      <c r="B4" s="12" t="s">
        <v>391</v>
      </c>
      <c r="C4" s="12" t="s">
        <v>396</v>
      </c>
      <c r="D4" s="13">
        <v>0.45277777777777778</v>
      </c>
      <c r="E4" s="13">
        <v>0.48749999999999999</v>
      </c>
      <c r="F4" s="12" t="s">
        <v>397</v>
      </c>
      <c r="G4" s="12" t="s">
        <v>206</v>
      </c>
      <c r="H4" s="14">
        <v>29.7</v>
      </c>
      <c r="I4" s="15">
        <v>19</v>
      </c>
      <c r="J4" s="15">
        <v>65</v>
      </c>
      <c r="K4" s="14">
        <f t="shared" si="0"/>
        <v>1930.5</v>
      </c>
      <c r="L4">
        <v>3</v>
      </c>
      <c r="N4" s="30" t="s">
        <v>36</v>
      </c>
      <c r="O4" t="s">
        <v>39</v>
      </c>
      <c r="P4">
        <v>24</v>
      </c>
      <c r="Q4" t="s">
        <v>37</v>
      </c>
      <c r="R4">
        <v>23</v>
      </c>
      <c r="W4" s="1" t="s">
        <v>130</v>
      </c>
      <c r="X4" s="2" t="s">
        <v>207</v>
      </c>
      <c r="Y4" s="3">
        <v>66.39</v>
      </c>
      <c r="AA4" s="3">
        <f t="shared" si="1"/>
        <v>4315.3500000000004</v>
      </c>
      <c r="AB4" s="20" t="s">
        <v>120</v>
      </c>
    </row>
    <row r="5" spans="1:28" ht="63.75" customHeight="1" x14ac:dyDescent="0.25">
      <c r="A5" s="12" t="s">
        <v>390</v>
      </c>
      <c r="B5" s="12" t="s">
        <v>391</v>
      </c>
      <c r="C5" s="12" t="s">
        <v>398</v>
      </c>
      <c r="D5" s="13">
        <v>0.49861111111111112</v>
      </c>
      <c r="E5" s="13">
        <v>0.52083333333333337</v>
      </c>
      <c r="F5" s="12" t="s">
        <v>399</v>
      </c>
      <c r="G5" s="12" t="s">
        <v>206</v>
      </c>
      <c r="H5" s="14">
        <v>18.149999999999999</v>
      </c>
      <c r="I5" s="15">
        <v>19</v>
      </c>
      <c r="J5" s="15">
        <v>65</v>
      </c>
      <c r="K5" s="14">
        <f t="shared" si="0"/>
        <v>1179.75</v>
      </c>
      <c r="L5">
        <v>4</v>
      </c>
      <c r="N5" s="30" t="s">
        <v>36</v>
      </c>
      <c r="O5" t="s">
        <v>39</v>
      </c>
      <c r="P5">
        <v>24</v>
      </c>
      <c r="Q5" t="s">
        <v>37</v>
      </c>
      <c r="R5">
        <v>23</v>
      </c>
      <c r="W5" s="1" t="s">
        <v>130</v>
      </c>
      <c r="X5" s="2" t="s">
        <v>207</v>
      </c>
      <c r="Y5" s="3">
        <v>40.57</v>
      </c>
      <c r="AA5" s="3">
        <f t="shared" si="1"/>
        <v>2637.05</v>
      </c>
      <c r="AB5" s="20" t="s">
        <v>120</v>
      </c>
    </row>
    <row r="6" spans="1:28" ht="114.75" customHeight="1" x14ac:dyDescent="0.25">
      <c r="A6" s="12" t="s">
        <v>390</v>
      </c>
      <c r="B6" s="12" t="s">
        <v>391</v>
      </c>
      <c r="C6" s="12" t="s">
        <v>392</v>
      </c>
      <c r="D6" s="13">
        <v>0.57291666666666663</v>
      </c>
      <c r="E6" s="13">
        <v>0.62152777777777779</v>
      </c>
      <c r="F6" s="12" t="s">
        <v>400</v>
      </c>
      <c r="G6" s="12" t="s">
        <v>206</v>
      </c>
      <c r="H6" s="14">
        <v>43.21</v>
      </c>
      <c r="I6" s="15">
        <v>19</v>
      </c>
      <c r="J6" s="15">
        <v>65</v>
      </c>
      <c r="K6" s="14">
        <f t="shared" si="0"/>
        <v>2808.65</v>
      </c>
      <c r="L6">
        <v>5</v>
      </c>
      <c r="N6" s="30" t="s">
        <v>36</v>
      </c>
      <c r="O6" t="s">
        <v>39</v>
      </c>
      <c r="P6">
        <v>24</v>
      </c>
      <c r="Q6" t="s">
        <v>37</v>
      </c>
      <c r="R6">
        <v>23</v>
      </c>
      <c r="W6" s="1" t="s">
        <v>130</v>
      </c>
      <c r="X6" s="2" t="s">
        <v>207</v>
      </c>
      <c r="Y6" s="3">
        <v>96.59</v>
      </c>
      <c r="AA6" s="3">
        <f t="shared" si="1"/>
        <v>6278.35</v>
      </c>
      <c r="AB6" s="20" t="s">
        <v>120</v>
      </c>
    </row>
    <row r="7" spans="1:28" ht="63.75" customHeight="1" x14ac:dyDescent="0.25">
      <c r="A7" s="12" t="s">
        <v>390</v>
      </c>
      <c r="B7" s="12" t="s">
        <v>391</v>
      </c>
      <c r="C7" s="12" t="s">
        <v>392</v>
      </c>
      <c r="D7" s="13">
        <v>0.62152777777777779</v>
      </c>
      <c r="E7" s="13">
        <v>0.63749999999999996</v>
      </c>
      <c r="F7" s="12" t="s">
        <v>401</v>
      </c>
      <c r="G7" s="12" t="s">
        <v>134</v>
      </c>
      <c r="H7" s="14">
        <v>12.9</v>
      </c>
      <c r="I7" s="15">
        <v>19</v>
      </c>
      <c r="J7" s="15">
        <v>55</v>
      </c>
      <c r="K7" s="14">
        <f t="shared" si="0"/>
        <v>709.5</v>
      </c>
      <c r="L7">
        <v>6</v>
      </c>
      <c r="N7" s="30" t="s">
        <v>36</v>
      </c>
      <c r="O7" t="s">
        <v>39</v>
      </c>
      <c r="P7">
        <v>24</v>
      </c>
      <c r="Q7" t="s">
        <v>37</v>
      </c>
      <c r="R7">
        <v>23</v>
      </c>
      <c r="W7" s="1" t="s">
        <v>130</v>
      </c>
      <c r="X7" s="2" t="s">
        <v>135</v>
      </c>
      <c r="Y7" s="3">
        <v>28.84</v>
      </c>
      <c r="AA7" s="3">
        <f t="shared" si="1"/>
        <v>1586.2</v>
      </c>
      <c r="AB7" s="20" t="s">
        <v>120</v>
      </c>
    </row>
    <row r="8" spans="1:28" ht="51" customHeight="1" x14ac:dyDescent="0.25">
      <c r="A8" s="12" t="s">
        <v>390</v>
      </c>
      <c r="B8" s="12" t="s">
        <v>391</v>
      </c>
      <c r="C8" s="12" t="s">
        <v>398</v>
      </c>
      <c r="D8" s="13">
        <v>0.62847222222222221</v>
      </c>
      <c r="E8" s="13">
        <v>0.63680555555555551</v>
      </c>
      <c r="F8" s="12" t="s">
        <v>402</v>
      </c>
      <c r="G8" s="12" t="s">
        <v>144</v>
      </c>
      <c r="H8" s="14">
        <v>8.5</v>
      </c>
      <c r="I8" s="15">
        <v>19</v>
      </c>
      <c r="J8" s="15">
        <v>10</v>
      </c>
      <c r="K8" s="14">
        <f t="shared" si="0"/>
        <v>85</v>
      </c>
      <c r="L8">
        <v>7</v>
      </c>
      <c r="N8" s="30" t="s">
        <v>36</v>
      </c>
      <c r="O8" t="s">
        <v>39</v>
      </c>
      <c r="P8">
        <v>24</v>
      </c>
      <c r="Q8" t="s">
        <v>37</v>
      </c>
      <c r="R8">
        <v>23</v>
      </c>
      <c r="W8" s="1" t="s">
        <v>130</v>
      </c>
      <c r="X8" s="2" t="s">
        <v>145</v>
      </c>
      <c r="Y8" s="3">
        <v>19</v>
      </c>
      <c r="AA8" s="3">
        <f t="shared" si="1"/>
        <v>190</v>
      </c>
      <c r="AB8" s="20" t="s">
        <v>120</v>
      </c>
    </row>
    <row r="9" spans="1:28" ht="63.75" customHeight="1" x14ac:dyDescent="0.25">
      <c r="A9" s="12" t="s">
        <v>390</v>
      </c>
      <c r="B9" s="12" t="s">
        <v>391</v>
      </c>
      <c r="C9" s="12" t="s">
        <v>394</v>
      </c>
      <c r="D9" s="13">
        <v>0.6430555555555556</v>
      </c>
      <c r="E9" s="13">
        <v>0.67777777777777781</v>
      </c>
      <c r="F9" s="12" t="s">
        <v>395</v>
      </c>
      <c r="G9" s="12" t="s">
        <v>134</v>
      </c>
      <c r="H9" s="14">
        <v>30.2</v>
      </c>
      <c r="I9" s="15">
        <v>19</v>
      </c>
      <c r="J9" s="15">
        <v>55</v>
      </c>
      <c r="K9" s="14">
        <f t="shared" si="0"/>
        <v>1661</v>
      </c>
      <c r="L9">
        <v>8</v>
      </c>
      <c r="N9" s="30" t="s">
        <v>36</v>
      </c>
      <c r="O9" t="s">
        <v>39</v>
      </c>
      <c r="P9">
        <v>24</v>
      </c>
      <c r="Q9" t="s">
        <v>37</v>
      </c>
      <c r="R9">
        <v>23</v>
      </c>
      <c r="W9" s="1" t="s">
        <v>130</v>
      </c>
      <c r="X9" s="2" t="s">
        <v>135</v>
      </c>
      <c r="Y9" s="3">
        <v>67.510000000000005</v>
      </c>
      <c r="AA9" s="3">
        <f t="shared" si="1"/>
        <v>3713.05</v>
      </c>
      <c r="AB9" s="20" t="s">
        <v>120</v>
      </c>
    </row>
    <row r="10" spans="1:28" ht="63.75" customHeight="1" x14ac:dyDescent="0.25">
      <c r="A10" s="12" t="s">
        <v>390</v>
      </c>
      <c r="B10" s="12" t="s">
        <v>391</v>
      </c>
      <c r="C10" s="12" t="s">
        <v>396</v>
      </c>
      <c r="D10" s="13">
        <v>0.67847222222222225</v>
      </c>
      <c r="E10" s="13">
        <v>0.71319444444444446</v>
      </c>
      <c r="F10" s="12" t="s">
        <v>397</v>
      </c>
      <c r="G10" s="12" t="s">
        <v>134</v>
      </c>
      <c r="H10" s="14">
        <v>29.7</v>
      </c>
      <c r="I10" s="15">
        <v>19</v>
      </c>
      <c r="J10" s="15">
        <v>55</v>
      </c>
      <c r="K10" s="14">
        <f t="shared" si="0"/>
        <v>1633.5</v>
      </c>
      <c r="L10">
        <v>9</v>
      </c>
      <c r="N10" s="30" t="s">
        <v>36</v>
      </c>
      <c r="O10" t="s">
        <v>39</v>
      </c>
      <c r="P10">
        <v>24</v>
      </c>
      <c r="Q10" t="s">
        <v>37</v>
      </c>
      <c r="R10">
        <v>23</v>
      </c>
      <c r="W10" s="1" t="s">
        <v>130</v>
      </c>
      <c r="X10" s="2" t="s">
        <v>135</v>
      </c>
      <c r="Y10" s="3">
        <v>66.39</v>
      </c>
      <c r="AA10" s="3">
        <f t="shared" si="1"/>
        <v>3651.45</v>
      </c>
      <c r="AB10" s="20" t="s">
        <v>120</v>
      </c>
    </row>
    <row r="11" spans="1:28" ht="63.75" customHeight="1" x14ac:dyDescent="0.25">
      <c r="A11" s="12" t="s">
        <v>390</v>
      </c>
      <c r="B11" s="12" t="s">
        <v>391</v>
      </c>
      <c r="C11" s="12" t="s">
        <v>398</v>
      </c>
      <c r="D11" s="13">
        <v>0.72777777777777775</v>
      </c>
      <c r="E11" s="13">
        <v>0.75277777777777777</v>
      </c>
      <c r="F11" s="12" t="s">
        <v>403</v>
      </c>
      <c r="G11" s="12" t="s">
        <v>206</v>
      </c>
      <c r="H11" s="14">
        <v>22.87</v>
      </c>
      <c r="I11" s="15">
        <v>19</v>
      </c>
      <c r="J11" s="15">
        <v>65</v>
      </c>
      <c r="K11" s="14">
        <f t="shared" si="0"/>
        <v>1486.55</v>
      </c>
      <c r="L11">
        <v>10</v>
      </c>
      <c r="N11" s="30" t="s">
        <v>36</v>
      </c>
      <c r="O11" t="s">
        <v>39</v>
      </c>
      <c r="P11">
        <v>24</v>
      </c>
      <c r="Q11" t="s">
        <v>37</v>
      </c>
      <c r="R11">
        <v>23</v>
      </c>
      <c r="W11" s="1" t="s">
        <v>130</v>
      </c>
      <c r="X11" s="2" t="s">
        <v>207</v>
      </c>
      <c r="Y11" s="3">
        <v>51.12</v>
      </c>
      <c r="AA11" s="3">
        <f t="shared" si="1"/>
        <v>3322.7999999999997</v>
      </c>
      <c r="AB11" s="20" t="s">
        <v>120</v>
      </c>
    </row>
    <row r="12" spans="1:28" ht="15" customHeight="1" x14ac:dyDescent="0.25">
      <c r="A12" s="25"/>
      <c r="G12" s="25"/>
      <c r="H12" s="27" t="s">
        <v>283</v>
      </c>
      <c r="I12" s="28"/>
      <c r="J12" s="28"/>
      <c r="K12" s="27">
        <f>SUM(K2:K11)</f>
        <v>16297.949999999999</v>
      </c>
      <c r="L12" s="25"/>
      <c r="M12" s="31"/>
      <c r="AA12" s="29">
        <f>SUM(AA2:AA11)</f>
        <v>36431.600000000006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32"/>
  <sheetViews>
    <sheetView topLeftCell="A22" zoomScaleNormal="100" workbookViewId="0">
      <selection activeCell="AA33" sqref="AA33"/>
    </sheetView>
  </sheetViews>
  <sheetFormatPr defaultColWidth="8.7109375" defaultRowHeight="15" x14ac:dyDescent="0.25"/>
  <cols>
    <col min="1" max="1" width="11.42578125" customWidth="1"/>
    <col min="2" max="2" width="9.85546875" customWidth="1"/>
    <col min="3" max="3" width="5.42578125" customWidth="1"/>
    <col min="4" max="4" width="7" customWidth="1"/>
    <col min="5" max="5" width="7.42578125" customWidth="1"/>
    <col min="6" max="6" width="27.85546875" customWidth="1"/>
    <col min="7" max="7" width="21.140625" customWidth="1"/>
    <col min="8" max="8" width="7.7109375" customWidth="1"/>
    <col min="9" max="9" width="6.5703125" customWidth="1"/>
    <col min="10" max="10" width="8" customWidth="1"/>
    <col min="11" max="11" width="10.7109375" customWidth="1"/>
    <col min="12" max="12" width="6.140625" customWidth="1"/>
    <col min="13" max="13" width="3.42578125" customWidth="1"/>
    <col min="14" max="14" width="16.7109375" customWidth="1"/>
    <col min="16" max="16" width="6.28515625" customWidth="1"/>
    <col min="17" max="17" width="10.42578125" customWidth="1"/>
    <col min="18" max="18" width="6.7109375" customWidth="1"/>
    <col min="19" max="19" width="13" customWidth="1"/>
    <col min="20" max="20" width="7.140625" customWidth="1"/>
    <col min="21" max="22" width="11.5703125" hidden="1" customWidth="1"/>
    <col min="24" max="24" width="16.28515625" customWidth="1"/>
    <col min="25" max="25" width="13.5703125" customWidth="1"/>
    <col min="26" max="26" width="6.140625" customWidth="1"/>
    <col min="27" max="27" width="15.5703125" customWidth="1"/>
    <col min="28" max="28" width="30" customWidth="1"/>
  </cols>
  <sheetData>
    <row r="1" spans="1:28" ht="59.25" customHeight="1" x14ac:dyDescent="0.25">
      <c r="A1" s="4" t="s">
        <v>86</v>
      </c>
      <c r="B1" s="4" t="s">
        <v>87</v>
      </c>
      <c r="C1" s="4" t="s">
        <v>88</v>
      </c>
      <c r="D1" s="4" t="s">
        <v>89</v>
      </c>
      <c r="E1" s="4" t="s">
        <v>90</v>
      </c>
      <c r="F1" s="4" t="s">
        <v>91</v>
      </c>
      <c r="G1" s="4" t="s">
        <v>92</v>
      </c>
      <c r="H1" s="4" t="s">
        <v>93</v>
      </c>
      <c r="I1" s="4" t="s">
        <v>94</v>
      </c>
      <c r="J1" s="4" t="s">
        <v>95</v>
      </c>
      <c r="K1" s="4" t="s">
        <v>96</v>
      </c>
      <c r="L1" s="5" t="s">
        <v>97</v>
      </c>
      <c r="M1" s="32" t="s">
        <v>98</v>
      </c>
      <c r="N1" s="33" t="s">
        <v>99</v>
      </c>
      <c r="O1" s="10" t="s">
        <v>100</v>
      </c>
      <c r="P1" s="10" t="s">
        <v>101</v>
      </c>
      <c r="Q1" s="10" t="s">
        <v>102</v>
      </c>
      <c r="R1" s="10" t="s">
        <v>103</v>
      </c>
      <c r="S1" s="10" t="s">
        <v>104</v>
      </c>
      <c r="T1" s="10" t="s">
        <v>105</v>
      </c>
      <c r="U1" s="10" t="s">
        <v>106</v>
      </c>
      <c r="V1" s="10" t="s">
        <v>107</v>
      </c>
      <c r="W1" s="10" t="s">
        <v>108</v>
      </c>
      <c r="X1" s="8" t="s">
        <v>109</v>
      </c>
      <c r="Y1" s="9" t="s">
        <v>110</v>
      </c>
      <c r="Z1" s="9" t="s">
        <v>111</v>
      </c>
      <c r="AA1" s="10" t="s">
        <v>112</v>
      </c>
      <c r="AB1" s="11" t="s">
        <v>421</v>
      </c>
    </row>
    <row r="2" spans="1:28" ht="34.5" customHeight="1" x14ac:dyDescent="0.25">
      <c r="A2" s="12" t="s">
        <v>404</v>
      </c>
      <c r="B2" s="12" t="s">
        <v>405</v>
      </c>
      <c r="C2" s="12"/>
      <c r="D2" s="13">
        <v>0.30208333333333331</v>
      </c>
      <c r="E2" s="13">
        <v>0.31666666666666671</v>
      </c>
      <c r="F2" s="12" t="s">
        <v>406</v>
      </c>
      <c r="G2" s="12" t="s">
        <v>206</v>
      </c>
      <c r="H2" s="14">
        <v>13</v>
      </c>
      <c r="I2" s="15">
        <v>19</v>
      </c>
      <c r="J2" s="15">
        <v>65</v>
      </c>
      <c r="K2" s="14">
        <f>J2*H2</f>
        <v>845</v>
      </c>
      <c r="L2">
        <v>1</v>
      </c>
      <c r="N2" s="30" t="s">
        <v>40</v>
      </c>
      <c r="O2" t="s">
        <v>41</v>
      </c>
      <c r="P2">
        <v>23</v>
      </c>
      <c r="Q2" t="s">
        <v>407</v>
      </c>
      <c r="R2">
        <v>24</v>
      </c>
      <c r="S2" t="s">
        <v>408</v>
      </c>
      <c r="T2">
        <v>21</v>
      </c>
      <c r="X2" s="2" t="s">
        <v>207</v>
      </c>
      <c r="Y2" s="3">
        <v>29.06</v>
      </c>
      <c r="AA2" s="3">
        <f>Y2*J2</f>
        <v>1888.8999999999999</v>
      </c>
      <c r="AB2" s="20" t="s">
        <v>120</v>
      </c>
    </row>
    <row r="3" spans="1:28" ht="34.5" customHeight="1" x14ac:dyDescent="0.25">
      <c r="A3" s="12" t="s">
        <v>404</v>
      </c>
      <c r="B3" s="12" t="s">
        <v>405</v>
      </c>
      <c r="C3" s="12"/>
      <c r="D3" s="13">
        <v>0.31736111111111109</v>
      </c>
      <c r="E3" s="13">
        <v>0.33333333333333331</v>
      </c>
      <c r="F3" s="12" t="s">
        <v>409</v>
      </c>
      <c r="G3" s="12" t="s">
        <v>206</v>
      </c>
      <c r="H3" s="14">
        <v>13</v>
      </c>
      <c r="I3" s="15">
        <v>19</v>
      </c>
      <c r="J3" s="15">
        <v>65</v>
      </c>
      <c r="K3" s="14">
        <f t="shared" ref="K3:K32" si="0">J3*H3</f>
        <v>845</v>
      </c>
      <c r="L3">
        <v>2</v>
      </c>
      <c r="N3" s="30" t="s">
        <v>40</v>
      </c>
      <c r="O3" t="s">
        <v>41</v>
      </c>
      <c r="P3">
        <v>23</v>
      </c>
      <c r="Q3" t="s">
        <v>407</v>
      </c>
      <c r="R3">
        <v>24</v>
      </c>
      <c r="S3" t="s">
        <v>408</v>
      </c>
      <c r="T3">
        <v>22</v>
      </c>
      <c r="X3" s="2" t="s">
        <v>207</v>
      </c>
      <c r="Y3" s="3">
        <v>29.06</v>
      </c>
      <c r="AA3" s="3">
        <f t="shared" ref="AA3:AA31" si="1">Y3*J3</f>
        <v>1888.8999999999999</v>
      </c>
      <c r="AB3" s="20" t="s">
        <v>120</v>
      </c>
    </row>
    <row r="4" spans="1:28" ht="34.5" customHeight="1" x14ac:dyDescent="0.25">
      <c r="A4" s="12" t="s">
        <v>404</v>
      </c>
      <c r="B4" s="12" t="s">
        <v>405</v>
      </c>
      <c r="C4" s="12"/>
      <c r="D4" s="13">
        <v>0.36458333333333331</v>
      </c>
      <c r="E4" s="13">
        <v>0.37916666666666671</v>
      </c>
      <c r="F4" s="12" t="s">
        <v>406</v>
      </c>
      <c r="G4" s="12" t="s">
        <v>206</v>
      </c>
      <c r="H4" s="14">
        <v>13</v>
      </c>
      <c r="I4" s="15">
        <v>19</v>
      </c>
      <c r="J4" s="15">
        <v>65</v>
      </c>
      <c r="K4" s="14">
        <f t="shared" si="0"/>
        <v>845</v>
      </c>
      <c r="L4">
        <v>3</v>
      </c>
      <c r="N4" s="30" t="s">
        <v>40</v>
      </c>
      <c r="O4" t="s">
        <v>41</v>
      </c>
      <c r="P4">
        <v>23</v>
      </c>
      <c r="Q4" t="s">
        <v>407</v>
      </c>
      <c r="R4">
        <v>24</v>
      </c>
      <c r="S4" t="s">
        <v>408</v>
      </c>
      <c r="T4">
        <v>23</v>
      </c>
      <c r="X4" s="2" t="s">
        <v>207</v>
      </c>
      <c r="Y4" s="3">
        <v>29.06</v>
      </c>
      <c r="AA4" s="3">
        <f t="shared" si="1"/>
        <v>1888.8999999999999</v>
      </c>
      <c r="AB4" s="20" t="s">
        <v>120</v>
      </c>
    </row>
    <row r="5" spans="1:28" ht="34.5" customHeight="1" x14ac:dyDescent="0.25">
      <c r="A5" s="12" t="s">
        <v>404</v>
      </c>
      <c r="B5" s="12" t="s">
        <v>405</v>
      </c>
      <c r="C5" s="12"/>
      <c r="D5" s="13">
        <v>0.39097222222222222</v>
      </c>
      <c r="E5" s="13">
        <v>0.40625</v>
      </c>
      <c r="F5" s="12" t="s">
        <v>409</v>
      </c>
      <c r="G5" s="12" t="s">
        <v>206</v>
      </c>
      <c r="H5" s="14">
        <v>13</v>
      </c>
      <c r="I5" s="15">
        <v>19</v>
      </c>
      <c r="J5" s="15">
        <v>65</v>
      </c>
      <c r="K5" s="14">
        <f t="shared" si="0"/>
        <v>845</v>
      </c>
      <c r="L5">
        <v>4</v>
      </c>
      <c r="N5" s="30" t="s">
        <v>40</v>
      </c>
      <c r="O5" t="s">
        <v>41</v>
      </c>
      <c r="P5">
        <v>23</v>
      </c>
      <c r="Q5" t="s">
        <v>407</v>
      </c>
      <c r="R5">
        <v>24</v>
      </c>
      <c r="S5" t="s">
        <v>408</v>
      </c>
      <c r="T5">
        <v>24</v>
      </c>
      <c r="X5" s="2" t="s">
        <v>207</v>
      </c>
      <c r="Y5" s="3">
        <v>29.06</v>
      </c>
      <c r="AA5" s="3">
        <f t="shared" si="1"/>
        <v>1888.8999999999999</v>
      </c>
      <c r="AB5" s="20" t="s">
        <v>120</v>
      </c>
    </row>
    <row r="6" spans="1:28" ht="34.5" customHeight="1" x14ac:dyDescent="0.25">
      <c r="A6" s="12" t="s">
        <v>404</v>
      </c>
      <c r="B6" s="12" t="s">
        <v>405</v>
      </c>
      <c r="C6" s="12"/>
      <c r="D6" s="13">
        <v>0.5</v>
      </c>
      <c r="E6" s="13">
        <v>0.51458333333333328</v>
      </c>
      <c r="F6" s="12" t="s">
        <v>406</v>
      </c>
      <c r="G6" s="12" t="s">
        <v>206</v>
      </c>
      <c r="H6" s="14">
        <v>13</v>
      </c>
      <c r="I6" s="15">
        <v>19</v>
      </c>
      <c r="J6" s="15">
        <v>65</v>
      </c>
      <c r="K6" s="14">
        <f t="shared" si="0"/>
        <v>845</v>
      </c>
      <c r="L6">
        <v>5</v>
      </c>
      <c r="N6" s="30" t="s">
        <v>40</v>
      </c>
      <c r="O6" t="s">
        <v>41</v>
      </c>
      <c r="P6">
        <v>23</v>
      </c>
      <c r="Q6" t="s">
        <v>407</v>
      </c>
      <c r="R6">
        <v>24</v>
      </c>
      <c r="S6" t="s">
        <v>408</v>
      </c>
      <c r="T6">
        <v>25</v>
      </c>
      <c r="X6" s="2" t="s">
        <v>207</v>
      </c>
      <c r="Y6" s="3">
        <v>29.06</v>
      </c>
      <c r="AA6" s="3">
        <f t="shared" si="1"/>
        <v>1888.8999999999999</v>
      </c>
      <c r="AB6" s="20" t="s">
        <v>120</v>
      </c>
    </row>
    <row r="7" spans="1:28" ht="34.5" customHeight="1" x14ac:dyDescent="0.25">
      <c r="A7" s="12" t="s">
        <v>404</v>
      </c>
      <c r="B7" s="12" t="s">
        <v>405</v>
      </c>
      <c r="C7" s="12"/>
      <c r="D7" s="13">
        <v>0.52569444444444446</v>
      </c>
      <c r="E7" s="13">
        <v>0.54166666666666663</v>
      </c>
      <c r="F7" s="12" t="s">
        <v>409</v>
      </c>
      <c r="G7" s="12" t="s">
        <v>206</v>
      </c>
      <c r="H7" s="14">
        <v>13</v>
      </c>
      <c r="I7" s="15">
        <v>19</v>
      </c>
      <c r="J7" s="15">
        <v>65</v>
      </c>
      <c r="K7" s="14">
        <f t="shared" si="0"/>
        <v>845</v>
      </c>
      <c r="L7">
        <v>6</v>
      </c>
      <c r="N7" s="30" t="s">
        <v>40</v>
      </c>
      <c r="O7" t="s">
        <v>41</v>
      </c>
      <c r="P7">
        <v>23</v>
      </c>
      <c r="Q7" t="s">
        <v>407</v>
      </c>
      <c r="R7">
        <v>24</v>
      </c>
      <c r="S7" t="s">
        <v>408</v>
      </c>
      <c r="T7">
        <v>26</v>
      </c>
      <c r="X7" s="2" t="s">
        <v>207</v>
      </c>
      <c r="Y7" s="3">
        <v>29.06</v>
      </c>
      <c r="AA7" s="3">
        <f t="shared" si="1"/>
        <v>1888.8999999999999</v>
      </c>
      <c r="AB7" s="20" t="s">
        <v>120</v>
      </c>
    </row>
    <row r="8" spans="1:28" ht="23.25" customHeight="1" x14ac:dyDescent="0.25">
      <c r="A8" s="12" t="s">
        <v>404</v>
      </c>
      <c r="B8" s="12" t="s">
        <v>405</v>
      </c>
      <c r="C8" s="12"/>
      <c r="D8" s="13">
        <v>0.58333333333333337</v>
      </c>
      <c r="E8" s="13">
        <v>0.59375</v>
      </c>
      <c r="F8" s="12" t="s">
        <v>410</v>
      </c>
      <c r="G8" s="12" t="s">
        <v>206</v>
      </c>
      <c r="H8" s="14">
        <v>9.6</v>
      </c>
      <c r="I8" s="15">
        <v>19</v>
      </c>
      <c r="J8" s="15">
        <v>65</v>
      </c>
      <c r="K8" s="14">
        <f t="shared" si="0"/>
        <v>624</v>
      </c>
      <c r="L8">
        <v>7</v>
      </c>
      <c r="N8" s="30" t="s">
        <v>40</v>
      </c>
      <c r="O8" t="s">
        <v>41</v>
      </c>
      <c r="P8">
        <v>23</v>
      </c>
      <c r="Q8" t="s">
        <v>407</v>
      </c>
      <c r="R8">
        <v>24</v>
      </c>
      <c r="S8" t="s">
        <v>408</v>
      </c>
      <c r="T8">
        <v>27</v>
      </c>
      <c r="X8" s="2" t="s">
        <v>207</v>
      </c>
      <c r="Y8" s="3">
        <v>21.46</v>
      </c>
      <c r="AA8" s="3">
        <f t="shared" si="1"/>
        <v>1394.9</v>
      </c>
      <c r="AB8" s="20" t="s">
        <v>120</v>
      </c>
    </row>
    <row r="9" spans="1:28" ht="23.25" customHeight="1" x14ac:dyDescent="0.25">
      <c r="A9" s="12" t="s">
        <v>404</v>
      </c>
      <c r="B9" s="12" t="s">
        <v>405</v>
      </c>
      <c r="C9" s="12"/>
      <c r="D9" s="13">
        <v>0.61458333333333337</v>
      </c>
      <c r="E9" s="13">
        <v>0.625</v>
      </c>
      <c r="F9" s="12" t="s">
        <v>411</v>
      </c>
      <c r="G9" s="12" t="s">
        <v>206</v>
      </c>
      <c r="H9" s="14">
        <v>9.6</v>
      </c>
      <c r="I9" s="15">
        <v>19</v>
      </c>
      <c r="J9" s="15">
        <v>65</v>
      </c>
      <c r="K9" s="14">
        <f t="shared" si="0"/>
        <v>624</v>
      </c>
      <c r="L9">
        <v>8</v>
      </c>
      <c r="N9" s="30" t="s">
        <v>40</v>
      </c>
      <c r="O9" t="s">
        <v>41</v>
      </c>
      <c r="P9">
        <v>23</v>
      </c>
      <c r="Q9" t="s">
        <v>407</v>
      </c>
      <c r="R9">
        <v>24</v>
      </c>
      <c r="S9" t="s">
        <v>408</v>
      </c>
      <c r="T9">
        <v>28</v>
      </c>
      <c r="X9" s="2" t="s">
        <v>207</v>
      </c>
      <c r="Y9" s="3">
        <v>21.46</v>
      </c>
      <c r="AA9" s="3">
        <f t="shared" si="1"/>
        <v>1394.9</v>
      </c>
      <c r="AB9" s="20" t="s">
        <v>120</v>
      </c>
    </row>
    <row r="10" spans="1:28" ht="34.5" customHeight="1" x14ac:dyDescent="0.25">
      <c r="A10" s="12" t="s">
        <v>404</v>
      </c>
      <c r="B10" s="12" t="s">
        <v>405</v>
      </c>
      <c r="C10" s="12"/>
      <c r="D10" s="13">
        <v>0.66666666666666663</v>
      </c>
      <c r="E10" s="13">
        <v>0.68055555555555558</v>
      </c>
      <c r="F10" s="12" t="s">
        <v>406</v>
      </c>
      <c r="G10" s="12" t="s">
        <v>412</v>
      </c>
      <c r="H10" s="14">
        <v>13</v>
      </c>
      <c r="I10" s="15">
        <v>19</v>
      </c>
      <c r="J10" s="15">
        <v>9</v>
      </c>
      <c r="K10" s="14">
        <f t="shared" si="0"/>
        <v>117</v>
      </c>
      <c r="L10">
        <v>9</v>
      </c>
      <c r="N10" s="30" t="s">
        <v>40</v>
      </c>
      <c r="O10" t="s">
        <v>41</v>
      </c>
      <c r="P10">
        <v>23</v>
      </c>
      <c r="Q10" t="s">
        <v>407</v>
      </c>
      <c r="R10">
        <v>24</v>
      </c>
      <c r="S10" t="s">
        <v>408</v>
      </c>
      <c r="T10">
        <v>29</v>
      </c>
      <c r="X10" s="2" t="s">
        <v>413</v>
      </c>
      <c r="Y10" s="3">
        <v>29.06</v>
      </c>
      <c r="AA10" s="3">
        <f t="shared" si="1"/>
        <v>261.53999999999996</v>
      </c>
      <c r="AB10" s="20" t="s">
        <v>120</v>
      </c>
    </row>
    <row r="11" spans="1:28" ht="23.25" customHeight="1" x14ac:dyDescent="0.25">
      <c r="A11" s="12" t="s">
        <v>404</v>
      </c>
      <c r="B11" s="12" t="s">
        <v>405</v>
      </c>
      <c r="C11" s="12"/>
      <c r="D11" s="13">
        <v>0.66666666666666663</v>
      </c>
      <c r="E11" s="13">
        <v>0.67708333333333337</v>
      </c>
      <c r="F11" s="12" t="s">
        <v>410</v>
      </c>
      <c r="G11" s="12" t="s">
        <v>414</v>
      </c>
      <c r="H11" s="14">
        <v>9.6</v>
      </c>
      <c r="I11" s="15">
        <v>19</v>
      </c>
      <c r="J11" s="15">
        <v>13</v>
      </c>
      <c r="K11" s="14">
        <f t="shared" si="0"/>
        <v>124.8</v>
      </c>
      <c r="L11">
        <v>10</v>
      </c>
      <c r="N11" s="30" t="s">
        <v>40</v>
      </c>
      <c r="O11" t="s">
        <v>41</v>
      </c>
      <c r="P11">
        <v>23</v>
      </c>
      <c r="Q11" t="s">
        <v>407</v>
      </c>
      <c r="R11">
        <v>24</v>
      </c>
      <c r="S11" t="s">
        <v>408</v>
      </c>
      <c r="T11">
        <v>30</v>
      </c>
      <c r="X11" s="2" t="s">
        <v>415</v>
      </c>
      <c r="Y11" s="3">
        <v>21.46</v>
      </c>
      <c r="AA11" s="3">
        <f t="shared" si="1"/>
        <v>278.98</v>
      </c>
      <c r="AB11" s="20" t="s">
        <v>120</v>
      </c>
    </row>
    <row r="12" spans="1:28" ht="34.5" customHeight="1" x14ac:dyDescent="0.25">
      <c r="A12" s="12" t="s">
        <v>404</v>
      </c>
      <c r="B12" s="12" t="s">
        <v>405</v>
      </c>
      <c r="C12" s="12"/>
      <c r="D12" s="13">
        <v>0.66666666666666663</v>
      </c>
      <c r="E12" s="13">
        <v>0.67708333333333337</v>
      </c>
      <c r="F12" s="12" t="s">
        <v>410</v>
      </c>
      <c r="G12" s="12" t="s">
        <v>416</v>
      </c>
      <c r="H12" s="14">
        <v>9.6</v>
      </c>
      <c r="I12" s="15">
        <v>19</v>
      </c>
      <c r="J12" s="15">
        <v>43</v>
      </c>
      <c r="K12" s="14">
        <f t="shared" si="0"/>
        <v>412.8</v>
      </c>
      <c r="L12">
        <v>11</v>
      </c>
      <c r="N12" s="30" t="s">
        <v>40</v>
      </c>
      <c r="O12" t="s">
        <v>41</v>
      </c>
      <c r="P12">
        <v>23</v>
      </c>
      <c r="Q12" t="s">
        <v>407</v>
      </c>
      <c r="R12">
        <v>24</v>
      </c>
      <c r="S12" t="s">
        <v>408</v>
      </c>
      <c r="T12">
        <v>31</v>
      </c>
      <c r="X12" s="2" t="s">
        <v>417</v>
      </c>
      <c r="Y12" s="3">
        <v>21.46</v>
      </c>
      <c r="AA12" s="3">
        <f t="shared" si="1"/>
        <v>922.78000000000009</v>
      </c>
      <c r="AB12" s="20" t="s">
        <v>120</v>
      </c>
    </row>
    <row r="13" spans="1:28" ht="34.5" customHeight="1" x14ac:dyDescent="0.25">
      <c r="A13" s="12" t="s">
        <v>404</v>
      </c>
      <c r="B13" s="12" t="s">
        <v>405</v>
      </c>
      <c r="C13" s="12"/>
      <c r="D13" s="13">
        <v>0.69861111111111107</v>
      </c>
      <c r="E13" s="13">
        <v>0.70347222222222228</v>
      </c>
      <c r="F13" s="12" t="s">
        <v>409</v>
      </c>
      <c r="G13" s="12" t="s">
        <v>412</v>
      </c>
      <c r="H13" s="14">
        <v>13</v>
      </c>
      <c r="I13" s="15">
        <v>19</v>
      </c>
      <c r="J13" s="15">
        <v>9</v>
      </c>
      <c r="K13" s="14">
        <f t="shared" si="0"/>
        <v>117</v>
      </c>
      <c r="L13">
        <v>12</v>
      </c>
      <c r="N13" s="30" t="s">
        <v>40</v>
      </c>
      <c r="O13" t="s">
        <v>41</v>
      </c>
      <c r="P13">
        <v>23</v>
      </c>
      <c r="Q13" t="s">
        <v>407</v>
      </c>
      <c r="R13">
        <v>24</v>
      </c>
      <c r="S13" t="s">
        <v>408</v>
      </c>
      <c r="T13">
        <v>32</v>
      </c>
      <c r="X13" s="2" t="s">
        <v>413</v>
      </c>
      <c r="Y13" s="3">
        <v>29.06</v>
      </c>
      <c r="AA13" s="3">
        <f t="shared" si="1"/>
        <v>261.53999999999996</v>
      </c>
      <c r="AB13" s="20" t="s">
        <v>120</v>
      </c>
    </row>
    <row r="14" spans="1:28" ht="23.25" customHeight="1" x14ac:dyDescent="0.25">
      <c r="A14" s="12" t="s">
        <v>404</v>
      </c>
      <c r="B14" s="12" t="s">
        <v>405</v>
      </c>
      <c r="C14" s="12"/>
      <c r="D14" s="13">
        <v>0.70347222222222228</v>
      </c>
      <c r="E14" s="13">
        <v>0.71388888888888891</v>
      </c>
      <c r="F14" s="12" t="s">
        <v>411</v>
      </c>
      <c r="G14" s="12" t="s">
        <v>414</v>
      </c>
      <c r="H14" s="14">
        <v>9.6</v>
      </c>
      <c r="I14" s="15">
        <v>19</v>
      </c>
      <c r="J14" s="15">
        <v>13</v>
      </c>
      <c r="K14" s="14">
        <f t="shared" si="0"/>
        <v>124.8</v>
      </c>
      <c r="L14">
        <v>13</v>
      </c>
      <c r="N14" s="30" t="s">
        <v>40</v>
      </c>
      <c r="O14" t="s">
        <v>41</v>
      </c>
      <c r="P14">
        <v>23</v>
      </c>
      <c r="Q14" t="s">
        <v>407</v>
      </c>
      <c r="R14">
        <v>24</v>
      </c>
      <c r="S14" t="s">
        <v>408</v>
      </c>
      <c r="T14">
        <v>33</v>
      </c>
      <c r="X14" s="2" t="s">
        <v>415</v>
      </c>
      <c r="Y14" s="3">
        <v>21.46</v>
      </c>
      <c r="AA14" s="3">
        <f t="shared" si="1"/>
        <v>278.98</v>
      </c>
      <c r="AB14" s="20" t="s">
        <v>120</v>
      </c>
    </row>
    <row r="15" spans="1:28" ht="34.5" customHeight="1" x14ac:dyDescent="0.25">
      <c r="A15" s="12" t="s">
        <v>404</v>
      </c>
      <c r="B15" s="12" t="s">
        <v>405</v>
      </c>
      <c r="C15" s="12"/>
      <c r="D15" s="13">
        <v>0.70347222222222228</v>
      </c>
      <c r="E15" s="13">
        <v>0.71388888888888891</v>
      </c>
      <c r="F15" s="12" t="s">
        <v>411</v>
      </c>
      <c r="G15" s="12" t="s">
        <v>416</v>
      </c>
      <c r="H15" s="14">
        <v>9.6</v>
      </c>
      <c r="I15" s="15">
        <v>19</v>
      </c>
      <c r="J15" s="15">
        <v>43</v>
      </c>
      <c r="K15" s="14">
        <f t="shared" si="0"/>
        <v>412.8</v>
      </c>
      <c r="L15">
        <v>14</v>
      </c>
      <c r="N15" s="30" t="s">
        <v>40</v>
      </c>
      <c r="O15" t="s">
        <v>41</v>
      </c>
      <c r="P15">
        <v>23</v>
      </c>
      <c r="Q15" t="s">
        <v>407</v>
      </c>
      <c r="R15">
        <v>24</v>
      </c>
      <c r="S15" t="s">
        <v>408</v>
      </c>
      <c r="T15">
        <v>34</v>
      </c>
      <c r="X15" s="2" t="s">
        <v>417</v>
      </c>
      <c r="Y15" s="3">
        <v>21.46</v>
      </c>
      <c r="AA15" s="3">
        <f t="shared" si="1"/>
        <v>922.78000000000009</v>
      </c>
      <c r="AB15" s="20" t="s">
        <v>120</v>
      </c>
    </row>
    <row r="16" spans="1:28" ht="34.5" customHeight="1" x14ac:dyDescent="0.25">
      <c r="A16" s="12" t="s">
        <v>404</v>
      </c>
      <c r="B16" s="12" t="s">
        <v>405</v>
      </c>
      <c r="C16" s="12"/>
      <c r="D16" s="13">
        <v>0.75347222222222221</v>
      </c>
      <c r="E16" s="13">
        <v>0.76736111111111116</v>
      </c>
      <c r="F16" s="12" t="s">
        <v>406</v>
      </c>
      <c r="G16" s="12" t="s">
        <v>206</v>
      </c>
      <c r="H16" s="14">
        <v>13</v>
      </c>
      <c r="I16" s="15">
        <v>19</v>
      </c>
      <c r="J16" s="15">
        <v>65</v>
      </c>
      <c r="K16" s="14">
        <f t="shared" si="0"/>
        <v>845</v>
      </c>
      <c r="L16">
        <v>15</v>
      </c>
      <c r="N16" s="30" t="s">
        <v>40</v>
      </c>
      <c r="O16" t="s">
        <v>41</v>
      </c>
      <c r="P16">
        <v>23</v>
      </c>
      <c r="Q16" t="s">
        <v>407</v>
      </c>
      <c r="R16">
        <v>24</v>
      </c>
      <c r="S16" t="s">
        <v>408</v>
      </c>
      <c r="T16">
        <v>35</v>
      </c>
      <c r="X16" s="2" t="s">
        <v>207</v>
      </c>
      <c r="Y16" s="3">
        <v>29.06</v>
      </c>
      <c r="AA16" s="3">
        <f t="shared" si="1"/>
        <v>1888.8999999999999</v>
      </c>
      <c r="AB16" s="20" t="s">
        <v>120</v>
      </c>
    </row>
    <row r="17" spans="1:28" ht="34.5" customHeight="1" x14ac:dyDescent="0.25">
      <c r="A17" s="12" t="s">
        <v>404</v>
      </c>
      <c r="B17" s="12" t="s">
        <v>405</v>
      </c>
      <c r="C17" s="12"/>
      <c r="D17" s="13">
        <v>0.77083333333333337</v>
      </c>
      <c r="E17" s="13">
        <v>0.78472222222222221</v>
      </c>
      <c r="F17" s="12" t="s">
        <v>409</v>
      </c>
      <c r="G17" s="12" t="s">
        <v>206</v>
      </c>
      <c r="H17" s="14">
        <v>13</v>
      </c>
      <c r="I17" s="15">
        <v>19</v>
      </c>
      <c r="J17" s="15">
        <v>65</v>
      </c>
      <c r="K17" s="14">
        <f t="shared" si="0"/>
        <v>845</v>
      </c>
      <c r="L17">
        <v>16</v>
      </c>
      <c r="N17" s="30" t="s">
        <v>40</v>
      </c>
      <c r="O17" t="s">
        <v>41</v>
      </c>
      <c r="P17">
        <v>23</v>
      </c>
      <c r="Q17" t="s">
        <v>407</v>
      </c>
      <c r="R17">
        <v>24</v>
      </c>
      <c r="S17" t="s">
        <v>408</v>
      </c>
      <c r="T17">
        <v>36</v>
      </c>
      <c r="X17" s="2" t="s">
        <v>207</v>
      </c>
      <c r="Y17" s="3">
        <v>29.06</v>
      </c>
      <c r="AA17" s="3">
        <f t="shared" si="1"/>
        <v>1888.8999999999999</v>
      </c>
      <c r="AB17" s="20" t="s">
        <v>120</v>
      </c>
    </row>
    <row r="18" spans="1:28" ht="34.5" customHeight="1" x14ac:dyDescent="0.25">
      <c r="A18" s="12" t="s">
        <v>404</v>
      </c>
      <c r="B18" s="12" t="s">
        <v>405</v>
      </c>
      <c r="C18" s="12"/>
      <c r="D18" s="13">
        <v>0.79513888888888884</v>
      </c>
      <c r="E18" s="13">
        <v>0.80902777777777779</v>
      </c>
      <c r="F18" s="12" t="s">
        <v>406</v>
      </c>
      <c r="G18" s="12" t="s">
        <v>144</v>
      </c>
      <c r="H18" s="14">
        <v>13</v>
      </c>
      <c r="I18" s="15">
        <v>19</v>
      </c>
      <c r="J18" s="15">
        <v>10</v>
      </c>
      <c r="K18" s="14">
        <f t="shared" si="0"/>
        <v>130</v>
      </c>
      <c r="L18">
        <v>17</v>
      </c>
      <c r="N18" s="30" t="s">
        <v>40</v>
      </c>
      <c r="O18" t="s">
        <v>41</v>
      </c>
      <c r="P18">
        <v>23</v>
      </c>
      <c r="Q18" t="s">
        <v>407</v>
      </c>
      <c r="R18">
        <v>24</v>
      </c>
      <c r="S18" t="s">
        <v>408</v>
      </c>
      <c r="T18">
        <v>37</v>
      </c>
      <c r="X18" s="2" t="s">
        <v>145</v>
      </c>
      <c r="Y18" s="3">
        <v>29.06</v>
      </c>
      <c r="AA18" s="3">
        <f t="shared" si="1"/>
        <v>290.59999999999997</v>
      </c>
      <c r="AB18" s="20" t="s">
        <v>120</v>
      </c>
    </row>
    <row r="19" spans="1:28" ht="34.5" customHeight="1" x14ac:dyDescent="0.25">
      <c r="A19" s="12" t="s">
        <v>404</v>
      </c>
      <c r="B19" s="12" t="s">
        <v>405</v>
      </c>
      <c r="C19" s="12"/>
      <c r="D19" s="13">
        <v>0.8125</v>
      </c>
      <c r="E19" s="13">
        <v>0.82638888888888884</v>
      </c>
      <c r="F19" s="12" t="s">
        <v>409</v>
      </c>
      <c r="G19" s="12" t="s">
        <v>144</v>
      </c>
      <c r="H19" s="14">
        <v>13</v>
      </c>
      <c r="I19" s="15">
        <v>19</v>
      </c>
      <c r="J19" s="15">
        <v>10</v>
      </c>
      <c r="K19" s="14">
        <f t="shared" si="0"/>
        <v>130</v>
      </c>
      <c r="L19">
        <v>18</v>
      </c>
      <c r="N19" s="30" t="s">
        <v>40</v>
      </c>
      <c r="O19" t="s">
        <v>41</v>
      </c>
      <c r="P19">
        <v>23</v>
      </c>
      <c r="Q19" t="s">
        <v>407</v>
      </c>
      <c r="R19">
        <v>24</v>
      </c>
      <c r="S19" t="s">
        <v>408</v>
      </c>
      <c r="T19">
        <v>38</v>
      </c>
      <c r="X19" s="2" t="s">
        <v>145</v>
      </c>
      <c r="Y19" s="3">
        <v>29.06</v>
      </c>
      <c r="AA19" s="3">
        <f t="shared" si="1"/>
        <v>290.59999999999997</v>
      </c>
      <c r="AB19" s="20" t="s">
        <v>120</v>
      </c>
    </row>
    <row r="20" spans="1:28" ht="34.5" customHeight="1" x14ac:dyDescent="0.25">
      <c r="A20" s="12" t="s">
        <v>404</v>
      </c>
      <c r="B20" s="12" t="s">
        <v>405</v>
      </c>
      <c r="C20" s="12"/>
      <c r="D20" s="13">
        <v>0.82986111111111116</v>
      </c>
      <c r="E20" s="13">
        <v>0.84444444444444444</v>
      </c>
      <c r="F20" s="12" t="s">
        <v>406</v>
      </c>
      <c r="G20" s="12" t="s">
        <v>206</v>
      </c>
      <c r="H20" s="14">
        <v>13</v>
      </c>
      <c r="I20" s="15">
        <v>19</v>
      </c>
      <c r="J20" s="15">
        <v>65</v>
      </c>
      <c r="K20" s="14">
        <f t="shared" si="0"/>
        <v>845</v>
      </c>
      <c r="L20">
        <v>19</v>
      </c>
      <c r="N20" s="30" t="s">
        <v>40</v>
      </c>
      <c r="O20" t="s">
        <v>41</v>
      </c>
      <c r="P20">
        <v>23</v>
      </c>
      <c r="Q20" t="s">
        <v>407</v>
      </c>
      <c r="R20">
        <v>24</v>
      </c>
      <c r="S20" t="s">
        <v>408</v>
      </c>
      <c r="T20">
        <v>39</v>
      </c>
      <c r="X20" s="2" t="s">
        <v>207</v>
      </c>
      <c r="Y20" s="3">
        <v>29.06</v>
      </c>
      <c r="AA20" s="3">
        <f t="shared" si="1"/>
        <v>1888.8999999999999</v>
      </c>
      <c r="AB20" s="20" t="s">
        <v>120</v>
      </c>
    </row>
    <row r="21" spans="1:28" ht="23.25" customHeight="1" x14ac:dyDescent="0.25">
      <c r="A21" s="12" t="s">
        <v>404</v>
      </c>
      <c r="B21" s="12" t="s">
        <v>405</v>
      </c>
      <c r="C21" s="12"/>
      <c r="D21" s="13">
        <v>0.32291666666666669</v>
      </c>
      <c r="E21" s="13">
        <v>0.33333333333333331</v>
      </c>
      <c r="F21" s="12" t="s">
        <v>411</v>
      </c>
      <c r="G21" s="12" t="s">
        <v>208</v>
      </c>
      <c r="H21" s="14">
        <v>9.6</v>
      </c>
      <c r="I21" s="15">
        <v>19</v>
      </c>
      <c r="J21" s="15">
        <v>15</v>
      </c>
      <c r="K21" s="14">
        <f t="shared" si="0"/>
        <v>144</v>
      </c>
      <c r="L21">
        <v>20</v>
      </c>
      <c r="N21" s="30" t="s">
        <v>40</v>
      </c>
      <c r="O21" t="s">
        <v>41</v>
      </c>
      <c r="P21">
        <v>23</v>
      </c>
      <c r="Q21" t="s">
        <v>407</v>
      </c>
      <c r="R21">
        <v>24</v>
      </c>
      <c r="S21" t="s">
        <v>408</v>
      </c>
      <c r="T21">
        <v>40</v>
      </c>
      <c r="X21" s="2" t="s">
        <v>209</v>
      </c>
      <c r="Y21" s="3">
        <v>21.46</v>
      </c>
      <c r="AA21" s="3">
        <f t="shared" si="1"/>
        <v>321.90000000000003</v>
      </c>
      <c r="AB21" s="20" t="s">
        <v>120</v>
      </c>
    </row>
    <row r="22" spans="1:28" ht="34.5" customHeight="1" x14ac:dyDescent="0.25">
      <c r="A22" s="12" t="s">
        <v>404</v>
      </c>
      <c r="B22" s="12" t="s">
        <v>405</v>
      </c>
      <c r="C22" s="12"/>
      <c r="D22" s="13">
        <v>0.36458333333333331</v>
      </c>
      <c r="E22" s="13">
        <v>0.37916666666666671</v>
      </c>
      <c r="F22" s="12" t="s">
        <v>406</v>
      </c>
      <c r="G22" s="12" t="s">
        <v>208</v>
      </c>
      <c r="H22" s="14">
        <v>13</v>
      </c>
      <c r="I22" s="15">
        <v>19</v>
      </c>
      <c r="J22" s="15">
        <v>15</v>
      </c>
      <c r="K22" s="14">
        <f t="shared" si="0"/>
        <v>195</v>
      </c>
      <c r="L22">
        <v>21</v>
      </c>
      <c r="N22" s="30" t="s">
        <v>40</v>
      </c>
      <c r="O22" t="s">
        <v>41</v>
      </c>
      <c r="P22">
        <v>23</v>
      </c>
      <c r="Q22" t="s">
        <v>407</v>
      </c>
      <c r="R22">
        <v>24</v>
      </c>
      <c r="S22" t="s">
        <v>408</v>
      </c>
      <c r="T22">
        <v>41</v>
      </c>
      <c r="X22" s="2" t="s">
        <v>209</v>
      </c>
      <c r="Y22" s="3">
        <v>29.06</v>
      </c>
      <c r="AA22" s="3">
        <f t="shared" si="1"/>
        <v>435.9</v>
      </c>
      <c r="AB22" s="20" t="s">
        <v>120</v>
      </c>
    </row>
    <row r="23" spans="1:28" ht="34.5" customHeight="1" x14ac:dyDescent="0.25">
      <c r="A23" s="12" t="s">
        <v>404</v>
      </c>
      <c r="B23" s="12" t="s">
        <v>405</v>
      </c>
      <c r="C23" s="12"/>
      <c r="D23" s="13">
        <v>0.39097222222222222</v>
      </c>
      <c r="E23" s="13">
        <v>0.40625</v>
      </c>
      <c r="F23" s="12" t="s">
        <v>409</v>
      </c>
      <c r="G23" s="12" t="s">
        <v>208</v>
      </c>
      <c r="H23" s="14">
        <v>13</v>
      </c>
      <c r="I23" s="15">
        <v>19</v>
      </c>
      <c r="J23" s="15">
        <v>15</v>
      </c>
      <c r="K23" s="14">
        <f t="shared" si="0"/>
        <v>195</v>
      </c>
      <c r="L23">
        <v>22</v>
      </c>
      <c r="N23" s="30" t="s">
        <v>40</v>
      </c>
      <c r="O23" t="s">
        <v>41</v>
      </c>
      <c r="P23">
        <v>23</v>
      </c>
      <c r="Q23" t="s">
        <v>407</v>
      </c>
      <c r="R23">
        <v>24</v>
      </c>
      <c r="S23" t="s">
        <v>408</v>
      </c>
      <c r="T23">
        <v>42</v>
      </c>
      <c r="X23" s="2" t="s">
        <v>209</v>
      </c>
      <c r="Y23" s="3">
        <v>29.06</v>
      </c>
      <c r="AA23" s="3">
        <f t="shared" si="1"/>
        <v>435.9</v>
      </c>
      <c r="AB23" s="20" t="s">
        <v>120</v>
      </c>
    </row>
    <row r="24" spans="1:28" ht="34.5" customHeight="1" x14ac:dyDescent="0.25">
      <c r="A24" s="12" t="s">
        <v>404</v>
      </c>
      <c r="B24" s="12" t="s">
        <v>405</v>
      </c>
      <c r="C24" s="12"/>
      <c r="D24" s="13">
        <v>0.5</v>
      </c>
      <c r="E24" s="13">
        <v>0.51458333333333328</v>
      </c>
      <c r="F24" s="12" t="s">
        <v>406</v>
      </c>
      <c r="G24" s="12" t="s">
        <v>208</v>
      </c>
      <c r="H24" s="14">
        <v>13</v>
      </c>
      <c r="I24" s="15">
        <v>19</v>
      </c>
      <c r="J24" s="15">
        <v>15</v>
      </c>
      <c r="K24" s="14">
        <f t="shared" si="0"/>
        <v>195</v>
      </c>
      <c r="L24">
        <v>23</v>
      </c>
      <c r="N24" s="30" t="s">
        <v>40</v>
      </c>
      <c r="O24" t="s">
        <v>41</v>
      </c>
      <c r="P24">
        <v>23</v>
      </c>
      <c r="Q24" t="s">
        <v>407</v>
      </c>
      <c r="R24">
        <v>24</v>
      </c>
      <c r="S24" t="s">
        <v>408</v>
      </c>
      <c r="T24">
        <v>43</v>
      </c>
      <c r="X24" s="2" t="s">
        <v>209</v>
      </c>
      <c r="Y24" s="3">
        <v>29.06</v>
      </c>
      <c r="AA24" s="3">
        <f t="shared" si="1"/>
        <v>435.9</v>
      </c>
      <c r="AB24" s="20" t="s">
        <v>120</v>
      </c>
    </row>
    <row r="25" spans="1:28" ht="34.5" customHeight="1" x14ac:dyDescent="0.25">
      <c r="A25" s="12" t="s">
        <v>404</v>
      </c>
      <c r="B25" s="12" t="s">
        <v>405</v>
      </c>
      <c r="C25" s="12"/>
      <c r="D25" s="13">
        <v>0.52569444444444446</v>
      </c>
      <c r="E25" s="13">
        <v>0.54166666666666663</v>
      </c>
      <c r="F25" s="12" t="s">
        <v>409</v>
      </c>
      <c r="G25" s="12" t="s">
        <v>208</v>
      </c>
      <c r="H25" s="14">
        <v>13</v>
      </c>
      <c r="I25" s="15">
        <v>19</v>
      </c>
      <c r="J25" s="15">
        <v>15</v>
      </c>
      <c r="K25" s="14">
        <f t="shared" si="0"/>
        <v>195</v>
      </c>
      <c r="L25">
        <v>24</v>
      </c>
      <c r="N25" s="30" t="s">
        <v>40</v>
      </c>
      <c r="O25" t="s">
        <v>41</v>
      </c>
      <c r="P25">
        <v>23</v>
      </c>
      <c r="Q25" t="s">
        <v>407</v>
      </c>
      <c r="R25">
        <v>24</v>
      </c>
      <c r="S25" t="s">
        <v>408</v>
      </c>
      <c r="T25">
        <v>44</v>
      </c>
      <c r="X25" s="2" t="s">
        <v>209</v>
      </c>
      <c r="Y25" s="3">
        <v>29.06</v>
      </c>
      <c r="AA25" s="3">
        <f t="shared" si="1"/>
        <v>435.9</v>
      </c>
      <c r="AB25" s="20" t="s">
        <v>120</v>
      </c>
    </row>
    <row r="26" spans="1:28" ht="23.25" customHeight="1" x14ac:dyDescent="0.25">
      <c r="A26" s="12" t="s">
        <v>404</v>
      </c>
      <c r="B26" s="12" t="s">
        <v>405</v>
      </c>
      <c r="C26" s="12"/>
      <c r="D26" s="13">
        <v>0.58333333333333337</v>
      </c>
      <c r="E26" s="13">
        <v>0.59375</v>
      </c>
      <c r="F26" s="12" t="s">
        <v>410</v>
      </c>
      <c r="G26" s="12" t="s">
        <v>208</v>
      </c>
      <c r="H26" s="14">
        <v>9.6</v>
      </c>
      <c r="I26" s="15">
        <v>19</v>
      </c>
      <c r="J26" s="15">
        <v>15</v>
      </c>
      <c r="K26" s="14">
        <f t="shared" si="0"/>
        <v>144</v>
      </c>
      <c r="L26">
        <v>25</v>
      </c>
      <c r="N26" s="30" t="s">
        <v>40</v>
      </c>
      <c r="O26" t="s">
        <v>41</v>
      </c>
      <c r="P26">
        <v>23</v>
      </c>
      <c r="Q26" t="s">
        <v>407</v>
      </c>
      <c r="R26">
        <v>24</v>
      </c>
      <c r="S26" t="s">
        <v>408</v>
      </c>
      <c r="T26">
        <v>45</v>
      </c>
      <c r="X26" s="2" t="s">
        <v>209</v>
      </c>
      <c r="Y26" s="3">
        <v>21.46</v>
      </c>
      <c r="AA26" s="3">
        <f t="shared" si="1"/>
        <v>321.90000000000003</v>
      </c>
      <c r="AB26" s="20" t="s">
        <v>120</v>
      </c>
    </row>
    <row r="27" spans="1:28" ht="23.25" customHeight="1" x14ac:dyDescent="0.25">
      <c r="A27" s="12" t="s">
        <v>404</v>
      </c>
      <c r="B27" s="12" t="s">
        <v>405</v>
      </c>
      <c r="C27" s="12"/>
      <c r="D27" s="13">
        <v>0.60624999999999996</v>
      </c>
      <c r="E27" s="13">
        <v>0.61458333333333337</v>
      </c>
      <c r="F27" s="12" t="s">
        <v>411</v>
      </c>
      <c r="G27" s="12" t="s">
        <v>208</v>
      </c>
      <c r="H27" s="14">
        <v>9.6</v>
      </c>
      <c r="I27" s="15">
        <v>19</v>
      </c>
      <c r="J27" s="15">
        <v>15</v>
      </c>
      <c r="K27" s="14">
        <f t="shared" si="0"/>
        <v>144</v>
      </c>
      <c r="L27">
        <v>26</v>
      </c>
      <c r="N27" s="30" t="s">
        <v>40</v>
      </c>
      <c r="O27" t="s">
        <v>41</v>
      </c>
      <c r="P27">
        <v>23</v>
      </c>
      <c r="Q27" t="s">
        <v>407</v>
      </c>
      <c r="R27">
        <v>24</v>
      </c>
      <c r="S27" t="s">
        <v>408</v>
      </c>
      <c r="T27">
        <v>46</v>
      </c>
      <c r="X27" s="2" t="s">
        <v>209</v>
      </c>
      <c r="Y27" s="3">
        <v>21.46</v>
      </c>
      <c r="AA27" s="3">
        <f t="shared" si="1"/>
        <v>321.90000000000003</v>
      </c>
      <c r="AB27" s="20" t="s">
        <v>120</v>
      </c>
    </row>
    <row r="28" spans="1:28" ht="34.5" customHeight="1" x14ac:dyDescent="0.25">
      <c r="A28" s="12" t="s">
        <v>404</v>
      </c>
      <c r="B28" s="12" t="s">
        <v>405</v>
      </c>
      <c r="C28" s="12"/>
      <c r="D28" s="13">
        <v>0.78194444444444444</v>
      </c>
      <c r="E28" s="13">
        <v>0.79583333333333328</v>
      </c>
      <c r="F28" s="12" t="s">
        <v>406</v>
      </c>
      <c r="G28" s="12" t="s">
        <v>208</v>
      </c>
      <c r="H28" s="14">
        <v>13</v>
      </c>
      <c r="I28" s="15">
        <v>19</v>
      </c>
      <c r="J28" s="15">
        <v>15</v>
      </c>
      <c r="K28" s="14">
        <f t="shared" si="0"/>
        <v>195</v>
      </c>
      <c r="L28">
        <v>27</v>
      </c>
      <c r="N28" s="30" t="s">
        <v>40</v>
      </c>
      <c r="O28" t="s">
        <v>41</v>
      </c>
      <c r="P28">
        <v>23</v>
      </c>
      <c r="Q28" t="s">
        <v>407</v>
      </c>
      <c r="R28">
        <v>24</v>
      </c>
      <c r="S28" t="s">
        <v>408</v>
      </c>
      <c r="T28">
        <v>47</v>
      </c>
      <c r="X28" s="2" t="s">
        <v>209</v>
      </c>
      <c r="Y28" s="3">
        <v>29.06</v>
      </c>
      <c r="AA28" s="3">
        <f t="shared" si="1"/>
        <v>435.9</v>
      </c>
      <c r="AB28" s="20" t="s">
        <v>120</v>
      </c>
    </row>
    <row r="29" spans="1:28" ht="23.25" customHeight="1" x14ac:dyDescent="0.25">
      <c r="A29" s="12" t="s">
        <v>404</v>
      </c>
      <c r="B29" s="12" t="s">
        <v>405</v>
      </c>
      <c r="C29" s="12"/>
      <c r="D29" s="13">
        <v>0.79652777777777772</v>
      </c>
      <c r="E29" s="13">
        <v>0.80208333333333337</v>
      </c>
      <c r="F29" s="12" t="s">
        <v>418</v>
      </c>
      <c r="G29" s="12" t="s">
        <v>208</v>
      </c>
      <c r="H29" s="14">
        <v>4.8</v>
      </c>
      <c r="I29" s="15">
        <v>19</v>
      </c>
      <c r="J29" s="15">
        <v>15</v>
      </c>
      <c r="K29" s="14">
        <f t="shared" si="0"/>
        <v>72</v>
      </c>
      <c r="L29">
        <v>28</v>
      </c>
      <c r="N29" s="30" t="s">
        <v>40</v>
      </c>
      <c r="O29" t="s">
        <v>41</v>
      </c>
      <c r="P29">
        <v>23</v>
      </c>
      <c r="Q29" t="s">
        <v>407</v>
      </c>
      <c r="R29">
        <v>24</v>
      </c>
      <c r="S29" t="s">
        <v>408</v>
      </c>
      <c r="T29">
        <v>48</v>
      </c>
      <c r="X29" s="2" t="s">
        <v>209</v>
      </c>
      <c r="Y29" s="3">
        <v>10.73</v>
      </c>
      <c r="AA29" s="3">
        <f t="shared" si="1"/>
        <v>160.95000000000002</v>
      </c>
      <c r="AB29" s="20" t="s">
        <v>120</v>
      </c>
    </row>
    <row r="30" spans="1:28" ht="29.25" customHeight="1" x14ac:dyDescent="0.25">
      <c r="A30" s="12" t="s">
        <v>404</v>
      </c>
      <c r="B30" s="12" t="s">
        <v>405</v>
      </c>
      <c r="C30" s="12"/>
      <c r="D30" s="13"/>
      <c r="E30" s="13"/>
      <c r="F30" s="12" t="s">
        <v>419</v>
      </c>
      <c r="G30" s="12" t="s">
        <v>171</v>
      </c>
      <c r="H30" s="14">
        <v>1</v>
      </c>
      <c r="I30" s="15">
        <v>19</v>
      </c>
      <c r="J30" s="15">
        <v>77</v>
      </c>
      <c r="K30" s="14">
        <f t="shared" si="0"/>
        <v>77</v>
      </c>
      <c r="L30">
        <v>29</v>
      </c>
      <c r="N30" s="30" t="s">
        <v>40</v>
      </c>
      <c r="O30" t="s">
        <v>41</v>
      </c>
      <c r="P30">
        <v>23</v>
      </c>
      <c r="Q30" t="s">
        <v>407</v>
      </c>
      <c r="R30">
        <v>24</v>
      </c>
      <c r="S30" t="s">
        <v>408</v>
      </c>
      <c r="T30">
        <v>49</v>
      </c>
      <c r="X30" s="2" t="s">
        <v>172</v>
      </c>
      <c r="Y30" s="3">
        <v>2.2400000000000002</v>
      </c>
      <c r="AA30" s="3">
        <f t="shared" si="1"/>
        <v>172.48000000000002</v>
      </c>
      <c r="AB30" s="20" t="s">
        <v>120</v>
      </c>
    </row>
    <row r="31" spans="1:28" ht="29.25" customHeight="1" x14ac:dyDescent="0.25">
      <c r="A31" s="12" t="s">
        <v>404</v>
      </c>
      <c r="B31" s="12" t="s">
        <v>405</v>
      </c>
      <c r="C31" s="12"/>
      <c r="D31" s="13"/>
      <c r="E31" s="13"/>
      <c r="F31" s="12" t="s">
        <v>420</v>
      </c>
      <c r="G31" s="12" t="s">
        <v>171</v>
      </c>
      <c r="H31" s="14">
        <v>1</v>
      </c>
      <c r="I31" s="15">
        <v>19</v>
      </c>
      <c r="J31" s="15">
        <v>77</v>
      </c>
      <c r="K31" s="14">
        <f t="shared" si="0"/>
        <v>77</v>
      </c>
      <c r="L31">
        <v>30</v>
      </c>
      <c r="N31" s="30" t="s">
        <v>40</v>
      </c>
      <c r="O31" t="s">
        <v>41</v>
      </c>
      <c r="P31">
        <v>23</v>
      </c>
      <c r="Q31" t="s">
        <v>407</v>
      </c>
      <c r="R31">
        <v>24</v>
      </c>
      <c r="S31" t="s">
        <v>408</v>
      </c>
      <c r="T31">
        <v>50</v>
      </c>
      <c r="X31" s="2" t="s">
        <v>172</v>
      </c>
      <c r="Y31" s="3">
        <v>2.2400000000000002</v>
      </c>
      <c r="AA31" s="3">
        <f t="shared" si="1"/>
        <v>172.48000000000002</v>
      </c>
      <c r="AB31" s="20" t="s">
        <v>120</v>
      </c>
    </row>
    <row r="32" spans="1:28" ht="15" customHeight="1" x14ac:dyDescent="0.25">
      <c r="A32" s="25"/>
      <c r="B32" s="25"/>
      <c r="C32" s="25"/>
      <c r="E32" s="26"/>
      <c r="F32" s="25"/>
      <c r="G32" s="25"/>
      <c r="H32" s="27" t="s">
        <v>283</v>
      </c>
      <c r="I32" s="28"/>
      <c r="J32" s="28"/>
      <c r="K32" s="45">
        <f>SUM(K2:K31)</f>
        <v>12055.2</v>
      </c>
      <c r="AA32" s="29">
        <f>SUM(AA2:AA31)</f>
        <v>26948.810000000009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PERGINE</vt:lpstr>
      <vt:lpstr>ARCO</vt:lpstr>
      <vt:lpstr>LAVIS</vt:lpstr>
      <vt:lpstr>CEMBRA</vt:lpstr>
      <vt:lpstr>ALBIANO</vt:lpstr>
      <vt:lpstr>Targhe ditte</vt:lpstr>
      <vt:lpstr>PERGINE giu-ago</vt:lpstr>
      <vt:lpstr>ARCO giu-ago</vt:lpstr>
      <vt:lpstr>LAVIS giu-ago</vt:lpstr>
      <vt:lpstr>CEMBRA giu-ago</vt:lpstr>
      <vt:lpstr>ALBIANO giu-ago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Olimpia Kanellatu</cp:lastModifiedBy>
  <cp:revision>0</cp:revision>
  <dcterms:created xsi:type="dcterms:W3CDTF">2026-07-14T12:24:48Z</dcterms:created>
  <dcterms:modified xsi:type="dcterms:W3CDTF">2026-07-29T09:19:01Z</dcterms:modified>
  <dc:language>en-US</dc:language>
</cp:coreProperties>
</file>