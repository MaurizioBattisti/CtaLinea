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_G\CTA\CTA-Linea\Doc da CTA\2026\"/>
    </mc:Choice>
  </mc:AlternateContent>
  <xr:revisionPtr revIDLastSave="0" documentId="13_ncr:1_{00413969-4A5C-42AE-8A29-B9BEC27EAB3D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urbani" sheetId="1" r:id="rId1"/>
  </sheets>
  <definedNames>
    <definedName name="_xlnm._FilterDatabase" localSheetId="0" hidden="1">urbani!$A$1:$Z$241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240" i="1" l="1"/>
  <c r="K240" i="1"/>
  <c r="Z239" i="1"/>
  <c r="K239" i="1"/>
  <c r="Z238" i="1"/>
  <c r="K238" i="1"/>
  <c r="Z237" i="1"/>
  <c r="K237" i="1"/>
  <c r="Z236" i="1"/>
  <c r="K236" i="1"/>
  <c r="Z235" i="1"/>
  <c r="K235" i="1"/>
  <c r="Z234" i="1"/>
  <c r="K234" i="1"/>
  <c r="Z233" i="1"/>
  <c r="K233" i="1"/>
  <c r="Z232" i="1"/>
  <c r="K232" i="1"/>
  <c r="Z231" i="1"/>
  <c r="K231" i="1"/>
  <c r="Z230" i="1"/>
  <c r="K230" i="1"/>
  <c r="Z229" i="1"/>
  <c r="K229" i="1"/>
  <c r="Z228" i="1"/>
  <c r="K228" i="1"/>
  <c r="Z227" i="1"/>
  <c r="K227" i="1"/>
  <c r="Z226" i="1"/>
  <c r="K226" i="1"/>
  <c r="Z225" i="1"/>
  <c r="K225" i="1"/>
  <c r="Z224" i="1"/>
  <c r="K224" i="1"/>
  <c r="Z223" i="1"/>
  <c r="K223" i="1"/>
  <c r="Z222" i="1"/>
  <c r="K222" i="1"/>
  <c r="Z221" i="1"/>
  <c r="K221" i="1"/>
  <c r="Z220" i="1"/>
  <c r="K220" i="1"/>
  <c r="Z219" i="1"/>
  <c r="K219" i="1"/>
  <c r="Z218" i="1"/>
  <c r="K218" i="1"/>
  <c r="Z217" i="1"/>
  <c r="K217" i="1"/>
  <c r="Z216" i="1"/>
  <c r="K216" i="1"/>
  <c r="Z215" i="1"/>
  <c r="K215" i="1"/>
  <c r="Z214" i="1"/>
  <c r="K214" i="1"/>
  <c r="Z213" i="1"/>
  <c r="K213" i="1"/>
  <c r="Z212" i="1"/>
  <c r="K212" i="1"/>
  <c r="Z211" i="1"/>
  <c r="K211" i="1"/>
  <c r="Z210" i="1"/>
  <c r="K210" i="1"/>
  <c r="Z209" i="1"/>
  <c r="K209" i="1"/>
  <c r="Z208" i="1"/>
  <c r="K208" i="1"/>
  <c r="Z207" i="1"/>
  <c r="K207" i="1"/>
  <c r="Z206" i="1"/>
  <c r="K206" i="1"/>
  <c r="Z205" i="1"/>
  <c r="K205" i="1"/>
  <c r="Z204" i="1"/>
  <c r="K204" i="1"/>
  <c r="Z203" i="1"/>
  <c r="K203" i="1"/>
  <c r="Z202" i="1"/>
  <c r="K202" i="1"/>
  <c r="Z201" i="1"/>
  <c r="K201" i="1"/>
  <c r="Z200" i="1"/>
  <c r="K200" i="1"/>
  <c r="Z199" i="1"/>
  <c r="K199" i="1"/>
  <c r="Z198" i="1"/>
  <c r="K198" i="1"/>
  <c r="Z197" i="1"/>
  <c r="K197" i="1"/>
  <c r="Z196" i="1"/>
  <c r="K196" i="1"/>
  <c r="Z195" i="1"/>
  <c r="K195" i="1"/>
  <c r="Z194" i="1"/>
  <c r="K194" i="1"/>
  <c r="Z193" i="1"/>
  <c r="K193" i="1"/>
  <c r="Z192" i="1"/>
  <c r="K192" i="1"/>
  <c r="Z191" i="1"/>
  <c r="K191" i="1"/>
  <c r="Z190" i="1"/>
  <c r="K190" i="1"/>
  <c r="Z189" i="1"/>
  <c r="K189" i="1"/>
  <c r="Z188" i="1"/>
  <c r="K188" i="1"/>
  <c r="Z187" i="1"/>
  <c r="K187" i="1"/>
  <c r="Z186" i="1"/>
  <c r="K186" i="1"/>
  <c r="Z185" i="1"/>
  <c r="K185" i="1"/>
  <c r="Z184" i="1"/>
  <c r="K184" i="1"/>
  <c r="Z183" i="1"/>
  <c r="K183" i="1"/>
  <c r="Z182" i="1"/>
  <c r="K182" i="1"/>
  <c r="Z181" i="1"/>
  <c r="K181" i="1"/>
  <c r="Z180" i="1"/>
  <c r="K180" i="1"/>
  <c r="Z179" i="1"/>
  <c r="K179" i="1"/>
  <c r="Z178" i="1"/>
  <c r="K178" i="1"/>
  <c r="Z177" i="1"/>
  <c r="K177" i="1"/>
  <c r="Z176" i="1"/>
  <c r="K176" i="1"/>
  <c r="Z175" i="1"/>
  <c r="K175" i="1"/>
  <c r="Z174" i="1"/>
  <c r="K174" i="1"/>
  <c r="Z173" i="1"/>
  <c r="K173" i="1"/>
  <c r="Z172" i="1"/>
  <c r="K172" i="1"/>
  <c r="Z171" i="1"/>
  <c r="K171" i="1"/>
  <c r="Z170" i="1"/>
  <c r="K170" i="1"/>
  <c r="Z169" i="1"/>
  <c r="K169" i="1"/>
  <c r="Z168" i="1"/>
  <c r="K168" i="1"/>
  <c r="Z167" i="1"/>
  <c r="K167" i="1"/>
  <c r="Z166" i="1"/>
  <c r="K166" i="1"/>
  <c r="Z165" i="1"/>
  <c r="K165" i="1"/>
  <c r="Z164" i="1"/>
  <c r="K164" i="1"/>
  <c r="Z163" i="1"/>
  <c r="K163" i="1"/>
  <c r="Z162" i="1"/>
  <c r="K162" i="1"/>
  <c r="Z161" i="1"/>
  <c r="K161" i="1"/>
  <c r="Z160" i="1"/>
  <c r="K160" i="1"/>
  <c r="Z159" i="1"/>
  <c r="K159" i="1"/>
  <c r="Z158" i="1"/>
  <c r="K158" i="1"/>
  <c r="Z157" i="1"/>
  <c r="K157" i="1"/>
  <c r="Z156" i="1"/>
  <c r="K156" i="1"/>
  <c r="Z155" i="1"/>
  <c r="K155" i="1"/>
  <c r="Z154" i="1"/>
  <c r="K154" i="1"/>
  <c r="Z153" i="1"/>
  <c r="K153" i="1"/>
  <c r="Z152" i="1"/>
  <c r="K152" i="1"/>
  <c r="Z151" i="1"/>
  <c r="K151" i="1"/>
  <c r="Z150" i="1"/>
  <c r="K150" i="1"/>
  <c r="Z149" i="1"/>
  <c r="K149" i="1"/>
  <c r="Z148" i="1"/>
  <c r="K148" i="1"/>
  <c r="Z147" i="1"/>
  <c r="K147" i="1"/>
  <c r="Z146" i="1"/>
  <c r="K146" i="1"/>
  <c r="Z145" i="1"/>
  <c r="K145" i="1"/>
  <c r="Z144" i="1"/>
  <c r="K144" i="1"/>
  <c r="Z143" i="1"/>
  <c r="K143" i="1"/>
  <c r="Z142" i="1"/>
  <c r="K142" i="1"/>
  <c r="Z141" i="1"/>
  <c r="K141" i="1"/>
  <c r="Z140" i="1"/>
  <c r="K140" i="1"/>
  <c r="Z139" i="1"/>
  <c r="K139" i="1"/>
  <c r="Z138" i="1"/>
  <c r="K138" i="1"/>
  <c r="Z137" i="1"/>
  <c r="K137" i="1"/>
  <c r="Z136" i="1"/>
  <c r="K136" i="1"/>
  <c r="Z135" i="1"/>
  <c r="K135" i="1"/>
  <c r="Z134" i="1"/>
  <c r="K134" i="1"/>
  <c r="Z133" i="1"/>
  <c r="K133" i="1"/>
  <c r="Z132" i="1"/>
  <c r="K132" i="1"/>
  <c r="Z131" i="1"/>
  <c r="K131" i="1"/>
  <c r="Z130" i="1"/>
  <c r="K130" i="1"/>
  <c r="Z129" i="1"/>
  <c r="K129" i="1"/>
  <c r="Z128" i="1"/>
  <c r="K128" i="1"/>
  <c r="Z127" i="1"/>
  <c r="K127" i="1"/>
  <c r="Z126" i="1"/>
  <c r="K126" i="1"/>
  <c r="Z125" i="1"/>
  <c r="K125" i="1"/>
  <c r="Z124" i="1"/>
  <c r="K124" i="1"/>
  <c r="Z123" i="1"/>
  <c r="K123" i="1"/>
  <c r="Z122" i="1"/>
  <c r="K122" i="1"/>
  <c r="Z121" i="1"/>
  <c r="K121" i="1"/>
  <c r="Z120" i="1"/>
  <c r="K120" i="1"/>
  <c r="Z119" i="1"/>
  <c r="K119" i="1"/>
  <c r="Z118" i="1"/>
  <c r="K118" i="1"/>
  <c r="Z117" i="1"/>
  <c r="K117" i="1"/>
  <c r="Z116" i="1"/>
  <c r="K116" i="1"/>
  <c r="Z115" i="1"/>
  <c r="K115" i="1"/>
  <c r="Z114" i="1"/>
  <c r="K114" i="1"/>
  <c r="Z113" i="1"/>
  <c r="K113" i="1"/>
  <c r="Z112" i="1"/>
  <c r="K112" i="1"/>
  <c r="Z111" i="1"/>
  <c r="K111" i="1"/>
  <c r="Z110" i="1"/>
  <c r="K110" i="1"/>
  <c r="Z109" i="1"/>
  <c r="K109" i="1"/>
  <c r="Z108" i="1"/>
  <c r="K108" i="1"/>
  <c r="Z107" i="1"/>
  <c r="K107" i="1"/>
  <c r="Z106" i="1"/>
  <c r="K106" i="1"/>
  <c r="Z105" i="1"/>
  <c r="K105" i="1"/>
  <c r="Z104" i="1"/>
  <c r="K104" i="1"/>
  <c r="Z103" i="1"/>
  <c r="K103" i="1"/>
  <c r="Z102" i="1"/>
  <c r="K102" i="1"/>
  <c r="Z101" i="1"/>
  <c r="K101" i="1"/>
  <c r="Z100" i="1"/>
  <c r="K100" i="1"/>
  <c r="Z99" i="1"/>
  <c r="K99" i="1"/>
  <c r="Z98" i="1"/>
  <c r="K98" i="1"/>
  <c r="Z97" i="1"/>
  <c r="K97" i="1"/>
  <c r="Z96" i="1"/>
  <c r="K96" i="1"/>
  <c r="Z95" i="1"/>
  <c r="K95" i="1"/>
  <c r="Z94" i="1"/>
  <c r="K94" i="1"/>
  <c r="Z93" i="1"/>
  <c r="K93" i="1"/>
  <c r="Z92" i="1"/>
  <c r="K92" i="1"/>
  <c r="Z91" i="1"/>
  <c r="K91" i="1"/>
  <c r="Z90" i="1"/>
  <c r="K90" i="1"/>
  <c r="Z89" i="1"/>
  <c r="K89" i="1"/>
  <c r="Z88" i="1"/>
  <c r="K88" i="1"/>
  <c r="Z87" i="1"/>
  <c r="K87" i="1"/>
  <c r="Z86" i="1"/>
  <c r="K86" i="1"/>
  <c r="Z85" i="1"/>
  <c r="K85" i="1"/>
  <c r="Z84" i="1"/>
  <c r="K84" i="1"/>
  <c r="Z83" i="1"/>
  <c r="K83" i="1"/>
  <c r="Z82" i="1"/>
  <c r="K82" i="1"/>
  <c r="Z81" i="1"/>
  <c r="K81" i="1"/>
  <c r="Z80" i="1"/>
  <c r="K80" i="1"/>
  <c r="Z79" i="1"/>
  <c r="K79" i="1"/>
  <c r="Z78" i="1"/>
  <c r="K78" i="1"/>
  <c r="Z77" i="1"/>
  <c r="K77" i="1"/>
  <c r="Z76" i="1"/>
  <c r="K76" i="1"/>
  <c r="Z75" i="1"/>
  <c r="K75" i="1"/>
  <c r="Z74" i="1"/>
  <c r="K74" i="1"/>
  <c r="Z73" i="1"/>
  <c r="K73" i="1"/>
  <c r="Z72" i="1"/>
  <c r="K72" i="1"/>
  <c r="Z71" i="1"/>
  <c r="K71" i="1"/>
  <c r="Z70" i="1"/>
  <c r="K70" i="1"/>
  <c r="Z69" i="1"/>
  <c r="K69" i="1"/>
  <c r="Z68" i="1"/>
  <c r="K68" i="1"/>
  <c r="Z67" i="1"/>
  <c r="K67" i="1"/>
  <c r="Z66" i="1"/>
  <c r="K66" i="1"/>
  <c r="Z65" i="1"/>
  <c r="K65" i="1"/>
  <c r="Z64" i="1"/>
  <c r="K64" i="1"/>
  <c r="Z63" i="1"/>
  <c r="K63" i="1"/>
  <c r="Z62" i="1"/>
  <c r="K62" i="1"/>
  <c r="Z61" i="1"/>
  <c r="K61" i="1"/>
  <c r="Z60" i="1"/>
  <c r="K60" i="1"/>
  <c r="Z59" i="1"/>
  <c r="K59" i="1"/>
  <c r="Z58" i="1"/>
  <c r="K58" i="1"/>
  <c r="Z57" i="1"/>
  <c r="K57" i="1"/>
  <c r="Z56" i="1"/>
  <c r="K56" i="1"/>
  <c r="Z55" i="1"/>
  <c r="K55" i="1"/>
  <c r="Z54" i="1"/>
  <c r="K54" i="1"/>
  <c r="Z53" i="1"/>
  <c r="K53" i="1"/>
  <c r="Z52" i="1"/>
  <c r="K52" i="1"/>
  <c r="Z51" i="1"/>
  <c r="K51" i="1"/>
  <c r="Z50" i="1"/>
  <c r="K50" i="1"/>
  <c r="Z49" i="1"/>
  <c r="K49" i="1"/>
  <c r="Z48" i="1"/>
  <c r="K48" i="1"/>
  <c r="Z47" i="1"/>
  <c r="K47" i="1"/>
  <c r="Z46" i="1"/>
  <c r="K46" i="1"/>
  <c r="Z45" i="1"/>
  <c r="K45" i="1"/>
  <c r="Z44" i="1"/>
  <c r="K44" i="1"/>
  <c r="Z43" i="1"/>
  <c r="K43" i="1"/>
  <c r="Z42" i="1"/>
  <c r="K42" i="1"/>
  <c r="Z41" i="1"/>
  <c r="K41" i="1"/>
  <c r="Z40" i="1"/>
  <c r="K40" i="1"/>
  <c r="Z39" i="1"/>
  <c r="K39" i="1"/>
  <c r="Z38" i="1"/>
  <c r="K38" i="1"/>
  <c r="Z37" i="1"/>
  <c r="K37" i="1"/>
  <c r="Z36" i="1"/>
  <c r="K36" i="1"/>
  <c r="Z35" i="1"/>
  <c r="K35" i="1"/>
  <c r="Z34" i="1"/>
  <c r="K34" i="1"/>
  <c r="Z33" i="1"/>
  <c r="K33" i="1"/>
  <c r="Z32" i="1"/>
  <c r="K32" i="1"/>
  <c r="Z31" i="1"/>
  <c r="K31" i="1"/>
  <c r="Z30" i="1"/>
  <c r="K30" i="1"/>
  <c r="Z29" i="1"/>
  <c r="K29" i="1"/>
  <c r="Z28" i="1"/>
  <c r="K28" i="1"/>
  <c r="Z27" i="1"/>
  <c r="K27" i="1"/>
  <c r="Z26" i="1"/>
  <c r="K26" i="1"/>
  <c r="Z25" i="1"/>
  <c r="K25" i="1"/>
  <c r="Z24" i="1"/>
  <c r="K24" i="1"/>
  <c r="Z23" i="1"/>
  <c r="K23" i="1"/>
  <c r="Z22" i="1"/>
  <c r="K22" i="1"/>
  <c r="Z21" i="1"/>
  <c r="K21" i="1"/>
  <c r="Z20" i="1"/>
  <c r="K20" i="1"/>
  <c r="Z19" i="1"/>
  <c r="K19" i="1"/>
  <c r="Z18" i="1"/>
  <c r="K18" i="1"/>
  <c r="Z17" i="1"/>
  <c r="K17" i="1"/>
  <c r="Z16" i="1"/>
  <c r="K16" i="1"/>
  <c r="Z15" i="1"/>
  <c r="K15" i="1"/>
  <c r="Z14" i="1"/>
  <c r="K14" i="1"/>
  <c r="Z13" i="1"/>
  <c r="K13" i="1"/>
  <c r="Z12" i="1"/>
  <c r="K12" i="1"/>
  <c r="Z11" i="1"/>
  <c r="K11" i="1"/>
  <c r="Z10" i="1"/>
  <c r="K10" i="1"/>
  <c r="Z9" i="1"/>
  <c r="K9" i="1"/>
  <c r="Z8" i="1"/>
  <c r="K8" i="1"/>
  <c r="Z7" i="1"/>
  <c r="K7" i="1"/>
  <c r="Z6" i="1"/>
  <c r="K6" i="1"/>
  <c r="Z5" i="1"/>
  <c r="K5" i="1"/>
  <c r="Z4" i="1"/>
  <c r="K4" i="1"/>
  <c r="Z3" i="1"/>
  <c r="K3" i="1"/>
  <c r="Z2" i="1"/>
  <c r="Z241" i="1" s="1"/>
  <c r="K2" i="1"/>
  <c r="K241" i="1" s="1"/>
</calcChain>
</file>

<file path=xl/sharedStrings.xml><?xml version="1.0" encoding="utf-8"?>
<sst xmlns="http://schemas.openxmlformats.org/spreadsheetml/2006/main" count="3993" uniqueCount="391">
  <si>
    <t>Servizio</t>
  </si>
  <si>
    <t>Linea</t>
  </si>
  <si>
    <t>n.
corsa</t>
  </si>
  <si>
    <t>ora part.</t>
  </si>
  <si>
    <t>ora arr.</t>
  </si>
  <si>
    <t>percorso</t>
  </si>
  <si>
    <t>frequenza</t>
  </si>
  <si>
    <t>Km corsa/servizio</t>
  </si>
  <si>
    <t>Posti autobus</t>
  </si>
  <si>
    <t>nr. Gg</t>
  </si>
  <si>
    <t>Tot km</t>
  </si>
  <si>
    <t>n°
riga</t>
  </si>
  <si>
    <t>Esito</t>
  </si>
  <si>
    <t>DITTA</t>
  </si>
  <si>
    <t>MEZZO TITOLARE</t>
  </si>
  <si>
    <t>posti mezzo titolare</t>
  </si>
  <si>
    <t>MEZZO DI RISERVA 1</t>
  </si>
  <si>
    <t>posti mezzo di riserva 1</t>
  </si>
  <si>
    <t>MEZZO DI RISERVA 2</t>
  </si>
  <si>
    <t>posti mezzo di riserva 2</t>
  </si>
  <si>
    <t>MEZZO DI SUPPORTO</t>
  </si>
  <si>
    <t>posti mezzo di supporto</t>
  </si>
  <si>
    <t>conferma servizi ditta</t>
  </si>
  <si>
    <t>frequenza CTA</t>
  </si>
  <si>
    <t>tariffa 2025/2026</t>
  </si>
  <si>
    <t>costo annuo</t>
  </si>
  <si>
    <t>nota gg (set-mag)</t>
  </si>
  <si>
    <t>NOME 1</t>
  </si>
  <si>
    <t>NOME 2</t>
  </si>
  <si>
    <t>NOME 3</t>
  </si>
  <si>
    <t>Lunedì</t>
  </si>
  <si>
    <t>Martedì</t>
  </si>
  <si>
    <t>Mercoledì</t>
  </si>
  <si>
    <t>Giovedì</t>
  </si>
  <si>
    <t>Venerdì</t>
  </si>
  <si>
    <t>Sabati</t>
  </si>
  <si>
    <t>Domeniche</t>
  </si>
  <si>
    <t>URBANO PERGINE</t>
  </si>
  <si>
    <t>1</t>
  </si>
  <si>
    <t>487</t>
  </si>
  <si>
    <t>Madrano-Pergine</t>
  </si>
  <si>
    <t>invernale feriale dal lunedì al sabato</t>
  </si>
  <si>
    <t>VALBUS S.R.L.</t>
  </si>
  <si>
    <t>FL786HC</t>
  </si>
  <si>
    <t>GP809YY</t>
  </si>
  <si>
    <t>invernale feriale lu-sa</t>
  </si>
  <si>
    <t>da PDF</t>
  </si>
  <si>
    <t>Invernale Feriale</t>
  </si>
  <si>
    <t>X</t>
  </si>
  <si>
    <t>estiva feriale dal lunedì al sabato</t>
  </si>
  <si>
    <t>estiva feriale lu-sa</t>
  </si>
  <si>
    <t>Estivo Feriale</t>
  </si>
  <si>
    <t>422-399</t>
  </si>
  <si>
    <t>Pergine - Nogarè -Nogarè - Pergine</t>
  </si>
  <si>
    <t>estiva feriale dal lunedì al venerdì</t>
  </si>
  <si>
    <t>estiva feriale lu-ve</t>
  </si>
  <si>
    <t>420-401</t>
  </si>
  <si>
    <t>96-483</t>
  </si>
  <si>
    <t>scolastica dal lunedì al sabato</t>
  </si>
  <si>
    <t>ZAMPEDRI STEFANO</t>
  </si>
  <si>
    <t>GT675ZH</t>
  </si>
  <si>
    <t>FE022HG</t>
  </si>
  <si>
    <t>sì</t>
  </si>
  <si>
    <t>scolastica lu-sa</t>
  </si>
  <si>
    <t>Scolastico</t>
  </si>
  <si>
    <t>96</t>
  </si>
  <si>
    <t>Pergine-Nogarè</t>
  </si>
  <si>
    <t>estiva feriale dal lunedì al venerdì + invernale non scolastico dal lunedì al venerdì</t>
  </si>
  <si>
    <t>estiva feriale lu-ve + no scol lu-ve</t>
  </si>
  <si>
    <t>Non scolastico</t>
  </si>
  <si>
    <t>estiva feriale solo al sabato + invernale non scolastico solo al sabato</t>
  </si>
  <si>
    <t>estiva feriale sa + no scol sa</t>
  </si>
  <si>
    <t>97</t>
  </si>
  <si>
    <t>Nogarè -Pergine</t>
  </si>
  <si>
    <t>non scolastica feriale dal lunedì al sabato</t>
  </si>
  <si>
    <t>ITALBUS S.N.C. DI CASAGRANDE ARMANDO E CHRISTIAN &amp; C.</t>
  </si>
  <si>
    <t>GE440VX</t>
  </si>
  <si>
    <t>GP876HE</t>
  </si>
  <si>
    <t>EV877GJ</t>
  </si>
  <si>
    <t>invernale feriale no scol lu-sa</t>
  </si>
  <si>
    <t>Non Scolastico</t>
  </si>
  <si>
    <t>622</t>
  </si>
  <si>
    <t>Pergine-Canzolino</t>
  </si>
  <si>
    <t>scolastica dal lunedì al venerdì</t>
  </si>
  <si>
    <t>scolastica lu-ve</t>
  </si>
  <si>
    <t>ripartito: blocco PDF su righe sdoppiate (164 + differenza alla gemella)</t>
  </si>
  <si>
    <t>scolastica sabato</t>
  </si>
  <si>
    <t>11 BIS</t>
  </si>
  <si>
    <t>scolastica sa</t>
  </si>
  <si>
    <t>stimato dalla frequenza (riga sdoppiata per corsa)</t>
  </si>
  <si>
    <t>588-589</t>
  </si>
  <si>
    <t>FERSINA TOUR S.R.L</t>
  </si>
  <si>
    <t>GG078PN</t>
  </si>
  <si>
    <t>FR820WP</t>
  </si>
  <si>
    <t>FM703MA</t>
  </si>
  <si>
    <t>invernale feriale dal lunedì al venerdì</t>
  </si>
  <si>
    <t>invernale feriale lu-ve</t>
  </si>
  <si>
    <t>480-485</t>
  </si>
  <si>
    <t>ripartito: blocco PDF su righe sdoppiate (182 + differenza alla gemella)</t>
  </si>
  <si>
    <t>2</t>
  </si>
  <si>
    <t>600</t>
  </si>
  <si>
    <t>Pergine-Canezza-Viarago-Serso-Canezza-Pergine</t>
  </si>
  <si>
    <t>602</t>
  </si>
  <si>
    <t>604</t>
  </si>
  <si>
    <t>3</t>
  </si>
  <si>
    <t>475</t>
  </si>
  <si>
    <t>Zava-Pergine</t>
  </si>
  <si>
    <t>452</t>
  </si>
  <si>
    <t>Marie Curie - Pergine - Assizzi-Masetti - Zava</t>
  </si>
  <si>
    <t>Pergine - Assizzi-Masetti - Zava</t>
  </si>
  <si>
    <t>4</t>
  </si>
  <si>
    <t>498-505</t>
  </si>
  <si>
    <t>Pergine-Ischia-Ischia-Pergine</t>
  </si>
  <si>
    <t>502-509</t>
  </si>
  <si>
    <t>feriale dal lunedì al sabato</t>
  </si>
  <si>
    <t>annuale feriale lu-sa</t>
  </si>
  <si>
    <t>Annuale Feriale</t>
  </si>
  <si>
    <t>270</t>
  </si>
  <si>
    <t>Pergine via S.Pietro-Intermodale-Ischia</t>
  </si>
  <si>
    <t>FZ194KS</t>
  </si>
  <si>
    <t>504-511</t>
  </si>
  <si>
    <t>Ischia - Tenna-Tenna - Ischia</t>
  </si>
  <si>
    <t>5</t>
  </si>
  <si>
    <t>479</t>
  </si>
  <si>
    <t>Masi (Valcanover) - S. Caterina-San Cristoforo</t>
  </si>
  <si>
    <t>215</t>
  </si>
  <si>
    <t>Maso Gretter - S.Vito - Susà-Pergine</t>
  </si>
  <si>
    <t>S.Vito-Susà-Pergine</t>
  </si>
  <si>
    <t>459</t>
  </si>
  <si>
    <t>Masi - S. Caterina- Pergine</t>
  </si>
  <si>
    <t>521</t>
  </si>
  <si>
    <t>Canale -Pergine (diretta)</t>
  </si>
  <si>
    <t>Canale - Susà- Pergine</t>
  </si>
  <si>
    <t>estiva feriale dal lunedì al sabato + invernale non scolastico dal lunedì al sabato</t>
  </si>
  <si>
    <t>estiva feriale lu-sa + no scol lu-sa</t>
  </si>
  <si>
    <t>da PDF (testo frequenza troncato nel PDF)</t>
  </si>
  <si>
    <t>Susà- Pergine</t>
  </si>
  <si>
    <t>461</t>
  </si>
  <si>
    <t>S. Caterina-Pergine</t>
  </si>
  <si>
    <t>520-523</t>
  </si>
  <si>
    <t>Pergine - Susà - Canale-Canale - Pergine</t>
  </si>
  <si>
    <t>607</t>
  </si>
  <si>
    <t>S.Vito-S.Caterina-Pergine</t>
  </si>
  <si>
    <t>feriale solo al martedì e al sabato</t>
  </si>
  <si>
    <t>annuale feriale ma, sa</t>
  </si>
  <si>
    <t>S.Vito-Pergine</t>
  </si>
  <si>
    <t>invernale solo al lunedì e al giovedì feriale</t>
  </si>
  <si>
    <t>invernale feriale lu, gio</t>
  </si>
  <si>
    <t>524-539</t>
  </si>
  <si>
    <t>Pergine - S.Caterina-S.Caterina - Pergine</t>
  </si>
  <si>
    <t>feriale dal lunedì al venerdì</t>
  </si>
  <si>
    <t>annuale feriale lu-ve</t>
  </si>
  <si>
    <t>feriale solo al sabato</t>
  </si>
  <si>
    <t>annuale feriale sa</t>
  </si>
  <si>
    <t>606</t>
  </si>
  <si>
    <t>Pergine - Susà - Canale-S.Caterina-S.Vito</t>
  </si>
  <si>
    <t>Pergine-Susà-S.Vito</t>
  </si>
  <si>
    <t>624</t>
  </si>
  <si>
    <t>Pergine - Susà - Canale-S.Caterina</t>
  </si>
  <si>
    <t>628</t>
  </si>
  <si>
    <t>Pergine via S.Pietro-Susà-via Angi-Canale</t>
  </si>
  <si>
    <t>Pergine via S.Pietro-Canale (c.sa bis) diretta</t>
  </si>
  <si>
    <t>444</t>
  </si>
  <si>
    <t>Pergine-MASI DI MEZZO - S. Caterina</t>
  </si>
  <si>
    <t>236</t>
  </si>
  <si>
    <t>Pergine-S.Vito - Maso Gretter</t>
  </si>
  <si>
    <t>541</t>
  </si>
  <si>
    <t>S. Caterina - Canale - Susà-Pergine</t>
  </si>
  <si>
    <t>ripartito: blocco invernale lu-ve 182 = 164 scol + 18 non scol</t>
  </si>
  <si>
    <t>non scolastica dal lunedì al venerdì</t>
  </si>
  <si>
    <t>52 BIS</t>
  </si>
  <si>
    <t>invernale feriale no scol lu-ve</t>
  </si>
  <si>
    <t>235</t>
  </si>
  <si>
    <t>S. Vito-Pergine</t>
  </si>
  <si>
    <t>Canale - Susà-Pergine</t>
  </si>
  <si>
    <t>644</t>
  </si>
  <si>
    <t>Pergine v.S.Pietro-Pergine Intermodale-Susà-Canale</t>
  </si>
  <si>
    <t>528-545</t>
  </si>
  <si>
    <t>Pergine - Valcanover-Valcanover - Pergine</t>
  </si>
  <si>
    <t>238</t>
  </si>
  <si>
    <t>Pergine-S.Vito</t>
  </si>
  <si>
    <t>6</t>
  </si>
  <si>
    <t>201</t>
  </si>
  <si>
    <t>Roncogno-Pergine</t>
  </si>
  <si>
    <t>491</t>
  </si>
  <si>
    <t>RONCOGNO - Costasavina-Pergine</t>
  </si>
  <si>
    <t>291</t>
  </si>
  <si>
    <t>Fornaci di Roncogno-Pergine Rodari/Garbari (c.sa bis)</t>
  </si>
  <si>
    <t>492-203</t>
  </si>
  <si>
    <t>Pergine - Roncogno-Roncogno - Pergine</t>
  </si>
  <si>
    <t>244-247</t>
  </si>
  <si>
    <t>Pergine V. S.Pietro - Centro Intermodale - Costasavina - Roncogno -Roncogno - Centro Intermodale</t>
  </si>
  <si>
    <t>GROFF PAOLO</t>
  </si>
  <si>
    <t>FL561HC</t>
  </si>
  <si>
    <t>496-501</t>
  </si>
  <si>
    <t>Pergine - Costasavina - Roncogno-Roncogno - Pergine</t>
  </si>
  <si>
    <t>8</t>
  </si>
  <si>
    <t>549-550-551</t>
  </si>
  <si>
    <t>8.10 Pergine-Osp.Villa Rosa-Pergine 8.40 Pergine-Osp.Villa Rosa-Pergine 9.10 Pergine-Osp.Villa Rosa-Pergine</t>
  </si>
  <si>
    <t>549-551</t>
  </si>
  <si>
    <t>8.17 Osp.Villa Rosa-Zivignago e rit. 9.17 Osp.Villa Rosa-Zivignago e rit.</t>
  </si>
  <si>
    <t>552-553-554-556-557</t>
  </si>
  <si>
    <t>9.45 Pergine-Osp.Villa Rosa-Pergine 10.10 Pergine-Osp.Villa Rosa-Pergine 10.40 Pergine-Osp.Villa Rosa-Pergine 11.10 Pergine-Osp.Villa Rosa-Pergine 12.10 Pergine-Osp.Villa Rosa-Pergine</t>
  </si>
  <si>
    <t>11.40 Pergine-Osp.Villa Rosa-Pergine</t>
  </si>
  <si>
    <t>invernale feriale sabato</t>
  </si>
  <si>
    <t>66 BIS</t>
  </si>
  <si>
    <t>invernale feriale sa</t>
  </si>
  <si>
    <t>derivato: blocco inv. lun-sab 218 = 182 lu-ve + 36 sab</t>
  </si>
  <si>
    <t>66 TRIS</t>
  </si>
  <si>
    <t>553-555-557</t>
  </si>
  <si>
    <t>10.17 Osp.Villa Rosa-Zivignago e rit. 11.17 Osp.Villa Rosa-Zivignago e rit. 12.17 Osp.Villa Rosa-Zivignago e rit.</t>
  </si>
  <si>
    <t>558</t>
  </si>
  <si>
    <t>12.40 Pergine-Osp.Villa Rosa-Pergine</t>
  </si>
  <si>
    <t>564</t>
  </si>
  <si>
    <t>16.40 Pergine-Osp.Villa Rosa-Pergine</t>
  </si>
  <si>
    <t>559-560-561-565</t>
  </si>
  <si>
    <t>13.10 Pergine-Osp.Villa Rosa-Pergine 14.40 Pergine-Osp.Villa Rosa-Pergine 15.10 Pergine-Osp.Villa Rosa-Pergine 17.10 Pergine-Osp.Villa Rosa-Pergine</t>
  </si>
  <si>
    <t>16.10 Pergine-Osp.Villa Rosa-Pergine</t>
  </si>
  <si>
    <t>70 BIS</t>
  </si>
  <si>
    <t>70 TRIS</t>
  </si>
  <si>
    <t>560-565</t>
  </si>
  <si>
    <t>14.47 Osp.Villa Rosa-Zivignago e rit. 17.17 Osp.Villa Rosa-Zivignago e rit.</t>
  </si>
  <si>
    <t>16.17 Osp.Villa Rosa-Zivignago e rit.</t>
  </si>
  <si>
    <t>71 BIS</t>
  </si>
  <si>
    <t>71 TRIS</t>
  </si>
  <si>
    <t>Pergine-S.Vito (corsa bis)</t>
  </si>
  <si>
    <t>170</t>
  </si>
  <si>
    <t>S. Vito-Pergine (corsa bis)</t>
  </si>
  <si>
    <t>S.Vito-Susà-Pergine (corsa bis)</t>
  </si>
  <si>
    <t>SERVIZIO ALTO GARDA</t>
  </si>
  <si>
    <t>869</t>
  </si>
  <si>
    <t>533</t>
  </si>
  <si>
    <t>Campi-Riva del Garda</t>
  </si>
  <si>
    <t>AUTOSERVIZI MATTUZZI CLAUDIO &amp; C. S.N.C.</t>
  </si>
  <si>
    <t>GF141FZ</t>
  </si>
  <si>
    <t>HB068YP</t>
  </si>
  <si>
    <t>Campi-Riva v.le Martiri</t>
  </si>
  <si>
    <t>555</t>
  </si>
  <si>
    <t>GY436PZ</t>
  </si>
  <si>
    <t>557</t>
  </si>
  <si>
    <t>554</t>
  </si>
  <si>
    <t>Riva v.le Martiri-Campi</t>
  </si>
  <si>
    <t>556</t>
  </si>
  <si>
    <t>560</t>
  </si>
  <si>
    <t>Riva d.G-Campi</t>
  </si>
  <si>
    <t>863</t>
  </si>
  <si>
    <t>803</t>
  </si>
  <si>
    <t>Riva d.G.-Arco</t>
  </si>
  <si>
    <t>SOLETANA VIAGGI S.R.L.</t>
  </si>
  <si>
    <t>FJ863YE</t>
  </si>
  <si>
    <t>GW667HX</t>
  </si>
  <si>
    <t>FH513LD</t>
  </si>
  <si>
    <t>862</t>
  </si>
  <si>
    <t>501</t>
  </si>
  <si>
    <t>Varone Sega-Riva del Garda</t>
  </si>
  <si>
    <t>GT606ZH</t>
  </si>
  <si>
    <t>FE584HG</t>
  </si>
  <si>
    <t>FZ760BE</t>
  </si>
  <si>
    <t>T.M. L.1 - Linea L1 - LAVIS</t>
  </si>
  <si>
    <t>10</t>
  </si>
  <si>
    <t>L01101 n5</t>
  </si>
  <si>
    <t>SORNI bivio - SORNI</t>
  </si>
  <si>
    <t>Non scolastica da Lunedì a Venerdì (estate + invernale)</t>
  </si>
  <si>
    <t>ELIMA SRL</t>
  </si>
  <si>
    <t>GL794HS</t>
  </si>
  <si>
    <t>GP595HE</t>
  </si>
  <si>
    <t>da PDF (ordine posizionale)</t>
  </si>
  <si>
    <t>20</t>
  </si>
  <si>
    <t>L01151 n5</t>
  </si>
  <si>
    <t>SORNI - LAVIS via Nazionale</t>
  </si>
  <si>
    <t>30</t>
  </si>
  <si>
    <t>L01102</t>
  </si>
  <si>
    <t>LAVIS via Nazionale - SORNI</t>
  </si>
  <si>
    <t>40</t>
  </si>
  <si>
    <t>L01152</t>
  </si>
  <si>
    <t>50</t>
  </si>
  <si>
    <t>L01103</t>
  </si>
  <si>
    <t>60</t>
  </si>
  <si>
    <t>L01153</t>
  </si>
  <si>
    <t>70</t>
  </si>
  <si>
    <t>L01104</t>
  </si>
  <si>
    <t>80</t>
  </si>
  <si>
    <t>L01154</t>
  </si>
  <si>
    <t>90</t>
  </si>
  <si>
    <t>L01105</t>
  </si>
  <si>
    <t>100</t>
  </si>
  <si>
    <t>L01155</t>
  </si>
  <si>
    <t>110</t>
  </si>
  <si>
    <t>L01106 n5</t>
  </si>
  <si>
    <t>120</t>
  </si>
  <si>
    <t>L01156 n5</t>
  </si>
  <si>
    <t>130</t>
  </si>
  <si>
    <t>L01107 LV</t>
  </si>
  <si>
    <t>140</t>
  </si>
  <si>
    <t>L01157 LV</t>
  </si>
  <si>
    <t>150</t>
  </si>
  <si>
    <t>L01108</t>
  </si>
  <si>
    <t>LAVIS via Nazionale - PRESSANO Piazza</t>
  </si>
  <si>
    <t>160</t>
  </si>
  <si>
    <t>L01158</t>
  </si>
  <si>
    <t>PRESSANO Piazza - LAVIS via Nazionale</t>
  </si>
  <si>
    <t>L01109 LV</t>
  </si>
  <si>
    <t>180</t>
  </si>
  <si>
    <t>L01159 LV</t>
  </si>
  <si>
    <t>190</t>
  </si>
  <si>
    <t>L01110</t>
  </si>
  <si>
    <t>200</t>
  </si>
  <si>
    <t>L01160</t>
  </si>
  <si>
    <t>210</t>
  </si>
  <si>
    <t>L01111</t>
  </si>
  <si>
    <t>220</t>
  </si>
  <si>
    <t>L01161</t>
  </si>
  <si>
    <t>T.M. L.2 - Linee L3 e L4 LAVIS</t>
  </si>
  <si>
    <t>L041v2</t>
  </si>
  <si>
    <t>LAVIS piazza Caduti. - LAVIS piazza Caduti</t>
  </si>
  <si>
    <t>Non scolastica da Lunedì a Venerdì solo estiva</t>
  </si>
  <si>
    <t>L04101 LV</t>
  </si>
  <si>
    <t>LAVIS piazza caduti - LAVIS via Nazionale</t>
  </si>
  <si>
    <t>LAVIS via Nazionale - LAVIS via Nazionale</t>
  </si>
  <si>
    <t>Non scolastica da Lunedì a Venerdì solo invernale</t>
  </si>
  <si>
    <t>L03101 LV</t>
  </si>
  <si>
    <t>LAVIS via Nazionale - LAVIS "Stazione FS"</t>
  </si>
  <si>
    <t>L03151 LV</t>
  </si>
  <si>
    <t>LAVIS "Stazione FS" - LAVIS via Nazionale</t>
  </si>
  <si>
    <t>L03102 LV</t>
  </si>
  <si>
    <t>L03152 LV</t>
  </si>
  <si>
    <t>L04102 LV</t>
  </si>
  <si>
    <t>L03103 LV</t>
  </si>
  <si>
    <t>L03153 LV</t>
  </si>
  <si>
    <t>L04103 LV</t>
  </si>
  <si>
    <t>L04104 LV</t>
  </si>
  <si>
    <t>L03104 LV</t>
  </si>
  <si>
    <t>L03154 LV</t>
  </si>
  <si>
    <t>Non scolastica solo il Sabato (estate + invernale)</t>
  </si>
  <si>
    <t>L01106 SA</t>
  </si>
  <si>
    <t>L01156 SA</t>
  </si>
  <si>
    <t>T.M. L.1 - Linee L1 e L2 LAVIS</t>
  </si>
  <si>
    <t>L01151 s6</t>
  </si>
  <si>
    <t>/S colastica da Lunedì a Venerdì</t>
  </si>
  <si>
    <t>OSCAR VIAGGI DI FORMOLO OSCAR</t>
  </si>
  <si>
    <t>GX220WF</t>
  </si>
  <si>
    <t>GZ064ZJ</t>
  </si>
  <si>
    <t>GX166WF</t>
  </si>
  <si>
    <t>L02103 s5</t>
  </si>
  <si>
    <t>L02153 s5</t>
  </si>
  <si>
    <t>T.M. L.2 - Linee L2 e L3 e L4 LA</t>
  </si>
  <si>
    <t>L02151 s6</t>
  </si>
  <si>
    <t>VSIcSolastica da Lunedì a Venerdì</t>
  </si>
  <si>
    <t>L02102 s5</t>
  </si>
  <si>
    <t>L02152 s5</t>
  </si>
  <si>
    <t>T.M. L.1 - Linea L1 LAVIS</t>
  </si>
  <si>
    <t>Scolastica solo il Sabato</t>
  </si>
  <si>
    <t>T.M. L.2 - Linea L2 LAVIS</t>
  </si>
  <si>
    <t>Servizi Comunità Valle di Cembra</t>
  </si>
  <si>
    <t>VALLE DI CEMBRA</t>
  </si>
  <si>
    <t>107</t>
  </si>
  <si>
    <t>Piscine-Sover-Valcava bivio-Gaggio/Gresta bivio- Scancio di Segonzano-Piazzo di Segonzano bivio- Sevignano-Lona-Sevignano-Piazzo di Segonzano bivio- Piazzo di Segonzano-Faver bivio-Fadana-Cembra- Lisignago RSA-Lisignago-Ceola-Verla-Mosana-Lavis</t>
  </si>
  <si>
    <t>BAZZAVAN S.A.S. DI BAZZANELLA ANDREA</t>
  </si>
  <si>
    <t>GG058PN</t>
  </si>
  <si>
    <t>GC917HM</t>
  </si>
  <si>
    <t>108</t>
  </si>
  <si>
    <t>Lavis-Mosana-Verla-Ceola-Lisignago-Lisignago RSA- Cembra-Fadana-Faver bivio-Faver-Valda-Grumes- Grauno</t>
  </si>
  <si>
    <t>109</t>
  </si>
  <si>
    <t>Grauno-Grumes-Valda-Faver-Faver bivio-Fadana- Cembra-Lisignago RSA-Lisignago-Ceola-Verla-Mosana- Lavis</t>
  </si>
  <si>
    <t>106</t>
  </si>
  <si>
    <t>Lisignago RSA-Cembra-Fadana-Faver bivio-Piazzo di Segonzano-Piazzo di Segonzano bivio-Sevignano-Lona- Lases-Albiano via roma -Albiano</t>
  </si>
  <si>
    <t>Piscine-Sover-Valcava bivio-Gaggio/Gresta bivio- Scancio di Segonzano-Piazzo di Segonzano bivio- Sevignano-Lona-Lases-Albiano Via Roma-Albiano- Lases-Lona-Sevignano-Piazzo di Segonzano bivio- Piazzo di Segonzano-Faver bivio-Fadana-Cembra- Lisignago RSA</t>
  </si>
  <si>
    <t>Lisigignago RSA-Lisignago-Ceola-Verla-Mosana-Lavis</t>
  </si>
  <si>
    <t>Cembra-Fadana-Faver bivio-Piazzo di Segonzano- Piazzo di Segonzano bivio-Segonzano</t>
  </si>
  <si>
    <t>Lisignago RSA-Cembra-Fadana-Faver bivio-Piazzo di Segonzano-Piazzo di Segonzano bivio-Segonzano- Sevignano-Lona-Lases-Albiano via Roma-Albiano</t>
  </si>
  <si>
    <t>SERVIZIO ALBIANO LONA LASES</t>
  </si>
  <si>
    <t>LONA - ALBIANO - GAZZADINA</t>
  </si>
  <si>
    <t>Gazzadina-Gazzadina Via del Porfido 61-Albiano Via S. Antonio-Albiano P.zza Degasperi-Albiano Via Roma-Lases-Lona fermata bus-Lona Parcheggio</t>
  </si>
  <si>
    <t>D'AMICO VIAGGI S.R.L.</t>
  </si>
  <si>
    <t>FT467CV</t>
  </si>
  <si>
    <t>FZ194KS (Fersina Tour)</t>
  </si>
  <si>
    <t>GG115WS (Giulia sas)</t>
  </si>
  <si>
    <t>Lona Parcheggio-Lona fermata Bus-Lases-Albiano Via Roma-Albiano Piazza Degasperi-Albiano (Via S. Antonio) - Gazzadina Via del Porfido 61 - Gazzadina</t>
  </si>
  <si>
    <t>Gazzadina-Gazzadina Via del Porfido 61-Albiano Via S. Antonio-Albiano P.zza Degasperi-Albiano Via Roma</t>
  </si>
  <si>
    <t>Albiano Via Roma-Albiano Piazza Degasperi-Albiano (Via S. Antonio) - Gazzadina Via del Porfido 61 - Gazzadina</t>
  </si>
  <si>
    <t>scolastica dal lunedì al giovedì</t>
  </si>
  <si>
    <t>scolastica lu, ma, me, gio</t>
  </si>
  <si>
    <t>feriale solo al venerdì</t>
  </si>
  <si>
    <t>annuale feriale ve</t>
  </si>
  <si>
    <t>estiva feriale dal lunedì al giovedì + invernale non scolastico dal lunedì al giovedì</t>
  </si>
  <si>
    <t>estiva feriale lu, ma, me, gio + no scol lu, ma, me, gio</t>
  </si>
  <si>
    <t>Lona Parcheggio-Lona fermata Bus-Lases-Albiano Via Roma-Albiano Piazza Degasperi-</t>
  </si>
  <si>
    <t>SERVIZIO A CHIAMATA PROLUNGAMENTO BARCO DI SOTTO TRATTA GAZZADINA - BARCO DI SOTTO - ALBIANO</t>
  </si>
  <si>
    <t>SERVIZIO A CHIAMATA PROLUNGAMENTO PIAZZOLE</t>
  </si>
  <si>
    <t>TOTALE</t>
  </si>
  <si>
    <t>sett-magg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</si>
</sst>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:mm"/>
  </numFmts>
  <fonts count="8" x14ac:knownFonts="1">
    <font>
      <sz val="11"/>
      <color theme="1"/>
      <name val="Calibri"/>
      <family val="2"/>
      <charset val="1"/>
    </font>
    <font>
      <b/>
      <sz val="9"/>
      <name val="Arial"/>
      <family val="2"/>
      <charset val="1"/>
    </font>
    <font>
      <b/>
      <sz val="11"/>
      <name val="Calibri"/>
      <family val="2"/>
      <charset val="1"/>
    </font>
    <font>
      <b/>
      <sz val="9"/>
      <name val="Cambria"/>
      <family val="1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8"/>
      <name val="Cambria"/>
      <family val="1"/>
      <charset val="1"/>
    </font>
    <font>
      <b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E6E0EC"/>
      </patternFill>
    </fill>
    <fill>
      <patternFill patternType="solid">
        <fgColor rgb="FFBDD7EE"/>
        <bgColor rgb="FFD9E2F3"/>
      </patternFill>
    </fill>
    <fill>
      <patternFill patternType="solid">
        <fgColor theme="6" tint="0.79979857783745845"/>
        <bgColor rgb="FFFDEADA"/>
      </patternFill>
    </fill>
    <fill>
      <patternFill patternType="solid">
        <fgColor theme="7" tint="0.79979857783745845"/>
        <bgColor rgb="FFD9E2F3"/>
      </patternFill>
    </fill>
    <fill>
      <patternFill patternType="solid">
        <fgColor theme="9" tint="0.79979857783745845"/>
        <bgColor rgb="FFEBF1DE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3" xfId="0" applyFont="1" applyBorder="1" applyAlignment="1">
      <alignment vertical="top" wrapText="1"/>
    </xf>
    <xf numFmtId="165" fontId="4" fillId="0" borderId="3" xfId="0" applyNumberFormat="1" applyFont="1" applyBorder="1" applyAlignment="1">
      <alignment horizontal="center" vertical="top"/>
    </xf>
    <xf numFmtId="4" fontId="4" fillId="0" borderId="3" xfId="0" applyNumberFormat="1" applyFont="1" applyBorder="1" applyAlignment="1">
      <alignment vertical="top" wrapText="1"/>
    </xf>
    <xf numFmtId="1" fontId="4" fillId="0" borderId="3" xfId="0" applyNumberFormat="1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/>
    </xf>
    <xf numFmtId="0" fontId="6" fillId="0" borderId="0" xfId="0" applyFont="1"/>
    <xf numFmtId="0" fontId="4" fillId="5" borderId="3" xfId="0" applyFont="1" applyFill="1" applyBorder="1" applyAlignment="1">
      <alignment vertical="top" wrapText="1"/>
    </xf>
    <xf numFmtId="1" fontId="4" fillId="5" borderId="3" xfId="0" applyNumberFormat="1" applyFont="1" applyFill="1" applyBorder="1" applyAlignment="1">
      <alignment vertical="top" wrapText="1"/>
    </xf>
    <xf numFmtId="0" fontId="4" fillId="6" borderId="3" xfId="0" applyFont="1" applyFill="1" applyBorder="1" applyAlignment="1">
      <alignment vertical="top" wrapText="1"/>
    </xf>
    <xf numFmtId="4" fontId="4" fillId="5" borderId="3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0" fillId="4" borderId="0" xfId="0" applyFill="1"/>
    <xf numFmtId="0" fontId="5" fillId="7" borderId="3" xfId="0" applyFont="1" applyFill="1" applyBorder="1"/>
    <xf numFmtId="0" fontId="0" fillId="7" borderId="0" xfId="0" applyFill="1"/>
    <xf numFmtId="165" fontId="5" fillId="7" borderId="3" xfId="0" applyNumberFormat="1" applyFont="1" applyFill="1" applyBorder="1" applyAlignment="1">
      <alignment horizontal="center" vertical="top"/>
    </xf>
    <xf numFmtId="4" fontId="5" fillId="7" borderId="3" xfId="0" applyNumberFormat="1" applyFont="1" applyFill="1" applyBorder="1"/>
    <xf numFmtId="1" fontId="5" fillId="7" borderId="3" xfId="0" applyNumberFormat="1" applyFont="1" applyFill="1" applyBorder="1"/>
    <xf numFmtId="4" fontId="5" fillId="7" borderId="3" xfId="0" applyNumberFormat="1" applyFont="1" applyFill="1" applyBorder="1" applyAlignment="1">
      <alignment vertical="top" wrapText="1"/>
    </xf>
    <xf numFmtId="0" fontId="7" fillId="7" borderId="0" xfId="0" applyFont="1" applyFill="1"/>
    <xf numFmtId="2" fontId="2" fillId="0" borderId="0" xfId="0" applyNumberFormat="1" applyFont="1" applyAlignment="1">
      <alignment vertical="center" wrapText="1"/>
    </xf>
    <xf numFmtId="2" fontId="1" fillId="4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2" fontId="0" fillId="7" borderId="0" xfId="0" applyNumberFormat="1" applyFill="1"/>
    <xf numFmtId="2" fontId="7" fillId="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DEAD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EBF1DE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41"/>
  <sheetViews>
    <sheetView tabSelected="1" topLeftCell="F1" zoomScaleNormal="100" workbookViewId="0">
      <pane ySplit="1" topLeftCell="A2" activePane="bottomLeft" state="frozen"/>
      <selection activeCell="F1" sqref="F1"/>
      <selection pane="bottomLeft" activeCell="F1" sqref="A1:XFD1048576"/>
    </sheetView>
  </sheetViews>
  <sheetFormatPr defaultColWidth="8.7109375" defaultRowHeight="15" x14ac:dyDescent="0.25"/>
  <cols>
    <col min="1" max="1" width="16.7109375" bestFit="1" customWidth="1"/>
    <col min="2" max="2" width="11.28515625" bestFit="1" customWidth="1"/>
    <col min="3" max="3" width="10.28515625" bestFit="1" customWidth="1"/>
    <col min="4" max="4" width="12.42578125" bestFit="1" customWidth="1"/>
    <col min="5" max="5" width="8.42578125" bestFit="1" customWidth="1"/>
    <col min="6" max="6" width="38.140625" bestFit="1" customWidth="1"/>
    <col min="7" max="7" width="19" customWidth="1"/>
    <col min="8" max="8" width="14.28515625" bestFit="1" customWidth="1"/>
    <col min="9" max="9" width="12.140625" bestFit="1" customWidth="1"/>
    <col min="10" max="10" width="10.28515625" bestFit="1" customWidth="1"/>
    <col min="11" max="11" width="11.140625" bestFit="1" customWidth="1"/>
    <col min="12" max="12" width="9.85546875" bestFit="1" customWidth="1"/>
    <col min="13" max="13" width="8" bestFit="1" customWidth="1"/>
    <col min="14" max="14" width="14" style="1" bestFit="1" customWidth="1"/>
    <col min="15" max="15" width="12.5703125" bestFit="1" customWidth="1"/>
    <col min="16" max="16" width="10.28515625" bestFit="1" customWidth="1"/>
    <col min="17" max="17" width="21.140625" bestFit="1" customWidth="1"/>
    <col min="18" max="18" width="11.28515625" bestFit="1" customWidth="1"/>
    <col min="19" max="19" width="19.85546875" bestFit="1" customWidth="1"/>
    <col min="20" max="20" width="11.28515625" bestFit="1" customWidth="1"/>
    <col min="21" max="21" width="14.85546875" bestFit="1" customWidth="1"/>
    <col min="22" max="22" width="15.28515625" bestFit="1" customWidth="1"/>
    <col min="23" max="23" width="10.85546875" bestFit="1" customWidth="1"/>
    <col min="24" max="24" width="20" style="2" bestFit="1" customWidth="1"/>
    <col min="25" max="25" width="12.140625" style="32" customWidth="1"/>
    <col min="26" max="26" width="15.5703125" style="32" bestFit="1" customWidth="1"/>
    <col min="27" max="27" width="48.5703125" bestFit="1" customWidth="1"/>
    <col min="28" max="28" width="16.140625" bestFit="1" customWidth="1"/>
    <col min="29" max="29" width="13.85546875" bestFit="1" customWidth="1"/>
    <col min="30" max="30" width="8" bestFit="1" customWidth="1"/>
    <col min="31" max="31" width="6.85546875" bestFit="1" customWidth="1"/>
    <col min="32" max="32" width="7.85546875" bestFit="1" customWidth="1"/>
    <col min="33" max="33" width="9.85546875" bestFit="1" customWidth="1"/>
    <col min="34" max="34" width="7.7109375" bestFit="1" customWidth="1"/>
    <col min="35" max="35" width="8" bestFit="1" customWidth="1"/>
    <col min="36" max="36" width="6.42578125" bestFit="1" customWidth="1"/>
    <col min="37" max="37" width="11.140625" bestFit="1" customWidth="1"/>
  </cols>
  <sheetData>
    <row r="1" spans="1:37" ht="60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30" t="s">
        <v>24</v>
      </c>
      <c r="Z1" s="31" t="s">
        <v>25</v>
      </c>
      <c r="AA1" s="8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ht="30" customHeight="1" x14ac:dyDescent="0.25">
      <c r="A2" s="9" t="s">
        <v>37</v>
      </c>
      <c r="B2" s="9" t="s">
        <v>38</v>
      </c>
      <c r="C2" s="9" t="s">
        <v>39</v>
      </c>
      <c r="D2" s="10">
        <v>0.297222222222222</v>
      </c>
      <c r="E2" s="10">
        <v>0.30555555555555602</v>
      </c>
      <c r="F2" s="9" t="s">
        <v>40</v>
      </c>
      <c r="G2" s="9" t="s">
        <v>41</v>
      </c>
      <c r="H2" s="11">
        <v>4.5</v>
      </c>
      <c r="I2" s="12">
        <v>23</v>
      </c>
      <c r="J2" s="12">
        <v>218</v>
      </c>
      <c r="K2" s="11">
        <f t="shared" ref="K2:K65" si="0">J2*H2</f>
        <v>981</v>
      </c>
      <c r="L2">
        <v>1</v>
      </c>
      <c r="N2" s="13" t="s">
        <v>42</v>
      </c>
      <c r="O2" t="s">
        <v>43</v>
      </c>
      <c r="P2">
        <v>24</v>
      </c>
      <c r="Q2" t="s">
        <v>44</v>
      </c>
      <c r="R2" s="14">
        <v>22</v>
      </c>
      <c r="S2" t="s">
        <v>44</v>
      </c>
      <c r="T2">
        <v>22</v>
      </c>
      <c r="W2" s="15"/>
      <c r="X2" s="2" t="s">
        <v>45</v>
      </c>
      <c r="Y2" s="32">
        <v>18.279516617848401</v>
      </c>
      <c r="Z2" s="32">
        <f t="shared" ref="Z2:Z65" si="1">Y2*J2</f>
        <v>3984.9346226909515</v>
      </c>
      <c r="AA2" s="16" t="s">
        <v>46</v>
      </c>
      <c r="AB2" t="s">
        <v>47</v>
      </c>
      <c r="AE2" s="1" t="s">
        <v>48</v>
      </c>
      <c r="AF2" s="1" t="s">
        <v>48</v>
      </c>
      <c r="AG2" s="1" t="s">
        <v>48</v>
      </c>
      <c r="AH2" s="1" t="s">
        <v>48</v>
      </c>
      <c r="AI2" s="1" t="s">
        <v>48</v>
      </c>
      <c r="AJ2" s="1" t="s">
        <v>48</v>
      </c>
    </row>
    <row r="3" spans="1:37" ht="25.5" customHeight="1" x14ac:dyDescent="0.25">
      <c r="A3" s="9" t="s">
        <v>37</v>
      </c>
      <c r="B3" s="9" t="s">
        <v>38</v>
      </c>
      <c r="C3" s="9" t="s">
        <v>39</v>
      </c>
      <c r="D3" s="10">
        <v>0.30069444444444399</v>
      </c>
      <c r="E3" s="10">
        <v>0.30902777777777801</v>
      </c>
      <c r="F3" s="9" t="s">
        <v>40</v>
      </c>
      <c r="G3" s="9" t="s">
        <v>49</v>
      </c>
      <c r="H3" s="11">
        <v>4.5</v>
      </c>
      <c r="I3" s="12">
        <v>23</v>
      </c>
      <c r="J3" s="12">
        <v>8</v>
      </c>
      <c r="K3" s="11">
        <f t="shared" si="0"/>
        <v>36</v>
      </c>
      <c r="L3">
        <v>2</v>
      </c>
      <c r="N3" s="13" t="s">
        <v>42</v>
      </c>
      <c r="O3" t="s">
        <v>43</v>
      </c>
      <c r="P3">
        <v>24</v>
      </c>
      <c r="Q3" t="s">
        <v>44</v>
      </c>
      <c r="R3" s="14">
        <v>22</v>
      </c>
      <c r="S3" t="s">
        <v>44</v>
      </c>
      <c r="T3">
        <v>22</v>
      </c>
      <c r="W3" s="15"/>
      <c r="X3" s="2" t="s">
        <v>50</v>
      </c>
      <c r="Y3" s="32">
        <v>18.279516617848401</v>
      </c>
      <c r="Z3" s="32">
        <f t="shared" si="1"/>
        <v>146.23613294278721</v>
      </c>
      <c r="AA3" s="16" t="s">
        <v>46</v>
      </c>
      <c r="AB3" t="s">
        <v>51</v>
      </c>
      <c r="AE3" s="1" t="s">
        <v>48</v>
      </c>
      <c r="AF3" s="1" t="s">
        <v>48</v>
      </c>
      <c r="AG3" s="1" t="s">
        <v>48</v>
      </c>
      <c r="AH3" s="1" t="s">
        <v>48</v>
      </c>
      <c r="AI3" s="1" t="s">
        <v>48</v>
      </c>
      <c r="AJ3" s="1" t="s">
        <v>48</v>
      </c>
    </row>
    <row r="4" spans="1:37" ht="25.5" customHeight="1" x14ac:dyDescent="0.25">
      <c r="A4" s="9" t="s">
        <v>37</v>
      </c>
      <c r="B4" s="9" t="s">
        <v>38</v>
      </c>
      <c r="C4" s="9" t="s">
        <v>52</v>
      </c>
      <c r="D4" s="10">
        <v>0.32986111111111099</v>
      </c>
      <c r="E4" s="10">
        <v>0.35486111111111102</v>
      </c>
      <c r="F4" s="9" t="s">
        <v>53</v>
      </c>
      <c r="G4" s="9" t="s">
        <v>54</v>
      </c>
      <c r="H4" s="11">
        <v>14</v>
      </c>
      <c r="I4" s="12">
        <v>22</v>
      </c>
      <c r="J4" s="12">
        <v>7</v>
      </c>
      <c r="K4" s="11">
        <f t="shared" si="0"/>
        <v>98</v>
      </c>
      <c r="L4">
        <v>3</v>
      </c>
      <c r="N4" s="13" t="s">
        <v>42</v>
      </c>
      <c r="O4" t="s">
        <v>43</v>
      </c>
      <c r="P4">
        <v>24</v>
      </c>
      <c r="Q4" t="s">
        <v>44</v>
      </c>
      <c r="R4" s="14">
        <v>22</v>
      </c>
      <c r="S4" t="s">
        <v>44</v>
      </c>
      <c r="T4">
        <v>22</v>
      </c>
      <c r="W4" s="15"/>
      <c r="X4" s="2" t="s">
        <v>55</v>
      </c>
      <c r="Y4" s="32">
        <v>56.869607255528301</v>
      </c>
      <c r="Z4" s="32">
        <f t="shared" si="1"/>
        <v>398.0872507886981</v>
      </c>
      <c r="AA4" s="16" t="s">
        <v>46</v>
      </c>
      <c r="AB4" t="s">
        <v>51</v>
      </c>
      <c r="AE4" s="1" t="s">
        <v>48</v>
      </c>
      <c r="AF4" s="1" t="s">
        <v>48</v>
      </c>
      <c r="AG4" s="1" t="s">
        <v>48</v>
      </c>
      <c r="AH4" s="1" t="s">
        <v>48</v>
      </c>
      <c r="AI4" s="1" t="s">
        <v>48</v>
      </c>
    </row>
    <row r="5" spans="1:37" ht="30" customHeight="1" x14ac:dyDescent="0.25">
      <c r="A5" s="9" t="s">
        <v>37</v>
      </c>
      <c r="B5" s="9" t="s">
        <v>38</v>
      </c>
      <c r="C5" s="9" t="s">
        <v>56</v>
      </c>
      <c r="D5" s="10">
        <v>0.45972222222222198</v>
      </c>
      <c r="E5" s="10">
        <v>0.484722222222222</v>
      </c>
      <c r="F5" s="9" t="s">
        <v>53</v>
      </c>
      <c r="G5" s="9" t="s">
        <v>41</v>
      </c>
      <c r="H5" s="11">
        <v>14</v>
      </c>
      <c r="I5" s="12">
        <v>23</v>
      </c>
      <c r="J5" s="12">
        <v>218</v>
      </c>
      <c r="K5" s="11">
        <f t="shared" si="0"/>
        <v>3052</v>
      </c>
      <c r="L5">
        <v>4</v>
      </c>
      <c r="N5" s="13" t="s">
        <v>42</v>
      </c>
      <c r="O5" t="s">
        <v>43</v>
      </c>
      <c r="P5">
        <v>24</v>
      </c>
      <c r="Q5" t="s">
        <v>44</v>
      </c>
      <c r="R5" s="14">
        <v>22</v>
      </c>
      <c r="S5" t="s">
        <v>44</v>
      </c>
      <c r="T5">
        <v>22</v>
      </c>
      <c r="W5" s="15"/>
      <c r="X5" s="2" t="s">
        <v>45</v>
      </c>
      <c r="Y5" s="32">
        <v>56.869607255528301</v>
      </c>
      <c r="Z5" s="32">
        <f t="shared" si="1"/>
        <v>12397.57438170517</v>
      </c>
      <c r="AA5" s="16" t="s">
        <v>46</v>
      </c>
      <c r="AB5" t="s">
        <v>47</v>
      </c>
      <c r="AE5" s="1" t="s">
        <v>48</v>
      </c>
      <c r="AF5" s="1" t="s">
        <v>48</v>
      </c>
      <c r="AG5" s="1" t="s">
        <v>48</v>
      </c>
      <c r="AH5" s="1" t="s">
        <v>48</v>
      </c>
      <c r="AI5" s="1" t="s">
        <v>48</v>
      </c>
      <c r="AJ5" s="1" t="s">
        <v>48</v>
      </c>
    </row>
    <row r="6" spans="1:37" ht="25.5" customHeight="1" x14ac:dyDescent="0.25">
      <c r="A6" s="9" t="s">
        <v>37</v>
      </c>
      <c r="B6" s="9" t="s">
        <v>38</v>
      </c>
      <c r="C6" s="9" t="s">
        <v>56</v>
      </c>
      <c r="D6" s="10">
        <v>0.45972222222222198</v>
      </c>
      <c r="E6" s="10">
        <v>0.484722222222222</v>
      </c>
      <c r="F6" s="9" t="s">
        <v>53</v>
      </c>
      <c r="G6" s="9" t="s">
        <v>49</v>
      </c>
      <c r="H6" s="11">
        <v>14</v>
      </c>
      <c r="I6" s="12">
        <v>22</v>
      </c>
      <c r="J6" s="12">
        <v>8</v>
      </c>
      <c r="K6" s="11">
        <f t="shared" si="0"/>
        <v>112</v>
      </c>
      <c r="L6">
        <v>5</v>
      </c>
      <c r="N6" s="13" t="s">
        <v>42</v>
      </c>
      <c r="O6" t="s">
        <v>43</v>
      </c>
      <c r="P6">
        <v>24</v>
      </c>
      <c r="Q6" t="s">
        <v>44</v>
      </c>
      <c r="R6" s="14">
        <v>22</v>
      </c>
      <c r="S6" t="s">
        <v>44</v>
      </c>
      <c r="T6">
        <v>22</v>
      </c>
      <c r="W6" s="15"/>
      <c r="X6" s="2" t="s">
        <v>50</v>
      </c>
      <c r="Y6" s="32">
        <v>56.869607255528301</v>
      </c>
      <c r="Z6" s="32">
        <f t="shared" si="1"/>
        <v>454.95685804422641</v>
      </c>
      <c r="AA6" s="16" t="s">
        <v>46</v>
      </c>
      <c r="AB6" t="s">
        <v>51</v>
      </c>
      <c r="AE6" s="1" t="s">
        <v>48</v>
      </c>
      <c r="AF6" s="1" t="s">
        <v>48</v>
      </c>
      <c r="AG6" s="1" t="s">
        <v>48</v>
      </c>
      <c r="AH6" s="1" t="s">
        <v>48</v>
      </c>
      <c r="AI6" s="1" t="s">
        <v>48</v>
      </c>
      <c r="AJ6" s="1" t="s">
        <v>48</v>
      </c>
    </row>
    <row r="7" spans="1:37" ht="25.5" customHeight="1" x14ac:dyDescent="0.25">
      <c r="A7" s="9" t="s">
        <v>37</v>
      </c>
      <c r="B7" s="9" t="s">
        <v>38</v>
      </c>
      <c r="C7" s="9" t="s">
        <v>57</v>
      </c>
      <c r="D7" s="10">
        <v>0.50416666666666698</v>
      </c>
      <c r="E7" s="10">
        <v>0.52847222222222201</v>
      </c>
      <c r="F7" s="9" t="s">
        <v>53</v>
      </c>
      <c r="G7" s="9" t="s">
        <v>58</v>
      </c>
      <c r="H7" s="11">
        <v>14</v>
      </c>
      <c r="I7" s="12">
        <v>22</v>
      </c>
      <c r="J7" s="12">
        <v>198</v>
      </c>
      <c r="K7" s="11">
        <f t="shared" si="0"/>
        <v>2772</v>
      </c>
      <c r="L7">
        <v>6</v>
      </c>
      <c r="N7" s="13" t="s">
        <v>59</v>
      </c>
      <c r="O7" t="s">
        <v>60</v>
      </c>
      <c r="P7">
        <v>21</v>
      </c>
      <c r="Q7" t="s">
        <v>61</v>
      </c>
      <c r="R7" s="14">
        <v>21</v>
      </c>
      <c r="S7" t="s">
        <v>61</v>
      </c>
      <c r="T7">
        <v>21</v>
      </c>
      <c r="W7" s="15" t="s">
        <v>62</v>
      </c>
      <c r="X7" s="2" t="s">
        <v>63</v>
      </c>
      <c r="Y7" s="32">
        <v>48.575326752515601</v>
      </c>
      <c r="Z7" s="32">
        <f t="shared" si="1"/>
        <v>9617.9146969980884</v>
      </c>
      <c r="AA7" s="16" t="s">
        <v>46</v>
      </c>
      <c r="AB7" t="s">
        <v>64</v>
      </c>
      <c r="AE7" s="1" t="s">
        <v>48</v>
      </c>
      <c r="AF7" s="1" t="s">
        <v>48</v>
      </c>
      <c r="AG7" s="1" t="s">
        <v>48</v>
      </c>
      <c r="AH7" s="1" t="s">
        <v>48</v>
      </c>
      <c r="AI7" s="1" t="s">
        <v>48</v>
      </c>
      <c r="AJ7" s="1" t="s">
        <v>48</v>
      </c>
    </row>
    <row r="8" spans="1:37" ht="63.75" customHeight="1" x14ac:dyDescent="0.25">
      <c r="A8" s="9" t="s">
        <v>37</v>
      </c>
      <c r="B8" s="9" t="s">
        <v>38</v>
      </c>
      <c r="C8" s="9" t="s">
        <v>65</v>
      </c>
      <c r="D8" s="10">
        <v>0.50416666666666698</v>
      </c>
      <c r="E8" s="10">
        <v>0.51597222222222205</v>
      </c>
      <c r="F8" s="9" t="s">
        <v>66</v>
      </c>
      <c r="G8" s="9" t="s">
        <v>67</v>
      </c>
      <c r="H8" s="11">
        <v>7</v>
      </c>
      <c r="I8" s="12">
        <v>22</v>
      </c>
      <c r="J8" s="12">
        <v>25</v>
      </c>
      <c r="K8" s="11">
        <f t="shared" si="0"/>
        <v>175</v>
      </c>
      <c r="L8">
        <v>7</v>
      </c>
      <c r="N8" s="13" t="s">
        <v>59</v>
      </c>
      <c r="O8" t="s">
        <v>60</v>
      </c>
      <c r="P8">
        <v>21</v>
      </c>
      <c r="Q8" t="s">
        <v>61</v>
      </c>
      <c r="R8" s="14">
        <v>21</v>
      </c>
      <c r="S8" t="s">
        <v>61</v>
      </c>
      <c r="T8">
        <v>21</v>
      </c>
      <c r="W8" s="15" t="s">
        <v>62</v>
      </c>
      <c r="X8" s="2" t="s">
        <v>68</v>
      </c>
      <c r="Y8" s="32">
        <v>24.2876633762578</v>
      </c>
      <c r="Z8" s="32">
        <f t="shared" si="1"/>
        <v>607.19158440644503</v>
      </c>
      <c r="AA8" s="16" t="s">
        <v>46</v>
      </c>
      <c r="AB8" t="s">
        <v>51</v>
      </c>
      <c r="AC8" t="s">
        <v>69</v>
      </c>
      <c r="AE8" s="1" t="s">
        <v>48</v>
      </c>
      <c r="AF8" s="1" t="s">
        <v>48</v>
      </c>
      <c r="AG8" s="1" t="s">
        <v>48</v>
      </c>
      <c r="AH8" s="1" t="s">
        <v>48</v>
      </c>
      <c r="AI8" s="1" t="s">
        <v>48</v>
      </c>
    </row>
    <row r="9" spans="1:37" ht="51" customHeight="1" x14ac:dyDescent="0.25">
      <c r="A9" s="9" t="s">
        <v>37</v>
      </c>
      <c r="B9" s="9" t="s">
        <v>38</v>
      </c>
      <c r="C9" s="9" t="s">
        <v>65</v>
      </c>
      <c r="D9" s="10">
        <v>0.50416666666666698</v>
      </c>
      <c r="E9" s="10">
        <v>0.51597222222222205</v>
      </c>
      <c r="F9" s="9" t="s">
        <v>66</v>
      </c>
      <c r="G9" s="9" t="s">
        <v>70</v>
      </c>
      <c r="H9" s="11">
        <v>7</v>
      </c>
      <c r="I9" s="12">
        <v>22</v>
      </c>
      <c r="J9" s="12">
        <v>3</v>
      </c>
      <c r="K9" s="11">
        <f t="shared" si="0"/>
        <v>21</v>
      </c>
      <c r="L9">
        <v>8</v>
      </c>
      <c r="N9" s="13" t="s">
        <v>59</v>
      </c>
      <c r="O9" t="s">
        <v>60</v>
      </c>
      <c r="P9">
        <v>21</v>
      </c>
      <c r="Q9" t="s">
        <v>61</v>
      </c>
      <c r="R9" s="14">
        <v>21</v>
      </c>
      <c r="S9" t="s">
        <v>61</v>
      </c>
      <c r="T9">
        <v>21</v>
      </c>
      <c r="W9" s="15" t="s">
        <v>62</v>
      </c>
      <c r="X9" s="2" t="s">
        <v>71</v>
      </c>
      <c r="Y9" s="32">
        <v>24.2876633762578</v>
      </c>
      <c r="Z9" s="32">
        <f t="shared" si="1"/>
        <v>72.862990128773404</v>
      </c>
      <c r="AA9" s="16" t="s">
        <v>46</v>
      </c>
      <c r="AB9" t="s">
        <v>51</v>
      </c>
      <c r="AC9" t="s">
        <v>69</v>
      </c>
      <c r="AJ9" s="1" t="s">
        <v>48</v>
      </c>
    </row>
    <row r="10" spans="1:37" ht="76.5" customHeight="1" x14ac:dyDescent="0.25">
      <c r="A10" s="9" t="s">
        <v>37</v>
      </c>
      <c r="B10" s="9" t="s">
        <v>38</v>
      </c>
      <c r="C10" s="9" t="s">
        <v>72</v>
      </c>
      <c r="D10" s="10">
        <v>0.55000000000000004</v>
      </c>
      <c r="E10" s="10">
        <v>0.561805555555556</v>
      </c>
      <c r="F10" s="9" t="s">
        <v>73</v>
      </c>
      <c r="G10" s="9" t="s">
        <v>74</v>
      </c>
      <c r="H10" s="11">
        <v>7</v>
      </c>
      <c r="I10" s="12">
        <v>22</v>
      </c>
      <c r="J10" s="12">
        <v>20</v>
      </c>
      <c r="K10" s="11">
        <f t="shared" si="0"/>
        <v>140</v>
      </c>
      <c r="L10">
        <v>9</v>
      </c>
      <c r="N10" s="13" t="s">
        <v>75</v>
      </c>
      <c r="O10" t="s">
        <v>76</v>
      </c>
      <c r="P10">
        <v>24</v>
      </c>
      <c r="Q10" t="s">
        <v>77</v>
      </c>
      <c r="R10" s="14">
        <v>23</v>
      </c>
      <c r="S10" t="s">
        <v>78</v>
      </c>
      <c r="T10">
        <v>21</v>
      </c>
      <c r="W10" s="15" t="s">
        <v>62</v>
      </c>
      <c r="X10" s="2" t="s">
        <v>79</v>
      </c>
      <c r="Y10" s="32">
        <v>18.117685101294398</v>
      </c>
      <c r="Z10" s="32">
        <f t="shared" si="1"/>
        <v>362.35370202588797</v>
      </c>
      <c r="AA10" s="16" t="s">
        <v>46</v>
      </c>
      <c r="AB10" t="s">
        <v>80</v>
      </c>
      <c r="AE10" s="1" t="s">
        <v>48</v>
      </c>
      <c r="AF10" s="1" t="s">
        <v>48</v>
      </c>
      <c r="AG10" s="1" t="s">
        <v>48</v>
      </c>
      <c r="AH10" s="1" t="s">
        <v>48</v>
      </c>
      <c r="AI10" s="1" t="s">
        <v>48</v>
      </c>
      <c r="AJ10" s="1" t="s">
        <v>48</v>
      </c>
    </row>
    <row r="11" spans="1:37" ht="76.5" customHeight="1" x14ac:dyDescent="0.25">
      <c r="A11" s="9" t="s">
        <v>37</v>
      </c>
      <c r="B11" s="9" t="s">
        <v>38</v>
      </c>
      <c r="C11" s="9" t="s">
        <v>72</v>
      </c>
      <c r="D11" s="10">
        <v>0.55000000000000004</v>
      </c>
      <c r="E11" s="10">
        <v>0.561805555555556</v>
      </c>
      <c r="F11" s="9" t="s">
        <v>73</v>
      </c>
      <c r="G11" s="9" t="s">
        <v>49</v>
      </c>
      <c r="H11" s="11">
        <v>7</v>
      </c>
      <c r="I11" s="12">
        <v>22</v>
      </c>
      <c r="J11" s="12">
        <v>8</v>
      </c>
      <c r="K11" s="11">
        <f t="shared" si="0"/>
        <v>56</v>
      </c>
      <c r="L11">
        <v>10</v>
      </c>
      <c r="N11" s="13" t="s">
        <v>75</v>
      </c>
      <c r="O11" t="s">
        <v>76</v>
      </c>
      <c r="P11">
        <v>24</v>
      </c>
      <c r="Q11" t="s">
        <v>77</v>
      </c>
      <c r="R11" s="14">
        <v>23</v>
      </c>
      <c r="S11" t="s">
        <v>78</v>
      </c>
      <c r="T11">
        <v>21</v>
      </c>
      <c r="W11" s="15" t="s">
        <v>62</v>
      </c>
      <c r="X11" s="2" t="s">
        <v>50</v>
      </c>
      <c r="Y11" s="32">
        <v>18.117685101294398</v>
      </c>
      <c r="Z11" s="32">
        <f t="shared" si="1"/>
        <v>144.94148081035519</v>
      </c>
      <c r="AA11" s="16" t="s">
        <v>46</v>
      </c>
      <c r="AB11" t="s">
        <v>51</v>
      </c>
      <c r="AE11" s="1" t="s">
        <v>48</v>
      </c>
      <c r="AF11" s="1" t="s">
        <v>48</v>
      </c>
      <c r="AG11" s="1" t="s">
        <v>48</v>
      </c>
      <c r="AH11" s="1" t="s">
        <v>48</v>
      </c>
      <c r="AI11" s="1" t="s">
        <v>48</v>
      </c>
      <c r="AJ11" s="1" t="s">
        <v>48</v>
      </c>
    </row>
    <row r="12" spans="1:37" ht="76.5" customHeight="1" x14ac:dyDescent="0.25">
      <c r="A12" s="9" t="s">
        <v>37</v>
      </c>
      <c r="B12" s="9" t="s">
        <v>38</v>
      </c>
      <c r="C12" s="9" t="s">
        <v>81</v>
      </c>
      <c r="D12" s="10">
        <v>0.57291666666666696</v>
      </c>
      <c r="E12" s="10">
        <v>0.57986111111111105</v>
      </c>
      <c r="F12" s="17" t="s">
        <v>82</v>
      </c>
      <c r="G12" s="9" t="s">
        <v>83</v>
      </c>
      <c r="H12" s="11">
        <v>4</v>
      </c>
      <c r="I12" s="12">
        <v>22</v>
      </c>
      <c r="J12" s="18">
        <v>164</v>
      </c>
      <c r="K12" s="11">
        <f t="shared" si="0"/>
        <v>656</v>
      </c>
      <c r="L12">
        <v>11</v>
      </c>
      <c r="N12" s="13" t="s">
        <v>75</v>
      </c>
      <c r="O12" t="s">
        <v>76</v>
      </c>
      <c r="P12">
        <v>24</v>
      </c>
      <c r="Q12" t="s">
        <v>77</v>
      </c>
      <c r="R12" s="14">
        <v>23</v>
      </c>
      <c r="S12" t="s">
        <v>78</v>
      </c>
      <c r="T12">
        <v>21</v>
      </c>
      <c r="W12" s="15" t="s">
        <v>62</v>
      </c>
      <c r="X12" s="2" t="s">
        <v>84</v>
      </c>
      <c r="Y12" s="32">
        <v>10.352962915025399</v>
      </c>
      <c r="Z12" s="32">
        <f t="shared" si="1"/>
        <v>1697.8859180641655</v>
      </c>
      <c r="AA12" s="16" t="s">
        <v>85</v>
      </c>
      <c r="AB12" t="s">
        <v>64</v>
      </c>
      <c r="AE12" s="1" t="s">
        <v>48</v>
      </c>
      <c r="AF12" s="1" t="s">
        <v>48</v>
      </c>
      <c r="AG12" s="1" t="s">
        <v>48</v>
      </c>
      <c r="AH12" s="1" t="s">
        <v>48</v>
      </c>
      <c r="AI12" s="1" t="s">
        <v>48</v>
      </c>
    </row>
    <row r="13" spans="1:37" ht="25.5" customHeight="1" x14ac:dyDescent="0.25">
      <c r="A13" s="9" t="s">
        <v>37</v>
      </c>
      <c r="B13" s="9" t="s">
        <v>38</v>
      </c>
      <c r="C13" s="9" t="s">
        <v>81</v>
      </c>
      <c r="D13" s="10">
        <v>0.57291666666666696</v>
      </c>
      <c r="E13" s="10">
        <v>0.57986111111111105</v>
      </c>
      <c r="F13" s="17" t="s">
        <v>82</v>
      </c>
      <c r="G13" s="9" t="s">
        <v>86</v>
      </c>
      <c r="H13" s="11">
        <v>4</v>
      </c>
      <c r="I13" s="12">
        <v>22</v>
      </c>
      <c r="J13" s="18">
        <v>34</v>
      </c>
      <c r="K13" s="11">
        <f t="shared" si="0"/>
        <v>136</v>
      </c>
      <c r="L13" t="s">
        <v>87</v>
      </c>
      <c r="N13" s="13" t="s">
        <v>42</v>
      </c>
      <c r="O13" t="s">
        <v>43</v>
      </c>
      <c r="P13">
        <v>24</v>
      </c>
      <c r="Q13" t="s">
        <v>44</v>
      </c>
      <c r="R13" s="14">
        <v>22</v>
      </c>
      <c r="S13" t="s">
        <v>44</v>
      </c>
      <c r="T13">
        <v>22</v>
      </c>
      <c r="W13" s="15" t="s">
        <v>62</v>
      </c>
      <c r="X13" s="2" t="s">
        <v>88</v>
      </c>
      <c r="Y13" s="32">
        <v>16.2484592158652</v>
      </c>
      <c r="Z13" s="32">
        <f t="shared" si="1"/>
        <v>552.44761333941676</v>
      </c>
      <c r="AA13" s="16" t="s">
        <v>89</v>
      </c>
      <c r="AB13" t="s">
        <v>64</v>
      </c>
      <c r="AJ13" s="1" t="s">
        <v>48</v>
      </c>
    </row>
    <row r="14" spans="1:37" ht="25.5" customHeight="1" x14ac:dyDescent="0.25">
      <c r="A14" s="9" t="s">
        <v>37</v>
      </c>
      <c r="B14" s="9" t="s">
        <v>38</v>
      </c>
      <c r="C14" s="9" t="s">
        <v>90</v>
      </c>
      <c r="D14" s="10">
        <v>0.67013888888888895</v>
      </c>
      <c r="E14" s="10">
        <v>0.68263888888888902</v>
      </c>
      <c r="F14" s="9" t="s">
        <v>53</v>
      </c>
      <c r="G14" s="9" t="s">
        <v>54</v>
      </c>
      <c r="H14" s="11">
        <v>14</v>
      </c>
      <c r="I14" s="12">
        <v>19</v>
      </c>
      <c r="J14" s="12">
        <v>7</v>
      </c>
      <c r="K14" s="11">
        <f t="shared" si="0"/>
        <v>98</v>
      </c>
      <c r="L14">
        <v>13</v>
      </c>
      <c r="N14" s="13" t="s">
        <v>91</v>
      </c>
      <c r="O14" t="s">
        <v>92</v>
      </c>
      <c r="P14">
        <v>21</v>
      </c>
      <c r="Q14" t="s">
        <v>93</v>
      </c>
      <c r="R14" s="14">
        <v>21</v>
      </c>
      <c r="S14" t="s">
        <v>94</v>
      </c>
      <c r="T14">
        <v>10</v>
      </c>
      <c r="W14" s="15" t="s">
        <v>62</v>
      </c>
      <c r="X14" s="2" t="s">
        <v>55</v>
      </c>
      <c r="Y14" s="32">
        <v>49.102199747747697</v>
      </c>
      <c r="Z14" s="32">
        <f t="shared" si="1"/>
        <v>343.71539823423387</v>
      </c>
      <c r="AA14" s="16" t="s">
        <v>46</v>
      </c>
      <c r="AB14" t="s">
        <v>51</v>
      </c>
      <c r="AE14" s="1" t="s">
        <v>48</v>
      </c>
      <c r="AF14" s="1" t="s">
        <v>48</v>
      </c>
      <c r="AG14" s="1" t="s">
        <v>48</v>
      </c>
      <c r="AH14" s="1" t="s">
        <v>48</v>
      </c>
      <c r="AI14" s="1" t="s">
        <v>48</v>
      </c>
    </row>
    <row r="15" spans="1:37" ht="30" customHeight="1" x14ac:dyDescent="0.25">
      <c r="A15" s="9" t="s">
        <v>37</v>
      </c>
      <c r="B15" s="9" t="s">
        <v>38</v>
      </c>
      <c r="C15" s="9" t="s">
        <v>90</v>
      </c>
      <c r="D15" s="10">
        <v>0.67013888888888895</v>
      </c>
      <c r="E15" s="10">
        <v>0.69444444444444398</v>
      </c>
      <c r="F15" s="9" t="s">
        <v>53</v>
      </c>
      <c r="G15" s="9" t="s">
        <v>95</v>
      </c>
      <c r="H15" s="11">
        <v>14</v>
      </c>
      <c r="I15" s="12">
        <v>19</v>
      </c>
      <c r="J15" s="12">
        <v>182</v>
      </c>
      <c r="K15" s="11">
        <f t="shared" si="0"/>
        <v>2548</v>
      </c>
      <c r="L15">
        <v>14</v>
      </c>
      <c r="N15" s="13" t="s">
        <v>91</v>
      </c>
      <c r="O15" t="s">
        <v>92</v>
      </c>
      <c r="P15">
        <v>21</v>
      </c>
      <c r="Q15" t="s">
        <v>93</v>
      </c>
      <c r="R15" s="14">
        <v>21</v>
      </c>
      <c r="S15" t="s">
        <v>94</v>
      </c>
      <c r="T15">
        <v>10</v>
      </c>
      <c r="W15" s="15" t="s">
        <v>62</v>
      </c>
      <c r="X15" s="2" t="s">
        <v>96</v>
      </c>
      <c r="Y15" s="32">
        <v>49.102199747747697</v>
      </c>
      <c r="Z15" s="32">
        <f t="shared" si="1"/>
        <v>8936.6003540900801</v>
      </c>
      <c r="AA15" s="16" t="s">
        <v>46</v>
      </c>
      <c r="AB15" t="s">
        <v>47</v>
      </c>
      <c r="AE15" s="1" t="s">
        <v>48</v>
      </c>
      <c r="AF15" s="1" t="s">
        <v>48</v>
      </c>
      <c r="AG15" s="1" t="s">
        <v>48</v>
      </c>
      <c r="AH15" s="1" t="s">
        <v>48</v>
      </c>
      <c r="AI15" s="1" t="s">
        <v>48</v>
      </c>
    </row>
    <row r="16" spans="1:37" ht="76.5" customHeight="1" x14ac:dyDescent="0.25">
      <c r="A16" s="9" t="s">
        <v>37</v>
      </c>
      <c r="B16" s="9" t="s">
        <v>38</v>
      </c>
      <c r="C16" s="9" t="s">
        <v>97</v>
      </c>
      <c r="D16" s="10">
        <v>0.75277777777777799</v>
      </c>
      <c r="E16" s="10">
        <v>0.77777777777777801</v>
      </c>
      <c r="F16" s="17" t="s">
        <v>53</v>
      </c>
      <c r="G16" s="9" t="s">
        <v>95</v>
      </c>
      <c r="H16" s="11">
        <v>14</v>
      </c>
      <c r="I16" s="12">
        <v>22</v>
      </c>
      <c r="J16" s="18">
        <v>182</v>
      </c>
      <c r="K16" s="11">
        <f t="shared" si="0"/>
        <v>2548</v>
      </c>
      <c r="L16">
        <v>15</v>
      </c>
      <c r="N16" s="13" t="s">
        <v>75</v>
      </c>
      <c r="O16" t="s">
        <v>76</v>
      </c>
      <c r="P16">
        <v>24</v>
      </c>
      <c r="Q16" t="s">
        <v>77</v>
      </c>
      <c r="R16" s="14">
        <v>23</v>
      </c>
      <c r="S16" t="s">
        <v>78</v>
      </c>
      <c r="T16">
        <v>21</v>
      </c>
      <c r="W16" s="15" t="s">
        <v>62</v>
      </c>
      <c r="X16" s="2" t="s">
        <v>96</v>
      </c>
      <c r="Y16" s="32">
        <v>36.235370202588904</v>
      </c>
      <c r="Z16" s="32">
        <f t="shared" si="1"/>
        <v>6594.8373768711808</v>
      </c>
      <c r="AA16" s="16" t="s">
        <v>98</v>
      </c>
      <c r="AB16" t="s">
        <v>47</v>
      </c>
      <c r="AE16" s="1" t="s">
        <v>48</v>
      </c>
      <c r="AF16" s="1" t="s">
        <v>48</v>
      </c>
      <c r="AG16" s="1" t="s">
        <v>48</v>
      </c>
      <c r="AH16" s="1" t="s">
        <v>48</v>
      </c>
      <c r="AI16" s="1" t="s">
        <v>48</v>
      </c>
    </row>
    <row r="17" spans="1:36" ht="25.5" customHeight="1" x14ac:dyDescent="0.25">
      <c r="A17" s="9" t="s">
        <v>37</v>
      </c>
      <c r="B17" s="9" t="s">
        <v>38</v>
      </c>
      <c r="C17" s="9" t="s">
        <v>97</v>
      </c>
      <c r="D17" s="10">
        <v>0.75277777777777799</v>
      </c>
      <c r="E17" s="10">
        <v>0.77777777777777801</v>
      </c>
      <c r="F17" s="17" t="s">
        <v>53</v>
      </c>
      <c r="G17" s="9" t="s">
        <v>54</v>
      </c>
      <c r="H17" s="11">
        <v>14</v>
      </c>
      <c r="I17" s="12">
        <v>22</v>
      </c>
      <c r="J17" s="18">
        <v>7</v>
      </c>
      <c r="K17" s="11">
        <f t="shared" si="0"/>
        <v>98</v>
      </c>
      <c r="L17">
        <v>15</v>
      </c>
      <c r="N17" s="13" t="s">
        <v>91</v>
      </c>
      <c r="O17" t="s">
        <v>92</v>
      </c>
      <c r="P17">
        <v>21</v>
      </c>
      <c r="Q17" t="s">
        <v>93</v>
      </c>
      <c r="R17" s="14">
        <v>21</v>
      </c>
      <c r="S17" t="s">
        <v>94</v>
      </c>
      <c r="T17">
        <v>10</v>
      </c>
      <c r="W17" s="15"/>
      <c r="X17" s="2" t="s">
        <v>55</v>
      </c>
      <c r="Y17" s="32">
        <v>49.102199747747697</v>
      </c>
      <c r="Z17" s="32">
        <f t="shared" si="1"/>
        <v>343.71539823423387</v>
      </c>
      <c r="AA17" s="16" t="s">
        <v>89</v>
      </c>
      <c r="AB17" t="s">
        <v>51</v>
      </c>
      <c r="AE17" s="1" t="s">
        <v>48</v>
      </c>
      <c r="AF17" s="1" t="s">
        <v>48</v>
      </c>
      <c r="AG17" s="1" t="s">
        <v>48</v>
      </c>
      <c r="AH17" s="1" t="s">
        <v>48</v>
      </c>
      <c r="AI17" s="1" t="s">
        <v>48</v>
      </c>
    </row>
    <row r="18" spans="1:36" ht="30" customHeight="1" x14ac:dyDescent="0.25">
      <c r="A18" s="9" t="s">
        <v>37</v>
      </c>
      <c r="B18" s="9" t="s">
        <v>99</v>
      </c>
      <c r="C18" s="9" t="s">
        <v>100</v>
      </c>
      <c r="D18" s="10">
        <v>0.28125</v>
      </c>
      <c r="E18" s="10">
        <v>0.30555555555555602</v>
      </c>
      <c r="F18" s="9" t="s">
        <v>101</v>
      </c>
      <c r="G18" s="9" t="s">
        <v>41</v>
      </c>
      <c r="H18" s="11">
        <v>12.8</v>
      </c>
      <c r="I18" s="12">
        <v>19</v>
      </c>
      <c r="J18" s="12">
        <v>218</v>
      </c>
      <c r="K18" s="11">
        <f t="shared" si="0"/>
        <v>2790.4</v>
      </c>
      <c r="L18">
        <v>16</v>
      </c>
      <c r="N18" s="13" t="s">
        <v>91</v>
      </c>
      <c r="O18" t="s">
        <v>92</v>
      </c>
      <c r="P18">
        <v>21</v>
      </c>
      <c r="Q18" t="s">
        <v>93</v>
      </c>
      <c r="R18" s="14">
        <v>21</v>
      </c>
      <c r="S18" t="s">
        <v>94</v>
      </c>
      <c r="T18">
        <v>10</v>
      </c>
      <c r="W18" s="15" t="s">
        <v>62</v>
      </c>
      <c r="X18" s="2" t="s">
        <v>45</v>
      </c>
      <c r="Y18" s="32">
        <v>44.893439769369301</v>
      </c>
      <c r="Z18" s="32">
        <f t="shared" si="1"/>
        <v>9786.7698697225078</v>
      </c>
      <c r="AA18" s="16" t="s">
        <v>46</v>
      </c>
      <c r="AB18" t="s">
        <v>47</v>
      </c>
      <c r="AE18" s="1" t="s">
        <v>48</v>
      </c>
      <c r="AF18" s="1" t="s">
        <v>48</v>
      </c>
      <c r="AG18" s="1" t="s">
        <v>48</v>
      </c>
      <c r="AH18" s="1" t="s">
        <v>48</v>
      </c>
      <c r="AI18" s="1" t="s">
        <v>48</v>
      </c>
      <c r="AJ18" s="1" t="s">
        <v>48</v>
      </c>
    </row>
    <row r="19" spans="1:36" ht="76.5" customHeight="1" x14ac:dyDescent="0.25">
      <c r="A19" s="9" t="s">
        <v>37</v>
      </c>
      <c r="B19" s="9" t="s">
        <v>99</v>
      </c>
      <c r="C19" s="9" t="s">
        <v>100</v>
      </c>
      <c r="D19" s="10">
        <v>0.28125</v>
      </c>
      <c r="E19" s="10">
        <v>0.31041666666666701</v>
      </c>
      <c r="F19" s="9" t="s">
        <v>101</v>
      </c>
      <c r="G19" s="9" t="s">
        <v>49</v>
      </c>
      <c r="H19" s="11">
        <v>12.8</v>
      </c>
      <c r="I19" s="12">
        <v>19</v>
      </c>
      <c r="J19" s="12">
        <v>8</v>
      </c>
      <c r="K19" s="11">
        <f t="shared" si="0"/>
        <v>102.4</v>
      </c>
      <c r="L19">
        <v>17</v>
      </c>
      <c r="N19" s="13" t="s">
        <v>75</v>
      </c>
      <c r="O19" t="s">
        <v>77</v>
      </c>
      <c r="P19">
        <v>23</v>
      </c>
      <c r="Q19" t="s">
        <v>78</v>
      </c>
      <c r="R19" s="14">
        <v>21</v>
      </c>
      <c r="S19" t="s">
        <v>76</v>
      </c>
      <c r="T19">
        <v>24</v>
      </c>
      <c r="W19" s="15" t="s">
        <v>62</v>
      </c>
      <c r="X19" s="2" t="s">
        <v>50</v>
      </c>
      <c r="Y19" s="32">
        <v>33.129481328081297</v>
      </c>
      <c r="Z19" s="32">
        <f t="shared" si="1"/>
        <v>265.03585062465038</v>
      </c>
      <c r="AA19" s="16" t="s">
        <v>46</v>
      </c>
      <c r="AB19" t="s">
        <v>51</v>
      </c>
      <c r="AE19" s="1" t="s">
        <v>48</v>
      </c>
      <c r="AF19" s="1" t="s">
        <v>48</v>
      </c>
      <c r="AG19" s="1" t="s">
        <v>48</v>
      </c>
      <c r="AH19" s="1" t="s">
        <v>48</v>
      </c>
      <c r="AI19" s="1" t="s">
        <v>48</v>
      </c>
      <c r="AJ19" s="1" t="s">
        <v>48</v>
      </c>
    </row>
    <row r="20" spans="1:36" ht="25.5" customHeight="1" x14ac:dyDescent="0.25">
      <c r="A20" s="9" t="s">
        <v>37</v>
      </c>
      <c r="B20" s="9" t="s">
        <v>99</v>
      </c>
      <c r="C20" s="9" t="s">
        <v>102</v>
      </c>
      <c r="D20" s="10">
        <v>0.46180555555555602</v>
      </c>
      <c r="E20" s="10">
        <v>0.484027777777778</v>
      </c>
      <c r="F20" s="9" t="s">
        <v>101</v>
      </c>
      <c r="G20" s="9" t="s">
        <v>49</v>
      </c>
      <c r="H20" s="11">
        <v>12.8</v>
      </c>
      <c r="I20" s="12">
        <v>19</v>
      </c>
      <c r="J20" s="12">
        <v>8</v>
      </c>
      <c r="K20" s="11">
        <f t="shared" si="0"/>
        <v>102.4</v>
      </c>
      <c r="L20">
        <v>18</v>
      </c>
      <c r="N20" s="13" t="s">
        <v>91</v>
      </c>
      <c r="O20" t="s">
        <v>92</v>
      </c>
      <c r="P20">
        <v>21</v>
      </c>
      <c r="Q20" t="s">
        <v>93</v>
      </c>
      <c r="R20" s="14">
        <v>21</v>
      </c>
      <c r="S20" t="s">
        <v>94</v>
      </c>
      <c r="T20">
        <v>10</v>
      </c>
      <c r="W20" s="15" t="s">
        <v>62</v>
      </c>
      <c r="X20" s="2" t="s">
        <v>50</v>
      </c>
      <c r="Y20" s="32">
        <v>44.893439769369301</v>
      </c>
      <c r="Z20" s="32">
        <f t="shared" si="1"/>
        <v>359.14751815495441</v>
      </c>
      <c r="AA20" s="16" t="s">
        <v>46</v>
      </c>
      <c r="AB20" t="s">
        <v>51</v>
      </c>
      <c r="AE20" s="1" t="s">
        <v>48</v>
      </c>
      <c r="AF20" s="1" t="s">
        <v>48</v>
      </c>
      <c r="AG20" s="1" t="s">
        <v>48</v>
      </c>
      <c r="AH20" s="1" t="s">
        <v>48</v>
      </c>
      <c r="AI20" s="1" t="s">
        <v>48</v>
      </c>
      <c r="AJ20" s="1" t="s">
        <v>48</v>
      </c>
    </row>
    <row r="21" spans="1:36" ht="30" customHeight="1" x14ac:dyDescent="0.25">
      <c r="A21" s="9" t="s">
        <v>37</v>
      </c>
      <c r="B21" s="9" t="s">
        <v>99</v>
      </c>
      <c r="C21" s="9" t="s">
        <v>103</v>
      </c>
      <c r="D21" s="10">
        <v>0.71041666666666703</v>
      </c>
      <c r="E21" s="10">
        <v>0.73958333333333304</v>
      </c>
      <c r="F21" s="9" t="s">
        <v>101</v>
      </c>
      <c r="G21" s="9" t="s">
        <v>95</v>
      </c>
      <c r="H21" s="11">
        <v>12.8</v>
      </c>
      <c r="I21" s="12">
        <v>23</v>
      </c>
      <c r="J21" s="12">
        <v>182</v>
      </c>
      <c r="K21" s="11">
        <f t="shared" si="0"/>
        <v>2329.6</v>
      </c>
      <c r="L21">
        <v>19</v>
      </c>
      <c r="N21" s="13" t="s">
        <v>42</v>
      </c>
      <c r="O21" t="s">
        <v>43</v>
      </c>
      <c r="P21">
        <v>24</v>
      </c>
      <c r="Q21" t="s">
        <v>44</v>
      </c>
      <c r="R21" s="14">
        <v>22</v>
      </c>
      <c r="S21" t="s">
        <v>44</v>
      </c>
      <c r="T21">
        <v>22</v>
      </c>
      <c r="W21" s="15"/>
      <c r="X21" s="2" t="s">
        <v>96</v>
      </c>
      <c r="Y21" s="32">
        <v>51.995069490768799</v>
      </c>
      <c r="Z21" s="32">
        <f t="shared" si="1"/>
        <v>9463.1026473199217</v>
      </c>
      <c r="AA21" s="16" t="s">
        <v>46</v>
      </c>
      <c r="AB21" t="s">
        <v>47</v>
      </c>
      <c r="AE21" s="1" t="s">
        <v>48</v>
      </c>
      <c r="AF21" s="1" t="s">
        <v>48</v>
      </c>
      <c r="AG21" s="1" t="s">
        <v>48</v>
      </c>
      <c r="AH21" s="1" t="s">
        <v>48</v>
      </c>
      <c r="AI21" s="1" t="s">
        <v>48</v>
      </c>
    </row>
    <row r="22" spans="1:36" ht="25.5" customHeight="1" x14ac:dyDescent="0.25">
      <c r="A22" s="9" t="s">
        <v>37</v>
      </c>
      <c r="B22" s="9" t="s">
        <v>99</v>
      </c>
      <c r="C22" s="9" t="s">
        <v>103</v>
      </c>
      <c r="D22" s="10">
        <v>0.71041666666666703</v>
      </c>
      <c r="E22" s="10">
        <v>0.73958333333333304</v>
      </c>
      <c r="F22" s="9" t="s">
        <v>101</v>
      </c>
      <c r="G22" s="9" t="s">
        <v>54</v>
      </c>
      <c r="H22" s="11">
        <v>12.8</v>
      </c>
      <c r="I22" s="12">
        <v>23</v>
      </c>
      <c r="J22" s="12">
        <v>7</v>
      </c>
      <c r="K22" s="11">
        <f t="shared" si="0"/>
        <v>89.600000000000009</v>
      </c>
      <c r="L22">
        <v>20</v>
      </c>
      <c r="N22" s="13" t="s">
        <v>42</v>
      </c>
      <c r="O22" t="s">
        <v>43</v>
      </c>
      <c r="P22">
        <v>24</v>
      </c>
      <c r="Q22" t="s">
        <v>44</v>
      </c>
      <c r="R22" s="14">
        <v>22</v>
      </c>
      <c r="S22" t="s">
        <v>44</v>
      </c>
      <c r="T22">
        <v>22</v>
      </c>
      <c r="W22" s="15"/>
      <c r="X22" s="2" t="s">
        <v>55</v>
      </c>
      <c r="Y22" s="32">
        <v>51.995069490768799</v>
      </c>
      <c r="Z22" s="32">
        <f t="shared" si="1"/>
        <v>363.96548643538159</v>
      </c>
      <c r="AA22" s="16" t="s">
        <v>46</v>
      </c>
      <c r="AB22" t="s">
        <v>51</v>
      </c>
      <c r="AE22" s="1" t="s">
        <v>48</v>
      </c>
      <c r="AF22" s="1" t="s">
        <v>48</v>
      </c>
      <c r="AG22" s="1" t="s">
        <v>48</v>
      </c>
      <c r="AH22" s="1" t="s">
        <v>48</v>
      </c>
      <c r="AI22" s="1" t="s">
        <v>48</v>
      </c>
    </row>
    <row r="23" spans="1:36" ht="25.5" customHeight="1" x14ac:dyDescent="0.25">
      <c r="A23" s="9" t="s">
        <v>37</v>
      </c>
      <c r="B23" s="9" t="s">
        <v>104</v>
      </c>
      <c r="C23" s="9" t="s">
        <v>105</v>
      </c>
      <c r="D23" s="10">
        <v>0.3125</v>
      </c>
      <c r="E23" s="10">
        <v>0.32291666666666702</v>
      </c>
      <c r="F23" s="9" t="s">
        <v>106</v>
      </c>
      <c r="G23" s="9" t="s">
        <v>58</v>
      </c>
      <c r="H23" s="11">
        <v>7</v>
      </c>
      <c r="I23" s="12">
        <v>22</v>
      </c>
      <c r="J23" s="12">
        <v>198</v>
      </c>
      <c r="K23" s="11">
        <f t="shared" si="0"/>
        <v>1386</v>
      </c>
      <c r="L23">
        <v>21</v>
      </c>
      <c r="N23" s="13" t="s">
        <v>42</v>
      </c>
      <c r="O23" t="s">
        <v>43</v>
      </c>
      <c r="P23">
        <v>24</v>
      </c>
      <c r="Q23" t="s">
        <v>44</v>
      </c>
      <c r="R23" s="14">
        <v>22</v>
      </c>
      <c r="S23" t="s">
        <v>44</v>
      </c>
      <c r="T23">
        <v>22</v>
      </c>
      <c r="W23" s="15"/>
      <c r="X23" s="2" t="s">
        <v>63</v>
      </c>
      <c r="Y23" s="32">
        <v>28.4348036277642</v>
      </c>
      <c r="Z23" s="32">
        <f t="shared" si="1"/>
        <v>5630.0911182973114</v>
      </c>
      <c r="AA23" s="16" t="s">
        <v>46</v>
      </c>
      <c r="AB23" t="s">
        <v>64</v>
      </c>
      <c r="AE23" s="1" t="s">
        <v>48</v>
      </c>
      <c r="AF23" s="1" t="s">
        <v>48</v>
      </c>
      <c r="AG23" s="1" t="s">
        <v>48</v>
      </c>
      <c r="AH23" s="1" t="s">
        <v>48</v>
      </c>
      <c r="AI23" s="1" t="s">
        <v>48</v>
      </c>
      <c r="AJ23" s="1" t="s">
        <v>48</v>
      </c>
    </row>
    <row r="24" spans="1:36" ht="25.5" customHeight="1" x14ac:dyDescent="0.25">
      <c r="A24" s="9" t="s">
        <v>37</v>
      </c>
      <c r="B24" s="9" t="s">
        <v>104</v>
      </c>
      <c r="C24" s="9" t="s">
        <v>107</v>
      </c>
      <c r="D24" s="10">
        <v>0.55138888888888904</v>
      </c>
      <c r="E24" s="10">
        <v>0.5625</v>
      </c>
      <c r="F24" s="9" t="s">
        <v>108</v>
      </c>
      <c r="G24" s="9" t="s">
        <v>86</v>
      </c>
      <c r="H24" s="11">
        <v>9.3000000000000007</v>
      </c>
      <c r="I24" s="12">
        <v>23</v>
      </c>
      <c r="J24" s="12">
        <v>34</v>
      </c>
      <c r="K24" s="11">
        <f t="shared" si="0"/>
        <v>316.20000000000005</v>
      </c>
      <c r="L24">
        <v>22</v>
      </c>
      <c r="N24" s="13" t="s">
        <v>42</v>
      </c>
      <c r="O24" t="s">
        <v>43</v>
      </c>
      <c r="P24">
        <v>24</v>
      </c>
      <c r="Q24" t="s">
        <v>44</v>
      </c>
      <c r="R24" s="14">
        <v>22</v>
      </c>
      <c r="S24" t="s">
        <v>44</v>
      </c>
      <c r="T24">
        <v>22</v>
      </c>
      <c r="W24" s="15"/>
      <c r="X24" s="2" t="s">
        <v>88</v>
      </c>
      <c r="Y24" s="32">
        <v>37.777667676886701</v>
      </c>
      <c r="Z24" s="32">
        <f t="shared" si="1"/>
        <v>1284.4407010141479</v>
      </c>
      <c r="AA24" s="16" t="s">
        <v>46</v>
      </c>
      <c r="AB24" t="s">
        <v>64</v>
      </c>
      <c r="AJ24" s="1" t="s">
        <v>48</v>
      </c>
    </row>
    <row r="25" spans="1:36" ht="25.5" customHeight="1" x14ac:dyDescent="0.25">
      <c r="A25" s="9" t="s">
        <v>37</v>
      </c>
      <c r="B25" s="9" t="s">
        <v>104</v>
      </c>
      <c r="C25" s="9" t="s">
        <v>107</v>
      </c>
      <c r="D25" s="10">
        <v>0.56597222222222199</v>
      </c>
      <c r="E25" s="10">
        <v>0.57430555555555596</v>
      </c>
      <c r="F25" s="9" t="s">
        <v>109</v>
      </c>
      <c r="G25" s="9" t="s">
        <v>83</v>
      </c>
      <c r="H25" s="11">
        <v>9.3000000000000007</v>
      </c>
      <c r="I25" s="12">
        <v>23</v>
      </c>
      <c r="J25" s="12">
        <v>164</v>
      </c>
      <c r="K25" s="11">
        <f t="shared" si="0"/>
        <v>1525.2</v>
      </c>
      <c r="L25">
        <v>23</v>
      </c>
      <c r="N25" s="13" t="s">
        <v>42</v>
      </c>
      <c r="O25" t="s">
        <v>43</v>
      </c>
      <c r="P25">
        <v>24</v>
      </c>
      <c r="Q25" t="s">
        <v>44</v>
      </c>
      <c r="R25" s="14">
        <v>22</v>
      </c>
      <c r="S25" t="s">
        <v>44</v>
      </c>
      <c r="T25">
        <v>22</v>
      </c>
      <c r="W25" s="15"/>
      <c r="X25" s="2" t="s">
        <v>84</v>
      </c>
      <c r="Y25" s="32">
        <v>37.777667676886701</v>
      </c>
      <c r="Z25" s="32">
        <f t="shared" si="1"/>
        <v>6195.5374990094188</v>
      </c>
      <c r="AA25" s="16" t="s">
        <v>46</v>
      </c>
      <c r="AB25" t="s">
        <v>64</v>
      </c>
      <c r="AE25" s="1" t="s">
        <v>48</v>
      </c>
      <c r="AF25" s="1" t="s">
        <v>48</v>
      </c>
      <c r="AG25" s="1" t="s">
        <v>48</v>
      </c>
      <c r="AH25" s="1" t="s">
        <v>48</v>
      </c>
      <c r="AI25" s="1" t="s">
        <v>48</v>
      </c>
    </row>
    <row r="26" spans="1:36" ht="25.5" customHeight="1" x14ac:dyDescent="0.25">
      <c r="A26" s="9" t="s">
        <v>37</v>
      </c>
      <c r="B26" s="9" t="s">
        <v>110</v>
      </c>
      <c r="C26" s="9" t="s">
        <v>111</v>
      </c>
      <c r="D26" s="10">
        <v>0.359027777777778</v>
      </c>
      <c r="E26" s="10">
        <v>0.37291666666666701</v>
      </c>
      <c r="F26" s="9" t="s">
        <v>112</v>
      </c>
      <c r="G26" s="9" t="s">
        <v>49</v>
      </c>
      <c r="H26" s="11">
        <v>9.6</v>
      </c>
      <c r="I26" s="12">
        <v>22</v>
      </c>
      <c r="J26" s="12">
        <v>8</v>
      </c>
      <c r="K26" s="11">
        <f t="shared" si="0"/>
        <v>76.8</v>
      </c>
      <c r="L26">
        <v>24</v>
      </c>
      <c r="N26" s="13" t="s">
        <v>42</v>
      </c>
      <c r="O26" t="s">
        <v>43</v>
      </c>
      <c r="P26">
        <v>24</v>
      </c>
      <c r="Q26" t="s">
        <v>44</v>
      </c>
      <c r="R26" s="14">
        <v>22</v>
      </c>
      <c r="S26" t="s">
        <v>44</v>
      </c>
      <c r="T26">
        <v>22</v>
      </c>
      <c r="W26" s="15"/>
      <c r="X26" s="2" t="s">
        <v>50</v>
      </c>
      <c r="Y26" s="32">
        <v>38.996302118076599</v>
      </c>
      <c r="Z26" s="32">
        <f t="shared" si="1"/>
        <v>311.97041694461279</v>
      </c>
      <c r="AA26" s="16" t="s">
        <v>46</v>
      </c>
      <c r="AB26" t="s">
        <v>51</v>
      </c>
      <c r="AE26" s="1" t="s">
        <v>48</v>
      </c>
      <c r="AF26" s="1" t="s">
        <v>48</v>
      </c>
      <c r="AG26" s="1" t="s">
        <v>48</v>
      </c>
      <c r="AH26" s="1" t="s">
        <v>48</v>
      </c>
      <c r="AI26" s="1" t="s">
        <v>48</v>
      </c>
      <c r="AJ26" s="1" t="s">
        <v>48</v>
      </c>
    </row>
    <row r="27" spans="1:36" ht="25.5" customHeight="1" x14ac:dyDescent="0.25">
      <c r="A27" s="9" t="s">
        <v>37</v>
      </c>
      <c r="B27" s="9" t="s">
        <v>110</v>
      </c>
      <c r="C27" s="9" t="s">
        <v>113</v>
      </c>
      <c r="D27" s="10">
        <v>0.484027777777778</v>
      </c>
      <c r="E27" s="10">
        <v>0.49791666666666701</v>
      </c>
      <c r="F27" s="9" t="s">
        <v>112</v>
      </c>
      <c r="G27" s="9" t="s">
        <v>114</v>
      </c>
      <c r="H27" s="11">
        <v>9.6</v>
      </c>
      <c r="I27" s="12">
        <v>20</v>
      </c>
      <c r="J27" s="12">
        <v>226</v>
      </c>
      <c r="K27" s="11">
        <f t="shared" si="0"/>
        <v>2169.6</v>
      </c>
      <c r="L27">
        <v>25</v>
      </c>
      <c r="N27" s="13" t="s">
        <v>59</v>
      </c>
      <c r="O27" t="s">
        <v>60</v>
      </c>
      <c r="P27">
        <v>21</v>
      </c>
      <c r="Q27" t="s">
        <v>61</v>
      </c>
      <c r="R27" s="14">
        <v>21</v>
      </c>
      <c r="S27" t="s">
        <v>61</v>
      </c>
      <c r="T27">
        <v>21</v>
      </c>
      <c r="W27" s="15" t="s">
        <v>62</v>
      </c>
      <c r="X27" s="2" t="s">
        <v>115</v>
      </c>
      <c r="Y27" s="32">
        <v>33.308795487439298</v>
      </c>
      <c r="Z27" s="32">
        <f t="shared" si="1"/>
        <v>7527.7877801612813</v>
      </c>
      <c r="AA27" s="16" t="s">
        <v>46</v>
      </c>
      <c r="AB27" t="s">
        <v>116</v>
      </c>
      <c r="AE27" s="1" t="s">
        <v>48</v>
      </c>
      <c r="AF27" s="1" t="s">
        <v>48</v>
      </c>
      <c r="AG27" s="1" t="s">
        <v>48</v>
      </c>
      <c r="AH27" s="1" t="s">
        <v>48</v>
      </c>
      <c r="AI27" s="1" t="s">
        <v>48</v>
      </c>
      <c r="AJ27" s="1" t="s">
        <v>48</v>
      </c>
    </row>
    <row r="28" spans="1:36" ht="25.5" customHeight="1" x14ac:dyDescent="0.25">
      <c r="A28" s="9" t="s">
        <v>37</v>
      </c>
      <c r="B28" s="9" t="s">
        <v>110</v>
      </c>
      <c r="C28" s="9" t="s">
        <v>117</v>
      </c>
      <c r="D28" s="10">
        <v>0.55902777777777801</v>
      </c>
      <c r="E28" s="10">
        <v>0.56874999999999998</v>
      </c>
      <c r="F28" s="9" t="s">
        <v>118</v>
      </c>
      <c r="G28" s="9" t="s">
        <v>83</v>
      </c>
      <c r="H28" s="11">
        <v>6.3</v>
      </c>
      <c r="I28" s="12">
        <v>20</v>
      </c>
      <c r="J28" s="12">
        <v>164</v>
      </c>
      <c r="K28" s="11">
        <f t="shared" si="0"/>
        <v>1033.2</v>
      </c>
      <c r="L28">
        <v>26</v>
      </c>
      <c r="N28" s="13" t="s">
        <v>91</v>
      </c>
      <c r="O28" t="s">
        <v>119</v>
      </c>
      <c r="P28">
        <v>24</v>
      </c>
      <c r="Q28" t="s">
        <v>93</v>
      </c>
      <c r="R28" s="14">
        <v>21</v>
      </c>
      <c r="S28" t="s">
        <v>94</v>
      </c>
      <c r="T28">
        <v>10</v>
      </c>
      <c r="W28" s="15"/>
      <c r="X28" s="2" t="s">
        <v>84</v>
      </c>
      <c r="Y28" s="32">
        <v>22.0959898864865</v>
      </c>
      <c r="Z28" s="32">
        <f t="shared" si="1"/>
        <v>3623.742341383786</v>
      </c>
      <c r="AA28" s="16" t="s">
        <v>46</v>
      </c>
      <c r="AB28" t="s">
        <v>64</v>
      </c>
      <c r="AE28" s="1" t="s">
        <v>48</v>
      </c>
      <c r="AF28" s="1" t="s">
        <v>48</v>
      </c>
      <c r="AG28" s="1" t="s">
        <v>48</v>
      </c>
      <c r="AH28" s="1" t="s">
        <v>48</v>
      </c>
      <c r="AI28" s="1" t="s">
        <v>48</v>
      </c>
    </row>
    <row r="29" spans="1:36" ht="25.5" customHeight="1" x14ac:dyDescent="0.25">
      <c r="A29" s="9" t="s">
        <v>37</v>
      </c>
      <c r="B29" s="9" t="s">
        <v>110</v>
      </c>
      <c r="C29" s="9" t="s">
        <v>120</v>
      </c>
      <c r="D29" s="10">
        <v>0.71180555555555602</v>
      </c>
      <c r="E29" s="10">
        <v>0.72569444444444398</v>
      </c>
      <c r="F29" s="9" t="s">
        <v>112</v>
      </c>
      <c r="G29" s="9" t="s">
        <v>54</v>
      </c>
      <c r="H29" s="11">
        <v>9.6</v>
      </c>
      <c r="I29" s="12">
        <v>20</v>
      </c>
      <c r="J29" s="12">
        <v>7</v>
      </c>
      <c r="K29" s="11">
        <f t="shared" si="0"/>
        <v>67.2</v>
      </c>
      <c r="L29">
        <v>27</v>
      </c>
      <c r="N29" s="13" t="s">
        <v>59</v>
      </c>
      <c r="O29" t="s">
        <v>60</v>
      </c>
      <c r="P29">
        <v>21</v>
      </c>
      <c r="Q29" t="s">
        <v>61</v>
      </c>
      <c r="R29" s="14">
        <v>21</v>
      </c>
      <c r="S29" t="s">
        <v>61</v>
      </c>
      <c r="T29">
        <v>21</v>
      </c>
      <c r="W29" s="15" t="s">
        <v>62</v>
      </c>
      <c r="X29" s="2" t="s">
        <v>55</v>
      </c>
      <c r="Y29" s="32">
        <v>33.308795487439298</v>
      </c>
      <c r="Z29" s="32">
        <f t="shared" si="1"/>
        <v>233.1615684120751</v>
      </c>
      <c r="AA29" s="16" t="s">
        <v>46</v>
      </c>
      <c r="AB29" t="s">
        <v>51</v>
      </c>
      <c r="AE29" s="1" t="s">
        <v>48</v>
      </c>
      <c r="AF29" s="1" t="s">
        <v>48</v>
      </c>
      <c r="AG29" s="1" t="s">
        <v>48</v>
      </c>
      <c r="AH29" s="1" t="s">
        <v>48</v>
      </c>
      <c r="AI29" s="1" t="s">
        <v>48</v>
      </c>
    </row>
    <row r="30" spans="1:36" ht="30" customHeight="1" x14ac:dyDescent="0.25">
      <c r="A30" s="9" t="s">
        <v>37</v>
      </c>
      <c r="B30" s="9" t="s">
        <v>110</v>
      </c>
      <c r="C30" s="9" t="s">
        <v>120</v>
      </c>
      <c r="D30" s="10">
        <v>0.71180555555555602</v>
      </c>
      <c r="E30" s="10">
        <v>0.73402777777777795</v>
      </c>
      <c r="F30" s="9" t="s">
        <v>112</v>
      </c>
      <c r="G30" s="9" t="s">
        <v>95</v>
      </c>
      <c r="H30" s="11">
        <v>9.6</v>
      </c>
      <c r="I30" s="12">
        <v>20</v>
      </c>
      <c r="J30" s="12">
        <v>182</v>
      </c>
      <c r="K30" s="11">
        <f t="shared" si="0"/>
        <v>1747.2</v>
      </c>
      <c r="L30">
        <v>28</v>
      </c>
      <c r="N30" s="13" t="s">
        <v>59</v>
      </c>
      <c r="O30" t="s">
        <v>60</v>
      </c>
      <c r="P30">
        <v>21</v>
      </c>
      <c r="Q30" t="s">
        <v>61</v>
      </c>
      <c r="R30" s="14">
        <v>21</v>
      </c>
      <c r="S30" t="s">
        <v>61</v>
      </c>
      <c r="T30">
        <v>21</v>
      </c>
      <c r="W30" s="15" t="s">
        <v>62</v>
      </c>
      <c r="X30" s="2" t="s">
        <v>96</v>
      </c>
      <c r="Y30" s="32">
        <v>33.308795487439298</v>
      </c>
      <c r="Z30" s="32">
        <f t="shared" si="1"/>
        <v>6062.2007787139519</v>
      </c>
      <c r="AA30" s="16" t="s">
        <v>46</v>
      </c>
      <c r="AB30" t="s">
        <v>47</v>
      </c>
      <c r="AE30" s="1" t="s">
        <v>48</v>
      </c>
      <c r="AF30" s="1" t="s">
        <v>48</v>
      </c>
      <c r="AG30" s="1" t="s">
        <v>48</v>
      </c>
      <c r="AH30" s="1" t="s">
        <v>48</v>
      </c>
      <c r="AI30" s="1" t="s">
        <v>48</v>
      </c>
    </row>
    <row r="31" spans="1:36" ht="25.5" customHeight="1" x14ac:dyDescent="0.25">
      <c r="A31" s="9" t="s">
        <v>37</v>
      </c>
      <c r="B31" s="9" t="s">
        <v>110</v>
      </c>
      <c r="C31" s="9" t="s">
        <v>120</v>
      </c>
      <c r="D31" s="10">
        <v>0.71875</v>
      </c>
      <c r="E31" s="10">
        <v>0.72361111111111098</v>
      </c>
      <c r="F31" s="9" t="s">
        <v>121</v>
      </c>
      <c r="G31" s="19" t="s">
        <v>83</v>
      </c>
      <c r="H31" s="11">
        <v>7</v>
      </c>
      <c r="I31" s="12">
        <v>20</v>
      </c>
      <c r="J31" s="12">
        <v>164</v>
      </c>
      <c r="K31" s="11">
        <f t="shared" si="0"/>
        <v>1148</v>
      </c>
      <c r="L31">
        <v>29</v>
      </c>
      <c r="N31" s="13" t="s">
        <v>59</v>
      </c>
      <c r="O31" t="s">
        <v>60</v>
      </c>
      <c r="P31">
        <v>21</v>
      </c>
      <c r="Q31" t="s">
        <v>61</v>
      </c>
      <c r="R31" s="14">
        <v>21</v>
      </c>
      <c r="S31" t="s">
        <v>61</v>
      </c>
      <c r="T31">
        <v>21</v>
      </c>
      <c r="W31" s="15" t="s">
        <v>62</v>
      </c>
      <c r="X31" s="2" t="s">
        <v>84</v>
      </c>
      <c r="Y31" s="32">
        <v>24.2876633762578</v>
      </c>
      <c r="Z31" s="32">
        <f t="shared" si="1"/>
        <v>3983.1767937062791</v>
      </c>
      <c r="AA31" s="16" t="s">
        <v>46</v>
      </c>
      <c r="AB31" t="s">
        <v>64</v>
      </c>
      <c r="AE31" s="1" t="s">
        <v>48</v>
      </c>
      <c r="AF31" s="1" t="s">
        <v>48</v>
      </c>
      <c r="AG31" s="1" t="s">
        <v>48</v>
      </c>
      <c r="AH31" s="1" t="s">
        <v>48</v>
      </c>
      <c r="AI31" s="1" t="s">
        <v>48</v>
      </c>
    </row>
    <row r="32" spans="1:36" ht="76.5" customHeight="1" x14ac:dyDescent="0.25">
      <c r="A32" s="9" t="s">
        <v>37</v>
      </c>
      <c r="B32" s="9" t="s">
        <v>122</v>
      </c>
      <c r="C32" s="9" t="s">
        <v>123</v>
      </c>
      <c r="D32" s="10">
        <v>0.27291666666666697</v>
      </c>
      <c r="E32" s="10">
        <v>0.28680555555555598</v>
      </c>
      <c r="F32" s="9" t="s">
        <v>124</v>
      </c>
      <c r="G32" s="9" t="s">
        <v>58</v>
      </c>
      <c r="H32" s="11">
        <v>8</v>
      </c>
      <c r="I32" s="12">
        <v>20</v>
      </c>
      <c r="J32" s="12">
        <v>198</v>
      </c>
      <c r="K32" s="11">
        <f t="shared" si="0"/>
        <v>1584</v>
      </c>
      <c r="L32">
        <v>30</v>
      </c>
      <c r="N32" s="13" t="s">
        <v>75</v>
      </c>
      <c r="O32" t="s">
        <v>78</v>
      </c>
      <c r="P32">
        <v>21</v>
      </c>
      <c r="Q32" t="s">
        <v>77</v>
      </c>
      <c r="R32" s="14">
        <v>23</v>
      </c>
      <c r="S32" t="s">
        <v>76</v>
      </c>
      <c r="T32">
        <v>24</v>
      </c>
      <c r="W32" s="15" t="s">
        <v>62</v>
      </c>
      <c r="X32" s="2" t="s">
        <v>63</v>
      </c>
      <c r="Y32" s="32">
        <v>20.705925830050798</v>
      </c>
      <c r="Z32" s="32">
        <f t="shared" si="1"/>
        <v>4099.7733143500582</v>
      </c>
      <c r="AA32" s="16" t="s">
        <v>46</v>
      </c>
      <c r="AB32" t="s">
        <v>64</v>
      </c>
      <c r="AE32" s="1" t="s">
        <v>48</v>
      </c>
      <c r="AF32" s="1" t="s">
        <v>48</v>
      </c>
      <c r="AG32" s="1" t="s">
        <v>48</v>
      </c>
      <c r="AH32" s="1" t="s">
        <v>48</v>
      </c>
      <c r="AI32" s="1" t="s">
        <v>48</v>
      </c>
      <c r="AJ32" s="1" t="s">
        <v>48</v>
      </c>
    </row>
    <row r="33" spans="1:36" ht="76.5" customHeight="1" x14ac:dyDescent="0.25">
      <c r="A33" s="9" t="s">
        <v>37</v>
      </c>
      <c r="B33" s="9" t="s">
        <v>122</v>
      </c>
      <c r="C33" s="9" t="s">
        <v>125</v>
      </c>
      <c r="D33" s="10">
        <v>0.27916666666666701</v>
      </c>
      <c r="E33" s="10">
        <v>0.29097222222222202</v>
      </c>
      <c r="F33" s="9" t="s">
        <v>126</v>
      </c>
      <c r="G33" s="9" t="s">
        <v>58</v>
      </c>
      <c r="H33" s="11">
        <v>5.85</v>
      </c>
      <c r="I33" s="12">
        <v>23</v>
      </c>
      <c r="J33" s="12">
        <v>198</v>
      </c>
      <c r="K33" s="11">
        <f t="shared" si="0"/>
        <v>1158.3</v>
      </c>
      <c r="L33">
        <v>31</v>
      </c>
      <c r="N33" s="13" t="s">
        <v>75</v>
      </c>
      <c r="O33" t="s">
        <v>76</v>
      </c>
      <c r="P33">
        <v>24</v>
      </c>
      <c r="Q33" t="s">
        <v>77</v>
      </c>
      <c r="R33" s="14">
        <v>23</v>
      </c>
      <c r="S33" t="s">
        <v>78</v>
      </c>
      <c r="T33">
        <v>21</v>
      </c>
      <c r="W33" s="15" t="s">
        <v>62</v>
      </c>
      <c r="X33" s="2" t="s">
        <v>63</v>
      </c>
      <c r="Y33" s="32">
        <v>15.1412082632246</v>
      </c>
      <c r="Z33" s="32">
        <f t="shared" si="1"/>
        <v>2997.9592361184709</v>
      </c>
      <c r="AA33" s="16" t="s">
        <v>46</v>
      </c>
      <c r="AB33" t="s">
        <v>64</v>
      </c>
      <c r="AE33" s="1" t="s">
        <v>48</v>
      </c>
      <c r="AF33" s="1" t="s">
        <v>48</v>
      </c>
      <c r="AG33" s="1" t="s">
        <v>48</v>
      </c>
      <c r="AH33" s="1" t="s">
        <v>48</v>
      </c>
      <c r="AI33" s="1" t="s">
        <v>48</v>
      </c>
      <c r="AJ33" s="1" t="s">
        <v>48</v>
      </c>
    </row>
    <row r="34" spans="1:36" ht="76.5" customHeight="1" x14ac:dyDescent="0.25">
      <c r="A34" s="9" t="s">
        <v>37</v>
      </c>
      <c r="B34" s="9" t="s">
        <v>122</v>
      </c>
      <c r="C34" s="9" t="s">
        <v>125</v>
      </c>
      <c r="D34" s="10">
        <v>0.28125</v>
      </c>
      <c r="E34" s="10">
        <v>0.29097222222222202</v>
      </c>
      <c r="F34" s="9" t="s">
        <v>127</v>
      </c>
      <c r="G34" s="9" t="s">
        <v>49</v>
      </c>
      <c r="H34" s="11">
        <v>5</v>
      </c>
      <c r="I34" s="12">
        <v>23</v>
      </c>
      <c r="J34" s="12">
        <v>8</v>
      </c>
      <c r="K34" s="11">
        <f t="shared" si="0"/>
        <v>40</v>
      </c>
      <c r="L34">
        <v>32</v>
      </c>
      <c r="N34" s="13" t="s">
        <v>75</v>
      </c>
      <c r="O34" t="s">
        <v>76</v>
      </c>
      <c r="P34">
        <v>24</v>
      </c>
      <c r="Q34" t="s">
        <v>77</v>
      </c>
      <c r="R34" s="14">
        <v>23</v>
      </c>
      <c r="S34" t="s">
        <v>78</v>
      </c>
      <c r="T34">
        <v>21</v>
      </c>
      <c r="W34" s="15" t="s">
        <v>62</v>
      </c>
      <c r="X34" s="2" t="s">
        <v>50</v>
      </c>
      <c r="Y34" s="32">
        <v>12.941203643781799</v>
      </c>
      <c r="Z34" s="32">
        <f t="shared" si="1"/>
        <v>103.52962915025439</v>
      </c>
      <c r="AA34" s="16" t="s">
        <v>46</v>
      </c>
      <c r="AB34" t="s">
        <v>51</v>
      </c>
      <c r="AE34" s="1" t="s">
        <v>48</v>
      </c>
      <c r="AF34" s="1" t="s">
        <v>48</v>
      </c>
      <c r="AG34" s="1" t="s">
        <v>48</v>
      </c>
      <c r="AH34" s="1" t="s">
        <v>48</v>
      </c>
      <c r="AI34" s="1" t="s">
        <v>48</v>
      </c>
      <c r="AJ34" s="1" t="s">
        <v>48</v>
      </c>
    </row>
    <row r="35" spans="1:36" ht="76.5" customHeight="1" x14ac:dyDescent="0.25">
      <c r="A35" s="9" t="s">
        <v>37</v>
      </c>
      <c r="B35" s="9" t="s">
        <v>122</v>
      </c>
      <c r="C35" s="9" t="s">
        <v>128</v>
      </c>
      <c r="D35" s="10">
        <v>0.28680555555555598</v>
      </c>
      <c r="E35" s="10">
        <v>0.31111111111111101</v>
      </c>
      <c r="F35" s="9" t="s">
        <v>129</v>
      </c>
      <c r="G35" s="9" t="s">
        <v>83</v>
      </c>
      <c r="H35" s="11">
        <v>13.8</v>
      </c>
      <c r="I35" s="12">
        <v>20</v>
      </c>
      <c r="J35" s="12">
        <v>164</v>
      </c>
      <c r="K35" s="11">
        <f t="shared" si="0"/>
        <v>2263.2000000000003</v>
      </c>
      <c r="L35">
        <v>33</v>
      </c>
      <c r="N35" s="13" t="s">
        <v>75</v>
      </c>
      <c r="O35" t="s">
        <v>78</v>
      </c>
      <c r="P35">
        <v>21</v>
      </c>
      <c r="Q35" t="s">
        <v>77</v>
      </c>
      <c r="R35" s="14">
        <v>23</v>
      </c>
      <c r="S35" t="s">
        <v>76</v>
      </c>
      <c r="T35">
        <v>24</v>
      </c>
      <c r="W35" s="15" t="s">
        <v>62</v>
      </c>
      <c r="X35" s="2" t="s">
        <v>84</v>
      </c>
      <c r="Y35" s="32">
        <v>35.717722056837601</v>
      </c>
      <c r="Z35" s="32">
        <f t="shared" si="1"/>
        <v>5857.7064173213666</v>
      </c>
      <c r="AA35" s="16" t="s">
        <v>46</v>
      </c>
      <c r="AB35" t="s">
        <v>64</v>
      </c>
      <c r="AE35" s="1" t="s">
        <v>48</v>
      </c>
      <c r="AF35" s="1" t="s">
        <v>48</v>
      </c>
      <c r="AG35" s="1" t="s">
        <v>48</v>
      </c>
      <c r="AH35" s="1" t="s">
        <v>48</v>
      </c>
      <c r="AI35" s="1" t="s">
        <v>48</v>
      </c>
    </row>
    <row r="36" spans="1:36" ht="76.5" customHeight="1" x14ac:dyDescent="0.25">
      <c r="A36" s="9" t="s">
        <v>37</v>
      </c>
      <c r="B36" s="9" t="s">
        <v>122</v>
      </c>
      <c r="C36" s="9" t="s">
        <v>128</v>
      </c>
      <c r="D36" s="10">
        <v>0.30555555555555602</v>
      </c>
      <c r="E36" s="10">
        <v>0.327777777777778</v>
      </c>
      <c r="F36" s="9" t="s">
        <v>129</v>
      </c>
      <c r="G36" s="9" t="s">
        <v>86</v>
      </c>
      <c r="H36" s="11">
        <v>13.8</v>
      </c>
      <c r="I36" s="12">
        <v>20</v>
      </c>
      <c r="J36" s="12">
        <v>34</v>
      </c>
      <c r="K36" s="11">
        <f t="shared" si="0"/>
        <v>469.20000000000005</v>
      </c>
      <c r="L36">
        <v>34</v>
      </c>
      <c r="N36" s="13" t="s">
        <v>75</v>
      </c>
      <c r="O36" t="s">
        <v>78</v>
      </c>
      <c r="P36">
        <v>21</v>
      </c>
      <c r="Q36" t="s">
        <v>77</v>
      </c>
      <c r="R36" s="14">
        <v>23</v>
      </c>
      <c r="S36" t="s">
        <v>76</v>
      </c>
      <c r="T36">
        <v>24</v>
      </c>
      <c r="W36" s="15" t="s">
        <v>62</v>
      </c>
      <c r="X36" s="2" t="s">
        <v>88</v>
      </c>
      <c r="Y36" s="32">
        <v>35.717722056837601</v>
      </c>
      <c r="Z36" s="32">
        <f t="shared" si="1"/>
        <v>1214.4025499324785</v>
      </c>
      <c r="AA36" s="16" t="s">
        <v>46</v>
      </c>
      <c r="AB36" t="s">
        <v>64</v>
      </c>
      <c r="AJ36" s="1" t="s">
        <v>48</v>
      </c>
    </row>
    <row r="37" spans="1:36" ht="25.5" customHeight="1" x14ac:dyDescent="0.25">
      <c r="A37" s="9" t="s">
        <v>37</v>
      </c>
      <c r="B37" s="9" t="s">
        <v>122</v>
      </c>
      <c r="C37" s="9" t="s">
        <v>130</v>
      </c>
      <c r="D37" s="10">
        <v>0.29513888888888901</v>
      </c>
      <c r="E37" s="10">
        <v>0.3</v>
      </c>
      <c r="F37" s="9" t="s">
        <v>131</v>
      </c>
      <c r="G37" s="9" t="s">
        <v>83</v>
      </c>
      <c r="H37" s="11">
        <v>2.9</v>
      </c>
      <c r="I37" s="12">
        <v>20</v>
      </c>
      <c r="J37" s="12">
        <v>164</v>
      </c>
      <c r="K37" s="11">
        <f t="shared" si="0"/>
        <v>475.59999999999997</v>
      </c>
      <c r="L37">
        <v>35</v>
      </c>
      <c r="N37" s="13" t="s">
        <v>59</v>
      </c>
      <c r="O37" t="s">
        <v>60</v>
      </c>
      <c r="P37">
        <v>21</v>
      </c>
      <c r="Q37" t="s">
        <v>61</v>
      </c>
      <c r="R37" s="14">
        <v>21</v>
      </c>
      <c r="S37" t="s">
        <v>61</v>
      </c>
      <c r="T37">
        <v>21</v>
      </c>
      <c r="W37" s="15" t="s">
        <v>62</v>
      </c>
      <c r="X37" s="2" t="s">
        <v>84</v>
      </c>
      <c r="Y37" s="32">
        <v>10.062031970164</v>
      </c>
      <c r="Z37" s="32">
        <f t="shared" si="1"/>
        <v>1650.1732431068961</v>
      </c>
      <c r="AA37" s="16" t="s">
        <v>46</v>
      </c>
      <c r="AB37" t="s">
        <v>64</v>
      </c>
      <c r="AE37" s="1" t="s">
        <v>48</v>
      </c>
      <c r="AF37" s="1" t="s">
        <v>48</v>
      </c>
      <c r="AG37" s="1" t="s">
        <v>48</v>
      </c>
      <c r="AH37" s="1" t="s">
        <v>48</v>
      </c>
      <c r="AI37" s="1" t="s">
        <v>48</v>
      </c>
    </row>
    <row r="38" spans="1:36" ht="63.75" customHeight="1" x14ac:dyDescent="0.25">
      <c r="A38" s="9" t="s">
        <v>37</v>
      </c>
      <c r="B38" s="9" t="s">
        <v>122</v>
      </c>
      <c r="C38" s="9" t="s">
        <v>130</v>
      </c>
      <c r="D38" s="10">
        <v>0.3</v>
      </c>
      <c r="E38" s="10">
        <v>0.30694444444444502</v>
      </c>
      <c r="F38" s="9" t="s">
        <v>132</v>
      </c>
      <c r="G38" s="9" t="s">
        <v>133</v>
      </c>
      <c r="H38" s="11">
        <v>4</v>
      </c>
      <c r="I38" s="12">
        <v>20</v>
      </c>
      <c r="J38" s="12">
        <v>28</v>
      </c>
      <c r="K38" s="11">
        <f t="shared" si="0"/>
        <v>112</v>
      </c>
      <c r="L38">
        <v>36</v>
      </c>
      <c r="N38" s="13" t="s">
        <v>59</v>
      </c>
      <c r="O38" t="s">
        <v>60</v>
      </c>
      <c r="P38">
        <v>21</v>
      </c>
      <c r="Q38" t="s">
        <v>61</v>
      </c>
      <c r="R38" s="14">
        <v>21</v>
      </c>
      <c r="S38" t="s">
        <v>61</v>
      </c>
      <c r="T38">
        <v>21</v>
      </c>
      <c r="W38" s="15" t="s">
        <v>62</v>
      </c>
      <c r="X38" s="2" t="s">
        <v>134</v>
      </c>
      <c r="Y38" s="32">
        <v>13.878664786432999</v>
      </c>
      <c r="Z38" s="32">
        <f t="shared" si="1"/>
        <v>388.60261402012395</v>
      </c>
      <c r="AA38" s="16" t="s">
        <v>135</v>
      </c>
      <c r="AB38" t="s">
        <v>51</v>
      </c>
      <c r="AC38" t="s">
        <v>69</v>
      </c>
      <c r="AE38" s="1" t="s">
        <v>48</v>
      </c>
      <c r="AF38" s="1" t="s">
        <v>48</v>
      </c>
      <c r="AG38" s="1" t="s">
        <v>48</v>
      </c>
      <c r="AH38" s="1" t="s">
        <v>48</v>
      </c>
      <c r="AI38" s="1" t="s">
        <v>48</v>
      </c>
      <c r="AJ38" s="1" t="s">
        <v>48</v>
      </c>
    </row>
    <row r="39" spans="1:36" ht="25.5" customHeight="1" x14ac:dyDescent="0.25">
      <c r="A39" s="9" t="s">
        <v>37</v>
      </c>
      <c r="B39" s="9" t="s">
        <v>122</v>
      </c>
      <c r="C39" s="9" t="s">
        <v>130</v>
      </c>
      <c r="D39" s="10">
        <v>0.3</v>
      </c>
      <c r="E39" s="10">
        <v>0.30694444444444502</v>
      </c>
      <c r="F39" s="9" t="s">
        <v>132</v>
      </c>
      <c r="G39" s="9" t="s">
        <v>86</v>
      </c>
      <c r="H39" s="11">
        <v>4</v>
      </c>
      <c r="I39" s="12">
        <v>20</v>
      </c>
      <c r="J39" s="12">
        <v>34</v>
      </c>
      <c r="K39" s="11">
        <f t="shared" si="0"/>
        <v>136</v>
      </c>
      <c r="L39">
        <v>37</v>
      </c>
      <c r="N39" s="13" t="s">
        <v>59</v>
      </c>
      <c r="O39" t="s">
        <v>60</v>
      </c>
      <c r="P39">
        <v>21</v>
      </c>
      <c r="Q39" t="s">
        <v>61</v>
      </c>
      <c r="R39" s="14">
        <v>21</v>
      </c>
      <c r="S39" t="s">
        <v>61</v>
      </c>
      <c r="T39">
        <v>21</v>
      </c>
      <c r="W39" s="15" t="s">
        <v>62</v>
      </c>
      <c r="X39" s="2" t="s">
        <v>88</v>
      </c>
      <c r="Y39" s="32">
        <v>13.878664786432999</v>
      </c>
      <c r="Z39" s="32">
        <f t="shared" si="1"/>
        <v>471.87460273872199</v>
      </c>
      <c r="AA39" s="16" t="s">
        <v>89</v>
      </c>
      <c r="AB39" t="s">
        <v>64</v>
      </c>
      <c r="AJ39" s="1" t="s">
        <v>48</v>
      </c>
    </row>
    <row r="40" spans="1:36" ht="25.5" customHeight="1" x14ac:dyDescent="0.25">
      <c r="A40" s="9" t="s">
        <v>37</v>
      </c>
      <c r="B40" s="9" t="s">
        <v>122</v>
      </c>
      <c r="C40" s="9" t="s">
        <v>130</v>
      </c>
      <c r="D40" s="10">
        <v>0.30208333333333298</v>
      </c>
      <c r="E40" s="10">
        <v>0.30694444444444502</v>
      </c>
      <c r="F40" s="9" t="s">
        <v>136</v>
      </c>
      <c r="G40" s="9" t="s">
        <v>83</v>
      </c>
      <c r="H40" s="11">
        <v>2.2999999999999998</v>
      </c>
      <c r="I40" s="12">
        <v>20</v>
      </c>
      <c r="J40" s="12">
        <v>164</v>
      </c>
      <c r="K40" s="11">
        <f t="shared" si="0"/>
        <v>377.2</v>
      </c>
      <c r="L40">
        <v>38</v>
      </c>
      <c r="N40" s="13" t="s">
        <v>59</v>
      </c>
      <c r="O40" t="s">
        <v>60</v>
      </c>
      <c r="P40">
        <v>21</v>
      </c>
      <c r="Q40" t="s">
        <v>61</v>
      </c>
      <c r="R40" s="14">
        <v>21</v>
      </c>
      <c r="S40" t="s">
        <v>61</v>
      </c>
      <c r="T40">
        <v>21</v>
      </c>
      <c r="W40" s="15" t="s">
        <v>62</v>
      </c>
      <c r="X40" s="2" t="s">
        <v>84</v>
      </c>
      <c r="Y40" s="32">
        <v>7.9802322521990003</v>
      </c>
      <c r="Z40" s="32">
        <f t="shared" si="1"/>
        <v>1308.7580893606359</v>
      </c>
      <c r="AA40" s="16" t="s">
        <v>46</v>
      </c>
      <c r="AB40" t="s">
        <v>64</v>
      </c>
      <c r="AE40" s="1" t="s">
        <v>48</v>
      </c>
      <c r="AF40" s="1" t="s">
        <v>48</v>
      </c>
      <c r="AG40" s="1" t="s">
        <v>48</v>
      </c>
      <c r="AH40" s="1" t="s">
        <v>48</v>
      </c>
      <c r="AI40" s="1" t="s">
        <v>48</v>
      </c>
    </row>
    <row r="41" spans="1:36" ht="76.5" customHeight="1" x14ac:dyDescent="0.25">
      <c r="A41" s="9" t="s">
        <v>37</v>
      </c>
      <c r="B41" s="9" t="s">
        <v>122</v>
      </c>
      <c r="C41" s="9" t="s">
        <v>137</v>
      </c>
      <c r="D41" s="10">
        <v>0.33680555555555602</v>
      </c>
      <c r="E41" s="10">
        <v>0.35277777777777802</v>
      </c>
      <c r="F41" s="9" t="s">
        <v>138</v>
      </c>
      <c r="G41" s="9" t="s">
        <v>83</v>
      </c>
      <c r="H41" s="11">
        <v>9.5</v>
      </c>
      <c r="I41" s="12">
        <v>20</v>
      </c>
      <c r="J41" s="12">
        <v>164</v>
      </c>
      <c r="K41" s="11">
        <f t="shared" si="0"/>
        <v>1558</v>
      </c>
      <c r="L41">
        <v>39</v>
      </c>
      <c r="N41" s="13" t="s">
        <v>75</v>
      </c>
      <c r="O41" t="s">
        <v>78</v>
      </c>
      <c r="P41">
        <v>21</v>
      </c>
      <c r="Q41" t="s">
        <v>77</v>
      </c>
      <c r="R41" s="14">
        <v>23</v>
      </c>
      <c r="S41" t="s">
        <v>76</v>
      </c>
      <c r="T41">
        <v>24</v>
      </c>
      <c r="W41" s="15" t="s">
        <v>62</v>
      </c>
      <c r="X41" s="2" t="s">
        <v>84</v>
      </c>
      <c r="Y41" s="32">
        <v>24.588286923185301</v>
      </c>
      <c r="Z41" s="32">
        <f t="shared" si="1"/>
        <v>4032.4790554023893</v>
      </c>
      <c r="AA41" s="16" t="s">
        <v>46</v>
      </c>
      <c r="AB41" t="s">
        <v>64</v>
      </c>
      <c r="AE41" s="1" t="s">
        <v>48</v>
      </c>
      <c r="AF41" s="1" t="s">
        <v>48</v>
      </c>
      <c r="AG41" s="1" t="s">
        <v>48</v>
      </c>
      <c r="AH41" s="1" t="s">
        <v>48</v>
      </c>
      <c r="AI41" s="1" t="s">
        <v>48</v>
      </c>
    </row>
    <row r="42" spans="1:36" ht="76.5" customHeight="1" x14ac:dyDescent="0.25">
      <c r="A42" s="9" t="s">
        <v>37</v>
      </c>
      <c r="B42" s="9" t="s">
        <v>122</v>
      </c>
      <c r="C42" s="9" t="s">
        <v>139</v>
      </c>
      <c r="D42" s="10">
        <v>0.35763888888888901</v>
      </c>
      <c r="E42" s="10">
        <v>0.37222222222222201</v>
      </c>
      <c r="F42" s="9" t="s">
        <v>140</v>
      </c>
      <c r="G42" s="9" t="s">
        <v>41</v>
      </c>
      <c r="H42" s="11">
        <v>8</v>
      </c>
      <c r="I42" s="12">
        <v>20</v>
      </c>
      <c r="J42" s="12">
        <v>218</v>
      </c>
      <c r="K42" s="11">
        <f t="shared" si="0"/>
        <v>1744</v>
      </c>
      <c r="L42">
        <v>40</v>
      </c>
      <c r="N42" s="13" t="s">
        <v>75</v>
      </c>
      <c r="O42" t="s">
        <v>78</v>
      </c>
      <c r="P42">
        <v>21</v>
      </c>
      <c r="Q42" t="s">
        <v>77</v>
      </c>
      <c r="R42" s="14">
        <v>23</v>
      </c>
      <c r="S42" t="s">
        <v>76</v>
      </c>
      <c r="T42">
        <v>24</v>
      </c>
      <c r="W42" s="15" t="s">
        <v>62</v>
      </c>
      <c r="X42" s="2" t="s">
        <v>45</v>
      </c>
      <c r="Y42" s="32">
        <v>20.705925830050798</v>
      </c>
      <c r="Z42" s="32">
        <f t="shared" si="1"/>
        <v>4513.8918309510736</v>
      </c>
      <c r="AA42" s="16" t="s">
        <v>46</v>
      </c>
      <c r="AB42" t="s">
        <v>47</v>
      </c>
      <c r="AE42" s="1" t="s">
        <v>48</v>
      </c>
      <c r="AF42" s="1" t="s">
        <v>48</v>
      </c>
      <c r="AG42" s="1" t="s">
        <v>48</v>
      </c>
      <c r="AH42" s="1" t="s">
        <v>48</v>
      </c>
      <c r="AI42" s="1" t="s">
        <v>48</v>
      </c>
      <c r="AJ42" s="1" t="s">
        <v>48</v>
      </c>
    </row>
    <row r="43" spans="1:36" ht="30" customHeight="1" x14ac:dyDescent="0.25">
      <c r="A43" s="9" t="s">
        <v>37</v>
      </c>
      <c r="B43" s="9" t="s">
        <v>122</v>
      </c>
      <c r="C43" s="9" t="s">
        <v>141</v>
      </c>
      <c r="D43" s="10">
        <v>0.39930555555555602</v>
      </c>
      <c r="E43" s="10">
        <v>0.41527777777777802</v>
      </c>
      <c r="F43" s="9" t="s">
        <v>142</v>
      </c>
      <c r="G43" s="9" t="s">
        <v>143</v>
      </c>
      <c r="H43" s="11">
        <v>10</v>
      </c>
      <c r="I43" s="12">
        <v>23</v>
      </c>
      <c r="J43" s="12">
        <v>74</v>
      </c>
      <c r="K43" s="11">
        <f t="shared" si="0"/>
        <v>740</v>
      </c>
      <c r="L43">
        <v>41</v>
      </c>
      <c r="N43" s="13" t="s">
        <v>42</v>
      </c>
      <c r="O43" t="s">
        <v>43</v>
      </c>
      <c r="P43">
        <v>24</v>
      </c>
      <c r="Q43" t="s">
        <v>44</v>
      </c>
      <c r="R43" s="14">
        <v>22</v>
      </c>
      <c r="S43" t="s">
        <v>44</v>
      </c>
      <c r="T43">
        <v>22</v>
      </c>
      <c r="W43" s="15"/>
      <c r="X43" s="2" t="s">
        <v>144</v>
      </c>
      <c r="Y43" s="32">
        <v>40.621148039663098</v>
      </c>
      <c r="Z43" s="32">
        <f t="shared" si="1"/>
        <v>3005.9649549350693</v>
      </c>
      <c r="AA43" s="16" t="s">
        <v>46</v>
      </c>
      <c r="AB43" t="s">
        <v>116</v>
      </c>
      <c r="AF43" s="1" t="s">
        <v>48</v>
      </c>
      <c r="AJ43" s="1" t="s">
        <v>48</v>
      </c>
    </row>
    <row r="44" spans="1:36" ht="38.25" customHeight="1" x14ac:dyDescent="0.25">
      <c r="A44" s="9" t="s">
        <v>37</v>
      </c>
      <c r="B44" s="9" t="s">
        <v>122</v>
      </c>
      <c r="C44" s="9" t="s">
        <v>141</v>
      </c>
      <c r="D44" s="10">
        <v>0.39930555555555602</v>
      </c>
      <c r="E44" s="10">
        <v>0.40902777777777799</v>
      </c>
      <c r="F44" s="9" t="s">
        <v>145</v>
      </c>
      <c r="G44" s="9" t="s">
        <v>146</v>
      </c>
      <c r="H44" s="11">
        <v>5</v>
      </c>
      <c r="I44" s="12">
        <v>22</v>
      </c>
      <c r="J44" s="12">
        <v>74</v>
      </c>
      <c r="K44" s="11">
        <f t="shared" si="0"/>
        <v>370</v>
      </c>
      <c r="L44">
        <v>42</v>
      </c>
      <c r="N44" s="13" t="s">
        <v>42</v>
      </c>
      <c r="O44" t="s">
        <v>43</v>
      </c>
      <c r="P44">
        <v>24</v>
      </c>
      <c r="Q44" t="s">
        <v>44</v>
      </c>
      <c r="R44" s="14">
        <v>22</v>
      </c>
      <c r="S44" t="s">
        <v>44</v>
      </c>
      <c r="T44">
        <v>22</v>
      </c>
      <c r="W44" s="15"/>
      <c r="X44" s="2" t="s">
        <v>147</v>
      </c>
      <c r="Y44" s="32">
        <v>20.310574019831598</v>
      </c>
      <c r="Z44" s="32">
        <f t="shared" si="1"/>
        <v>1502.9824774675383</v>
      </c>
      <c r="AA44" s="16" t="s">
        <v>46</v>
      </c>
      <c r="AB44" t="s">
        <v>47</v>
      </c>
      <c r="AE44" s="1" t="s">
        <v>48</v>
      </c>
      <c r="AH44" s="1" t="s">
        <v>48</v>
      </c>
    </row>
    <row r="45" spans="1:36" ht="25.5" customHeight="1" x14ac:dyDescent="0.25">
      <c r="A45" s="9" t="s">
        <v>37</v>
      </c>
      <c r="B45" s="9" t="s">
        <v>122</v>
      </c>
      <c r="C45" s="9" t="s">
        <v>148</v>
      </c>
      <c r="D45" s="10">
        <v>0.42013888888888901</v>
      </c>
      <c r="E45" s="10">
        <v>0.45138888888888901</v>
      </c>
      <c r="F45" s="9" t="s">
        <v>149</v>
      </c>
      <c r="G45" s="9" t="s">
        <v>150</v>
      </c>
      <c r="H45" s="11">
        <v>16</v>
      </c>
      <c r="I45" s="12">
        <v>20</v>
      </c>
      <c r="J45" s="12">
        <v>189</v>
      </c>
      <c r="K45" s="11">
        <f t="shared" si="0"/>
        <v>3024</v>
      </c>
      <c r="L45">
        <v>43</v>
      </c>
      <c r="N45" s="13" t="s">
        <v>59</v>
      </c>
      <c r="O45" t="s">
        <v>60</v>
      </c>
      <c r="P45">
        <v>21</v>
      </c>
      <c r="Q45" t="s">
        <v>61</v>
      </c>
      <c r="R45" s="14">
        <v>21</v>
      </c>
      <c r="S45" t="s">
        <v>61</v>
      </c>
      <c r="T45">
        <v>21</v>
      </c>
      <c r="W45" s="15" t="s">
        <v>62</v>
      </c>
      <c r="X45" s="2" t="s">
        <v>151</v>
      </c>
      <c r="Y45" s="32">
        <v>55.514659145732203</v>
      </c>
      <c r="Z45" s="32">
        <f t="shared" si="1"/>
        <v>10492.270578543386</v>
      </c>
      <c r="AA45" s="16" t="s">
        <v>46</v>
      </c>
      <c r="AB45" t="s">
        <v>116</v>
      </c>
      <c r="AE45" s="1" t="s">
        <v>48</v>
      </c>
      <c r="AF45" s="1" t="s">
        <v>48</v>
      </c>
      <c r="AG45" s="1" t="s">
        <v>48</v>
      </c>
      <c r="AH45" s="1" t="s">
        <v>48</v>
      </c>
      <c r="AI45" s="1" t="s">
        <v>48</v>
      </c>
    </row>
    <row r="46" spans="1:36" ht="25.5" customHeight="1" x14ac:dyDescent="0.25">
      <c r="A46" s="9" t="s">
        <v>37</v>
      </c>
      <c r="B46" s="9" t="s">
        <v>122</v>
      </c>
      <c r="C46" s="9" t="s">
        <v>148</v>
      </c>
      <c r="D46" s="10">
        <v>0.42013888888888901</v>
      </c>
      <c r="E46" s="10">
        <v>0.45138888888888901</v>
      </c>
      <c r="F46" s="9" t="s">
        <v>149</v>
      </c>
      <c r="G46" s="9" t="s">
        <v>152</v>
      </c>
      <c r="H46" s="11">
        <v>16</v>
      </c>
      <c r="I46" s="12">
        <v>20</v>
      </c>
      <c r="J46" s="12">
        <v>47</v>
      </c>
      <c r="K46" s="11">
        <f t="shared" si="0"/>
        <v>752</v>
      </c>
      <c r="L46">
        <v>44</v>
      </c>
      <c r="N46" s="13" t="s">
        <v>59</v>
      </c>
      <c r="O46" t="s">
        <v>60</v>
      </c>
      <c r="P46">
        <v>21</v>
      </c>
      <c r="Q46" t="s">
        <v>61</v>
      </c>
      <c r="R46" s="14">
        <v>21</v>
      </c>
      <c r="S46" t="s">
        <v>61</v>
      </c>
      <c r="T46">
        <v>21</v>
      </c>
      <c r="W46" s="15" t="s">
        <v>62</v>
      </c>
      <c r="X46" s="2" t="s">
        <v>153</v>
      </c>
      <c r="Y46" s="32">
        <v>55.514659145732203</v>
      </c>
      <c r="Z46" s="32">
        <f t="shared" si="1"/>
        <v>2609.1889798494135</v>
      </c>
      <c r="AA46" s="16" t="s">
        <v>46</v>
      </c>
      <c r="AB46" t="s">
        <v>116</v>
      </c>
      <c r="AJ46" s="1" t="s">
        <v>48</v>
      </c>
    </row>
    <row r="47" spans="1:36" ht="30" customHeight="1" x14ac:dyDescent="0.25">
      <c r="A47" s="9" t="s">
        <v>37</v>
      </c>
      <c r="B47" s="9" t="s">
        <v>122</v>
      </c>
      <c r="C47" s="9" t="s">
        <v>154</v>
      </c>
      <c r="D47" s="10">
        <v>0.50347222222222199</v>
      </c>
      <c r="E47" s="10">
        <v>0.52430555555555602</v>
      </c>
      <c r="F47" s="9" t="s">
        <v>155</v>
      </c>
      <c r="G47" s="9" t="s">
        <v>143</v>
      </c>
      <c r="H47" s="11">
        <v>11</v>
      </c>
      <c r="I47" s="12">
        <v>23</v>
      </c>
      <c r="J47" s="12">
        <v>74</v>
      </c>
      <c r="K47" s="11">
        <f t="shared" si="0"/>
        <v>814</v>
      </c>
      <c r="L47">
        <v>45</v>
      </c>
      <c r="N47" s="13" t="s">
        <v>42</v>
      </c>
      <c r="O47" t="s">
        <v>43</v>
      </c>
      <c r="P47">
        <v>24</v>
      </c>
      <c r="Q47" t="s">
        <v>44</v>
      </c>
      <c r="R47" s="14">
        <v>22</v>
      </c>
      <c r="S47" t="s">
        <v>44</v>
      </c>
      <c r="T47">
        <v>22</v>
      </c>
      <c r="W47" s="15"/>
      <c r="X47" s="2" t="s">
        <v>144</v>
      </c>
      <c r="Y47" s="32">
        <v>44.6832628436294</v>
      </c>
      <c r="Z47" s="32">
        <f t="shared" si="1"/>
        <v>3306.5614504285754</v>
      </c>
      <c r="AA47" s="16" t="s">
        <v>46</v>
      </c>
      <c r="AB47" t="s">
        <v>116</v>
      </c>
      <c r="AF47" s="1" t="s">
        <v>48</v>
      </c>
      <c r="AJ47" s="1" t="s">
        <v>48</v>
      </c>
    </row>
    <row r="48" spans="1:36" ht="38.25" customHeight="1" x14ac:dyDescent="0.25">
      <c r="A48" s="9" t="s">
        <v>37</v>
      </c>
      <c r="B48" s="9" t="s">
        <v>122</v>
      </c>
      <c r="C48" s="9" t="s">
        <v>154</v>
      </c>
      <c r="D48" s="10">
        <v>0.50347222222222199</v>
      </c>
      <c r="E48" s="10">
        <v>0.51180555555555596</v>
      </c>
      <c r="F48" s="9" t="s">
        <v>156</v>
      </c>
      <c r="G48" s="9" t="s">
        <v>146</v>
      </c>
      <c r="H48" s="11">
        <v>5</v>
      </c>
      <c r="I48" s="12">
        <v>22</v>
      </c>
      <c r="J48" s="12">
        <v>74</v>
      </c>
      <c r="K48" s="11">
        <f t="shared" si="0"/>
        <v>370</v>
      </c>
      <c r="L48">
        <v>46</v>
      </c>
      <c r="N48" s="13" t="s">
        <v>42</v>
      </c>
      <c r="O48" t="s">
        <v>43</v>
      </c>
      <c r="P48">
        <v>24</v>
      </c>
      <c r="Q48" t="s">
        <v>44</v>
      </c>
      <c r="R48" s="14">
        <v>22</v>
      </c>
      <c r="S48" t="s">
        <v>44</v>
      </c>
      <c r="T48">
        <v>22</v>
      </c>
      <c r="W48" s="15"/>
      <c r="X48" s="2" t="s">
        <v>147</v>
      </c>
      <c r="Y48" s="32">
        <v>20.310574019831598</v>
      </c>
      <c r="Z48" s="32">
        <f t="shared" si="1"/>
        <v>1502.9824774675383</v>
      </c>
      <c r="AA48" s="16" t="s">
        <v>46</v>
      </c>
      <c r="AB48" t="s">
        <v>47</v>
      </c>
      <c r="AE48" s="1" t="s">
        <v>48</v>
      </c>
      <c r="AH48" s="1" t="s">
        <v>48</v>
      </c>
    </row>
    <row r="49" spans="1:36" ht="76.5" customHeight="1" x14ac:dyDescent="0.25">
      <c r="A49" s="9" t="s">
        <v>37</v>
      </c>
      <c r="B49" s="9" t="s">
        <v>122</v>
      </c>
      <c r="C49" s="9" t="s">
        <v>157</v>
      </c>
      <c r="D49" s="10">
        <v>0.54305555555555596</v>
      </c>
      <c r="E49" s="10">
        <v>0.55694444444444502</v>
      </c>
      <c r="F49" s="9" t="s">
        <v>158</v>
      </c>
      <c r="G49" s="9" t="s">
        <v>58</v>
      </c>
      <c r="H49" s="11">
        <v>8</v>
      </c>
      <c r="I49" s="12">
        <v>22</v>
      </c>
      <c r="J49" s="12">
        <v>198</v>
      </c>
      <c r="K49" s="11">
        <f t="shared" si="0"/>
        <v>1584</v>
      </c>
      <c r="L49">
        <v>47</v>
      </c>
      <c r="N49" s="13" t="s">
        <v>75</v>
      </c>
      <c r="O49" t="s">
        <v>77</v>
      </c>
      <c r="P49">
        <v>23</v>
      </c>
      <c r="Q49" t="s">
        <v>78</v>
      </c>
      <c r="R49" s="14">
        <v>21</v>
      </c>
      <c r="S49" t="s">
        <v>76</v>
      </c>
      <c r="T49">
        <v>24</v>
      </c>
      <c r="W49" s="15" t="s">
        <v>62</v>
      </c>
      <c r="X49" s="2" t="s">
        <v>63</v>
      </c>
      <c r="Y49" s="32">
        <v>20.705925830050798</v>
      </c>
      <c r="Z49" s="32">
        <f t="shared" si="1"/>
        <v>4099.7733143500582</v>
      </c>
      <c r="AA49" s="16" t="s">
        <v>46</v>
      </c>
      <c r="AB49" t="s">
        <v>64</v>
      </c>
      <c r="AE49" s="1" t="s">
        <v>48</v>
      </c>
      <c r="AF49" s="1" t="s">
        <v>48</v>
      </c>
      <c r="AG49" s="1" t="s">
        <v>48</v>
      </c>
      <c r="AH49" s="1" t="s">
        <v>48</v>
      </c>
      <c r="AI49" s="1" t="s">
        <v>48</v>
      </c>
      <c r="AJ49" s="1" t="s">
        <v>48</v>
      </c>
    </row>
    <row r="50" spans="1:36" ht="76.5" customHeight="1" x14ac:dyDescent="0.25">
      <c r="A50" s="9" t="s">
        <v>37</v>
      </c>
      <c r="B50" s="9" t="s">
        <v>122</v>
      </c>
      <c r="C50" s="9" t="s">
        <v>159</v>
      </c>
      <c r="D50" s="10">
        <v>0.55555555555555602</v>
      </c>
      <c r="E50" s="10">
        <v>0.56944444444444398</v>
      </c>
      <c r="F50" s="9" t="s">
        <v>160</v>
      </c>
      <c r="G50" s="9" t="s">
        <v>58</v>
      </c>
      <c r="H50" s="11">
        <v>5.5</v>
      </c>
      <c r="I50" s="12">
        <v>20</v>
      </c>
      <c r="J50" s="12">
        <v>198</v>
      </c>
      <c r="K50" s="11">
        <f t="shared" si="0"/>
        <v>1089</v>
      </c>
      <c r="L50">
        <v>48</v>
      </c>
      <c r="N50" s="13" t="s">
        <v>75</v>
      </c>
      <c r="O50" t="s">
        <v>78</v>
      </c>
      <c r="P50">
        <v>21</v>
      </c>
      <c r="Q50" t="s">
        <v>77</v>
      </c>
      <c r="R50" s="14">
        <v>23</v>
      </c>
      <c r="S50" t="s">
        <v>76</v>
      </c>
      <c r="T50">
        <v>24</v>
      </c>
      <c r="W50" s="15" t="s">
        <v>62</v>
      </c>
      <c r="X50" s="2" t="s">
        <v>63</v>
      </c>
      <c r="Y50" s="32">
        <v>14.2353240081599</v>
      </c>
      <c r="Z50" s="32">
        <f t="shared" si="1"/>
        <v>2818.5941536156602</v>
      </c>
      <c r="AA50" s="16" t="s">
        <v>46</v>
      </c>
      <c r="AB50" t="s">
        <v>64</v>
      </c>
      <c r="AE50" s="1" t="s">
        <v>48</v>
      </c>
      <c r="AF50" s="1" t="s">
        <v>48</v>
      </c>
      <c r="AG50" s="1" t="s">
        <v>48</v>
      </c>
      <c r="AH50" s="1" t="s">
        <v>48</v>
      </c>
      <c r="AI50" s="1" t="s">
        <v>48</v>
      </c>
      <c r="AJ50" s="1" t="s">
        <v>48</v>
      </c>
    </row>
    <row r="51" spans="1:36" ht="25.5" customHeight="1" x14ac:dyDescent="0.25">
      <c r="A51" s="9" t="s">
        <v>37</v>
      </c>
      <c r="B51" s="9" t="s">
        <v>122</v>
      </c>
      <c r="C51" s="9" t="s">
        <v>159</v>
      </c>
      <c r="D51" s="10">
        <v>0.55555555555555602</v>
      </c>
      <c r="E51" s="10">
        <v>0.56944444444444398</v>
      </c>
      <c r="F51" s="9" t="s">
        <v>161</v>
      </c>
      <c r="G51" s="9" t="s">
        <v>83</v>
      </c>
      <c r="H51" s="11">
        <v>3</v>
      </c>
      <c r="I51" s="12">
        <v>23</v>
      </c>
      <c r="J51" s="12">
        <v>164</v>
      </c>
      <c r="K51" s="11">
        <f t="shared" si="0"/>
        <v>492</v>
      </c>
      <c r="L51">
        <v>49</v>
      </c>
      <c r="N51" s="13" t="s">
        <v>42</v>
      </c>
      <c r="O51" t="s">
        <v>43</v>
      </c>
      <c r="P51">
        <v>24</v>
      </c>
      <c r="Q51" t="s">
        <v>44</v>
      </c>
      <c r="R51" s="14">
        <v>22</v>
      </c>
      <c r="S51" t="s">
        <v>44</v>
      </c>
      <c r="T51">
        <v>22</v>
      </c>
      <c r="W51" s="15"/>
      <c r="X51" s="2" t="s">
        <v>84</v>
      </c>
      <c r="Y51" s="32">
        <v>12.186344411898901</v>
      </c>
      <c r="Z51" s="32">
        <f t="shared" si="1"/>
        <v>1998.5604835514198</v>
      </c>
      <c r="AA51" s="16" t="s">
        <v>46</v>
      </c>
      <c r="AB51" t="s">
        <v>64</v>
      </c>
      <c r="AE51" s="1" t="s">
        <v>48</v>
      </c>
      <c r="AF51" s="1" t="s">
        <v>48</v>
      </c>
      <c r="AG51" s="1" t="s">
        <v>48</v>
      </c>
      <c r="AH51" s="1" t="s">
        <v>48</v>
      </c>
      <c r="AI51" s="1" t="s">
        <v>48</v>
      </c>
    </row>
    <row r="52" spans="1:36" ht="76.5" customHeight="1" x14ac:dyDescent="0.25">
      <c r="A52" s="9" t="s">
        <v>37</v>
      </c>
      <c r="B52" s="9" t="s">
        <v>122</v>
      </c>
      <c r="C52" s="9" t="s">
        <v>162</v>
      </c>
      <c r="D52" s="10">
        <v>0.57291666666666696</v>
      </c>
      <c r="E52" s="10">
        <v>0.594444444444444</v>
      </c>
      <c r="F52" s="9" t="s">
        <v>163</v>
      </c>
      <c r="G52" s="9" t="s">
        <v>58</v>
      </c>
      <c r="H52" s="11">
        <v>9.5</v>
      </c>
      <c r="I52" s="12">
        <v>20</v>
      </c>
      <c r="J52" s="12">
        <v>198</v>
      </c>
      <c r="K52" s="11">
        <f t="shared" si="0"/>
        <v>1881</v>
      </c>
      <c r="L52">
        <v>50</v>
      </c>
      <c r="N52" s="13" t="s">
        <v>75</v>
      </c>
      <c r="O52" t="s">
        <v>76</v>
      </c>
      <c r="P52">
        <v>24</v>
      </c>
      <c r="Q52" t="s">
        <v>77</v>
      </c>
      <c r="R52" s="14">
        <v>23</v>
      </c>
      <c r="S52" t="s">
        <v>78</v>
      </c>
      <c r="T52">
        <v>21</v>
      </c>
      <c r="W52" s="15" t="s">
        <v>62</v>
      </c>
      <c r="X52" s="2" t="s">
        <v>63</v>
      </c>
      <c r="Y52" s="32">
        <v>24.588286923185301</v>
      </c>
      <c r="Z52" s="32">
        <f t="shared" si="1"/>
        <v>4868.4808107906892</v>
      </c>
      <c r="AA52" s="16" t="s">
        <v>46</v>
      </c>
      <c r="AB52" t="s">
        <v>64</v>
      </c>
      <c r="AE52" s="1" t="s">
        <v>48</v>
      </c>
      <c r="AF52" s="1" t="s">
        <v>48</v>
      </c>
      <c r="AG52" s="1" t="s">
        <v>48</v>
      </c>
      <c r="AH52" s="1" t="s">
        <v>48</v>
      </c>
      <c r="AI52" s="1" t="s">
        <v>48</v>
      </c>
      <c r="AJ52" s="1" t="s">
        <v>48</v>
      </c>
    </row>
    <row r="53" spans="1:36" ht="25.5" customHeight="1" x14ac:dyDescent="0.25">
      <c r="A53" s="9" t="s">
        <v>37</v>
      </c>
      <c r="B53" s="9" t="s">
        <v>122</v>
      </c>
      <c r="C53" s="9" t="s">
        <v>164</v>
      </c>
      <c r="D53" s="10">
        <v>0.58194444444444504</v>
      </c>
      <c r="E53" s="10">
        <v>0.593055555555556</v>
      </c>
      <c r="F53" s="9" t="s">
        <v>165</v>
      </c>
      <c r="G53" s="9" t="s">
        <v>58</v>
      </c>
      <c r="H53" s="11">
        <v>6.7</v>
      </c>
      <c r="I53" s="12">
        <v>23</v>
      </c>
      <c r="J53" s="12">
        <v>198</v>
      </c>
      <c r="K53" s="11">
        <f t="shared" si="0"/>
        <v>1326.6000000000001</v>
      </c>
      <c r="L53">
        <v>51</v>
      </c>
      <c r="N53" s="13" t="s">
        <v>42</v>
      </c>
      <c r="O53" t="s">
        <v>43</v>
      </c>
      <c r="P53">
        <v>24</v>
      </c>
      <c r="Q53" t="s">
        <v>44</v>
      </c>
      <c r="R53" s="14">
        <v>22</v>
      </c>
      <c r="S53" t="s">
        <v>44</v>
      </c>
      <c r="T53">
        <v>22</v>
      </c>
      <c r="W53" s="15"/>
      <c r="X53" s="2" t="s">
        <v>63</v>
      </c>
      <c r="Y53" s="32">
        <v>27.216169186574302</v>
      </c>
      <c r="Z53" s="32">
        <f t="shared" si="1"/>
        <v>5388.8014989417115</v>
      </c>
      <c r="AA53" s="16" t="s">
        <v>46</v>
      </c>
      <c r="AB53" t="s">
        <v>64</v>
      </c>
      <c r="AE53" s="1" t="s">
        <v>48</v>
      </c>
      <c r="AF53" s="1" t="s">
        <v>48</v>
      </c>
      <c r="AG53" s="1" t="s">
        <v>48</v>
      </c>
      <c r="AH53" s="1" t="s">
        <v>48</v>
      </c>
      <c r="AI53" s="1" t="s">
        <v>48</v>
      </c>
      <c r="AJ53" s="1" t="s">
        <v>48</v>
      </c>
    </row>
    <row r="54" spans="1:36" ht="76.5" customHeight="1" x14ac:dyDescent="0.25">
      <c r="A54" s="9" t="s">
        <v>37</v>
      </c>
      <c r="B54" s="9" t="s">
        <v>122</v>
      </c>
      <c r="C54" s="9" t="s">
        <v>166</v>
      </c>
      <c r="D54" s="10">
        <v>0.59375</v>
      </c>
      <c r="E54" s="10">
        <v>0.60763888888888895</v>
      </c>
      <c r="F54" s="17" t="s">
        <v>167</v>
      </c>
      <c r="G54" s="17" t="s">
        <v>83</v>
      </c>
      <c r="H54" s="11">
        <v>7.1</v>
      </c>
      <c r="I54" s="12">
        <v>20</v>
      </c>
      <c r="J54" s="18">
        <v>164</v>
      </c>
      <c r="K54" s="11">
        <f t="shared" si="0"/>
        <v>1164.3999999999999</v>
      </c>
      <c r="L54">
        <v>52</v>
      </c>
      <c r="N54" s="13" t="s">
        <v>75</v>
      </c>
      <c r="O54" t="s">
        <v>76</v>
      </c>
      <c r="P54">
        <v>24</v>
      </c>
      <c r="Q54" t="s">
        <v>77</v>
      </c>
      <c r="R54" s="14">
        <v>23</v>
      </c>
      <c r="S54" t="s">
        <v>78</v>
      </c>
      <c r="T54">
        <v>21</v>
      </c>
      <c r="W54" s="15" t="s">
        <v>62</v>
      </c>
      <c r="X54" s="2" t="s">
        <v>84</v>
      </c>
      <c r="Y54" s="32">
        <v>18.376509174170099</v>
      </c>
      <c r="Z54" s="32">
        <f t="shared" si="1"/>
        <v>3013.7475045638962</v>
      </c>
      <c r="AA54" s="16" t="s">
        <v>168</v>
      </c>
      <c r="AB54" t="s">
        <v>64</v>
      </c>
      <c r="AE54" s="1" t="s">
        <v>48</v>
      </c>
      <c r="AF54" s="1" t="s">
        <v>48</v>
      </c>
      <c r="AG54" s="1" t="s">
        <v>48</v>
      </c>
      <c r="AH54" s="1" t="s">
        <v>48</v>
      </c>
      <c r="AI54" s="1" t="s">
        <v>48</v>
      </c>
    </row>
    <row r="55" spans="1:36" ht="76.5" customHeight="1" x14ac:dyDescent="0.25">
      <c r="A55" s="9" t="s">
        <v>37</v>
      </c>
      <c r="B55" s="9" t="s">
        <v>122</v>
      </c>
      <c r="C55" s="9" t="s">
        <v>166</v>
      </c>
      <c r="D55" s="10">
        <v>0.59375</v>
      </c>
      <c r="E55" s="10">
        <v>0.60763888888888895</v>
      </c>
      <c r="F55" s="17" t="s">
        <v>167</v>
      </c>
      <c r="G55" s="17" t="s">
        <v>169</v>
      </c>
      <c r="H55" s="11">
        <v>7.1</v>
      </c>
      <c r="I55" s="12">
        <v>20</v>
      </c>
      <c r="J55" s="18">
        <v>18</v>
      </c>
      <c r="K55" s="11">
        <f t="shared" si="0"/>
        <v>127.8</v>
      </c>
      <c r="L55" t="s">
        <v>170</v>
      </c>
      <c r="N55" s="13" t="s">
        <v>75</v>
      </c>
      <c r="O55" t="s">
        <v>76</v>
      </c>
      <c r="P55">
        <v>24</v>
      </c>
      <c r="Q55" t="s">
        <v>77</v>
      </c>
      <c r="R55" s="14">
        <v>23</v>
      </c>
      <c r="S55" t="s">
        <v>78</v>
      </c>
      <c r="T55">
        <v>21</v>
      </c>
      <c r="X55" s="2" t="s">
        <v>171</v>
      </c>
      <c r="Y55" s="32">
        <v>18.376509174170099</v>
      </c>
      <c r="Z55" s="32">
        <f t="shared" si="1"/>
        <v>330.77716513506181</v>
      </c>
      <c r="AA55" s="16" t="s">
        <v>168</v>
      </c>
      <c r="AB55" t="s">
        <v>80</v>
      </c>
      <c r="AE55" s="1" t="s">
        <v>48</v>
      </c>
      <c r="AF55" s="1" t="s">
        <v>48</v>
      </c>
      <c r="AG55" s="1" t="s">
        <v>48</v>
      </c>
      <c r="AH55" s="1" t="s">
        <v>48</v>
      </c>
      <c r="AI55" s="1" t="s">
        <v>48</v>
      </c>
    </row>
    <row r="56" spans="1:36" ht="25.5" customHeight="1" x14ac:dyDescent="0.25">
      <c r="A56" s="9" t="s">
        <v>37</v>
      </c>
      <c r="B56" s="9" t="s">
        <v>122</v>
      </c>
      <c r="C56" s="9" t="s">
        <v>172</v>
      </c>
      <c r="D56" s="10">
        <v>0.59375</v>
      </c>
      <c r="E56" s="10">
        <v>0.60347222222222197</v>
      </c>
      <c r="F56" s="9" t="s">
        <v>173</v>
      </c>
      <c r="G56" s="9" t="s">
        <v>58</v>
      </c>
      <c r="H56" s="11">
        <v>5</v>
      </c>
      <c r="I56" s="12">
        <v>22</v>
      </c>
      <c r="J56" s="12">
        <v>198</v>
      </c>
      <c r="K56" s="11">
        <f t="shared" si="0"/>
        <v>990</v>
      </c>
      <c r="L56">
        <v>53</v>
      </c>
      <c r="N56" s="13" t="s">
        <v>42</v>
      </c>
      <c r="O56" t="s">
        <v>43</v>
      </c>
      <c r="P56">
        <v>24</v>
      </c>
      <c r="Q56" t="s">
        <v>44</v>
      </c>
      <c r="R56" s="14">
        <v>22</v>
      </c>
      <c r="S56" t="s">
        <v>44</v>
      </c>
      <c r="T56">
        <v>22</v>
      </c>
      <c r="W56" s="15"/>
      <c r="X56" s="2" t="s">
        <v>63</v>
      </c>
      <c r="Y56" s="32">
        <v>20.310574019831598</v>
      </c>
      <c r="Z56" s="32">
        <f t="shared" si="1"/>
        <v>4021.4936559266566</v>
      </c>
      <c r="AA56" s="16" t="s">
        <v>46</v>
      </c>
      <c r="AB56" t="s">
        <v>64</v>
      </c>
      <c r="AE56" s="1" t="s">
        <v>48</v>
      </c>
      <c r="AF56" s="1" t="s">
        <v>48</v>
      </c>
      <c r="AG56" s="1" t="s">
        <v>48</v>
      </c>
      <c r="AH56" s="1" t="s">
        <v>48</v>
      </c>
      <c r="AI56" s="1" t="s">
        <v>48</v>
      </c>
      <c r="AJ56" s="1" t="s">
        <v>48</v>
      </c>
    </row>
    <row r="57" spans="1:36" ht="76.5" customHeight="1" x14ac:dyDescent="0.25">
      <c r="A57" s="9" t="s">
        <v>37</v>
      </c>
      <c r="B57" s="9" t="s">
        <v>122</v>
      </c>
      <c r="C57" s="9" t="s">
        <v>166</v>
      </c>
      <c r="D57" s="10">
        <v>0.60069444444444398</v>
      </c>
      <c r="E57" s="10">
        <v>0.60763888888888895</v>
      </c>
      <c r="F57" s="9" t="s">
        <v>174</v>
      </c>
      <c r="G57" s="9" t="s">
        <v>54</v>
      </c>
      <c r="H57" s="11">
        <v>4</v>
      </c>
      <c r="I57" s="12">
        <v>20</v>
      </c>
      <c r="J57" s="12">
        <v>7</v>
      </c>
      <c r="K57" s="11">
        <f t="shared" si="0"/>
        <v>28</v>
      </c>
      <c r="L57">
        <v>54</v>
      </c>
      <c r="N57" s="13" t="s">
        <v>75</v>
      </c>
      <c r="O57" t="s">
        <v>76</v>
      </c>
      <c r="P57">
        <v>24</v>
      </c>
      <c r="Q57" t="s">
        <v>77</v>
      </c>
      <c r="R57" s="14">
        <v>23</v>
      </c>
      <c r="S57" t="s">
        <v>78</v>
      </c>
      <c r="T57">
        <v>21</v>
      </c>
      <c r="W57" s="15" t="s">
        <v>62</v>
      </c>
      <c r="X57" s="2" t="s">
        <v>55</v>
      </c>
      <c r="Y57" s="32">
        <v>10.352962915025399</v>
      </c>
      <c r="Z57" s="32">
        <f t="shared" si="1"/>
        <v>72.470740405177793</v>
      </c>
      <c r="AA57" s="16" t="s">
        <v>46</v>
      </c>
      <c r="AB57" t="s">
        <v>51</v>
      </c>
      <c r="AE57" s="1" t="s">
        <v>48</v>
      </c>
      <c r="AF57" s="1" t="s">
        <v>48</v>
      </c>
      <c r="AG57" s="1" t="s">
        <v>48</v>
      </c>
      <c r="AH57" s="1" t="s">
        <v>48</v>
      </c>
      <c r="AI57" s="1" t="s">
        <v>48</v>
      </c>
    </row>
    <row r="58" spans="1:36" ht="76.5" customHeight="1" x14ac:dyDescent="0.25">
      <c r="A58" s="9" t="s">
        <v>37</v>
      </c>
      <c r="B58" s="9" t="s">
        <v>122</v>
      </c>
      <c r="C58" s="9" t="s">
        <v>175</v>
      </c>
      <c r="D58" s="10">
        <v>0.66319444444444398</v>
      </c>
      <c r="E58" s="10">
        <v>0.67638888888888904</v>
      </c>
      <c r="F58" s="9" t="s">
        <v>176</v>
      </c>
      <c r="G58" s="9" t="s">
        <v>83</v>
      </c>
      <c r="H58" s="11">
        <v>5.5</v>
      </c>
      <c r="I58" s="12">
        <v>22</v>
      </c>
      <c r="J58" s="12">
        <v>164</v>
      </c>
      <c r="K58" s="11">
        <f t="shared" si="0"/>
        <v>902</v>
      </c>
      <c r="L58">
        <v>55</v>
      </c>
      <c r="N58" s="13" t="s">
        <v>75</v>
      </c>
      <c r="O58" t="s">
        <v>77</v>
      </c>
      <c r="P58">
        <v>23</v>
      </c>
      <c r="Q58" t="s">
        <v>78</v>
      </c>
      <c r="R58" s="14">
        <v>21</v>
      </c>
      <c r="S58" t="s">
        <v>76</v>
      </c>
      <c r="T58">
        <v>24</v>
      </c>
      <c r="W58" s="15" t="s">
        <v>62</v>
      </c>
      <c r="X58" s="2" t="s">
        <v>84</v>
      </c>
      <c r="Y58" s="32">
        <v>14.2353240081599</v>
      </c>
      <c r="Z58" s="32">
        <f t="shared" si="1"/>
        <v>2334.5931373382236</v>
      </c>
      <c r="AA58" s="16" t="s">
        <v>46</v>
      </c>
      <c r="AB58" t="s">
        <v>64</v>
      </c>
      <c r="AE58" s="1" t="s">
        <v>48</v>
      </c>
      <c r="AF58" s="1" t="s">
        <v>48</v>
      </c>
      <c r="AG58" s="1" t="s">
        <v>48</v>
      </c>
      <c r="AH58" s="1" t="s">
        <v>48</v>
      </c>
      <c r="AI58" s="1" t="s">
        <v>48</v>
      </c>
    </row>
    <row r="59" spans="1:36" ht="25.5" customHeight="1" x14ac:dyDescent="0.25">
      <c r="A59" s="9" t="s">
        <v>37</v>
      </c>
      <c r="B59" s="9" t="s">
        <v>122</v>
      </c>
      <c r="C59" s="9" t="s">
        <v>177</v>
      </c>
      <c r="D59" s="10">
        <v>0.73611111111111105</v>
      </c>
      <c r="E59" s="10">
        <v>0.75694444444444398</v>
      </c>
      <c r="F59" s="9" t="s">
        <v>178</v>
      </c>
      <c r="G59" s="9" t="s">
        <v>150</v>
      </c>
      <c r="H59" s="11">
        <v>11</v>
      </c>
      <c r="I59" s="12">
        <v>20</v>
      </c>
      <c r="J59" s="12">
        <v>189</v>
      </c>
      <c r="K59" s="11">
        <f t="shared" si="0"/>
        <v>2079</v>
      </c>
      <c r="L59">
        <v>56</v>
      </c>
      <c r="N59" s="13" t="s">
        <v>59</v>
      </c>
      <c r="O59" t="s">
        <v>60</v>
      </c>
      <c r="P59">
        <v>21</v>
      </c>
      <c r="Q59" t="s">
        <v>61</v>
      </c>
      <c r="R59" s="14">
        <v>21</v>
      </c>
      <c r="S59" t="s">
        <v>61</v>
      </c>
      <c r="T59">
        <v>21</v>
      </c>
      <c r="W59" s="15" t="s">
        <v>62</v>
      </c>
      <c r="X59" s="2" t="s">
        <v>151</v>
      </c>
      <c r="Y59" s="32">
        <v>38.166328162690903</v>
      </c>
      <c r="Z59" s="32">
        <f t="shared" si="1"/>
        <v>7213.4360227485804</v>
      </c>
      <c r="AA59" s="16" t="s">
        <v>46</v>
      </c>
      <c r="AB59" t="s">
        <v>116</v>
      </c>
      <c r="AE59" s="1" t="s">
        <v>48</v>
      </c>
      <c r="AF59" s="1" t="s">
        <v>48</v>
      </c>
      <c r="AG59" s="1" t="s">
        <v>48</v>
      </c>
      <c r="AH59" s="1" t="s">
        <v>48</v>
      </c>
      <c r="AI59" s="1" t="s">
        <v>48</v>
      </c>
    </row>
    <row r="60" spans="1:36" ht="76.5" customHeight="1" x14ac:dyDescent="0.25">
      <c r="A60" s="9" t="s">
        <v>37</v>
      </c>
      <c r="B60" s="9" t="s">
        <v>122</v>
      </c>
      <c r="C60" s="9" t="s">
        <v>179</v>
      </c>
      <c r="D60" s="10">
        <v>0.75347222222222199</v>
      </c>
      <c r="E60" s="10">
        <v>0.76180555555555596</v>
      </c>
      <c r="F60" s="9" t="s">
        <v>180</v>
      </c>
      <c r="G60" s="9" t="s">
        <v>83</v>
      </c>
      <c r="H60" s="11">
        <v>5</v>
      </c>
      <c r="I60" s="12">
        <v>23</v>
      </c>
      <c r="J60" s="12">
        <v>164</v>
      </c>
      <c r="K60" s="11">
        <f t="shared" si="0"/>
        <v>820</v>
      </c>
      <c r="L60">
        <v>57</v>
      </c>
      <c r="N60" s="13" t="s">
        <v>75</v>
      </c>
      <c r="O60" t="s">
        <v>77</v>
      </c>
      <c r="P60">
        <v>23</v>
      </c>
      <c r="Q60" t="s">
        <v>78</v>
      </c>
      <c r="R60" s="14">
        <v>21</v>
      </c>
      <c r="S60" t="s">
        <v>76</v>
      </c>
      <c r="T60">
        <v>24</v>
      </c>
      <c r="W60" s="15" t="s">
        <v>62</v>
      </c>
      <c r="X60" s="2" t="s">
        <v>84</v>
      </c>
      <c r="Y60" s="32">
        <v>12.941203643781799</v>
      </c>
      <c r="Z60" s="32">
        <f t="shared" si="1"/>
        <v>2122.3573975802151</v>
      </c>
      <c r="AA60" s="16" t="s">
        <v>46</v>
      </c>
      <c r="AB60" t="s">
        <v>64</v>
      </c>
      <c r="AE60" s="1" t="s">
        <v>48</v>
      </c>
      <c r="AF60" s="1" t="s">
        <v>48</v>
      </c>
      <c r="AG60" s="1" t="s">
        <v>48</v>
      </c>
      <c r="AH60" s="1" t="s">
        <v>48</v>
      </c>
      <c r="AI60" s="1" t="s">
        <v>48</v>
      </c>
    </row>
    <row r="61" spans="1:36" ht="25.5" customHeight="1" x14ac:dyDescent="0.25">
      <c r="A61" s="9" t="s">
        <v>37</v>
      </c>
      <c r="B61" s="9" t="s">
        <v>181</v>
      </c>
      <c r="C61" s="9" t="s">
        <v>182</v>
      </c>
      <c r="D61" s="10">
        <v>0.281944444444444</v>
      </c>
      <c r="E61" s="10">
        <v>0.29236111111111102</v>
      </c>
      <c r="F61" s="9" t="s">
        <v>183</v>
      </c>
      <c r="G61" s="9" t="s">
        <v>54</v>
      </c>
      <c r="H61" s="11">
        <v>6</v>
      </c>
      <c r="I61" s="12">
        <v>20</v>
      </c>
      <c r="J61" s="12">
        <v>7</v>
      </c>
      <c r="K61" s="11">
        <f t="shared" si="0"/>
        <v>42</v>
      </c>
      <c r="L61">
        <v>58</v>
      </c>
      <c r="N61" s="13" t="s">
        <v>59</v>
      </c>
      <c r="O61" t="s">
        <v>60</v>
      </c>
      <c r="P61">
        <v>21</v>
      </c>
      <c r="Q61" t="s">
        <v>61</v>
      </c>
      <c r="R61" s="14">
        <v>21</v>
      </c>
      <c r="S61" t="s">
        <v>61</v>
      </c>
      <c r="T61">
        <v>21</v>
      </c>
      <c r="W61" s="15" t="s">
        <v>62</v>
      </c>
      <c r="X61" s="2" t="s">
        <v>55</v>
      </c>
      <c r="Y61" s="32">
        <v>20.817997179649598</v>
      </c>
      <c r="Z61" s="32">
        <f t="shared" si="1"/>
        <v>145.72598025754718</v>
      </c>
      <c r="AA61" s="16" t="s">
        <v>46</v>
      </c>
      <c r="AB61" t="s">
        <v>51</v>
      </c>
      <c r="AE61" s="1" t="s">
        <v>48</v>
      </c>
      <c r="AF61" s="1" t="s">
        <v>48</v>
      </c>
      <c r="AG61" s="1" t="s">
        <v>48</v>
      </c>
      <c r="AH61" s="1" t="s">
        <v>48</v>
      </c>
      <c r="AI61" s="1" t="s">
        <v>48</v>
      </c>
    </row>
    <row r="62" spans="1:36" ht="76.5" customHeight="1" x14ac:dyDescent="0.25">
      <c r="A62" s="9" t="s">
        <v>37</v>
      </c>
      <c r="B62" s="9" t="s">
        <v>181</v>
      </c>
      <c r="C62" s="9" t="s">
        <v>184</v>
      </c>
      <c r="D62" s="10">
        <v>0.297222222222222</v>
      </c>
      <c r="E62" s="10">
        <v>0.30763888888888902</v>
      </c>
      <c r="F62" s="9" t="s">
        <v>185</v>
      </c>
      <c r="G62" s="9" t="s">
        <v>58</v>
      </c>
      <c r="H62" s="11">
        <v>6</v>
      </c>
      <c r="I62" s="12">
        <v>24</v>
      </c>
      <c r="J62" s="12">
        <v>198</v>
      </c>
      <c r="K62" s="11">
        <f t="shared" si="0"/>
        <v>1188</v>
      </c>
      <c r="L62">
        <v>59</v>
      </c>
      <c r="N62" s="13" t="s">
        <v>75</v>
      </c>
      <c r="O62" t="s">
        <v>76</v>
      </c>
      <c r="P62">
        <v>24</v>
      </c>
      <c r="Q62" t="s">
        <v>77</v>
      </c>
      <c r="R62" s="14">
        <v>23</v>
      </c>
      <c r="S62" t="s">
        <v>78</v>
      </c>
      <c r="T62">
        <v>21</v>
      </c>
      <c r="W62" s="15" t="s">
        <v>62</v>
      </c>
      <c r="X62" s="2" t="s">
        <v>63</v>
      </c>
      <c r="Y62" s="32">
        <v>15.5294443725381</v>
      </c>
      <c r="Z62" s="32">
        <f t="shared" si="1"/>
        <v>3074.8299857625439</v>
      </c>
      <c r="AA62" s="16" t="s">
        <v>46</v>
      </c>
      <c r="AB62" t="s">
        <v>64</v>
      </c>
      <c r="AE62" s="1" t="s">
        <v>48</v>
      </c>
      <c r="AF62" s="1" t="s">
        <v>48</v>
      </c>
      <c r="AG62" s="1" t="s">
        <v>48</v>
      </c>
      <c r="AH62" s="1" t="s">
        <v>48</v>
      </c>
      <c r="AI62" s="1" t="s">
        <v>48</v>
      </c>
      <c r="AJ62" s="1" t="s">
        <v>48</v>
      </c>
    </row>
    <row r="63" spans="1:36" ht="76.5" customHeight="1" x14ac:dyDescent="0.25">
      <c r="A63" s="9" t="s">
        <v>37</v>
      </c>
      <c r="B63" s="9" t="s">
        <v>181</v>
      </c>
      <c r="C63" s="9" t="s">
        <v>186</v>
      </c>
      <c r="D63" s="10">
        <v>0.31388888888888899</v>
      </c>
      <c r="E63" s="10">
        <v>0.32291666666666702</v>
      </c>
      <c r="F63" s="9" t="s">
        <v>187</v>
      </c>
      <c r="G63" s="9" t="s">
        <v>83</v>
      </c>
      <c r="H63" s="11">
        <v>3.5</v>
      </c>
      <c r="I63" s="12">
        <v>24</v>
      </c>
      <c r="J63" s="12">
        <v>164</v>
      </c>
      <c r="K63" s="11">
        <f t="shared" si="0"/>
        <v>574</v>
      </c>
      <c r="L63">
        <v>60</v>
      </c>
      <c r="N63" s="13" t="s">
        <v>75</v>
      </c>
      <c r="O63" t="s">
        <v>76</v>
      </c>
      <c r="P63">
        <v>24</v>
      </c>
      <c r="Q63" t="s">
        <v>77</v>
      </c>
      <c r="R63" s="14">
        <v>23</v>
      </c>
      <c r="S63" t="s">
        <v>78</v>
      </c>
      <c r="T63">
        <v>21</v>
      </c>
      <c r="W63" s="15" t="s">
        <v>62</v>
      </c>
      <c r="X63" s="2" t="s">
        <v>84</v>
      </c>
      <c r="Y63" s="32">
        <v>9.0588425506472205</v>
      </c>
      <c r="Z63" s="32">
        <f t="shared" si="1"/>
        <v>1485.6501783061442</v>
      </c>
      <c r="AA63" s="16" t="s">
        <v>46</v>
      </c>
      <c r="AB63" t="s">
        <v>64</v>
      </c>
      <c r="AE63" s="1" t="s">
        <v>48</v>
      </c>
      <c r="AF63" s="1" t="s">
        <v>48</v>
      </c>
      <c r="AG63" s="1" t="s">
        <v>48</v>
      </c>
      <c r="AH63" s="1" t="s">
        <v>48</v>
      </c>
      <c r="AI63" s="1" t="s">
        <v>48</v>
      </c>
    </row>
    <row r="64" spans="1:36" ht="25.5" customHeight="1" x14ac:dyDescent="0.25">
      <c r="A64" s="9" t="s">
        <v>37</v>
      </c>
      <c r="B64" s="9" t="s">
        <v>181</v>
      </c>
      <c r="C64" s="9" t="s">
        <v>188</v>
      </c>
      <c r="D64" s="10">
        <v>0.38194444444444398</v>
      </c>
      <c r="E64" s="10">
        <v>0.4</v>
      </c>
      <c r="F64" s="9" t="s">
        <v>189</v>
      </c>
      <c r="G64" s="9" t="s">
        <v>114</v>
      </c>
      <c r="H64" s="11">
        <v>10</v>
      </c>
      <c r="I64" s="12">
        <v>20</v>
      </c>
      <c r="J64" s="12">
        <v>226</v>
      </c>
      <c r="K64" s="11">
        <f t="shared" si="0"/>
        <v>2260</v>
      </c>
      <c r="L64">
        <v>61</v>
      </c>
      <c r="N64" s="13" t="s">
        <v>59</v>
      </c>
      <c r="O64" t="s">
        <v>60</v>
      </c>
      <c r="P64">
        <v>21</v>
      </c>
      <c r="Q64" t="s">
        <v>61</v>
      </c>
      <c r="R64" s="14">
        <v>21</v>
      </c>
      <c r="S64" t="s">
        <v>61</v>
      </c>
      <c r="T64">
        <v>21</v>
      </c>
      <c r="W64" s="15" t="s">
        <v>62</v>
      </c>
      <c r="X64" s="2" t="s">
        <v>115</v>
      </c>
      <c r="Y64" s="32">
        <v>34.696661966082601</v>
      </c>
      <c r="Z64" s="32">
        <f t="shared" si="1"/>
        <v>7841.4456043346681</v>
      </c>
      <c r="AA64" s="16" t="s">
        <v>46</v>
      </c>
      <c r="AB64" t="s">
        <v>116</v>
      </c>
      <c r="AE64" s="1" t="s">
        <v>48</v>
      </c>
      <c r="AF64" s="1" t="s">
        <v>48</v>
      </c>
      <c r="AG64" s="1" t="s">
        <v>48</v>
      </c>
      <c r="AH64" s="1" t="s">
        <v>48</v>
      </c>
      <c r="AI64" s="1" t="s">
        <v>48</v>
      </c>
      <c r="AJ64" s="1" t="s">
        <v>48</v>
      </c>
    </row>
    <row r="65" spans="1:36" ht="51" customHeight="1" x14ac:dyDescent="0.25">
      <c r="A65" s="9" t="s">
        <v>37</v>
      </c>
      <c r="B65" s="9" t="s">
        <v>181</v>
      </c>
      <c r="C65" s="9" t="s">
        <v>190</v>
      </c>
      <c r="D65" s="10">
        <v>0.55555555555555602</v>
      </c>
      <c r="E65" s="10">
        <v>0.57638888888888895</v>
      </c>
      <c r="F65" s="9" t="s">
        <v>191</v>
      </c>
      <c r="G65" s="9" t="s">
        <v>58</v>
      </c>
      <c r="H65" s="11">
        <v>11.5</v>
      </c>
      <c r="I65" s="12">
        <v>19</v>
      </c>
      <c r="J65" s="12">
        <v>198</v>
      </c>
      <c r="K65" s="11">
        <f t="shared" si="0"/>
        <v>2277</v>
      </c>
      <c r="L65">
        <v>62</v>
      </c>
      <c r="N65" s="13" t="s">
        <v>192</v>
      </c>
      <c r="O65" t="s">
        <v>193</v>
      </c>
      <c r="P65">
        <v>21</v>
      </c>
      <c r="Q65" t="s">
        <v>193</v>
      </c>
      <c r="R65" s="14">
        <v>21</v>
      </c>
      <c r="W65" s="15" t="s">
        <v>62</v>
      </c>
      <c r="X65" s="2" t="s">
        <v>63</v>
      </c>
      <c r="Y65" s="32">
        <v>25.704799999999999</v>
      </c>
      <c r="Z65" s="32">
        <f t="shared" si="1"/>
        <v>5089.5504000000001</v>
      </c>
      <c r="AA65" s="16" t="s">
        <v>46</v>
      </c>
      <c r="AB65" t="s">
        <v>64</v>
      </c>
      <c r="AE65" s="1" t="s">
        <v>48</v>
      </c>
      <c r="AF65" s="1" t="s">
        <v>48</v>
      </c>
      <c r="AG65" s="1" t="s">
        <v>48</v>
      </c>
      <c r="AH65" s="1" t="s">
        <v>48</v>
      </c>
      <c r="AI65" s="1" t="s">
        <v>48</v>
      </c>
      <c r="AJ65" s="1" t="s">
        <v>48</v>
      </c>
    </row>
    <row r="66" spans="1:36" ht="76.5" customHeight="1" x14ac:dyDescent="0.25">
      <c r="A66" s="9" t="s">
        <v>37</v>
      </c>
      <c r="B66" s="9" t="s">
        <v>181</v>
      </c>
      <c r="C66" s="9" t="s">
        <v>194</v>
      </c>
      <c r="D66" s="10">
        <v>0.71180555555555602</v>
      </c>
      <c r="E66" s="10">
        <v>0.72986111111111096</v>
      </c>
      <c r="F66" s="9" t="s">
        <v>195</v>
      </c>
      <c r="G66" s="9" t="s">
        <v>150</v>
      </c>
      <c r="H66" s="11">
        <v>10</v>
      </c>
      <c r="I66" s="12">
        <v>22</v>
      </c>
      <c r="J66" s="12">
        <v>189</v>
      </c>
      <c r="K66" s="11">
        <f t="shared" ref="K66:K129" si="2">J66*H66</f>
        <v>1890</v>
      </c>
      <c r="L66">
        <v>63</v>
      </c>
      <c r="N66" s="13" t="s">
        <v>75</v>
      </c>
      <c r="O66" t="s">
        <v>77</v>
      </c>
      <c r="P66">
        <v>23</v>
      </c>
      <c r="Q66" t="s">
        <v>78</v>
      </c>
      <c r="R66" s="14">
        <v>21</v>
      </c>
      <c r="S66" t="s">
        <v>76</v>
      </c>
      <c r="T66">
        <v>24</v>
      </c>
      <c r="W66" s="15" t="s">
        <v>62</v>
      </c>
      <c r="X66" s="2" t="s">
        <v>151</v>
      </c>
      <c r="Y66" s="32">
        <v>25.882407287563499</v>
      </c>
      <c r="Z66" s="32">
        <f t="shared" ref="Z66:Z129" si="3">Y66*J66</f>
        <v>4891.7749773495016</v>
      </c>
      <c r="AA66" s="16" t="s">
        <v>46</v>
      </c>
      <c r="AB66" t="s">
        <v>116</v>
      </c>
      <c r="AE66" s="1" t="s">
        <v>48</v>
      </c>
      <c r="AF66" s="1" t="s">
        <v>48</v>
      </c>
      <c r="AG66" s="1" t="s">
        <v>48</v>
      </c>
      <c r="AH66" s="1" t="s">
        <v>48</v>
      </c>
      <c r="AI66" s="1" t="s">
        <v>48</v>
      </c>
    </row>
    <row r="67" spans="1:36" ht="63.75" customHeight="1" x14ac:dyDescent="0.25">
      <c r="A67" s="9" t="s">
        <v>37</v>
      </c>
      <c r="B67" s="9" t="s">
        <v>196</v>
      </c>
      <c r="C67" s="9" t="s">
        <v>197</v>
      </c>
      <c r="D67" s="10">
        <v>0.34027777777777801</v>
      </c>
      <c r="E67" s="10">
        <v>0.39374999999999999</v>
      </c>
      <c r="F67" s="9" t="s">
        <v>198</v>
      </c>
      <c r="G67" s="9" t="s">
        <v>41</v>
      </c>
      <c r="H67" s="11">
        <v>10.5</v>
      </c>
      <c r="I67" s="12">
        <v>23</v>
      </c>
      <c r="J67" s="12">
        <v>218</v>
      </c>
      <c r="K67" s="11">
        <f t="shared" si="2"/>
        <v>2289</v>
      </c>
      <c r="L67">
        <v>64</v>
      </c>
      <c r="N67" s="13" t="s">
        <v>42</v>
      </c>
      <c r="O67" t="s">
        <v>43</v>
      </c>
      <c r="P67">
        <v>24</v>
      </c>
      <c r="Q67" t="s">
        <v>44</v>
      </c>
      <c r="R67" s="14">
        <v>22</v>
      </c>
      <c r="S67" t="s">
        <v>44</v>
      </c>
      <c r="T67">
        <v>22</v>
      </c>
      <c r="W67" s="15"/>
      <c r="X67" s="2" t="s">
        <v>45</v>
      </c>
      <c r="Y67" s="32">
        <v>42.652205441646302</v>
      </c>
      <c r="Z67" s="32">
        <f t="shared" si="3"/>
        <v>9298.1807862788937</v>
      </c>
      <c r="AA67" s="16" t="s">
        <v>46</v>
      </c>
      <c r="AB67" t="s">
        <v>47</v>
      </c>
      <c r="AE67" s="1" t="s">
        <v>48</v>
      </c>
      <c r="AF67" s="1" t="s">
        <v>48</v>
      </c>
      <c r="AG67" s="1" t="s">
        <v>48</v>
      </c>
      <c r="AH67" s="1" t="s">
        <v>48</v>
      </c>
      <c r="AI67" s="1" t="s">
        <v>48</v>
      </c>
      <c r="AJ67" s="1" t="s">
        <v>48</v>
      </c>
    </row>
    <row r="68" spans="1:36" ht="51" customHeight="1" x14ac:dyDescent="0.25">
      <c r="A68" s="9" t="s">
        <v>37</v>
      </c>
      <c r="B68" s="9" t="s">
        <v>196</v>
      </c>
      <c r="C68" s="9" t="s">
        <v>199</v>
      </c>
      <c r="D68" s="10">
        <v>0.34513888888888899</v>
      </c>
      <c r="E68" s="10">
        <v>0.39374999999999999</v>
      </c>
      <c r="F68" s="9" t="s">
        <v>200</v>
      </c>
      <c r="G68" s="9" t="s">
        <v>41</v>
      </c>
      <c r="H68" s="11">
        <v>2.4</v>
      </c>
      <c r="I68" s="12">
        <v>23</v>
      </c>
      <c r="J68" s="12">
        <v>218</v>
      </c>
      <c r="K68" s="11">
        <f t="shared" si="2"/>
        <v>523.19999999999993</v>
      </c>
      <c r="L68">
        <v>65</v>
      </c>
      <c r="N68" s="13" t="s">
        <v>42</v>
      </c>
      <c r="O68" t="s">
        <v>43</v>
      </c>
      <c r="P68">
        <v>24</v>
      </c>
      <c r="Q68" t="s">
        <v>44</v>
      </c>
      <c r="R68" s="14">
        <v>22</v>
      </c>
      <c r="S68" t="s">
        <v>44</v>
      </c>
      <c r="T68">
        <v>22</v>
      </c>
      <c r="W68" s="15"/>
      <c r="X68" s="2" t="s">
        <v>45</v>
      </c>
      <c r="Y68" s="32">
        <v>9.7490755295191391</v>
      </c>
      <c r="Z68" s="32">
        <f t="shared" si="3"/>
        <v>2125.2984654351721</v>
      </c>
      <c r="AA68" s="16" t="s">
        <v>46</v>
      </c>
      <c r="AB68" t="s">
        <v>47</v>
      </c>
      <c r="AE68" s="1" t="s">
        <v>48</v>
      </c>
      <c r="AF68" s="1" t="s">
        <v>48</v>
      </c>
      <c r="AG68" s="1" t="s">
        <v>48</v>
      </c>
      <c r="AH68" s="1" t="s">
        <v>48</v>
      </c>
      <c r="AI68" s="1" t="s">
        <v>48</v>
      </c>
      <c r="AJ68" s="1" t="s">
        <v>48</v>
      </c>
    </row>
    <row r="69" spans="1:36" ht="102" customHeight="1" x14ac:dyDescent="0.25">
      <c r="A69" s="9" t="s">
        <v>37</v>
      </c>
      <c r="B69" s="9" t="s">
        <v>196</v>
      </c>
      <c r="C69" s="9" t="s">
        <v>201</v>
      </c>
      <c r="D69" s="10">
        <v>0.41180555555555598</v>
      </c>
      <c r="E69" s="10">
        <v>0.51875000000000004</v>
      </c>
      <c r="F69" s="17" t="s">
        <v>202</v>
      </c>
      <c r="G69" s="9" t="s">
        <v>41</v>
      </c>
      <c r="H69" s="20">
        <v>17.5</v>
      </c>
      <c r="I69" s="12">
        <v>22</v>
      </c>
      <c r="J69" s="12">
        <v>218</v>
      </c>
      <c r="K69" s="11">
        <f t="shared" si="2"/>
        <v>3815</v>
      </c>
      <c r="L69">
        <v>66</v>
      </c>
      <c r="N69" s="13" t="s">
        <v>75</v>
      </c>
      <c r="O69" t="s">
        <v>76</v>
      </c>
      <c r="P69">
        <v>24</v>
      </c>
      <c r="Q69" t="s">
        <v>77</v>
      </c>
      <c r="R69" s="14">
        <v>23</v>
      </c>
      <c r="S69" t="s">
        <v>78</v>
      </c>
      <c r="T69">
        <v>21</v>
      </c>
      <c r="W69" s="15" t="s">
        <v>62</v>
      </c>
      <c r="X69" s="2" t="s">
        <v>45</v>
      </c>
      <c r="Y69" s="32">
        <v>45.294212753236103</v>
      </c>
      <c r="Z69" s="32">
        <f t="shared" si="3"/>
        <v>9874.1383802054697</v>
      </c>
      <c r="AA69" s="16" t="s">
        <v>89</v>
      </c>
      <c r="AB69" t="s">
        <v>47</v>
      </c>
      <c r="AE69" s="1" t="s">
        <v>48</v>
      </c>
      <c r="AF69" s="1" t="s">
        <v>48</v>
      </c>
      <c r="AG69" s="1" t="s">
        <v>48</v>
      </c>
      <c r="AH69" s="1" t="s">
        <v>48</v>
      </c>
      <c r="AI69" s="1" t="s">
        <v>48</v>
      </c>
      <c r="AJ69" s="1" t="s">
        <v>48</v>
      </c>
    </row>
    <row r="70" spans="1:36" ht="25.5" customHeight="1" x14ac:dyDescent="0.25">
      <c r="A70" s="9" t="s">
        <v>37</v>
      </c>
      <c r="B70" s="9" t="s">
        <v>196</v>
      </c>
      <c r="C70" s="9">
        <v>555</v>
      </c>
      <c r="D70" s="10">
        <v>0.48611111111111099</v>
      </c>
      <c r="E70" s="10">
        <v>0.49791666666666701</v>
      </c>
      <c r="F70" s="17" t="s">
        <v>203</v>
      </c>
      <c r="G70" s="9" t="s">
        <v>204</v>
      </c>
      <c r="H70" s="20">
        <v>3.5</v>
      </c>
      <c r="I70" s="12">
        <v>22</v>
      </c>
      <c r="J70" s="18">
        <v>36</v>
      </c>
      <c r="K70" s="11">
        <f t="shared" si="2"/>
        <v>126</v>
      </c>
      <c r="L70" t="s">
        <v>205</v>
      </c>
      <c r="N70" s="13" t="s">
        <v>42</v>
      </c>
      <c r="O70" t="s">
        <v>76</v>
      </c>
      <c r="P70">
        <v>24</v>
      </c>
      <c r="Q70" t="s">
        <v>77</v>
      </c>
      <c r="R70" s="14">
        <v>23</v>
      </c>
      <c r="S70" t="s">
        <v>78</v>
      </c>
      <c r="T70">
        <v>21</v>
      </c>
      <c r="W70" s="15"/>
      <c r="X70" s="2" t="s">
        <v>206</v>
      </c>
      <c r="Y70" s="32">
        <v>14.2174018138821</v>
      </c>
      <c r="Z70" s="32">
        <f t="shared" si="3"/>
        <v>511.82646529975563</v>
      </c>
      <c r="AA70" s="16" t="s">
        <v>207</v>
      </c>
      <c r="AB70" t="s">
        <v>47</v>
      </c>
      <c r="AJ70" s="1" t="s">
        <v>48</v>
      </c>
    </row>
    <row r="71" spans="1:36" ht="76.5" customHeight="1" x14ac:dyDescent="0.25">
      <c r="A71" s="9" t="s">
        <v>37</v>
      </c>
      <c r="B71" s="9" t="s">
        <v>196</v>
      </c>
      <c r="C71" s="9">
        <v>555</v>
      </c>
      <c r="D71" s="10">
        <v>0.44444444444444398</v>
      </c>
      <c r="E71" s="10">
        <v>0.45624999999999999</v>
      </c>
      <c r="F71" s="17" t="s">
        <v>203</v>
      </c>
      <c r="G71" s="9" t="s">
        <v>95</v>
      </c>
      <c r="H71" s="20">
        <v>3.5</v>
      </c>
      <c r="I71" s="12">
        <v>19</v>
      </c>
      <c r="J71" s="18">
        <v>182</v>
      </c>
      <c r="K71" s="11">
        <f t="shared" si="2"/>
        <v>637</v>
      </c>
      <c r="L71" t="s">
        <v>208</v>
      </c>
      <c r="N71" s="13" t="s">
        <v>75</v>
      </c>
      <c r="O71" t="s">
        <v>43</v>
      </c>
      <c r="P71">
        <v>24</v>
      </c>
      <c r="Q71" t="s">
        <v>44</v>
      </c>
      <c r="R71" s="14">
        <v>22</v>
      </c>
      <c r="S71" t="s">
        <v>44</v>
      </c>
      <c r="T71">
        <v>22</v>
      </c>
      <c r="W71" s="15"/>
      <c r="X71" s="2" t="s">
        <v>96</v>
      </c>
      <c r="Y71" s="32">
        <v>9.0588425506472205</v>
      </c>
      <c r="Z71" s="32">
        <f t="shared" si="3"/>
        <v>1648.7093442177941</v>
      </c>
      <c r="AA71" s="16" t="s">
        <v>207</v>
      </c>
      <c r="AB71" t="s">
        <v>47</v>
      </c>
      <c r="AE71" s="1" t="s">
        <v>48</v>
      </c>
      <c r="AF71" s="1" t="s">
        <v>48</v>
      </c>
      <c r="AG71" s="1" t="s">
        <v>48</v>
      </c>
      <c r="AH71" s="1" t="s">
        <v>48</v>
      </c>
      <c r="AI71" s="1" t="s">
        <v>48</v>
      </c>
    </row>
    <row r="72" spans="1:36" ht="76.5" customHeight="1" x14ac:dyDescent="0.25">
      <c r="A72" s="9" t="s">
        <v>37</v>
      </c>
      <c r="B72" s="9" t="s">
        <v>196</v>
      </c>
      <c r="C72" s="9" t="s">
        <v>209</v>
      </c>
      <c r="D72" s="10">
        <v>0.42847222222222198</v>
      </c>
      <c r="E72" s="10">
        <v>0.51875000000000004</v>
      </c>
      <c r="F72" s="9" t="s">
        <v>210</v>
      </c>
      <c r="G72" s="9" t="s">
        <v>41</v>
      </c>
      <c r="H72" s="11">
        <v>3.6</v>
      </c>
      <c r="I72" s="12">
        <v>22</v>
      </c>
      <c r="J72" s="12">
        <v>218</v>
      </c>
      <c r="K72" s="11">
        <f t="shared" si="2"/>
        <v>784.80000000000007</v>
      </c>
      <c r="L72">
        <v>67</v>
      </c>
      <c r="N72" s="13" t="s">
        <v>75</v>
      </c>
      <c r="O72" t="s">
        <v>76</v>
      </c>
      <c r="P72">
        <v>24</v>
      </c>
      <c r="Q72" t="s">
        <v>77</v>
      </c>
      <c r="R72" s="14">
        <v>23</v>
      </c>
      <c r="S72" t="s">
        <v>78</v>
      </c>
      <c r="T72">
        <v>21</v>
      </c>
      <c r="W72" s="15" t="s">
        <v>62</v>
      </c>
      <c r="X72" s="2" t="s">
        <v>45</v>
      </c>
      <c r="Y72" s="32">
        <v>9.3176666235228591</v>
      </c>
      <c r="Z72" s="32">
        <f t="shared" si="3"/>
        <v>2031.2513239279833</v>
      </c>
      <c r="AA72" s="16" t="s">
        <v>46</v>
      </c>
      <c r="AB72" t="s">
        <v>47</v>
      </c>
      <c r="AE72" s="1" t="s">
        <v>48</v>
      </c>
      <c r="AF72" s="1" t="s">
        <v>48</v>
      </c>
      <c r="AG72" s="1" t="s">
        <v>48</v>
      </c>
      <c r="AH72" s="1" t="s">
        <v>48</v>
      </c>
      <c r="AI72" s="1" t="s">
        <v>48</v>
      </c>
      <c r="AJ72" s="1" t="s">
        <v>48</v>
      </c>
    </row>
    <row r="73" spans="1:36" ht="30" customHeight="1" x14ac:dyDescent="0.25">
      <c r="A73" s="9" t="s">
        <v>37</v>
      </c>
      <c r="B73" s="9" t="s">
        <v>196</v>
      </c>
      <c r="C73" s="9" t="s">
        <v>211</v>
      </c>
      <c r="D73" s="10">
        <v>0.52777777777777801</v>
      </c>
      <c r="E73" s="10">
        <v>0.53819444444444398</v>
      </c>
      <c r="F73" s="9" t="s">
        <v>212</v>
      </c>
      <c r="G73" s="9" t="s">
        <v>41</v>
      </c>
      <c r="H73" s="11">
        <v>3.5</v>
      </c>
      <c r="I73" s="12">
        <v>23</v>
      </c>
      <c r="J73" s="12">
        <v>218</v>
      </c>
      <c r="K73" s="11">
        <f t="shared" si="2"/>
        <v>763</v>
      </c>
      <c r="L73">
        <v>68</v>
      </c>
      <c r="N73" s="13" t="s">
        <v>42</v>
      </c>
      <c r="O73" t="s">
        <v>43</v>
      </c>
      <c r="P73">
        <v>24</v>
      </c>
      <c r="Q73" t="s">
        <v>44</v>
      </c>
      <c r="R73" s="14">
        <v>22</v>
      </c>
      <c r="S73" t="s">
        <v>44</v>
      </c>
      <c r="T73">
        <v>22</v>
      </c>
      <c r="W73" s="15"/>
      <c r="X73" s="2" t="s">
        <v>45</v>
      </c>
      <c r="Y73" s="32">
        <v>14.2174018138821</v>
      </c>
      <c r="Z73" s="32">
        <f t="shared" si="3"/>
        <v>3099.3935954262979</v>
      </c>
      <c r="AA73" s="16" t="s">
        <v>46</v>
      </c>
      <c r="AB73" t="s">
        <v>47</v>
      </c>
      <c r="AE73" s="1" t="s">
        <v>48</v>
      </c>
      <c r="AF73" s="1" t="s">
        <v>48</v>
      </c>
      <c r="AG73" s="1" t="s">
        <v>48</v>
      </c>
      <c r="AH73" s="1" t="s">
        <v>48</v>
      </c>
      <c r="AI73" s="1" t="s">
        <v>48</v>
      </c>
      <c r="AJ73" s="1" t="s">
        <v>48</v>
      </c>
    </row>
    <row r="74" spans="1:36" ht="76.5" customHeight="1" x14ac:dyDescent="0.25">
      <c r="A74" s="9" t="s">
        <v>37</v>
      </c>
      <c r="B74" s="9" t="s">
        <v>196</v>
      </c>
      <c r="C74" s="9" t="s">
        <v>213</v>
      </c>
      <c r="D74" s="10">
        <v>0.69444444444444398</v>
      </c>
      <c r="E74" s="10">
        <v>0.70486111111111105</v>
      </c>
      <c r="F74" s="9" t="s">
        <v>214</v>
      </c>
      <c r="G74" s="9" t="s">
        <v>41</v>
      </c>
      <c r="H74" s="11">
        <v>3.5</v>
      </c>
      <c r="I74" s="12">
        <v>23</v>
      </c>
      <c r="J74" s="12">
        <v>218</v>
      </c>
      <c r="K74" s="11">
        <f t="shared" si="2"/>
        <v>763</v>
      </c>
      <c r="L74">
        <v>69</v>
      </c>
      <c r="N74" s="13" t="s">
        <v>75</v>
      </c>
      <c r="O74" t="s">
        <v>78</v>
      </c>
      <c r="P74">
        <v>21</v>
      </c>
      <c r="Q74" t="s">
        <v>77</v>
      </c>
      <c r="R74" s="14">
        <v>23</v>
      </c>
      <c r="S74" t="s">
        <v>76</v>
      </c>
      <c r="T74">
        <v>24</v>
      </c>
      <c r="W74" s="15" t="s">
        <v>62</v>
      </c>
      <c r="X74" s="2" t="s">
        <v>45</v>
      </c>
      <c r="Y74" s="32">
        <v>9.0588425506472205</v>
      </c>
      <c r="Z74" s="32">
        <f t="shared" si="3"/>
        <v>1974.827676041094</v>
      </c>
      <c r="AA74" s="16" t="s">
        <v>46</v>
      </c>
      <c r="AB74" t="s">
        <v>47</v>
      </c>
      <c r="AE74" s="1" t="s">
        <v>48</v>
      </c>
      <c r="AF74" s="1" t="s">
        <v>48</v>
      </c>
      <c r="AG74" s="1" t="s">
        <v>48</v>
      </c>
      <c r="AH74" s="1" t="s">
        <v>48</v>
      </c>
      <c r="AI74" s="1" t="s">
        <v>48</v>
      </c>
      <c r="AJ74" s="1" t="s">
        <v>48</v>
      </c>
    </row>
    <row r="75" spans="1:36" ht="76.5" customHeight="1" x14ac:dyDescent="0.25">
      <c r="A75" s="9" t="s">
        <v>37</v>
      </c>
      <c r="B75" s="9" t="s">
        <v>196</v>
      </c>
      <c r="C75" s="9" t="s">
        <v>215</v>
      </c>
      <c r="D75" s="10">
        <v>0.54861111111111105</v>
      </c>
      <c r="E75" s="10">
        <v>0.72708333333333297</v>
      </c>
      <c r="F75" s="17" t="s">
        <v>216</v>
      </c>
      <c r="G75" s="9" t="s">
        <v>41</v>
      </c>
      <c r="H75" s="20">
        <v>14</v>
      </c>
      <c r="I75" s="12">
        <v>19</v>
      </c>
      <c r="J75" s="12">
        <v>218</v>
      </c>
      <c r="K75" s="11">
        <f t="shared" si="2"/>
        <v>3052</v>
      </c>
      <c r="L75">
        <v>70</v>
      </c>
      <c r="N75" s="13" t="s">
        <v>91</v>
      </c>
      <c r="O75" t="s">
        <v>92</v>
      </c>
      <c r="P75">
        <v>21</v>
      </c>
      <c r="Q75" t="s">
        <v>93</v>
      </c>
      <c r="R75" s="14">
        <v>21</v>
      </c>
      <c r="S75" t="s">
        <v>94</v>
      </c>
      <c r="T75">
        <v>10</v>
      </c>
      <c r="W75" s="15" t="s">
        <v>62</v>
      </c>
      <c r="X75" s="2" t="s">
        <v>45</v>
      </c>
      <c r="Y75" s="32">
        <v>49.102199747747697</v>
      </c>
      <c r="Z75" s="32">
        <f t="shared" si="3"/>
        <v>10704.279545008998</v>
      </c>
      <c r="AA75" s="16" t="s">
        <v>89</v>
      </c>
      <c r="AB75" t="s">
        <v>47</v>
      </c>
      <c r="AE75" s="1" t="s">
        <v>48</v>
      </c>
      <c r="AF75" s="1" t="s">
        <v>48</v>
      </c>
      <c r="AG75" s="1" t="s">
        <v>48</v>
      </c>
      <c r="AH75" s="1" t="s">
        <v>48</v>
      </c>
      <c r="AI75" s="1" t="s">
        <v>48</v>
      </c>
      <c r="AJ75" s="1" t="s">
        <v>48</v>
      </c>
    </row>
    <row r="76" spans="1:36" ht="25.5" customHeight="1" x14ac:dyDescent="0.25">
      <c r="A76" s="9" t="s">
        <v>37</v>
      </c>
      <c r="B76" s="9" t="s">
        <v>196</v>
      </c>
      <c r="C76" s="9">
        <v>563</v>
      </c>
      <c r="D76" s="10">
        <v>0.67361111111111105</v>
      </c>
      <c r="E76" s="10">
        <v>0.68541666666666701</v>
      </c>
      <c r="F76" s="17" t="s">
        <v>217</v>
      </c>
      <c r="G76" s="9" t="s">
        <v>204</v>
      </c>
      <c r="H76" s="20">
        <v>3.5</v>
      </c>
      <c r="I76" s="12">
        <v>19</v>
      </c>
      <c r="J76" s="18">
        <v>36</v>
      </c>
      <c r="K76" s="11">
        <f t="shared" si="2"/>
        <v>126</v>
      </c>
      <c r="L76" t="s">
        <v>218</v>
      </c>
      <c r="N76" s="13" t="s">
        <v>91</v>
      </c>
      <c r="O76" t="s">
        <v>92</v>
      </c>
      <c r="P76">
        <v>21</v>
      </c>
      <c r="Q76" t="s">
        <v>93</v>
      </c>
      <c r="R76" s="14">
        <v>21</v>
      </c>
      <c r="S76" t="s">
        <v>94</v>
      </c>
      <c r="T76">
        <v>10</v>
      </c>
      <c r="X76" s="2" t="s">
        <v>206</v>
      </c>
      <c r="Y76" s="32">
        <v>12.275549936936899</v>
      </c>
      <c r="Z76" s="32">
        <f t="shared" si="3"/>
        <v>441.91979772972837</v>
      </c>
      <c r="AA76" s="16" t="s">
        <v>207</v>
      </c>
      <c r="AB76" t="s">
        <v>47</v>
      </c>
      <c r="AJ76" s="1" t="s">
        <v>48</v>
      </c>
    </row>
    <row r="77" spans="1:36" ht="76.5" customHeight="1" x14ac:dyDescent="0.25">
      <c r="A77" s="9" t="s">
        <v>37</v>
      </c>
      <c r="B77" s="9" t="s">
        <v>196</v>
      </c>
      <c r="C77" s="9">
        <v>563</v>
      </c>
      <c r="D77" s="10">
        <v>0.67361111111111105</v>
      </c>
      <c r="E77" s="10">
        <v>0.68541666666666701</v>
      </c>
      <c r="F77" s="17" t="s">
        <v>217</v>
      </c>
      <c r="G77" s="9" t="s">
        <v>95</v>
      </c>
      <c r="H77" s="20">
        <v>3.5</v>
      </c>
      <c r="I77" s="12">
        <v>19</v>
      </c>
      <c r="J77" s="18">
        <v>182</v>
      </c>
      <c r="K77" s="11">
        <f t="shared" si="2"/>
        <v>637</v>
      </c>
      <c r="L77" t="s">
        <v>219</v>
      </c>
      <c r="N77" s="13" t="s">
        <v>75</v>
      </c>
      <c r="O77" t="s">
        <v>78</v>
      </c>
      <c r="P77">
        <v>21</v>
      </c>
      <c r="Q77" t="s">
        <v>77</v>
      </c>
      <c r="R77" s="14">
        <v>23</v>
      </c>
      <c r="S77" t="s">
        <v>76</v>
      </c>
      <c r="T77">
        <v>24</v>
      </c>
      <c r="X77" s="2" t="s">
        <v>96</v>
      </c>
      <c r="Y77" s="32">
        <v>9.0588425506472205</v>
      </c>
      <c r="Z77" s="32">
        <f t="shared" si="3"/>
        <v>1648.7093442177941</v>
      </c>
      <c r="AA77" s="16" t="s">
        <v>207</v>
      </c>
      <c r="AB77" t="s">
        <v>47</v>
      </c>
      <c r="AE77" s="1" t="s">
        <v>48</v>
      </c>
      <c r="AF77" s="1" t="s">
        <v>48</v>
      </c>
      <c r="AG77" s="1" t="s">
        <v>48</v>
      </c>
      <c r="AH77" s="1" t="s">
        <v>48</v>
      </c>
      <c r="AI77" s="1" t="s">
        <v>48</v>
      </c>
    </row>
    <row r="78" spans="1:36" ht="51" customHeight="1" x14ac:dyDescent="0.25">
      <c r="A78" s="9" t="s">
        <v>37</v>
      </c>
      <c r="B78" s="9" t="s">
        <v>196</v>
      </c>
      <c r="C78" s="9" t="s">
        <v>220</v>
      </c>
      <c r="D78" s="10">
        <v>0.61597222222222203</v>
      </c>
      <c r="E78" s="10">
        <v>0.72708333333333297</v>
      </c>
      <c r="F78" s="17" t="s">
        <v>221</v>
      </c>
      <c r="G78" s="9" t="s">
        <v>41</v>
      </c>
      <c r="H78" s="20">
        <v>2.4</v>
      </c>
      <c r="I78" s="12">
        <v>19</v>
      </c>
      <c r="J78" s="12">
        <v>218</v>
      </c>
      <c r="K78" s="11">
        <f t="shared" si="2"/>
        <v>523.19999999999993</v>
      </c>
      <c r="L78">
        <v>71</v>
      </c>
      <c r="N78" s="13" t="s">
        <v>91</v>
      </c>
      <c r="O78" t="s">
        <v>92</v>
      </c>
      <c r="P78">
        <v>21</v>
      </c>
      <c r="Q78" t="s">
        <v>93</v>
      </c>
      <c r="R78" s="14">
        <v>21</v>
      </c>
      <c r="S78" t="s">
        <v>94</v>
      </c>
      <c r="T78">
        <v>10</v>
      </c>
      <c r="W78" s="15" t="s">
        <v>62</v>
      </c>
      <c r="X78" s="2" t="s">
        <v>45</v>
      </c>
      <c r="Y78" s="32">
        <v>8.4175199567567507</v>
      </c>
      <c r="Z78" s="32">
        <f t="shared" si="3"/>
        <v>1835.0193505729717</v>
      </c>
      <c r="AA78" s="16" t="s">
        <v>89</v>
      </c>
      <c r="AB78" t="s">
        <v>47</v>
      </c>
      <c r="AE78" s="1" t="s">
        <v>48</v>
      </c>
      <c r="AF78" s="1" t="s">
        <v>48</v>
      </c>
      <c r="AG78" s="1" t="s">
        <v>48</v>
      </c>
      <c r="AH78" s="1" t="s">
        <v>48</v>
      </c>
      <c r="AI78" s="1" t="s">
        <v>48</v>
      </c>
      <c r="AJ78" s="1" t="s">
        <v>48</v>
      </c>
    </row>
    <row r="79" spans="1:36" ht="25.5" customHeight="1" x14ac:dyDescent="0.25">
      <c r="A79" s="9" t="s">
        <v>37</v>
      </c>
      <c r="B79" s="9" t="s">
        <v>196</v>
      </c>
      <c r="C79" s="9">
        <v>563</v>
      </c>
      <c r="D79" s="10">
        <v>0.67847222222222203</v>
      </c>
      <c r="E79" s="10">
        <v>0.68541666666666701</v>
      </c>
      <c r="F79" s="17" t="s">
        <v>222</v>
      </c>
      <c r="G79" s="9" t="s">
        <v>204</v>
      </c>
      <c r="H79" s="20">
        <v>1.2</v>
      </c>
      <c r="I79" s="12">
        <v>19</v>
      </c>
      <c r="J79" s="18">
        <v>36</v>
      </c>
      <c r="K79" s="11">
        <f t="shared" si="2"/>
        <v>43.199999999999996</v>
      </c>
      <c r="L79" t="s">
        <v>223</v>
      </c>
      <c r="N79" s="13" t="s">
        <v>91</v>
      </c>
      <c r="O79" t="s">
        <v>92</v>
      </c>
      <c r="P79">
        <v>21</v>
      </c>
      <c r="Q79" t="s">
        <v>93</v>
      </c>
      <c r="R79" s="14">
        <v>21</v>
      </c>
      <c r="S79" t="s">
        <v>94</v>
      </c>
      <c r="T79">
        <v>10</v>
      </c>
      <c r="W79" s="15"/>
      <c r="X79" s="2" t="s">
        <v>206</v>
      </c>
      <c r="Y79" s="32">
        <v>4.2087599783783798</v>
      </c>
      <c r="Z79" s="32">
        <f t="shared" si="3"/>
        <v>151.51535922162168</v>
      </c>
      <c r="AA79" s="16" t="s">
        <v>207</v>
      </c>
      <c r="AB79" t="s">
        <v>47</v>
      </c>
      <c r="AJ79" s="1" t="s">
        <v>48</v>
      </c>
    </row>
    <row r="80" spans="1:36" ht="76.5" customHeight="1" x14ac:dyDescent="0.25">
      <c r="A80" s="9" t="s">
        <v>37</v>
      </c>
      <c r="B80" s="9" t="s">
        <v>196</v>
      </c>
      <c r="C80" s="9">
        <v>563</v>
      </c>
      <c r="D80" s="10">
        <v>0.67847222222222203</v>
      </c>
      <c r="E80" s="10">
        <v>0.68541666666666701</v>
      </c>
      <c r="F80" s="17" t="s">
        <v>222</v>
      </c>
      <c r="G80" s="9" t="s">
        <v>95</v>
      </c>
      <c r="H80" s="20">
        <v>1.2</v>
      </c>
      <c r="I80" s="12">
        <v>19</v>
      </c>
      <c r="J80" s="18">
        <v>182</v>
      </c>
      <c r="K80" s="11">
        <f t="shared" si="2"/>
        <v>218.4</v>
      </c>
      <c r="L80" t="s">
        <v>224</v>
      </c>
      <c r="N80" s="13" t="s">
        <v>75</v>
      </c>
      <c r="O80" t="s">
        <v>78</v>
      </c>
      <c r="P80">
        <v>21</v>
      </c>
      <c r="Q80" t="s">
        <v>77</v>
      </c>
      <c r="R80" s="14">
        <v>23</v>
      </c>
      <c r="S80" t="s">
        <v>76</v>
      </c>
      <c r="T80">
        <v>24</v>
      </c>
      <c r="W80" s="15"/>
      <c r="X80" s="2" t="s">
        <v>96</v>
      </c>
      <c r="Y80" s="32">
        <v>3.1058888745076199</v>
      </c>
      <c r="Z80" s="32">
        <f t="shared" si="3"/>
        <v>565.27177516038682</v>
      </c>
      <c r="AA80" s="16" t="s">
        <v>207</v>
      </c>
      <c r="AB80" t="s">
        <v>47</v>
      </c>
      <c r="AE80" s="1" t="s">
        <v>48</v>
      </c>
      <c r="AF80" s="1" t="s">
        <v>48</v>
      </c>
      <c r="AG80" s="1" t="s">
        <v>48</v>
      </c>
      <c r="AH80" s="1" t="s">
        <v>48</v>
      </c>
      <c r="AI80" s="1" t="s">
        <v>48</v>
      </c>
    </row>
    <row r="81" spans="1:36" ht="25.5" customHeight="1" x14ac:dyDescent="0.25">
      <c r="A81" s="9" t="s">
        <v>37</v>
      </c>
      <c r="B81" s="9" t="s">
        <v>122</v>
      </c>
      <c r="C81" s="9" t="s">
        <v>164</v>
      </c>
      <c r="D81" s="10">
        <v>0.58194444444444504</v>
      </c>
      <c r="E81" s="10">
        <v>0.593055555555556</v>
      </c>
      <c r="F81" s="9" t="s">
        <v>225</v>
      </c>
      <c r="G81" s="9" t="s">
        <v>58</v>
      </c>
      <c r="H81" s="11">
        <v>5</v>
      </c>
      <c r="I81" s="12">
        <v>19</v>
      </c>
      <c r="J81" s="12">
        <v>198</v>
      </c>
      <c r="K81" s="11">
        <f t="shared" si="2"/>
        <v>990</v>
      </c>
      <c r="L81">
        <v>72</v>
      </c>
      <c r="N81" s="13" t="s">
        <v>192</v>
      </c>
      <c r="O81" t="s">
        <v>193</v>
      </c>
      <c r="P81">
        <v>21</v>
      </c>
      <c r="R81" s="14"/>
      <c r="W81" s="15" t="s">
        <v>62</v>
      </c>
      <c r="X81" s="2" t="s">
        <v>63</v>
      </c>
      <c r="Y81" s="32">
        <v>15.25</v>
      </c>
      <c r="Z81" s="32">
        <f t="shared" si="3"/>
        <v>3019.5</v>
      </c>
      <c r="AA81" s="16" t="s">
        <v>46</v>
      </c>
      <c r="AB81" t="s">
        <v>64</v>
      </c>
      <c r="AE81" s="1" t="s">
        <v>48</v>
      </c>
      <c r="AF81" s="1" t="s">
        <v>48</v>
      </c>
      <c r="AG81" s="1" t="s">
        <v>48</v>
      </c>
      <c r="AH81" s="1" t="s">
        <v>48</v>
      </c>
      <c r="AI81" s="1" t="s">
        <v>48</v>
      </c>
      <c r="AJ81" s="1" t="s">
        <v>48</v>
      </c>
    </row>
    <row r="82" spans="1:36" ht="25.5" customHeight="1" x14ac:dyDescent="0.25">
      <c r="A82" s="9" t="s">
        <v>37</v>
      </c>
      <c r="B82" s="9" t="s">
        <v>122</v>
      </c>
      <c r="C82" s="9" t="s">
        <v>226</v>
      </c>
      <c r="D82" s="10">
        <v>0.59375</v>
      </c>
      <c r="E82" s="10">
        <v>0.60347222222222197</v>
      </c>
      <c r="F82" s="9" t="s">
        <v>227</v>
      </c>
      <c r="G82" s="9" t="s">
        <v>58</v>
      </c>
      <c r="H82" s="11">
        <v>5</v>
      </c>
      <c r="I82" s="12">
        <v>19</v>
      </c>
      <c r="J82" s="12">
        <v>198</v>
      </c>
      <c r="K82" s="11">
        <f t="shared" si="2"/>
        <v>990</v>
      </c>
      <c r="L82">
        <v>73</v>
      </c>
      <c r="N82" s="13" t="s">
        <v>192</v>
      </c>
      <c r="O82" t="s">
        <v>193</v>
      </c>
      <c r="P82">
        <v>21</v>
      </c>
      <c r="R82" s="14"/>
      <c r="W82" s="15" t="s">
        <v>62</v>
      </c>
      <c r="X82" s="2" t="s">
        <v>63</v>
      </c>
      <c r="Y82" s="32">
        <v>15.25</v>
      </c>
      <c r="Z82" s="32">
        <f t="shared" si="3"/>
        <v>3019.5</v>
      </c>
      <c r="AA82" s="16" t="s">
        <v>46</v>
      </c>
      <c r="AB82" t="s">
        <v>64</v>
      </c>
      <c r="AE82" s="1" t="s">
        <v>48</v>
      </c>
      <c r="AF82" s="1" t="s">
        <v>48</v>
      </c>
      <c r="AG82" s="1" t="s">
        <v>48</v>
      </c>
      <c r="AH82" s="1" t="s">
        <v>48</v>
      </c>
      <c r="AI82" s="1" t="s">
        <v>48</v>
      </c>
      <c r="AJ82" s="1" t="s">
        <v>48</v>
      </c>
    </row>
    <row r="83" spans="1:36" ht="76.5" customHeight="1" x14ac:dyDescent="0.25">
      <c r="A83" s="9" t="s">
        <v>37</v>
      </c>
      <c r="B83" s="9" t="s">
        <v>122</v>
      </c>
      <c r="C83" s="9" t="s">
        <v>125</v>
      </c>
      <c r="D83" s="10">
        <v>0.28125</v>
      </c>
      <c r="E83" s="10">
        <v>0.29097222222222202</v>
      </c>
      <c r="F83" s="9" t="s">
        <v>228</v>
      </c>
      <c r="G83" s="9" t="s">
        <v>83</v>
      </c>
      <c r="H83" s="11">
        <v>5</v>
      </c>
      <c r="I83" s="12">
        <v>19</v>
      </c>
      <c r="J83" s="12">
        <v>164</v>
      </c>
      <c r="K83" s="11">
        <f t="shared" si="2"/>
        <v>820</v>
      </c>
      <c r="L83">
        <v>74</v>
      </c>
      <c r="N83" s="13" t="s">
        <v>75</v>
      </c>
      <c r="O83" t="s">
        <v>76</v>
      </c>
      <c r="P83">
        <v>24</v>
      </c>
      <c r="Q83" t="s">
        <v>77</v>
      </c>
      <c r="R83" s="14">
        <v>23</v>
      </c>
      <c r="S83" t="s">
        <v>78</v>
      </c>
      <c r="T83">
        <v>21</v>
      </c>
      <c r="W83" s="15" t="s">
        <v>62</v>
      </c>
      <c r="X83" s="2" t="s">
        <v>84</v>
      </c>
      <c r="Y83" s="32">
        <v>12.941203643781799</v>
      </c>
      <c r="Z83" s="32">
        <f t="shared" si="3"/>
        <v>2122.3573975802151</v>
      </c>
      <c r="AA83" s="16" t="s">
        <v>46</v>
      </c>
      <c r="AB83" t="s">
        <v>64</v>
      </c>
      <c r="AE83" s="1" t="s">
        <v>48</v>
      </c>
      <c r="AF83" s="1" t="s">
        <v>48</v>
      </c>
      <c r="AG83" s="1" t="s">
        <v>48</v>
      </c>
      <c r="AH83" s="1" t="s">
        <v>48</v>
      </c>
      <c r="AI83" s="1" t="s">
        <v>48</v>
      </c>
    </row>
    <row r="84" spans="1:36" ht="51" customHeight="1" x14ac:dyDescent="0.25">
      <c r="A84" s="9" t="s">
        <v>229</v>
      </c>
      <c r="B84" s="9" t="s">
        <v>230</v>
      </c>
      <c r="C84" s="9" t="s">
        <v>231</v>
      </c>
      <c r="D84" s="10">
        <v>0.29861111111111099</v>
      </c>
      <c r="E84" s="10">
        <v>0.311805555555556</v>
      </c>
      <c r="F84" s="9" t="s">
        <v>232</v>
      </c>
      <c r="G84" s="9" t="s">
        <v>74</v>
      </c>
      <c r="H84" s="11">
        <v>13.9</v>
      </c>
      <c r="I84" s="12">
        <v>23</v>
      </c>
      <c r="J84" s="12">
        <v>20</v>
      </c>
      <c r="K84" s="11">
        <f t="shared" si="2"/>
        <v>278</v>
      </c>
      <c r="L84">
        <v>1</v>
      </c>
      <c r="N84" s="21" t="s">
        <v>233</v>
      </c>
      <c r="O84" t="s">
        <v>234</v>
      </c>
      <c r="P84">
        <v>29</v>
      </c>
      <c r="Q84" s="22" t="s">
        <v>235</v>
      </c>
      <c r="R84" s="22">
        <v>45</v>
      </c>
      <c r="X84" s="2" t="s">
        <v>171</v>
      </c>
      <c r="Y84" s="32">
        <v>62.02</v>
      </c>
      <c r="Z84" s="32">
        <f t="shared" si="3"/>
        <v>1240.4000000000001</v>
      </c>
      <c r="AA84" s="16" t="s">
        <v>46</v>
      </c>
      <c r="AB84" t="s">
        <v>80</v>
      </c>
      <c r="AE84" s="1" t="s">
        <v>48</v>
      </c>
      <c r="AF84" s="1" t="s">
        <v>48</v>
      </c>
      <c r="AG84" s="1" t="s">
        <v>48</v>
      </c>
      <c r="AH84" s="1" t="s">
        <v>48</v>
      </c>
      <c r="AI84" s="1" t="s">
        <v>48</v>
      </c>
    </row>
    <row r="85" spans="1:36" ht="51" customHeight="1" x14ac:dyDescent="0.25">
      <c r="A85" s="9" t="s">
        <v>229</v>
      </c>
      <c r="B85" s="9" t="s">
        <v>230</v>
      </c>
      <c r="C85" s="9" t="s">
        <v>231</v>
      </c>
      <c r="D85" s="10">
        <v>0.29861111111111099</v>
      </c>
      <c r="E85" s="10">
        <v>0.31805555555555598</v>
      </c>
      <c r="F85" s="9" t="s">
        <v>236</v>
      </c>
      <c r="G85" s="9" t="s">
        <v>58</v>
      </c>
      <c r="H85" s="11">
        <v>14.4</v>
      </c>
      <c r="I85" s="12">
        <v>44</v>
      </c>
      <c r="J85" s="12">
        <v>198</v>
      </c>
      <c r="K85" s="11">
        <f t="shared" si="2"/>
        <v>2851.2000000000003</v>
      </c>
      <c r="L85">
        <v>2</v>
      </c>
      <c r="N85" s="21" t="s">
        <v>233</v>
      </c>
      <c r="O85" s="22" t="s">
        <v>235</v>
      </c>
      <c r="P85" s="22">
        <v>45</v>
      </c>
      <c r="Q85" t="s">
        <v>234</v>
      </c>
      <c r="R85">
        <v>29</v>
      </c>
      <c r="X85" s="2" t="s">
        <v>63</v>
      </c>
      <c r="Y85" s="32">
        <v>63.12</v>
      </c>
      <c r="Z85" s="32">
        <f t="shared" si="3"/>
        <v>12497.76</v>
      </c>
      <c r="AA85" s="16" t="s">
        <v>46</v>
      </c>
      <c r="AB85" t="s">
        <v>64</v>
      </c>
      <c r="AE85" s="1" t="s">
        <v>48</v>
      </c>
      <c r="AF85" s="1" t="s">
        <v>48</v>
      </c>
      <c r="AG85" s="1" t="s">
        <v>48</v>
      </c>
      <c r="AH85" s="1" t="s">
        <v>48</v>
      </c>
      <c r="AI85" s="1" t="s">
        <v>48</v>
      </c>
      <c r="AJ85" s="1" t="s">
        <v>48</v>
      </c>
    </row>
    <row r="86" spans="1:36" ht="51" customHeight="1" x14ac:dyDescent="0.25">
      <c r="A86" s="9" t="s">
        <v>229</v>
      </c>
      <c r="B86" s="9" t="s">
        <v>230</v>
      </c>
      <c r="C86" s="9" t="s">
        <v>231</v>
      </c>
      <c r="D86" s="10">
        <v>0.29861111111111099</v>
      </c>
      <c r="E86" s="10">
        <v>0.311805555555556</v>
      </c>
      <c r="F86" s="9" t="s">
        <v>232</v>
      </c>
      <c r="G86" s="9" t="s">
        <v>49</v>
      </c>
      <c r="H86" s="11">
        <v>13.9</v>
      </c>
      <c r="I86" s="12">
        <v>23</v>
      </c>
      <c r="J86" s="12">
        <v>8</v>
      </c>
      <c r="K86" s="11">
        <f t="shared" si="2"/>
        <v>111.2</v>
      </c>
      <c r="L86">
        <v>3</v>
      </c>
      <c r="N86" s="21" t="s">
        <v>233</v>
      </c>
      <c r="O86" t="s">
        <v>234</v>
      </c>
      <c r="P86">
        <v>29</v>
      </c>
      <c r="Q86" s="22" t="s">
        <v>235</v>
      </c>
      <c r="R86" s="22">
        <v>45</v>
      </c>
      <c r="X86" s="2" t="s">
        <v>50</v>
      </c>
      <c r="Y86" s="32">
        <v>62.02</v>
      </c>
      <c r="Z86" s="32">
        <f t="shared" si="3"/>
        <v>496.16</v>
      </c>
      <c r="AA86" s="16" t="s">
        <v>46</v>
      </c>
      <c r="AB86" t="s">
        <v>51</v>
      </c>
      <c r="AE86" s="1" t="s">
        <v>48</v>
      </c>
      <c r="AF86" s="1" t="s">
        <v>48</v>
      </c>
      <c r="AG86" s="1" t="s">
        <v>48</v>
      </c>
      <c r="AH86" s="1" t="s">
        <v>48</v>
      </c>
      <c r="AI86" s="1" t="s">
        <v>48</v>
      </c>
      <c r="AJ86" s="1" t="s">
        <v>48</v>
      </c>
    </row>
    <row r="87" spans="1:36" ht="51" customHeight="1" x14ac:dyDescent="0.25">
      <c r="A87" s="9" t="s">
        <v>229</v>
      </c>
      <c r="B87" s="9" t="s">
        <v>230</v>
      </c>
      <c r="C87" s="9" t="s">
        <v>237</v>
      </c>
      <c r="D87" s="10">
        <v>0.54513888888888895</v>
      </c>
      <c r="E87" s="10">
        <v>0.55833333333333302</v>
      </c>
      <c r="F87" s="9" t="s">
        <v>232</v>
      </c>
      <c r="G87" s="9" t="s">
        <v>114</v>
      </c>
      <c r="H87" s="11">
        <v>13.9</v>
      </c>
      <c r="I87" s="12">
        <v>23</v>
      </c>
      <c r="J87" s="12">
        <v>226</v>
      </c>
      <c r="K87" s="11">
        <f t="shared" si="2"/>
        <v>3141.4</v>
      </c>
      <c r="L87">
        <v>4</v>
      </c>
      <c r="N87" s="21" t="s">
        <v>233</v>
      </c>
      <c r="O87" t="s">
        <v>234</v>
      </c>
      <c r="P87">
        <v>29</v>
      </c>
      <c r="Q87" s="22" t="s">
        <v>235</v>
      </c>
      <c r="R87" s="22">
        <v>45</v>
      </c>
      <c r="S87" t="s">
        <v>238</v>
      </c>
      <c r="T87">
        <v>24</v>
      </c>
      <c r="X87" s="2" t="s">
        <v>115</v>
      </c>
      <c r="Y87" s="32">
        <v>31.07</v>
      </c>
      <c r="Z87" s="32">
        <f t="shared" si="3"/>
        <v>7021.82</v>
      </c>
      <c r="AA87" s="16" t="s">
        <v>46</v>
      </c>
      <c r="AB87" t="s">
        <v>116</v>
      </c>
      <c r="AE87" s="1" t="s">
        <v>48</v>
      </c>
      <c r="AF87" s="1" t="s">
        <v>48</v>
      </c>
      <c r="AG87" s="1" t="s">
        <v>48</v>
      </c>
      <c r="AH87" s="1" t="s">
        <v>48</v>
      </c>
      <c r="AI87" s="1" t="s">
        <v>48</v>
      </c>
      <c r="AJ87" s="1" t="s">
        <v>48</v>
      </c>
    </row>
    <row r="88" spans="1:36" ht="51" customHeight="1" x14ac:dyDescent="0.25">
      <c r="A88" s="9" t="s">
        <v>229</v>
      </c>
      <c r="B88" s="9" t="s">
        <v>230</v>
      </c>
      <c r="C88" s="9" t="s">
        <v>239</v>
      </c>
      <c r="D88" s="10">
        <v>0.57638888888888895</v>
      </c>
      <c r="E88" s="10">
        <v>0.58958333333333302</v>
      </c>
      <c r="F88" s="9" t="s">
        <v>232</v>
      </c>
      <c r="G88" s="9" t="s">
        <v>58</v>
      </c>
      <c r="H88" s="11">
        <v>13.9</v>
      </c>
      <c r="I88" s="12">
        <v>23</v>
      </c>
      <c r="J88" s="12">
        <v>198</v>
      </c>
      <c r="K88" s="11">
        <f t="shared" si="2"/>
        <v>2752.2000000000003</v>
      </c>
      <c r="L88">
        <v>5</v>
      </c>
      <c r="N88" s="21" t="s">
        <v>233</v>
      </c>
      <c r="O88" t="s">
        <v>238</v>
      </c>
      <c r="P88">
        <v>24</v>
      </c>
      <c r="Q88" s="22" t="s">
        <v>235</v>
      </c>
      <c r="R88" s="22">
        <v>45</v>
      </c>
      <c r="S88" t="s">
        <v>234</v>
      </c>
      <c r="T88">
        <v>29</v>
      </c>
      <c r="X88" s="2" t="s">
        <v>63</v>
      </c>
      <c r="Y88" s="32">
        <v>31.07</v>
      </c>
      <c r="Z88" s="32">
        <f t="shared" si="3"/>
        <v>6151.86</v>
      </c>
      <c r="AA88" s="16" t="s">
        <v>46</v>
      </c>
      <c r="AB88" t="s">
        <v>64</v>
      </c>
      <c r="AE88" s="1" t="s">
        <v>48</v>
      </c>
      <c r="AF88" s="1" t="s">
        <v>48</v>
      </c>
      <c r="AG88" s="1" t="s">
        <v>48</v>
      </c>
      <c r="AH88" s="1" t="s">
        <v>48</v>
      </c>
      <c r="AI88" s="1" t="s">
        <v>48</v>
      </c>
      <c r="AJ88" s="1" t="s">
        <v>48</v>
      </c>
    </row>
    <row r="89" spans="1:36" ht="51" customHeight="1" x14ac:dyDescent="0.25">
      <c r="A89" s="9" t="s">
        <v>229</v>
      </c>
      <c r="B89" s="9" t="s">
        <v>230</v>
      </c>
      <c r="C89" s="9" t="s">
        <v>240</v>
      </c>
      <c r="D89" s="10">
        <v>0.52569444444444502</v>
      </c>
      <c r="E89" s="10">
        <v>0.54305555555555596</v>
      </c>
      <c r="F89" s="9" t="s">
        <v>241</v>
      </c>
      <c r="G89" s="9" t="s">
        <v>114</v>
      </c>
      <c r="H89" s="11">
        <v>13.9</v>
      </c>
      <c r="I89" s="12">
        <v>23</v>
      </c>
      <c r="J89" s="12">
        <v>226</v>
      </c>
      <c r="K89" s="11">
        <f t="shared" si="2"/>
        <v>3141.4</v>
      </c>
      <c r="L89">
        <v>6</v>
      </c>
      <c r="N89" s="21" t="s">
        <v>233</v>
      </c>
      <c r="O89" t="s">
        <v>238</v>
      </c>
      <c r="P89">
        <v>24</v>
      </c>
      <c r="Q89" s="22" t="s">
        <v>235</v>
      </c>
      <c r="R89" s="22">
        <v>45</v>
      </c>
      <c r="S89" t="s">
        <v>234</v>
      </c>
      <c r="T89">
        <v>29</v>
      </c>
      <c r="X89" s="2" t="s">
        <v>115</v>
      </c>
      <c r="Y89" s="32">
        <v>31.07</v>
      </c>
      <c r="Z89" s="32">
        <f t="shared" si="3"/>
        <v>7021.82</v>
      </c>
      <c r="AA89" s="16" t="s">
        <v>46</v>
      </c>
      <c r="AB89" t="s">
        <v>116</v>
      </c>
      <c r="AE89" s="1" t="s">
        <v>48</v>
      </c>
      <c r="AF89" s="1" t="s">
        <v>48</v>
      </c>
      <c r="AG89" s="1" t="s">
        <v>48</v>
      </c>
      <c r="AH89" s="1" t="s">
        <v>48</v>
      </c>
      <c r="AI89" s="1" t="s">
        <v>48</v>
      </c>
      <c r="AJ89" s="1" t="s">
        <v>48</v>
      </c>
    </row>
    <row r="90" spans="1:36" ht="51" customHeight="1" x14ac:dyDescent="0.25">
      <c r="A90" s="9" t="s">
        <v>229</v>
      </c>
      <c r="B90" s="9" t="s">
        <v>230</v>
      </c>
      <c r="C90" s="9" t="s">
        <v>242</v>
      </c>
      <c r="D90" s="10">
        <v>0.55833333333333302</v>
      </c>
      <c r="E90" s="10">
        <v>0.57638888888888895</v>
      </c>
      <c r="F90" s="9" t="s">
        <v>241</v>
      </c>
      <c r="G90" s="9" t="s">
        <v>58</v>
      </c>
      <c r="H90" s="11">
        <v>12</v>
      </c>
      <c r="I90" s="12">
        <v>23</v>
      </c>
      <c r="J90" s="12">
        <v>198</v>
      </c>
      <c r="K90" s="11">
        <f t="shared" si="2"/>
        <v>2376</v>
      </c>
      <c r="L90">
        <v>7</v>
      </c>
      <c r="N90" s="21" t="s">
        <v>233</v>
      </c>
      <c r="O90" t="s">
        <v>238</v>
      </c>
      <c r="P90">
        <v>24</v>
      </c>
      <c r="Q90" s="22" t="s">
        <v>235</v>
      </c>
      <c r="R90" s="22">
        <v>45</v>
      </c>
      <c r="S90" t="s">
        <v>234</v>
      </c>
      <c r="T90">
        <v>29</v>
      </c>
      <c r="X90" s="2" t="s">
        <v>63</v>
      </c>
      <c r="Y90" s="32">
        <v>26.83</v>
      </c>
      <c r="Z90" s="32">
        <f t="shared" si="3"/>
        <v>5312.3399999999992</v>
      </c>
      <c r="AA90" s="16" t="s">
        <v>46</v>
      </c>
      <c r="AB90" t="s">
        <v>64</v>
      </c>
      <c r="AE90" s="1" t="s">
        <v>48</v>
      </c>
      <c r="AF90" s="1" t="s">
        <v>48</v>
      </c>
      <c r="AG90" s="1" t="s">
        <v>48</v>
      </c>
      <c r="AH90" s="1" t="s">
        <v>48</v>
      </c>
      <c r="AI90" s="1" t="s">
        <v>48</v>
      </c>
      <c r="AJ90" s="1" t="s">
        <v>48</v>
      </c>
    </row>
    <row r="91" spans="1:36" ht="51" customHeight="1" x14ac:dyDescent="0.25">
      <c r="A91" s="9" t="s">
        <v>229</v>
      </c>
      <c r="B91" s="9" t="s">
        <v>230</v>
      </c>
      <c r="C91" s="9" t="s">
        <v>243</v>
      </c>
      <c r="D91" s="10">
        <v>0.59375</v>
      </c>
      <c r="E91" s="10">
        <v>0.60763888888888895</v>
      </c>
      <c r="F91" s="9" t="s">
        <v>244</v>
      </c>
      <c r="G91" s="9" t="s">
        <v>83</v>
      </c>
      <c r="H91" s="11">
        <v>12</v>
      </c>
      <c r="I91" s="12">
        <v>23</v>
      </c>
      <c r="J91" s="12">
        <v>164</v>
      </c>
      <c r="K91" s="11">
        <f t="shared" si="2"/>
        <v>1968</v>
      </c>
      <c r="L91">
        <v>8</v>
      </c>
      <c r="N91" s="21" t="s">
        <v>233</v>
      </c>
      <c r="O91" t="s">
        <v>238</v>
      </c>
      <c r="P91">
        <v>24</v>
      </c>
      <c r="Q91" s="22" t="s">
        <v>235</v>
      </c>
      <c r="R91" s="22">
        <v>45</v>
      </c>
      <c r="S91" t="s">
        <v>234</v>
      </c>
      <c r="T91">
        <v>29</v>
      </c>
      <c r="X91" s="2" t="s">
        <v>84</v>
      </c>
      <c r="Y91" s="32">
        <v>26.83</v>
      </c>
      <c r="Z91" s="32">
        <f t="shared" si="3"/>
        <v>4400.12</v>
      </c>
      <c r="AA91" s="16" t="s">
        <v>46</v>
      </c>
      <c r="AB91" t="s">
        <v>64</v>
      </c>
      <c r="AE91" s="1" t="s">
        <v>48</v>
      </c>
      <c r="AF91" s="1" t="s">
        <v>48</v>
      </c>
      <c r="AG91" s="1" t="s">
        <v>48</v>
      </c>
      <c r="AH91" s="1" t="s">
        <v>48</v>
      </c>
      <c r="AI91" s="1" t="s">
        <v>48</v>
      </c>
    </row>
    <row r="92" spans="1:36" ht="51" customHeight="1" x14ac:dyDescent="0.25">
      <c r="A92" s="9" t="s">
        <v>229</v>
      </c>
      <c r="B92" s="9" t="s">
        <v>230</v>
      </c>
      <c r="C92" s="9" t="s">
        <v>211</v>
      </c>
      <c r="D92" s="10">
        <v>0.75694444444444398</v>
      </c>
      <c r="E92" s="10">
        <v>0.77777777777777801</v>
      </c>
      <c r="F92" s="9" t="s">
        <v>241</v>
      </c>
      <c r="G92" s="9" t="s">
        <v>114</v>
      </c>
      <c r="H92" s="11">
        <v>13.9</v>
      </c>
      <c r="I92" s="12">
        <v>23</v>
      </c>
      <c r="J92" s="12">
        <v>226</v>
      </c>
      <c r="K92" s="11">
        <f t="shared" si="2"/>
        <v>3141.4</v>
      </c>
      <c r="L92">
        <v>9</v>
      </c>
      <c r="N92" s="21" t="s">
        <v>233</v>
      </c>
      <c r="O92" t="s">
        <v>238</v>
      </c>
      <c r="P92">
        <v>24</v>
      </c>
      <c r="Q92" s="22" t="s">
        <v>235</v>
      </c>
      <c r="R92" s="22">
        <v>45</v>
      </c>
      <c r="S92" t="s">
        <v>234</v>
      </c>
      <c r="T92">
        <v>29</v>
      </c>
      <c r="X92" s="2" t="s">
        <v>115</v>
      </c>
      <c r="Y92" s="32">
        <v>62.02</v>
      </c>
      <c r="Z92" s="32">
        <f t="shared" si="3"/>
        <v>14016.52</v>
      </c>
      <c r="AA92" s="16" t="s">
        <v>46</v>
      </c>
      <c r="AB92" t="s">
        <v>116</v>
      </c>
      <c r="AE92" s="1" t="s">
        <v>48</v>
      </c>
      <c r="AF92" s="1" t="s">
        <v>48</v>
      </c>
      <c r="AG92" s="1" t="s">
        <v>48</v>
      </c>
      <c r="AH92" s="1" t="s">
        <v>48</v>
      </c>
      <c r="AI92" s="1" t="s">
        <v>48</v>
      </c>
      <c r="AJ92" s="1" t="s">
        <v>48</v>
      </c>
    </row>
    <row r="93" spans="1:36" ht="25.5" customHeight="1" x14ac:dyDescent="0.25">
      <c r="A93" s="9" t="s">
        <v>229</v>
      </c>
      <c r="B93" s="9" t="s">
        <v>245</v>
      </c>
      <c r="C93" s="9" t="s">
        <v>246</v>
      </c>
      <c r="D93" s="10">
        <v>0.32638888888888901</v>
      </c>
      <c r="E93" s="10">
        <v>0.33402777777777798</v>
      </c>
      <c r="F93" s="9" t="s">
        <v>247</v>
      </c>
      <c r="G93" s="9" t="s">
        <v>83</v>
      </c>
      <c r="H93" s="11">
        <v>6</v>
      </c>
      <c r="I93" s="12">
        <v>23</v>
      </c>
      <c r="J93" s="12">
        <v>164</v>
      </c>
      <c r="K93" s="11">
        <f t="shared" si="2"/>
        <v>984</v>
      </c>
      <c r="L93">
        <v>10</v>
      </c>
      <c r="N93" s="21" t="s">
        <v>248</v>
      </c>
      <c r="O93" t="s">
        <v>249</v>
      </c>
      <c r="P93">
        <v>56</v>
      </c>
      <c r="Q93" t="s">
        <v>250</v>
      </c>
      <c r="R93">
        <v>53</v>
      </c>
      <c r="S93" t="s">
        <v>251</v>
      </c>
      <c r="T93">
        <v>56</v>
      </c>
      <c r="X93" s="2" t="s">
        <v>84</v>
      </c>
      <c r="Y93" s="32">
        <v>152.4</v>
      </c>
      <c r="Z93" s="32">
        <f t="shared" si="3"/>
        <v>24993.600000000002</v>
      </c>
      <c r="AA93" s="16" t="s">
        <v>46</v>
      </c>
      <c r="AB93" t="s">
        <v>64</v>
      </c>
      <c r="AE93" s="1" t="s">
        <v>48</v>
      </c>
      <c r="AF93" s="1" t="s">
        <v>48</v>
      </c>
      <c r="AG93" s="1" t="s">
        <v>48</v>
      </c>
      <c r="AH93" s="1" t="s">
        <v>48</v>
      </c>
      <c r="AI93" s="1" t="s">
        <v>48</v>
      </c>
    </row>
    <row r="94" spans="1:36" ht="51" customHeight="1" x14ac:dyDescent="0.25">
      <c r="A94" s="9" t="s">
        <v>229</v>
      </c>
      <c r="B94" s="9" t="s">
        <v>252</v>
      </c>
      <c r="C94" s="9" t="s">
        <v>253</v>
      </c>
      <c r="D94" s="10">
        <v>0.313194444444444</v>
      </c>
      <c r="E94" s="10">
        <v>0.32013888888888897</v>
      </c>
      <c r="F94" s="9" t="s">
        <v>254</v>
      </c>
      <c r="G94" s="9" t="s">
        <v>83</v>
      </c>
      <c r="H94" s="11">
        <v>4</v>
      </c>
      <c r="I94" s="12">
        <v>50</v>
      </c>
      <c r="J94" s="12">
        <v>164</v>
      </c>
      <c r="K94" s="11">
        <f t="shared" si="2"/>
        <v>656</v>
      </c>
      <c r="L94">
        <v>11</v>
      </c>
      <c r="N94" s="21" t="s">
        <v>233</v>
      </c>
      <c r="O94" t="s">
        <v>255</v>
      </c>
      <c r="P94">
        <v>55</v>
      </c>
      <c r="Q94" t="s">
        <v>256</v>
      </c>
      <c r="R94">
        <v>56</v>
      </c>
      <c r="S94" t="s">
        <v>257</v>
      </c>
      <c r="T94">
        <v>54</v>
      </c>
      <c r="X94" s="2" t="s">
        <v>84</v>
      </c>
      <c r="Y94" s="32">
        <v>18.29</v>
      </c>
      <c r="Z94" s="32">
        <f t="shared" si="3"/>
        <v>2999.56</v>
      </c>
      <c r="AA94" s="16" t="s">
        <v>46</v>
      </c>
      <c r="AB94" t="s">
        <v>64</v>
      </c>
      <c r="AE94" s="1" t="s">
        <v>48</v>
      </c>
      <c r="AF94" s="1" t="s">
        <v>48</v>
      </c>
      <c r="AG94" s="1" t="s">
        <v>48</v>
      </c>
      <c r="AH94" s="1" t="s">
        <v>48</v>
      </c>
      <c r="AI94" s="1" t="s">
        <v>48</v>
      </c>
    </row>
    <row r="95" spans="1:36" ht="38.25" customHeight="1" x14ac:dyDescent="0.25">
      <c r="A95" s="9" t="s">
        <v>258</v>
      </c>
      <c r="B95" s="9" t="s">
        <v>259</v>
      </c>
      <c r="C95" s="9" t="s">
        <v>260</v>
      </c>
      <c r="D95" s="10">
        <v>0.27222222222222198</v>
      </c>
      <c r="E95" s="10">
        <v>0.27430555555555602</v>
      </c>
      <c r="F95" t="s">
        <v>261</v>
      </c>
      <c r="G95" s="9" t="s">
        <v>262</v>
      </c>
      <c r="H95" s="11">
        <v>1.1299999999999999</v>
      </c>
      <c r="I95" s="12">
        <v>19</v>
      </c>
      <c r="J95" s="12">
        <v>25</v>
      </c>
      <c r="K95" s="11">
        <f t="shared" si="2"/>
        <v>28.249999999999996</v>
      </c>
      <c r="L95">
        <v>1</v>
      </c>
      <c r="N95" s="21" t="s">
        <v>263</v>
      </c>
      <c r="O95" t="s">
        <v>264</v>
      </c>
      <c r="P95">
        <v>23</v>
      </c>
      <c r="Q95" t="s">
        <v>265</v>
      </c>
      <c r="R95">
        <v>21</v>
      </c>
      <c r="W95" s="15" t="s">
        <v>62</v>
      </c>
      <c r="X95" s="2" t="s">
        <v>68</v>
      </c>
      <c r="Y95" s="32">
        <v>2.9161231999999999</v>
      </c>
      <c r="Z95" s="32">
        <f t="shared" si="3"/>
        <v>72.903080000000003</v>
      </c>
      <c r="AA95" s="16" t="s">
        <v>266</v>
      </c>
      <c r="AB95" t="s">
        <v>51</v>
      </c>
      <c r="AC95" t="s">
        <v>69</v>
      </c>
      <c r="AE95" s="1" t="s">
        <v>48</v>
      </c>
      <c r="AF95" s="1" t="s">
        <v>48</v>
      </c>
      <c r="AG95" s="1" t="s">
        <v>48</v>
      </c>
      <c r="AH95" s="1" t="s">
        <v>48</v>
      </c>
      <c r="AI95" s="1" t="s">
        <v>48</v>
      </c>
    </row>
    <row r="96" spans="1:36" ht="38.25" customHeight="1" x14ac:dyDescent="0.25">
      <c r="A96" s="9" t="s">
        <v>258</v>
      </c>
      <c r="B96" s="9" t="s">
        <v>267</v>
      </c>
      <c r="C96" s="9" t="s">
        <v>268</v>
      </c>
      <c r="D96" s="10">
        <v>0.27430555555555602</v>
      </c>
      <c r="E96" s="10">
        <v>0.28958333333333303</v>
      </c>
      <c r="F96" t="s">
        <v>269</v>
      </c>
      <c r="G96" s="9" t="s">
        <v>262</v>
      </c>
      <c r="H96" s="11">
        <v>9.01</v>
      </c>
      <c r="I96" s="12">
        <v>19</v>
      </c>
      <c r="J96" s="12">
        <v>25</v>
      </c>
      <c r="K96" s="11">
        <f t="shared" si="2"/>
        <v>225.25</v>
      </c>
      <c r="L96">
        <v>2</v>
      </c>
      <c r="N96" s="21" t="s">
        <v>263</v>
      </c>
      <c r="O96" t="s">
        <v>264</v>
      </c>
      <c r="P96">
        <v>23</v>
      </c>
      <c r="Q96" t="s">
        <v>265</v>
      </c>
      <c r="R96">
        <v>21</v>
      </c>
      <c r="W96" s="15" t="s">
        <v>62</v>
      </c>
      <c r="X96" s="2" t="s">
        <v>68</v>
      </c>
      <c r="Y96" s="32">
        <v>23.251566400000002</v>
      </c>
      <c r="Z96" s="32">
        <f t="shared" si="3"/>
        <v>581.28916000000004</v>
      </c>
      <c r="AA96" s="16" t="s">
        <v>266</v>
      </c>
      <c r="AB96" t="s">
        <v>51</v>
      </c>
      <c r="AC96" t="s">
        <v>69</v>
      </c>
      <c r="AE96" s="1" t="s">
        <v>48</v>
      </c>
      <c r="AF96" s="1" t="s">
        <v>48</v>
      </c>
      <c r="AG96" s="1" t="s">
        <v>48</v>
      </c>
      <c r="AH96" s="1" t="s">
        <v>48</v>
      </c>
      <c r="AI96" s="1" t="s">
        <v>48</v>
      </c>
    </row>
    <row r="97" spans="1:35" ht="38.25" customHeight="1" x14ac:dyDescent="0.25">
      <c r="A97" s="9" t="s">
        <v>258</v>
      </c>
      <c r="B97" s="9" t="s">
        <v>270</v>
      </c>
      <c r="C97" s="9" t="s">
        <v>271</v>
      </c>
      <c r="D97" s="10">
        <v>0.31805555555555598</v>
      </c>
      <c r="E97" s="10">
        <v>0.33055555555555599</v>
      </c>
      <c r="F97" t="s">
        <v>272</v>
      </c>
      <c r="G97" s="9" t="s">
        <v>262</v>
      </c>
      <c r="H97" s="11">
        <v>7.67</v>
      </c>
      <c r="I97" s="12">
        <v>19</v>
      </c>
      <c r="J97" s="12">
        <v>25</v>
      </c>
      <c r="K97" s="11">
        <f t="shared" si="2"/>
        <v>191.75</v>
      </c>
      <c r="L97">
        <v>3</v>
      </c>
      <c r="N97" s="21" t="s">
        <v>263</v>
      </c>
      <c r="O97" t="s">
        <v>264</v>
      </c>
      <c r="P97">
        <v>23</v>
      </c>
      <c r="Q97" t="s">
        <v>265</v>
      </c>
      <c r="R97">
        <v>21</v>
      </c>
      <c r="W97" s="15" t="s">
        <v>62</v>
      </c>
      <c r="X97" s="2" t="s">
        <v>68</v>
      </c>
      <c r="Y97" s="32">
        <v>19.793508800000001</v>
      </c>
      <c r="Z97" s="32">
        <f t="shared" si="3"/>
        <v>494.83772000000005</v>
      </c>
      <c r="AA97" s="16" t="s">
        <v>266</v>
      </c>
      <c r="AB97" t="s">
        <v>51</v>
      </c>
      <c r="AC97" t="s">
        <v>69</v>
      </c>
      <c r="AE97" s="1" t="s">
        <v>48</v>
      </c>
      <c r="AF97" s="1" t="s">
        <v>48</v>
      </c>
      <c r="AG97" s="1" t="s">
        <v>48</v>
      </c>
      <c r="AH97" s="1" t="s">
        <v>48</v>
      </c>
      <c r="AI97" s="1" t="s">
        <v>48</v>
      </c>
    </row>
    <row r="98" spans="1:35" ht="38.25" customHeight="1" x14ac:dyDescent="0.25">
      <c r="A98" s="9" t="s">
        <v>258</v>
      </c>
      <c r="B98" s="9" t="s">
        <v>273</v>
      </c>
      <c r="C98" s="9" t="s">
        <v>274</v>
      </c>
      <c r="D98" s="10">
        <v>0.33541666666666697</v>
      </c>
      <c r="E98" s="10">
        <v>0.35069444444444398</v>
      </c>
      <c r="F98" t="s">
        <v>269</v>
      </c>
      <c r="G98" s="9" t="s">
        <v>262</v>
      </c>
      <c r="H98" s="11">
        <v>9.01</v>
      </c>
      <c r="I98" s="12">
        <v>19</v>
      </c>
      <c r="J98" s="12">
        <v>25</v>
      </c>
      <c r="K98" s="11">
        <f t="shared" si="2"/>
        <v>225.25</v>
      </c>
      <c r="L98">
        <v>4</v>
      </c>
      <c r="N98" s="21" t="s">
        <v>263</v>
      </c>
      <c r="O98" t="s">
        <v>264</v>
      </c>
      <c r="P98">
        <v>23</v>
      </c>
      <c r="Q98" t="s">
        <v>265</v>
      </c>
      <c r="R98">
        <v>21</v>
      </c>
      <c r="W98" s="15" t="s">
        <v>62</v>
      </c>
      <c r="X98" s="2" t="s">
        <v>68</v>
      </c>
      <c r="Y98" s="32">
        <v>23.251566400000002</v>
      </c>
      <c r="Z98" s="32">
        <f t="shared" si="3"/>
        <v>581.28916000000004</v>
      </c>
      <c r="AA98" s="16" t="s">
        <v>266</v>
      </c>
      <c r="AB98" t="s">
        <v>51</v>
      </c>
      <c r="AC98" t="s">
        <v>69</v>
      </c>
      <c r="AE98" s="1" t="s">
        <v>48</v>
      </c>
      <c r="AF98" s="1" t="s">
        <v>48</v>
      </c>
      <c r="AG98" s="1" t="s">
        <v>48</v>
      </c>
      <c r="AH98" s="1" t="s">
        <v>48</v>
      </c>
      <c r="AI98" s="1" t="s">
        <v>48</v>
      </c>
    </row>
    <row r="99" spans="1:35" ht="38.25" customHeight="1" x14ac:dyDescent="0.25">
      <c r="A99" s="9" t="s">
        <v>258</v>
      </c>
      <c r="B99" s="9" t="s">
        <v>275</v>
      </c>
      <c r="C99" s="9" t="s">
        <v>276</v>
      </c>
      <c r="D99" s="10">
        <v>0.359722222222222</v>
      </c>
      <c r="E99" s="10">
        <v>0.37222222222222201</v>
      </c>
      <c r="F99" t="s">
        <v>272</v>
      </c>
      <c r="G99" s="9" t="s">
        <v>262</v>
      </c>
      <c r="H99" s="11">
        <v>7.67</v>
      </c>
      <c r="I99" s="12">
        <v>19</v>
      </c>
      <c r="J99" s="12">
        <v>25</v>
      </c>
      <c r="K99" s="11">
        <f t="shared" si="2"/>
        <v>191.75</v>
      </c>
      <c r="L99">
        <v>5</v>
      </c>
      <c r="N99" s="21" t="s">
        <v>263</v>
      </c>
      <c r="O99" t="s">
        <v>264</v>
      </c>
      <c r="P99">
        <v>23</v>
      </c>
      <c r="Q99" t="s">
        <v>265</v>
      </c>
      <c r="R99">
        <v>21</v>
      </c>
      <c r="W99" s="15" t="s">
        <v>62</v>
      </c>
      <c r="X99" s="2" t="s">
        <v>68</v>
      </c>
      <c r="Y99" s="32">
        <v>19.793508800000001</v>
      </c>
      <c r="Z99" s="32">
        <f t="shared" si="3"/>
        <v>494.83772000000005</v>
      </c>
      <c r="AA99" s="16" t="s">
        <v>266</v>
      </c>
      <c r="AB99" t="s">
        <v>51</v>
      </c>
      <c r="AC99" t="s">
        <v>69</v>
      </c>
      <c r="AE99" s="1" t="s">
        <v>48</v>
      </c>
      <c r="AF99" s="1" t="s">
        <v>48</v>
      </c>
      <c r="AG99" s="1" t="s">
        <v>48</v>
      </c>
      <c r="AH99" s="1" t="s">
        <v>48</v>
      </c>
      <c r="AI99" s="1" t="s">
        <v>48</v>
      </c>
    </row>
    <row r="100" spans="1:35" ht="38.25" customHeight="1" x14ac:dyDescent="0.25">
      <c r="A100" s="9" t="s">
        <v>258</v>
      </c>
      <c r="B100" s="9" t="s">
        <v>277</v>
      </c>
      <c r="C100" s="9" t="s">
        <v>278</v>
      </c>
      <c r="D100" s="10">
        <v>0.37708333333333299</v>
      </c>
      <c r="E100" s="10">
        <v>0.39236111111111099</v>
      </c>
      <c r="F100" t="s">
        <v>269</v>
      </c>
      <c r="G100" s="9" t="s">
        <v>262</v>
      </c>
      <c r="H100" s="11">
        <v>9.01</v>
      </c>
      <c r="I100" s="12">
        <v>19</v>
      </c>
      <c r="J100" s="12">
        <v>25</v>
      </c>
      <c r="K100" s="11">
        <f t="shared" si="2"/>
        <v>225.25</v>
      </c>
      <c r="L100">
        <v>6</v>
      </c>
      <c r="N100" s="21" t="s">
        <v>263</v>
      </c>
      <c r="O100" t="s">
        <v>264</v>
      </c>
      <c r="P100">
        <v>23</v>
      </c>
      <c r="Q100" t="s">
        <v>265</v>
      </c>
      <c r="R100">
        <v>21</v>
      </c>
      <c r="W100" s="15" t="s">
        <v>62</v>
      </c>
      <c r="X100" s="2" t="s">
        <v>68</v>
      </c>
      <c r="Y100" s="32">
        <v>23.251566400000002</v>
      </c>
      <c r="Z100" s="32">
        <f t="shared" si="3"/>
        <v>581.28916000000004</v>
      </c>
      <c r="AA100" s="16" t="s">
        <v>266</v>
      </c>
      <c r="AB100" t="s">
        <v>51</v>
      </c>
      <c r="AC100" t="s">
        <v>69</v>
      </c>
      <c r="AE100" s="1" t="s">
        <v>48</v>
      </c>
      <c r="AF100" s="1" t="s">
        <v>48</v>
      </c>
      <c r="AG100" s="1" t="s">
        <v>48</v>
      </c>
      <c r="AH100" s="1" t="s">
        <v>48</v>
      </c>
      <c r="AI100" s="1" t="s">
        <v>48</v>
      </c>
    </row>
    <row r="101" spans="1:35" ht="38.25" customHeight="1" x14ac:dyDescent="0.25">
      <c r="A101" s="9" t="s">
        <v>258</v>
      </c>
      <c r="B101" s="9" t="s">
        <v>279</v>
      </c>
      <c r="C101" s="9" t="s">
        <v>280</v>
      </c>
      <c r="D101" s="10">
        <v>0.46458333333333302</v>
      </c>
      <c r="E101" s="10">
        <v>0.47708333333333303</v>
      </c>
      <c r="F101" t="s">
        <v>272</v>
      </c>
      <c r="G101" s="9" t="s">
        <v>262</v>
      </c>
      <c r="H101" s="11">
        <v>7.67</v>
      </c>
      <c r="I101" s="12">
        <v>19</v>
      </c>
      <c r="J101" s="12">
        <v>25</v>
      </c>
      <c r="K101" s="11">
        <f t="shared" si="2"/>
        <v>191.75</v>
      </c>
      <c r="L101">
        <v>7</v>
      </c>
      <c r="N101" s="21" t="s">
        <v>263</v>
      </c>
      <c r="O101" t="s">
        <v>264</v>
      </c>
      <c r="P101">
        <v>23</v>
      </c>
      <c r="Q101" t="s">
        <v>265</v>
      </c>
      <c r="R101">
        <v>21</v>
      </c>
      <c r="W101" s="15" t="s">
        <v>62</v>
      </c>
      <c r="X101" s="2" t="s">
        <v>68</v>
      </c>
      <c r="Y101" s="32">
        <v>19.793508800000001</v>
      </c>
      <c r="Z101" s="32">
        <f t="shared" si="3"/>
        <v>494.83772000000005</v>
      </c>
      <c r="AA101" s="16" t="s">
        <v>266</v>
      </c>
      <c r="AB101" t="s">
        <v>51</v>
      </c>
      <c r="AC101" t="s">
        <v>69</v>
      </c>
      <c r="AE101" s="1" t="s">
        <v>48</v>
      </c>
      <c r="AF101" s="1" t="s">
        <v>48</v>
      </c>
      <c r="AG101" s="1" t="s">
        <v>48</v>
      </c>
      <c r="AH101" s="1" t="s">
        <v>48</v>
      </c>
      <c r="AI101" s="1" t="s">
        <v>48</v>
      </c>
    </row>
    <row r="102" spans="1:35" ht="38.25" customHeight="1" x14ac:dyDescent="0.25">
      <c r="A102" s="9" t="s">
        <v>258</v>
      </c>
      <c r="B102" s="9" t="s">
        <v>281</v>
      </c>
      <c r="C102" s="9" t="s">
        <v>282</v>
      </c>
      <c r="D102" s="10">
        <v>0.47708333333333303</v>
      </c>
      <c r="E102" s="10">
        <v>0.49236111111111103</v>
      </c>
      <c r="F102" t="s">
        <v>269</v>
      </c>
      <c r="G102" s="9" t="s">
        <v>262</v>
      </c>
      <c r="H102" s="11">
        <v>9.01</v>
      </c>
      <c r="I102" s="12">
        <v>19</v>
      </c>
      <c r="J102" s="12">
        <v>25</v>
      </c>
      <c r="K102" s="11">
        <f t="shared" si="2"/>
        <v>225.25</v>
      </c>
      <c r="L102">
        <v>8</v>
      </c>
      <c r="N102" s="21" t="s">
        <v>263</v>
      </c>
      <c r="O102" t="s">
        <v>264</v>
      </c>
      <c r="P102">
        <v>23</v>
      </c>
      <c r="Q102" t="s">
        <v>265</v>
      </c>
      <c r="R102">
        <v>21</v>
      </c>
      <c r="W102" s="15" t="s">
        <v>62</v>
      </c>
      <c r="X102" s="2" t="s">
        <v>68</v>
      </c>
      <c r="Y102" s="32">
        <v>23.251566400000002</v>
      </c>
      <c r="Z102" s="32">
        <f t="shared" si="3"/>
        <v>581.28916000000004</v>
      </c>
      <c r="AA102" s="16" t="s">
        <v>266</v>
      </c>
      <c r="AB102" t="s">
        <v>51</v>
      </c>
      <c r="AC102" t="s">
        <v>69</v>
      </c>
      <c r="AE102" s="1" t="s">
        <v>48</v>
      </c>
      <c r="AF102" s="1" t="s">
        <v>48</v>
      </c>
      <c r="AG102" s="1" t="s">
        <v>48</v>
      </c>
      <c r="AH102" s="1" t="s">
        <v>48</v>
      </c>
      <c r="AI102" s="1" t="s">
        <v>48</v>
      </c>
    </row>
    <row r="103" spans="1:35" ht="38.25" customHeight="1" x14ac:dyDescent="0.25">
      <c r="A103" s="9" t="s">
        <v>258</v>
      </c>
      <c r="B103" s="9" t="s">
        <v>283</v>
      </c>
      <c r="C103" s="9" t="s">
        <v>284</v>
      </c>
      <c r="D103" s="10">
        <v>0.54791666666666705</v>
      </c>
      <c r="E103" s="10">
        <v>0.56041666666666701</v>
      </c>
      <c r="F103" t="s">
        <v>272</v>
      </c>
      <c r="G103" s="9" t="s">
        <v>262</v>
      </c>
      <c r="H103" s="11">
        <v>7.67</v>
      </c>
      <c r="I103" s="12">
        <v>19</v>
      </c>
      <c r="J103" s="12">
        <v>25</v>
      </c>
      <c r="K103" s="11">
        <f t="shared" si="2"/>
        <v>191.75</v>
      </c>
      <c r="L103">
        <v>9</v>
      </c>
      <c r="N103" s="21" t="s">
        <v>263</v>
      </c>
      <c r="O103" t="s">
        <v>264</v>
      </c>
      <c r="P103">
        <v>23</v>
      </c>
      <c r="Q103" t="s">
        <v>265</v>
      </c>
      <c r="R103">
        <v>21</v>
      </c>
      <c r="W103" s="15" t="s">
        <v>62</v>
      </c>
      <c r="X103" s="2" t="s">
        <v>68</v>
      </c>
      <c r="Y103" s="32">
        <v>19.793508800000001</v>
      </c>
      <c r="Z103" s="32">
        <f t="shared" si="3"/>
        <v>494.83772000000005</v>
      </c>
      <c r="AA103" s="16" t="s">
        <v>266</v>
      </c>
      <c r="AB103" t="s">
        <v>51</v>
      </c>
      <c r="AC103" t="s">
        <v>69</v>
      </c>
      <c r="AE103" s="1" t="s">
        <v>48</v>
      </c>
      <c r="AF103" s="1" t="s">
        <v>48</v>
      </c>
      <c r="AG103" s="1" t="s">
        <v>48</v>
      </c>
      <c r="AH103" s="1" t="s">
        <v>48</v>
      </c>
      <c r="AI103" s="1" t="s">
        <v>48</v>
      </c>
    </row>
    <row r="104" spans="1:35" ht="38.25" customHeight="1" x14ac:dyDescent="0.25">
      <c r="A104" s="9" t="s">
        <v>258</v>
      </c>
      <c r="B104" s="9" t="s">
        <v>285</v>
      </c>
      <c r="C104" s="9" t="s">
        <v>286</v>
      </c>
      <c r="D104" s="10">
        <v>0.56041666666666701</v>
      </c>
      <c r="E104" s="10">
        <v>0.57569444444444395</v>
      </c>
      <c r="F104" t="s">
        <v>269</v>
      </c>
      <c r="G104" s="9" t="s">
        <v>262</v>
      </c>
      <c r="H104" s="11">
        <v>9.01</v>
      </c>
      <c r="I104" s="12">
        <v>19</v>
      </c>
      <c r="J104" s="12">
        <v>25</v>
      </c>
      <c r="K104" s="11">
        <f t="shared" si="2"/>
        <v>225.25</v>
      </c>
      <c r="L104">
        <v>10</v>
      </c>
      <c r="N104" s="21" t="s">
        <v>263</v>
      </c>
      <c r="O104" t="s">
        <v>264</v>
      </c>
      <c r="P104">
        <v>23</v>
      </c>
      <c r="Q104" t="s">
        <v>265</v>
      </c>
      <c r="R104">
        <v>21</v>
      </c>
      <c r="W104" s="15" t="s">
        <v>62</v>
      </c>
      <c r="X104" s="2" t="s">
        <v>68</v>
      </c>
      <c r="Y104" s="32">
        <v>23.251566400000002</v>
      </c>
      <c r="Z104" s="32">
        <f t="shared" si="3"/>
        <v>581.28916000000004</v>
      </c>
      <c r="AA104" s="16" t="s">
        <v>266</v>
      </c>
      <c r="AB104" t="s">
        <v>51</v>
      </c>
      <c r="AC104" t="s">
        <v>69</v>
      </c>
      <c r="AE104" s="1" t="s">
        <v>48</v>
      </c>
      <c r="AF104" s="1" t="s">
        <v>48</v>
      </c>
      <c r="AG104" s="1" t="s">
        <v>48</v>
      </c>
      <c r="AH104" s="1" t="s">
        <v>48</v>
      </c>
      <c r="AI104" s="1" t="s">
        <v>48</v>
      </c>
    </row>
    <row r="105" spans="1:35" ht="38.25" customHeight="1" x14ac:dyDescent="0.25">
      <c r="A105" s="9" t="s">
        <v>258</v>
      </c>
      <c r="B105" s="9" t="s">
        <v>287</v>
      </c>
      <c r="C105" s="9" t="s">
        <v>288</v>
      </c>
      <c r="D105" s="10">
        <v>0.58958333333333302</v>
      </c>
      <c r="E105" s="10">
        <v>0.60208333333333297</v>
      </c>
      <c r="F105" t="s">
        <v>272</v>
      </c>
      <c r="G105" s="9" t="s">
        <v>262</v>
      </c>
      <c r="H105" s="11">
        <v>7.67</v>
      </c>
      <c r="I105" s="12">
        <v>19</v>
      </c>
      <c r="J105" s="12">
        <v>25</v>
      </c>
      <c r="K105" s="11">
        <f t="shared" si="2"/>
        <v>191.75</v>
      </c>
      <c r="L105">
        <v>11</v>
      </c>
      <c r="N105" s="21" t="s">
        <v>263</v>
      </c>
      <c r="O105" t="s">
        <v>264</v>
      </c>
      <c r="P105">
        <v>23</v>
      </c>
      <c r="Q105" t="s">
        <v>265</v>
      </c>
      <c r="R105">
        <v>21</v>
      </c>
      <c r="W105" s="15" t="s">
        <v>62</v>
      </c>
      <c r="X105" s="2" t="s">
        <v>68</v>
      </c>
      <c r="Y105" s="32">
        <v>19.793508800000001</v>
      </c>
      <c r="Z105" s="32">
        <f t="shared" si="3"/>
        <v>494.83772000000005</v>
      </c>
      <c r="AA105" s="16" t="s">
        <v>266</v>
      </c>
      <c r="AB105" t="s">
        <v>51</v>
      </c>
      <c r="AC105" t="s">
        <v>69</v>
      </c>
      <c r="AE105" s="1" t="s">
        <v>48</v>
      </c>
      <c r="AF105" s="1" t="s">
        <v>48</v>
      </c>
      <c r="AG105" s="1" t="s">
        <v>48</v>
      </c>
      <c r="AH105" s="1" t="s">
        <v>48</v>
      </c>
      <c r="AI105" s="1" t="s">
        <v>48</v>
      </c>
    </row>
    <row r="106" spans="1:35" ht="38.25" customHeight="1" x14ac:dyDescent="0.25">
      <c r="A106" s="9" t="s">
        <v>258</v>
      </c>
      <c r="B106" s="9" t="s">
        <v>289</v>
      </c>
      <c r="C106" s="9" t="s">
        <v>290</v>
      </c>
      <c r="D106" s="10">
        <v>0.60208333333333297</v>
      </c>
      <c r="E106" s="10">
        <v>0.61736111111111103</v>
      </c>
      <c r="F106" t="s">
        <v>269</v>
      </c>
      <c r="G106" s="9" t="s">
        <v>262</v>
      </c>
      <c r="H106" s="11">
        <v>9.01</v>
      </c>
      <c r="I106" s="12">
        <v>19</v>
      </c>
      <c r="J106" s="12">
        <v>25</v>
      </c>
      <c r="K106" s="11">
        <f t="shared" si="2"/>
        <v>225.25</v>
      </c>
      <c r="L106">
        <v>12</v>
      </c>
      <c r="N106" s="21" t="s">
        <v>263</v>
      </c>
      <c r="O106" t="s">
        <v>264</v>
      </c>
      <c r="P106">
        <v>23</v>
      </c>
      <c r="Q106" t="s">
        <v>265</v>
      </c>
      <c r="R106">
        <v>21</v>
      </c>
      <c r="W106" s="15" t="s">
        <v>62</v>
      </c>
      <c r="X106" s="2" t="s">
        <v>68</v>
      </c>
      <c r="Y106" s="32">
        <v>23.251566400000002</v>
      </c>
      <c r="Z106" s="32">
        <f t="shared" si="3"/>
        <v>581.28916000000004</v>
      </c>
      <c r="AA106" s="16" t="s">
        <v>266</v>
      </c>
      <c r="AB106" t="s">
        <v>51</v>
      </c>
      <c r="AC106" t="s">
        <v>69</v>
      </c>
      <c r="AE106" s="1" t="s">
        <v>48</v>
      </c>
      <c r="AF106" s="1" t="s">
        <v>48</v>
      </c>
      <c r="AG106" s="1" t="s">
        <v>48</v>
      </c>
      <c r="AH106" s="1" t="s">
        <v>48</v>
      </c>
      <c r="AI106" s="1" t="s">
        <v>48</v>
      </c>
    </row>
    <row r="107" spans="1:35" ht="38.25" customHeight="1" x14ac:dyDescent="0.25">
      <c r="A107" s="9" t="s">
        <v>258</v>
      </c>
      <c r="B107" s="9" t="s">
        <v>291</v>
      </c>
      <c r="C107" s="9" t="s">
        <v>292</v>
      </c>
      <c r="D107" s="10">
        <v>0.63124999999999998</v>
      </c>
      <c r="E107" s="10">
        <v>0.64375000000000004</v>
      </c>
      <c r="F107" t="s">
        <v>272</v>
      </c>
      <c r="G107" s="9" t="s">
        <v>262</v>
      </c>
      <c r="H107" s="11">
        <v>7.67</v>
      </c>
      <c r="I107" s="12">
        <v>19</v>
      </c>
      <c r="J107" s="12">
        <v>25</v>
      </c>
      <c r="K107" s="11">
        <f t="shared" si="2"/>
        <v>191.75</v>
      </c>
      <c r="L107">
        <v>13</v>
      </c>
      <c r="N107" s="21" t="s">
        <v>263</v>
      </c>
      <c r="O107" t="s">
        <v>264</v>
      </c>
      <c r="P107">
        <v>23</v>
      </c>
      <c r="Q107" t="s">
        <v>265</v>
      </c>
      <c r="R107">
        <v>21</v>
      </c>
      <c r="W107" s="15" t="s">
        <v>62</v>
      </c>
      <c r="X107" s="2" t="s">
        <v>68</v>
      </c>
      <c r="Y107" s="32">
        <v>19.793508800000001</v>
      </c>
      <c r="Z107" s="32">
        <f t="shared" si="3"/>
        <v>494.83772000000005</v>
      </c>
      <c r="AA107" s="16" t="s">
        <v>266</v>
      </c>
      <c r="AB107" t="s">
        <v>51</v>
      </c>
      <c r="AC107" t="s">
        <v>69</v>
      </c>
      <c r="AE107" s="1" t="s">
        <v>48</v>
      </c>
      <c r="AF107" s="1" t="s">
        <v>48</v>
      </c>
      <c r="AG107" s="1" t="s">
        <v>48</v>
      </c>
      <c r="AH107" s="1" t="s">
        <v>48</v>
      </c>
      <c r="AI107" s="1" t="s">
        <v>48</v>
      </c>
    </row>
    <row r="108" spans="1:35" ht="38.25" customHeight="1" x14ac:dyDescent="0.25">
      <c r="A108" s="9" t="s">
        <v>258</v>
      </c>
      <c r="B108" s="9" t="s">
        <v>293</v>
      </c>
      <c r="C108" s="9" t="s">
        <v>294</v>
      </c>
      <c r="D108" s="10">
        <v>0.64375000000000004</v>
      </c>
      <c r="E108" s="10">
        <v>0.65902777777777799</v>
      </c>
      <c r="F108" t="s">
        <v>269</v>
      </c>
      <c r="G108" s="9" t="s">
        <v>262</v>
      </c>
      <c r="H108" s="11">
        <v>9.01</v>
      </c>
      <c r="I108" s="12">
        <v>19</v>
      </c>
      <c r="J108" s="12">
        <v>25</v>
      </c>
      <c r="K108" s="11">
        <f t="shared" si="2"/>
        <v>225.25</v>
      </c>
      <c r="L108">
        <v>14</v>
      </c>
      <c r="N108" s="21" t="s">
        <v>263</v>
      </c>
      <c r="O108" t="s">
        <v>264</v>
      </c>
      <c r="P108">
        <v>23</v>
      </c>
      <c r="Q108" t="s">
        <v>265</v>
      </c>
      <c r="R108">
        <v>21</v>
      </c>
      <c r="W108" s="15" t="s">
        <v>62</v>
      </c>
      <c r="X108" s="2" t="s">
        <v>68</v>
      </c>
      <c r="Y108" s="32">
        <v>23.251566400000002</v>
      </c>
      <c r="Z108" s="32">
        <f t="shared" si="3"/>
        <v>581.28916000000004</v>
      </c>
      <c r="AA108" s="16" t="s">
        <v>266</v>
      </c>
      <c r="AB108" t="s">
        <v>51</v>
      </c>
      <c r="AC108" t="s">
        <v>69</v>
      </c>
      <c r="AE108" s="1" t="s">
        <v>48</v>
      </c>
      <c r="AF108" s="1" t="s">
        <v>48</v>
      </c>
      <c r="AG108" s="1" t="s">
        <v>48</v>
      </c>
      <c r="AH108" s="1" t="s">
        <v>48</v>
      </c>
      <c r="AI108" s="1" t="s">
        <v>48</v>
      </c>
    </row>
    <row r="109" spans="1:35" ht="38.25" customHeight="1" x14ac:dyDescent="0.25">
      <c r="A109" s="9" t="s">
        <v>258</v>
      </c>
      <c r="B109" s="9" t="s">
        <v>295</v>
      </c>
      <c r="C109" s="9" t="s">
        <v>296</v>
      </c>
      <c r="D109" s="10">
        <v>0.65902777777777799</v>
      </c>
      <c r="E109" s="10">
        <v>0.66666666666666696</v>
      </c>
      <c r="F109" t="s">
        <v>297</v>
      </c>
      <c r="G109" s="9" t="s">
        <v>262</v>
      </c>
      <c r="H109" s="11">
        <v>3.76</v>
      </c>
      <c r="I109" s="12">
        <v>19</v>
      </c>
      <c r="J109" s="12">
        <v>25</v>
      </c>
      <c r="K109" s="11">
        <f t="shared" si="2"/>
        <v>94</v>
      </c>
      <c r="L109">
        <v>15</v>
      </c>
      <c r="N109" s="21" t="s">
        <v>263</v>
      </c>
      <c r="O109" t="s">
        <v>264</v>
      </c>
      <c r="P109">
        <v>23</v>
      </c>
      <c r="Q109" t="s">
        <v>265</v>
      </c>
      <c r="R109">
        <v>21</v>
      </c>
      <c r="W109" s="15" t="s">
        <v>62</v>
      </c>
      <c r="X109" s="2" t="s">
        <v>68</v>
      </c>
      <c r="Y109" s="32">
        <v>9.7032063999999991</v>
      </c>
      <c r="Z109" s="32">
        <f t="shared" si="3"/>
        <v>242.58015999999998</v>
      </c>
      <c r="AA109" s="16" t="s">
        <v>266</v>
      </c>
      <c r="AB109" t="s">
        <v>51</v>
      </c>
      <c r="AC109" t="s">
        <v>69</v>
      </c>
      <c r="AE109" s="1" t="s">
        <v>48</v>
      </c>
      <c r="AF109" s="1" t="s">
        <v>48</v>
      </c>
      <c r="AG109" s="1" t="s">
        <v>48</v>
      </c>
      <c r="AH109" s="1" t="s">
        <v>48</v>
      </c>
      <c r="AI109" s="1" t="s">
        <v>48</v>
      </c>
    </row>
    <row r="110" spans="1:35" ht="38.25" customHeight="1" x14ac:dyDescent="0.25">
      <c r="A110" s="9" t="s">
        <v>258</v>
      </c>
      <c r="B110" s="9" t="s">
        <v>298</v>
      </c>
      <c r="C110" s="9" t="s">
        <v>299</v>
      </c>
      <c r="D110" s="10">
        <v>0.66666666666666696</v>
      </c>
      <c r="E110" s="10">
        <v>0.67222222222222205</v>
      </c>
      <c r="F110" t="s">
        <v>300</v>
      </c>
      <c r="G110" s="9" t="s">
        <v>262</v>
      </c>
      <c r="H110" s="11">
        <v>2.76</v>
      </c>
      <c r="I110" s="12">
        <v>19</v>
      </c>
      <c r="J110" s="12">
        <v>25</v>
      </c>
      <c r="K110" s="11">
        <f t="shared" si="2"/>
        <v>69</v>
      </c>
      <c r="L110">
        <v>16</v>
      </c>
      <c r="N110" s="21" t="s">
        <v>263</v>
      </c>
      <c r="O110" t="s">
        <v>264</v>
      </c>
      <c r="P110">
        <v>23</v>
      </c>
      <c r="Q110" t="s">
        <v>265</v>
      </c>
      <c r="R110">
        <v>21</v>
      </c>
      <c r="W110" s="15" t="s">
        <v>62</v>
      </c>
      <c r="X110" s="2" t="s">
        <v>68</v>
      </c>
      <c r="Y110" s="32">
        <v>7.1225664000000002</v>
      </c>
      <c r="Z110" s="32">
        <f t="shared" si="3"/>
        <v>178.06416000000002</v>
      </c>
      <c r="AA110" s="16" t="s">
        <v>266</v>
      </c>
      <c r="AB110" t="s">
        <v>51</v>
      </c>
      <c r="AC110" t="s">
        <v>69</v>
      </c>
      <c r="AE110" s="1" t="s">
        <v>48</v>
      </c>
      <c r="AF110" s="1" t="s">
        <v>48</v>
      </c>
      <c r="AG110" s="1" t="s">
        <v>48</v>
      </c>
      <c r="AH110" s="1" t="s">
        <v>48</v>
      </c>
      <c r="AI110" s="1" t="s">
        <v>48</v>
      </c>
    </row>
    <row r="111" spans="1:35" ht="38.25" customHeight="1" x14ac:dyDescent="0.25">
      <c r="A111" s="9" t="s">
        <v>258</v>
      </c>
      <c r="B111" s="9" t="s">
        <v>226</v>
      </c>
      <c r="C111" s="9" t="s">
        <v>301</v>
      </c>
      <c r="D111" s="10">
        <v>0.67291666666666705</v>
      </c>
      <c r="E111" s="10">
        <v>0.68541666666666701</v>
      </c>
      <c r="F111" t="s">
        <v>272</v>
      </c>
      <c r="G111" s="9" t="s">
        <v>262</v>
      </c>
      <c r="H111" s="11">
        <v>7.67</v>
      </c>
      <c r="I111" s="12">
        <v>19</v>
      </c>
      <c r="J111" s="12">
        <v>25</v>
      </c>
      <c r="K111" s="11">
        <f t="shared" si="2"/>
        <v>191.75</v>
      </c>
      <c r="L111">
        <v>17</v>
      </c>
      <c r="N111" s="21" t="s">
        <v>263</v>
      </c>
      <c r="O111" t="s">
        <v>264</v>
      </c>
      <c r="P111">
        <v>23</v>
      </c>
      <c r="Q111" t="s">
        <v>265</v>
      </c>
      <c r="R111">
        <v>21</v>
      </c>
      <c r="W111" s="15" t="s">
        <v>62</v>
      </c>
      <c r="X111" s="2" t="s">
        <v>68</v>
      </c>
      <c r="Y111" s="32">
        <v>19.793508800000001</v>
      </c>
      <c r="Z111" s="32">
        <f t="shared" si="3"/>
        <v>494.83772000000005</v>
      </c>
      <c r="AA111" s="16" t="s">
        <v>266</v>
      </c>
      <c r="AB111" t="s">
        <v>51</v>
      </c>
      <c r="AC111" t="s">
        <v>69</v>
      </c>
      <c r="AE111" s="1" t="s">
        <v>48</v>
      </c>
      <c r="AF111" s="1" t="s">
        <v>48</v>
      </c>
      <c r="AG111" s="1" t="s">
        <v>48</v>
      </c>
      <c r="AH111" s="1" t="s">
        <v>48</v>
      </c>
      <c r="AI111" s="1" t="s">
        <v>48</v>
      </c>
    </row>
    <row r="112" spans="1:35" ht="38.25" customHeight="1" x14ac:dyDescent="0.25">
      <c r="A112" s="9" t="s">
        <v>258</v>
      </c>
      <c r="B112" s="9" t="s">
        <v>302</v>
      </c>
      <c r="C112" s="9" t="s">
        <v>303</v>
      </c>
      <c r="D112" s="10">
        <v>0.68541666666666701</v>
      </c>
      <c r="E112" s="10">
        <v>0.70069444444444395</v>
      </c>
      <c r="F112" t="s">
        <v>269</v>
      </c>
      <c r="G112" s="9" t="s">
        <v>262</v>
      </c>
      <c r="H112" s="11">
        <v>9.01</v>
      </c>
      <c r="I112" s="12">
        <v>19</v>
      </c>
      <c r="J112" s="12">
        <v>25</v>
      </c>
      <c r="K112" s="11">
        <f t="shared" si="2"/>
        <v>225.25</v>
      </c>
      <c r="L112">
        <v>18</v>
      </c>
      <c r="N112" s="21" t="s">
        <v>263</v>
      </c>
      <c r="O112" t="s">
        <v>264</v>
      </c>
      <c r="P112">
        <v>23</v>
      </c>
      <c r="Q112" t="s">
        <v>265</v>
      </c>
      <c r="R112">
        <v>21</v>
      </c>
      <c r="W112" s="15" t="s">
        <v>62</v>
      </c>
      <c r="X112" s="2" t="s">
        <v>68</v>
      </c>
      <c r="Y112" s="32">
        <v>23.251566400000002</v>
      </c>
      <c r="Z112" s="32">
        <f t="shared" si="3"/>
        <v>581.28916000000004</v>
      </c>
      <c r="AA112" s="16" t="s">
        <v>266</v>
      </c>
      <c r="AB112" t="s">
        <v>51</v>
      </c>
      <c r="AC112" t="s">
        <v>69</v>
      </c>
      <c r="AE112" s="1" t="s">
        <v>48</v>
      </c>
      <c r="AF112" s="1" t="s">
        <v>48</v>
      </c>
      <c r="AG112" s="1" t="s">
        <v>48</v>
      </c>
      <c r="AH112" s="1" t="s">
        <v>48</v>
      </c>
      <c r="AI112" s="1" t="s">
        <v>48</v>
      </c>
    </row>
    <row r="113" spans="1:35" ht="38.25" customHeight="1" x14ac:dyDescent="0.25">
      <c r="A113" s="9" t="s">
        <v>258</v>
      </c>
      <c r="B113" s="9" t="s">
        <v>304</v>
      </c>
      <c r="C113" s="9" t="s">
        <v>305</v>
      </c>
      <c r="D113" s="10">
        <v>0.71458333333333302</v>
      </c>
      <c r="E113" s="10">
        <v>0.72708333333333297</v>
      </c>
      <c r="F113" t="s">
        <v>272</v>
      </c>
      <c r="G113" s="9" t="s">
        <v>262</v>
      </c>
      <c r="H113" s="11">
        <v>7.67</v>
      </c>
      <c r="I113" s="12">
        <v>19</v>
      </c>
      <c r="J113" s="12">
        <v>25</v>
      </c>
      <c r="K113" s="11">
        <f t="shared" si="2"/>
        <v>191.75</v>
      </c>
      <c r="L113">
        <v>19</v>
      </c>
      <c r="N113" s="21" t="s">
        <v>263</v>
      </c>
      <c r="O113" t="s">
        <v>264</v>
      </c>
      <c r="P113">
        <v>23</v>
      </c>
      <c r="Q113" t="s">
        <v>265</v>
      </c>
      <c r="R113">
        <v>21</v>
      </c>
      <c r="W113" s="15" t="s">
        <v>62</v>
      </c>
      <c r="X113" s="2" t="s">
        <v>68</v>
      </c>
      <c r="Y113" s="32">
        <v>19.793508800000001</v>
      </c>
      <c r="Z113" s="32">
        <f t="shared" si="3"/>
        <v>494.83772000000005</v>
      </c>
      <c r="AA113" s="16" t="s">
        <v>266</v>
      </c>
      <c r="AB113" t="s">
        <v>51</v>
      </c>
      <c r="AC113" t="s">
        <v>69</v>
      </c>
      <c r="AE113" s="1" t="s">
        <v>48</v>
      </c>
      <c r="AF113" s="1" t="s">
        <v>48</v>
      </c>
      <c r="AG113" s="1" t="s">
        <v>48</v>
      </c>
      <c r="AH113" s="1" t="s">
        <v>48</v>
      </c>
      <c r="AI113" s="1" t="s">
        <v>48</v>
      </c>
    </row>
    <row r="114" spans="1:35" ht="38.25" customHeight="1" x14ac:dyDescent="0.25">
      <c r="A114" s="9" t="s">
        <v>258</v>
      </c>
      <c r="B114" s="9" t="s">
        <v>306</v>
      </c>
      <c r="C114" s="9" t="s">
        <v>307</v>
      </c>
      <c r="D114" s="10">
        <v>0.72708333333333297</v>
      </c>
      <c r="E114" s="10">
        <v>0.74236111111111103</v>
      </c>
      <c r="F114" t="s">
        <v>269</v>
      </c>
      <c r="G114" s="9" t="s">
        <v>262</v>
      </c>
      <c r="H114" s="11">
        <v>9.01</v>
      </c>
      <c r="I114" s="12">
        <v>19</v>
      </c>
      <c r="J114" s="12">
        <v>25</v>
      </c>
      <c r="K114" s="11">
        <f t="shared" si="2"/>
        <v>225.25</v>
      </c>
      <c r="L114">
        <v>20</v>
      </c>
      <c r="N114" s="21" t="s">
        <v>263</v>
      </c>
      <c r="O114" t="s">
        <v>264</v>
      </c>
      <c r="P114">
        <v>23</v>
      </c>
      <c r="Q114" t="s">
        <v>265</v>
      </c>
      <c r="R114">
        <v>21</v>
      </c>
      <c r="W114" s="15" t="s">
        <v>62</v>
      </c>
      <c r="X114" s="2" t="s">
        <v>68</v>
      </c>
      <c r="Y114" s="32">
        <v>23.251566400000002</v>
      </c>
      <c r="Z114" s="32">
        <f t="shared" si="3"/>
        <v>581.28916000000004</v>
      </c>
      <c r="AA114" s="16" t="s">
        <v>266</v>
      </c>
      <c r="AB114" t="s">
        <v>51</v>
      </c>
      <c r="AC114" t="s">
        <v>69</v>
      </c>
      <c r="AE114" s="1" t="s">
        <v>48</v>
      </c>
      <c r="AF114" s="1" t="s">
        <v>48</v>
      </c>
      <c r="AG114" s="1" t="s">
        <v>48</v>
      </c>
      <c r="AH114" s="1" t="s">
        <v>48</v>
      </c>
      <c r="AI114" s="1" t="s">
        <v>48</v>
      </c>
    </row>
    <row r="115" spans="1:35" ht="38.25" customHeight="1" x14ac:dyDescent="0.25">
      <c r="A115" s="9" t="s">
        <v>258</v>
      </c>
      <c r="B115" s="9" t="s">
        <v>308</v>
      </c>
      <c r="C115" s="9" t="s">
        <v>309</v>
      </c>
      <c r="D115" s="10">
        <v>0.77708333333333302</v>
      </c>
      <c r="E115" s="10">
        <v>0.78472222222222199</v>
      </c>
      <c r="F115" t="s">
        <v>297</v>
      </c>
      <c r="G115" s="9" t="s">
        <v>262</v>
      </c>
      <c r="H115" s="11">
        <v>3.76</v>
      </c>
      <c r="I115" s="12">
        <v>19</v>
      </c>
      <c r="J115" s="12">
        <v>25</v>
      </c>
      <c r="K115" s="11">
        <f t="shared" si="2"/>
        <v>94</v>
      </c>
      <c r="L115">
        <v>21</v>
      </c>
      <c r="N115" s="21" t="s">
        <v>263</v>
      </c>
      <c r="O115" t="s">
        <v>264</v>
      </c>
      <c r="P115">
        <v>23</v>
      </c>
      <c r="Q115" t="s">
        <v>265</v>
      </c>
      <c r="R115">
        <v>21</v>
      </c>
      <c r="W115" s="15" t="s">
        <v>62</v>
      </c>
      <c r="X115" s="2" t="s">
        <v>68</v>
      </c>
      <c r="Y115" s="32">
        <v>9.7032063999999991</v>
      </c>
      <c r="Z115" s="32">
        <f t="shared" si="3"/>
        <v>242.58015999999998</v>
      </c>
      <c r="AA115" s="16" t="s">
        <v>266</v>
      </c>
      <c r="AB115" t="s">
        <v>51</v>
      </c>
      <c r="AC115" t="s">
        <v>69</v>
      </c>
      <c r="AE115" s="1" t="s">
        <v>48</v>
      </c>
      <c r="AF115" s="1" t="s">
        <v>48</v>
      </c>
      <c r="AG115" s="1" t="s">
        <v>48</v>
      </c>
      <c r="AH115" s="1" t="s">
        <v>48</v>
      </c>
      <c r="AI115" s="1" t="s">
        <v>48</v>
      </c>
    </row>
    <row r="116" spans="1:35" ht="38.25" customHeight="1" x14ac:dyDescent="0.25">
      <c r="A116" s="9" t="s">
        <v>258</v>
      </c>
      <c r="B116" s="9" t="s">
        <v>310</v>
      </c>
      <c r="C116" s="9" t="s">
        <v>311</v>
      </c>
      <c r="D116" s="10">
        <v>0.78472222222222199</v>
      </c>
      <c r="E116" s="10">
        <v>0.79027777777777797</v>
      </c>
      <c r="F116" t="s">
        <v>300</v>
      </c>
      <c r="G116" s="9" t="s">
        <v>262</v>
      </c>
      <c r="H116" s="11">
        <v>2.76</v>
      </c>
      <c r="I116" s="12">
        <v>19</v>
      </c>
      <c r="J116" s="12">
        <v>25</v>
      </c>
      <c r="K116" s="11">
        <f t="shared" si="2"/>
        <v>69</v>
      </c>
      <c r="L116">
        <v>22</v>
      </c>
      <c r="N116" s="21" t="s">
        <v>263</v>
      </c>
      <c r="O116" t="s">
        <v>264</v>
      </c>
      <c r="P116">
        <v>23</v>
      </c>
      <c r="Q116" t="s">
        <v>265</v>
      </c>
      <c r="R116">
        <v>21</v>
      </c>
      <c r="W116" s="15" t="s">
        <v>62</v>
      </c>
      <c r="X116" s="2" t="s">
        <v>68</v>
      </c>
      <c r="Y116" s="32">
        <v>7.1225664000000002</v>
      </c>
      <c r="Z116" s="32">
        <f t="shared" si="3"/>
        <v>178.06416000000002</v>
      </c>
      <c r="AA116" s="16" t="s">
        <v>266</v>
      </c>
      <c r="AB116" t="s">
        <v>51</v>
      </c>
      <c r="AC116" t="s">
        <v>69</v>
      </c>
      <c r="AE116" s="1" t="s">
        <v>48</v>
      </c>
      <c r="AF116" s="1" t="s">
        <v>48</v>
      </c>
      <c r="AG116" s="1" t="s">
        <v>48</v>
      </c>
      <c r="AH116" s="1" t="s">
        <v>48</v>
      </c>
      <c r="AI116" s="1" t="s">
        <v>48</v>
      </c>
    </row>
    <row r="117" spans="1:35" ht="38.25" customHeight="1" x14ac:dyDescent="0.25">
      <c r="A117" s="9" t="s">
        <v>312</v>
      </c>
      <c r="B117" s="9" t="s">
        <v>122</v>
      </c>
      <c r="C117" s="9" t="s">
        <v>313</v>
      </c>
      <c r="D117" s="10">
        <v>0.3</v>
      </c>
      <c r="E117" s="10">
        <v>0.30069444444444399</v>
      </c>
      <c r="F117" t="s">
        <v>314</v>
      </c>
      <c r="G117" s="9" t="s">
        <v>315</v>
      </c>
      <c r="H117" s="11">
        <v>0.19</v>
      </c>
      <c r="I117" s="12">
        <v>19</v>
      </c>
      <c r="J117" s="12">
        <v>7</v>
      </c>
      <c r="K117" s="11">
        <f t="shared" si="2"/>
        <v>1.33</v>
      </c>
      <c r="L117">
        <v>23</v>
      </c>
      <c r="N117" s="21" t="s">
        <v>263</v>
      </c>
      <c r="O117" t="s">
        <v>264</v>
      </c>
      <c r="P117">
        <v>23</v>
      </c>
      <c r="Q117" t="s">
        <v>265</v>
      </c>
      <c r="R117">
        <v>21</v>
      </c>
      <c r="W117" s="15" t="s">
        <v>62</v>
      </c>
      <c r="X117" s="2" t="s">
        <v>55</v>
      </c>
      <c r="Y117" s="32">
        <v>0.49032160000000002</v>
      </c>
      <c r="Z117" s="32">
        <f t="shared" si="3"/>
        <v>3.4322512000000001</v>
      </c>
      <c r="AA117" s="16" t="s">
        <v>266</v>
      </c>
      <c r="AB117" t="s">
        <v>51</v>
      </c>
      <c r="AE117" s="1" t="s">
        <v>48</v>
      </c>
      <c r="AF117" s="1" t="s">
        <v>48</v>
      </c>
      <c r="AG117" s="1" t="s">
        <v>48</v>
      </c>
      <c r="AH117" s="1" t="s">
        <v>48</v>
      </c>
      <c r="AI117" s="1" t="s">
        <v>48</v>
      </c>
    </row>
    <row r="118" spans="1:35" ht="38.25" customHeight="1" x14ac:dyDescent="0.25">
      <c r="A118" s="9" t="s">
        <v>312</v>
      </c>
      <c r="B118" s="9" t="s">
        <v>259</v>
      </c>
      <c r="C118" s="9" t="s">
        <v>316</v>
      </c>
      <c r="D118" s="10">
        <v>0.30069444444444399</v>
      </c>
      <c r="E118" s="10">
        <v>0.31041666666666701</v>
      </c>
      <c r="F118" t="s">
        <v>317</v>
      </c>
      <c r="G118" s="9" t="s">
        <v>315</v>
      </c>
      <c r="H118" s="11">
        <v>6.32</v>
      </c>
      <c r="I118" s="12">
        <v>19</v>
      </c>
      <c r="J118" s="12">
        <v>7</v>
      </c>
      <c r="K118" s="11">
        <f t="shared" si="2"/>
        <v>44.24</v>
      </c>
      <c r="L118">
        <v>24</v>
      </c>
      <c r="N118" s="21" t="s">
        <v>263</v>
      </c>
      <c r="O118" t="s">
        <v>264</v>
      </c>
      <c r="P118">
        <v>23</v>
      </c>
      <c r="Q118" t="s">
        <v>265</v>
      </c>
      <c r="R118">
        <v>21</v>
      </c>
      <c r="W118" s="15" t="s">
        <v>62</v>
      </c>
      <c r="X118" s="2" t="s">
        <v>55</v>
      </c>
      <c r="Y118" s="32">
        <v>16.309644800000001</v>
      </c>
      <c r="Z118" s="32">
        <f t="shared" si="3"/>
        <v>114.16751360000001</v>
      </c>
      <c r="AA118" s="16" t="s">
        <v>266</v>
      </c>
      <c r="AB118" t="s">
        <v>51</v>
      </c>
      <c r="AE118" s="1" t="s">
        <v>48</v>
      </c>
      <c r="AF118" s="1" t="s">
        <v>48</v>
      </c>
      <c r="AG118" s="1" t="s">
        <v>48</v>
      </c>
      <c r="AH118" s="1" t="s">
        <v>48</v>
      </c>
      <c r="AI118" s="1" t="s">
        <v>48</v>
      </c>
    </row>
    <row r="119" spans="1:35" ht="38.25" customHeight="1" x14ac:dyDescent="0.25">
      <c r="A119" s="9" t="s">
        <v>312</v>
      </c>
      <c r="B119" s="9" t="s">
        <v>259</v>
      </c>
      <c r="C119" s="9" t="s">
        <v>316</v>
      </c>
      <c r="D119" s="10">
        <v>0.30138888888888898</v>
      </c>
      <c r="E119" s="10">
        <v>0.31041666666666701</v>
      </c>
      <c r="F119" t="s">
        <v>318</v>
      </c>
      <c r="G119" s="9" t="s">
        <v>319</v>
      </c>
      <c r="H119" s="11">
        <v>5.76</v>
      </c>
      <c r="I119" s="12">
        <v>19</v>
      </c>
      <c r="J119" s="12">
        <v>182</v>
      </c>
      <c r="K119" s="11">
        <f t="shared" si="2"/>
        <v>1048.32</v>
      </c>
      <c r="L119">
        <v>25</v>
      </c>
      <c r="N119" s="21" t="s">
        <v>263</v>
      </c>
      <c r="O119" t="s">
        <v>264</v>
      </c>
      <c r="P119">
        <v>23</v>
      </c>
      <c r="Q119" t="s">
        <v>265</v>
      </c>
      <c r="R119">
        <v>21</v>
      </c>
      <c r="W119" s="15" t="s">
        <v>62</v>
      </c>
      <c r="X119" s="2" t="s">
        <v>171</v>
      </c>
      <c r="Y119" s="32">
        <v>14.864486400000001</v>
      </c>
      <c r="Z119" s="32">
        <f t="shared" si="3"/>
        <v>2705.3365248</v>
      </c>
      <c r="AA119" s="16" t="s">
        <v>266</v>
      </c>
      <c r="AB119" t="s">
        <v>80</v>
      </c>
      <c r="AE119" s="1" t="s">
        <v>48</v>
      </c>
      <c r="AF119" s="1" t="s">
        <v>48</v>
      </c>
      <c r="AG119" s="1" t="s">
        <v>48</v>
      </c>
      <c r="AH119" s="1" t="s">
        <v>48</v>
      </c>
      <c r="AI119" s="1" t="s">
        <v>48</v>
      </c>
    </row>
    <row r="120" spans="1:35" ht="38.25" customHeight="1" x14ac:dyDescent="0.25">
      <c r="A120" s="9" t="s">
        <v>312</v>
      </c>
      <c r="B120" s="9" t="s">
        <v>267</v>
      </c>
      <c r="C120" s="9" t="s">
        <v>320</v>
      </c>
      <c r="D120" s="10">
        <v>0.31041666666666701</v>
      </c>
      <c r="E120" s="10">
        <v>0.3125</v>
      </c>
      <c r="F120" t="s">
        <v>321</v>
      </c>
      <c r="G120" s="9" t="s">
        <v>262</v>
      </c>
      <c r="H120" s="11">
        <v>1.76</v>
      </c>
      <c r="I120" s="12">
        <v>19</v>
      </c>
      <c r="J120" s="12">
        <v>25</v>
      </c>
      <c r="K120" s="11">
        <f t="shared" si="2"/>
        <v>44</v>
      </c>
      <c r="L120">
        <v>26</v>
      </c>
      <c r="N120" s="21" t="s">
        <v>263</v>
      </c>
      <c r="O120" t="s">
        <v>264</v>
      </c>
      <c r="P120">
        <v>23</v>
      </c>
      <c r="Q120" t="s">
        <v>265</v>
      </c>
      <c r="R120">
        <v>21</v>
      </c>
      <c r="W120" s="15" t="s">
        <v>62</v>
      </c>
      <c r="X120" s="2" t="s">
        <v>68</v>
      </c>
      <c r="Y120" s="32">
        <v>4.5419264000000004</v>
      </c>
      <c r="Z120" s="32">
        <f t="shared" si="3"/>
        <v>113.54816000000001</v>
      </c>
      <c r="AA120" s="16" t="s">
        <v>266</v>
      </c>
      <c r="AB120" t="s">
        <v>51</v>
      </c>
      <c r="AC120" t="s">
        <v>69</v>
      </c>
      <c r="AE120" s="1" t="s">
        <v>48</v>
      </c>
      <c r="AF120" s="1" t="s">
        <v>48</v>
      </c>
      <c r="AG120" s="1" t="s">
        <v>48</v>
      </c>
      <c r="AH120" s="1" t="s">
        <v>48</v>
      </c>
      <c r="AI120" s="1" t="s">
        <v>48</v>
      </c>
    </row>
    <row r="121" spans="1:35" ht="38.25" customHeight="1" x14ac:dyDescent="0.25">
      <c r="A121" s="9" t="s">
        <v>312</v>
      </c>
      <c r="B121" s="9" t="s">
        <v>270</v>
      </c>
      <c r="C121" s="9" t="s">
        <v>322</v>
      </c>
      <c r="D121" s="10">
        <v>0.313194444444444</v>
      </c>
      <c r="E121" s="10">
        <v>0.31666666666666698</v>
      </c>
      <c r="F121" t="s">
        <v>323</v>
      </c>
      <c r="G121" s="9" t="s">
        <v>262</v>
      </c>
      <c r="H121" s="11">
        <v>2.2200000000000002</v>
      </c>
      <c r="I121" s="12">
        <v>19</v>
      </c>
      <c r="J121" s="12">
        <v>25</v>
      </c>
      <c r="K121" s="11">
        <f t="shared" si="2"/>
        <v>55.500000000000007</v>
      </c>
      <c r="L121">
        <v>27</v>
      </c>
      <c r="N121" s="21" t="s">
        <v>263</v>
      </c>
      <c r="O121" t="s">
        <v>264</v>
      </c>
      <c r="P121">
        <v>23</v>
      </c>
      <c r="Q121" t="s">
        <v>265</v>
      </c>
      <c r="R121">
        <v>21</v>
      </c>
      <c r="W121" s="15" t="s">
        <v>62</v>
      </c>
      <c r="X121" s="2" t="s">
        <v>68</v>
      </c>
      <c r="Y121" s="32">
        <v>5.7290207999999998</v>
      </c>
      <c r="Z121" s="32">
        <f t="shared" si="3"/>
        <v>143.22551999999999</v>
      </c>
      <c r="AA121" s="16" t="s">
        <v>266</v>
      </c>
      <c r="AB121" t="s">
        <v>51</v>
      </c>
      <c r="AC121" t="s">
        <v>69</v>
      </c>
      <c r="AE121" s="1" t="s">
        <v>48</v>
      </c>
      <c r="AF121" s="1" t="s">
        <v>48</v>
      </c>
      <c r="AG121" s="1" t="s">
        <v>48</v>
      </c>
      <c r="AH121" s="1" t="s">
        <v>48</v>
      </c>
      <c r="AI121" s="1" t="s">
        <v>48</v>
      </c>
    </row>
    <row r="122" spans="1:35" ht="38.25" customHeight="1" x14ac:dyDescent="0.25">
      <c r="A122" s="9" t="s">
        <v>312</v>
      </c>
      <c r="B122" s="9" t="s">
        <v>273</v>
      </c>
      <c r="C122" s="9" t="s">
        <v>324</v>
      </c>
      <c r="D122" s="10">
        <v>0.35208333333333303</v>
      </c>
      <c r="E122" s="10">
        <v>0.35416666666666702</v>
      </c>
      <c r="F122" t="s">
        <v>321</v>
      </c>
      <c r="G122" s="9" t="s">
        <v>262</v>
      </c>
      <c r="H122" s="11">
        <v>1.76</v>
      </c>
      <c r="I122" s="12">
        <v>19</v>
      </c>
      <c r="J122" s="12">
        <v>25</v>
      </c>
      <c r="K122" s="11">
        <f t="shared" si="2"/>
        <v>44</v>
      </c>
      <c r="L122">
        <v>28</v>
      </c>
      <c r="N122" s="21" t="s">
        <v>263</v>
      </c>
      <c r="O122" t="s">
        <v>264</v>
      </c>
      <c r="P122">
        <v>23</v>
      </c>
      <c r="Q122" t="s">
        <v>265</v>
      </c>
      <c r="R122">
        <v>21</v>
      </c>
      <c r="W122" s="15" t="s">
        <v>62</v>
      </c>
      <c r="X122" s="2" t="s">
        <v>68</v>
      </c>
      <c r="Y122" s="32">
        <v>4.5419264000000004</v>
      </c>
      <c r="Z122" s="32">
        <f t="shared" si="3"/>
        <v>113.54816000000001</v>
      </c>
      <c r="AA122" s="16" t="s">
        <v>266</v>
      </c>
      <c r="AB122" t="s">
        <v>51</v>
      </c>
      <c r="AC122" t="s">
        <v>69</v>
      </c>
      <c r="AE122" s="1" t="s">
        <v>48</v>
      </c>
      <c r="AF122" s="1" t="s">
        <v>48</v>
      </c>
      <c r="AG122" s="1" t="s">
        <v>48</v>
      </c>
      <c r="AH122" s="1" t="s">
        <v>48</v>
      </c>
      <c r="AI122" s="1" t="s">
        <v>48</v>
      </c>
    </row>
    <row r="123" spans="1:35" ht="38.25" customHeight="1" x14ac:dyDescent="0.25">
      <c r="A123" s="9" t="s">
        <v>312</v>
      </c>
      <c r="B123" s="9" t="s">
        <v>275</v>
      </c>
      <c r="C123" s="9" t="s">
        <v>325</v>
      </c>
      <c r="D123" s="10">
        <v>0.35486111111111102</v>
      </c>
      <c r="E123" s="10">
        <v>0.358333333333333</v>
      </c>
      <c r="F123" t="s">
        <v>323</v>
      </c>
      <c r="G123" s="9" t="s">
        <v>262</v>
      </c>
      <c r="H123" s="11">
        <v>2.2200000000000002</v>
      </c>
      <c r="I123" s="12">
        <v>19</v>
      </c>
      <c r="J123" s="12">
        <v>25</v>
      </c>
      <c r="K123" s="11">
        <f t="shared" si="2"/>
        <v>55.500000000000007</v>
      </c>
      <c r="L123">
        <v>29</v>
      </c>
      <c r="N123" s="21" t="s">
        <v>263</v>
      </c>
      <c r="O123" t="s">
        <v>264</v>
      </c>
      <c r="P123">
        <v>23</v>
      </c>
      <c r="Q123" t="s">
        <v>265</v>
      </c>
      <c r="R123">
        <v>21</v>
      </c>
      <c r="W123" s="15" t="s">
        <v>62</v>
      </c>
      <c r="X123" s="2" t="s">
        <v>68</v>
      </c>
      <c r="Y123" s="32">
        <v>5.7290207999999998</v>
      </c>
      <c r="Z123" s="32">
        <f t="shared" si="3"/>
        <v>143.22551999999999</v>
      </c>
      <c r="AA123" s="16" t="s">
        <v>266</v>
      </c>
      <c r="AB123" t="s">
        <v>51</v>
      </c>
      <c r="AC123" t="s">
        <v>69</v>
      </c>
      <c r="AE123" s="1" t="s">
        <v>48</v>
      </c>
      <c r="AF123" s="1" t="s">
        <v>48</v>
      </c>
      <c r="AG123" s="1" t="s">
        <v>48</v>
      </c>
      <c r="AH123" s="1" t="s">
        <v>48</v>
      </c>
      <c r="AI123" s="1" t="s">
        <v>48</v>
      </c>
    </row>
    <row r="124" spans="1:35" ht="38.25" customHeight="1" x14ac:dyDescent="0.25">
      <c r="A124" s="9" t="s">
        <v>312</v>
      </c>
      <c r="B124" s="9" t="s">
        <v>277</v>
      </c>
      <c r="C124" s="9" t="s">
        <v>326</v>
      </c>
      <c r="D124" s="10">
        <v>0.50208333333333299</v>
      </c>
      <c r="E124" s="10">
        <v>0.51111111111111096</v>
      </c>
      <c r="F124" t="s">
        <v>318</v>
      </c>
      <c r="G124" s="9" t="s">
        <v>262</v>
      </c>
      <c r="H124" s="11">
        <v>5.76</v>
      </c>
      <c r="I124" s="12">
        <v>19</v>
      </c>
      <c r="J124" s="12">
        <v>25</v>
      </c>
      <c r="K124" s="11">
        <f t="shared" si="2"/>
        <v>144</v>
      </c>
      <c r="L124">
        <v>30</v>
      </c>
      <c r="N124" s="21" t="s">
        <v>263</v>
      </c>
      <c r="O124" t="s">
        <v>264</v>
      </c>
      <c r="P124">
        <v>23</v>
      </c>
      <c r="Q124" t="s">
        <v>265</v>
      </c>
      <c r="R124">
        <v>21</v>
      </c>
      <c r="W124" s="15" t="s">
        <v>62</v>
      </c>
      <c r="X124" s="2" t="s">
        <v>68</v>
      </c>
      <c r="Y124" s="32">
        <v>14.864486400000001</v>
      </c>
      <c r="Z124" s="32">
        <f t="shared" si="3"/>
        <v>371.61216000000002</v>
      </c>
      <c r="AA124" s="16" t="s">
        <v>266</v>
      </c>
      <c r="AB124" t="s">
        <v>51</v>
      </c>
      <c r="AC124" t="s">
        <v>69</v>
      </c>
      <c r="AE124" s="1" t="s">
        <v>48</v>
      </c>
      <c r="AF124" s="1" t="s">
        <v>48</v>
      </c>
      <c r="AG124" s="1" t="s">
        <v>48</v>
      </c>
      <c r="AH124" s="1" t="s">
        <v>48</v>
      </c>
      <c r="AI124" s="1" t="s">
        <v>48</v>
      </c>
    </row>
    <row r="125" spans="1:35" ht="38.25" customHeight="1" x14ac:dyDescent="0.25">
      <c r="A125" s="9" t="s">
        <v>312</v>
      </c>
      <c r="B125" s="9" t="s">
        <v>279</v>
      </c>
      <c r="C125" s="9" t="s">
        <v>327</v>
      </c>
      <c r="D125" s="10">
        <v>0.51597222222222205</v>
      </c>
      <c r="E125" s="10">
        <v>0.51805555555555605</v>
      </c>
      <c r="F125" t="s">
        <v>321</v>
      </c>
      <c r="G125" s="9" t="s">
        <v>262</v>
      </c>
      <c r="H125" s="11">
        <v>1.76</v>
      </c>
      <c r="I125" s="12">
        <v>19</v>
      </c>
      <c r="J125" s="12">
        <v>25</v>
      </c>
      <c r="K125" s="11">
        <f t="shared" si="2"/>
        <v>44</v>
      </c>
      <c r="L125">
        <v>31</v>
      </c>
      <c r="N125" s="21" t="s">
        <v>263</v>
      </c>
      <c r="O125" t="s">
        <v>264</v>
      </c>
      <c r="P125">
        <v>23</v>
      </c>
      <c r="Q125" t="s">
        <v>265</v>
      </c>
      <c r="R125">
        <v>21</v>
      </c>
      <c r="W125" s="15" t="s">
        <v>62</v>
      </c>
      <c r="X125" s="2" t="s">
        <v>68</v>
      </c>
      <c r="Y125" s="32">
        <v>4.5419264000000004</v>
      </c>
      <c r="Z125" s="32">
        <f t="shared" si="3"/>
        <v>113.54816000000001</v>
      </c>
      <c r="AA125" s="16" t="s">
        <v>266</v>
      </c>
      <c r="AB125" t="s">
        <v>51</v>
      </c>
      <c r="AC125" t="s">
        <v>69</v>
      </c>
      <c r="AE125" s="1" t="s">
        <v>48</v>
      </c>
      <c r="AF125" s="1" t="s">
        <v>48</v>
      </c>
      <c r="AG125" s="1" t="s">
        <v>48</v>
      </c>
      <c r="AH125" s="1" t="s">
        <v>48</v>
      </c>
      <c r="AI125" s="1" t="s">
        <v>48</v>
      </c>
    </row>
    <row r="126" spans="1:35" ht="38.25" customHeight="1" x14ac:dyDescent="0.25">
      <c r="A126" s="9" t="s">
        <v>312</v>
      </c>
      <c r="B126" s="9" t="s">
        <v>281</v>
      </c>
      <c r="C126" s="9" t="s">
        <v>328</v>
      </c>
      <c r="D126" s="10">
        <v>0.51875000000000004</v>
      </c>
      <c r="E126" s="10">
        <v>0.52222222222222203</v>
      </c>
      <c r="F126" t="s">
        <v>323</v>
      </c>
      <c r="G126" s="9" t="s">
        <v>262</v>
      </c>
      <c r="H126" s="11">
        <v>2.2200000000000002</v>
      </c>
      <c r="I126" s="12">
        <v>19</v>
      </c>
      <c r="J126" s="12">
        <v>25</v>
      </c>
      <c r="K126" s="11">
        <f t="shared" si="2"/>
        <v>55.500000000000007</v>
      </c>
      <c r="L126">
        <v>32</v>
      </c>
      <c r="N126" s="21" t="s">
        <v>263</v>
      </c>
      <c r="O126" t="s">
        <v>264</v>
      </c>
      <c r="P126">
        <v>23</v>
      </c>
      <c r="Q126" t="s">
        <v>265</v>
      </c>
      <c r="R126">
        <v>21</v>
      </c>
      <c r="W126" s="15" t="s">
        <v>62</v>
      </c>
      <c r="X126" s="2" t="s">
        <v>68</v>
      </c>
      <c r="Y126" s="32">
        <v>5.7290207999999998</v>
      </c>
      <c r="Z126" s="32">
        <f t="shared" si="3"/>
        <v>143.22551999999999</v>
      </c>
      <c r="AA126" s="16" t="s">
        <v>266</v>
      </c>
      <c r="AB126" t="s">
        <v>51</v>
      </c>
      <c r="AC126" t="s">
        <v>69</v>
      </c>
      <c r="AE126" s="1" t="s">
        <v>48</v>
      </c>
      <c r="AF126" s="1" t="s">
        <v>48</v>
      </c>
      <c r="AG126" s="1" t="s">
        <v>48</v>
      </c>
      <c r="AH126" s="1" t="s">
        <v>48</v>
      </c>
      <c r="AI126" s="1" t="s">
        <v>48</v>
      </c>
    </row>
    <row r="127" spans="1:35" ht="38.25" customHeight="1" x14ac:dyDescent="0.25">
      <c r="A127" s="9" t="s">
        <v>312</v>
      </c>
      <c r="B127" s="9" t="s">
        <v>283</v>
      </c>
      <c r="C127" s="9" t="s">
        <v>329</v>
      </c>
      <c r="D127" s="10">
        <v>0.53263888888888899</v>
      </c>
      <c r="E127" s="10">
        <v>0.54166666666666696</v>
      </c>
      <c r="F127" t="s">
        <v>318</v>
      </c>
      <c r="G127" s="9" t="s">
        <v>262</v>
      </c>
      <c r="H127" s="11">
        <v>5.76</v>
      </c>
      <c r="I127" s="12">
        <v>19</v>
      </c>
      <c r="J127" s="12">
        <v>25</v>
      </c>
      <c r="K127" s="11">
        <f t="shared" si="2"/>
        <v>144</v>
      </c>
      <c r="L127">
        <v>33</v>
      </c>
      <c r="N127" s="21" t="s">
        <v>263</v>
      </c>
      <c r="O127" t="s">
        <v>264</v>
      </c>
      <c r="P127">
        <v>23</v>
      </c>
      <c r="Q127" t="s">
        <v>265</v>
      </c>
      <c r="R127">
        <v>21</v>
      </c>
      <c r="W127" s="15" t="s">
        <v>62</v>
      </c>
      <c r="X127" s="2" t="s">
        <v>68</v>
      </c>
      <c r="Y127" s="32">
        <v>14.864486400000001</v>
      </c>
      <c r="Z127" s="32">
        <f t="shared" si="3"/>
        <v>371.61216000000002</v>
      </c>
      <c r="AA127" s="16" t="s">
        <v>266</v>
      </c>
      <c r="AB127" t="s">
        <v>51</v>
      </c>
      <c r="AC127" t="s">
        <v>69</v>
      </c>
      <c r="AE127" s="1" t="s">
        <v>48</v>
      </c>
      <c r="AF127" s="1" t="s">
        <v>48</v>
      </c>
      <c r="AG127" s="1" t="s">
        <v>48</v>
      </c>
      <c r="AH127" s="1" t="s">
        <v>48</v>
      </c>
      <c r="AI127" s="1" t="s">
        <v>48</v>
      </c>
    </row>
    <row r="128" spans="1:35" ht="38.25" customHeight="1" x14ac:dyDescent="0.25">
      <c r="A128" s="9" t="s">
        <v>312</v>
      </c>
      <c r="B128" s="9" t="s">
        <v>285</v>
      </c>
      <c r="C128" s="9" t="s">
        <v>330</v>
      </c>
      <c r="D128" s="10">
        <v>0.75208333333333299</v>
      </c>
      <c r="E128" s="10">
        <v>0.76111111111111096</v>
      </c>
      <c r="F128" t="s">
        <v>318</v>
      </c>
      <c r="G128" s="9" t="s">
        <v>262</v>
      </c>
      <c r="H128" s="11">
        <v>5.76</v>
      </c>
      <c r="I128" s="12">
        <v>19</v>
      </c>
      <c r="J128" s="12">
        <v>25</v>
      </c>
      <c r="K128" s="11">
        <f t="shared" si="2"/>
        <v>144</v>
      </c>
      <c r="L128">
        <v>34</v>
      </c>
      <c r="N128" s="21" t="s">
        <v>263</v>
      </c>
      <c r="O128" t="s">
        <v>264</v>
      </c>
      <c r="P128">
        <v>23</v>
      </c>
      <c r="Q128" t="s">
        <v>265</v>
      </c>
      <c r="R128">
        <v>21</v>
      </c>
      <c r="W128" s="15" t="s">
        <v>62</v>
      </c>
      <c r="X128" s="2" t="s">
        <v>68</v>
      </c>
      <c r="Y128" s="32">
        <v>14.864486400000001</v>
      </c>
      <c r="Z128" s="32">
        <f t="shared" si="3"/>
        <v>371.61216000000002</v>
      </c>
      <c r="AA128" s="16" t="s">
        <v>266</v>
      </c>
      <c r="AB128" t="s">
        <v>51</v>
      </c>
      <c r="AC128" t="s">
        <v>69</v>
      </c>
      <c r="AE128" s="1" t="s">
        <v>48</v>
      </c>
      <c r="AF128" s="1" t="s">
        <v>48</v>
      </c>
      <c r="AG128" s="1" t="s">
        <v>48</v>
      </c>
      <c r="AH128" s="1" t="s">
        <v>48</v>
      </c>
      <c r="AI128" s="1" t="s">
        <v>48</v>
      </c>
    </row>
    <row r="129" spans="1:36" ht="38.25" customHeight="1" x14ac:dyDescent="0.25">
      <c r="A129" s="9" t="s">
        <v>312</v>
      </c>
      <c r="B129" s="9" t="s">
        <v>287</v>
      </c>
      <c r="C129" s="9" t="s">
        <v>331</v>
      </c>
      <c r="D129" s="10">
        <v>0.76597222222222205</v>
      </c>
      <c r="E129" s="10">
        <v>0.76805555555555605</v>
      </c>
      <c r="F129" t="s">
        <v>321</v>
      </c>
      <c r="G129" s="9" t="s">
        <v>262</v>
      </c>
      <c r="H129" s="11">
        <v>1.76</v>
      </c>
      <c r="I129" s="12">
        <v>19</v>
      </c>
      <c r="J129" s="12">
        <v>25</v>
      </c>
      <c r="K129" s="11">
        <f t="shared" si="2"/>
        <v>44</v>
      </c>
      <c r="L129">
        <v>35</v>
      </c>
      <c r="N129" s="21" t="s">
        <v>263</v>
      </c>
      <c r="O129" t="s">
        <v>264</v>
      </c>
      <c r="P129">
        <v>23</v>
      </c>
      <c r="Q129" t="s">
        <v>265</v>
      </c>
      <c r="R129">
        <v>21</v>
      </c>
      <c r="W129" s="15" t="s">
        <v>62</v>
      </c>
      <c r="X129" s="2" t="s">
        <v>68</v>
      </c>
      <c r="Y129" s="32">
        <v>4.5419264000000004</v>
      </c>
      <c r="Z129" s="32">
        <f t="shared" si="3"/>
        <v>113.54816000000001</v>
      </c>
      <c r="AA129" s="16" t="s">
        <v>266</v>
      </c>
      <c r="AB129" t="s">
        <v>51</v>
      </c>
      <c r="AC129" t="s">
        <v>69</v>
      </c>
      <c r="AE129" s="1" t="s">
        <v>48</v>
      </c>
      <c r="AF129" s="1" t="s">
        <v>48</v>
      </c>
      <c r="AG129" s="1" t="s">
        <v>48</v>
      </c>
      <c r="AH129" s="1" t="s">
        <v>48</v>
      </c>
      <c r="AI129" s="1" t="s">
        <v>48</v>
      </c>
    </row>
    <row r="130" spans="1:36" ht="38.25" customHeight="1" x14ac:dyDescent="0.25">
      <c r="A130" s="9" t="s">
        <v>312</v>
      </c>
      <c r="B130" s="9" t="s">
        <v>289</v>
      </c>
      <c r="C130" s="9" t="s">
        <v>332</v>
      </c>
      <c r="D130" s="10">
        <v>0.76875000000000004</v>
      </c>
      <c r="E130" s="10">
        <v>0.77222222222222203</v>
      </c>
      <c r="F130" t="s">
        <v>323</v>
      </c>
      <c r="G130" s="9" t="s">
        <v>262</v>
      </c>
      <c r="H130" s="11">
        <v>2.2200000000000002</v>
      </c>
      <c r="I130" s="12">
        <v>19</v>
      </c>
      <c r="J130" s="12">
        <v>25</v>
      </c>
      <c r="K130" s="11">
        <f t="shared" ref="K130:K193" si="4">J130*H130</f>
        <v>55.500000000000007</v>
      </c>
      <c r="L130">
        <v>36</v>
      </c>
      <c r="N130" s="21" t="s">
        <v>263</v>
      </c>
      <c r="O130" t="s">
        <v>264</v>
      </c>
      <c r="P130">
        <v>23</v>
      </c>
      <c r="Q130" t="s">
        <v>265</v>
      </c>
      <c r="R130">
        <v>21</v>
      </c>
      <c r="W130" s="15" t="s">
        <v>62</v>
      </c>
      <c r="X130" s="2" t="s">
        <v>68</v>
      </c>
      <c r="Y130" s="32">
        <v>5.7290207999999998</v>
      </c>
      <c r="Z130" s="32">
        <f t="shared" ref="Z130:Z193" si="5">Y130*J130</f>
        <v>143.22551999999999</v>
      </c>
      <c r="AA130" s="16" t="s">
        <v>266</v>
      </c>
      <c r="AB130" t="s">
        <v>51</v>
      </c>
      <c r="AC130" t="s">
        <v>69</v>
      </c>
      <c r="AE130" s="1" t="s">
        <v>48</v>
      </c>
      <c r="AF130" s="1" t="s">
        <v>48</v>
      </c>
      <c r="AG130" s="1" t="s">
        <v>48</v>
      </c>
      <c r="AH130" s="1" t="s">
        <v>48</v>
      </c>
      <c r="AI130" s="1" t="s">
        <v>48</v>
      </c>
    </row>
    <row r="131" spans="1:36" ht="38.25" customHeight="1" x14ac:dyDescent="0.25">
      <c r="A131" s="9" t="s">
        <v>258</v>
      </c>
      <c r="B131" s="9" t="s">
        <v>259</v>
      </c>
      <c r="C131" s="9" t="s">
        <v>271</v>
      </c>
      <c r="D131" s="10">
        <v>0.31805555555555598</v>
      </c>
      <c r="E131" s="10">
        <v>0.33055555555555599</v>
      </c>
      <c r="F131" t="s">
        <v>272</v>
      </c>
      <c r="G131" s="9" t="s">
        <v>333</v>
      </c>
      <c r="H131" s="11">
        <v>7.67</v>
      </c>
      <c r="I131" s="12">
        <v>19</v>
      </c>
      <c r="J131" s="12">
        <v>3</v>
      </c>
      <c r="K131" s="11">
        <f t="shared" si="4"/>
        <v>23.009999999999998</v>
      </c>
      <c r="L131">
        <v>37</v>
      </c>
      <c r="N131" s="21" t="s">
        <v>263</v>
      </c>
      <c r="O131" t="s">
        <v>264</v>
      </c>
      <c r="P131">
        <v>23</v>
      </c>
      <c r="Q131" t="s">
        <v>265</v>
      </c>
      <c r="R131">
        <v>21</v>
      </c>
      <c r="W131" s="15" t="s">
        <v>62</v>
      </c>
      <c r="X131" s="2" t="s">
        <v>71</v>
      </c>
      <c r="Y131" s="32">
        <v>19.793508800000001</v>
      </c>
      <c r="Z131" s="32">
        <f t="shared" si="5"/>
        <v>59.380526400000008</v>
      </c>
      <c r="AA131" s="16" t="s">
        <v>266</v>
      </c>
      <c r="AB131" t="s">
        <v>51</v>
      </c>
      <c r="AC131" t="s">
        <v>69</v>
      </c>
      <c r="AJ131" s="1" t="s">
        <v>48</v>
      </c>
    </row>
    <row r="132" spans="1:36" ht="38.25" customHeight="1" x14ac:dyDescent="0.25">
      <c r="A132" s="9" t="s">
        <v>258</v>
      </c>
      <c r="B132" s="9" t="s">
        <v>267</v>
      </c>
      <c r="C132" s="9" t="s">
        <v>274</v>
      </c>
      <c r="D132" s="10">
        <v>0.33541666666666697</v>
      </c>
      <c r="E132" s="10">
        <v>0.35069444444444398</v>
      </c>
      <c r="F132" t="s">
        <v>269</v>
      </c>
      <c r="G132" s="9" t="s">
        <v>333</v>
      </c>
      <c r="H132" s="11">
        <v>9.01</v>
      </c>
      <c r="I132" s="12">
        <v>19</v>
      </c>
      <c r="J132" s="12">
        <v>3</v>
      </c>
      <c r="K132" s="11">
        <f t="shared" si="4"/>
        <v>27.03</v>
      </c>
      <c r="L132">
        <v>38</v>
      </c>
      <c r="N132" s="21" t="s">
        <v>263</v>
      </c>
      <c r="O132" t="s">
        <v>264</v>
      </c>
      <c r="P132">
        <v>23</v>
      </c>
      <c r="Q132" t="s">
        <v>265</v>
      </c>
      <c r="R132">
        <v>21</v>
      </c>
      <c r="W132" s="15" t="s">
        <v>62</v>
      </c>
      <c r="X132" s="2" t="s">
        <v>71</v>
      </c>
      <c r="Y132" s="32">
        <v>23.251566400000002</v>
      </c>
      <c r="Z132" s="32">
        <f t="shared" si="5"/>
        <v>69.754699200000005</v>
      </c>
      <c r="AA132" s="16" t="s">
        <v>266</v>
      </c>
      <c r="AB132" t="s">
        <v>51</v>
      </c>
      <c r="AC132" t="s">
        <v>69</v>
      </c>
      <c r="AJ132" s="1" t="s">
        <v>48</v>
      </c>
    </row>
    <row r="133" spans="1:36" ht="38.25" customHeight="1" x14ac:dyDescent="0.25">
      <c r="A133" s="9" t="s">
        <v>258</v>
      </c>
      <c r="B133" s="9" t="s">
        <v>270</v>
      </c>
      <c r="C133" s="9" t="s">
        <v>276</v>
      </c>
      <c r="D133" s="10">
        <v>0.359722222222222</v>
      </c>
      <c r="E133" s="10">
        <v>0.37222222222222201</v>
      </c>
      <c r="F133" t="s">
        <v>272</v>
      </c>
      <c r="G133" s="9" t="s">
        <v>333</v>
      </c>
      <c r="H133" s="11">
        <v>7.67</v>
      </c>
      <c r="I133" s="12">
        <v>19</v>
      </c>
      <c r="J133" s="12">
        <v>3</v>
      </c>
      <c r="K133" s="11">
        <f t="shared" si="4"/>
        <v>23.009999999999998</v>
      </c>
      <c r="L133">
        <v>39</v>
      </c>
      <c r="N133" s="21" t="s">
        <v>263</v>
      </c>
      <c r="O133" t="s">
        <v>264</v>
      </c>
      <c r="P133">
        <v>23</v>
      </c>
      <c r="Q133" t="s">
        <v>265</v>
      </c>
      <c r="R133">
        <v>21</v>
      </c>
      <c r="W133" s="15" t="s">
        <v>62</v>
      </c>
      <c r="X133" s="2" t="s">
        <v>71</v>
      </c>
      <c r="Y133" s="32">
        <v>19.793508800000001</v>
      </c>
      <c r="Z133" s="32">
        <f t="shared" si="5"/>
        <v>59.380526400000008</v>
      </c>
      <c r="AA133" s="16" t="s">
        <v>266</v>
      </c>
      <c r="AB133" t="s">
        <v>51</v>
      </c>
      <c r="AC133" t="s">
        <v>69</v>
      </c>
      <c r="AJ133" s="1" t="s">
        <v>48</v>
      </c>
    </row>
    <row r="134" spans="1:36" ht="38.25" customHeight="1" x14ac:dyDescent="0.25">
      <c r="A134" s="9" t="s">
        <v>258</v>
      </c>
      <c r="B134" s="9" t="s">
        <v>273</v>
      </c>
      <c r="C134" s="9" t="s">
        <v>278</v>
      </c>
      <c r="D134" s="10">
        <v>0.37708333333333299</v>
      </c>
      <c r="E134" s="10">
        <v>0.39236111111111099</v>
      </c>
      <c r="F134" t="s">
        <v>269</v>
      </c>
      <c r="G134" s="9" t="s">
        <v>333</v>
      </c>
      <c r="H134" s="11">
        <v>9.01</v>
      </c>
      <c r="I134" s="12">
        <v>19</v>
      </c>
      <c r="J134" s="12">
        <v>3</v>
      </c>
      <c r="K134" s="11">
        <f t="shared" si="4"/>
        <v>27.03</v>
      </c>
      <c r="L134">
        <v>40</v>
      </c>
      <c r="N134" s="21" t="s">
        <v>263</v>
      </c>
      <c r="O134" t="s">
        <v>264</v>
      </c>
      <c r="P134">
        <v>23</v>
      </c>
      <c r="Q134" t="s">
        <v>265</v>
      </c>
      <c r="R134">
        <v>21</v>
      </c>
      <c r="W134" s="15" t="s">
        <v>62</v>
      </c>
      <c r="X134" s="2" t="s">
        <v>71</v>
      </c>
      <c r="Y134" s="32">
        <v>23.251566400000002</v>
      </c>
      <c r="Z134" s="32">
        <f t="shared" si="5"/>
        <v>69.754699200000005</v>
      </c>
      <c r="AA134" s="16" t="s">
        <v>266</v>
      </c>
      <c r="AB134" t="s">
        <v>51</v>
      </c>
      <c r="AC134" t="s">
        <v>69</v>
      </c>
      <c r="AJ134" s="1" t="s">
        <v>48</v>
      </c>
    </row>
    <row r="135" spans="1:36" ht="38.25" customHeight="1" x14ac:dyDescent="0.25">
      <c r="A135" s="9" t="s">
        <v>258</v>
      </c>
      <c r="B135" s="9" t="s">
        <v>275</v>
      </c>
      <c r="C135" s="9" t="s">
        <v>280</v>
      </c>
      <c r="D135" s="10">
        <v>0.46458333333333302</v>
      </c>
      <c r="E135" s="10">
        <v>0.47708333333333303</v>
      </c>
      <c r="F135" t="s">
        <v>272</v>
      </c>
      <c r="G135" s="9" t="s">
        <v>333</v>
      </c>
      <c r="H135" s="11">
        <v>7.67</v>
      </c>
      <c r="I135" s="12">
        <v>19</v>
      </c>
      <c r="J135" s="12">
        <v>3</v>
      </c>
      <c r="K135" s="11">
        <f t="shared" si="4"/>
        <v>23.009999999999998</v>
      </c>
      <c r="L135">
        <v>41</v>
      </c>
      <c r="N135" s="21" t="s">
        <v>263</v>
      </c>
      <c r="O135" t="s">
        <v>264</v>
      </c>
      <c r="P135">
        <v>23</v>
      </c>
      <c r="Q135" t="s">
        <v>265</v>
      </c>
      <c r="R135">
        <v>21</v>
      </c>
      <c r="W135" s="15" t="s">
        <v>62</v>
      </c>
      <c r="X135" s="2" t="s">
        <v>71</v>
      </c>
      <c r="Y135" s="32">
        <v>19.793508800000001</v>
      </c>
      <c r="Z135" s="32">
        <f t="shared" si="5"/>
        <v>59.380526400000008</v>
      </c>
      <c r="AA135" s="16" t="s">
        <v>266</v>
      </c>
      <c r="AB135" t="s">
        <v>51</v>
      </c>
      <c r="AC135" t="s">
        <v>69</v>
      </c>
      <c r="AJ135" s="1" t="s">
        <v>48</v>
      </c>
    </row>
    <row r="136" spans="1:36" ht="38.25" customHeight="1" x14ac:dyDescent="0.25">
      <c r="A136" s="9" t="s">
        <v>258</v>
      </c>
      <c r="B136" s="9" t="s">
        <v>277</v>
      </c>
      <c r="C136" s="9" t="s">
        <v>282</v>
      </c>
      <c r="D136" s="10">
        <v>0.47708333333333303</v>
      </c>
      <c r="E136" s="10">
        <v>0.49236111111111103</v>
      </c>
      <c r="F136" t="s">
        <v>269</v>
      </c>
      <c r="G136" s="9" t="s">
        <v>333</v>
      </c>
      <c r="H136" s="11">
        <v>9.01</v>
      </c>
      <c r="I136" s="12">
        <v>19</v>
      </c>
      <c r="J136" s="12">
        <v>3</v>
      </c>
      <c r="K136" s="11">
        <f t="shared" si="4"/>
        <v>27.03</v>
      </c>
      <c r="L136">
        <v>42</v>
      </c>
      <c r="N136" s="21" t="s">
        <v>263</v>
      </c>
      <c r="O136" t="s">
        <v>264</v>
      </c>
      <c r="P136">
        <v>23</v>
      </c>
      <c r="Q136" t="s">
        <v>265</v>
      </c>
      <c r="R136">
        <v>21</v>
      </c>
      <c r="W136" s="15" t="s">
        <v>62</v>
      </c>
      <c r="X136" s="2" t="s">
        <v>71</v>
      </c>
      <c r="Y136" s="32">
        <v>23.251566400000002</v>
      </c>
      <c r="Z136" s="32">
        <f t="shared" si="5"/>
        <v>69.754699200000005</v>
      </c>
      <c r="AA136" s="16" t="s">
        <v>266</v>
      </c>
      <c r="AB136" t="s">
        <v>51</v>
      </c>
      <c r="AC136" t="s">
        <v>69</v>
      </c>
      <c r="AJ136" s="1" t="s">
        <v>48</v>
      </c>
    </row>
    <row r="137" spans="1:36" ht="38.25" customHeight="1" x14ac:dyDescent="0.25">
      <c r="A137" s="9" t="s">
        <v>258</v>
      </c>
      <c r="B137" s="9" t="s">
        <v>279</v>
      </c>
      <c r="C137" s="9" t="s">
        <v>284</v>
      </c>
      <c r="D137" s="10">
        <v>0.54791666666666705</v>
      </c>
      <c r="E137" s="10">
        <v>0.56041666666666701</v>
      </c>
      <c r="F137" t="s">
        <v>272</v>
      </c>
      <c r="G137" s="9" t="s">
        <v>333</v>
      </c>
      <c r="H137" s="11">
        <v>7.67</v>
      </c>
      <c r="I137" s="12">
        <v>19</v>
      </c>
      <c r="J137" s="12">
        <v>3</v>
      </c>
      <c r="K137" s="11">
        <f t="shared" si="4"/>
        <v>23.009999999999998</v>
      </c>
      <c r="L137">
        <v>43</v>
      </c>
      <c r="N137" s="21" t="s">
        <v>263</v>
      </c>
      <c r="O137" t="s">
        <v>264</v>
      </c>
      <c r="P137">
        <v>23</v>
      </c>
      <c r="Q137" t="s">
        <v>265</v>
      </c>
      <c r="R137">
        <v>21</v>
      </c>
      <c r="W137" s="15" t="s">
        <v>62</v>
      </c>
      <c r="X137" s="2" t="s">
        <v>71</v>
      </c>
      <c r="Y137" s="32">
        <v>19.793508800000001</v>
      </c>
      <c r="Z137" s="32">
        <f t="shared" si="5"/>
        <v>59.380526400000008</v>
      </c>
      <c r="AA137" s="16" t="s">
        <v>266</v>
      </c>
      <c r="AB137" t="s">
        <v>51</v>
      </c>
      <c r="AC137" t="s">
        <v>69</v>
      </c>
      <c r="AJ137" s="1" t="s">
        <v>48</v>
      </c>
    </row>
    <row r="138" spans="1:36" ht="38.25" customHeight="1" x14ac:dyDescent="0.25">
      <c r="A138" s="9" t="s">
        <v>258</v>
      </c>
      <c r="B138" s="9" t="s">
        <v>281</v>
      </c>
      <c r="C138" s="9" t="s">
        <v>286</v>
      </c>
      <c r="D138" s="10">
        <v>0.56041666666666701</v>
      </c>
      <c r="E138" s="10">
        <v>0.57569444444444395</v>
      </c>
      <c r="F138" t="s">
        <v>269</v>
      </c>
      <c r="G138" s="9" t="s">
        <v>333</v>
      </c>
      <c r="H138" s="11">
        <v>9.01</v>
      </c>
      <c r="I138" s="12">
        <v>19</v>
      </c>
      <c r="J138" s="12">
        <v>3</v>
      </c>
      <c r="K138" s="11">
        <f t="shared" si="4"/>
        <v>27.03</v>
      </c>
      <c r="L138">
        <v>44</v>
      </c>
      <c r="N138" s="21" t="s">
        <v>263</v>
      </c>
      <c r="O138" t="s">
        <v>264</v>
      </c>
      <c r="P138">
        <v>23</v>
      </c>
      <c r="Q138" t="s">
        <v>265</v>
      </c>
      <c r="R138">
        <v>21</v>
      </c>
      <c r="W138" s="15" t="s">
        <v>62</v>
      </c>
      <c r="X138" s="2" t="s">
        <v>71</v>
      </c>
      <c r="Y138" s="32">
        <v>23.251566400000002</v>
      </c>
      <c r="Z138" s="32">
        <f t="shared" si="5"/>
        <v>69.754699200000005</v>
      </c>
      <c r="AA138" s="16" t="s">
        <v>266</v>
      </c>
      <c r="AB138" t="s">
        <v>51</v>
      </c>
      <c r="AC138" t="s">
        <v>69</v>
      </c>
      <c r="AJ138" s="1" t="s">
        <v>48</v>
      </c>
    </row>
    <row r="139" spans="1:36" ht="38.25" customHeight="1" x14ac:dyDescent="0.25">
      <c r="A139" s="9" t="s">
        <v>258</v>
      </c>
      <c r="B139" s="9" t="s">
        <v>283</v>
      </c>
      <c r="C139" s="9" t="s">
        <v>334</v>
      </c>
      <c r="D139" s="10">
        <v>0.58958333333333302</v>
      </c>
      <c r="E139" s="10">
        <v>0.60208333333333297</v>
      </c>
      <c r="F139" t="s">
        <v>272</v>
      </c>
      <c r="G139" s="9" t="s">
        <v>333</v>
      </c>
      <c r="H139" s="11">
        <v>7.67</v>
      </c>
      <c r="I139" s="12">
        <v>19</v>
      </c>
      <c r="J139" s="12">
        <v>3</v>
      </c>
      <c r="K139" s="11">
        <f t="shared" si="4"/>
        <v>23.009999999999998</v>
      </c>
      <c r="L139">
        <v>45</v>
      </c>
      <c r="N139" s="21" t="s">
        <v>263</v>
      </c>
      <c r="O139" t="s">
        <v>264</v>
      </c>
      <c r="P139">
        <v>23</v>
      </c>
      <c r="Q139" t="s">
        <v>265</v>
      </c>
      <c r="R139">
        <v>21</v>
      </c>
      <c r="W139" s="15" t="s">
        <v>62</v>
      </c>
      <c r="X139" s="2" t="s">
        <v>71</v>
      </c>
      <c r="Y139" s="32">
        <v>19.793508800000001</v>
      </c>
      <c r="Z139" s="32">
        <f t="shared" si="5"/>
        <v>59.380526400000008</v>
      </c>
      <c r="AA139" s="16" t="s">
        <v>266</v>
      </c>
      <c r="AB139" t="s">
        <v>51</v>
      </c>
      <c r="AC139" t="s">
        <v>69</v>
      </c>
      <c r="AJ139" s="1" t="s">
        <v>48</v>
      </c>
    </row>
    <row r="140" spans="1:36" ht="38.25" customHeight="1" x14ac:dyDescent="0.25">
      <c r="A140" s="9" t="s">
        <v>258</v>
      </c>
      <c r="B140" s="9" t="s">
        <v>285</v>
      </c>
      <c r="C140" s="9" t="s">
        <v>335</v>
      </c>
      <c r="D140" s="10">
        <v>0.60208333333333297</v>
      </c>
      <c r="E140" s="10">
        <v>0.61736111111111103</v>
      </c>
      <c r="F140" t="s">
        <v>269</v>
      </c>
      <c r="G140" s="9" t="s">
        <v>333</v>
      </c>
      <c r="H140" s="11">
        <v>9.01</v>
      </c>
      <c r="I140" s="12">
        <v>19</v>
      </c>
      <c r="J140" s="12">
        <v>3</v>
      </c>
      <c r="K140" s="11">
        <f t="shared" si="4"/>
        <v>27.03</v>
      </c>
      <c r="L140">
        <v>46</v>
      </c>
      <c r="N140" s="21" t="s">
        <v>263</v>
      </c>
      <c r="O140" t="s">
        <v>264</v>
      </c>
      <c r="P140">
        <v>23</v>
      </c>
      <c r="Q140" t="s">
        <v>265</v>
      </c>
      <c r="R140">
        <v>21</v>
      </c>
      <c r="W140" s="15" t="s">
        <v>62</v>
      </c>
      <c r="X140" s="2" t="s">
        <v>71</v>
      </c>
      <c r="Y140" s="32">
        <v>23.251566400000002</v>
      </c>
      <c r="Z140" s="32">
        <f t="shared" si="5"/>
        <v>69.754699200000005</v>
      </c>
      <c r="AA140" s="16" t="s">
        <v>266</v>
      </c>
      <c r="AB140" t="s">
        <v>51</v>
      </c>
      <c r="AC140" t="s">
        <v>69</v>
      </c>
      <c r="AJ140" s="1" t="s">
        <v>48</v>
      </c>
    </row>
    <row r="141" spans="1:36" ht="38.25" customHeight="1" x14ac:dyDescent="0.25">
      <c r="A141" s="9" t="s">
        <v>258</v>
      </c>
      <c r="B141" s="9" t="s">
        <v>287</v>
      </c>
      <c r="C141" s="9" t="s">
        <v>296</v>
      </c>
      <c r="D141" s="10">
        <v>0.65902777777777799</v>
      </c>
      <c r="E141" s="10">
        <v>0.66666666666666696</v>
      </c>
      <c r="F141" t="s">
        <v>297</v>
      </c>
      <c r="G141" s="9" t="s">
        <v>333</v>
      </c>
      <c r="H141" s="11">
        <v>3.76</v>
      </c>
      <c r="I141" s="12">
        <v>19</v>
      </c>
      <c r="J141" s="12">
        <v>3</v>
      </c>
      <c r="K141" s="11">
        <f t="shared" si="4"/>
        <v>11.28</v>
      </c>
      <c r="L141">
        <v>47</v>
      </c>
      <c r="N141" s="21" t="s">
        <v>263</v>
      </c>
      <c r="O141" t="s">
        <v>264</v>
      </c>
      <c r="P141">
        <v>23</v>
      </c>
      <c r="Q141" t="s">
        <v>265</v>
      </c>
      <c r="R141">
        <v>21</v>
      </c>
      <c r="W141" s="15" t="s">
        <v>62</v>
      </c>
      <c r="X141" s="2" t="s">
        <v>71</v>
      </c>
      <c r="Y141" s="32">
        <v>9.7032063999999991</v>
      </c>
      <c r="Z141" s="32">
        <f t="shared" si="5"/>
        <v>29.109619199999997</v>
      </c>
      <c r="AA141" s="16" t="s">
        <v>266</v>
      </c>
      <c r="AB141" t="s">
        <v>51</v>
      </c>
      <c r="AC141" t="s">
        <v>69</v>
      </c>
      <c r="AJ141" s="1" t="s">
        <v>48</v>
      </c>
    </row>
    <row r="142" spans="1:36" ht="38.25" customHeight="1" x14ac:dyDescent="0.25">
      <c r="A142" s="9" t="s">
        <v>258</v>
      </c>
      <c r="B142" s="9" t="s">
        <v>289</v>
      </c>
      <c r="C142" s="9" t="s">
        <v>299</v>
      </c>
      <c r="D142" s="10">
        <v>0.66666666666666696</v>
      </c>
      <c r="E142" s="10">
        <v>0.67222222222222205</v>
      </c>
      <c r="F142" t="s">
        <v>300</v>
      </c>
      <c r="G142" s="9" t="s">
        <v>333</v>
      </c>
      <c r="H142" s="11">
        <v>2.76</v>
      </c>
      <c r="I142" s="12">
        <v>19</v>
      </c>
      <c r="J142" s="12">
        <v>3</v>
      </c>
      <c r="K142" s="11">
        <f t="shared" si="4"/>
        <v>8.2799999999999994</v>
      </c>
      <c r="L142">
        <v>48</v>
      </c>
      <c r="N142" s="21" t="s">
        <v>263</v>
      </c>
      <c r="O142" t="s">
        <v>264</v>
      </c>
      <c r="P142">
        <v>23</v>
      </c>
      <c r="Q142" t="s">
        <v>265</v>
      </c>
      <c r="R142">
        <v>21</v>
      </c>
      <c r="W142" s="15" t="s">
        <v>62</v>
      </c>
      <c r="X142" s="2" t="s">
        <v>71</v>
      </c>
      <c r="Y142" s="32">
        <v>7.1225664000000002</v>
      </c>
      <c r="Z142" s="32">
        <f t="shared" si="5"/>
        <v>21.367699200000001</v>
      </c>
      <c r="AA142" s="16" t="s">
        <v>266</v>
      </c>
      <c r="AB142" t="s">
        <v>51</v>
      </c>
      <c r="AC142" t="s">
        <v>69</v>
      </c>
      <c r="AJ142" s="1" t="s">
        <v>48</v>
      </c>
    </row>
    <row r="143" spans="1:36" ht="38.25" customHeight="1" x14ac:dyDescent="0.25">
      <c r="A143" s="9" t="s">
        <v>258</v>
      </c>
      <c r="B143" s="9" t="s">
        <v>291</v>
      </c>
      <c r="C143" s="9" t="s">
        <v>305</v>
      </c>
      <c r="D143" s="10">
        <v>0.71458333333333302</v>
      </c>
      <c r="E143" s="10">
        <v>0.72708333333333297</v>
      </c>
      <c r="F143" t="s">
        <v>272</v>
      </c>
      <c r="G143" s="9" t="s">
        <v>333</v>
      </c>
      <c r="H143" s="11">
        <v>7.67</v>
      </c>
      <c r="I143" s="12">
        <v>19</v>
      </c>
      <c r="J143" s="12">
        <v>3</v>
      </c>
      <c r="K143" s="11">
        <f t="shared" si="4"/>
        <v>23.009999999999998</v>
      </c>
      <c r="L143">
        <v>49</v>
      </c>
      <c r="N143" s="21" t="s">
        <v>263</v>
      </c>
      <c r="O143" t="s">
        <v>264</v>
      </c>
      <c r="P143">
        <v>23</v>
      </c>
      <c r="Q143" t="s">
        <v>265</v>
      </c>
      <c r="R143">
        <v>21</v>
      </c>
      <c r="W143" s="15" t="s">
        <v>62</v>
      </c>
      <c r="X143" s="2" t="s">
        <v>71</v>
      </c>
      <c r="Y143" s="32">
        <v>19.793508800000001</v>
      </c>
      <c r="Z143" s="32">
        <f t="shared" si="5"/>
        <v>59.380526400000008</v>
      </c>
      <c r="AA143" s="16" t="s">
        <v>266</v>
      </c>
      <c r="AB143" t="s">
        <v>51</v>
      </c>
      <c r="AC143" t="s">
        <v>69</v>
      </c>
      <c r="AJ143" s="1" t="s">
        <v>48</v>
      </c>
    </row>
    <row r="144" spans="1:36" ht="38.25" customHeight="1" x14ac:dyDescent="0.25">
      <c r="A144" s="9" t="s">
        <v>258</v>
      </c>
      <c r="B144" s="9" t="s">
        <v>293</v>
      </c>
      <c r="C144" s="9" t="s">
        <v>307</v>
      </c>
      <c r="D144" s="10">
        <v>0.72708333333333297</v>
      </c>
      <c r="E144" s="10">
        <v>0.74236111111111103</v>
      </c>
      <c r="F144" t="s">
        <v>269</v>
      </c>
      <c r="G144" s="9" t="s">
        <v>333</v>
      </c>
      <c r="H144" s="11">
        <v>9.01</v>
      </c>
      <c r="I144" s="12">
        <v>19</v>
      </c>
      <c r="J144" s="12">
        <v>3</v>
      </c>
      <c r="K144" s="11">
        <f t="shared" si="4"/>
        <v>27.03</v>
      </c>
      <c r="L144">
        <v>50</v>
      </c>
      <c r="N144" s="21" t="s">
        <v>263</v>
      </c>
      <c r="O144" t="s">
        <v>264</v>
      </c>
      <c r="P144">
        <v>23</v>
      </c>
      <c r="Q144" t="s">
        <v>265</v>
      </c>
      <c r="R144">
        <v>21</v>
      </c>
      <c r="W144" s="15" t="s">
        <v>62</v>
      </c>
      <c r="X144" s="2" t="s">
        <v>71</v>
      </c>
      <c r="Y144" s="32">
        <v>23.251566400000002</v>
      </c>
      <c r="Z144" s="32">
        <f t="shared" si="5"/>
        <v>69.754699200000005</v>
      </c>
      <c r="AA144" s="16" t="s">
        <v>266</v>
      </c>
      <c r="AB144" t="s">
        <v>51</v>
      </c>
      <c r="AC144" t="s">
        <v>69</v>
      </c>
      <c r="AJ144" s="1" t="s">
        <v>48</v>
      </c>
    </row>
    <row r="145" spans="1:36" ht="38.25" customHeight="1" x14ac:dyDescent="0.25">
      <c r="A145" s="9" t="s">
        <v>258</v>
      </c>
      <c r="B145" s="9" t="s">
        <v>295</v>
      </c>
      <c r="C145" s="9" t="s">
        <v>309</v>
      </c>
      <c r="D145" s="10">
        <v>0.77708333333333302</v>
      </c>
      <c r="E145" s="10">
        <v>0.78472222222222199</v>
      </c>
      <c r="F145" t="s">
        <v>297</v>
      </c>
      <c r="G145" s="9" t="s">
        <v>333</v>
      </c>
      <c r="H145" s="11">
        <v>3.76</v>
      </c>
      <c r="I145" s="12">
        <v>19</v>
      </c>
      <c r="J145" s="12">
        <v>3</v>
      </c>
      <c r="K145" s="11">
        <f t="shared" si="4"/>
        <v>11.28</v>
      </c>
      <c r="L145">
        <v>51</v>
      </c>
      <c r="N145" s="21" t="s">
        <v>263</v>
      </c>
      <c r="O145" t="s">
        <v>264</v>
      </c>
      <c r="P145">
        <v>23</v>
      </c>
      <c r="Q145" t="s">
        <v>265</v>
      </c>
      <c r="R145">
        <v>21</v>
      </c>
      <c r="W145" s="15" t="s">
        <v>62</v>
      </c>
      <c r="X145" s="2" t="s">
        <v>71</v>
      </c>
      <c r="Y145" s="32">
        <v>9.7032063999999991</v>
      </c>
      <c r="Z145" s="32">
        <f t="shared" si="5"/>
        <v>29.109619199999997</v>
      </c>
      <c r="AA145" s="16" t="s">
        <v>266</v>
      </c>
      <c r="AB145" t="s">
        <v>51</v>
      </c>
      <c r="AC145" t="s">
        <v>69</v>
      </c>
      <c r="AJ145" s="1" t="s">
        <v>48</v>
      </c>
    </row>
    <row r="146" spans="1:36" ht="38.25" customHeight="1" x14ac:dyDescent="0.25">
      <c r="A146" s="9" t="s">
        <v>258</v>
      </c>
      <c r="B146" s="9" t="s">
        <v>298</v>
      </c>
      <c r="C146" s="9" t="s">
        <v>311</v>
      </c>
      <c r="D146" s="10">
        <v>0.78472222222222199</v>
      </c>
      <c r="E146" s="10">
        <v>0.79027777777777797</v>
      </c>
      <c r="F146" t="s">
        <v>300</v>
      </c>
      <c r="G146" s="9" t="s">
        <v>333</v>
      </c>
      <c r="H146" s="11">
        <v>2.76</v>
      </c>
      <c r="I146" s="12">
        <v>19</v>
      </c>
      <c r="J146" s="12">
        <v>3</v>
      </c>
      <c r="K146" s="11">
        <f t="shared" si="4"/>
        <v>8.2799999999999994</v>
      </c>
      <c r="L146">
        <v>52</v>
      </c>
      <c r="N146" s="21" t="s">
        <v>263</v>
      </c>
      <c r="O146" t="s">
        <v>264</v>
      </c>
      <c r="P146">
        <v>23</v>
      </c>
      <c r="Q146" t="s">
        <v>265</v>
      </c>
      <c r="R146">
        <v>21</v>
      </c>
      <c r="W146" s="15" t="s">
        <v>62</v>
      </c>
      <c r="X146" s="2" t="s">
        <v>71</v>
      </c>
      <c r="Y146" s="32">
        <v>7.1225664000000002</v>
      </c>
      <c r="Z146" s="32">
        <f t="shared" si="5"/>
        <v>21.367699200000001</v>
      </c>
      <c r="AA146" s="16" t="s">
        <v>266</v>
      </c>
      <c r="AB146" t="s">
        <v>51</v>
      </c>
      <c r="AC146" t="s">
        <v>69</v>
      </c>
      <c r="AJ146" s="1" t="s">
        <v>48</v>
      </c>
    </row>
    <row r="147" spans="1:36" ht="51" customHeight="1" x14ac:dyDescent="0.25">
      <c r="A147" s="9" t="s">
        <v>336</v>
      </c>
      <c r="B147" s="9" t="s">
        <v>259</v>
      </c>
      <c r="C147" s="9" t="s">
        <v>337</v>
      </c>
      <c r="D147" s="10">
        <v>0.27430555555555602</v>
      </c>
      <c r="E147" s="10">
        <v>0.28958333333333303</v>
      </c>
      <c r="F147" t="s">
        <v>269</v>
      </c>
      <c r="G147" s="9" t="s">
        <v>338</v>
      </c>
      <c r="H147" s="11">
        <v>9.76</v>
      </c>
      <c r="I147" s="12">
        <v>21</v>
      </c>
      <c r="J147" s="12">
        <v>164</v>
      </c>
      <c r="K147" s="11">
        <f t="shared" si="4"/>
        <v>1600.6399999999999</v>
      </c>
      <c r="L147">
        <v>53</v>
      </c>
      <c r="N147" s="21" t="s">
        <v>339</v>
      </c>
      <c r="O147" t="s">
        <v>340</v>
      </c>
      <c r="P147">
        <v>21</v>
      </c>
      <c r="Q147" t="s">
        <v>341</v>
      </c>
      <c r="R147">
        <v>21</v>
      </c>
      <c r="S147" t="s">
        <v>342</v>
      </c>
      <c r="W147" s="15" t="s">
        <v>62</v>
      </c>
      <c r="X147" s="2" t="s">
        <v>84</v>
      </c>
      <c r="Y147" s="32">
        <v>25.1870464</v>
      </c>
      <c r="Z147" s="32">
        <f t="shared" si="5"/>
        <v>4130.6756095999999</v>
      </c>
      <c r="AA147" s="16" t="s">
        <v>266</v>
      </c>
      <c r="AB147" t="s">
        <v>64</v>
      </c>
      <c r="AE147" s="1" t="s">
        <v>48</v>
      </c>
      <c r="AF147" s="1" t="s">
        <v>48</v>
      </c>
      <c r="AG147" s="1" t="s">
        <v>48</v>
      </c>
      <c r="AH147" s="1" t="s">
        <v>48</v>
      </c>
      <c r="AI147" s="1" t="s">
        <v>48</v>
      </c>
    </row>
    <row r="148" spans="1:36" ht="25.5" customHeight="1" x14ac:dyDescent="0.25">
      <c r="A148" s="9" t="s">
        <v>336</v>
      </c>
      <c r="B148" s="9" t="s">
        <v>267</v>
      </c>
      <c r="C148" s="9" t="s">
        <v>271</v>
      </c>
      <c r="D148" s="10">
        <v>0.31805555555555598</v>
      </c>
      <c r="E148" s="10">
        <v>0.33055555555555599</v>
      </c>
      <c r="F148" t="s">
        <v>272</v>
      </c>
      <c r="G148" s="9" t="s">
        <v>338</v>
      </c>
      <c r="H148" s="11">
        <v>7.67</v>
      </c>
      <c r="I148" s="12">
        <v>19</v>
      </c>
      <c r="J148" s="12">
        <v>164</v>
      </c>
      <c r="K148" s="11">
        <f t="shared" si="4"/>
        <v>1257.8799999999999</v>
      </c>
      <c r="L148">
        <v>54</v>
      </c>
      <c r="N148" s="21" t="s">
        <v>263</v>
      </c>
      <c r="O148" t="s">
        <v>264</v>
      </c>
      <c r="P148">
        <v>23</v>
      </c>
      <c r="Q148" t="s">
        <v>265</v>
      </c>
      <c r="R148">
        <v>21</v>
      </c>
      <c r="W148" s="15" t="s">
        <v>62</v>
      </c>
      <c r="X148" s="2" t="s">
        <v>84</v>
      </c>
      <c r="Y148" s="32">
        <v>19.793508800000001</v>
      </c>
      <c r="Z148" s="32">
        <f t="shared" si="5"/>
        <v>3246.1354432000003</v>
      </c>
      <c r="AA148" s="16" t="s">
        <v>266</v>
      </c>
      <c r="AB148" t="s">
        <v>64</v>
      </c>
      <c r="AE148" s="1" t="s">
        <v>48</v>
      </c>
      <c r="AF148" s="1" t="s">
        <v>48</v>
      </c>
      <c r="AG148" s="1" t="s">
        <v>48</v>
      </c>
      <c r="AH148" s="1" t="s">
        <v>48</v>
      </c>
      <c r="AI148" s="1" t="s">
        <v>48</v>
      </c>
    </row>
    <row r="149" spans="1:36" ht="25.5" customHeight="1" x14ac:dyDescent="0.25">
      <c r="A149" s="9" t="s">
        <v>336</v>
      </c>
      <c r="B149" s="9" t="s">
        <v>270</v>
      </c>
      <c r="C149" s="9" t="s">
        <v>274</v>
      </c>
      <c r="D149" s="10">
        <v>0.33541666666666697</v>
      </c>
      <c r="E149" s="10">
        <v>0.35069444444444398</v>
      </c>
      <c r="F149" t="s">
        <v>269</v>
      </c>
      <c r="G149" s="9" t="s">
        <v>338</v>
      </c>
      <c r="H149" s="11">
        <v>9.01</v>
      </c>
      <c r="I149" s="12">
        <v>19</v>
      </c>
      <c r="J149" s="12">
        <v>164</v>
      </c>
      <c r="K149" s="11">
        <f t="shared" si="4"/>
        <v>1477.6399999999999</v>
      </c>
      <c r="L149">
        <v>55</v>
      </c>
      <c r="N149" s="21" t="s">
        <v>263</v>
      </c>
      <c r="O149" t="s">
        <v>264</v>
      </c>
      <c r="P149">
        <v>23</v>
      </c>
      <c r="Q149" t="s">
        <v>265</v>
      </c>
      <c r="R149">
        <v>21</v>
      </c>
      <c r="W149" s="15" t="s">
        <v>62</v>
      </c>
      <c r="X149" s="2" t="s">
        <v>84</v>
      </c>
      <c r="Y149" s="32">
        <v>23.251566400000002</v>
      </c>
      <c r="Z149" s="32">
        <f t="shared" si="5"/>
        <v>3813.2568896000002</v>
      </c>
      <c r="AA149" s="16" t="s">
        <v>266</v>
      </c>
      <c r="AB149" t="s">
        <v>64</v>
      </c>
      <c r="AE149" s="1" t="s">
        <v>48</v>
      </c>
      <c r="AF149" s="1" t="s">
        <v>48</v>
      </c>
      <c r="AG149" s="1" t="s">
        <v>48</v>
      </c>
      <c r="AH149" s="1" t="s">
        <v>48</v>
      </c>
      <c r="AI149" s="1" t="s">
        <v>48</v>
      </c>
    </row>
    <row r="150" spans="1:36" ht="25.5" customHeight="1" x14ac:dyDescent="0.25">
      <c r="A150" s="9" t="s">
        <v>336</v>
      </c>
      <c r="B150" s="9" t="s">
        <v>273</v>
      </c>
      <c r="C150" s="9" t="s">
        <v>276</v>
      </c>
      <c r="D150" s="10">
        <v>0.359722222222222</v>
      </c>
      <c r="E150" s="10">
        <v>0.37222222222222201</v>
      </c>
      <c r="F150" t="s">
        <v>272</v>
      </c>
      <c r="G150" s="9" t="s">
        <v>338</v>
      </c>
      <c r="H150" s="11">
        <v>7.67</v>
      </c>
      <c r="I150" s="12">
        <v>19</v>
      </c>
      <c r="J150" s="12">
        <v>164</v>
      </c>
      <c r="K150" s="11">
        <f t="shared" si="4"/>
        <v>1257.8799999999999</v>
      </c>
      <c r="L150">
        <v>56</v>
      </c>
      <c r="N150" s="21" t="s">
        <v>263</v>
      </c>
      <c r="O150" t="s">
        <v>264</v>
      </c>
      <c r="P150">
        <v>23</v>
      </c>
      <c r="Q150" t="s">
        <v>265</v>
      </c>
      <c r="R150">
        <v>21</v>
      </c>
      <c r="W150" s="15" t="s">
        <v>62</v>
      </c>
      <c r="X150" s="2" t="s">
        <v>84</v>
      </c>
      <c r="Y150" s="32">
        <v>19.793508800000001</v>
      </c>
      <c r="Z150" s="32">
        <f t="shared" si="5"/>
        <v>3246.1354432000003</v>
      </c>
      <c r="AA150" s="16" t="s">
        <v>266</v>
      </c>
      <c r="AB150" t="s">
        <v>64</v>
      </c>
      <c r="AE150" s="1" t="s">
        <v>48</v>
      </c>
      <c r="AF150" s="1" t="s">
        <v>48</v>
      </c>
      <c r="AG150" s="1" t="s">
        <v>48</v>
      </c>
      <c r="AH150" s="1" t="s">
        <v>48</v>
      </c>
      <c r="AI150" s="1" t="s">
        <v>48</v>
      </c>
    </row>
    <row r="151" spans="1:36" ht="25.5" customHeight="1" x14ac:dyDescent="0.25">
      <c r="A151" s="9" t="s">
        <v>336</v>
      </c>
      <c r="B151" s="9" t="s">
        <v>275</v>
      </c>
      <c r="C151" s="9" t="s">
        <v>278</v>
      </c>
      <c r="D151" s="10">
        <v>0.37708333333333299</v>
      </c>
      <c r="E151" s="10">
        <v>0.39236111111111099</v>
      </c>
      <c r="F151" t="s">
        <v>269</v>
      </c>
      <c r="G151" s="9" t="s">
        <v>338</v>
      </c>
      <c r="H151" s="11">
        <v>9.01</v>
      </c>
      <c r="I151" s="12">
        <v>19</v>
      </c>
      <c r="J151" s="12">
        <v>164</v>
      </c>
      <c r="K151" s="11">
        <f t="shared" si="4"/>
        <v>1477.6399999999999</v>
      </c>
      <c r="L151">
        <v>57</v>
      </c>
      <c r="N151" s="21" t="s">
        <v>263</v>
      </c>
      <c r="O151" t="s">
        <v>264</v>
      </c>
      <c r="P151">
        <v>23</v>
      </c>
      <c r="Q151" t="s">
        <v>265</v>
      </c>
      <c r="R151">
        <v>21</v>
      </c>
      <c r="W151" s="15" t="s">
        <v>62</v>
      </c>
      <c r="X151" s="2" t="s">
        <v>84</v>
      </c>
      <c r="Y151" s="32">
        <v>23.251566400000002</v>
      </c>
      <c r="Z151" s="32">
        <f t="shared" si="5"/>
        <v>3813.2568896000002</v>
      </c>
      <c r="AA151" s="16" t="s">
        <v>266</v>
      </c>
      <c r="AB151" t="s">
        <v>64</v>
      </c>
      <c r="AE151" s="1" t="s">
        <v>48</v>
      </c>
      <c r="AF151" s="1" t="s">
        <v>48</v>
      </c>
      <c r="AG151" s="1" t="s">
        <v>48</v>
      </c>
      <c r="AH151" s="1" t="s">
        <v>48</v>
      </c>
      <c r="AI151" s="1" t="s">
        <v>48</v>
      </c>
    </row>
    <row r="152" spans="1:36" ht="25.5" customHeight="1" x14ac:dyDescent="0.25">
      <c r="A152" s="9" t="s">
        <v>336</v>
      </c>
      <c r="B152" s="9" t="s">
        <v>277</v>
      </c>
      <c r="C152" s="9" t="s">
        <v>280</v>
      </c>
      <c r="D152" s="10">
        <v>0.46458333333333302</v>
      </c>
      <c r="E152" s="10">
        <v>0.47708333333333303</v>
      </c>
      <c r="F152" t="s">
        <v>272</v>
      </c>
      <c r="G152" s="9" t="s">
        <v>338</v>
      </c>
      <c r="H152" s="11">
        <v>7.67</v>
      </c>
      <c r="I152" s="12">
        <v>19</v>
      </c>
      <c r="J152" s="12">
        <v>164</v>
      </c>
      <c r="K152" s="11">
        <f t="shared" si="4"/>
        <v>1257.8799999999999</v>
      </c>
      <c r="L152">
        <v>58</v>
      </c>
      <c r="N152" s="21" t="s">
        <v>263</v>
      </c>
      <c r="O152" t="s">
        <v>264</v>
      </c>
      <c r="P152">
        <v>23</v>
      </c>
      <c r="Q152" t="s">
        <v>265</v>
      </c>
      <c r="R152">
        <v>21</v>
      </c>
      <c r="W152" s="15" t="s">
        <v>62</v>
      </c>
      <c r="X152" s="2" t="s">
        <v>84</v>
      </c>
      <c r="Y152" s="32">
        <v>19.793508800000001</v>
      </c>
      <c r="Z152" s="32">
        <f t="shared" si="5"/>
        <v>3246.1354432000003</v>
      </c>
      <c r="AA152" s="16" t="s">
        <v>266</v>
      </c>
      <c r="AB152" t="s">
        <v>64</v>
      </c>
      <c r="AE152" s="1" t="s">
        <v>48</v>
      </c>
      <c r="AF152" s="1" t="s">
        <v>48</v>
      </c>
      <c r="AG152" s="1" t="s">
        <v>48</v>
      </c>
      <c r="AH152" s="1" t="s">
        <v>48</v>
      </c>
      <c r="AI152" s="1" t="s">
        <v>48</v>
      </c>
    </row>
    <row r="153" spans="1:36" ht="25.5" customHeight="1" x14ac:dyDescent="0.25">
      <c r="A153" s="9" t="s">
        <v>336</v>
      </c>
      <c r="B153" s="9" t="s">
        <v>279</v>
      </c>
      <c r="C153" s="9" t="s">
        <v>282</v>
      </c>
      <c r="D153" s="10">
        <v>0.47708333333333303</v>
      </c>
      <c r="E153" s="10">
        <v>0.49236111111111103</v>
      </c>
      <c r="F153" t="s">
        <v>269</v>
      </c>
      <c r="G153" s="9" t="s">
        <v>338</v>
      </c>
      <c r="H153" s="11">
        <v>9.01</v>
      </c>
      <c r="I153" s="12">
        <v>19</v>
      </c>
      <c r="J153" s="12">
        <v>164</v>
      </c>
      <c r="K153" s="11">
        <f t="shared" si="4"/>
        <v>1477.6399999999999</v>
      </c>
      <c r="L153">
        <v>59</v>
      </c>
      <c r="N153" s="21" t="s">
        <v>263</v>
      </c>
      <c r="O153" t="s">
        <v>264</v>
      </c>
      <c r="P153">
        <v>23</v>
      </c>
      <c r="Q153" t="s">
        <v>265</v>
      </c>
      <c r="R153">
        <v>21</v>
      </c>
      <c r="W153" s="15" t="s">
        <v>62</v>
      </c>
      <c r="X153" s="2" t="s">
        <v>84</v>
      </c>
      <c r="Y153" s="32">
        <v>23.251566400000002</v>
      </c>
      <c r="Z153" s="32">
        <f t="shared" si="5"/>
        <v>3813.2568896000002</v>
      </c>
      <c r="AA153" s="16" t="s">
        <v>266</v>
      </c>
      <c r="AB153" t="s">
        <v>64</v>
      </c>
      <c r="AE153" s="1" t="s">
        <v>48</v>
      </c>
      <c r="AF153" s="1" t="s">
        <v>48</v>
      </c>
      <c r="AG153" s="1" t="s">
        <v>48</v>
      </c>
      <c r="AH153" s="1" t="s">
        <v>48</v>
      </c>
      <c r="AI153" s="1" t="s">
        <v>48</v>
      </c>
    </row>
    <row r="154" spans="1:36" ht="25.5" customHeight="1" x14ac:dyDescent="0.25">
      <c r="A154" s="9" t="s">
        <v>336</v>
      </c>
      <c r="B154" s="9" t="s">
        <v>281</v>
      </c>
      <c r="C154" s="9" t="s">
        <v>284</v>
      </c>
      <c r="D154" s="10">
        <v>0.54791666666666705</v>
      </c>
      <c r="E154" s="10">
        <v>0.56041666666666701</v>
      </c>
      <c r="F154" t="s">
        <v>272</v>
      </c>
      <c r="G154" s="9" t="s">
        <v>338</v>
      </c>
      <c r="H154" s="11">
        <v>7.67</v>
      </c>
      <c r="I154" s="12">
        <v>19</v>
      </c>
      <c r="J154" s="12">
        <v>164</v>
      </c>
      <c r="K154" s="11">
        <f t="shared" si="4"/>
        <v>1257.8799999999999</v>
      </c>
      <c r="L154">
        <v>60</v>
      </c>
      <c r="N154" s="21" t="s">
        <v>263</v>
      </c>
      <c r="O154" t="s">
        <v>264</v>
      </c>
      <c r="P154">
        <v>23</v>
      </c>
      <c r="Q154" t="s">
        <v>265</v>
      </c>
      <c r="R154">
        <v>21</v>
      </c>
      <c r="W154" s="15" t="s">
        <v>62</v>
      </c>
      <c r="X154" s="2" t="s">
        <v>84</v>
      </c>
      <c r="Y154" s="32">
        <v>19.793508800000001</v>
      </c>
      <c r="Z154" s="32">
        <f t="shared" si="5"/>
        <v>3246.1354432000003</v>
      </c>
      <c r="AA154" s="16" t="s">
        <v>266</v>
      </c>
      <c r="AB154" t="s">
        <v>64</v>
      </c>
      <c r="AE154" s="1" t="s">
        <v>48</v>
      </c>
      <c r="AF154" s="1" t="s">
        <v>48</v>
      </c>
      <c r="AG154" s="1" t="s">
        <v>48</v>
      </c>
      <c r="AH154" s="1" t="s">
        <v>48</v>
      </c>
      <c r="AI154" s="1" t="s">
        <v>48</v>
      </c>
    </row>
    <row r="155" spans="1:36" ht="25.5" customHeight="1" x14ac:dyDescent="0.25">
      <c r="A155" s="9" t="s">
        <v>336</v>
      </c>
      <c r="B155" s="9" t="s">
        <v>283</v>
      </c>
      <c r="C155" s="9" t="s">
        <v>286</v>
      </c>
      <c r="D155" s="10">
        <v>0.56041666666666701</v>
      </c>
      <c r="E155" s="10">
        <v>0.57569444444444395</v>
      </c>
      <c r="F155" t="s">
        <v>269</v>
      </c>
      <c r="G155" s="9" t="s">
        <v>338</v>
      </c>
      <c r="H155" s="11">
        <v>9.01</v>
      </c>
      <c r="I155" s="12">
        <v>19</v>
      </c>
      <c r="J155" s="12">
        <v>164</v>
      </c>
      <c r="K155" s="11">
        <f t="shared" si="4"/>
        <v>1477.6399999999999</v>
      </c>
      <c r="L155">
        <v>61</v>
      </c>
      <c r="N155" s="21" t="s">
        <v>263</v>
      </c>
      <c r="O155" t="s">
        <v>264</v>
      </c>
      <c r="P155">
        <v>23</v>
      </c>
      <c r="Q155" t="s">
        <v>265</v>
      </c>
      <c r="R155">
        <v>21</v>
      </c>
      <c r="W155" s="15" t="s">
        <v>62</v>
      </c>
      <c r="X155" s="2" t="s">
        <v>84</v>
      </c>
      <c r="Y155" s="32">
        <v>23.251566400000002</v>
      </c>
      <c r="Z155" s="32">
        <f t="shared" si="5"/>
        <v>3813.2568896000002</v>
      </c>
      <c r="AA155" s="16" t="s">
        <v>266</v>
      </c>
      <c r="AB155" t="s">
        <v>64</v>
      </c>
      <c r="AE155" s="1" t="s">
        <v>48</v>
      </c>
      <c r="AF155" s="1" t="s">
        <v>48</v>
      </c>
      <c r="AG155" s="1" t="s">
        <v>48</v>
      </c>
      <c r="AH155" s="1" t="s">
        <v>48</v>
      </c>
      <c r="AI155" s="1" t="s">
        <v>48</v>
      </c>
    </row>
    <row r="156" spans="1:36" ht="51" customHeight="1" x14ac:dyDescent="0.25">
      <c r="A156" s="9" t="s">
        <v>336</v>
      </c>
      <c r="B156" s="9" t="s">
        <v>285</v>
      </c>
      <c r="C156" s="9" t="s">
        <v>343</v>
      </c>
      <c r="D156" s="10">
        <v>0.593055555555556</v>
      </c>
      <c r="E156" s="10">
        <v>0.60277777777777797</v>
      </c>
      <c r="F156" t="s">
        <v>272</v>
      </c>
      <c r="G156" s="9" t="s">
        <v>338</v>
      </c>
      <c r="H156" s="11">
        <v>7.07</v>
      </c>
      <c r="I156" s="12">
        <v>21</v>
      </c>
      <c r="J156" s="12">
        <v>164</v>
      </c>
      <c r="K156" s="11">
        <f t="shared" si="4"/>
        <v>1159.48</v>
      </c>
      <c r="L156">
        <v>62</v>
      </c>
      <c r="N156" s="21" t="s">
        <v>339</v>
      </c>
      <c r="O156" t="s">
        <v>340</v>
      </c>
      <c r="P156">
        <v>21</v>
      </c>
      <c r="Q156" t="s">
        <v>341</v>
      </c>
      <c r="R156">
        <v>21</v>
      </c>
      <c r="S156" t="s">
        <v>342</v>
      </c>
      <c r="W156" s="15" t="s">
        <v>62</v>
      </c>
      <c r="X156" s="2" t="s">
        <v>84</v>
      </c>
      <c r="Y156" s="32">
        <v>18.245124799999999</v>
      </c>
      <c r="Z156" s="32">
        <f t="shared" si="5"/>
        <v>2992.2004671999998</v>
      </c>
      <c r="AA156" s="16" t="s">
        <v>266</v>
      </c>
      <c r="AB156" t="s">
        <v>64</v>
      </c>
      <c r="AE156" s="1" t="s">
        <v>48</v>
      </c>
      <c r="AF156" s="1" t="s">
        <v>48</v>
      </c>
      <c r="AG156" s="1" t="s">
        <v>48</v>
      </c>
      <c r="AH156" s="1" t="s">
        <v>48</v>
      </c>
      <c r="AI156" s="1" t="s">
        <v>48</v>
      </c>
    </row>
    <row r="157" spans="1:36" ht="51" customHeight="1" x14ac:dyDescent="0.25">
      <c r="A157" s="9" t="s">
        <v>336</v>
      </c>
      <c r="B157" s="9" t="s">
        <v>287</v>
      </c>
      <c r="C157" s="9" t="s">
        <v>344</v>
      </c>
      <c r="D157" s="10">
        <v>0.60277777777777797</v>
      </c>
      <c r="E157" s="10">
        <v>0.61527777777777803</v>
      </c>
      <c r="F157" t="s">
        <v>269</v>
      </c>
      <c r="G157" s="9" t="s">
        <v>338</v>
      </c>
      <c r="H157" s="11">
        <v>7.82</v>
      </c>
      <c r="I157" s="12">
        <v>21</v>
      </c>
      <c r="J157" s="12">
        <v>164</v>
      </c>
      <c r="K157" s="11">
        <f t="shared" si="4"/>
        <v>1282.48</v>
      </c>
      <c r="L157">
        <v>63</v>
      </c>
      <c r="N157" s="21" t="s">
        <v>339</v>
      </c>
      <c r="O157" t="s">
        <v>340</v>
      </c>
      <c r="P157">
        <v>21</v>
      </c>
      <c r="Q157" t="s">
        <v>341</v>
      </c>
      <c r="R157">
        <v>21</v>
      </c>
      <c r="S157" t="s">
        <v>342</v>
      </c>
      <c r="W157" s="15" t="s">
        <v>62</v>
      </c>
      <c r="X157" s="2" t="s">
        <v>84</v>
      </c>
      <c r="Y157" s="32">
        <v>20.180604800000001</v>
      </c>
      <c r="Z157" s="32">
        <f t="shared" si="5"/>
        <v>3309.6191872000004</v>
      </c>
      <c r="AA157" s="16" t="s">
        <v>266</v>
      </c>
      <c r="AB157" t="s">
        <v>64</v>
      </c>
      <c r="AE157" s="1" t="s">
        <v>48</v>
      </c>
      <c r="AF157" s="1" t="s">
        <v>48</v>
      </c>
      <c r="AG157" s="1" t="s">
        <v>48</v>
      </c>
      <c r="AH157" s="1" t="s">
        <v>48</v>
      </c>
      <c r="AI157" s="1" t="s">
        <v>48</v>
      </c>
    </row>
    <row r="158" spans="1:36" ht="25.5" customHeight="1" x14ac:dyDescent="0.25">
      <c r="A158" s="9" t="s">
        <v>336</v>
      </c>
      <c r="B158" s="9" t="s">
        <v>289</v>
      </c>
      <c r="C158" s="9" t="s">
        <v>292</v>
      </c>
      <c r="D158" s="10">
        <v>0.63124999999999998</v>
      </c>
      <c r="E158" s="10">
        <v>0.64375000000000004</v>
      </c>
      <c r="F158" t="s">
        <v>272</v>
      </c>
      <c r="G158" s="9" t="s">
        <v>338</v>
      </c>
      <c r="H158" s="11">
        <v>7.67</v>
      </c>
      <c r="I158" s="12">
        <v>19</v>
      </c>
      <c r="J158" s="12">
        <v>164</v>
      </c>
      <c r="K158" s="11">
        <f t="shared" si="4"/>
        <v>1257.8799999999999</v>
      </c>
      <c r="L158">
        <v>64</v>
      </c>
      <c r="N158" s="21" t="s">
        <v>263</v>
      </c>
      <c r="O158" t="s">
        <v>264</v>
      </c>
      <c r="P158">
        <v>23</v>
      </c>
      <c r="Q158" t="s">
        <v>265</v>
      </c>
      <c r="R158">
        <v>21</v>
      </c>
      <c r="W158" s="15" t="s">
        <v>62</v>
      </c>
      <c r="X158" s="2" t="s">
        <v>84</v>
      </c>
      <c r="Y158" s="32">
        <v>19.793508800000001</v>
      </c>
      <c r="Z158" s="32">
        <f t="shared" si="5"/>
        <v>3246.1354432000003</v>
      </c>
      <c r="AA158" s="16" t="s">
        <v>266</v>
      </c>
      <c r="AB158" t="s">
        <v>64</v>
      </c>
      <c r="AE158" s="1" t="s">
        <v>48</v>
      </c>
      <c r="AF158" s="1" t="s">
        <v>48</v>
      </c>
      <c r="AG158" s="1" t="s">
        <v>48</v>
      </c>
      <c r="AH158" s="1" t="s">
        <v>48</v>
      </c>
      <c r="AI158" s="1" t="s">
        <v>48</v>
      </c>
    </row>
    <row r="159" spans="1:36" ht="25.5" customHeight="1" x14ac:dyDescent="0.25">
      <c r="A159" s="9" t="s">
        <v>336</v>
      </c>
      <c r="B159" s="9" t="s">
        <v>291</v>
      </c>
      <c r="C159" s="9" t="s">
        <v>294</v>
      </c>
      <c r="D159" s="10">
        <v>0.64375000000000004</v>
      </c>
      <c r="E159" s="10">
        <v>0.65902777777777799</v>
      </c>
      <c r="F159" t="s">
        <v>269</v>
      </c>
      <c r="G159" s="9" t="s">
        <v>338</v>
      </c>
      <c r="H159" s="11">
        <v>9.01</v>
      </c>
      <c r="I159" s="12">
        <v>19</v>
      </c>
      <c r="J159" s="12">
        <v>164</v>
      </c>
      <c r="K159" s="11">
        <f t="shared" si="4"/>
        <v>1477.6399999999999</v>
      </c>
      <c r="L159">
        <v>65</v>
      </c>
      <c r="N159" s="21" t="s">
        <v>263</v>
      </c>
      <c r="O159" t="s">
        <v>264</v>
      </c>
      <c r="P159">
        <v>23</v>
      </c>
      <c r="Q159" t="s">
        <v>265</v>
      </c>
      <c r="R159">
        <v>21</v>
      </c>
      <c r="W159" s="15" t="s">
        <v>62</v>
      </c>
      <c r="X159" s="2" t="s">
        <v>84</v>
      </c>
      <c r="Y159" s="32">
        <v>23.251566400000002</v>
      </c>
      <c r="Z159" s="32">
        <f t="shared" si="5"/>
        <v>3813.2568896000002</v>
      </c>
      <c r="AA159" s="16" t="s">
        <v>266</v>
      </c>
      <c r="AB159" t="s">
        <v>64</v>
      </c>
      <c r="AE159" s="1" t="s">
        <v>48</v>
      </c>
      <c r="AF159" s="1" t="s">
        <v>48</v>
      </c>
      <c r="AG159" s="1" t="s">
        <v>48</v>
      </c>
      <c r="AH159" s="1" t="s">
        <v>48</v>
      </c>
      <c r="AI159" s="1" t="s">
        <v>48</v>
      </c>
    </row>
    <row r="160" spans="1:36" ht="25.5" customHeight="1" x14ac:dyDescent="0.25">
      <c r="A160" s="9" t="s">
        <v>336</v>
      </c>
      <c r="B160" s="9" t="s">
        <v>293</v>
      </c>
      <c r="C160" s="9" t="s">
        <v>296</v>
      </c>
      <c r="D160" s="10">
        <v>0.65902777777777799</v>
      </c>
      <c r="E160" s="10">
        <v>0.66666666666666696</v>
      </c>
      <c r="F160" t="s">
        <v>297</v>
      </c>
      <c r="G160" s="9" t="s">
        <v>338</v>
      </c>
      <c r="H160" s="11">
        <v>3.76</v>
      </c>
      <c r="I160" s="12">
        <v>19</v>
      </c>
      <c r="J160" s="12">
        <v>164</v>
      </c>
      <c r="K160" s="11">
        <f t="shared" si="4"/>
        <v>616.64</v>
      </c>
      <c r="L160">
        <v>66</v>
      </c>
      <c r="N160" s="21" t="s">
        <v>263</v>
      </c>
      <c r="O160" t="s">
        <v>264</v>
      </c>
      <c r="P160">
        <v>23</v>
      </c>
      <c r="Q160" t="s">
        <v>265</v>
      </c>
      <c r="R160">
        <v>21</v>
      </c>
      <c r="W160" s="15" t="s">
        <v>62</v>
      </c>
      <c r="X160" s="2" t="s">
        <v>84</v>
      </c>
      <c r="Y160" s="32">
        <v>9.7032063999999991</v>
      </c>
      <c r="Z160" s="32">
        <f t="shared" si="5"/>
        <v>1591.3258495999999</v>
      </c>
      <c r="AA160" s="16" t="s">
        <v>266</v>
      </c>
      <c r="AB160" t="s">
        <v>64</v>
      </c>
      <c r="AE160" s="1" t="s">
        <v>48</v>
      </c>
      <c r="AF160" s="1" t="s">
        <v>48</v>
      </c>
      <c r="AG160" s="1" t="s">
        <v>48</v>
      </c>
      <c r="AH160" s="1" t="s">
        <v>48</v>
      </c>
      <c r="AI160" s="1" t="s">
        <v>48</v>
      </c>
    </row>
    <row r="161" spans="1:35" ht="25.5" customHeight="1" x14ac:dyDescent="0.25">
      <c r="A161" s="9" t="s">
        <v>336</v>
      </c>
      <c r="B161" s="9" t="s">
        <v>295</v>
      </c>
      <c r="C161" s="9" t="s">
        <v>299</v>
      </c>
      <c r="D161" s="10">
        <v>0.66666666666666696</v>
      </c>
      <c r="E161" s="10">
        <v>0.67222222222222205</v>
      </c>
      <c r="F161" t="s">
        <v>300</v>
      </c>
      <c r="G161" s="9" t="s">
        <v>338</v>
      </c>
      <c r="H161" s="11">
        <v>2.76</v>
      </c>
      <c r="I161" s="12">
        <v>19</v>
      </c>
      <c r="J161" s="12">
        <v>164</v>
      </c>
      <c r="K161" s="11">
        <f t="shared" si="4"/>
        <v>452.64</v>
      </c>
      <c r="L161">
        <v>67</v>
      </c>
      <c r="N161" s="21" t="s">
        <v>263</v>
      </c>
      <c r="O161" t="s">
        <v>264</v>
      </c>
      <c r="P161">
        <v>23</v>
      </c>
      <c r="Q161" t="s">
        <v>265</v>
      </c>
      <c r="R161">
        <v>21</v>
      </c>
      <c r="W161" s="15" t="s">
        <v>62</v>
      </c>
      <c r="X161" s="2" t="s">
        <v>84</v>
      </c>
      <c r="Y161" s="32">
        <v>7.1225664000000002</v>
      </c>
      <c r="Z161" s="32">
        <f t="shared" si="5"/>
        <v>1168.1008896000001</v>
      </c>
      <c r="AA161" s="16" t="s">
        <v>266</v>
      </c>
      <c r="AB161" t="s">
        <v>64</v>
      </c>
      <c r="AE161" s="1" t="s">
        <v>48</v>
      </c>
      <c r="AF161" s="1" t="s">
        <v>48</v>
      </c>
      <c r="AG161" s="1" t="s">
        <v>48</v>
      </c>
      <c r="AH161" s="1" t="s">
        <v>48</v>
      </c>
      <c r="AI161" s="1" t="s">
        <v>48</v>
      </c>
    </row>
    <row r="162" spans="1:35" ht="25.5" customHeight="1" x14ac:dyDescent="0.25">
      <c r="A162" s="9" t="s">
        <v>336</v>
      </c>
      <c r="B162" s="9" t="s">
        <v>298</v>
      </c>
      <c r="C162" s="9" t="s">
        <v>301</v>
      </c>
      <c r="D162" s="10">
        <v>0.67291666666666705</v>
      </c>
      <c r="E162" s="10">
        <v>0.68541666666666701</v>
      </c>
      <c r="F162" t="s">
        <v>272</v>
      </c>
      <c r="G162" s="9" t="s">
        <v>338</v>
      </c>
      <c r="H162" s="11">
        <v>7.67</v>
      </c>
      <c r="I162" s="12">
        <v>19</v>
      </c>
      <c r="J162" s="12">
        <v>164</v>
      </c>
      <c r="K162" s="11">
        <f t="shared" si="4"/>
        <v>1257.8799999999999</v>
      </c>
      <c r="L162">
        <v>68</v>
      </c>
      <c r="N162" s="21" t="s">
        <v>263</v>
      </c>
      <c r="O162" t="s">
        <v>264</v>
      </c>
      <c r="P162">
        <v>23</v>
      </c>
      <c r="Q162" t="s">
        <v>265</v>
      </c>
      <c r="R162">
        <v>21</v>
      </c>
      <c r="W162" s="15" t="s">
        <v>62</v>
      </c>
      <c r="X162" s="2" t="s">
        <v>84</v>
      </c>
      <c r="Y162" s="32">
        <v>19.793508800000001</v>
      </c>
      <c r="Z162" s="32">
        <f t="shared" si="5"/>
        <v>3246.1354432000003</v>
      </c>
      <c r="AA162" s="16" t="s">
        <v>266</v>
      </c>
      <c r="AB162" t="s">
        <v>64</v>
      </c>
      <c r="AE162" s="1" t="s">
        <v>48</v>
      </c>
      <c r="AF162" s="1" t="s">
        <v>48</v>
      </c>
      <c r="AG162" s="1" t="s">
        <v>48</v>
      </c>
      <c r="AH162" s="1" t="s">
        <v>48</v>
      </c>
      <c r="AI162" s="1" t="s">
        <v>48</v>
      </c>
    </row>
    <row r="163" spans="1:35" ht="25.5" customHeight="1" x14ac:dyDescent="0.25">
      <c r="A163" s="9" t="s">
        <v>336</v>
      </c>
      <c r="B163" s="9" t="s">
        <v>226</v>
      </c>
      <c r="C163" s="9" t="s">
        <v>303</v>
      </c>
      <c r="D163" s="10">
        <v>0.68541666666666701</v>
      </c>
      <c r="E163" s="10">
        <v>0.70069444444444395</v>
      </c>
      <c r="F163" t="s">
        <v>269</v>
      </c>
      <c r="G163" s="9" t="s">
        <v>338</v>
      </c>
      <c r="H163" s="11">
        <v>9.01</v>
      </c>
      <c r="I163" s="12">
        <v>19</v>
      </c>
      <c r="J163" s="12">
        <v>164</v>
      </c>
      <c r="K163" s="11">
        <f t="shared" si="4"/>
        <v>1477.6399999999999</v>
      </c>
      <c r="L163">
        <v>69</v>
      </c>
      <c r="N163" s="21" t="s">
        <v>263</v>
      </c>
      <c r="O163" t="s">
        <v>264</v>
      </c>
      <c r="P163">
        <v>23</v>
      </c>
      <c r="Q163" t="s">
        <v>265</v>
      </c>
      <c r="R163">
        <v>21</v>
      </c>
      <c r="W163" s="15" t="s">
        <v>62</v>
      </c>
      <c r="X163" s="2" t="s">
        <v>84</v>
      </c>
      <c r="Y163" s="32">
        <v>23.251566400000002</v>
      </c>
      <c r="Z163" s="32">
        <f t="shared" si="5"/>
        <v>3813.2568896000002</v>
      </c>
      <c r="AA163" s="16" t="s">
        <v>266</v>
      </c>
      <c r="AB163" t="s">
        <v>64</v>
      </c>
      <c r="AE163" s="1" t="s">
        <v>48</v>
      </c>
      <c r="AF163" s="1" t="s">
        <v>48</v>
      </c>
      <c r="AG163" s="1" t="s">
        <v>48</v>
      </c>
      <c r="AH163" s="1" t="s">
        <v>48</v>
      </c>
      <c r="AI163" s="1" t="s">
        <v>48</v>
      </c>
    </row>
    <row r="164" spans="1:35" ht="25.5" customHeight="1" x14ac:dyDescent="0.25">
      <c r="A164" s="9" t="s">
        <v>336</v>
      </c>
      <c r="B164" s="9" t="s">
        <v>302</v>
      </c>
      <c r="C164" s="9" t="s">
        <v>305</v>
      </c>
      <c r="D164" s="10">
        <v>0.71458333333333302</v>
      </c>
      <c r="E164" s="10">
        <v>0.72708333333333297</v>
      </c>
      <c r="F164" t="s">
        <v>272</v>
      </c>
      <c r="G164" s="9" t="s">
        <v>338</v>
      </c>
      <c r="H164" s="11">
        <v>7.67</v>
      </c>
      <c r="I164" s="12">
        <v>19</v>
      </c>
      <c r="J164" s="12">
        <v>164</v>
      </c>
      <c r="K164" s="11">
        <f t="shared" si="4"/>
        <v>1257.8799999999999</v>
      </c>
      <c r="L164">
        <v>70</v>
      </c>
      <c r="N164" s="21" t="s">
        <v>263</v>
      </c>
      <c r="O164" t="s">
        <v>264</v>
      </c>
      <c r="P164">
        <v>23</v>
      </c>
      <c r="Q164" t="s">
        <v>265</v>
      </c>
      <c r="R164">
        <v>21</v>
      </c>
      <c r="W164" s="15" t="s">
        <v>62</v>
      </c>
      <c r="X164" s="2" t="s">
        <v>84</v>
      </c>
      <c r="Y164" s="32">
        <v>19.793508800000001</v>
      </c>
      <c r="Z164" s="32">
        <f t="shared" si="5"/>
        <v>3246.1354432000003</v>
      </c>
      <c r="AA164" s="16" t="s">
        <v>266</v>
      </c>
      <c r="AB164" t="s">
        <v>64</v>
      </c>
      <c r="AE164" s="1" t="s">
        <v>48</v>
      </c>
      <c r="AF164" s="1" t="s">
        <v>48</v>
      </c>
      <c r="AG164" s="1" t="s">
        <v>48</v>
      </c>
      <c r="AH164" s="1" t="s">
        <v>48</v>
      </c>
      <c r="AI164" s="1" t="s">
        <v>48</v>
      </c>
    </row>
    <row r="165" spans="1:35" ht="25.5" customHeight="1" x14ac:dyDescent="0.25">
      <c r="A165" s="9" t="s">
        <v>336</v>
      </c>
      <c r="B165" s="9" t="s">
        <v>304</v>
      </c>
      <c r="C165" s="9" t="s">
        <v>307</v>
      </c>
      <c r="D165" s="10">
        <v>0.72708333333333297</v>
      </c>
      <c r="E165" s="10">
        <v>0.74236111111111103</v>
      </c>
      <c r="F165" t="s">
        <v>269</v>
      </c>
      <c r="G165" s="9" t="s">
        <v>338</v>
      </c>
      <c r="H165" s="11">
        <v>9.01</v>
      </c>
      <c r="I165" s="12">
        <v>19</v>
      </c>
      <c r="J165" s="12">
        <v>164</v>
      </c>
      <c r="K165" s="11">
        <f t="shared" si="4"/>
        <v>1477.6399999999999</v>
      </c>
      <c r="L165">
        <v>71</v>
      </c>
      <c r="N165" s="21" t="s">
        <v>263</v>
      </c>
      <c r="O165" t="s">
        <v>264</v>
      </c>
      <c r="P165">
        <v>23</v>
      </c>
      <c r="Q165" t="s">
        <v>265</v>
      </c>
      <c r="R165">
        <v>21</v>
      </c>
      <c r="W165" s="15" t="s">
        <v>62</v>
      </c>
      <c r="X165" s="2" t="s">
        <v>84</v>
      </c>
      <c r="Y165" s="32">
        <v>23.251566400000002</v>
      </c>
      <c r="Z165" s="32">
        <f t="shared" si="5"/>
        <v>3813.2568896000002</v>
      </c>
      <c r="AA165" s="16" t="s">
        <v>266</v>
      </c>
      <c r="AB165" t="s">
        <v>64</v>
      </c>
      <c r="AE165" s="1" t="s">
        <v>48</v>
      </c>
      <c r="AF165" s="1" t="s">
        <v>48</v>
      </c>
      <c r="AG165" s="1" t="s">
        <v>48</v>
      </c>
      <c r="AH165" s="1" t="s">
        <v>48</v>
      </c>
      <c r="AI165" s="1" t="s">
        <v>48</v>
      </c>
    </row>
    <row r="166" spans="1:35" ht="25.5" customHeight="1" x14ac:dyDescent="0.25">
      <c r="A166" s="9" t="s">
        <v>336</v>
      </c>
      <c r="B166" s="9" t="s">
        <v>306</v>
      </c>
      <c r="C166" s="9" t="s">
        <v>309</v>
      </c>
      <c r="D166" s="10">
        <v>0.77708333333333302</v>
      </c>
      <c r="E166" s="10">
        <v>0.78472222222222199</v>
      </c>
      <c r="F166" t="s">
        <v>297</v>
      </c>
      <c r="G166" s="9" t="s">
        <v>338</v>
      </c>
      <c r="H166" s="11">
        <v>3.76</v>
      </c>
      <c r="I166" s="12">
        <v>19</v>
      </c>
      <c r="J166" s="12">
        <v>164</v>
      </c>
      <c r="K166" s="11">
        <f t="shared" si="4"/>
        <v>616.64</v>
      </c>
      <c r="L166">
        <v>72</v>
      </c>
      <c r="N166" s="21" t="s">
        <v>263</v>
      </c>
      <c r="O166" t="s">
        <v>264</v>
      </c>
      <c r="P166">
        <v>23</v>
      </c>
      <c r="Q166" t="s">
        <v>265</v>
      </c>
      <c r="R166">
        <v>21</v>
      </c>
      <c r="W166" s="15" t="s">
        <v>62</v>
      </c>
      <c r="X166" s="2" t="s">
        <v>84</v>
      </c>
      <c r="Y166" s="32">
        <v>9.7032063999999991</v>
      </c>
      <c r="Z166" s="32">
        <f t="shared" si="5"/>
        <v>1591.3258495999999</v>
      </c>
      <c r="AA166" s="16" t="s">
        <v>266</v>
      </c>
      <c r="AB166" t="s">
        <v>64</v>
      </c>
      <c r="AE166" s="1" t="s">
        <v>48</v>
      </c>
      <c r="AF166" s="1" t="s">
        <v>48</v>
      </c>
      <c r="AG166" s="1" t="s">
        <v>48</v>
      </c>
      <c r="AH166" s="1" t="s">
        <v>48</v>
      </c>
      <c r="AI166" s="1" t="s">
        <v>48</v>
      </c>
    </row>
    <row r="167" spans="1:35" ht="25.5" customHeight="1" x14ac:dyDescent="0.25">
      <c r="A167" s="9" t="s">
        <v>336</v>
      </c>
      <c r="B167" s="9" t="s">
        <v>308</v>
      </c>
      <c r="C167" s="9" t="s">
        <v>311</v>
      </c>
      <c r="D167" s="10">
        <v>0.78472222222222199</v>
      </c>
      <c r="E167" s="10">
        <v>0.79027777777777797</v>
      </c>
      <c r="F167" t="s">
        <v>300</v>
      </c>
      <c r="G167" s="9" t="s">
        <v>338</v>
      </c>
      <c r="H167" s="11">
        <v>2.76</v>
      </c>
      <c r="I167" s="12">
        <v>19</v>
      </c>
      <c r="J167" s="12">
        <v>164</v>
      </c>
      <c r="K167" s="11">
        <f t="shared" si="4"/>
        <v>452.64</v>
      </c>
      <c r="L167">
        <v>73</v>
      </c>
      <c r="N167" s="21" t="s">
        <v>263</v>
      </c>
      <c r="O167" t="s">
        <v>264</v>
      </c>
      <c r="P167">
        <v>23</v>
      </c>
      <c r="Q167" t="s">
        <v>265</v>
      </c>
      <c r="R167">
        <v>21</v>
      </c>
      <c r="W167" s="15" t="s">
        <v>62</v>
      </c>
      <c r="X167" s="2" t="s">
        <v>84</v>
      </c>
      <c r="Y167" s="32">
        <v>7.1225664000000002</v>
      </c>
      <c r="Z167" s="32">
        <f t="shared" si="5"/>
        <v>1168.1008896000001</v>
      </c>
      <c r="AA167" s="16" t="s">
        <v>266</v>
      </c>
      <c r="AB167" t="s">
        <v>64</v>
      </c>
      <c r="AE167" s="1" t="s">
        <v>48</v>
      </c>
      <c r="AF167" s="1" t="s">
        <v>48</v>
      </c>
      <c r="AG167" s="1" t="s">
        <v>48</v>
      </c>
      <c r="AH167" s="1" t="s">
        <v>48</v>
      </c>
      <c r="AI167" s="1" t="s">
        <v>48</v>
      </c>
    </row>
    <row r="168" spans="1:35" ht="25.5" customHeight="1" x14ac:dyDescent="0.25">
      <c r="A168" s="9" t="s">
        <v>345</v>
      </c>
      <c r="B168" s="9" t="s">
        <v>259</v>
      </c>
      <c r="C168" s="9" t="s">
        <v>346</v>
      </c>
      <c r="D168" s="10">
        <v>0.27708333333333302</v>
      </c>
      <c r="E168" s="10">
        <v>0.28958333333333303</v>
      </c>
      <c r="F168" t="s">
        <v>269</v>
      </c>
      <c r="G168" s="9" t="s">
        <v>347</v>
      </c>
      <c r="H168" s="11">
        <v>7.82</v>
      </c>
      <c r="I168" s="12">
        <v>19</v>
      </c>
      <c r="J168" s="12">
        <v>164</v>
      </c>
      <c r="K168" s="11">
        <f t="shared" si="4"/>
        <v>1282.48</v>
      </c>
      <c r="L168">
        <v>74</v>
      </c>
      <c r="N168" s="21" t="s">
        <v>263</v>
      </c>
      <c r="O168" t="s">
        <v>264</v>
      </c>
      <c r="P168">
        <v>23</v>
      </c>
      <c r="Q168" t="s">
        <v>265</v>
      </c>
      <c r="R168">
        <v>21</v>
      </c>
      <c r="W168" s="15" t="s">
        <v>62</v>
      </c>
      <c r="X168" s="2" t="s">
        <v>84</v>
      </c>
      <c r="Y168" s="32">
        <v>20.180604800000001</v>
      </c>
      <c r="Z168" s="32">
        <f t="shared" si="5"/>
        <v>3309.6191872000004</v>
      </c>
      <c r="AA168" s="16" t="s">
        <v>266</v>
      </c>
      <c r="AB168" t="s">
        <v>64</v>
      </c>
      <c r="AE168" s="1" t="s">
        <v>48</v>
      </c>
      <c r="AF168" s="1" t="s">
        <v>48</v>
      </c>
      <c r="AG168" s="1" t="s">
        <v>48</v>
      </c>
      <c r="AH168" s="1" t="s">
        <v>48</v>
      </c>
      <c r="AI168" s="1" t="s">
        <v>48</v>
      </c>
    </row>
    <row r="169" spans="1:35" ht="25.5" customHeight="1" x14ac:dyDescent="0.25">
      <c r="A169" s="9" t="s">
        <v>345</v>
      </c>
      <c r="B169" s="9" t="s">
        <v>267</v>
      </c>
      <c r="C169" s="9" t="s">
        <v>316</v>
      </c>
      <c r="D169" s="10">
        <v>0.30138888888888898</v>
      </c>
      <c r="E169" s="10">
        <v>0.31041666666666701</v>
      </c>
      <c r="F169" t="s">
        <v>318</v>
      </c>
      <c r="G169" s="9" t="s">
        <v>347</v>
      </c>
      <c r="H169" s="11">
        <v>5.76</v>
      </c>
      <c r="I169" s="12">
        <v>19</v>
      </c>
      <c r="J169" s="12">
        <v>164</v>
      </c>
      <c r="K169" s="11">
        <f t="shared" si="4"/>
        <v>944.64</v>
      </c>
      <c r="L169">
        <v>75</v>
      </c>
      <c r="N169" s="21" t="s">
        <v>263</v>
      </c>
      <c r="O169" t="s">
        <v>264</v>
      </c>
      <c r="P169">
        <v>23</v>
      </c>
      <c r="Q169" t="s">
        <v>265</v>
      </c>
      <c r="R169">
        <v>21</v>
      </c>
      <c r="W169" s="15" t="s">
        <v>62</v>
      </c>
      <c r="X169" s="2" t="s">
        <v>84</v>
      </c>
      <c r="Y169" s="32">
        <v>14.864486400000001</v>
      </c>
      <c r="Z169" s="32">
        <f t="shared" si="5"/>
        <v>2437.7757695999999</v>
      </c>
      <c r="AA169" s="16" t="s">
        <v>266</v>
      </c>
      <c r="AB169" t="s">
        <v>64</v>
      </c>
      <c r="AE169" s="1" t="s">
        <v>48</v>
      </c>
      <c r="AF169" s="1" t="s">
        <v>48</v>
      </c>
      <c r="AG169" s="1" t="s">
        <v>48</v>
      </c>
      <c r="AH169" s="1" t="s">
        <v>48</v>
      </c>
      <c r="AI169" s="1" t="s">
        <v>48</v>
      </c>
    </row>
    <row r="170" spans="1:35" ht="25.5" customHeight="1" x14ac:dyDescent="0.25">
      <c r="A170" s="9" t="s">
        <v>345</v>
      </c>
      <c r="B170" s="9" t="s">
        <v>270</v>
      </c>
      <c r="C170" s="9" t="s">
        <v>320</v>
      </c>
      <c r="D170" s="10">
        <v>0.31041666666666701</v>
      </c>
      <c r="E170" s="10">
        <v>0.3125</v>
      </c>
      <c r="F170" t="s">
        <v>321</v>
      </c>
      <c r="G170" s="9" t="s">
        <v>347</v>
      </c>
      <c r="H170" s="11">
        <v>1.76</v>
      </c>
      <c r="I170" s="12">
        <v>19</v>
      </c>
      <c r="J170" s="12">
        <v>164</v>
      </c>
      <c r="K170" s="11">
        <f t="shared" si="4"/>
        <v>288.64</v>
      </c>
      <c r="L170">
        <v>76</v>
      </c>
      <c r="N170" s="21" t="s">
        <v>263</v>
      </c>
      <c r="O170" t="s">
        <v>264</v>
      </c>
      <c r="P170">
        <v>23</v>
      </c>
      <c r="Q170" t="s">
        <v>265</v>
      </c>
      <c r="R170">
        <v>21</v>
      </c>
      <c r="W170" s="15" t="s">
        <v>62</v>
      </c>
      <c r="X170" s="2" t="s">
        <v>84</v>
      </c>
      <c r="Y170" s="32">
        <v>4.5419264000000004</v>
      </c>
      <c r="Z170" s="32">
        <f t="shared" si="5"/>
        <v>744.87592960000006</v>
      </c>
      <c r="AA170" s="16" t="s">
        <v>266</v>
      </c>
      <c r="AB170" t="s">
        <v>64</v>
      </c>
      <c r="AE170" s="1" t="s">
        <v>48</v>
      </c>
      <c r="AF170" s="1" t="s">
        <v>48</v>
      </c>
      <c r="AG170" s="1" t="s">
        <v>48</v>
      </c>
      <c r="AH170" s="1" t="s">
        <v>48</v>
      </c>
      <c r="AI170" s="1" t="s">
        <v>48</v>
      </c>
    </row>
    <row r="171" spans="1:35" ht="25.5" customHeight="1" x14ac:dyDescent="0.25">
      <c r="A171" s="9" t="s">
        <v>345</v>
      </c>
      <c r="B171" s="9" t="s">
        <v>273</v>
      </c>
      <c r="C171" s="9" t="s">
        <v>322</v>
      </c>
      <c r="D171" s="10">
        <v>0.313194444444444</v>
      </c>
      <c r="E171" s="10">
        <v>0.31666666666666698</v>
      </c>
      <c r="F171" t="s">
        <v>323</v>
      </c>
      <c r="G171" s="9" t="s">
        <v>347</v>
      </c>
      <c r="H171" s="11">
        <v>2.2200000000000002</v>
      </c>
      <c r="I171" s="12">
        <v>19</v>
      </c>
      <c r="J171" s="12">
        <v>164</v>
      </c>
      <c r="K171" s="11">
        <f t="shared" si="4"/>
        <v>364.08000000000004</v>
      </c>
      <c r="L171">
        <v>77</v>
      </c>
      <c r="N171" s="21" t="s">
        <v>263</v>
      </c>
      <c r="O171" t="s">
        <v>264</v>
      </c>
      <c r="P171">
        <v>23</v>
      </c>
      <c r="Q171" t="s">
        <v>265</v>
      </c>
      <c r="R171">
        <v>21</v>
      </c>
      <c r="W171" s="15" t="s">
        <v>62</v>
      </c>
      <c r="X171" s="2" t="s">
        <v>84</v>
      </c>
      <c r="Y171" s="32">
        <v>5.7290207999999998</v>
      </c>
      <c r="Z171" s="32">
        <f t="shared" si="5"/>
        <v>939.5594112</v>
      </c>
      <c r="AA171" s="16" t="s">
        <v>266</v>
      </c>
      <c r="AB171" t="s">
        <v>64</v>
      </c>
      <c r="AE171" s="1" t="s">
        <v>48</v>
      </c>
      <c r="AF171" s="1" t="s">
        <v>48</v>
      </c>
      <c r="AG171" s="1" t="s">
        <v>48</v>
      </c>
      <c r="AH171" s="1" t="s">
        <v>48</v>
      </c>
      <c r="AI171" s="1" t="s">
        <v>48</v>
      </c>
    </row>
    <row r="172" spans="1:35" ht="25.5" customHeight="1" x14ac:dyDescent="0.25">
      <c r="A172" s="9" t="s">
        <v>345</v>
      </c>
      <c r="B172" s="9" t="s">
        <v>275</v>
      </c>
      <c r="C172" s="9" t="s">
        <v>324</v>
      </c>
      <c r="D172" s="10">
        <v>0.35208333333333303</v>
      </c>
      <c r="E172" s="10">
        <v>0.35416666666666702</v>
      </c>
      <c r="F172" t="s">
        <v>321</v>
      </c>
      <c r="G172" s="9" t="s">
        <v>347</v>
      </c>
      <c r="H172" s="11">
        <v>1.76</v>
      </c>
      <c r="I172" s="12">
        <v>19</v>
      </c>
      <c r="J172" s="12">
        <v>164</v>
      </c>
      <c r="K172" s="11">
        <f t="shared" si="4"/>
        <v>288.64</v>
      </c>
      <c r="L172">
        <v>78</v>
      </c>
      <c r="N172" s="21" t="s">
        <v>263</v>
      </c>
      <c r="O172" t="s">
        <v>264</v>
      </c>
      <c r="P172">
        <v>23</v>
      </c>
      <c r="Q172" t="s">
        <v>265</v>
      </c>
      <c r="R172">
        <v>21</v>
      </c>
      <c r="W172" s="15" t="s">
        <v>62</v>
      </c>
      <c r="X172" s="2" t="s">
        <v>84</v>
      </c>
      <c r="Y172" s="32">
        <v>4.5419264000000004</v>
      </c>
      <c r="Z172" s="32">
        <f t="shared" si="5"/>
        <v>744.87592960000006</v>
      </c>
      <c r="AA172" s="16" t="s">
        <v>266</v>
      </c>
      <c r="AB172" t="s">
        <v>64</v>
      </c>
      <c r="AE172" s="1" t="s">
        <v>48</v>
      </c>
      <c r="AF172" s="1" t="s">
        <v>48</v>
      </c>
      <c r="AG172" s="1" t="s">
        <v>48</v>
      </c>
      <c r="AH172" s="1" t="s">
        <v>48</v>
      </c>
      <c r="AI172" s="1" t="s">
        <v>48</v>
      </c>
    </row>
    <row r="173" spans="1:35" ht="25.5" customHeight="1" x14ac:dyDescent="0.25">
      <c r="A173" s="9" t="s">
        <v>345</v>
      </c>
      <c r="B173" s="9" t="s">
        <v>277</v>
      </c>
      <c r="C173" s="9" t="s">
        <v>325</v>
      </c>
      <c r="D173" s="10">
        <v>0.35486111111111102</v>
      </c>
      <c r="E173" s="10">
        <v>0.358333333333333</v>
      </c>
      <c r="F173" t="s">
        <v>323</v>
      </c>
      <c r="G173" s="9" t="s">
        <v>347</v>
      </c>
      <c r="H173" s="11">
        <v>2.2200000000000002</v>
      </c>
      <c r="I173" s="12">
        <v>19</v>
      </c>
      <c r="J173" s="12">
        <v>164</v>
      </c>
      <c r="K173" s="11">
        <f t="shared" si="4"/>
        <v>364.08000000000004</v>
      </c>
      <c r="L173">
        <v>79</v>
      </c>
      <c r="N173" s="21" t="s">
        <v>263</v>
      </c>
      <c r="O173" t="s">
        <v>264</v>
      </c>
      <c r="P173">
        <v>23</v>
      </c>
      <c r="Q173" t="s">
        <v>265</v>
      </c>
      <c r="R173">
        <v>21</v>
      </c>
      <c r="W173" s="15" t="s">
        <v>62</v>
      </c>
      <c r="X173" s="2" t="s">
        <v>84</v>
      </c>
      <c r="Y173" s="32">
        <v>5.7290207999999998</v>
      </c>
      <c r="Z173" s="32">
        <f t="shared" si="5"/>
        <v>939.5594112</v>
      </c>
      <c r="AA173" s="16" t="s">
        <v>266</v>
      </c>
      <c r="AB173" t="s">
        <v>64</v>
      </c>
      <c r="AE173" s="1" t="s">
        <v>48</v>
      </c>
      <c r="AF173" s="1" t="s">
        <v>48</v>
      </c>
      <c r="AG173" s="1" t="s">
        <v>48</v>
      </c>
      <c r="AH173" s="1" t="s">
        <v>48</v>
      </c>
      <c r="AI173" s="1" t="s">
        <v>48</v>
      </c>
    </row>
    <row r="174" spans="1:35" ht="25.5" customHeight="1" x14ac:dyDescent="0.25">
      <c r="A174" s="9" t="s">
        <v>345</v>
      </c>
      <c r="B174" s="9" t="s">
        <v>279</v>
      </c>
      <c r="C174" s="9" t="s">
        <v>326</v>
      </c>
      <c r="D174" s="10">
        <v>0.50208333333333299</v>
      </c>
      <c r="E174" s="10">
        <v>0.51111111111111096</v>
      </c>
      <c r="F174" t="s">
        <v>318</v>
      </c>
      <c r="G174" s="9" t="s">
        <v>347</v>
      </c>
      <c r="H174" s="11">
        <v>5.76</v>
      </c>
      <c r="I174" s="12">
        <v>19</v>
      </c>
      <c r="J174" s="12">
        <v>164</v>
      </c>
      <c r="K174" s="11">
        <f t="shared" si="4"/>
        <v>944.64</v>
      </c>
      <c r="L174">
        <v>80</v>
      </c>
      <c r="N174" s="21" t="s">
        <v>263</v>
      </c>
      <c r="O174" t="s">
        <v>264</v>
      </c>
      <c r="P174">
        <v>23</v>
      </c>
      <c r="Q174" t="s">
        <v>265</v>
      </c>
      <c r="R174">
        <v>21</v>
      </c>
      <c r="W174" s="15" t="s">
        <v>62</v>
      </c>
      <c r="X174" s="2" t="s">
        <v>84</v>
      </c>
      <c r="Y174" s="32">
        <v>14.864486400000001</v>
      </c>
      <c r="Z174" s="32">
        <f t="shared" si="5"/>
        <v>2437.7757695999999</v>
      </c>
      <c r="AA174" s="16" t="s">
        <v>266</v>
      </c>
      <c r="AB174" t="s">
        <v>64</v>
      </c>
      <c r="AE174" s="1" t="s">
        <v>48</v>
      </c>
      <c r="AF174" s="1" t="s">
        <v>48</v>
      </c>
      <c r="AG174" s="1" t="s">
        <v>48</v>
      </c>
      <c r="AH174" s="1" t="s">
        <v>48</v>
      </c>
      <c r="AI174" s="1" t="s">
        <v>48</v>
      </c>
    </row>
    <row r="175" spans="1:35" ht="25.5" customHeight="1" x14ac:dyDescent="0.25">
      <c r="A175" s="9" t="s">
        <v>345</v>
      </c>
      <c r="B175" s="9" t="s">
        <v>281</v>
      </c>
      <c r="C175" s="9" t="s">
        <v>327</v>
      </c>
      <c r="D175" s="10">
        <v>0.51597222222222205</v>
      </c>
      <c r="E175" s="10">
        <v>0.51805555555555605</v>
      </c>
      <c r="F175" t="s">
        <v>321</v>
      </c>
      <c r="G175" s="9" t="s">
        <v>347</v>
      </c>
      <c r="H175" s="11">
        <v>1.76</v>
      </c>
      <c r="I175" s="12">
        <v>19</v>
      </c>
      <c r="J175" s="12">
        <v>164</v>
      </c>
      <c r="K175" s="11">
        <f t="shared" si="4"/>
        <v>288.64</v>
      </c>
      <c r="L175">
        <v>81</v>
      </c>
      <c r="N175" s="21" t="s">
        <v>263</v>
      </c>
      <c r="O175" t="s">
        <v>264</v>
      </c>
      <c r="P175">
        <v>23</v>
      </c>
      <c r="Q175" t="s">
        <v>265</v>
      </c>
      <c r="R175">
        <v>21</v>
      </c>
      <c r="W175" s="15" t="s">
        <v>62</v>
      </c>
      <c r="X175" s="2" t="s">
        <v>84</v>
      </c>
      <c r="Y175" s="32">
        <v>4.5419264000000004</v>
      </c>
      <c r="Z175" s="32">
        <f t="shared" si="5"/>
        <v>744.87592960000006</v>
      </c>
      <c r="AA175" s="16" t="s">
        <v>266</v>
      </c>
      <c r="AB175" t="s">
        <v>64</v>
      </c>
      <c r="AE175" s="1" t="s">
        <v>48</v>
      </c>
      <c r="AF175" s="1" t="s">
        <v>48</v>
      </c>
      <c r="AG175" s="1" t="s">
        <v>48</v>
      </c>
      <c r="AH175" s="1" t="s">
        <v>48</v>
      </c>
      <c r="AI175" s="1" t="s">
        <v>48</v>
      </c>
    </row>
    <row r="176" spans="1:35" ht="25.5" customHeight="1" x14ac:dyDescent="0.25">
      <c r="A176" s="9" t="s">
        <v>345</v>
      </c>
      <c r="B176" s="9" t="s">
        <v>283</v>
      </c>
      <c r="C176" s="9" t="s">
        <v>328</v>
      </c>
      <c r="D176" s="10">
        <v>0.51875000000000004</v>
      </c>
      <c r="E176" s="10">
        <v>0.52222222222222203</v>
      </c>
      <c r="F176" t="s">
        <v>323</v>
      </c>
      <c r="G176" s="9" t="s">
        <v>347</v>
      </c>
      <c r="H176" s="11">
        <v>2.2200000000000002</v>
      </c>
      <c r="I176" s="12">
        <v>19</v>
      </c>
      <c r="J176" s="12">
        <v>164</v>
      </c>
      <c r="K176" s="11">
        <f t="shared" si="4"/>
        <v>364.08000000000004</v>
      </c>
      <c r="L176">
        <v>82</v>
      </c>
      <c r="N176" s="21" t="s">
        <v>263</v>
      </c>
      <c r="O176" t="s">
        <v>264</v>
      </c>
      <c r="P176">
        <v>23</v>
      </c>
      <c r="Q176" t="s">
        <v>265</v>
      </c>
      <c r="R176">
        <v>21</v>
      </c>
      <c r="W176" s="15" t="s">
        <v>62</v>
      </c>
      <c r="X176" s="2" t="s">
        <v>84</v>
      </c>
      <c r="Y176" s="32">
        <v>5.7290207999999998</v>
      </c>
      <c r="Z176" s="32">
        <f t="shared" si="5"/>
        <v>939.5594112</v>
      </c>
      <c r="AA176" s="16" t="s">
        <v>266</v>
      </c>
      <c r="AB176" t="s">
        <v>64</v>
      </c>
      <c r="AE176" s="1" t="s">
        <v>48</v>
      </c>
      <c r="AF176" s="1" t="s">
        <v>48</v>
      </c>
      <c r="AG176" s="1" t="s">
        <v>48</v>
      </c>
      <c r="AH176" s="1" t="s">
        <v>48</v>
      </c>
      <c r="AI176" s="1" t="s">
        <v>48</v>
      </c>
    </row>
    <row r="177" spans="1:36" ht="25.5" customHeight="1" x14ac:dyDescent="0.25">
      <c r="A177" s="9" t="s">
        <v>345</v>
      </c>
      <c r="B177" s="9" t="s">
        <v>285</v>
      </c>
      <c r="C177" s="9" t="s">
        <v>329</v>
      </c>
      <c r="D177" s="10">
        <v>0.53263888888888899</v>
      </c>
      <c r="E177" s="10">
        <v>0.54166666666666696</v>
      </c>
      <c r="F177" t="s">
        <v>318</v>
      </c>
      <c r="G177" s="9" t="s">
        <v>347</v>
      </c>
      <c r="H177" s="11">
        <v>5.76</v>
      </c>
      <c r="I177" s="12">
        <v>19</v>
      </c>
      <c r="J177" s="12">
        <v>164</v>
      </c>
      <c r="K177" s="11">
        <f t="shared" si="4"/>
        <v>944.64</v>
      </c>
      <c r="L177">
        <v>83</v>
      </c>
      <c r="N177" s="21" t="s">
        <v>263</v>
      </c>
      <c r="O177" t="s">
        <v>264</v>
      </c>
      <c r="P177">
        <v>23</v>
      </c>
      <c r="Q177" t="s">
        <v>265</v>
      </c>
      <c r="R177">
        <v>21</v>
      </c>
      <c r="W177" s="15" t="s">
        <v>62</v>
      </c>
      <c r="X177" s="2" t="s">
        <v>84</v>
      </c>
      <c r="Y177" s="32">
        <v>14.864486400000001</v>
      </c>
      <c r="Z177" s="32">
        <f t="shared" si="5"/>
        <v>2437.7757695999999</v>
      </c>
      <c r="AA177" s="16" t="s">
        <v>266</v>
      </c>
      <c r="AB177" t="s">
        <v>64</v>
      </c>
      <c r="AE177" s="1" t="s">
        <v>48</v>
      </c>
      <c r="AF177" s="1" t="s">
        <v>48</v>
      </c>
      <c r="AG177" s="1" t="s">
        <v>48</v>
      </c>
      <c r="AH177" s="1" t="s">
        <v>48</v>
      </c>
      <c r="AI177" s="1" t="s">
        <v>48</v>
      </c>
    </row>
    <row r="178" spans="1:36" ht="25.5" customHeight="1" x14ac:dyDescent="0.25">
      <c r="A178" s="9" t="s">
        <v>345</v>
      </c>
      <c r="B178" s="9" t="s">
        <v>287</v>
      </c>
      <c r="C178" s="9" t="s">
        <v>348</v>
      </c>
      <c r="D178" s="10">
        <v>0.593055555555556</v>
      </c>
      <c r="E178" s="10">
        <v>0.59513888888888899</v>
      </c>
      <c r="F178" t="s">
        <v>297</v>
      </c>
      <c r="G178" s="9" t="s">
        <v>347</v>
      </c>
      <c r="H178" s="11">
        <v>2.09</v>
      </c>
      <c r="I178" s="12">
        <v>19</v>
      </c>
      <c r="J178" s="12">
        <v>164</v>
      </c>
      <c r="K178" s="11">
        <f t="shared" si="4"/>
        <v>342.76</v>
      </c>
      <c r="L178">
        <v>84</v>
      </c>
      <c r="N178" s="21" t="s">
        <v>263</v>
      </c>
      <c r="O178" t="s">
        <v>264</v>
      </c>
      <c r="P178">
        <v>23</v>
      </c>
      <c r="Q178" t="s">
        <v>265</v>
      </c>
      <c r="R178">
        <v>21</v>
      </c>
      <c r="W178" s="15" t="s">
        <v>62</v>
      </c>
      <c r="X178" s="2" t="s">
        <v>84</v>
      </c>
      <c r="Y178" s="32">
        <v>5.3935376000000002</v>
      </c>
      <c r="Z178" s="32">
        <f t="shared" si="5"/>
        <v>884.54016639999998</v>
      </c>
      <c r="AA178" s="16" t="s">
        <v>266</v>
      </c>
      <c r="AB178" t="s">
        <v>64</v>
      </c>
      <c r="AE178" s="1" t="s">
        <v>48</v>
      </c>
      <c r="AF178" s="1" t="s">
        <v>48</v>
      </c>
      <c r="AG178" s="1" t="s">
        <v>48</v>
      </c>
      <c r="AH178" s="1" t="s">
        <v>48</v>
      </c>
      <c r="AI178" s="1" t="s">
        <v>48</v>
      </c>
    </row>
    <row r="179" spans="1:36" ht="25.5" customHeight="1" x14ac:dyDescent="0.25">
      <c r="A179" s="9" t="s">
        <v>345</v>
      </c>
      <c r="B179" s="9" t="s">
        <v>289</v>
      </c>
      <c r="C179" s="9" t="s">
        <v>349</v>
      </c>
      <c r="D179" s="10">
        <v>0.59513888888888899</v>
      </c>
      <c r="E179" s="10">
        <v>0.60138888888888897</v>
      </c>
      <c r="F179" t="s">
        <v>300</v>
      </c>
      <c r="G179" s="9" t="s">
        <v>347</v>
      </c>
      <c r="H179" s="11">
        <v>3.57</v>
      </c>
      <c r="I179" s="12">
        <v>19</v>
      </c>
      <c r="J179" s="12">
        <v>164</v>
      </c>
      <c r="K179" s="11">
        <f t="shared" si="4"/>
        <v>585.48</v>
      </c>
      <c r="L179">
        <v>85</v>
      </c>
      <c r="N179" s="21" t="s">
        <v>263</v>
      </c>
      <c r="O179" t="s">
        <v>264</v>
      </c>
      <c r="P179">
        <v>23</v>
      </c>
      <c r="Q179" t="s">
        <v>265</v>
      </c>
      <c r="R179">
        <v>21</v>
      </c>
      <c r="W179" s="15" t="s">
        <v>62</v>
      </c>
      <c r="X179" s="2" t="s">
        <v>84</v>
      </c>
      <c r="Y179" s="32">
        <v>9.2128847999999994</v>
      </c>
      <c r="Z179" s="32">
        <f t="shared" si="5"/>
        <v>1510.9131072</v>
      </c>
      <c r="AA179" s="16" t="s">
        <v>266</v>
      </c>
      <c r="AB179" t="s">
        <v>64</v>
      </c>
      <c r="AE179" s="1" t="s">
        <v>48</v>
      </c>
      <c r="AF179" s="1" t="s">
        <v>48</v>
      </c>
      <c r="AG179" s="1" t="s">
        <v>48</v>
      </c>
      <c r="AH179" s="1" t="s">
        <v>48</v>
      </c>
      <c r="AI179" s="1" t="s">
        <v>48</v>
      </c>
    </row>
    <row r="180" spans="1:36" ht="25.5" customHeight="1" x14ac:dyDescent="0.25">
      <c r="A180" s="9" t="s">
        <v>345</v>
      </c>
      <c r="B180" s="9" t="s">
        <v>291</v>
      </c>
      <c r="C180" s="9" t="s">
        <v>330</v>
      </c>
      <c r="D180" s="10">
        <v>0.75208333333333299</v>
      </c>
      <c r="E180" s="10">
        <v>0.76111111111111096</v>
      </c>
      <c r="F180" t="s">
        <v>318</v>
      </c>
      <c r="G180" s="9" t="s">
        <v>347</v>
      </c>
      <c r="H180" s="11">
        <v>5.76</v>
      </c>
      <c r="I180" s="12">
        <v>19</v>
      </c>
      <c r="J180" s="12">
        <v>164</v>
      </c>
      <c r="K180" s="11">
        <f t="shared" si="4"/>
        <v>944.64</v>
      </c>
      <c r="L180">
        <v>86</v>
      </c>
      <c r="N180" s="21" t="s">
        <v>263</v>
      </c>
      <c r="O180" t="s">
        <v>264</v>
      </c>
      <c r="P180">
        <v>23</v>
      </c>
      <c r="Q180" t="s">
        <v>265</v>
      </c>
      <c r="R180">
        <v>21</v>
      </c>
      <c r="W180" s="15" t="s">
        <v>62</v>
      </c>
      <c r="X180" s="2" t="s">
        <v>84</v>
      </c>
      <c r="Y180" s="32">
        <v>14.864486400000001</v>
      </c>
      <c r="Z180" s="32">
        <f t="shared" si="5"/>
        <v>2437.7757695999999</v>
      </c>
      <c r="AA180" s="16" t="s">
        <v>266</v>
      </c>
      <c r="AB180" t="s">
        <v>64</v>
      </c>
      <c r="AE180" s="1" t="s">
        <v>48</v>
      </c>
      <c r="AF180" s="1" t="s">
        <v>48</v>
      </c>
      <c r="AG180" s="1" t="s">
        <v>48</v>
      </c>
      <c r="AH180" s="1" t="s">
        <v>48</v>
      </c>
      <c r="AI180" s="1" t="s">
        <v>48</v>
      </c>
    </row>
    <row r="181" spans="1:36" ht="25.5" customHeight="1" x14ac:dyDescent="0.25">
      <c r="A181" s="9" t="s">
        <v>345</v>
      </c>
      <c r="B181" s="9" t="s">
        <v>293</v>
      </c>
      <c r="C181" s="9" t="s">
        <v>331</v>
      </c>
      <c r="D181" s="10">
        <v>0.76597222222222205</v>
      </c>
      <c r="E181" s="10">
        <v>0.76805555555555605</v>
      </c>
      <c r="F181" t="s">
        <v>321</v>
      </c>
      <c r="G181" s="9" t="s">
        <v>347</v>
      </c>
      <c r="H181" s="11">
        <v>1.76</v>
      </c>
      <c r="I181" s="12">
        <v>19</v>
      </c>
      <c r="J181" s="12">
        <v>164</v>
      </c>
      <c r="K181" s="11">
        <f t="shared" si="4"/>
        <v>288.64</v>
      </c>
      <c r="L181">
        <v>87</v>
      </c>
      <c r="N181" s="21" t="s">
        <v>263</v>
      </c>
      <c r="O181" t="s">
        <v>264</v>
      </c>
      <c r="P181">
        <v>23</v>
      </c>
      <c r="Q181" t="s">
        <v>265</v>
      </c>
      <c r="R181">
        <v>21</v>
      </c>
      <c r="W181" s="15" t="s">
        <v>62</v>
      </c>
      <c r="X181" s="2" t="s">
        <v>84</v>
      </c>
      <c r="Y181" s="32">
        <v>4.5419264000000004</v>
      </c>
      <c r="Z181" s="32">
        <f t="shared" si="5"/>
        <v>744.87592960000006</v>
      </c>
      <c r="AA181" s="16" t="s">
        <v>266</v>
      </c>
      <c r="AB181" t="s">
        <v>64</v>
      </c>
      <c r="AE181" s="1" t="s">
        <v>48</v>
      </c>
      <c r="AF181" s="1" t="s">
        <v>48</v>
      </c>
      <c r="AG181" s="1" t="s">
        <v>48</v>
      </c>
      <c r="AH181" s="1" t="s">
        <v>48</v>
      </c>
      <c r="AI181" s="1" t="s">
        <v>48</v>
      </c>
    </row>
    <row r="182" spans="1:36" ht="25.5" customHeight="1" x14ac:dyDescent="0.25">
      <c r="A182" s="9" t="s">
        <v>345</v>
      </c>
      <c r="B182" s="9" t="s">
        <v>295</v>
      </c>
      <c r="C182" s="9" t="s">
        <v>332</v>
      </c>
      <c r="D182" s="10">
        <v>0.76875000000000004</v>
      </c>
      <c r="E182" s="10">
        <v>0.77222222222222203</v>
      </c>
      <c r="F182" t="s">
        <v>323</v>
      </c>
      <c r="G182" s="9" t="s">
        <v>347</v>
      </c>
      <c r="H182" s="11">
        <v>2.2200000000000002</v>
      </c>
      <c r="I182" s="12">
        <v>19</v>
      </c>
      <c r="J182" s="12">
        <v>164</v>
      </c>
      <c r="K182" s="11">
        <f t="shared" si="4"/>
        <v>364.08000000000004</v>
      </c>
      <c r="L182">
        <v>88</v>
      </c>
      <c r="N182" s="21" t="s">
        <v>263</v>
      </c>
      <c r="O182" t="s">
        <v>264</v>
      </c>
      <c r="P182">
        <v>23</v>
      </c>
      <c r="Q182" t="s">
        <v>265</v>
      </c>
      <c r="R182">
        <v>21</v>
      </c>
      <c r="W182" s="15" t="s">
        <v>62</v>
      </c>
      <c r="X182" s="2" t="s">
        <v>84</v>
      </c>
      <c r="Y182" s="32">
        <v>5.7290207999999998</v>
      </c>
      <c r="Z182" s="32">
        <f t="shared" si="5"/>
        <v>939.5594112</v>
      </c>
      <c r="AA182" s="16" t="s">
        <v>266</v>
      </c>
      <c r="AB182" t="s">
        <v>64</v>
      </c>
      <c r="AE182" s="1" t="s">
        <v>48</v>
      </c>
      <c r="AF182" s="1" t="s">
        <v>48</v>
      </c>
      <c r="AG182" s="1" t="s">
        <v>48</v>
      </c>
      <c r="AH182" s="1" t="s">
        <v>48</v>
      </c>
      <c r="AI182" s="1" t="s">
        <v>48</v>
      </c>
    </row>
    <row r="183" spans="1:36" ht="51" customHeight="1" x14ac:dyDescent="0.25">
      <c r="A183" s="9" t="s">
        <v>350</v>
      </c>
      <c r="B183" s="9" t="s">
        <v>259</v>
      </c>
      <c r="C183" s="9" t="s">
        <v>337</v>
      </c>
      <c r="D183" s="10">
        <v>0.27430555555555602</v>
      </c>
      <c r="E183" s="10">
        <v>0.28958333333333303</v>
      </c>
      <c r="F183" t="s">
        <v>269</v>
      </c>
      <c r="G183" s="9" t="s">
        <v>351</v>
      </c>
      <c r="H183" s="11">
        <v>9.76</v>
      </c>
      <c r="I183" s="12">
        <v>21</v>
      </c>
      <c r="J183" s="12">
        <v>34</v>
      </c>
      <c r="K183" s="11">
        <f t="shared" si="4"/>
        <v>331.84</v>
      </c>
      <c r="L183">
        <v>89</v>
      </c>
      <c r="N183" s="21" t="s">
        <v>339</v>
      </c>
      <c r="O183" t="s">
        <v>340</v>
      </c>
      <c r="P183">
        <v>21</v>
      </c>
      <c r="Q183" t="s">
        <v>341</v>
      </c>
      <c r="R183">
        <v>21</v>
      </c>
      <c r="S183" t="s">
        <v>342</v>
      </c>
      <c r="W183" s="15" t="s">
        <v>62</v>
      </c>
      <c r="X183" s="2" t="s">
        <v>88</v>
      </c>
      <c r="Y183" s="32">
        <v>25.1870464</v>
      </c>
      <c r="Z183" s="32">
        <f t="shared" si="5"/>
        <v>856.35957759999997</v>
      </c>
      <c r="AA183" s="16" t="s">
        <v>266</v>
      </c>
      <c r="AB183" t="s">
        <v>64</v>
      </c>
      <c r="AJ183" s="1" t="s">
        <v>48</v>
      </c>
    </row>
    <row r="184" spans="1:36" ht="25.5" customHeight="1" x14ac:dyDescent="0.25">
      <c r="A184" s="9" t="s">
        <v>350</v>
      </c>
      <c r="B184" s="9" t="s">
        <v>267</v>
      </c>
      <c r="C184" s="9" t="s">
        <v>271</v>
      </c>
      <c r="D184" s="10">
        <v>0.31805555555555598</v>
      </c>
      <c r="E184" s="10">
        <v>0.33055555555555599</v>
      </c>
      <c r="F184" t="s">
        <v>272</v>
      </c>
      <c r="G184" s="9" t="s">
        <v>351</v>
      </c>
      <c r="H184" s="11">
        <v>7.67</v>
      </c>
      <c r="I184" s="12">
        <v>19</v>
      </c>
      <c r="J184" s="12">
        <v>34</v>
      </c>
      <c r="K184" s="11">
        <f t="shared" si="4"/>
        <v>260.77999999999997</v>
      </c>
      <c r="L184">
        <v>90</v>
      </c>
      <c r="N184" s="21" t="s">
        <v>263</v>
      </c>
      <c r="O184" t="s">
        <v>264</v>
      </c>
      <c r="P184">
        <v>23</v>
      </c>
      <c r="Q184" t="s">
        <v>265</v>
      </c>
      <c r="R184">
        <v>21</v>
      </c>
      <c r="W184" s="15" t="s">
        <v>62</v>
      </c>
      <c r="X184" s="2" t="s">
        <v>88</v>
      </c>
      <c r="Y184" s="32">
        <v>19.793508800000001</v>
      </c>
      <c r="Z184" s="32">
        <f t="shared" si="5"/>
        <v>672.97929920000001</v>
      </c>
      <c r="AA184" s="16" t="s">
        <v>266</v>
      </c>
      <c r="AB184" t="s">
        <v>64</v>
      </c>
      <c r="AJ184" s="1" t="s">
        <v>48</v>
      </c>
    </row>
    <row r="185" spans="1:36" ht="25.5" customHeight="1" x14ac:dyDescent="0.25">
      <c r="A185" s="9" t="s">
        <v>350</v>
      </c>
      <c r="B185" s="9" t="s">
        <v>270</v>
      </c>
      <c r="C185" s="9" t="s">
        <v>274</v>
      </c>
      <c r="D185" s="10">
        <v>0.33541666666666697</v>
      </c>
      <c r="E185" s="10">
        <v>0.35069444444444398</v>
      </c>
      <c r="F185" t="s">
        <v>269</v>
      </c>
      <c r="G185" s="9" t="s">
        <v>351</v>
      </c>
      <c r="H185" s="11">
        <v>9.01</v>
      </c>
      <c r="I185" s="12">
        <v>19</v>
      </c>
      <c r="J185" s="12">
        <v>34</v>
      </c>
      <c r="K185" s="11">
        <f t="shared" si="4"/>
        <v>306.33999999999997</v>
      </c>
      <c r="L185">
        <v>91</v>
      </c>
      <c r="N185" s="21" t="s">
        <v>263</v>
      </c>
      <c r="O185" t="s">
        <v>264</v>
      </c>
      <c r="P185">
        <v>23</v>
      </c>
      <c r="Q185" t="s">
        <v>265</v>
      </c>
      <c r="R185">
        <v>21</v>
      </c>
      <c r="W185" s="15" t="s">
        <v>62</v>
      </c>
      <c r="X185" s="2" t="s">
        <v>88</v>
      </c>
      <c r="Y185" s="32">
        <v>23.251566400000002</v>
      </c>
      <c r="Z185" s="32">
        <f t="shared" si="5"/>
        <v>790.55325760000005</v>
      </c>
      <c r="AA185" s="16" t="s">
        <v>266</v>
      </c>
      <c r="AB185" t="s">
        <v>64</v>
      </c>
      <c r="AJ185" s="1" t="s">
        <v>48</v>
      </c>
    </row>
    <row r="186" spans="1:36" ht="25.5" customHeight="1" x14ac:dyDescent="0.25">
      <c r="A186" s="9" t="s">
        <v>350</v>
      </c>
      <c r="B186" s="9" t="s">
        <v>273</v>
      </c>
      <c r="C186" s="9" t="s">
        <v>276</v>
      </c>
      <c r="D186" s="10">
        <v>0.359722222222222</v>
      </c>
      <c r="E186" s="10">
        <v>0.37222222222222201</v>
      </c>
      <c r="F186" t="s">
        <v>272</v>
      </c>
      <c r="G186" s="9" t="s">
        <v>351</v>
      </c>
      <c r="H186" s="11">
        <v>7.67</v>
      </c>
      <c r="I186" s="12">
        <v>19</v>
      </c>
      <c r="J186" s="12">
        <v>34</v>
      </c>
      <c r="K186" s="11">
        <f t="shared" si="4"/>
        <v>260.77999999999997</v>
      </c>
      <c r="L186">
        <v>92</v>
      </c>
      <c r="N186" s="21" t="s">
        <v>263</v>
      </c>
      <c r="O186" t="s">
        <v>264</v>
      </c>
      <c r="P186">
        <v>23</v>
      </c>
      <c r="Q186" t="s">
        <v>265</v>
      </c>
      <c r="R186">
        <v>21</v>
      </c>
      <c r="W186" s="15" t="s">
        <v>62</v>
      </c>
      <c r="X186" s="2" t="s">
        <v>88</v>
      </c>
      <c r="Y186" s="32">
        <v>19.793508800000001</v>
      </c>
      <c r="Z186" s="32">
        <f t="shared" si="5"/>
        <v>672.97929920000001</v>
      </c>
      <c r="AA186" s="16" t="s">
        <v>266</v>
      </c>
      <c r="AB186" t="s">
        <v>64</v>
      </c>
      <c r="AJ186" s="1" t="s">
        <v>48</v>
      </c>
    </row>
    <row r="187" spans="1:36" ht="25.5" customHeight="1" x14ac:dyDescent="0.25">
      <c r="A187" s="9" t="s">
        <v>350</v>
      </c>
      <c r="B187" s="9" t="s">
        <v>275</v>
      </c>
      <c r="C187" s="9" t="s">
        <v>278</v>
      </c>
      <c r="D187" s="10">
        <v>0.37708333333333299</v>
      </c>
      <c r="E187" s="10">
        <v>0.39236111111111099</v>
      </c>
      <c r="F187" t="s">
        <v>269</v>
      </c>
      <c r="G187" s="9" t="s">
        <v>351</v>
      </c>
      <c r="H187" s="11">
        <v>9.01</v>
      </c>
      <c r="I187" s="12">
        <v>19</v>
      </c>
      <c r="J187" s="12">
        <v>34</v>
      </c>
      <c r="K187" s="11">
        <f t="shared" si="4"/>
        <v>306.33999999999997</v>
      </c>
      <c r="L187">
        <v>93</v>
      </c>
      <c r="N187" s="21" t="s">
        <v>263</v>
      </c>
      <c r="O187" t="s">
        <v>264</v>
      </c>
      <c r="P187">
        <v>23</v>
      </c>
      <c r="Q187" t="s">
        <v>265</v>
      </c>
      <c r="R187">
        <v>21</v>
      </c>
      <c r="W187" s="15" t="s">
        <v>62</v>
      </c>
      <c r="X187" s="2" t="s">
        <v>88</v>
      </c>
      <c r="Y187" s="32">
        <v>23.251566400000002</v>
      </c>
      <c r="Z187" s="32">
        <f t="shared" si="5"/>
        <v>790.55325760000005</v>
      </c>
      <c r="AA187" s="16" t="s">
        <v>266</v>
      </c>
      <c r="AB187" t="s">
        <v>64</v>
      </c>
      <c r="AJ187" s="1" t="s">
        <v>48</v>
      </c>
    </row>
    <row r="188" spans="1:36" ht="25.5" customHeight="1" x14ac:dyDescent="0.25">
      <c r="A188" s="9" t="s">
        <v>350</v>
      </c>
      <c r="B188" s="9" t="s">
        <v>277</v>
      </c>
      <c r="C188" s="9" t="s">
        <v>280</v>
      </c>
      <c r="D188" s="10">
        <v>0.46458333333333302</v>
      </c>
      <c r="E188" s="10">
        <v>0.47708333333333303</v>
      </c>
      <c r="F188" t="s">
        <v>272</v>
      </c>
      <c r="G188" s="9" t="s">
        <v>351</v>
      </c>
      <c r="H188" s="11">
        <v>7.67</v>
      </c>
      <c r="I188" s="12">
        <v>19</v>
      </c>
      <c r="J188" s="12">
        <v>34</v>
      </c>
      <c r="K188" s="11">
        <f t="shared" si="4"/>
        <v>260.77999999999997</v>
      </c>
      <c r="L188">
        <v>94</v>
      </c>
      <c r="N188" s="21" t="s">
        <v>263</v>
      </c>
      <c r="O188" t="s">
        <v>264</v>
      </c>
      <c r="P188">
        <v>23</v>
      </c>
      <c r="Q188" t="s">
        <v>265</v>
      </c>
      <c r="R188">
        <v>21</v>
      </c>
      <c r="W188" s="15" t="s">
        <v>62</v>
      </c>
      <c r="X188" s="2" t="s">
        <v>88</v>
      </c>
      <c r="Y188" s="32">
        <v>19.793508800000001</v>
      </c>
      <c r="Z188" s="32">
        <f t="shared" si="5"/>
        <v>672.97929920000001</v>
      </c>
      <c r="AA188" s="16" t="s">
        <v>266</v>
      </c>
      <c r="AB188" t="s">
        <v>64</v>
      </c>
      <c r="AJ188" s="1" t="s">
        <v>48</v>
      </c>
    </row>
    <row r="189" spans="1:36" ht="25.5" customHeight="1" x14ac:dyDescent="0.25">
      <c r="A189" s="9" t="s">
        <v>350</v>
      </c>
      <c r="B189" s="9" t="s">
        <v>279</v>
      </c>
      <c r="C189" s="9" t="s">
        <v>282</v>
      </c>
      <c r="D189" s="10">
        <v>0.47708333333333303</v>
      </c>
      <c r="E189" s="10">
        <v>0.49236111111111103</v>
      </c>
      <c r="F189" t="s">
        <v>269</v>
      </c>
      <c r="G189" s="9" t="s">
        <v>351</v>
      </c>
      <c r="H189" s="11">
        <v>9.01</v>
      </c>
      <c r="I189" s="12">
        <v>19</v>
      </c>
      <c r="J189" s="12">
        <v>34</v>
      </c>
      <c r="K189" s="11">
        <f t="shared" si="4"/>
        <v>306.33999999999997</v>
      </c>
      <c r="L189">
        <v>95</v>
      </c>
      <c r="N189" s="21" t="s">
        <v>263</v>
      </c>
      <c r="O189" t="s">
        <v>264</v>
      </c>
      <c r="P189">
        <v>23</v>
      </c>
      <c r="Q189" t="s">
        <v>265</v>
      </c>
      <c r="R189">
        <v>21</v>
      </c>
      <c r="W189" s="15" t="s">
        <v>62</v>
      </c>
      <c r="X189" s="2" t="s">
        <v>88</v>
      </c>
      <c r="Y189" s="32">
        <v>23.251566400000002</v>
      </c>
      <c r="Z189" s="32">
        <f t="shared" si="5"/>
        <v>790.55325760000005</v>
      </c>
      <c r="AA189" s="16" t="s">
        <v>266</v>
      </c>
      <c r="AB189" t="s">
        <v>64</v>
      </c>
      <c r="AJ189" s="1" t="s">
        <v>48</v>
      </c>
    </row>
    <row r="190" spans="1:36" ht="25.5" customHeight="1" x14ac:dyDescent="0.25">
      <c r="A190" s="9" t="s">
        <v>350</v>
      </c>
      <c r="B190" s="9" t="s">
        <v>281</v>
      </c>
      <c r="C190" s="9" t="s">
        <v>284</v>
      </c>
      <c r="D190" s="10">
        <v>0.54791666666666705</v>
      </c>
      <c r="E190" s="10">
        <v>0.56041666666666701</v>
      </c>
      <c r="F190" t="s">
        <v>272</v>
      </c>
      <c r="G190" s="9" t="s">
        <v>351</v>
      </c>
      <c r="H190" s="11">
        <v>7.67</v>
      </c>
      <c r="I190" s="12">
        <v>19</v>
      </c>
      <c r="J190" s="12">
        <v>34</v>
      </c>
      <c r="K190" s="11">
        <f t="shared" si="4"/>
        <v>260.77999999999997</v>
      </c>
      <c r="L190">
        <v>96</v>
      </c>
      <c r="N190" s="21" t="s">
        <v>263</v>
      </c>
      <c r="O190" t="s">
        <v>264</v>
      </c>
      <c r="P190">
        <v>23</v>
      </c>
      <c r="Q190" t="s">
        <v>265</v>
      </c>
      <c r="R190">
        <v>21</v>
      </c>
      <c r="W190" s="15" t="s">
        <v>62</v>
      </c>
      <c r="X190" s="2" t="s">
        <v>88</v>
      </c>
      <c r="Y190" s="32">
        <v>19.793508800000001</v>
      </c>
      <c r="Z190" s="32">
        <f t="shared" si="5"/>
        <v>672.97929920000001</v>
      </c>
      <c r="AA190" s="16" t="s">
        <v>266</v>
      </c>
      <c r="AB190" t="s">
        <v>64</v>
      </c>
      <c r="AJ190" s="1" t="s">
        <v>48</v>
      </c>
    </row>
    <row r="191" spans="1:36" ht="25.5" customHeight="1" x14ac:dyDescent="0.25">
      <c r="A191" s="9" t="s">
        <v>350</v>
      </c>
      <c r="B191" s="9" t="s">
        <v>283</v>
      </c>
      <c r="C191" s="9" t="s">
        <v>286</v>
      </c>
      <c r="D191" s="10">
        <v>0.56041666666666701</v>
      </c>
      <c r="E191" s="10">
        <v>0.57569444444444395</v>
      </c>
      <c r="F191" t="s">
        <v>269</v>
      </c>
      <c r="G191" s="9" t="s">
        <v>351</v>
      </c>
      <c r="H191" s="11">
        <v>9.01</v>
      </c>
      <c r="I191" s="12">
        <v>19</v>
      </c>
      <c r="J191" s="12">
        <v>34</v>
      </c>
      <c r="K191" s="11">
        <f t="shared" si="4"/>
        <v>306.33999999999997</v>
      </c>
      <c r="L191">
        <v>97</v>
      </c>
      <c r="N191" s="21" t="s">
        <v>263</v>
      </c>
      <c r="O191" t="s">
        <v>264</v>
      </c>
      <c r="P191">
        <v>23</v>
      </c>
      <c r="Q191" t="s">
        <v>265</v>
      </c>
      <c r="R191">
        <v>21</v>
      </c>
      <c r="W191" s="15" t="s">
        <v>62</v>
      </c>
      <c r="X191" s="2" t="s">
        <v>88</v>
      </c>
      <c r="Y191" s="32">
        <v>23.251566400000002</v>
      </c>
      <c r="Z191" s="32">
        <f t="shared" si="5"/>
        <v>790.55325760000005</v>
      </c>
      <c r="AA191" s="16" t="s">
        <v>266</v>
      </c>
      <c r="AB191" t="s">
        <v>64</v>
      </c>
      <c r="AJ191" s="1" t="s">
        <v>48</v>
      </c>
    </row>
    <row r="192" spans="1:36" ht="25.5" customHeight="1" x14ac:dyDescent="0.25">
      <c r="A192" s="9" t="s">
        <v>350</v>
      </c>
      <c r="B192" s="9" t="s">
        <v>285</v>
      </c>
      <c r="C192" s="9" t="s">
        <v>334</v>
      </c>
      <c r="D192" s="10">
        <v>0.58958333333333302</v>
      </c>
      <c r="E192" s="10">
        <v>0.60208333333333297</v>
      </c>
      <c r="F192" t="s">
        <v>272</v>
      </c>
      <c r="G192" s="9" t="s">
        <v>351</v>
      </c>
      <c r="H192" s="11">
        <v>7.67</v>
      </c>
      <c r="I192" s="12">
        <v>19</v>
      </c>
      <c r="J192" s="12">
        <v>34</v>
      </c>
      <c r="K192" s="11">
        <f t="shared" si="4"/>
        <v>260.77999999999997</v>
      </c>
      <c r="L192">
        <v>98</v>
      </c>
      <c r="N192" s="21" t="s">
        <v>263</v>
      </c>
      <c r="O192" t="s">
        <v>264</v>
      </c>
      <c r="P192">
        <v>23</v>
      </c>
      <c r="Q192" t="s">
        <v>265</v>
      </c>
      <c r="R192">
        <v>21</v>
      </c>
      <c r="W192" s="15" t="s">
        <v>62</v>
      </c>
      <c r="X192" s="2" t="s">
        <v>88</v>
      </c>
      <c r="Y192" s="32">
        <v>19.793508800000001</v>
      </c>
      <c r="Z192" s="32">
        <f t="shared" si="5"/>
        <v>672.97929920000001</v>
      </c>
      <c r="AA192" s="16" t="s">
        <v>266</v>
      </c>
      <c r="AB192" t="s">
        <v>64</v>
      </c>
      <c r="AJ192" s="1" t="s">
        <v>48</v>
      </c>
    </row>
    <row r="193" spans="1:36" ht="25.5" customHeight="1" x14ac:dyDescent="0.25">
      <c r="A193" s="9" t="s">
        <v>350</v>
      </c>
      <c r="B193" s="9" t="s">
        <v>287</v>
      </c>
      <c r="C193" s="9" t="s">
        <v>335</v>
      </c>
      <c r="D193" s="10">
        <v>0.60208333333333297</v>
      </c>
      <c r="E193" s="10">
        <v>0.61736111111111103</v>
      </c>
      <c r="F193" t="s">
        <v>269</v>
      </c>
      <c r="G193" s="9" t="s">
        <v>351</v>
      </c>
      <c r="H193" s="11">
        <v>9.01</v>
      </c>
      <c r="I193" s="12">
        <v>19</v>
      </c>
      <c r="J193" s="12">
        <v>34</v>
      </c>
      <c r="K193" s="11">
        <f t="shared" si="4"/>
        <v>306.33999999999997</v>
      </c>
      <c r="L193">
        <v>99</v>
      </c>
      <c r="N193" s="21" t="s">
        <v>263</v>
      </c>
      <c r="O193" t="s">
        <v>264</v>
      </c>
      <c r="P193">
        <v>23</v>
      </c>
      <c r="Q193" t="s">
        <v>265</v>
      </c>
      <c r="R193">
        <v>21</v>
      </c>
      <c r="W193" s="15" t="s">
        <v>62</v>
      </c>
      <c r="X193" s="2" t="s">
        <v>88</v>
      </c>
      <c r="Y193" s="32">
        <v>23.251566400000002</v>
      </c>
      <c r="Z193" s="32">
        <f t="shared" si="5"/>
        <v>790.55325760000005</v>
      </c>
      <c r="AA193" s="16" t="s">
        <v>266</v>
      </c>
      <c r="AB193" t="s">
        <v>64</v>
      </c>
      <c r="AJ193" s="1" t="s">
        <v>48</v>
      </c>
    </row>
    <row r="194" spans="1:36" ht="25.5" customHeight="1" x14ac:dyDescent="0.25">
      <c r="A194" s="9" t="s">
        <v>350</v>
      </c>
      <c r="B194" s="9" t="s">
        <v>289</v>
      </c>
      <c r="C194" s="9" t="s">
        <v>296</v>
      </c>
      <c r="D194" s="10">
        <v>0.65902777777777799</v>
      </c>
      <c r="E194" s="10">
        <v>0.66666666666666696</v>
      </c>
      <c r="F194" t="s">
        <v>297</v>
      </c>
      <c r="G194" s="9" t="s">
        <v>351</v>
      </c>
      <c r="H194" s="11">
        <v>3.76</v>
      </c>
      <c r="I194" s="12">
        <v>19</v>
      </c>
      <c r="J194" s="12">
        <v>34</v>
      </c>
      <c r="K194" s="11">
        <f t="shared" ref="K194:K257" si="6">J194*H194</f>
        <v>127.83999999999999</v>
      </c>
      <c r="L194">
        <v>100</v>
      </c>
      <c r="N194" s="21" t="s">
        <v>263</v>
      </c>
      <c r="O194" t="s">
        <v>264</v>
      </c>
      <c r="P194">
        <v>23</v>
      </c>
      <c r="Q194" t="s">
        <v>265</v>
      </c>
      <c r="R194">
        <v>21</v>
      </c>
      <c r="W194" s="15" t="s">
        <v>62</v>
      </c>
      <c r="X194" s="2" t="s">
        <v>88</v>
      </c>
      <c r="Y194" s="32">
        <v>9.7032063999999991</v>
      </c>
      <c r="Z194" s="32">
        <f t="shared" ref="Z194:Z257" si="7">Y194*J194</f>
        <v>329.90901759999997</v>
      </c>
      <c r="AA194" s="16" t="s">
        <v>266</v>
      </c>
      <c r="AB194" t="s">
        <v>64</v>
      </c>
      <c r="AJ194" s="1" t="s">
        <v>48</v>
      </c>
    </row>
    <row r="195" spans="1:36" ht="25.5" customHeight="1" x14ac:dyDescent="0.25">
      <c r="A195" s="9" t="s">
        <v>350</v>
      </c>
      <c r="B195" s="9" t="s">
        <v>291</v>
      </c>
      <c r="C195" s="9" t="s">
        <v>299</v>
      </c>
      <c r="D195" s="10">
        <v>0.66666666666666696</v>
      </c>
      <c r="E195" s="10">
        <v>0.67222222222222205</v>
      </c>
      <c r="F195" t="s">
        <v>300</v>
      </c>
      <c r="G195" s="9" t="s">
        <v>351</v>
      </c>
      <c r="H195" s="11">
        <v>2.76</v>
      </c>
      <c r="I195" s="12">
        <v>19</v>
      </c>
      <c r="J195" s="12">
        <v>34</v>
      </c>
      <c r="K195" s="11">
        <f t="shared" si="6"/>
        <v>93.839999999999989</v>
      </c>
      <c r="L195">
        <v>101</v>
      </c>
      <c r="N195" s="21" t="s">
        <v>263</v>
      </c>
      <c r="O195" t="s">
        <v>264</v>
      </c>
      <c r="P195">
        <v>23</v>
      </c>
      <c r="Q195" t="s">
        <v>265</v>
      </c>
      <c r="R195">
        <v>21</v>
      </c>
      <c r="W195" s="15" t="s">
        <v>62</v>
      </c>
      <c r="X195" s="2" t="s">
        <v>88</v>
      </c>
      <c r="Y195" s="32">
        <v>7.1225664000000002</v>
      </c>
      <c r="Z195" s="32">
        <f t="shared" si="7"/>
        <v>242.1672576</v>
      </c>
      <c r="AA195" s="16" t="s">
        <v>266</v>
      </c>
      <c r="AB195" t="s">
        <v>64</v>
      </c>
      <c r="AJ195" s="1" t="s">
        <v>48</v>
      </c>
    </row>
    <row r="196" spans="1:36" ht="25.5" customHeight="1" x14ac:dyDescent="0.25">
      <c r="A196" s="9" t="s">
        <v>350</v>
      </c>
      <c r="B196" s="9" t="s">
        <v>293</v>
      </c>
      <c r="C196" s="9" t="s">
        <v>305</v>
      </c>
      <c r="D196" s="10">
        <v>0.71458333333333302</v>
      </c>
      <c r="E196" s="10">
        <v>0.72708333333333297</v>
      </c>
      <c r="F196" t="s">
        <v>272</v>
      </c>
      <c r="G196" s="9" t="s">
        <v>351</v>
      </c>
      <c r="H196" s="11">
        <v>7.67</v>
      </c>
      <c r="I196" s="12">
        <v>19</v>
      </c>
      <c r="J196" s="12">
        <v>34</v>
      </c>
      <c r="K196" s="11">
        <f t="shared" si="6"/>
        <v>260.77999999999997</v>
      </c>
      <c r="L196">
        <v>102</v>
      </c>
      <c r="N196" s="21" t="s">
        <v>263</v>
      </c>
      <c r="O196" t="s">
        <v>264</v>
      </c>
      <c r="P196">
        <v>23</v>
      </c>
      <c r="Q196" t="s">
        <v>265</v>
      </c>
      <c r="R196">
        <v>21</v>
      </c>
      <c r="W196" s="15" t="s">
        <v>62</v>
      </c>
      <c r="X196" s="2" t="s">
        <v>88</v>
      </c>
      <c r="Y196" s="32">
        <v>19.793508800000001</v>
      </c>
      <c r="Z196" s="32">
        <f t="shared" si="7"/>
        <v>672.97929920000001</v>
      </c>
      <c r="AA196" s="16" t="s">
        <v>266</v>
      </c>
      <c r="AB196" t="s">
        <v>64</v>
      </c>
      <c r="AJ196" s="1" t="s">
        <v>48</v>
      </c>
    </row>
    <row r="197" spans="1:36" ht="25.5" customHeight="1" x14ac:dyDescent="0.25">
      <c r="A197" s="9" t="s">
        <v>350</v>
      </c>
      <c r="B197" s="9" t="s">
        <v>295</v>
      </c>
      <c r="C197" s="9" t="s">
        <v>307</v>
      </c>
      <c r="D197" s="10">
        <v>0.72708333333333297</v>
      </c>
      <c r="E197" s="10">
        <v>0.74236111111111103</v>
      </c>
      <c r="F197" t="s">
        <v>269</v>
      </c>
      <c r="G197" s="9" t="s">
        <v>351</v>
      </c>
      <c r="H197" s="11">
        <v>9.01</v>
      </c>
      <c r="I197" s="12">
        <v>19</v>
      </c>
      <c r="J197" s="12">
        <v>34</v>
      </c>
      <c r="K197" s="11">
        <f t="shared" si="6"/>
        <v>306.33999999999997</v>
      </c>
      <c r="L197">
        <v>103</v>
      </c>
      <c r="N197" s="21" t="s">
        <v>263</v>
      </c>
      <c r="O197" t="s">
        <v>264</v>
      </c>
      <c r="P197">
        <v>23</v>
      </c>
      <c r="Q197" t="s">
        <v>265</v>
      </c>
      <c r="R197">
        <v>21</v>
      </c>
      <c r="W197" s="15" t="s">
        <v>62</v>
      </c>
      <c r="X197" s="2" t="s">
        <v>88</v>
      </c>
      <c r="Y197" s="32">
        <v>23.251566400000002</v>
      </c>
      <c r="Z197" s="32">
        <f t="shared" si="7"/>
        <v>790.55325760000005</v>
      </c>
      <c r="AA197" s="16" t="s">
        <v>266</v>
      </c>
      <c r="AB197" t="s">
        <v>64</v>
      </c>
      <c r="AJ197" s="1" t="s">
        <v>48</v>
      </c>
    </row>
    <row r="198" spans="1:36" ht="25.5" customHeight="1" x14ac:dyDescent="0.25">
      <c r="A198" s="9" t="s">
        <v>350</v>
      </c>
      <c r="B198" s="9" t="s">
        <v>298</v>
      </c>
      <c r="C198" s="9" t="s">
        <v>309</v>
      </c>
      <c r="D198" s="10">
        <v>0.77708333333333302</v>
      </c>
      <c r="E198" s="10">
        <v>0.78472222222222199</v>
      </c>
      <c r="F198" t="s">
        <v>297</v>
      </c>
      <c r="G198" s="9" t="s">
        <v>351</v>
      </c>
      <c r="H198" s="11">
        <v>3.76</v>
      </c>
      <c r="I198" s="12">
        <v>19</v>
      </c>
      <c r="J198" s="12">
        <v>34</v>
      </c>
      <c r="K198" s="11">
        <f t="shared" si="6"/>
        <v>127.83999999999999</v>
      </c>
      <c r="L198">
        <v>104</v>
      </c>
      <c r="N198" s="21" t="s">
        <v>263</v>
      </c>
      <c r="O198" t="s">
        <v>264</v>
      </c>
      <c r="P198">
        <v>23</v>
      </c>
      <c r="Q198" t="s">
        <v>265</v>
      </c>
      <c r="R198">
        <v>21</v>
      </c>
      <c r="W198" s="15" t="s">
        <v>62</v>
      </c>
      <c r="X198" s="2" t="s">
        <v>88</v>
      </c>
      <c r="Y198" s="32">
        <v>9.7032063999999991</v>
      </c>
      <c r="Z198" s="32">
        <f t="shared" si="7"/>
        <v>329.90901759999997</v>
      </c>
      <c r="AA198" s="16" t="s">
        <v>266</v>
      </c>
      <c r="AB198" t="s">
        <v>64</v>
      </c>
      <c r="AJ198" s="1" t="s">
        <v>48</v>
      </c>
    </row>
    <row r="199" spans="1:36" ht="25.5" customHeight="1" x14ac:dyDescent="0.25">
      <c r="A199" s="9" t="s">
        <v>350</v>
      </c>
      <c r="B199" s="9" t="s">
        <v>226</v>
      </c>
      <c r="C199" s="9" t="s">
        <v>311</v>
      </c>
      <c r="D199" s="10">
        <v>0.78472222222222199</v>
      </c>
      <c r="E199" s="10">
        <v>0.79027777777777797</v>
      </c>
      <c r="F199" t="s">
        <v>300</v>
      </c>
      <c r="G199" s="9" t="s">
        <v>351</v>
      </c>
      <c r="H199" s="11">
        <v>2.76</v>
      </c>
      <c r="I199" s="12">
        <v>19</v>
      </c>
      <c r="J199" s="12">
        <v>34</v>
      </c>
      <c r="K199" s="11">
        <f t="shared" si="6"/>
        <v>93.839999999999989</v>
      </c>
      <c r="L199">
        <v>105</v>
      </c>
      <c r="N199" s="21" t="s">
        <v>263</v>
      </c>
      <c r="O199" t="s">
        <v>264</v>
      </c>
      <c r="P199">
        <v>23</v>
      </c>
      <c r="Q199" t="s">
        <v>265</v>
      </c>
      <c r="R199">
        <v>21</v>
      </c>
      <c r="W199" s="15" t="s">
        <v>62</v>
      </c>
      <c r="X199" s="2" t="s">
        <v>88</v>
      </c>
      <c r="Y199" s="32">
        <v>7.1225664000000002</v>
      </c>
      <c r="Z199" s="32">
        <f t="shared" si="7"/>
        <v>242.1672576</v>
      </c>
      <c r="AA199" s="16" t="s">
        <v>266</v>
      </c>
      <c r="AB199" t="s">
        <v>64</v>
      </c>
      <c r="AJ199" s="1" t="s">
        <v>48</v>
      </c>
    </row>
    <row r="200" spans="1:36" ht="25.5" customHeight="1" x14ac:dyDescent="0.25">
      <c r="A200" s="9" t="s">
        <v>352</v>
      </c>
      <c r="B200" s="9" t="s">
        <v>259</v>
      </c>
      <c r="C200" s="9" t="s">
        <v>346</v>
      </c>
      <c r="D200" s="10">
        <v>0.27708333333333302</v>
      </c>
      <c r="E200" s="10">
        <v>0.28958333333333303</v>
      </c>
      <c r="F200" t="s">
        <v>269</v>
      </c>
      <c r="G200" s="9" t="s">
        <v>351</v>
      </c>
      <c r="H200" s="11">
        <v>7.82</v>
      </c>
      <c r="I200" s="12">
        <v>19</v>
      </c>
      <c r="J200" s="12">
        <v>34</v>
      </c>
      <c r="K200" s="11">
        <f t="shared" si="6"/>
        <v>265.88</v>
      </c>
      <c r="L200">
        <v>106</v>
      </c>
      <c r="N200" s="21" t="s">
        <v>263</v>
      </c>
      <c r="O200" t="s">
        <v>264</v>
      </c>
      <c r="P200">
        <v>23</v>
      </c>
      <c r="Q200" t="s">
        <v>265</v>
      </c>
      <c r="R200">
        <v>21</v>
      </c>
      <c r="W200" s="15" t="s">
        <v>62</v>
      </c>
      <c r="X200" s="2" t="s">
        <v>88</v>
      </c>
      <c r="Y200" s="32">
        <v>20.180604800000001</v>
      </c>
      <c r="Z200" s="32">
        <f t="shared" si="7"/>
        <v>686.14056320000009</v>
      </c>
      <c r="AA200" s="16" t="s">
        <v>266</v>
      </c>
      <c r="AB200" t="s">
        <v>64</v>
      </c>
      <c r="AJ200" s="1" t="s">
        <v>48</v>
      </c>
    </row>
    <row r="201" spans="1:36" ht="127.5" customHeight="1" x14ac:dyDescent="0.25">
      <c r="A201" s="9" t="s">
        <v>353</v>
      </c>
      <c r="B201" s="9" t="s">
        <v>354</v>
      </c>
      <c r="C201" s="9" t="s">
        <v>355</v>
      </c>
      <c r="D201" s="10">
        <v>0.36458333333333298</v>
      </c>
      <c r="E201" s="10">
        <v>0.41597222222222202</v>
      </c>
      <c r="F201" s="9" t="s">
        <v>356</v>
      </c>
      <c r="G201" s="9" t="s">
        <v>150</v>
      </c>
      <c r="H201" s="11">
        <v>43.7</v>
      </c>
      <c r="I201" s="12">
        <v>19</v>
      </c>
      <c r="J201" s="12">
        <v>189</v>
      </c>
      <c r="K201" s="11">
        <f t="shared" si="6"/>
        <v>8259.3000000000011</v>
      </c>
      <c r="L201">
        <v>1</v>
      </c>
      <c r="N201" s="21" t="s">
        <v>357</v>
      </c>
      <c r="O201" t="s">
        <v>358</v>
      </c>
      <c r="P201">
        <v>24</v>
      </c>
      <c r="Q201" t="s">
        <v>359</v>
      </c>
      <c r="R201">
        <v>23</v>
      </c>
      <c r="W201" s="1" t="s">
        <v>62</v>
      </c>
      <c r="X201" s="2" t="s">
        <v>151</v>
      </c>
      <c r="Y201" s="32">
        <v>97.68</v>
      </c>
      <c r="Z201" s="32">
        <f t="shared" si="7"/>
        <v>18461.52</v>
      </c>
      <c r="AA201" s="16" t="s">
        <v>46</v>
      </c>
      <c r="AB201" t="s">
        <v>116</v>
      </c>
      <c r="AE201" s="1" t="s">
        <v>48</v>
      </c>
      <c r="AF201" s="1" t="s">
        <v>48</v>
      </c>
      <c r="AG201" s="1" t="s">
        <v>48</v>
      </c>
      <c r="AH201" s="1" t="s">
        <v>48</v>
      </c>
      <c r="AI201" s="1" t="s">
        <v>48</v>
      </c>
    </row>
    <row r="202" spans="1:36" ht="63.75" customHeight="1" x14ac:dyDescent="0.25">
      <c r="A202" s="9" t="s">
        <v>353</v>
      </c>
      <c r="B202" s="9" t="s">
        <v>354</v>
      </c>
      <c r="C202" s="9" t="s">
        <v>360</v>
      </c>
      <c r="D202" s="10">
        <v>0.41805555555555601</v>
      </c>
      <c r="E202" s="10">
        <v>0.452777777777778</v>
      </c>
      <c r="F202" s="9" t="s">
        <v>361</v>
      </c>
      <c r="G202" s="9" t="s">
        <v>150</v>
      </c>
      <c r="H202" s="11">
        <v>30.2</v>
      </c>
      <c r="I202" s="12">
        <v>19</v>
      </c>
      <c r="J202" s="12">
        <v>189</v>
      </c>
      <c r="K202" s="11">
        <f t="shared" si="6"/>
        <v>5707.8</v>
      </c>
      <c r="L202">
        <v>2</v>
      </c>
      <c r="N202" s="21" t="s">
        <v>357</v>
      </c>
      <c r="O202" t="s">
        <v>358</v>
      </c>
      <c r="P202">
        <v>24</v>
      </c>
      <c r="Q202" t="s">
        <v>359</v>
      </c>
      <c r="R202">
        <v>23</v>
      </c>
      <c r="W202" s="1" t="s">
        <v>62</v>
      </c>
      <c r="X202" s="2" t="s">
        <v>151</v>
      </c>
      <c r="Y202" s="32">
        <v>67.510000000000005</v>
      </c>
      <c r="Z202" s="32">
        <f t="shared" si="7"/>
        <v>12759.390000000001</v>
      </c>
      <c r="AA202" s="16" t="s">
        <v>46</v>
      </c>
      <c r="AB202" t="s">
        <v>116</v>
      </c>
      <c r="AE202" s="1" t="s">
        <v>48</v>
      </c>
      <c r="AF202" s="1" t="s">
        <v>48</v>
      </c>
      <c r="AG202" s="1" t="s">
        <v>48</v>
      </c>
      <c r="AH202" s="1" t="s">
        <v>48</v>
      </c>
      <c r="AI202" s="1" t="s">
        <v>48</v>
      </c>
    </row>
    <row r="203" spans="1:36" ht="51" customHeight="1" x14ac:dyDescent="0.25">
      <c r="A203" s="9" t="s">
        <v>353</v>
      </c>
      <c r="B203" s="9" t="s">
        <v>354</v>
      </c>
      <c r="C203" s="9" t="s">
        <v>362</v>
      </c>
      <c r="D203" s="10">
        <v>0.452777777777778</v>
      </c>
      <c r="E203" s="10">
        <v>0.48749999999999999</v>
      </c>
      <c r="F203" s="9" t="s">
        <v>363</v>
      </c>
      <c r="G203" s="9" t="s">
        <v>150</v>
      </c>
      <c r="H203" s="11">
        <v>29.7</v>
      </c>
      <c r="I203" s="12">
        <v>19</v>
      </c>
      <c r="J203" s="12">
        <v>189</v>
      </c>
      <c r="K203" s="11">
        <f t="shared" si="6"/>
        <v>5613.3</v>
      </c>
      <c r="L203">
        <v>3</v>
      </c>
      <c r="N203" s="21" t="s">
        <v>357</v>
      </c>
      <c r="O203" t="s">
        <v>358</v>
      </c>
      <c r="P203">
        <v>24</v>
      </c>
      <c r="Q203" t="s">
        <v>359</v>
      </c>
      <c r="R203">
        <v>23</v>
      </c>
      <c r="W203" s="1" t="s">
        <v>62</v>
      </c>
      <c r="X203" s="2" t="s">
        <v>151</v>
      </c>
      <c r="Y203" s="32">
        <v>66.39</v>
      </c>
      <c r="Z203" s="32">
        <f t="shared" si="7"/>
        <v>12547.710000000001</v>
      </c>
      <c r="AA203" s="16" t="s">
        <v>46</v>
      </c>
      <c r="AB203" t="s">
        <v>116</v>
      </c>
      <c r="AE203" s="1" t="s">
        <v>48</v>
      </c>
      <c r="AF203" s="1" t="s">
        <v>48</v>
      </c>
      <c r="AG203" s="1" t="s">
        <v>48</v>
      </c>
      <c r="AH203" s="1" t="s">
        <v>48</v>
      </c>
      <c r="AI203" s="1" t="s">
        <v>48</v>
      </c>
    </row>
    <row r="204" spans="1:36" ht="76.5" customHeight="1" x14ac:dyDescent="0.25">
      <c r="A204" s="9" t="s">
        <v>353</v>
      </c>
      <c r="B204" s="9" t="s">
        <v>354</v>
      </c>
      <c r="C204" s="9" t="s">
        <v>364</v>
      </c>
      <c r="D204" s="10">
        <v>0.49861111111111101</v>
      </c>
      <c r="E204" s="10">
        <v>0.52083333333333304</v>
      </c>
      <c r="F204" s="9" t="s">
        <v>365</v>
      </c>
      <c r="G204" s="9" t="s">
        <v>150</v>
      </c>
      <c r="H204" s="11">
        <v>18.149999999999999</v>
      </c>
      <c r="I204" s="12">
        <v>19</v>
      </c>
      <c r="J204" s="12">
        <v>189</v>
      </c>
      <c r="K204" s="11">
        <f t="shared" si="6"/>
        <v>3430.35</v>
      </c>
      <c r="L204">
        <v>4</v>
      </c>
      <c r="N204" s="21" t="s">
        <v>357</v>
      </c>
      <c r="O204" t="s">
        <v>358</v>
      </c>
      <c r="P204">
        <v>24</v>
      </c>
      <c r="Q204" t="s">
        <v>359</v>
      </c>
      <c r="R204">
        <v>23</v>
      </c>
      <c r="W204" s="1" t="s">
        <v>62</v>
      </c>
      <c r="X204" s="2" t="s">
        <v>151</v>
      </c>
      <c r="Y204" s="32">
        <v>40.57</v>
      </c>
      <c r="Z204" s="32">
        <f t="shared" si="7"/>
        <v>7667.7300000000005</v>
      </c>
      <c r="AA204" s="16" t="s">
        <v>46</v>
      </c>
      <c r="AB204" t="s">
        <v>116</v>
      </c>
      <c r="AE204" s="1" t="s">
        <v>48</v>
      </c>
      <c r="AF204" s="1" t="s">
        <v>48</v>
      </c>
      <c r="AG204" s="1" t="s">
        <v>48</v>
      </c>
      <c r="AH204" s="1" t="s">
        <v>48</v>
      </c>
      <c r="AI204" s="1" t="s">
        <v>48</v>
      </c>
    </row>
    <row r="205" spans="1:36" ht="140.25" customHeight="1" x14ac:dyDescent="0.25">
      <c r="A205" s="9" t="s">
        <v>353</v>
      </c>
      <c r="B205" s="9" t="s">
        <v>354</v>
      </c>
      <c r="C205" s="9" t="s">
        <v>355</v>
      </c>
      <c r="D205" s="10">
        <v>0.57291666666666696</v>
      </c>
      <c r="E205" s="10">
        <v>0.62152777777777801</v>
      </c>
      <c r="F205" s="9" t="s">
        <v>366</v>
      </c>
      <c r="G205" s="9" t="s">
        <v>150</v>
      </c>
      <c r="H205" s="11">
        <v>43.21</v>
      </c>
      <c r="I205" s="12">
        <v>19</v>
      </c>
      <c r="J205" s="12">
        <v>189</v>
      </c>
      <c r="K205" s="11">
        <f t="shared" si="6"/>
        <v>8166.6900000000005</v>
      </c>
      <c r="L205">
        <v>5</v>
      </c>
      <c r="N205" s="21" t="s">
        <v>357</v>
      </c>
      <c r="O205" t="s">
        <v>358</v>
      </c>
      <c r="P205">
        <v>24</v>
      </c>
      <c r="Q205" t="s">
        <v>359</v>
      </c>
      <c r="R205">
        <v>23</v>
      </c>
      <c r="W205" s="1" t="s">
        <v>62</v>
      </c>
      <c r="X205" s="2" t="s">
        <v>151</v>
      </c>
      <c r="Y205" s="32">
        <v>96.59</v>
      </c>
      <c r="Z205" s="32">
        <f t="shared" si="7"/>
        <v>18255.510000000002</v>
      </c>
      <c r="AA205" s="16" t="s">
        <v>46</v>
      </c>
      <c r="AB205" t="s">
        <v>116</v>
      </c>
      <c r="AE205" s="1" t="s">
        <v>48</v>
      </c>
      <c r="AF205" s="1" t="s">
        <v>48</v>
      </c>
      <c r="AG205" s="1" t="s">
        <v>48</v>
      </c>
      <c r="AH205" s="1" t="s">
        <v>48</v>
      </c>
      <c r="AI205" s="1" t="s">
        <v>48</v>
      </c>
    </row>
    <row r="206" spans="1:36" ht="63.75" customHeight="1" x14ac:dyDescent="0.25">
      <c r="A206" s="9" t="s">
        <v>353</v>
      </c>
      <c r="B206" s="9" t="s">
        <v>354</v>
      </c>
      <c r="C206" s="9" t="s">
        <v>355</v>
      </c>
      <c r="D206" s="10">
        <v>0.62152777777777801</v>
      </c>
      <c r="E206" s="10">
        <v>0.63749999999999996</v>
      </c>
      <c r="F206" s="9" t="s">
        <v>367</v>
      </c>
      <c r="G206" s="9" t="s">
        <v>67</v>
      </c>
      <c r="H206" s="11">
        <v>12.9</v>
      </c>
      <c r="I206" s="12">
        <v>19</v>
      </c>
      <c r="J206" s="12">
        <v>25</v>
      </c>
      <c r="K206" s="11">
        <f t="shared" si="6"/>
        <v>322.5</v>
      </c>
      <c r="L206">
        <v>6</v>
      </c>
      <c r="N206" s="21" t="s">
        <v>357</v>
      </c>
      <c r="O206" t="s">
        <v>358</v>
      </c>
      <c r="P206">
        <v>24</v>
      </c>
      <c r="Q206" t="s">
        <v>359</v>
      </c>
      <c r="R206">
        <v>23</v>
      </c>
      <c r="W206" s="1" t="s">
        <v>62</v>
      </c>
      <c r="X206" s="2" t="s">
        <v>68</v>
      </c>
      <c r="Y206" s="32">
        <v>28.84</v>
      </c>
      <c r="Z206" s="32">
        <f t="shared" si="7"/>
        <v>721</v>
      </c>
      <c r="AA206" s="16" t="s">
        <v>46</v>
      </c>
      <c r="AB206" t="s">
        <v>51</v>
      </c>
      <c r="AC206" t="s">
        <v>69</v>
      </c>
      <c r="AE206" s="1" t="s">
        <v>48</v>
      </c>
      <c r="AF206" s="1" t="s">
        <v>48</v>
      </c>
      <c r="AG206" s="1" t="s">
        <v>48</v>
      </c>
      <c r="AH206" s="1" t="s">
        <v>48</v>
      </c>
      <c r="AI206" s="1" t="s">
        <v>48</v>
      </c>
    </row>
    <row r="207" spans="1:36" ht="51" customHeight="1" x14ac:dyDescent="0.25">
      <c r="A207" s="9" t="s">
        <v>353</v>
      </c>
      <c r="B207" s="9" t="s">
        <v>354</v>
      </c>
      <c r="C207" s="9" t="s">
        <v>364</v>
      </c>
      <c r="D207" s="10">
        <v>0.62847222222222199</v>
      </c>
      <c r="E207" s="10">
        <v>0.63680555555555596</v>
      </c>
      <c r="F207" s="9" t="s">
        <v>368</v>
      </c>
      <c r="G207" s="9" t="s">
        <v>83</v>
      </c>
      <c r="H207" s="11">
        <v>8.5</v>
      </c>
      <c r="I207" s="12">
        <v>19</v>
      </c>
      <c r="J207" s="12">
        <v>164</v>
      </c>
      <c r="K207" s="11">
        <f t="shared" si="6"/>
        <v>1394</v>
      </c>
      <c r="L207">
        <v>7</v>
      </c>
      <c r="N207" s="21" t="s">
        <v>357</v>
      </c>
      <c r="O207" t="s">
        <v>358</v>
      </c>
      <c r="P207">
        <v>24</v>
      </c>
      <c r="Q207" t="s">
        <v>359</v>
      </c>
      <c r="R207">
        <v>23</v>
      </c>
      <c r="W207" s="1" t="s">
        <v>62</v>
      </c>
      <c r="X207" s="2" t="s">
        <v>84</v>
      </c>
      <c r="Y207" s="32">
        <v>19</v>
      </c>
      <c r="Z207" s="32">
        <f t="shared" si="7"/>
        <v>3116</v>
      </c>
      <c r="AA207" s="16" t="s">
        <v>46</v>
      </c>
      <c r="AB207" t="s">
        <v>64</v>
      </c>
      <c r="AE207" s="1" t="s">
        <v>48</v>
      </c>
      <c r="AF207" s="1" t="s">
        <v>48</v>
      </c>
      <c r="AG207" s="1" t="s">
        <v>48</v>
      </c>
      <c r="AH207" s="1" t="s">
        <v>48</v>
      </c>
      <c r="AI207" s="1" t="s">
        <v>48</v>
      </c>
    </row>
    <row r="208" spans="1:36" ht="63.75" customHeight="1" x14ac:dyDescent="0.25">
      <c r="A208" s="9" t="s">
        <v>353</v>
      </c>
      <c r="B208" s="9" t="s">
        <v>354</v>
      </c>
      <c r="C208" s="9" t="s">
        <v>360</v>
      </c>
      <c r="D208" s="10">
        <v>0.64305555555555605</v>
      </c>
      <c r="E208" s="10">
        <v>0.67777777777777803</v>
      </c>
      <c r="F208" s="9" t="s">
        <v>361</v>
      </c>
      <c r="G208" s="9" t="s">
        <v>67</v>
      </c>
      <c r="H208" s="11">
        <v>30.2</v>
      </c>
      <c r="I208" s="12">
        <v>19</v>
      </c>
      <c r="J208" s="12">
        <v>25</v>
      </c>
      <c r="K208" s="11">
        <f t="shared" si="6"/>
        <v>755</v>
      </c>
      <c r="L208">
        <v>8</v>
      </c>
      <c r="N208" s="21" t="s">
        <v>357</v>
      </c>
      <c r="O208" t="s">
        <v>358</v>
      </c>
      <c r="P208">
        <v>24</v>
      </c>
      <c r="Q208" t="s">
        <v>359</v>
      </c>
      <c r="R208">
        <v>23</v>
      </c>
      <c r="W208" s="1" t="s">
        <v>62</v>
      </c>
      <c r="X208" s="2" t="s">
        <v>68</v>
      </c>
      <c r="Y208" s="32">
        <v>67.510000000000005</v>
      </c>
      <c r="Z208" s="32">
        <f t="shared" si="7"/>
        <v>1687.7500000000002</v>
      </c>
      <c r="AA208" s="16" t="s">
        <v>46</v>
      </c>
      <c r="AB208" t="s">
        <v>51</v>
      </c>
      <c r="AC208" t="s">
        <v>69</v>
      </c>
      <c r="AE208" s="1" t="s">
        <v>48</v>
      </c>
      <c r="AF208" s="1" t="s">
        <v>48</v>
      </c>
      <c r="AG208" s="1" t="s">
        <v>48</v>
      </c>
      <c r="AH208" s="1" t="s">
        <v>48</v>
      </c>
      <c r="AI208" s="1" t="s">
        <v>48</v>
      </c>
    </row>
    <row r="209" spans="1:35" ht="63.75" customHeight="1" x14ac:dyDescent="0.25">
      <c r="A209" s="9" t="s">
        <v>353</v>
      </c>
      <c r="B209" s="9" t="s">
        <v>354</v>
      </c>
      <c r="C209" s="9" t="s">
        <v>362</v>
      </c>
      <c r="D209" s="10">
        <v>0.67847222222222203</v>
      </c>
      <c r="E209" s="10">
        <v>0.71319444444444502</v>
      </c>
      <c r="F209" s="9" t="s">
        <v>363</v>
      </c>
      <c r="G209" s="9" t="s">
        <v>67</v>
      </c>
      <c r="H209" s="11">
        <v>29.7</v>
      </c>
      <c r="I209" s="12">
        <v>19</v>
      </c>
      <c r="J209" s="12">
        <v>25</v>
      </c>
      <c r="K209" s="11">
        <f t="shared" si="6"/>
        <v>742.5</v>
      </c>
      <c r="L209">
        <v>9</v>
      </c>
      <c r="N209" s="21" t="s">
        <v>357</v>
      </c>
      <c r="O209" t="s">
        <v>358</v>
      </c>
      <c r="P209">
        <v>24</v>
      </c>
      <c r="Q209" t="s">
        <v>359</v>
      </c>
      <c r="R209">
        <v>23</v>
      </c>
      <c r="W209" s="1" t="s">
        <v>62</v>
      </c>
      <c r="X209" s="2" t="s">
        <v>68</v>
      </c>
      <c r="Y209" s="32">
        <v>66.39</v>
      </c>
      <c r="Z209" s="32">
        <f t="shared" si="7"/>
        <v>1659.75</v>
      </c>
      <c r="AA209" s="16" t="s">
        <v>46</v>
      </c>
      <c r="AB209" t="s">
        <v>51</v>
      </c>
      <c r="AC209" t="s">
        <v>69</v>
      </c>
      <c r="AE209" s="1" t="s">
        <v>48</v>
      </c>
      <c r="AF209" s="1" t="s">
        <v>48</v>
      </c>
      <c r="AG209" s="1" t="s">
        <v>48</v>
      </c>
      <c r="AH209" s="1" t="s">
        <v>48</v>
      </c>
      <c r="AI209" s="1" t="s">
        <v>48</v>
      </c>
    </row>
    <row r="210" spans="1:35" ht="76.5" customHeight="1" x14ac:dyDescent="0.25">
      <c r="A210" s="9" t="s">
        <v>353</v>
      </c>
      <c r="B210" s="9" t="s">
        <v>354</v>
      </c>
      <c r="C210" s="9" t="s">
        <v>364</v>
      </c>
      <c r="D210" s="10">
        <v>0.72777777777777797</v>
      </c>
      <c r="E210" s="10">
        <v>0.75277777777777799</v>
      </c>
      <c r="F210" s="9" t="s">
        <v>369</v>
      </c>
      <c r="G210" s="9" t="s">
        <v>150</v>
      </c>
      <c r="H210" s="11">
        <v>22.87</v>
      </c>
      <c r="I210" s="12">
        <v>19</v>
      </c>
      <c r="J210" s="12">
        <v>189</v>
      </c>
      <c r="K210" s="11">
        <f t="shared" si="6"/>
        <v>4322.43</v>
      </c>
      <c r="L210">
        <v>10</v>
      </c>
      <c r="N210" s="21" t="s">
        <v>357</v>
      </c>
      <c r="O210" t="s">
        <v>358</v>
      </c>
      <c r="P210">
        <v>24</v>
      </c>
      <c r="Q210" t="s">
        <v>359</v>
      </c>
      <c r="R210">
        <v>23</v>
      </c>
      <c r="W210" s="1" t="s">
        <v>62</v>
      </c>
      <c r="X210" s="2" t="s">
        <v>151</v>
      </c>
      <c r="Y210" s="32">
        <v>51.12</v>
      </c>
      <c r="Z210" s="32">
        <f t="shared" si="7"/>
        <v>9661.68</v>
      </c>
      <c r="AA210" s="16" t="s">
        <v>46</v>
      </c>
      <c r="AB210" t="s">
        <v>116</v>
      </c>
      <c r="AE210" s="1" t="s">
        <v>48</v>
      </c>
      <c r="AF210" s="1" t="s">
        <v>48</v>
      </c>
      <c r="AG210" s="1" t="s">
        <v>48</v>
      </c>
      <c r="AH210" s="1" t="s">
        <v>48</v>
      </c>
      <c r="AI210" s="1" t="s">
        <v>48</v>
      </c>
    </row>
    <row r="211" spans="1:35" ht="76.5" customHeight="1" x14ac:dyDescent="0.25">
      <c r="A211" s="9" t="s">
        <v>370</v>
      </c>
      <c r="B211" s="9" t="s">
        <v>371</v>
      </c>
      <c r="C211" s="9"/>
      <c r="D211" s="10">
        <v>0.30208333333333298</v>
      </c>
      <c r="E211" s="10">
        <v>0.31666666666666698</v>
      </c>
      <c r="F211" s="9" t="s">
        <v>372</v>
      </c>
      <c r="G211" s="9" t="s">
        <v>150</v>
      </c>
      <c r="H211" s="11">
        <v>13</v>
      </c>
      <c r="I211" s="12">
        <v>19</v>
      </c>
      <c r="J211" s="12">
        <v>189</v>
      </c>
      <c r="K211" s="11">
        <f t="shared" si="6"/>
        <v>2457</v>
      </c>
      <c r="L211">
        <v>1</v>
      </c>
      <c r="N211" s="21" t="s">
        <v>373</v>
      </c>
      <c r="O211" t="s">
        <v>374</v>
      </c>
      <c r="P211">
        <v>23</v>
      </c>
      <c r="Q211" t="s">
        <v>375</v>
      </c>
      <c r="R211">
        <v>24</v>
      </c>
      <c r="S211" t="s">
        <v>376</v>
      </c>
      <c r="T211">
        <v>21</v>
      </c>
      <c r="X211" s="2" t="s">
        <v>151</v>
      </c>
      <c r="Y211" s="32">
        <v>29.06</v>
      </c>
      <c r="Z211" s="32">
        <f t="shared" si="7"/>
        <v>5492.34</v>
      </c>
      <c r="AA211" s="16" t="s">
        <v>46</v>
      </c>
      <c r="AB211" t="s">
        <v>116</v>
      </c>
      <c r="AE211" s="1" t="s">
        <v>48</v>
      </c>
      <c r="AF211" s="1" t="s">
        <v>48</v>
      </c>
      <c r="AG211" s="1" t="s">
        <v>48</v>
      </c>
      <c r="AH211" s="1" t="s">
        <v>48</v>
      </c>
      <c r="AI211" s="1" t="s">
        <v>48</v>
      </c>
    </row>
    <row r="212" spans="1:35" ht="76.5" customHeight="1" x14ac:dyDescent="0.25">
      <c r="A212" s="9" t="s">
        <v>370</v>
      </c>
      <c r="B212" s="9" t="s">
        <v>371</v>
      </c>
      <c r="C212" s="9"/>
      <c r="D212" s="10">
        <v>0.31736111111111098</v>
      </c>
      <c r="E212" s="10">
        <v>0.33333333333333298</v>
      </c>
      <c r="F212" s="9" t="s">
        <v>377</v>
      </c>
      <c r="G212" s="9" t="s">
        <v>150</v>
      </c>
      <c r="H212" s="11">
        <v>13</v>
      </c>
      <c r="I212" s="12">
        <v>19</v>
      </c>
      <c r="J212" s="12">
        <v>189</v>
      </c>
      <c r="K212" s="11">
        <f t="shared" si="6"/>
        <v>2457</v>
      </c>
      <c r="L212">
        <v>2</v>
      </c>
      <c r="N212" s="21" t="s">
        <v>373</v>
      </c>
      <c r="O212" t="s">
        <v>374</v>
      </c>
      <c r="P212">
        <v>23</v>
      </c>
      <c r="Q212" t="s">
        <v>375</v>
      </c>
      <c r="R212">
        <v>24</v>
      </c>
      <c r="S212" t="s">
        <v>376</v>
      </c>
      <c r="T212">
        <v>22</v>
      </c>
      <c r="X212" s="2" t="s">
        <v>151</v>
      </c>
      <c r="Y212" s="32">
        <v>29.06</v>
      </c>
      <c r="Z212" s="32">
        <f t="shared" si="7"/>
        <v>5492.34</v>
      </c>
      <c r="AA212" s="16" t="s">
        <v>46</v>
      </c>
      <c r="AB212" t="s">
        <v>116</v>
      </c>
      <c r="AE212" s="1" t="s">
        <v>48</v>
      </c>
      <c r="AF212" s="1" t="s">
        <v>48</v>
      </c>
      <c r="AG212" s="1" t="s">
        <v>48</v>
      </c>
      <c r="AH212" s="1" t="s">
        <v>48</v>
      </c>
      <c r="AI212" s="1" t="s">
        <v>48</v>
      </c>
    </row>
    <row r="213" spans="1:35" ht="76.5" customHeight="1" x14ac:dyDescent="0.25">
      <c r="A213" s="9" t="s">
        <v>370</v>
      </c>
      <c r="B213" s="9" t="s">
        <v>371</v>
      </c>
      <c r="C213" s="9"/>
      <c r="D213" s="10">
        <v>0.36458333333333298</v>
      </c>
      <c r="E213" s="10">
        <v>0.37916666666666698</v>
      </c>
      <c r="F213" s="9" t="s">
        <v>372</v>
      </c>
      <c r="G213" s="9" t="s">
        <v>150</v>
      </c>
      <c r="H213" s="11">
        <v>13</v>
      </c>
      <c r="I213" s="12">
        <v>19</v>
      </c>
      <c r="J213" s="12">
        <v>189</v>
      </c>
      <c r="K213" s="11">
        <f t="shared" si="6"/>
        <v>2457</v>
      </c>
      <c r="L213">
        <v>3</v>
      </c>
      <c r="N213" s="21" t="s">
        <v>373</v>
      </c>
      <c r="O213" t="s">
        <v>374</v>
      </c>
      <c r="P213">
        <v>23</v>
      </c>
      <c r="Q213" t="s">
        <v>375</v>
      </c>
      <c r="R213">
        <v>24</v>
      </c>
      <c r="S213" t="s">
        <v>376</v>
      </c>
      <c r="T213">
        <v>23</v>
      </c>
      <c r="X213" s="2" t="s">
        <v>151</v>
      </c>
      <c r="Y213" s="32">
        <v>29.06</v>
      </c>
      <c r="Z213" s="32">
        <f t="shared" si="7"/>
        <v>5492.34</v>
      </c>
      <c r="AA213" s="16" t="s">
        <v>46</v>
      </c>
      <c r="AB213" t="s">
        <v>116</v>
      </c>
      <c r="AE213" s="1" t="s">
        <v>48</v>
      </c>
      <c r="AF213" s="1" t="s">
        <v>48</v>
      </c>
      <c r="AG213" s="1" t="s">
        <v>48</v>
      </c>
      <c r="AH213" s="1" t="s">
        <v>48</v>
      </c>
      <c r="AI213" s="1" t="s">
        <v>48</v>
      </c>
    </row>
    <row r="214" spans="1:35" ht="76.5" customHeight="1" x14ac:dyDescent="0.25">
      <c r="A214" s="9" t="s">
        <v>370</v>
      </c>
      <c r="B214" s="9" t="s">
        <v>371</v>
      </c>
      <c r="C214" s="9"/>
      <c r="D214" s="10">
        <v>0.390972222222222</v>
      </c>
      <c r="E214" s="10">
        <v>0.40625</v>
      </c>
      <c r="F214" s="9" t="s">
        <v>377</v>
      </c>
      <c r="G214" s="9" t="s">
        <v>150</v>
      </c>
      <c r="H214" s="11">
        <v>13</v>
      </c>
      <c r="I214" s="12">
        <v>19</v>
      </c>
      <c r="J214" s="12">
        <v>189</v>
      </c>
      <c r="K214" s="11">
        <f t="shared" si="6"/>
        <v>2457</v>
      </c>
      <c r="L214">
        <v>4</v>
      </c>
      <c r="N214" s="21" t="s">
        <v>373</v>
      </c>
      <c r="O214" t="s">
        <v>374</v>
      </c>
      <c r="P214">
        <v>23</v>
      </c>
      <c r="Q214" t="s">
        <v>375</v>
      </c>
      <c r="R214">
        <v>24</v>
      </c>
      <c r="S214" t="s">
        <v>376</v>
      </c>
      <c r="T214">
        <v>24</v>
      </c>
      <c r="X214" s="2" t="s">
        <v>151</v>
      </c>
      <c r="Y214" s="32">
        <v>29.06</v>
      </c>
      <c r="Z214" s="32">
        <f t="shared" si="7"/>
        <v>5492.34</v>
      </c>
      <c r="AA214" s="16" t="s">
        <v>46</v>
      </c>
      <c r="AB214" t="s">
        <v>116</v>
      </c>
      <c r="AE214" s="1" t="s">
        <v>48</v>
      </c>
      <c r="AF214" s="1" t="s">
        <v>48</v>
      </c>
      <c r="AG214" s="1" t="s">
        <v>48</v>
      </c>
      <c r="AH214" s="1" t="s">
        <v>48</v>
      </c>
      <c r="AI214" s="1" t="s">
        <v>48</v>
      </c>
    </row>
    <row r="215" spans="1:35" ht="76.5" customHeight="1" x14ac:dyDescent="0.25">
      <c r="A215" s="9" t="s">
        <v>370</v>
      </c>
      <c r="B215" s="9" t="s">
        <v>371</v>
      </c>
      <c r="C215" s="9"/>
      <c r="D215" s="10">
        <v>0.5</v>
      </c>
      <c r="E215" s="10">
        <v>0.51458333333333295</v>
      </c>
      <c r="F215" s="9" t="s">
        <v>372</v>
      </c>
      <c r="G215" s="9" t="s">
        <v>150</v>
      </c>
      <c r="H215" s="11">
        <v>13</v>
      </c>
      <c r="I215" s="12">
        <v>19</v>
      </c>
      <c r="J215" s="12">
        <v>189</v>
      </c>
      <c r="K215" s="11">
        <f t="shared" si="6"/>
        <v>2457</v>
      </c>
      <c r="L215">
        <v>5</v>
      </c>
      <c r="N215" s="21" t="s">
        <v>373</v>
      </c>
      <c r="O215" t="s">
        <v>374</v>
      </c>
      <c r="P215">
        <v>23</v>
      </c>
      <c r="Q215" t="s">
        <v>375</v>
      </c>
      <c r="R215">
        <v>24</v>
      </c>
      <c r="S215" t="s">
        <v>376</v>
      </c>
      <c r="T215">
        <v>25</v>
      </c>
      <c r="X215" s="2" t="s">
        <v>151</v>
      </c>
      <c r="Y215" s="32">
        <v>29.06</v>
      </c>
      <c r="Z215" s="32">
        <f t="shared" si="7"/>
        <v>5492.34</v>
      </c>
      <c r="AA215" s="16" t="s">
        <v>46</v>
      </c>
      <c r="AB215" t="s">
        <v>116</v>
      </c>
      <c r="AE215" s="1" t="s">
        <v>48</v>
      </c>
      <c r="AF215" s="1" t="s">
        <v>48</v>
      </c>
      <c r="AG215" s="1" t="s">
        <v>48</v>
      </c>
      <c r="AH215" s="1" t="s">
        <v>48</v>
      </c>
      <c r="AI215" s="1" t="s">
        <v>48</v>
      </c>
    </row>
    <row r="216" spans="1:35" ht="76.5" customHeight="1" x14ac:dyDescent="0.25">
      <c r="A216" s="9" t="s">
        <v>370</v>
      </c>
      <c r="B216" s="9" t="s">
        <v>371</v>
      </c>
      <c r="C216" s="9"/>
      <c r="D216" s="10">
        <v>0.52569444444444502</v>
      </c>
      <c r="E216" s="10">
        <v>0.54166666666666696</v>
      </c>
      <c r="F216" s="9" t="s">
        <v>377</v>
      </c>
      <c r="G216" s="9" t="s">
        <v>150</v>
      </c>
      <c r="H216" s="11">
        <v>13</v>
      </c>
      <c r="I216" s="12">
        <v>19</v>
      </c>
      <c r="J216" s="12">
        <v>189</v>
      </c>
      <c r="K216" s="11">
        <f t="shared" si="6"/>
        <v>2457</v>
      </c>
      <c r="L216">
        <v>6</v>
      </c>
      <c r="N216" s="21" t="s">
        <v>373</v>
      </c>
      <c r="O216" t="s">
        <v>374</v>
      </c>
      <c r="P216">
        <v>23</v>
      </c>
      <c r="Q216" t="s">
        <v>375</v>
      </c>
      <c r="R216">
        <v>24</v>
      </c>
      <c r="S216" t="s">
        <v>376</v>
      </c>
      <c r="T216">
        <v>26</v>
      </c>
      <c r="X216" s="2" t="s">
        <v>151</v>
      </c>
      <c r="Y216" s="32">
        <v>29.06</v>
      </c>
      <c r="Z216" s="32">
        <f t="shared" si="7"/>
        <v>5492.34</v>
      </c>
      <c r="AA216" s="16" t="s">
        <v>46</v>
      </c>
      <c r="AB216" t="s">
        <v>116</v>
      </c>
      <c r="AE216" s="1" t="s">
        <v>48</v>
      </c>
      <c r="AF216" s="1" t="s">
        <v>48</v>
      </c>
      <c r="AG216" s="1" t="s">
        <v>48</v>
      </c>
      <c r="AH216" s="1" t="s">
        <v>48</v>
      </c>
      <c r="AI216" s="1" t="s">
        <v>48</v>
      </c>
    </row>
    <row r="217" spans="1:35" ht="51" customHeight="1" x14ac:dyDescent="0.25">
      <c r="A217" s="9" t="s">
        <v>370</v>
      </c>
      <c r="B217" s="9" t="s">
        <v>371</v>
      </c>
      <c r="C217" s="9"/>
      <c r="D217" s="10">
        <v>0.58333333333333304</v>
      </c>
      <c r="E217" s="10">
        <v>0.59375</v>
      </c>
      <c r="F217" s="9" t="s">
        <v>378</v>
      </c>
      <c r="G217" s="9" t="s">
        <v>150</v>
      </c>
      <c r="H217" s="11">
        <v>9.6</v>
      </c>
      <c r="I217" s="12">
        <v>19</v>
      </c>
      <c r="J217" s="12">
        <v>189</v>
      </c>
      <c r="K217" s="11">
        <f t="shared" si="6"/>
        <v>1814.3999999999999</v>
      </c>
      <c r="L217">
        <v>7</v>
      </c>
      <c r="N217" s="21" t="s">
        <v>373</v>
      </c>
      <c r="O217" t="s">
        <v>374</v>
      </c>
      <c r="P217">
        <v>23</v>
      </c>
      <c r="Q217" t="s">
        <v>375</v>
      </c>
      <c r="R217">
        <v>24</v>
      </c>
      <c r="S217" t="s">
        <v>376</v>
      </c>
      <c r="T217">
        <v>27</v>
      </c>
      <c r="X217" s="2" t="s">
        <v>151</v>
      </c>
      <c r="Y217" s="32">
        <v>21.46</v>
      </c>
      <c r="Z217" s="32">
        <f t="shared" si="7"/>
        <v>4055.94</v>
      </c>
      <c r="AA217" s="16" t="s">
        <v>46</v>
      </c>
      <c r="AB217" t="s">
        <v>116</v>
      </c>
      <c r="AE217" s="1" t="s">
        <v>48</v>
      </c>
      <c r="AF217" s="1" t="s">
        <v>48</v>
      </c>
      <c r="AG217" s="1" t="s">
        <v>48</v>
      </c>
      <c r="AH217" s="1" t="s">
        <v>48</v>
      </c>
      <c r="AI217" s="1" t="s">
        <v>48</v>
      </c>
    </row>
    <row r="218" spans="1:35" ht="63.75" customHeight="1" x14ac:dyDescent="0.25">
      <c r="A218" s="9" t="s">
        <v>370</v>
      </c>
      <c r="B218" s="9" t="s">
        <v>371</v>
      </c>
      <c r="C218" s="9"/>
      <c r="D218" s="10">
        <v>0.61458333333333304</v>
      </c>
      <c r="E218" s="10">
        <v>0.625</v>
      </c>
      <c r="F218" s="9" t="s">
        <v>379</v>
      </c>
      <c r="G218" s="9" t="s">
        <v>150</v>
      </c>
      <c r="H218" s="11">
        <v>9.6</v>
      </c>
      <c r="I218" s="12">
        <v>19</v>
      </c>
      <c r="J218" s="12">
        <v>189</v>
      </c>
      <c r="K218" s="11">
        <f t="shared" si="6"/>
        <v>1814.3999999999999</v>
      </c>
      <c r="L218">
        <v>8</v>
      </c>
      <c r="N218" s="21" t="s">
        <v>373</v>
      </c>
      <c r="O218" t="s">
        <v>374</v>
      </c>
      <c r="P218">
        <v>23</v>
      </c>
      <c r="Q218" t="s">
        <v>375</v>
      </c>
      <c r="R218">
        <v>24</v>
      </c>
      <c r="S218" t="s">
        <v>376</v>
      </c>
      <c r="T218">
        <v>28</v>
      </c>
      <c r="X218" s="2" t="s">
        <v>151</v>
      </c>
      <c r="Y218" s="32">
        <v>21.46</v>
      </c>
      <c r="Z218" s="32">
        <f t="shared" si="7"/>
        <v>4055.94</v>
      </c>
      <c r="AA218" s="16" t="s">
        <v>46</v>
      </c>
      <c r="AB218" t="s">
        <v>116</v>
      </c>
      <c r="AE218" s="1" t="s">
        <v>48</v>
      </c>
      <c r="AF218" s="1" t="s">
        <v>48</v>
      </c>
      <c r="AG218" s="1" t="s">
        <v>48</v>
      </c>
      <c r="AH218" s="1" t="s">
        <v>48</v>
      </c>
      <c r="AI218" s="1" t="s">
        <v>48</v>
      </c>
    </row>
    <row r="219" spans="1:35" ht="76.5" customHeight="1" x14ac:dyDescent="0.25">
      <c r="A219" s="9" t="s">
        <v>370</v>
      </c>
      <c r="B219" s="9" t="s">
        <v>371</v>
      </c>
      <c r="C219" s="9"/>
      <c r="D219" s="10">
        <v>0.66666666666666696</v>
      </c>
      <c r="E219" s="10">
        <v>0.68055555555555602</v>
      </c>
      <c r="F219" s="9" t="s">
        <v>372</v>
      </c>
      <c r="G219" s="9" t="s">
        <v>380</v>
      </c>
      <c r="H219" s="11">
        <v>13</v>
      </c>
      <c r="I219" s="12">
        <v>19</v>
      </c>
      <c r="J219" s="12">
        <v>131</v>
      </c>
      <c r="K219" s="11">
        <f t="shared" si="6"/>
        <v>1703</v>
      </c>
      <c r="L219">
        <v>9</v>
      </c>
      <c r="N219" s="21" t="s">
        <v>373</v>
      </c>
      <c r="O219" t="s">
        <v>374</v>
      </c>
      <c r="P219">
        <v>23</v>
      </c>
      <c r="Q219" t="s">
        <v>375</v>
      </c>
      <c r="R219">
        <v>24</v>
      </c>
      <c r="S219" t="s">
        <v>376</v>
      </c>
      <c r="T219">
        <v>29</v>
      </c>
      <c r="X219" s="2" t="s">
        <v>381</v>
      </c>
      <c r="Y219" s="32">
        <v>29.06</v>
      </c>
      <c r="Z219" s="32">
        <f t="shared" si="7"/>
        <v>3806.8599999999997</v>
      </c>
      <c r="AA219" s="16" t="s">
        <v>46</v>
      </c>
      <c r="AB219" t="s">
        <v>64</v>
      </c>
      <c r="AE219" s="1" t="s">
        <v>48</v>
      </c>
      <c r="AF219" s="1" t="s">
        <v>48</v>
      </c>
      <c r="AG219" s="1" t="s">
        <v>48</v>
      </c>
      <c r="AH219" s="1" t="s">
        <v>48</v>
      </c>
    </row>
    <row r="220" spans="1:35" ht="51" customHeight="1" x14ac:dyDescent="0.25">
      <c r="A220" s="9" t="s">
        <v>370</v>
      </c>
      <c r="B220" s="9" t="s">
        <v>371</v>
      </c>
      <c r="C220" s="9"/>
      <c r="D220" s="10">
        <v>0.66666666666666696</v>
      </c>
      <c r="E220" s="10">
        <v>0.67708333333333304</v>
      </c>
      <c r="F220" s="9" t="s">
        <v>378</v>
      </c>
      <c r="G220" s="9" t="s">
        <v>382</v>
      </c>
      <c r="H220" s="11">
        <v>9.6</v>
      </c>
      <c r="I220" s="12">
        <v>19</v>
      </c>
      <c r="J220" s="12">
        <v>37</v>
      </c>
      <c r="K220" s="11">
        <f t="shared" si="6"/>
        <v>355.2</v>
      </c>
      <c r="L220">
        <v>10</v>
      </c>
      <c r="N220" s="21" t="s">
        <v>373</v>
      </c>
      <c r="O220" t="s">
        <v>374</v>
      </c>
      <c r="P220">
        <v>23</v>
      </c>
      <c r="Q220" t="s">
        <v>375</v>
      </c>
      <c r="R220">
        <v>24</v>
      </c>
      <c r="S220" t="s">
        <v>376</v>
      </c>
      <c r="T220">
        <v>30</v>
      </c>
      <c r="X220" s="2" t="s">
        <v>383</v>
      </c>
      <c r="Y220" s="32">
        <v>21.46</v>
      </c>
      <c r="Z220" s="32">
        <f t="shared" si="7"/>
        <v>794.02</v>
      </c>
      <c r="AA220" s="16" t="s">
        <v>46</v>
      </c>
      <c r="AB220" t="s">
        <v>116</v>
      </c>
      <c r="AI220" s="1" t="s">
        <v>48</v>
      </c>
    </row>
    <row r="221" spans="1:35" ht="63.75" customHeight="1" x14ac:dyDescent="0.25">
      <c r="A221" s="9" t="s">
        <v>370</v>
      </c>
      <c r="B221" s="9" t="s">
        <v>371</v>
      </c>
      <c r="C221" s="9"/>
      <c r="D221" s="10">
        <v>0.66666666666666696</v>
      </c>
      <c r="E221" s="10">
        <v>0.67708333333333304</v>
      </c>
      <c r="F221" s="9" t="s">
        <v>378</v>
      </c>
      <c r="G221" s="9" t="s">
        <v>384</v>
      </c>
      <c r="H221" s="11">
        <v>9.6</v>
      </c>
      <c r="I221" s="12">
        <v>19</v>
      </c>
      <c r="J221" s="12">
        <v>21</v>
      </c>
      <c r="K221" s="11">
        <f t="shared" si="6"/>
        <v>201.6</v>
      </c>
      <c r="L221">
        <v>11</v>
      </c>
      <c r="N221" s="21" t="s">
        <v>373</v>
      </c>
      <c r="O221" t="s">
        <v>374</v>
      </c>
      <c r="P221">
        <v>23</v>
      </c>
      <c r="Q221" t="s">
        <v>375</v>
      </c>
      <c r="R221">
        <v>24</v>
      </c>
      <c r="S221" t="s">
        <v>376</v>
      </c>
      <c r="T221">
        <v>31</v>
      </c>
      <c r="X221" s="2" t="s">
        <v>385</v>
      </c>
      <c r="Y221" s="32">
        <v>21.46</v>
      </c>
      <c r="Z221" s="32">
        <f t="shared" si="7"/>
        <v>450.66</v>
      </c>
      <c r="AA221" s="16" t="s">
        <v>46</v>
      </c>
      <c r="AB221" t="s">
        <v>51</v>
      </c>
      <c r="AC221" t="s">
        <v>69</v>
      </c>
      <c r="AE221" s="1" t="s">
        <v>48</v>
      </c>
      <c r="AF221" s="1" t="s">
        <v>48</v>
      </c>
      <c r="AG221" s="1" t="s">
        <v>48</v>
      </c>
      <c r="AH221" s="1" t="s">
        <v>48</v>
      </c>
    </row>
    <row r="222" spans="1:35" ht="76.5" customHeight="1" x14ac:dyDescent="0.25">
      <c r="A222" s="9" t="s">
        <v>370</v>
      </c>
      <c r="B222" s="9" t="s">
        <v>371</v>
      </c>
      <c r="C222" s="9"/>
      <c r="D222" s="10">
        <v>0.69861111111111096</v>
      </c>
      <c r="E222" s="10">
        <v>0.70347222222222205</v>
      </c>
      <c r="F222" s="9" t="s">
        <v>377</v>
      </c>
      <c r="G222" s="9" t="s">
        <v>380</v>
      </c>
      <c r="H222" s="11">
        <v>13</v>
      </c>
      <c r="I222" s="12">
        <v>19</v>
      </c>
      <c r="J222" s="12">
        <v>131</v>
      </c>
      <c r="K222" s="11">
        <f t="shared" si="6"/>
        <v>1703</v>
      </c>
      <c r="L222">
        <v>12</v>
      </c>
      <c r="N222" s="21" t="s">
        <v>373</v>
      </c>
      <c r="O222" t="s">
        <v>374</v>
      </c>
      <c r="P222">
        <v>23</v>
      </c>
      <c r="Q222" t="s">
        <v>375</v>
      </c>
      <c r="R222">
        <v>24</v>
      </c>
      <c r="S222" t="s">
        <v>376</v>
      </c>
      <c r="T222">
        <v>32</v>
      </c>
      <c r="X222" s="2" t="s">
        <v>381</v>
      </c>
      <c r="Y222" s="32">
        <v>29.06</v>
      </c>
      <c r="Z222" s="32">
        <f t="shared" si="7"/>
        <v>3806.8599999999997</v>
      </c>
      <c r="AA222" s="16" t="s">
        <v>46</v>
      </c>
      <c r="AB222" t="s">
        <v>64</v>
      </c>
      <c r="AE222" s="1" t="s">
        <v>48</v>
      </c>
      <c r="AF222" s="1" t="s">
        <v>48</v>
      </c>
      <c r="AG222" s="1" t="s">
        <v>48</v>
      </c>
      <c r="AH222" s="1" t="s">
        <v>48</v>
      </c>
    </row>
    <row r="223" spans="1:35" ht="63.75" customHeight="1" x14ac:dyDescent="0.25">
      <c r="A223" s="9" t="s">
        <v>370</v>
      </c>
      <c r="B223" s="9" t="s">
        <v>371</v>
      </c>
      <c r="C223" s="9"/>
      <c r="D223" s="10">
        <v>0.70347222222222205</v>
      </c>
      <c r="E223" s="10">
        <v>0.71388888888888902</v>
      </c>
      <c r="F223" s="9" t="s">
        <v>379</v>
      </c>
      <c r="G223" s="9" t="s">
        <v>382</v>
      </c>
      <c r="H223" s="11">
        <v>9.6</v>
      </c>
      <c r="I223" s="12">
        <v>19</v>
      </c>
      <c r="J223" s="12">
        <v>37</v>
      </c>
      <c r="K223" s="11">
        <f t="shared" si="6"/>
        <v>355.2</v>
      </c>
      <c r="L223">
        <v>13</v>
      </c>
      <c r="N223" s="21" t="s">
        <v>373</v>
      </c>
      <c r="O223" t="s">
        <v>374</v>
      </c>
      <c r="P223">
        <v>23</v>
      </c>
      <c r="Q223" t="s">
        <v>375</v>
      </c>
      <c r="R223">
        <v>24</v>
      </c>
      <c r="S223" t="s">
        <v>376</v>
      </c>
      <c r="T223">
        <v>33</v>
      </c>
      <c r="X223" s="2" t="s">
        <v>383</v>
      </c>
      <c r="Y223" s="32">
        <v>21.46</v>
      </c>
      <c r="Z223" s="32">
        <f t="shared" si="7"/>
        <v>794.02</v>
      </c>
      <c r="AA223" s="16" t="s">
        <v>46</v>
      </c>
      <c r="AB223" t="s">
        <v>116</v>
      </c>
      <c r="AI223" s="1" t="s">
        <v>48</v>
      </c>
    </row>
    <row r="224" spans="1:35" ht="63.75" customHeight="1" x14ac:dyDescent="0.25">
      <c r="A224" s="9" t="s">
        <v>370</v>
      </c>
      <c r="B224" s="9" t="s">
        <v>371</v>
      </c>
      <c r="C224" s="9"/>
      <c r="D224" s="10">
        <v>0.70347222222222205</v>
      </c>
      <c r="E224" s="10">
        <v>0.71388888888888902</v>
      </c>
      <c r="F224" s="9" t="s">
        <v>379</v>
      </c>
      <c r="G224" s="9" t="s">
        <v>384</v>
      </c>
      <c r="H224" s="11">
        <v>9.6</v>
      </c>
      <c r="I224" s="12">
        <v>19</v>
      </c>
      <c r="J224" s="12">
        <v>21</v>
      </c>
      <c r="K224" s="11">
        <f t="shared" si="6"/>
        <v>201.6</v>
      </c>
      <c r="L224">
        <v>14</v>
      </c>
      <c r="N224" s="21" t="s">
        <v>373</v>
      </c>
      <c r="O224" t="s">
        <v>374</v>
      </c>
      <c r="P224">
        <v>23</v>
      </c>
      <c r="Q224" t="s">
        <v>375</v>
      </c>
      <c r="R224">
        <v>24</v>
      </c>
      <c r="S224" t="s">
        <v>376</v>
      </c>
      <c r="T224">
        <v>34</v>
      </c>
      <c r="X224" s="2" t="s">
        <v>385</v>
      </c>
      <c r="Y224" s="32">
        <v>21.46</v>
      </c>
      <c r="Z224" s="32">
        <f t="shared" si="7"/>
        <v>450.66</v>
      </c>
      <c r="AA224" s="16" t="s">
        <v>46</v>
      </c>
      <c r="AB224" t="s">
        <v>51</v>
      </c>
      <c r="AC224" t="s">
        <v>69</v>
      </c>
      <c r="AE224" s="1" t="s">
        <v>48</v>
      </c>
      <c r="AF224" s="1" t="s">
        <v>48</v>
      </c>
      <c r="AG224" s="1" t="s">
        <v>48</v>
      </c>
      <c r="AH224" s="1" t="s">
        <v>48</v>
      </c>
    </row>
    <row r="225" spans="1:36" ht="76.5" customHeight="1" x14ac:dyDescent="0.25">
      <c r="A225" s="9" t="s">
        <v>370</v>
      </c>
      <c r="B225" s="9" t="s">
        <v>371</v>
      </c>
      <c r="C225" s="9"/>
      <c r="D225" s="10">
        <v>0.75347222222222199</v>
      </c>
      <c r="E225" s="10">
        <v>0.76736111111111105</v>
      </c>
      <c r="F225" s="9" t="s">
        <v>372</v>
      </c>
      <c r="G225" s="9" t="s">
        <v>150</v>
      </c>
      <c r="H225" s="11">
        <v>13</v>
      </c>
      <c r="I225" s="12">
        <v>19</v>
      </c>
      <c r="J225" s="12">
        <v>189</v>
      </c>
      <c r="K225" s="11">
        <f t="shared" si="6"/>
        <v>2457</v>
      </c>
      <c r="L225">
        <v>15</v>
      </c>
      <c r="N225" s="21" t="s">
        <v>373</v>
      </c>
      <c r="O225" t="s">
        <v>374</v>
      </c>
      <c r="P225">
        <v>23</v>
      </c>
      <c r="Q225" t="s">
        <v>375</v>
      </c>
      <c r="R225">
        <v>24</v>
      </c>
      <c r="S225" t="s">
        <v>376</v>
      </c>
      <c r="T225">
        <v>35</v>
      </c>
      <c r="X225" s="2" t="s">
        <v>151</v>
      </c>
      <c r="Y225" s="32">
        <v>29.06</v>
      </c>
      <c r="Z225" s="32">
        <f t="shared" si="7"/>
        <v>5492.34</v>
      </c>
      <c r="AA225" s="16" t="s">
        <v>46</v>
      </c>
      <c r="AB225" t="s">
        <v>116</v>
      </c>
      <c r="AE225" s="1" t="s">
        <v>48</v>
      </c>
      <c r="AF225" s="1" t="s">
        <v>48</v>
      </c>
      <c r="AG225" s="1" t="s">
        <v>48</v>
      </c>
      <c r="AH225" s="1" t="s">
        <v>48</v>
      </c>
      <c r="AI225" s="1" t="s">
        <v>48</v>
      </c>
    </row>
    <row r="226" spans="1:36" ht="76.5" customHeight="1" x14ac:dyDescent="0.25">
      <c r="A226" s="9" t="s">
        <v>370</v>
      </c>
      <c r="B226" s="9" t="s">
        <v>371</v>
      </c>
      <c r="C226" s="9"/>
      <c r="D226" s="10">
        <v>0.77083333333333304</v>
      </c>
      <c r="E226" s="10">
        <v>0.78472222222222199</v>
      </c>
      <c r="F226" s="9" t="s">
        <v>377</v>
      </c>
      <c r="G226" s="9" t="s">
        <v>150</v>
      </c>
      <c r="H226" s="11">
        <v>13</v>
      </c>
      <c r="I226" s="12">
        <v>19</v>
      </c>
      <c r="J226" s="12">
        <v>189</v>
      </c>
      <c r="K226" s="11">
        <f t="shared" si="6"/>
        <v>2457</v>
      </c>
      <c r="L226">
        <v>16</v>
      </c>
      <c r="N226" s="21" t="s">
        <v>373</v>
      </c>
      <c r="O226" t="s">
        <v>374</v>
      </c>
      <c r="P226">
        <v>23</v>
      </c>
      <c r="Q226" t="s">
        <v>375</v>
      </c>
      <c r="R226">
        <v>24</v>
      </c>
      <c r="S226" t="s">
        <v>376</v>
      </c>
      <c r="T226">
        <v>36</v>
      </c>
      <c r="X226" s="2" t="s">
        <v>151</v>
      </c>
      <c r="Y226" s="32">
        <v>29.06</v>
      </c>
      <c r="Z226" s="32">
        <f t="shared" si="7"/>
        <v>5492.34</v>
      </c>
      <c r="AA226" s="16" t="s">
        <v>46</v>
      </c>
      <c r="AB226" t="s">
        <v>116</v>
      </c>
      <c r="AE226" s="1" t="s">
        <v>48</v>
      </c>
      <c r="AF226" s="1" t="s">
        <v>48</v>
      </c>
      <c r="AG226" s="1" t="s">
        <v>48</v>
      </c>
      <c r="AH226" s="1" t="s">
        <v>48</v>
      </c>
      <c r="AI226" s="1" t="s">
        <v>48</v>
      </c>
    </row>
    <row r="227" spans="1:36" ht="76.5" customHeight="1" x14ac:dyDescent="0.25">
      <c r="A227" s="9" t="s">
        <v>370</v>
      </c>
      <c r="B227" s="9" t="s">
        <v>371</v>
      </c>
      <c r="C227" s="9"/>
      <c r="D227" s="10">
        <v>0.79513888888888895</v>
      </c>
      <c r="E227" s="10">
        <v>0.80902777777777801</v>
      </c>
      <c r="F227" s="9" t="s">
        <v>372</v>
      </c>
      <c r="G227" s="9" t="s">
        <v>83</v>
      </c>
      <c r="H227" s="11">
        <v>13</v>
      </c>
      <c r="I227" s="12">
        <v>19</v>
      </c>
      <c r="J227" s="12">
        <v>164</v>
      </c>
      <c r="K227" s="11">
        <f t="shared" si="6"/>
        <v>2132</v>
      </c>
      <c r="L227">
        <v>17</v>
      </c>
      <c r="N227" s="21" t="s">
        <v>373</v>
      </c>
      <c r="O227" t="s">
        <v>374</v>
      </c>
      <c r="P227">
        <v>23</v>
      </c>
      <c r="Q227" t="s">
        <v>375</v>
      </c>
      <c r="R227">
        <v>24</v>
      </c>
      <c r="S227" t="s">
        <v>376</v>
      </c>
      <c r="T227">
        <v>37</v>
      </c>
      <c r="X227" s="2" t="s">
        <v>84</v>
      </c>
      <c r="Y227" s="32">
        <v>29.06</v>
      </c>
      <c r="Z227" s="32">
        <f t="shared" si="7"/>
        <v>4765.84</v>
      </c>
      <c r="AA227" s="16" t="s">
        <v>46</v>
      </c>
      <c r="AB227" t="s">
        <v>64</v>
      </c>
      <c r="AE227" s="1" t="s">
        <v>48</v>
      </c>
      <c r="AF227" s="1" t="s">
        <v>48</v>
      </c>
      <c r="AG227" s="1" t="s">
        <v>48</v>
      </c>
      <c r="AH227" s="1" t="s">
        <v>48</v>
      </c>
      <c r="AI227" s="1" t="s">
        <v>48</v>
      </c>
    </row>
    <row r="228" spans="1:36" ht="76.5" customHeight="1" x14ac:dyDescent="0.25">
      <c r="A228" s="9" t="s">
        <v>370</v>
      </c>
      <c r="B228" s="9" t="s">
        <v>371</v>
      </c>
      <c r="C228" s="9"/>
      <c r="D228" s="10">
        <v>0.8125</v>
      </c>
      <c r="E228" s="10">
        <v>0.82638888888888895</v>
      </c>
      <c r="F228" s="9" t="s">
        <v>377</v>
      </c>
      <c r="G228" s="9" t="s">
        <v>83</v>
      </c>
      <c r="H228" s="11">
        <v>13</v>
      </c>
      <c r="I228" s="12">
        <v>19</v>
      </c>
      <c r="J228" s="12">
        <v>164</v>
      </c>
      <c r="K228" s="11">
        <f t="shared" si="6"/>
        <v>2132</v>
      </c>
      <c r="L228">
        <v>18</v>
      </c>
      <c r="N228" s="21" t="s">
        <v>373</v>
      </c>
      <c r="O228" t="s">
        <v>374</v>
      </c>
      <c r="P228">
        <v>23</v>
      </c>
      <c r="Q228" t="s">
        <v>375</v>
      </c>
      <c r="R228">
        <v>24</v>
      </c>
      <c r="S228" t="s">
        <v>376</v>
      </c>
      <c r="T228">
        <v>38</v>
      </c>
      <c r="X228" s="2" t="s">
        <v>84</v>
      </c>
      <c r="Y228" s="32">
        <v>29.06</v>
      </c>
      <c r="Z228" s="32">
        <f t="shared" si="7"/>
        <v>4765.84</v>
      </c>
      <c r="AA228" s="16" t="s">
        <v>46</v>
      </c>
      <c r="AB228" t="s">
        <v>64</v>
      </c>
      <c r="AE228" s="1" t="s">
        <v>48</v>
      </c>
      <c r="AF228" s="1" t="s">
        <v>48</v>
      </c>
      <c r="AG228" s="1" t="s">
        <v>48</v>
      </c>
      <c r="AH228" s="1" t="s">
        <v>48</v>
      </c>
      <c r="AI228" s="1" t="s">
        <v>48</v>
      </c>
    </row>
    <row r="229" spans="1:36" ht="76.5" customHeight="1" x14ac:dyDescent="0.25">
      <c r="A229" s="9" t="s">
        <v>370</v>
      </c>
      <c r="B229" s="9" t="s">
        <v>371</v>
      </c>
      <c r="C229" s="9"/>
      <c r="D229" s="10">
        <v>0.82986111111111105</v>
      </c>
      <c r="E229" s="10">
        <v>0.844444444444444</v>
      </c>
      <c r="F229" s="9" t="s">
        <v>372</v>
      </c>
      <c r="G229" s="9" t="s">
        <v>150</v>
      </c>
      <c r="H229" s="11">
        <v>13</v>
      </c>
      <c r="I229" s="12">
        <v>19</v>
      </c>
      <c r="J229" s="12">
        <v>189</v>
      </c>
      <c r="K229" s="11">
        <f t="shared" si="6"/>
        <v>2457</v>
      </c>
      <c r="L229">
        <v>19</v>
      </c>
      <c r="N229" s="21" t="s">
        <v>373</v>
      </c>
      <c r="O229" t="s">
        <v>374</v>
      </c>
      <c r="P229">
        <v>23</v>
      </c>
      <c r="Q229" t="s">
        <v>375</v>
      </c>
      <c r="R229">
        <v>24</v>
      </c>
      <c r="S229" t="s">
        <v>376</v>
      </c>
      <c r="T229">
        <v>39</v>
      </c>
      <c r="X229" s="2" t="s">
        <v>151</v>
      </c>
      <c r="Y229" s="32">
        <v>29.06</v>
      </c>
      <c r="Z229" s="32">
        <f t="shared" si="7"/>
        <v>5492.34</v>
      </c>
      <c r="AA229" s="16" t="s">
        <v>46</v>
      </c>
      <c r="AB229" t="s">
        <v>116</v>
      </c>
      <c r="AE229" s="1" t="s">
        <v>48</v>
      </c>
      <c r="AF229" s="1" t="s">
        <v>48</v>
      </c>
      <c r="AG229" s="1" t="s">
        <v>48</v>
      </c>
      <c r="AH229" s="1" t="s">
        <v>48</v>
      </c>
      <c r="AI229" s="1" t="s">
        <v>48</v>
      </c>
    </row>
    <row r="230" spans="1:36" ht="63.75" customHeight="1" x14ac:dyDescent="0.25">
      <c r="A230" s="9" t="s">
        <v>370</v>
      </c>
      <c r="B230" s="9" t="s">
        <v>371</v>
      </c>
      <c r="C230" s="9"/>
      <c r="D230" s="10">
        <v>0.32291666666666702</v>
      </c>
      <c r="E230" s="10">
        <v>0.33333333333333298</v>
      </c>
      <c r="F230" s="9" t="s">
        <v>379</v>
      </c>
      <c r="G230" s="9" t="s">
        <v>152</v>
      </c>
      <c r="H230" s="11">
        <v>9.6</v>
      </c>
      <c r="I230" s="12">
        <v>19</v>
      </c>
      <c r="J230" s="12">
        <v>47</v>
      </c>
      <c r="K230" s="11">
        <f t="shared" si="6"/>
        <v>451.2</v>
      </c>
      <c r="L230">
        <v>20</v>
      </c>
      <c r="N230" s="21" t="s">
        <v>373</v>
      </c>
      <c r="O230" t="s">
        <v>374</v>
      </c>
      <c r="P230">
        <v>23</v>
      </c>
      <c r="Q230" t="s">
        <v>375</v>
      </c>
      <c r="R230">
        <v>24</v>
      </c>
      <c r="S230" t="s">
        <v>376</v>
      </c>
      <c r="T230">
        <v>40</v>
      </c>
      <c r="X230" s="2" t="s">
        <v>153</v>
      </c>
      <c r="Y230" s="32">
        <v>21.46</v>
      </c>
      <c r="Z230" s="32">
        <f t="shared" si="7"/>
        <v>1008.62</v>
      </c>
      <c r="AA230" s="16" t="s">
        <v>46</v>
      </c>
      <c r="AB230" t="s">
        <v>116</v>
      </c>
      <c r="AJ230" s="1" t="s">
        <v>48</v>
      </c>
    </row>
    <row r="231" spans="1:36" ht="76.5" customHeight="1" x14ac:dyDescent="0.25">
      <c r="A231" s="9" t="s">
        <v>370</v>
      </c>
      <c r="B231" s="9" t="s">
        <v>371</v>
      </c>
      <c r="C231" s="9"/>
      <c r="D231" s="10">
        <v>0.36458333333333298</v>
      </c>
      <c r="E231" s="10">
        <v>0.37916666666666698</v>
      </c>
      <c r="F231" s="9" t="s">
        <v>372</v>
      </c>
      <c r="G231" s="9" t="s">
        <v>152</v>
      </c>
      <c r="H231" s="11">
        <v>13</v>
      </c>
      <c r="I231" s="12">
        <v>19</v>
      </c>
      <c r="J231" s="12">
        <v>47</v>
      </c>
      <c r="K231" s="11">
        <f t="shared" si="6"/>
        <v>611</v>
      </c>
      <c r="L231">
        <v>21</v>
      </c>
      <c r="N231" s="21" t="s">
        <v>373</v>
      </c>
      <c r="O231" t="s">
        <v>374</v>
      </c>
      <c r="P231">
        <v>23</v>
      </c>
      <c r="Q231" t="s">
        <v>375</v>
      </c>
      <c r="R231">
        <v>24</v>
      </c>
      <c r="S231" t="s">
        <v>376</v>
      </c>
      <c r="T231">
        <v>41</v>
      </c>
      <c r="X231" s="2" t="s">
        <v>153</v>
      </c>
      <c r="Y231" s="32">
        <v>29.06</v>
      </c>
      <c r="Z231" s="32">
        <f t="shared" si="7"/>
        <v>1365.82</v>
      </c>
      <c r="AA231" s="16" t="s">
        <v>46</v>
      </c>
      <c r="AB231" t="s">
        <v>116</v>
      </c>
      <c r="AJ231" s="1" t="s">
        <v>48</v>
      </c>
    </row>
    <row r="232" spans="1:36" ht="76.5" customHeight="1" x14ac:dyDescent="0.25">
      <c r="A232" s="9" t="s">
        <v>370</v>
      </c>
      <c r="B232" s="9" t="s">
        <v>371</v>
      </c>
      <c r="C232" s="9"/>
      <c r="D232" s="10">
        <v>0.390972222222222</v>
      </c>
      <c r="E232" s="10">
        <v>0.40625</v>
      </c>
      <c r="F232" s="9" t="s">
        <v>377</v>
      </c>
      <c r="G232" s="9" t="s">
        <v>152</v>
      </c>
      <c r="H232" s="11">
        <v>13</v>
      </c>
      <c r="I232" s="12">
        <v>19</v>
      </c>
      <c r="J232" s="12">
        <v>47</v>
      </c>
      <c r="K232" s="11">
        <f t="shared" si="6"/>
        <v>611</v>
      </c>
      <c r="L232">
        <v>22</v>
      </c>
      <c r="N232" s="21" t="s">
        <v>373</v>
      </c>
      <c r="O232" t="s">
        <v>374</v>
      </c>
      <c r="P232">
        <v>23</v>
      </c>
      <c r="Q232" t="s">
        <v>375</v>
      </c>
      <c r="R232">
        <v>24</v>
      </c>
      <c r="S232" t="s">
        <v>376</v>
      </c>
      <c r="T232">
        <v>42</v>
      </c>
      <c r="X232" s="2" t="s">
        <v>153</v>
      </c>
      <c r="Y232" s="32">
        <v>29.06</v>
      </c>
      <c r="Z232" s="32">
        <f t="shared" si="7"/>
        <v>1365.82</v>
      </c>
      <c r="AA232" s="16" t="s">
        <v>46</v>
      </c>
      <c r="AB232" t="s">
        <v>116</v>
      </c>
      <c r="AJ232" s="1" t="s">
        <v>48</v>
      </c>
    </row>
    <row r="233" spans="1:36" ht="76.5" customHeight="1" x14ac:dyDescent="0.25">
      <c r="A233" s="9" t="s">
        <v>370</v>
      </c>
      <c r="B233" s="9" t="s">
        <v>371</v>
      </c>
      <c r="C233" s="9"/>
      <c r="D233" s="10">
        <v>0.5</v>
      </c>
      <c r="E233" s="10">
        <v>0.51458333333333295</v>
      </c>
      <c r="F233" s="9" t="s">
        <v>372</v>
      </c>
      <c r="G233" s="9" t="s">
        <v>152</v>
      </c>
      <c r="H233" s="11">
        <v>13</v>
      </c>
      <c r="I233" s="12">
        <v>19</v>
      </c>
      <c r="J233" s="12">
        <v>47</v>
      </c>
      <c r="K233" s="11">
        <f t="shared" si="6"/>
        <v>611</v>
      </c>
      <c r="L233">
        <v>23</v>
      </c>
      <c r="N233" s="21" t="s">
        <v>373</v>
      </c>
      <c r="O233" t="s">
        <v>374</v>
      </c>
      <c r="P233">
        <v>23</v>
      </c>
      <c r="Q233" t="s">
        <v>375</v>
      </c>
      <c r="R233">
        <v>24</v>
      </c>
      <c r="S233" t="s">
        <v>376</v>
      </c>
      <c r="T233">
        <v>43</v>
      </c>
      <c r="X233" s="2" t="s">
        <v>153</v>
      </c>
      <c r="Y233" s="32">
        <v>29.06</v>
      </c>
      <c r="Z233" s="32">
        <f t="shared" si="7"/>
        <v>1365.82</v>
      </c>
      <c r="AA233" s="16" t="s">
        <v>46</v>
      </c>
      <c r="AB233" t="s">
        <v>116</v>
      </c>
      <c r="AJ233" s="1" t="s">
        <v>48</v>
      </c>
    </row>
    <row r="234" spans="1:36" ht="76.5" customHeight="1" x14ac:dyDescent="0.25">
      <c r="A234" s="9" t="s">
        <v>370</v>
      </c>
      <c r="B234" s="9" t="s">
        <v>371</v>
      </c>
      <c r="C234" s="9"/>
      <c r="D234" s="10">
        <v>0.52569444444444502</v>
      </c>
      <c r="E234" s="10">
        <v>0.54166666666666696</v>
      </c>
      <c r="F234" s="9" t="s">
        <v>377</v>
      </c>
      <c r="G234" s="9" t="s">
        <v>152</v>
      </c>
      <c r="H234" s="11">
        <v>13</v>
      </c>
      <c r="I234" s="12">
        <v>19</v>
      </c>
      <c r="J234" s="12">
        <v>47</v>
      </c>
      <c r="K234" s="11">
        <f t="shared" si="6"/>
        <v>611</v>
      </c>
      <c r="L234">
        <v>24</v>
      </c>
      <c r="N234" s="21" t="s">
        <v>373</v>
      </c>
      <c r="O234" t="s">
        <v>374</v>
      </c>
      <c r="P234">
        <v>23</v>
      </c>
      <c r="Q234" t="s">
        <v>375</v>
      </c>
      <c r="R234">
        <v>24</v>
      </c>
      <c r="S234" t="s">
        <v>376</v>
      </c>
      <c r="T234">
        <v>44</v>
      </c>
      <c r="X234" s="2" t="s">
        <v>153</v>
      </c>
      <c r="Y234" s="32">
        <v>29.06</v>
      </c>
      <c r="Z234" s="32">
        <f t="shared" si="7"/>
        <v>1365.82</v>
      </c>
      <c r="AA234" s="16" t="s">
        <v>46</v>
      </c>
      <c r="AB234" t="s">
        <v>116</v>
      </c>
      <c r="AJ234" s="1" t="s">
        <v>48</v>
      </c>
    </row>
    <row r="235" spans="1:36" ht="51" customHeight="1" x14ac:dyDescent="0.25">
      <c r="A235" s="9" t="s">
        <v>370</v>
      </c>
      <c r="B235" s="9" t="s">
        <v>371</v>
      </c>
      <c r="C235" s="9"/>
      <c r="D235" s="10">
        <v>0.58333333333333304</v>
      </c>
      <c r="E235" s="10">
        <v>0.59375</v>
      </c>
      <c r="F235" s="9" t="s">
        <v>378</v>
      </c>
      <c r="G235" s="9" t="s">
        <v>152</v>
      </c>
      <c r="H235" s="11">
        <v>9.6</v>
      </c>
      <c r="I235" s="12">
        <v>19</v>
      </c>
      <c r="J235" s="12">
        <v>47</v>
      </c>
      <c r="K235" s="11">
        <f t="shared" si="6"/>
        <v>451.2</v>
      </c>
      <c r="L235">
        <v>25</v>
      </c>
      <c r="N235" s="21" t="s">
        <v>373</v>
      </c>
      <c r="O235" t="s">
        <v>374</v>
      </c>
      <c r="P235">
        <v>23</v>
      </c>
      <c r="Q235" t="s">
        <v>375</v>
      </c>
      <c r="R235">
        <v>24</v>
      </c>
      <c r="S235" t="s">
        <v>376</v>
      </c>
      <c r="T235">
        <v>45</v>
      </c>
      <c r="X235" s="2" t="s">
        <v>153</v>
      </c>
      <c r="Y235" s="32">
        <v>21.46</v>
      </c>
      <c r="Z235" s="32">
        <f t="shared" si="7"/>
        <v>1008.62</v>
      </c>
      <c r="AA235" s="16" t="s">
        <v>46</v>
      </c>
      <c r="AB235" t="s">
        <v>116</v>
      </c>
      <c r="AJ235" s="1" t="s">
        <v>48</v>
      </c>
    </row>
    <row r="236" spans="1:36" ht="63.75" customHeight="1" x14ac:dyDescent="0.25">
      <c r="A236" s="9" t="s">
        <v>370</v>
      </c>
      <c r="B236" s="9" t="s">
        <v>371</v>
      </c>
      <c r="C236" s="9"/>
      <c r="D236" s="10">
        <v>0.60624999999999996</v>
      </c>
      <c r="E236" s="10">
        <v>0.61458333333333304</v>
      </c>
      <c r="F236" s="9" t="s">
        <v>379</v>
      </c>
      <c r="G236" s="9" t="s">
        <v>152</v>
      </c>
      <c r="H236" s="11">
        <v>9.6</v>
      </c>
      <c r="I236" s="12">
        <v>19</v>
      </c>
      <c r="J236" s="12">
        <v>47</v>
      </c>
      <c r="K236" s="11">
        <f t="shared" si="6"/>
        <v>451.2</v>
      </c>
      <c r="L236">
        <v>26</v>
      </c>
      <c r="N236" s="21" t="s">
        <v>373</v>
      </c>
      <c r="O236" t="s">
        <v>374</v>
      </c>
      <c r="P236">
        <v>23</v>
      </c>
      <c r="Q236" t="s">
        <v>375</v>
      </c>
      <c r="R236">
        <v>24</v>
      </c>
      <c r="S236" t="s">
        <v>376</v>
      </c>
      <c r="T236">
        <v>46</v>
      </c>
      <c r="X236" s="2" t="s">
        <v>153</v>
      </c>
      <c r="Y236" s="32">
        <v>21.46</v>
      </c>
      <c r="Z236" s="32">
        <f t="shared" si="7"/>
        <v>1008.62</v>
      </c>
      <c r="AA236" s="16" t="s">
        <v>46</v>
      </c>
      <c r="AB236" t="s">
        <v>116</v>
      </c>
      <c r="AJ236" s="1" t="s">
        <v>48</v>
      </c>
    </row>
    <row r="237" spans="1:36" ht="76.5" customHeight="1" x14ac:dyDescent="0.25">
      <c r="A237" s="9" t="s">
        <v>370</v>
      </c>
      <c r="B237" s="9" t="s">
        <v>371</v>
      </c>
      <c r="C237" s="9"/>
      <c r="D237" s="10">
        <v>0.781944444444444</v>
      </c>
      <c r="E237" s="10">
        <v>0.79583333333333295</v>
      </c>
      <c r="F237" s="9" t="s">
        <v>372</v>
      </c>
      <c r="G237" s="9" t="s">
        <v>152</v>
      </c>
      <c r="H237" s="11">
        <v>13</v>
      </c>
      <c r="I237" s="12">
        <v>19</v>
      </c>
      <c r="J237" s="12">
        <v>47</v>
      </c>
      <c r="K237" s="11">
        <f t="shared" si="6"/>
        <v>611</v>
      </c>
      <c r="L237">
        <v>27</v>
      </c>
      <c r="N237" s="21" t="s">
        <v>373</v>
      </c>
      <c r="O237" t="s">
        <v>374</v>
      </c>
      <c r="P237">
        <v>23</v>
      </c>
      <c r="Q237" t="s">
        <v>375</v>
      </c>
      <c r="R237">
        <v>24</v>
      </c>
      <c r="S237" t="s">
        <v>376</v>
      </c>
      <c r="T237">
        <v>47</v>
      </c>
      <c r="X237" s="2" t="s">
        <v>153</v>
      </c>
      <c r="Y237" s="32">
        <v>29.06</v>
      </c>
      <c r="Z237" s="32">
        <f t="shared" si="7"/>
        <v>1365.82</v>
      </c>
      <c r="AA237" s="16" t="s">
        <v>46</v>
      </c>
      <c r="AB237" t="s">
        <v>116</v>
      </c>
      <c r="AJ237" s="1" t="s">
        <v>48</v>
      </c>
    </row>
    <row r="238" spans="1:36" ht="51" customHeight="1" x14ac:dyDescent="0.25">
      <c r="A238" s="9" t="s">
        <v>370</v>
      </c>
      <c r="B238" s="9" t="s">
        <v>371</v>
      </c>
      <c r="C238" s="9"/>
      <c r="D238" s="10">
        <v>0.79652777777777795</v>
      </c>
      <c r="E238" s="10">
        <v>0.80208333333333304</v>
      </c>
      <c r="F238" s="9" t="s">
        <v>386</v>
      </c>
      <c r="G238" s="9" t="s">
        <v>152</v>
      </c>
      <c r="H238" s="11">
        <v>4.8</v>
      </c>
      <c r="I238" s="12">
        <v>19</v>
      </c>
      <c r="J238" s="12">
        <v>47</v>
      </c>
      <c r="K238" s="11">
        <f t="shared" si="6"/>
        <v>225.6</v>
      </c>
      <c r="L238">
        <v>28</v>
      </c>
      <c r="N238" s="21" t="s">
        <v>373</v>
      </c>
      <c r="O238" t="s">
        <v>374</v>
      </c>
      <c r="P238">
        <v>23</v>
      </c>
      <c r="Q238" t="s">
        <v>375</v>
      </c>
      <c r="R238">
        <v>24</v>
      </c>
      <c r="S238" t="s">
        <v>376</v>
      </c>
      <c r="T238">
        <v>48</v>
      </c>
      <c r="X238" s="2" t="s">
        <v>153</v>
      </c>
      <c r="Y238" s="32">
        <v>10.73</v>
      </c>
      <c r="Z238" s="32">
        <f t="shared" si="7"/>
        <v>504.31</v>
      </c>
      <c r="AA238" s="16" t="s">
        <v>46</v>
      </c>
      <c r="AB238" t="s">
        <v>116</v>
      </c>
      <c r="AJ238" s="1" t="s">
        <v>48</v>
      </c>
    </row>
    <row r="239" spans="1:36" ht="63.75" customHeight="1" x14ac:dyDescent="0.25">
      <c r="A239" s="9" t="s">
        <v>370</v>
      </c>
      <c r="B239" s="9" t="s">
        <v>371</v>
      </c>
      <c r="C239" s="9"/>
      <c r="D239" s="10"/>
      <c r="E239" s="10"/>
      <c r="F239" s="9" t="s">
        <v>387</v>
      </c>
      <c r="G239" s="9" t="s">
        <v>114</v>
      </c>
      <c r="H239" s="11">
        <v>1</v>
      </c>
      <c r="I239" s="12">
        <v>19</v>
      </c>
      <c r="J239" s="12">
        <v>226</v>
      </c>
      <c r="K239" s="11">
        <f t="shared" si="6"/>
        <v>226</v>
      </c>
      <c r="L239">
        <v>29</v>
      </c>
      <c r="N239" s="21" t="s">
        <v>373</v>
      </c>
      <c r="O239" t="s">
        <v>374</v>
      </c>
      <c r="P239">
        <v>23</v>
      </c>
      <c r="Q239" t="s">
        <v>375</v>
      </c>
      <c r="R239">
        <v>24</v>
      </c>
      <c r="S239" t="s">
        <v>376</v>
      </c>
      <c r="T239">
        <v>49</v>
      </c>
      <c r="X239" s="2" t="s">
        <v>115</v>
      </c>
      <c r="Y239" s="32">
        <v>2.2400000000000002</v>
      </c>
      <c r="Z239" s="32">
        <f t="shared" si="7"/>
        <v>506.24000000000007</v>
      </c>
      <c r="AA239" s="16" t="s">
        <v>46</v>
      </c>
      <c r="AB239" t="s">
        <v>116</v>
      </c>
      <c r="AE239" s="1" t="s">
        <v>48</v>
      </c>
      <c r="AF239" s="1" t="s">
        <v>48</v>
      </c>
      <c r="AG239" s="1" t="s">
        <v>48</v>
      </c>
      <c r="AH239" s="1" t="s">
        <v>48</v>
      </c>
      <c r="AI239" s="1" t="s">
        <v>48</v>
      </c>
      <c r="AJ239" s="1" t="s">
        <v>48</v>
      </c>
    </row>
    <row r="240" spans="1:36" ht="38.25" customHeight="1" x14ac:dyDescent="0.25">
      <c r="A240" s="9" t="s">
        <v>370</v>
      </c>
      <c r="B240" s="9" t="s">
        <v>371</v>
      </c>
      <c r="C240" s="9"/>
      <c r="D240" s="10"/>
      <c r="E240" s="10"/>
      <c r="F240" s="9" t="s">
        <v>388</v>
      </c>
      <c r="G240" s="9" t="s">
        <v>114</v>
      </c>
      <c r="H240" s="11">
        <v>1</v>
      </c>
      <c r="I240" s="12">
        <v>19</v>
      </c>
      <c r="J240" s="12">
        <v>226</v>
      </c>
      <c r="K240" s="11">
        <f t="shared" si="6"/>
        <v>226</v>
      </c>
      <c r="L240">
        <v>30</v>
      </c>
      <c r="N240" s="21" t="s">
        <v>373</v>
      </c>
      <c r="O240" t="s">
        <v>374</v>
      </c>
      <c r="P240">
        <v>23</v>
      </c>
      <c r="Q240" t="s">
        <v>375</v>
      </c>
      <c r="R240">
        <v>24</v>
      </c>
      <c r="S240" t="s">
        <v>376</v>
      </c>
      <c r="T240">
        <v>50</v>
      </c>
      <c r="X240" s="2" t="s">
        <v>115</v>
      </c>
      <c r="Y240" s="32">
        <v>2.2400000000000002</v>
      </c>
      <c r="Z240" s="32">
        <f t="shared" si="7"/>
        <v>506.24000000000007</v>
      </c>
      <c r="AA240" s="16" t="s">
        <v>46</v>
      </c>
      <c r="AB240" t="s">
        <v>116</v>
      </c>
      <c r="AE240" s="1" t="s">
        <v>48</v>
      </c>
      <c r="AF240" s="1" t="s">
        <v>48</v>
      </c>
      <c r="AG240" s="1" t="s">
        <v>48</v>
      </c>
      <c r="AH240" s="1" t="s">
        <v>48</v>
      </c>
      <c r="AI240" s="1" t="s">
        <v>48</v>
      </c>
      <c r="AJ240" s="1" t="s">
        <v>48</v>
      </c>
    </row>
    <row r="241" spans="1:27" x14ac:dyDescent="0.25">
      <c r="A241" s="23"/>
      <c r="B241" s="23"/>
      <c r="C241" s="23"/>
      <c r="D241" s="24"/>
      <c r="E241" s="25"/>
      <c r="F241" s="23"/>
      <c r="G241" s="23"/>
      <c r="H241" s="26" t="s">
        <v>389</v>
      </c>
      <c r="I241" s="27"/>
      <c r="J241" s="27"/>
      <c r="K241" s="28">
        <f>SUM(K2:K240)</f>
        <v>226492.68000000008</v>
      </c>
      <c r="L241" s="29" t="s">
        <v>390</v>
      </c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33"/>
      <c r="Z241" s="34">
        <f>SUM(Z2:Z240)</f>
        <v>641902.68865410029</v>
      </c>
      <c r="AA241" s="29" t="s">
        <v>390</v>
      </c>
    </row>
  </sheetData>
  <autoFilter ref="A1:Z24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Maurizio Battisti</cp:lastModifiedBy>
  <cp:revision>0</cp:revision>
  <cp:lastPrinted>2026-07-30T13:07:50Z</cp:lastPrinted>
  <dcterms:created xsi:type="dcterms:W3CDTF">2026-07-14T12:24:48Z</dcterms:created>
  <dcterms:modified xsi:type="dcterms:W3CDTF">2026-09-11T13:23:57Z</dcterms:modified>
  <dc:language>en-US</dc:language>
</cp:coreProperties>
</file>